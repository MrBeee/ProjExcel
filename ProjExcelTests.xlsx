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Source\VS22\ProjExcel\"/>
    </mc:Choice>
  </mc:AlternateContent>
  <xr:revisionPtr revIDLastSave="0" documentId="13_ncr:1_{A33927CE-8ABF-49ED-9E3F-C2F47F94F055}" xr6:coauthVersionLast="47" xr6:coauthVersionMax="47" xr10:uidLastSave="{00000000-0000-0000-0000-000000000000}"/>
  <bookViews>
    <workbookView xWindow="38290" yWindow="-110" windowWidth="38620" windowHeight="21100" xr2:uid="{DFFE4F54-2693-492A-823A-BE73C5C8E8B0}"/>
  </bookViews>
  <sheets>
    <sheet name="L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4" i="1" l="1" a="1"/>
  <c r="S3" i="1" a="1"/>
  <c r="M3" i="1" a="1"/>
  <c r="E3" i="1" a="1"/>
  <c r="C3" i="1" a="1"/>
  <c r="B14" i="1" l="1"/>
  <c r="S3" i="1"/>
  <c r="M3" i="1"/>
  <c r="E3" i="1"/>
  <c r="C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66FFFF"/>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3">
    <xf numFmtId="0" fontId="0" fillId="0" borderId="0" xfId="0"/>
    <xf numFmtId="0" fontId="1" fillId="2" borderId="1" xfId="0" applyFont="1" applyFill="1" applyBorder="1"/>
    <xf numFmtId="0" fontId="0" fillId="0" borderId="5"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0" xfId="0"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6" xfId="0" applyBorder="1"/>
    <xf numFmtId="0" fontId="0" fillId="0" borderId="9" xfId="0" applyBorder="1"/>
    <xf numFmtId="0" fontId="0" fillId="0" borderId="2" xfId="0" applyBorder="1"/>
    <xf numFmtId="0" fontId="0" fillId="0" borderId="4" xfId="0"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xf numFmtId="0" fontId="1" fillId="2" borderId="4" xfId="0" applyFont="1" applyFill="1" applyBorder="1" applyAlignment="1">
      <alignment horizontal="center"/>
    </xf>
    <xf numFmtId="0" fontId="1" fillId="2" borderId="2" xfId="0" applyFont="1" applyFill="1" applyBorder="1"/>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7CE4F-68CC-44F7-8469-79612510D42C}">
  <dimension ref="B2:U11661"/>
  <sheetViews>
    <sheetView tabSelected="1" workbookViewId="0">
      <selection activeCell="B22" sqref="B22"/>
    </sheetView>
  </sheetViews>
  <sheetFormatPr defaultRowHeight="14.5" x14ac:dyDescent="0.35"/>
  <cols>
    <col min="2" max="2" width="15.81640625" customWidth="1"/>
    <col min="3" max="3" width="14.7265625" customWidth="1"/>
    <col min="5" max="6" width="8.7265625" style="7"/>
    <col min="7" max="7" width="15.26953125" bestFit="1" customWidth="1"/>
    <col min="8" max="8" width="36.90625" bestFit="1" customWidth="1"/>
    <col min="9" max="9" width="21.81640625" customWidth="1"/>
    <col min="10" max="10" width="35.453125" customWidth="1"/>
    <col min="11" max="11" width="13.7265625" style="7" bestFit="1" customWidth="1"/>
    <col min="13" max="13" width="11.90625" customWidth="1"/>
    <col min="14" max="14" width="13.1796875" bestFit="1" customWidth="1"/>
    <col min="15" max="15" width="26.7265625" customWidth="1"/>
    <col min="16" max="16" width="13.26953125" customWidth="1"/>
    <col min="17" max="17" width="12.36328125" style="7" bestFit="1" customWidth="1"/>
    <col min="19" max="19" width="21.54296875" bestFit="1" customWidth="1"/>
    <col min="20" max="20" width="8.7265625" style="7"/>
    <col min="21" max="21" width="8.6328125" style="7" customWidth="1"/>
  </cols>
  <sheetData>
    <row r="2" spans="2:21" ht="15" thickBot="1" x14ac:dyDescent="0.4"/>
    <row r="3" spans="2:21" ht="15" thickBot="1" x14ac:dyDescent="0.4">
      <c r="C3" s="1" t="str" cm="1">
        <f t="array" ref="C3:C9">_xll.PE.lst.AuthorityList()</f>
        <v>Authority</v>
      </c>
      <c r="E3" s="17" t="str" cm="1">
        <f t="array" ref="E3:K11661">_xll.PE.lst.CoordinateReferenceSystemList()</f>
        <v>Authority</v>
      </c>
      <c r="F3" s="18" t="str">
        <v>Code</v>
      </c>
      <c r="G3" s="19" t="str">
        <v>Type</v>
      </c>
      <c r="H3" s="19" t="str">
        <v>ProjectionName</v>
      </c>
      <c r="I3" s="19" t="str">
        <v>Name</v>
      </c>
      <c r="J3" s="19" t="str">
        <v>AreaName</v>
      </c>
      <c r="K3" s="20" t="str">
        <v>Nr GeoidModels</v>
      </c>
      <c r="M3" s="21" t="str" cm="1">
        <f t="array" ref="M3:Q187">_xll.PE.lst.OperationList()</f>
        <v>Name</v>
      </c>
      <c r="N3" s="19" t="str">
        <v>Type</v>
      </c>
      <c r="O3" s="19" t="str">
        <v>Title</v>
      </c>
      <c r="P3" s="19" t="str">
        <v>Details</v>
      </c>
      <c r="Q3" s="20" t="str">
        <v>Nr. Arguments</v>
      </c>
      <c r="S3" s="21" t="str" cm="1">
        <f t="array" ref="S3:U179">_xll.PE.lst.CelestialBodyList()</f>
        <v>Name</v>
      </c>
      <c r="T3" s="18" t="str">
        <v>Authority</v>
      </c>
      <c r="U3" s="20" t="str">
        <v>IsEarth</v>
      </c>
    </row>
    <row r="4" spans="2:21" x14ac:dyDescent="0.35">
      <c r="C4" s="5" t="str">
        <v>EPSG</v>
      </c>
      <c r="E4" s="9" t="str">
        <v>EPSG</v>
      </c>
      <c r="F4" s="7" t="str">
        <v>2000</v>
      </c>
      <c r="G4" t="str">
        <v>ProjectedCrs</v>
      </c>
      <c r="H4" t="str">
        <v>Transverse Mercator</v>
      </c>
      <c r="I4" t="str">
        <v>Anguilla 1957 / British West Indies Grid</v>
      </c>
      <c r="J4" t="str">
        <v>Anguilla - onshore.</v>
      </c>
      <c r="K4" s="11">
        <v>0</v>
      </c>
      <c r="M4" s="2" t="str">
        <v>adams_hemi</v>
      </c>
      <c r="N4" t="str">
        <v>Projection</v>
      </c>
      <c r="O4" t="str">
        <v>Adams Hemisphere in a Square</v>
      </c>
      <c r="P4" t="str">
        <v xml:space="preserve">	Misc Sph No inv</v>
      </c>
      <c r="Q4" s="11">
        <v>0</v>
      </c>
      <c r="S4" s="2" t="str">
        <v>Earth</v>
      </c>
      <c r="T4" s="7" t="str">
        <v>PROJ</v>
      </c>
      <c r="U4" s="11" t="b">
        <v>1</v>
      </c>
    </row>
    <row r="5" spans="2:21" x14ac:dyDescent="0.35">
      <c r="C5" s="5" t="str">
        <v>ESRI</v>
      </c>
      <c r="E5" s="9" t="str">
        <v>EPSG</v>
      </c>
      <c r="F5" s="7" t="str">
        <v>2001</v>
      </c>
      <c r="G5" t="str">
        <v>ProjectedCrs</v>
      </c>
      <c r="H5" t="str">
        <v>Transverse Mercator</v>
      </c>
      <c r="I5" t="str">
        <v>Antigua 1943 / British West Indies Grid</v>
      </c>
      <c r="J5" t="str">
        <v>Antigua island - onshore.</v>
      </c>
      <c r="K5" s="11">
        <v>0</v>
      </c>
      <c r="M5" s="2" t="str">
        <v>adams_ws1</v>
      </c>
      <c r="N5" t="str">
        <v>Projection</v>
      </c>
      <c r="O5" t="str">
        <v>Adams World in a Square I</v>
      </c>
      <c r="P5" t="str">
        <v xml:space="preserve">	Misc Sph No inv</v>
      </c>
      <c r="Q5" s="11">
        <v>0</v>
      </c>
      <c r="S5" s="2" t="str">
        <v>1_Ceres</v>
      </c>
      <c r="T5" s="7" t="str">
        <v>ESRI</v>
      </c>
      <c r="U5" s="11" t="b">
        <v>0</v>
      </c>
    </row>
    <row r="6" spans="2:21" x14ac:dyDescent="0.35">
      <c r="C6" s="5" t="str">
        <v>IAU_2015</v>
      </c>
      <c r="E6" s="9" t="str">
        <v>EPSG</v>
      </c>
      <c r="F6" s="7" t="str">
        <v>2002</v>
      </c>
      <c r="G6" t="str">
        <v>ProjectedCrs</v>
      </c>
      <c r="H6" t="str">
        <v>Transverse Mercator</v>
      </c>
      <c r="I6" t="str">
        <v>Dominica 1945 / British West Indies Grid</v>
      </c>
      <c r="J6" t="str">
        <v>Dominica - onshore.</v>
      </c>
      <c r="K6" s="11">
        <v>0</v>
      </c>
      <c r="M6" s="2" t="str">
        <v>adams_ws2</v>
      </c>
      <c r="N6" t="str">
        <v>Projection</v>
      </c>
      <c r="O6" t="str">
        <v>Adams World in a Square II</v>
      </c>
      <c r="P6" t="str">
        <v xml:space="preserve">	Misc Sph No inv</v>
      </c>
      <c r="Q6" s="11">
        <v>0</v>
      </c>
      <c r="S6" s="2" t="str">
        <v>4_Vesta</v>
      </c>
      <c r="T6" s="7" t="str">
        <v>ESRI</v>
      </c>
      <c r="U6" s="11" t="b">
        <v>0</v>
      </c>
    </row>
    <row r="7" spans="2:21" x14ac:dyDescent="0.35">
      <c r="C7" s="5" t="str">
        <v>IGNF</v>
      </c>
      <c r="E7" s="9" t="str">
        <v>EPSG</v>
      </c>
      <c r="F7" s="7" t="str">
        <v>2003</v>
      </c>
      <c r="G7" t="str">
        <v>ProjectedCrs</v>
      </c>
      <c r="H7" t="str">
        <v>Transverse Mercator</v>
      </c>
      <c r="I7" t="str">
        <v>Grenada 1953 / British West Indies Grid</v>
      </c>
      <c r="J7" t="str">
        <v>Grenada and southern Grenadine Islands - onshore.</v>
      </c>
      <c r="K7" s="11">
        <v>0</v>
      </c>
      <c r="M7" s="2" t="str">
        <v>aea</v>
      </c>
      <c r="N7" t="str">
        <v>Projection</v>
      </c>
      <c r="O7" t="str">
        <v>Albers Equal Area</v>
      </c>
      <c r="P7" t="str">
        <v xml:space="preserve">	Conic Sph&amp;Ell
	lat_1= lat_2=</v>
      </c>
      <c r="Q7" s="11">
        <v>2</v>
      </c>
      <c r="S7" s="2" t="str">
        <v>Adrastea</v>
      </c>
      <c r="T7" s="7" t="str">
        <v>ESRI</v>
      </c>
      <c r="U7" s="11" t="b">
        <v>0</v>
      </c>
    </row>
    <row r="8" spans="2:21" x14ac:dyDescent="0.35">
      <c r="C8" s="5" t="str">
        <v>NKG</v>
      </c>
      <c r="E8" s="9" t="str">
        <v>EPSG</v>
      </c>
      <c r="F8" s="7" t="str">
        <v>2004</v>
      </c>
      <c r="G8" t="str">
        <v>ProjectedCrs</v>
      </c>
      <c r="H8" t="str">
        <v>Transverse Mercator</v>
      </c>
      <c r="I8" t="str">
        <v>Montserrat 1958 / British West Indies Grid</v>
      </c>
      <c r="J8" t="str">
        <v>Montserrat - onshore.</v>
      </c>
      <c r="K8" s="11">
        <v>0</v>
      </c>
      <c r="M8" s="2" t="str">
        <v>aeqd</v>
      </c>
      <c r="N8" t="str">
        <v>Projection</v>
      </c>
      <c r="O8" t="str">
        <v>Azimuthal Equidistant</v>
      </c>
      <c r="P8" t="str">
        <v xml:space="preserve">	Azi, Sph&amp;Ell
	lat_0 guam</v>
      </c>
      <c r="Q8" s="11">
        <v>0</v>
      </c>
      <c r="S8" s="2" t="str">
        <v>Aegaeon</v>
      </c>
      <c r="T8" s="7" t="str">
        <v>ESRI</v>
      </c>
      <c r="U8" s="11" t="b">
        <v>0</v>
      </c>
    </row>
    <row r="9" spans="2:21" ht="15" thickBot="1" x14ac:dyDescent="0.4">
      <c r="C9" s="6" t="str">
        <v>OGC</v>
      </c>
      <c r="E9" s="9" t="str">
        <v>EPSG</v>
      </c>
      <c r="F9" s="7" t="str">
        <v>2005</v>
      </c>
      <c r="G9" t="str">
        <v>ProjectedCrs</v>
      </c>
      <c r="H9" t="str">
        <v>Transverse Mercator</v>
      </c>
      <c r="I9" t="str">
        <v>St. Kitts 1955 / British West Indies Grid</v>
      </c>
      <c r="J9" t="str">
        <v>St Kitts and Nevis - onshore.</v>
      </c>
      <c r="K9" s="11">
        <v>0</v>
      </c>
      <c r="M9" s="2" t="str">
        <v>affine</v>
      </c>
      <c r="N9" t="str">
        <v>Transformation</v>
      </c>
      <c r="O9" t="str">
        <v>Affine transformation</v>
      </c>
      <c r="P9" t="str">
        <v>&lt;not available&gt;</v>
      </c>
      <c r="Q9" s="11">
        <v>0</v>
      </c>
      <c r="S9" s="2" t="str">
        <v>Amalthea</v>
      </c>
      <c r="T9" s="7" t="str">
        <v>ESRI</v>
      </c>
      <c r="U9" s="11" t="b">
        <v>0</v>
      </c>
    </row>
    <row r="10" spans="2:21" x14ac:dyDescent="0.35">
      <c r="E10" s="9" t="str">
        <v>EPSG</v>
      </c>
      <c r="F10" s="7" t="str">
        <v>2006</v>
      </c>
      <c r="G10" t="str">
        <v>ProjectedCrs</v>
      </c>
      <c r="H10" t="str">
        <v>Transverse Mercator</v>
      </c>
      <c r="I10" t="str">
        <v>St. Lucia 1955 / British West Indies Grid</v>
      </c>
      <c r="J10" t="str">
        <v>St Lucia - onshore.</v>
      </c>
      <c r="K10" s="11">
        <v>0</v>
      </c>
      <c r="M10" s="2" t="str">
        <v>airy</v>
      </c>
      <c r="N10" t="str">
        <v>Projection</v>
      </c>
      <c r="O10" t="str">
        <v>Airy</v>
      </c>
      <c r="P10" t="str">
        <v xml:space="preserve">	Misc Sph, no inv
	no_cut lat_b=</v>
      </c>
      <c r="Q10" s="11">
        <v>1</v>
      </c>
      <c r="S10" s="2" t="str">
        <v>Ananke</v>
      </c>
      <c r="T10" s="7" t="str">
        <v>ESRI</v>
      </c>
      <c r="U10" s="11" t="b">
        <v>0</v>
      </c>
    </row>
    <row r="11" spans="2:21" x14ac:dyDescent="0.35">
      <c r="E11" s="9" t="str">
        <v>EPSG</v>
      </c>
      <c r="F11" s="7" t="str">
        <v>2007</v>
      </c>
      <c r="G11" t="str">
        <v>ProjectedCrs</v>
      </c>
      <c r="H11" t="str">
        <v>Transverse Mercator</v>
      </c>
      <c r="I11" t="str">
        <v>St. Vincent 45 / British West Indies Grid</v>
      </c>
      <c r="J11" t="str">
        <v>St Vincent and the northern Grenadine Islands - onshore.</v>
      </c>
      <c r="K11" s="11">
        <v>0</v>
      </c>
      <c r="M11" s="2" t="str">
        <v>aitoff</v>
      </c>
      <c r="N11" t="str">
        <v>Projection</v>
      </c>
      <c r="O11" t="str">
        <v>Aitoff</v>
      </c>
      <c r="P11" t="str">
        <v xml:space="preserve">	Misc Sph</v>
      </c>
      <c r="Q11" s="11">
        <v>0</v>
      </c>
      <c r="S11" s="2" t="str">
        <v>Anthe</v>
      </c>
      <c r="T11" s="7" t="str">
        <v>ESRI</v>
      </c>
      <c r="U11" s="11" t="b">
        <v>0</v>
      </c>
    </row>
    <row r="12" spans="2:21" x14ac:dyDescent="0.35">
      <c r="E12" s="9" t="str">
        <v>EPSG</v>
      </c>
      <c r="F12" s="7" t="str">
        <v>2009</v>
      </c>
      <c r="G12" t="str">
        <v>ProjectedCrs</v>
      </c>
      <c r="H12" t="str">
        <v>Transverse Mercator</v>
      </c>
      <c r="I12" t="str">
        <v>NAD27(CGQ77) / SCoPQ zone 3</v>
      </c>
      <c r="J12" t="str">
        <v>Canada - Quebec - east of 60°W.</v>
      </c>
      <c r="K12" s="11">
        <v>0</v>
      </c>
      <c r="M12" s="2" t="str">
        <v>alsk</v>
      </c>
      <c r="N12" t="str">
        <v>Projection</v>
      </c>
      <c r="O12" t="str">
        <v>Modified Stereographic of Alaska</v>
      </c>
      <c r="P12" t="str">
        <v xml:space="preserve">	Azi(mod)</v>
      </c>
      <c r="Q12" s="11">
        <v>0</v>
      </c>
      <c r="S12" s="2" t="str">
        <v>Ariel</v>
      </c>
      <c r="T12" s="7" t="str">
        <v>ESRI</v>
      </c>
      <c r="U12" s="11" t="b">
        <v>0</v>
      </c>
    </row>
    <row r="13" spans="2:21" ht="15" thickBot="1" x14ac:dyDescent="0.4">
      <c r="E13" s="9" t="str">
        <v>EPSG</v>
      </c>
      <c r="F13" s="7" t="str">
        <v>2010</v>
      </c>
      <c r="G13" t="str">
        <v>ProjectedCrs</v>
      </c>
      <c r="H13" t="str">
        <v>Transverse Mercator</v>
      </c>
      <c r="I13" t="str">
        <v>NAD27(CGQ77) / SCoPQ zone 4</v>
      </c>
      <c r="J13" t="str">
        <v>Canada - Quebec - between 63°W and 60°W.</v>
      </c>
      <c r="K13" s="11">
        <v>0</v>
      </c>
      <c r="M13" s="2" t="str">
        <v>apian</v>
      </c>
      <c r="N13" t="str">
        <v>Projection</v>
      </c>
      <c r="O13" t="str">
        <v>Apian Globular I</v>
      </c>
      <c r="P13" t="str">
        <v xml:space="preserve">	Misc Sph, no inv</v>
      </c>
      <c r="Q13" s="11">
        <v>0</v>
      </c>
      <c r="S13" s="2" t="str">
        <v>Atlas</v>
      </c>
      <c r="T13" s="7" t="str">
        <v>ESRI</v>
      </c>
      <c r="U13" s="11" t="b">
        <v>0</v>
      </c>
    </row>
    <row r="14" spans="2:21" ht="15" thickBot="1" x14ac:dyDescent="0.4">
      <c r="B14" s="21" t="str" cm="1">
        <f t="array" ref="B14:C18">_xll.PE.lib.Version()</f>
        <v>ProjExcel element</v>
      </c>
      <c r="C14" s="22" t="str">
        <v>version number</v>
      </c>
      <c r="E14" s="9" t="str">
        <v>EPSG</v>
      </c>
      <c r="F14" s="7" t="str">
        <v>2011</v>
      </c>
      <c r="G14" t="str">
        <v>ProjectedCrs</v>
      </c>
      <c r="H14" t="str">
        <v>Transverse Mercator</v>
      </c>
      <c r="I14" t="str">
        <v>NAD27(CGQ77) / SCoPQ zone 5</v>
      </c>
      <c r="J14" t="str">
        <v>Canada - Quebec - between 66°W and 63°W.</v>
      </c>
      <c r="K14" s="11">
        <v>0</v>
      </c>
      <c r="M14" s="2" t="str">
        <v>august</v>
      </c>
      <c r="N14" t="str">
        <v>Projection</v>
      </c>
      <c r="O14" t="str">
        <v>August Epicycloidal</v>
      </c>
      <c r="P14" t="str">
        <v xml:space="preserve">	Misc Sph, no inv</v>
      </c>
      <c r="Q14" s="11">
        <v>0</v>
      </c>
      <c r="S14" s="2" t="str">
        <v>Belinda</v>
      </c>
      <c r="T14" s="7" t="str">
        <v>ESRI</v>
      </c>
      <c r="U14" s="11" t="b">
        <v>0</v>
      </c>
    </row>
    <row r="15" spans="2:21" x14ac:dyDescent="0.35">
      <c r="B15" s="2" t="str">
        <v>Assembly version</v>
      </c>
      <c r="C15" s="13" t="str">
        <v>1.0.0.0</v>
      </c>
      <c r="E15" s="9" t="str">
        <v>EPSG</v>
      </c>
      <c r="F15" s="7" t="str">
        <v>2012</v>
      </c>
      <c r="G15" t="str">
        <v>ProjectedCrs</v>
      </c>
      <c r="H15" t="str">
        <v>Transverse Mercator</v>
      </c>
      <c r="I15" t="str">
        <v>NAD27(CGQ77) / SCoPQ zone 6</v>
      </c>
      <c r="J15" t="str">
        <v>Canada - Quebec - between 69°W and 66°W.</v>
      </c>
      <c r="K15" s="11">
        <v>0</v>
      </c>
      <c r="M15" s="2" t="str">
        <v>axisswap</v>
      </c>
      <c r="N15" t="str">
        <v>Transformation</v>
      </c>
      <c r="O15" t="str">
        <v>Axis ordering</v>
      </c>
      <c r="P15" t="str">
        <v>&lt;not available&gt;</v>
      </c>
      <c r="Q15" s="11">
        <v>0</v>
      </c>
      <c r="S15" s="2" t="str">
        <v>Bianca</v>
      </c>
      <c r="T15" s="7" t="str">
        <v>ESRI</v>
      </c>
      <c r="U15" s="11" t="b">
        <v>0</v>
      </c>
    </row>
    <row r="16" spans="2:21" x14ac:dyDescent="0.35">
      <c r="B16" s="2" t="str">
        <v>File version</v>
      </c>
      <c r="C16" s="13" t="str">
        <v>1.0.261011.2217</v>
      </c>
      <c r="E16" s="9" t="str">
        <v>EPSG</v>
      </c>
      <c r="F16" s="7" t="str">
        <v>2013</v>
      </c>
      <c r="G16" t="str">
        <v>ProjectedCrs</v>
      </c>
      <c r="H16" t="str">
        <v>Transverse Mercator</v>
      </c>
      <c r="I16" t="str">
        <v>NAD27(CGQ77) / SCoPQ zone 7</v>
      </c>
      <c r="J16" t="str">
        <v>Canada - Quebec - between 72°W and 69°W.</v>
      </c>
      <c r="K16" s="11">
        <v>0</v>
      </c>
      <c r="M16" s="2" t="str">
        <v>bacon</v>
      </c>
      <c r="N16" t="str">
        <v>Projection</v>
      </c>
      <c r="O16" t="str">
        <v>Bacon Globular</v>
      </c>
      <c r="P16" t="str">
        <v xml:space="preserve">	Misc Sph, no inv</v>
      </c>
      <c r="Q16" s="11">
        <v>0</v>
      </c>
      <c r="S16" s="2" t="str">
        <v>Callisto</v>
      </c>
      <c r="T16" s="7" t="str">
        <v>ESRI</v>
      </c>
      <c r="U16" s="11" t="b">
        <v>0</v>
      </c>
    </row>
    <row r="17" spans="2:21" ht="15" thickBot="1" x14ac:dyDescent="0.4">
      <c r="B17" s="3" t="str">
        <v>Info version</v>
      </c>
      <c r="C17" s="14" t="str">
        <v>1.0.261011.2217</v>
      </c>
      <c r="E17" s="9" t="str">
        <v>EPSG</v>
      </c>
      <c r="F17" s="7" t="str">
        <v>2014</v>
      </c>
      <c r="G17" t="str">
        <v>ProjectedCrs</v>
      </c>
      <c r="H17" t="str">
        <v>Transverse Mercator</v>
      </c>
      <c r="I17" t="str">
        <v>NAD27(CGQ77) / SCoPQ zone 8</v>
      </c>
      <c r="J17" t="str">
        <v>Canada - Quebec - between 75°W and 72°W.</v>
      </c>
      <c r="K17" s="11">
        <v>0</v>
      </c>
      <c r="M17" s="2" t="str">
        <v>bertin1953</v>
      </c>
      <c r="N17" t="str">
        <v>Projection</v>
      </c>
      <c r="O17" t="str">
        <v>Bertin 1953</v>
      </c>
      <c r="P17" t="str">
        <v xml:space="preserve">	Misc Sph no inv.</v>
      </c>
      <c r="Q17" s="11">
        <v>0</v>
      </c>
      <c r="S17" s="2" t="str">
        <v>Calypso</v>
      </c>
      <c r="T17" s="7" t="str">
        <v>ESRI</v>
      </c>
      <c r="U17" s="11" t="b">
        <v>0</v>
      </c>
    </row>
    <row r="18" spans="2:21" ht="15" thickBot="1" x14ac:dyDescent="0.4">
      <c r="B18" s="15" t="str">
        <v>Proj version</v>
      </c>
      <c r="C18" s="16" t="str">
        <v>9.5.1</v>
      </c>
      <c r="E18" s="9" t="str">
        <v>EPSG</v>
      </c>
      <c r="F18" s="7" t="str">
        <v>2015</v>
      </c>
      <c r="G18" t="str">
        <v>ProjectedCrs</v>
      </c>
      <c r="H18" t="str">
        <v>Transverse Mercator</v>
      </c>
      <c r="I18" t="str">
        <v>NAD27(CGQ77) / SCoPQ zone 9</v>
      </c>
      <c r="J18" t="str">
        <v>Canada - Quebec - between 78°W and 75°W.</v>
      </c>
      <c r="K18" s="11">
        <v>0</v>
      </c>
      <c r="M18" s="2" t="str">
        <v>bipc</v>
      </c>
      <c r="N18" t="str">
        <v>Projection</v>
      </c>
      <c r="O18" t="str">
        <v>Bipolar conic of western hemisphere</v>
      </c>
      <c r="P18" t="str">
        <v xml:space="preserve">	Conic Sph</v>
      </c>
      <c r="Q18" s="11">
        <v>0</v>
      </c>
      <c r="S18" s="2" t="str">
        <v>Carme</v>
      </c>
      <c r="T18" s="7" t="str">
        <v>ESRI</v>
      </c>
      <c r="U18" s="11" t="b">
        <v>0</v>
      </c>
    </row>
    <row r="19" spans="2:21" x14ac:dyDescent="0.35">
      <c r="E19" s="9" t="str">
        <v>EPSG</v>
      </c>
      <c r="F19" s="7" t="str">
        <v>2016</v>
      </c>
      <c r="G19" t="str">
        <v>ProjectedCrs</v>
      </c>
      <c r="H19" t="str">
        <v>Transverse Mercator</v>
      </c>
      <c r="I19" t="str">
        <v>NAD27(CGQ77) / SCoPQ zone 10</v>
      </c>
      <c r="J19" t="str">
        <v>Canada - Quebec - west of 78°W.</v>
      </c>
      <c r="K19" s="11">
        <v>0</v>
      </c>
      <c r="M19" s="2" t="str">
        <v>boggs</v>
      </c>
      <c r="N19" t="str">
        <v>Projection</v>
      </c>
      <c r="O19" t="str">
        <v>Boggs Eumorphic</v>
      </c>
      <c r="P19" t="str">
        <v xml:space="preserve">	PCyl, no inv, Sph</v>
      </c>
      <c r="Q19" s="11">
        <v>0</v>
      </c>
      <c r="S19" s="2" t="str">
        <v>Charon</v>
      </c>
      <c r="T19" s="7" t="str">
        <v>ESRI</v>
      </c>
      <c r="U19" s="11" t="b">
        <v>0</v>
      </c>
    </row>
    <row r="20" spans="2:21" x14ac:dyDescent="0.35">
      <c r="E20" s="9" t="str">
        <v>EPSG</v>
      </c>
      <c r="F20" s="7" t="str">
        <v>2017</v>
      </c>
      <c r="G20" t="str">
        <v>ProjectedCrs</v>
      </c>
      <c r="H20" t="str">
        <v>Transverse Mercator</v>
      </c>
      <c r="I20" t="str">
        <v>NAD27(76) / MTM zone 8</v>
      </c>
      <c r="J20" t="str">
        <v>Canada - Ontario - east of 75°W.</v>
      </c>
      <c r="K20" s="11">
        <v>0</v>
      </c>
      <c r="M20" s="2" t="str">
        <v>bonne</v>
      </c>
      <c r="N20" t="str">
        <v>Projection</v>
      </c>
      <c r="O20" t="str">
        <v>Bonne (Werner lat_1=90)</v>
      </c>
      <c r="P20" t="str">
        <v xml:space="preserve">	Conic Sph&amp;Ell
	lat_1=</v>
      </c>
      <c r="Q20" s="11">
        <v>1</v>
      </c>
      <c r="S20" s="2" t="str">
        <v>Cordelia</v>
      </c>
      <c r="T20" s="7" t="str">
        <v>ESRI</v>
      </c>
      <c r="U20" s="11" t="b">
        <v>0</v>
      </c>
    </row>
    <row r="21" spans="2:21" x14ac:dyDescent="0.35">
      <c r="E21" s="9" t="str">
        <v>EPSG</v>
      </c>
      <c r="F21" s="7" t="str">
        <v>2018</v>
      </c>
      <c r="G21" t="str">
        <v>ProjectedCrs</v>
      </c>
      <c r="H21" t="str">
        <v>Transverse Mercator</v>
      </c>
      <c r="I21" t="str">
        <v>NAD27(76) / MTM zone 9</v>
      </c>
      <c r="J21" t="str">
        <v>Canada - Ontario - between 78°W and 75°W.</v>
      </c>
      <c r="K21" s="11">
        <v>0</v>
      </c>
      <c r="M21" s="2" t="str">
        <v>calcofi</v>
      </c>
      <c r="N21" t="str">
        <v>Projection</v>
      </c>
      <c r="O21" t="str">
        <v>Cal Coop Ocean Fish Invest Lines/Stations</v>
      </c>
      <c r="P21" t="str">
        <v xml:space="preserve">	Cyl, Sph&amp;Ell</v>
      </c>
      <c r="Q21" s="11">
        <v>0</v>
      </c>
      <c r="S21" s="2" t="str">
        <v>Cressida</v>
      </c>
      <c r="T21" s="7" t="str">
        <v>ESRI</v>
      </c>
      <c r="U21" s="11" t="b">
        <v>0</v>
      </c>
    </row>
    <row r="22" spans="2:21" x14ac:dyDescent="0.35">
      <c r="E22" s="9" t="str">
        <v>EPSG</v>
      </c>
      <c r="F22" s="7" t="str">
        <v>2019</v>
      </c>
      <c r="G22" t="str">
        <v>ProjectedCrs</v>
      </c>
      <c r="H22" t="str">
        <v>Transverse Mercator</v>
      </c>
      <c r="I22" t="str">
        <v>NAD27(76) / MTM zone 10</v>
      </c>
      <c r="J22" t="str">
        <v>Canada - Ontario - between 81°W and 78°W: south of 46°N in area to west of 80°15'W, south of 47°N in area between 80°15'W and 79°30'W, entire province between 79°30'W and 78°W.</v>
      </c>
      <c r="K22" s="11">
        <v>0</v>
      </c>
      <c r="M22" s="2" t="str">
        <v>cart</v>
      </c>
      <c r="N22" t="str">
        <v>Transformation</v>
      </c>
      <c r="O22" t="str">
        <v>Geodetic/cartesian conversions</v>
      </c>
      <c r="P22" t="str">
        <v>&lt;not available&gt;</v>
      </c>
      <c r="Q22" s="11">
        <v>0</v>
      </c>
      <c r="S22" s="2" t="str">
        <v>Daphnis</v>
      </c>
      <c r="T22" s="7" t="str">
        <v>ESRI</v>
      </c>
      <c r="U22" s="11" t="b">
        <v>0</v>
      </c>
    </row>
    <row r="23" spans="2:21" x14ac:dyDescent="0.35">
      <c r="E23" s="9" t="str">
        <v>EPSG</v>
      </c>
      <c r="F23" s="7" t="str">
        <v>2020</v>
      </c>
      <c r="G23" t="str">
        <v>ProjectedCrs</v>
      </c>
      <c r="H23" t="str">
        <v>Transverse Mercator</v>
      </c>
      <c r="I23" t="str">
        <v>NAD27(76) / MTM zone 11</v>
      </c>
      <c r="J23" t="str">
        <v>Canada - Ontario - south of 46°N and west of 81°W.</v>
      </c>
      <c r="K23" s="11">
        <v>0</v>
      </c>
      <c r="M23" s="2" t="str">
        <v>cass</v>
      </c>
      <c r="N23" t="str">
        <v>Projection</v>
      </c>
      <c r="O23" t="str">
        <v>Cassini</v>
      </c>
      <c r="P23" t="str">
        <v xml:space="preserve">	Cyl, Sph&amp;Ell</v>
      </c>
      <c r="Q23" s="11">
        <v>0</v>
      </c>
      <c r="S23" s="2" t="str">
        <v>Deimos</v>
      </c>
      <c r="T23" s="7" t="str">
        <v>ESRI</v>
      </c>
      <c r="U23" s="11" t="b">
        <v>0</v>
      </c>
    </row>
    <row r="24" spans="2:21" x14ac:dyDescent="0.35">
      <c r="E24" s="9" t="str">
        <v>EPSG</v>
      </c>
      <c r="F24" s="7" t="str">
        <v>2021</v>
      </c>
      <c r="G24" t="str">
        <v>ProjectedCrs</v>
      </c>
      <c r="H24" t="str">
        <v>Transverse Mercator</v>
      </c>
      <c r="I24" t="str">
        <v>NAD27(76) / MTM zone 12</v>
      </c>
      <c r="J24" t="str">
        <v>Canada - Ontario - between 82°30'W and 79°30'W: north of 46°N in area between 82°30'W and 80°15'W, north of 47°N in area between 80°15'W and 79°30'W.</v>
      </c>
      <c r="K24" s="11">
        <v>0</v>
      </c>
      <c r="M24" s="2" t="str">
        <v>cc</v>
      </c>
      <c r="N24" t="str">
        <v>Projection</v>
      </c>
      <c r="O24" t="str">
        <v>Central Cylindrical</v>
      </c>
      <c r="P24" t="str">
        <v xml:space="preserve">	Cyl, Sph</v>
      </c>
      <c r="Q24" s="11">
        <v>0</v>
      </c>
      <c r="S24" s="2" t="str">
        <v>Desdemona</v>
      </c>
      <c r="T24" s="7" t="str">
        <v>ESRI</v>
      </c>
      <c r="U24" s="11" t="b">
        <v>0</v>
      </c>
    </row>
    <row r="25" spans="2:21" x14ac:dyDescent="0.35">
      <c r="E25" s="9" t="str">
        <v>EPSG</v>
      </c>
      <c r="F25" s="7" t="str">
        <v>2022</v>
      </c>
      <c r="G25" t="str">
        <v>ProjectedCrs</v>
      </c>
      <c r="H25" t="str">
        <v>Transverse Mercator</v>
      </c>
      <c r="I25" t="str">
        <v>NAD27(76) / MTM zone 13</v>
      </c>
      <c r="J25" t="str">
        <v>Canada - Ontario - between 85°30'W and 82°30'W and north of 46°N.</v>
      </c>
      <c r="K25" s="11">
        <v>0</v>
      </c>
      <c r="M25" s="2" t="str">
        <v>ccon</v>
      </c>
      <c r="N25" t="str">
        <v>Projection</v>
      </c>
      <c r="O25" t="str">
        <v>Central Conic</v>
      </c>
      <c r="P25" t="str">
        <v xml:space="preserve">	Central Conic, Sph
	lat_1=</v>
      </c>
      <c r="Q25" s="11">
        <v>1</v>
      </c>
      <c r="S25" s="2" t="str">
        <v>Despina</v>
      </c>
      <c r="T25" s="7" t="str">
        <v>ESRI</v>
      </c>
      <c r="U25" s="11" t="b">
        <v>0</v>
      </c>
    </row>
    <row r="26" spans="2:21" x14ac:dyDescent="0.35">
      <c r="E26" s="9" t="str">
        <v>EPSG</v>
      </c>
      <c r="F26" s="7" t="str">
        <v>2023</v>
      </c>
      <c r="G26" t="str">
        <v>ProjectedCrs</v>
      </c>
      <c r="H26" t="str">
        <v>Transverse Mercator</v>
      </c>
      <c r="I26" t="str">
        <v>NAD27(76) / MTM zone 14</v>
      </c>
      <c r="J26" t="str">
        <v>Canada - Ontario - between 88°30'W and 85°30'W.</v>
      </c>
      <c r="K26" s="11">
        <v>0</v>
      </c>
      <c r="M26" s="2" t="str">
        <v>cea</v>
      </c>
      <c r="N26" t="str">
        <v>Projection</v>
      </c>
      <c r="O26" t="str">
        <v>Equal Area Cylindrical</v>
      </c>
      <c r="P26" t="str">
        <v xml:space="preserve">	Cyl, Sph&amp;Ell
	lat_ts=</v>
      </c>
      <c r="Q26" s="11">
        <v>1</v>
      </c>
      <c r="S26" s="2" t="str">
        <v>Dione</v>
      </c>
      <c r="T26" s="7" t="str">
        <v>ESRI</v>
      </c>
      <c r="U26" s="11" t="b">
        <v>0</v>
      </c>
    </row>
    <row r="27" spans="2:21" x14ac:dyDescent="0.35">
      <c r="E27" s="9" t="str">
        <v>EPSG</v>
      </c>
      <c r="F27" s="7" t="str">
        <v>2024</v>
      </c>
      <c r="G27" t="str">
        <v>ProjectedCrs</v>
      </c>
      <c r="H27" t="str">
        <v>Transverse Mercator</v>
      </c>
      <c r="I27" t="str">
        <v>NAD27(76) / MTM zone 15</v>
      </c>
      <c r="J27" t="str">
        <v>Canada - Ontario - between 91°30'W and 88°30'W.</v>
      </c>
      <c r="K27" s="11">
        <v>0</v>
      </c>
      <c r="M27" s="2" t="str">
        <v>chamb</v>
      </c>
      <c r="N27" t="str">
        <v>Projection</v>
      </c>
      <c r="O27" t="str">
        <v>Chamberlin Trimetric</v>
      </c>
      <c r="P27" t="str">
        <v xml:space="preserve">	Misc Sph, no inv
	lat_1= lon_1= lat_2= lon_2= lat_3= lon_3=</v>
      </c>
      <c r="Q27" s="11">
        <v>6</v>
      </c>
      <c r="S27" s="2" t="str">
        <v>Elara</v>
      </c>
      <c r="T27" s="7" t="str">
        <v>ESRI</v>
      </c>
      <c r="U27" s="11" t="b">
        <v>0</v>
      </c>
    </row>
    <row r="28" spans="2:21" x14ac:dyDescent="0.35">
      <c r="E28" s="9" t="str">
        <v>EPSG</v>
      </c>
      <c r="F28" s="7" t="str">
        <v>2025</v>
      </c>
      <c r="G28" t="str">
        <v>ProjectedCrs</v>
      </c>
      <c r="H28" t="str">
        <v>Transverse Mercator</v>
      </c>
      <c r="I28" t="str">
        <v>NAD27(76) / MTM zone 16</v>
      </c>
      <c r="J28" t="str">
        <v>Canada - Ontario - between 94°30'W and 91°30'W.</v>
      </c>
      <c r="K28" s="11">
        <v>0</v>
      </c>
      <c r="M28" s="2" t="str">
        <v>collg</v>
      </c>
      <c r="N28" t="str">
        <v>Projection</v>
      </c>
      <c r="O28" t="str">
        <v>Collignon</v>
      </c>
      <c r="P28" t="str">
        <v xml:space="preserve">	PCyl, Sph</v>
      </c>
      <c r="Q28" s="11">
        <v>0</v>
      </c>
      <c r="S28" s="2" t="str">
        <v>Enceladus</v>
      </c>
      <c r="T28" s="7" t="str">
        <v>ESRI</v>
      </c>
      <c r="U28" s="11" t="b">
        <v>0</v>
      </c>
    </row>
    <row r="29" spans="2:21" x14ac:dyDescent="0.35">
      <c r="E29" s="9" t="str">
        <v>EPSG</v>
      </c>
      <c r="F29" s="7" t="str">
        <v>2026</v>
      </c>
      <c r="G29" t="str">
        <v>ProjectedCrs</v>
      </c>
      <c r="H29" t="str">
        <v>Transverse Mercator</v>
      </c>
      <c r="I29" t="str">
        <v>NAD27(76) / MTM zone 17</v>
      </c>
      <c r="J29" t="str">
        <v>Canada - Ontario - west of 94°30'W.</v>
      </c>
      <c r="K29" s="11">
        <v>0</v>
      </c>
      <c r="M29" s="2" t="str">
        <v>col_urban</v>
      </c>
      <c r="N29" t="str">
        <v>Projection</v>
      </c>
      <c r="O29" t="str">
        <v>Colombia Urban</v>
      </c>
      <c r="P29" t="str">
        <v xml:space="preserve">	Misc
	h_0=</v>
      </c>
      <c r="Q29" s="11">
        <v>1</v>
      </c>
      <c r="S29" s="2" t="str">
        <v>Epimetheus</v>
      </c>
      <c r="T29" s="7" t="str">
        <v>ESRI</v>
      </c>
      <c r="U29" s="11" t="b">
        <v>0</v>
      </c>
    </row>
    <row r="30" spans="2:21" x14ac:dyDescent="0.35">
      <c r="E30" s="9" t="str">
        <v>EPSG</v>
      </c>
      <c r="F30" s="7" t="str">
        <v>2027</v>
      </c>
      <c r="G30" t="str">
        <v>ProjectedCrs</v>
      </c>
      <c r="H30" t="str">
        <v>Transverse Mercator</v>
      </c>
      <c r="I30" t="str">
        <v>NAD27(76) / UTM zone 15N</v>
      </c>
      <c r="J30" t="str">
        <v>Canada - Ontario - west of 90°W.</v>
      </c>
      <c r="K30" s="11">
        <v>0</v>
      </c>
      <c r="M30" s="2" t="str">
        <v>comill</v>
      </c>
      <c r="N30" t="str">
        <v>Projection</v>
      </c>
      <c r="O30" t="str">
        <v>Compact Miller</v>
      </c>
      <c r="P30" t="str">
        <v xml:space="preserve">	Cyl, Sph</v>
      </c>
      <c r="Q30" s="11">
        <v>0</v>
      </c>
      <c r="S30" s="2" t="str">
        <v>Europa</v>
      </c>
      <c r="T30" s="7" t="str">
        <v>ESRI</v>
      </c>
      <c r="U30" s="11" t="b">
        <v>0</v>
      </c>
    </row>
    <row r="31" spans="2:21" x14ac:dyDescent="0.35">
      <c r="E31" s="9" t="str">
        <v>EPSG</v>
      </c>
      <c r="F31" s="7" t="str">
        <v>2028</v>
      </c>
      <c r="G31" t="str">
        <v>ProjectedCrs</v>
      </c>
      <c r="H31" t="str">
        <v>Transverse Mercator</v>
      </c>
      <c r="I31" t="str">
        <v>NAD27(76) / UTM zone 16N</v>
      </c>
      <c r="J31" t="str">
        <v>Canada - Ontario - between 90°W and 84°W.</v>
      </c>
      <c r="K31" s="11">
        <v>0</v>
      </c>
      <c r="M31" s="2" t="str">
        <v>crast</v>
      </c>
      <c r="N31" t="str">
        <v>Projection</v>
      </c>
      <c r="O31" t="str">
        <v>Craster Parabolic (Putnins P4)</v>
      </c>
      <c r="P31" t="str">
        <v xml:space="preserve">	PCyl, Sph</v>
      </c>
      <c r="Q31" s="11">
        <v>0</v>
      </c>
      <c r="S31" s="2" t="str">
        <v>Galatea</v>
      </c>
      <c r="T31" s="7" t="str">
        <v>ESRI</v>
      </c>
      <c r="U31" s="11" t="b">
        <v>0</v>
      </c>
    </row>
    <row r="32" spans="2:21" x14ac:dyDescent="0.35">
      <c r="E32" s="9" t="str">
        <v>EPSG</v>
      </c>
      <c r="F32" s="7" t="str">
        <v>2029</v>
      </c>
      <c r="G32" t="str">
        <v>ProjectedCrs</v>
      </c>
      <c r="H32" t="str">
        <v>Transverse Mercator</v>
      </c>
      <c r="I32" t="str">
        <v>NAD27(76) / UTM zone 17N</v>
      </c>
      <c r="J32" t="str">
        <v>Canada - Ontario - between 84°W and 78°W.</v>
      </c>
      <c r="K32" s="11">
        <v>0</v>
      </c>
      <c r="M32" s="2" t="str">
        <v>defmodel</v>
      </c>
      <c r="N32" t="str">
        <v>Transformation</v>
      </c>
      <c r="O32" t="str">
        <v>Deformation model</v>
      </c>
      <c r="P32" t="str">
        <v>&lt;not available&gt;</v>
      </c>
      <c r="Q32" s="11">
        <v>0</v>
      </c>
      <c r="S32" s="2" t="str">
        <v>Ganymede</v>
      </c>
      <c r="T32" s="7" t="str">
        <v>ESRI</v>
      </c>
      <c r="U32" s="11" t="b">
        <v>0</v>
      </c>
    </row>
    <row r="33" spans="5:21" x14ac:dyDescent="0.35">
      <c r="E33" s="9" t="str">
        <v>EPSG</v>
      </c>
      <c r="F33" s="7" t="str">
        <v>2030</v>
      </c>
      <c r="G33" t="str">
        <v>ProjectedCrs</v>
      </c>
      <c r="H33" t="str">
        <v>Transverse Mercator</v>
      </c>
      <c r="I33" t="str">
        <v>NAD27(76) / UTM zone 18N</v>
      </c>
      <c r="J33" t="str">
        <v>Canada - Ontario - east of 78°W.</v>
      </c>
      <c r="K33" s="11">
        <v>0</v>
      </c>
      <c r="M33" s="2" t="str">
        <v>deformation</v>
      </c>
      <c r="N33" t="str">
        <v>Transformation</v>
      </c>
      <c r="O33" t="str">
        <v>Kinematic grid shift</v>
      </c>
      <c r="P33" t="str">
        <v>&lt;not available&gt;</v>
      </c>
      <c r="Q33" s="11">
        <v>0</v>
      </c>
      <c r="S33" s="2" t="str">
        <v>Helene</v>
      </c>
      <c r="T33" s="7" t="str">
        <v>ESRI</v>
      </c>
      <c r="U33" s="11" t="b">
        <v>0</v>
      </c>
    </row>
    <row r="34" spans="5:21" x14ac:dyDescent="0.35">
      <c r="E34" s="9" t="str">
        <v>EPSG</v>
      </c>
      <c r="F34" s="7" t="str">
        <v>2031</v>
      </c>
      <c r="G34" t="str">
        <v>ProjectedCrs</v>
      </c>
      <c r="H34" t="str">
        <v>Transverse Mercator</v>
      </c>
      <c r="I34" t="str">
        <v>NAD27(CGQ77) / UTM zone 17N</v>
      </c>
      <c r="J34" t="str">
        <v>Canada - Quebec - west of 78°W.</v>
      </c>
      <c r="K34" s="11">
        <v>0</v>
      </c>
      <c r="M34" s="2" t="str">
        <v>denoy</v>
      </c>
      <c r="N34" t="str">
        <v>Projection</v>
      </c>
      <c r="O34" t="str">
        <v>Denoyer Semi-Elliptical</v>
      </c>
      <c r="P34" t="str">
        <v xml:space="preserve">	PCyl, no inv, Sph</v>
      </c>
      <c r="Q34" s="11">
        <v>0</v>
      </c>
      <c r="S34" s="2" t="str">
        <v>Himalia</v>
      </c>
      <c r="T34" s="7" t="str">
        <v>ESRI</v>
      </c>
      <c r="U34" s="11" t="b">
        <v>0</v>
      </c>
    </row>
    <row r="35" spans="5:21" x14ac:dyDescent="0.35">
      <c r="E35" s="9" t="str">
        <v>EPSG</v>
      </c>
      <c r="F35" s="7" t="str">
        <v>2032</v>
      </c>
      <c r="G35" t="str">
        <v>ProjectedCrs</v>
      </c>
      <c r="H35" t="str">
        <v>Transverse Mercator</v>
      </c>
      <c r="I35" t="str">
        <v>NAD27(CGQ77) / UTM zone 18N</v>
      </c>
      <c r="J35" t="str">
        <v>Canada - Quebec - between 78°W and 72°W.</v>
      </c>
      <c r="K35" s="11">
        <v>0</v>
      </c>
      <c r="M35" s="2" t="str">
        <v>eck1</v>
      </c>
      <c r="N35" t="str">
        <v>Projection</v>
      </c>
      <c r="O35" t="str">
        <v>Eckert I</v>
      </c>
      <c r="P35" t="str">
        <v xml:space="preserve">	PCyl, Sph</v>
      </c>
      <c r="Q35" s="11">
        <v>0</v>
      </c>
      <c r="S35" s="2" t="str">
        <v>Hyperion</v>
      </c>
      <c r="T35" s="7" t="str">
        <v>ESRI</v>
      </c>
      <c r="U35" s="11" t="b">
        <v>0</v>
      </c>
    </row>
    <row r="36" spans="5:21" x14ac:dyDescent="0.35">
      <c r="E36" s="9" t="str">
        <v>EPSG</v>
      </c>
      <c r="F36" s="7" t="str">
        <v>2033</v>
      </c>
      <c r="G36" t="str">
        <v>ProjectedCrs</v>
      </c>
      <c r="H36" t="str">
        <v>Transverse Mercator</v>
      </c>
      <c r="I36" t="str">
        <v>NAD27(CGQ77) / UTM zone 19N</v>
      </c>
      <c r="J36" t="str">
        <v>Canada - Quebec - between 72°W and 66°W.</v>
      </c>
      <c r="K36" s="11">
        <v>0</v>
      </c>
      <c r="M36" s="2" t="str">
        <v>eck2</v>
      </c>
      <c r="N36" t="str">
        <v>Projection</v>
      </c>
      <c r="O36" t="str">
        <v>Eckert II</v>
      </c>
      <c r="P36" t="str">
        <v xml:space="preserve">	PCyl, Sph</v>
      </c>
      <c r="Q36" s="11">
        <v>0</v>
      </c>
      <c r="S36" s="2" t="str">
        <v>Iapetus</v>
      </c>
      <c r="T36" s="7" t="str">
        <v>ESRI</v>
      </c>
      <c r="U36" s="11" t="b">
        <v>0</v>
      </c>
    </row>
    <row r="37" spans="5:21" x14ac:dyDescent="0.35">
      <c r="E37" s="9" t="str">
        <v>EPSG</v>
      </c>
      <c r="F37" s="7" t="str">
        <v>2034</v>
      </c>
      <c r="G37" t="str">
        <v>ProjectedCrs</v>
      </c>
      <c r="H37" t="str">
        <v>Transverse Mercator</v>
      </c>
      <c r="I37" t="str">
        <v>NAD27(CGQ77) / UTM zone 20N</v>
      </c>
      <c r="J37" t="str">
        <v>Canada - Quebec - between 66°W and 60°W.</v>
      </c>
      <c r="K37" s="11">
        <v>0</v>
      </c>
      <c r="M37" s="2" t="str">
        <v>eck3</v>
      </c>
      <c r="N37" t="str">
        <v>Projection</v>
      </c>
      <c r="O37" t="str">
        <v>Eckert III</v>
      </c>
      <c r="P37" t="str">
        <v xml:space="preserve">	PCyl, Sph</v>
      </c>
      <c r="Q37" s="11">
        <v>0</v>
      </c>
      <c r="S37" s="2" t="str">
        <v>Io</v>
      </c>
      <c r="T37" s="7" t="str">
        <v>ESRI</v>
      </c>
      <c r="U37" s="11" t="b">
        <v>0</v>
      </c>
    </row>
    <row r="38" spans="5:21" x14ac:dyDescent="0.35">
      <c r="E38" s="9" t="str">
        <v>EPSG</v>
      </c>
      <c r="F38" s="7" t="str">
        <v>2035</v>
      </c>
      <c r="G38" t="str">
        <v>ProjectedCrs</v>
      </c>
      <c r="H38" t="str">
        <v>Transverse Mercator</v>
      </c>
      <c r="I38" t="str">
        <v>NAD27(CGQ77) / UTM zone 21N</v>
      </c>
      <c r="J38" t="str">
        <v>Canada - Quebec - east of 60°W.</v>
      </c>
      <c r="K38" s="11">
        <v>0</v>
      </c>
      <c r="M38" s="2" t="str">
        <v>eck4</v>
      </c>
      <c r="N38" t="str">
        <v>Projection</v>
      </c>
      <c r="O38" t="str">
        <v>Eckert IV</v>
      </c>
      <c r="P38" t="str">
        <v xml:space="preserve">	PCyl, Sph</v>
      </c>
      <c r="Q38" s="11">
        <v>0</v>
      </c>
      <c r="S38" s="2" t="str">
        <v>Janus</v>
      </c>
      <c r="T38" s="7" t="str">
        <v>ESRI</v>
      </c>
      <c r="U38" s="11" t="b">
        <v>0</v>
      </c>
    </row>
    <row r="39" spans="5:21" x14ac:dyDescent="0.35">
      <c r="E39" s="9" t="str">
        <v>EPSG</v>
      </c>
      <c r="F39" s="7" t="str">
        <v>2039</v>
      </c>
      <c r="G39" t="str">
        <v>ProjectedCrs</v>
      </c>
      <c r="H39" t="str">
        <v>Transverse Mercator</v>
      </c>
      <c r="I39" t="str">
        <v>Israel 1993 / Israeli TM Grid</v>
      </c>
      <c r="J39" t="str">
        <v>Israel - onshore; Palestine Territory - onshore.</v>
      </c>
      <c r="K39" s="11">
        <v>0</v>
      </c>
      <c r="M39" s="2" t="str">
        <v>eck5</v>
      </c>
      <c r="N39" t="str">
        <v>Projection</v>
      </c>
      <c r="O39" t="str">
        <v>Eckert V</v>
      </c>
      <c r="P39" t="str">
        <v xml:space="preserve">	PCyl, Sph</v>
      </c>
      <c r="Q39" s="11">
        <v>0</v>
      </c>
      <c r="S39" s="2" t="str">
        <v>Juliet</v>
      </c>
      <c r="T39" s="7" t="str">
        <v>ESRI</v>
      </c>
      <c r="U39" s="11" t="b">
        <v>0</v>
      </c>
    </row>
    <row r="40" spans="5:21" x14ac:dyDescent="0.35">
      <c r="E40" s="9" t="str">
        <v>EPSG</v>
      </c>
      <c r="F40" s="7" t="str">
        <v>2040</v>
      </c>
      <c r="G40" t="str">
        <v>ProjectedCrs</v>
      </c>
      <c r="H40" t="str">
        <v>Transverse Mercator</v>
      </c>
      <c r="I40" t="str">
        <v>Locodjo 1965 / UTM zone 30N</v>
      </c>
      <c r="J40" t="str">
        <v>Côte d'Ivoire (Ivory Coast) east of 6°W.</v>
      </c>
      <c r="K40" s="11">
        <v>0</v>
      </c>
      <c r="M40" s="2" t="str">
        <v>eck6</v>
      </c>
      <c r="N40" t="str">
        <v>Projection</v>
      </c>
      <c r="O40" t="str">
        <v>Eckert VI</v>
      </c>
      <c r="P40" t="str">
        <v xml:space="preserve">	PCyl, Sph</v>
      </c>
      <c r="Q40" s="11">
        <v>0</v>
      </c>
      <c r="S40" s="2" t="str">
        <v>Jupiter</v>
      </c>
      <c r="T40" s="7" t="str">
        <v>ESRI</v>
      </c>
      <c r="U40" s="11" t="b">
        <v>0</v>
      </c>
    </row>
    <row r="41" spans="5:21" x14ac:dyDescent="0.35">
      <c r="E41" s="9" t="str">
        <v>EPSG</v>
      </c>
      <c r="F41" s="7" t="str">
        <v>2041</v>
      </c>
      <c r="G41" t="str">
        <v>ProjectedCrs</v>
      </c>
      <c r="H41" t="str">
        <v>Transverse Mercator</v>
      </c>
      <c r="I41" t="str">
        <v>Abidjan 1987 / UTM zone 30N</v>
      </c>
      <c r="J41" t="str">
        <v>Côte d'Ivoire (Ivory Coast) east of 6°W.</v>
      </c>
      <c r="K41" s="11">
        <v>0</v>
      </c>
      <c r="M41" s="2" t="str">
        <v>eqearth</v>
      </c>
      <c r="N41" t="str">
        <v>Projection</v>
      </c>
      <c r="O41" t="str">
        <v>Equal Earth</v>
      </c>
      <c r="P41" t="str">
        <v xml:space="preserve">	PCyl, Sph&amp;Ell</v>
      </c>
      <c r="Q41" s="11">
        <v>0</v>
      </c>
      <c r="S41" s="2" t="str">
        <v>Larissa</v>
      </c>
      <c r="T41" s="7" t="str">
        <v>ESRI</v>
      </c>
      <c r="U41" s="11" t="b">
        <v>0</v>
      </c>
    </row>
    <row r="42" spans="5:21" x14ac:dyDescent="0.35">
      <c r="E42" s="9" t="str">
        <v>EPSG</v>
      </c>
      <c r="F42" s="7" t="str">
        <v>2042</v>
      </c>
      <c r="G42" t="str">
        <v>ProjectedCrs</v>
      </c>
      <c r="H42" t="str">
        <v>Transverse Mercator</v>
      </c>
      <c r="I42" t="str">
        <v>Locodjo 1965 / UTM zone 29N</v>
      </c>
      <c r="J42" t="str">
        <v>Côte d'Ivoire (Ivory Coast) west of 6°W.</v>
      </c>
      <c r="K42" s="11">
        <v>0</v>
      </c>
      <c r="M42" s="2" t="str">
        <v>eqc</v>
      </c>
      <c r="N42" t="str">
        <v>Projection</v>
      </c>
      <c r="O42" t="str">
        <v>Equidistant Cylindrical (Plate Carree)</v>
      </c>
      <c r="P42" t="str">
        <v xml:space="preserve">	Cyl, Sph
	lat_ts=[, lat_0=0]</v>
      </c>
      <c r="Q42" s="11">
        <v>1</v>
      </c>
      <c r="S42" s="2" t="str">
        <v>Leda</v>
      </c>
      <c r="T42" s="7" t="str">
        <v>ESRI</v>
      </c>
      <c r="U42" s="11" t="b">
        <v>0</v>
      </c>
    </row>
    <row r="43" spans="5:21" x14ac:dyDescent="0.35">
      <c r="E43" s="9" t="str">
        <v>EPSG</v>
      </c>
      <c r="F43" s="7" t="str">
        <v>2043</v>
      </c>
      <c r="G43" t="str">
        <v>ProjectedCrs</v>
      </c>
      <c r="H43" t="str">
        <v>Transverse Mercator</v>
      </c>
      <c r="I43" t="str">
        <v>Abidjan 1987 / UTM zone 29N</v>
      </c>
      <c r="J43" t="str">
        <v>Côte d'Ivoire (Ivory Coast) west of 6°W.</v>
      </c>
      <c r="K43" s="11">
        <v>0</v>
      </c>
      <c r="M43" s="2" t="str">
        <v>eqdc</v>
      </c>
      <c r="N43" t="str">
        <v>Projection</v>
      </c>
      <c r="O43" t="str">
        <v>Equidistant Conic</v>
      </c>
      <c r="P43" t="str">
        <v xml:space="preserve">	Conic, Sph&amp;Ell
	lat_1= lat_2=</v>
      </c>
      <c r="Q43" s="11">
        <v>2</v>
      </c>
      <c r="S43" s="2" t="str">
        <v>Lysithea</v>
      </c>
      <c r="T43" s="7" t="str">
        <v>ESRI</v>
      </c>
      <c r="U43" s="11" t="b">
        <v>0</v>
      </c>
    </row>
    <row r="44" spans="5:21" x14ac:dyDescent="0.35">
      <c r="E44" s="9" t="str">
        <v>EPSG</v>
      </c>
      <c r="F44" s="7" t="str">
        <v>2044</v>
      </c>
      <c r="G44" t="str">
        <v>ProjectedCrs</v>
      </c>
      <c r="H44" t="str">
        <v>Transverse Mercator</v>
      </c>
      <c r="I44" t="str">
        <v>Hanoi 1972 / Gauss-Kruger zone 18</v>
      </c>
      <c r="J44" t="str">
        <v>Vietnam - onshore west of 108°E.</v>
      </c>
      <c r="K44" s="11">
        <v>0</v>
      </c>
      <c r="M44" s="2" t="str">
        <v>euler</v>
      </c>
      <c r="N44" t="str">
        <v>Projection</v>
      </c>
      <c r="O44" t="str">
        <v>Euler</v>
      </c>
      <c r="P44" t="str">
        <v xml:space="preserve">	Conic, Sph
	lat_1= and lat_2=</v>
      </c>
      <c r="Q44" s="11">
        <v>2</v>
      </c>
      <c r="S44" s="2" t="str">
        <v>Mars</v>
      </c>
      <c r="T44" s="7" t="str">
        <v>ESRI</v>
      </c>
      <c r="U44" s="11" t="b">
        <v>0</v>
      </c>
    </row>
    <row r="45" spans="5:21" x14ac:dyDescent="0.35">
      <c r="E45" s="9" t="str">
        <v>EPSG</v>
      </c>
      <c r="F45" s="7" t="str">
        <v>2045</v>
      </c>
      <c r="G45" t="str">
        <v>ProjectedCrs</v>
      </c>
      <c r="H45" t="str">
        <v>Transverse Mercator</v>
      </c>
      <c r="I45" t="str">
        <v>Hanoi 1972 / Gauss-Kruger zone 19</v>
      </c>
      <c r="J45" t="str">
        <v>Vietnam - onshore east of 108°E.</v>
      </c>
      <c r="K45" s="11">
        <v>0</v>
      </c>
      <c r="M45" s="2" t="str">
        <v>etmerc</v>
      </c>
      <c r="N45" t="str">
        <v>Projection</v>
      </c>
      <c r="O45" t="str">
        <v>Extended Transverse Mercator</v>
      </c>
      <c r="P45" t="str">
        <v xml:space="preserve">	Cyl, Sph</v>
      </c>
      <c r="Q45" s="11">
        <v>0</v>
      </c>
      <c r="S45" s="2" t="str">
        <v>Mercury</v>
      </c>
      <c r="T45" s="7" t="str">
        <v>ESRI</v>
      </c>
      <c r="U45" s="11" t="b">
        <v>0</v>
      </c>
    </row>
    <row r="46" spans="5:21" x14ac:dyDescent="0.35">
      <c r="E46" s="9" t="str">
        <v>EPSG</v>
      </c>
      <c r="F46" s="7" t="str">
        <v>2046</v>
      </c>
      <c r="G46" t="str">
        <v>ProjectedCrs</v>
      </c>
      <c r="H46" t="str">
        <v>Transverse Mercator (South Orientated)</v>
      </c>
      <c r="I46" t="str">
        <v>Hartebeesthoek94 / Lo15</v>
      </c>
      <c r="J46" t="str">
        <v>Namibia - Walvis Bay.</v>
      </c>
      <c r="K46" s="11">
        <v>0</v>
      </c>
      <c r="M46" s="2" t="str">
        <v>fahey</v>
      </c>
      <c r="N46" t="str">
        <v>Projection</v>
      </c>
      <c r="O46" t="str">
        <v>Fahey</v>
      </c>
      <c r="P46" t="str">
        <v xml:space="preserve">	Pcyl, Sph</v>
      </c>
      <c r="Q46" s="11">
        <v>0</v>
      </c>
      <c r="S46" s="2" t="str">
        <v>Methone</v>
      </c>
      <c r="T46" s="7" t="str">
        <v>ESRI</v>
      </c>
      <c r="U46" s="11" t="b">
        <v>0</v>
      </c>
    </row>
    <row r="47" spans="5:21" x14ac:dyDescent="0.35">
      <c r="E47" s="9" t="str">
        <v>EPSG</v>
      </c>
      <c r="F47" s="7" t="str">
        <v>2047</v>
      </c>
      <c r="G47" t="str">
        <v>ProjectedCrs</v>
      </c>
      <c r="H47" t="str">
        <v>Transverse Mercator (South Orientated)</v>
      </c>
      <c r="I47" t="str">
        <v>Hartebeesthoek94 / Lo17</v>
      </c>
      <c r="J47" t="str">
        <v>South Africa - onshore west of 18°E.</v>
      </c>
      <c r="K47" s="11">
        <v>0</v>
      </c>
      <c r="M47" s="2" t="str">
        <v>fouc</v>
      </c>
      <c r="N47" t="str">
        <v>Projection</v>
      </c>
      <c r="O47" t="str">
        <v>Foucaut</v>
      </c>
      <c r="P47" t="str">
        <v xml:space="preserve">	PCyl, Sph</v>
      </c>
      <c r="Q47" s="11">
        <v>0</v>
      </c>
      <c r="S47" s="2" t="str">
        <v>Metis</v>
      </c>
      <c r="T47" s="7" t="str">
        <v>ESRI</v>
      </c>
      <c r="U47" s="11" t="b">
        <v>0</v>
      </c>
    </row>
    <row r="48" spans="5:21" x14ac:dyDescent="0.35">
      <c r="E48" s="9" t="str">
        <v>EPSG</v>
      </c>
      <c r="F48" s="7" t="str">
        <v>2048</v>
      </c>
      <c r="G48" t="str">
        <v>ProjectedCrs</v>
      </c>
      <c r="H48" t="str">
        <v>Transverse Mercator (South Orientated)</v>
      </c>
      <c r="I48" t="str">
        <v>Hartebeesthoek94 / Lo19</v>
      </c>
      <c r="J48" t="str">
        <v>South Africa - onshore between 18°E and 20°E.</v>
      </c>
      <c r="K48" s="11">
        <v>0</v>
      </c>
      <c r="M48" s="2" t="str">
        <v>fouc_s</v>
      </c>
      <c r="N48" t="str">
        <v>Projection</v>
      </c>
      <c r="O48" t="str">
        <v>Foucaut Sinusoidal</v>
      </c>
      <c r="P48" t="str">
        <v xml:space="preserve">	PCyl, Sph</v>
      </c>
      <c r="Q48" s="11">
        <v>0</v>
      </c>
      <c r="S48" s="2" t="str">
        <v>Mimas</v>
      </c>
      <c r="T48" s="7" t="str">
        <v>ESRI</v>
      </c>
      <c r="U48" s="11" t="b">
        <v>0</v>
      </c>
    </row>
    <row r="49" spans="5:21" x14ac:dyDescent="0.35">
      <c r="E49" s="9" t="str">
        <v>EPSG</v>
      </c>
      <c r="F49" s="7" t="str">
        <v>2049</v>
      </c>
      <c r="G49" t="str">
        <v>ProjectedCrs</v>
      </c>
      <c r="H49" t="str">
        <v>Transverse Mercator (South Orientated)</v>
      </c>
      <c r="I49" t="str">
        <v>Hartebeesthoek94 / Lo21</v>
      </c>
      <c r="J49" t="str">
        <v>South Africa - onshore between 20°E and 22°E.</v>
      </c>
      <c r="K49" s="11">
        <v>0</v>
      </c>
      <c r="M49" s="2" t="str">
        <v>gall</v>
      </c>
      <c r="N49" t="str">
        <v>Projection</v>
      </c>
      <c r="O49" t="str">
        <v>Gall (Gall Stereographic)</v>
      </c>
      <c r="P49" t="str">
        <v xml:space="preserve">	Cyl, Sph</v>
      </c>
      <c r="Q49" s="11">
        <v>0</v>
      </c>
      <c r="S49" s="2" t="str">
        <v>Miranda</v>
      </c>
      <c r="T49" s="7" t="str">
        <v>ESRI</v>
      </c>
      <c r="U49" s="11" t="b">
        <v>0</v>
      </c>
    </row>
    <row r="50" spans="5:21" x14ac:dyDescent="0.35">
      <c r="E50" s="9" t="str">
        <v>EPSG</v>
      </c>
      <c r="F50" s="7" t="str">
        <v>2050</v>
      </c>
      <c r="G50" t="str">
        <v>ProjectedCrs</v>
      </c>
      <c r="H50" t="str">
        <v>Transverse Mercator (South Orientated)</v>
      </c>
      <c r="I50" t="str">
        <v>Hartebeesthoek94 / Lo23</v>
      </c>
      <c r="J50" t="str">
        <v>South Africa - onshore between 22°E and 24°E.</v>
      </c>
      <c r="K50" s="11">
        <v>0</v>
      </c>
      <c r="M50" s="2" t="str">
        <v>geoc</v>
      </c>
      <c r="N50" t="str">
        <v>Transformation</v>
      </c>
      <c r="O50" t="str">
        <v>Geocentric Latitude</v>
      </c>
      <c r="P50" t="str">
        <v>&lt;not available&gt;</v>
      </c>
      <c r="Q50" s="11">
        <v>0</v>
      </c>
      <c r="S50" s="2" t="str">
        <v>Moon</v>
      </c>
      <c r="T50" s="7" t="str">
        <v>ESRI</v>
      </c>
      <c r="U50" s="11" t="b">
        <v>0</v>
      </c>
    </row>
    <row r="51" spans="5:21" x14ac:dyDescent="0.35">
      <c r="E51" s="9" t="str">
        <v>EPSG</v>
      </c>
      <c r="F51" s="7" t="str">
        <v>2051</v>
      </c>
      <c r="G51" t="str">
        <v>ProjectedCrs</v>
      </c>
      <c r="H51" t="str">
        <v>Transverse Mercator (South Orientated)</v>
      </c>
      <c r="I51" t="str">
        <v>Hartebeesthoek94 / Lo25</v>
      </c>
      <c r="J51" t="str">
        <v>South Africa - onshore between 24°E and 26°E.</v>
      </c>
      <c r="K51" s="11">
        <v>0</v>
      </c>
      <c r="M51" s="2" t="str">
        <v>geocent</v>
      </c>
      <c r="N51" t="str">
        <v>Transformation</v>
      </c>
      <c r="O51" t="str">
        <v>Geocentric</v>
      </c>
      <c r="P51" t="str">
        <v>&lt;not available&gt;</v>
      </c>
      <c r="Q51" s="11">
        <v>0</v>
      </c>
      <c r="S51" s="2" t="str">
        <v>Naiad</v>
      </c>
      <c r="T51" s="7" t="str">
        <v>ESRI</v>
      </c>
      <c r="U51" s="11" t="b">
        <v>0</v>
      </c>
    </row>
    <row r="52" spans="5:21" x14ac:dyDescent="0.35">
      <c r="E52" s="9" t="str">
        <v>EPSG</v>
      </c>
      <c r="F52" s="7" t="str">
        <v>2052</v>
      </c>
      <c r="G52" t="str">
        <v>ProjectedCrs</v>
      </c>
      <c r="H52" t="str">
        <v>Transverse Mercator (South Orientated)</v>
      </c>
      <c r="I52" t="str">
        <v>Hartebeesthoek94 / Lo27</v>
      </c>
      <c r="J52" t="str">
        <v>Lesotho - west of 28°E. South Africa - onshore between 26°E and 28°E.</v>
      </c>
      <c r="K52" s="11">
        <v>0</v>
      </c>
      <c r="M52" s="2" t="str">
        <v>geogoffset</v>
      </c>
      <c r="N52" t="str">
        <v>Transformation</v>
      </c>
      <c r="O52" t="str">
        <v>Geographic Offset</v>
      </c>
      <c r="P52" t="str">
        <v>&lt;not available&gt;</v>
      </c>
      <c r="Q52" s="11">
        <v>0</v>
      </c>
      <c r="S52" s="2" t="str">
        <v>Neptune</v>
      </c>
      <c r="T52" s="7" t="str">
        <v>ESRI</v>
      </c>
      <c r="U52" s="11" t="b">
        <v>0</v>
      </c>
    </row>
    <row r="53" spans="5:21" x14ac:dyDescent="0.35">
      <c r="E53" s="9" t="str">
        <v>EPSG</v>
      </c>
      <c r="F53" s="7" t="str">
        <v>2053</v>
      </c>
      <c r="G53" t="str">
        <v>ProjectedCrs</v>
      </c>
      <c r="H53" t="str">
        <v>Transverse Mercator (South Orientated)</v>
      </c>
      <c r="I53" t="str">
        <v>Hartebeesthoek94 / Lo29</v>
      </c>
      <c r="J53" t="str">
        <v>Lesotho - east of 28°E. South Africa - onshore between 28°E and 30°E.</v>
      </c>
      <c r="K53" s="11">
        <v>0</v>
      </c>
      <c r="M53" s="2" t="str">
        <v>geos</v>
      </c>
      <c r="N53" t="str">
        <v>Projection</v>
      </c>
      <c r="O53" t="str">
        <v>Geostationary Satellite View</v>
      </c>
      <c r="P53" t="str">
        <v xml:space="preserve">	Azi, Sph&amp;Ell
	h=</v>
      </c>
      <c r="Q53" s="11">
        <v>1</v>
      </c>
      <c r="S53" s="2" t="str">
        <v>Nereid</v>
      </c>
      <c r="T53" s="7" t="str">
        <v>ESRI</v>
      </c>
      <c r="U53" s="11" t="b">
        <v>0</v>
      </c>
    </row>
    <row r="54" spans="5:21" x14ac:dyDescent="0.35">
      <c r="E54" s="9" t="str">
        <v>EPSG</v>
      </c>
      <c r="F54" s="7" t="str">
        <v>2054</v>
      </c>
      <c r="G54" t="str">
        <v>ProjectedCrs</v>
      </c>
      <c r="H54" t="str">
        <v>Transverse Mercator (South Orientated)</v>
      </c>
      <c r="I54" t="str">
        <v>Hartebeesthoek94 / Lo31</v>
      </c>
      <c r="J54" t="str">
        <v>South Africa - onshore between 30°E and 32°E. Eswatini (Swaziland).</v>
      </c>
      <c r="K54" s="11">
        <v>0</v>
      </c>
      <c r="M54" s="2" t="str">
        <v>gins8</v>
      </c>
      <c r="N54" t="str">
        <v>Projection</v>
      </c>
      <c r="O54" t="str">
        <v>Ginsburg VIII (TsNIIGAiK)</v>
      </c>
      <c r="P54" t="str">
        <v xml:space="preserve">	PCyl, Sph, no inv</v>
      </c>
      <c r="Q54" s="11">
        <v>0</v>
      </c>
      <c r="S54" s="2" t="str">
        <v>Oberon</v>
      </c>
      <c r="T54" s="7" t="str">
        <v>ESRI</v>
      </c>
      <c r="U54" s="11" t="b">
        <v>0</v>
      </c>
    </row>
    <row r="55" spans="5:21" x14ac:dyDescent="0.35">
      <c r="E55" s="9" t="str">
        <v>EPSG</v>
      </c>
      <c r="F55" s="7" t="str">
        <v>2055</v>
      </c>
      <c r="G55" t="str">
        <v>ProjectedCrs</v>
      </c>
      <c r="H55" t="str">
        <v>Transverse Mercator (South Orientated)</v>
      </c>
      <c r="I55" t="str">
        <v>Hartebeesthoek94 / Lo33</v>
      </c>
      <c r="J55" t="str">
        <v>South Africa - east of 32°E.</v>
      </c>
      <c r="K55" s="11">
        <v>0</v>
      </c>
      <c r="M55" s="2" t="str">
        <v>gn_sinu</v>
      </c>
      <c r="N55" t="str">
        <v>Projection</v>
      </c>
      <c r="O55" t="str">
        <v>General Sinusoidal Series</v>
      </c>
      <c r="P55" t="str">
        <v xml:space="preserve">	PCyl, Sph
	m= n=</v>
      </c>
      <c r="Q55" s="11">
        <v>2</v>
      </c>
      <c r="S55" s="2" t="str">
        <v>Ophelia</v>
      </c>
      <c r="T55" s="7" t="str">
        <v>ESRI</v>
      </c>
      <c r="U55" s="11" t="b">
        <v>0</v>
      </c>
    </row>
    <row r="56" spans="5:21" x14ac:dyDescent="0.35">
      <c r="E56" s="9" t="str">
        <v>EPSG</v>
      </c>
      <c r="F56" s="7" t="str">
        <v>2056</v>
      </c>
      <c r="G56" t="str">
        <v>ProjectedCrs</v>
      </c>
      <c r="H56" t="str">
        <v>Hotine Oblique Mercator (variant B)</v>
      </c>
      <c r="I56" t="str">
        <v>CH1903+ / LV95</v>
      </c>
      <c r="J56" t="str">
        <v>Liechtenstein; Switzerland.</v>
      </c>
      <c r="K56" s="11">
        <v>0</v>
      </c>
      <c r="M56" s="2" t="str">
        <v>gnom</v>
      </c>
      <c r="N56" t="str">
        <v>Projection</v>
      </c>
      <c r="O56" t="str">
        <v>Gnomonic</v>
      </c>
      <c r="P56" t="str">
        <v xml:space="preserve">	Azi, Sph</v>
      </c>
      <c r="Q56" s="11">
        <v>0</v>
      </c>
      <c r="S56" s="2" t="str">
        <v>Pallene</v>
      </c>
      <c r="T56" s="7" t="str">
        <v>ESRI</v>
      </c>
      <c r="U56" s="11" t="b">
        <v>0</v>
      </c>
    </row>
    <row r="57" spans="5:21" x14ac:dyDescent="0.35">
      <c r="E57" s="9" t="str">
        <v>EPSG</v>
      </c>
      <c r="F57" s="7" t="str">
        <v>2057</v>
      </c>
      <c r="G57" t="str">
        <v>ProjectedCrs</v>
      </c>
      <c r="H57" t="str">
        <v>Hotine Oblique Mercator (variant B)</v>
      </c>
      <c r="I57" t="str">
        <v>Rassadiran / Nakhl e Taqi</v>
      </c>
      <c r="J57" t="str">
        <v>Iran - Taheri refinery site.</v>
      </c>
      <c r="K57" s="11">
        <v>0</v>
      </c>
      <c r="M57" s="2" t="str">
        <v>goode</v>
      </c>
      <c r="N57" t="str">
        <v>Projection</v>
      </c>
      <c r="O57" t="str">
        <v>Goode Homolosine</v>
      </c>
      <c r="P57" t="str">
        <v xml:space="preserve">	PCyl, Sph</v>
      </c>
      <c r="Q57" s="11">
        <v>0</v>
      </c>
      <c r="S57" s="2" t="str">
        <v>Pan</v>
      </c>
      <c r="T57" s="7" t="str">
        <v>ESRI</v>
      </c>
      <c r="U57" s="11" t="b">
        <v>0</v>
      </c>
    </row>
    <row r="58" spans="5:21" x14ac:dyDescent="0.35">
      <c r="E58" s="9" t="str">
        <v>EPSG</v>
      </c>
      <c r="F58" s="7" t="str">
        <v>2058</v>
      </c>
      <c r="G58" t="str">
        <v>ProjectedCrs</v>
      </c>
      <c r="H58" t="str">
        <v>Transverse Mercator</v>
      </c>
      <c r="I58" t="str">
        <v>ED50(ED77) / UTM zone 38N</v>
      </c>
      <c r="J58" t="str">
        <v>Iran - west of 48°E.</v>
      </c>
      <c r="K58" s="11">
        <v>0</v>
      </c>
      <c r="M58" s="2" t="str">
        <v>gridshift</v>
      </c>
      <c r="N58" t="str">
        <v>Transformation</v>
      </c>
      <c r="O58" t="str">
        <v>Generic grid shift</v>
      </c>
      <c r="P58" t="str">
        <v>&lt;not available&gt;</v>
      </c>
      <c r="Q58" s="11">
        <v>0</v>
      </c>
      <c r="S58" s="2" t="str">
        <v>Pandora</v>
      </c>
      <c r="T58" s="7" t="str">
        <v>ESRI</v>
      </c>
      <c r="U58" s="11" t="b">
        <v>0</v>
      </c>
    </row>
    <row r="59" spans="5:21" x14ac:dyDescent="0.35">
      <c r="E59" s="9" t="str">
        <v>EPSG</v>
      </c>
      <c r="F59" s="7" t="str">
        <v>2059</v>
      </c>
      <c r="G59" t="str">
        <v>ProjectedCrs</v>
      </c>
      <c r="H59" t="str">
        <v>Transverse Mercator</v>
      </c>
      <c r="I59" t="str">
        <v>ED50(ED77) / UTM zone 39N</v>
      </c>
      <c r="J59" t="str">
        <v>Iran - onshore and offshore between 48°E and 54°E.</v>
      </c>
      <c r="K59" s="11">
        <v>0</v>
      </c>
      <c r="M59" s="2" t="str">
        <v>gs48</v>
      </c>
      <c r="N59" t="str">
        <v>Projection</v>
      </c>
      <c r="O59" t="str">
        <v>Modified Stereographic of 48 U.S.</v>
      </c>
      <c r="P59" t="str">
        <v xml:space="preserve">	Azi(mod)</v>
      </c>
      <c r="Q59" s="11">
        <v>0</v>
      </c>
      <c r="S59" s="2" t="str">
        <v>Pasiphae</v>
      </c>
      <c r="T59" s="7" t="str">
        <v>ESRI</v>
      </c>
      <c r="U59" s="11" t="b">
        <v>0</v>
      </c>
    </row>
    <row r="60" spans="5:21" x14ac:dyDescent="0.35">
      <c r="E60" s="9" t="str">
        <v>EPSG</v>
      </c>
      <c r="F60" s="7" t="str">
        <v>2060</v>
      </c>
      <c r="G60" t="str">
        <v>ProjectedCrs</v>
      </c>
      <c r="H60" t="str">
        <v>Transverse Mercator</v>
      </c>
      <c r="I60" t="str">
        <v>ED50(ED77) / UTM zone 40N</v>
      </c>
      <c r="J60" t="str">
        <v>Iran - onshore between 54°E and 60°E, Gulf offshore between of 54°E and Strait of Hormuz.</v>
      </c>
      <c r="K60" s="11">
        <v>0</v>
      </c>
      <c r="M60" s="2" t="str">
        <v>gs50</v>
      </c>
      <c r="N60" t="str">
        <v>Projection</v>
      </c>
      <c r="O60" t="str">
        <v>Modified Stereographic of 50 U.S.</v>
      </c>
      <c r="P60" t="str">
        <v xml:space="preserve">	Azi(mod)</v>
      </c>
      <c r="Q60" s="11">
        <v>0</v>
      </c>
      <c r="S60" s="2" t="str">
        <v>Phobos</v>
      </c>
      <c r="T60" s="7" t="str">
        <v>ESRI</v>
      </c>
      <c r="U60" s="11" t="b">
        <v>0</v>
      </c>
    </row>
    <row r="61" spans="5:21" x14ac:dyDescent="0.35">
      <c r="E61" s="9" t="str">
        <v>EPSG</v>
      </c>
      <c r="F61" s="7" t="str">
        <v>2061</v>
      </c>
      <c r="G61" t="str">
        <v>ProjectedCrs</v>
      </c>
      <c r="H61" t="str">
        <v>Transverse Mercator</v>
      </c>
      <c r="I61" t="str">
        <v>ED50(ED77) / UTM zone 41N</v>
      </c>
      <c r="J61" t="str">
        <v>Iran - onshore east of 60°E.</v>
      </c>
      <c r="K61" s="11">
        <v>0</v>
      </c>
      <c r="M61" s="2" t="str">
        <v>guyou</v>
      </c>
      <c r="N61" t="str">
        <v>Projection</v>
      </c>
      <c r="O61" t="str">
        <v>Guyou</v>
      </c>
      <c r="P61" t="str">
        <v xml:space="preserve">	Misc Sph No inv</v>
      </c>
      <c r="Q61" s="11">
        <v>0</v>
      </c>
      <c r="S61" s="2" t="str">
        <v>Phoebe</v>
      </c>
      <c r="T61" s="7" t="str">
        <v>ESRI</v>
      </c>
      <c r="U61" s="11" t="b">
        <v>0</v>
      </c>
    </row>
    <row r="62" spans="5:21" x14ac:dyDescent="0.35">
      <c r="E62" s="9" t="str">
        <v>EPSG</v>
      </c>
      <c r="F62" s="7" t="str">
        <v>2062</v>
      </c>
      <c r="G62" t="str">
        <v>ProjectedCrs</v>
      </c>
      <c r="H62" t="str">
        <v>Lambert Conic Conformal (1SP)</v>
      </c>
      <c r="I62" t="str">
        <v>Madrid 1870 (Madrid) / Spain LCC</v>
      </c>
      <c r="J62" t="str">
        <v>Spain - mainland onshore.</v>
      </c>
      <c r="K62" s="11">
        <v>0</v>
      </c>
      <c r="M62" s="2" t="str">
        <v>hammer</v>
      </c>
      <c r="N62" t="str">
        <v>Projection</v>
      </c>
      <c r="O62" t="str">
        <v>Hammer &amp; Eckert-Greifendorff</v>
      </c>
      <c r="P62" t="str">
        <v xml:space="preserve">	Misc Sph, 
	W= M=</v>
      </c>
      <c r="Q62" s="11">
        <v>2</v>
      </c>
      <c r="S62" s="2" t="str">
        <v>Pluto</v>
      </c>
      <c r="T62" s="7" t="str">
        <v>ESRI</v>
      </c>
      <c r="U62" s="11" t="b">
        <v>0</v>
      </c>
    </row>
    <row r="63" spans="5:21" x14ac:dyDescent="0.35">
      <c r="E63" s="9" t="str">
        <v>EPSG</v>
      </c>
      <c r="F63" s="7" t="str">
        <v>2065</v>
      </c>
      <c r="G63" t="str">
        <v>ProjectedCrs</v>
      </c>
      <c r="H63" t="str">
        <v>Krovak</v>
      </c>
      <c r="I63" t="str">
        <v>S-JTSK (Ferro) / Krovak</v>
      </c>
      <c r="J63" t="str">
        <v>Czechia; Slovakia.</v>
      </c>
      <c r="K63" s="11">
        <v>0</v>
      </c>
      <c r="M63" s="2" t="str">
        <v>hatano</v>
      </c>
      <c r="N63" t="str">
        <v>Projection</v>
      </c>
      <c r="O63" t="str">
        <v>Hatano Asymmetrical Equal Area</v>
      </c>
      <c r="P63" t="str">
        <v xml:space="preserve">	PCyl, Sph</v>
      </c>
      <c r="Q63" s="11">
        <v>0</v>
      </c>
      <c r="S63" s="2" t="str">
        <v>Polydeuces</v>
      </c>
      <c r="T63" s="7" t="str">
        <v>ESRI</v>
      </c>
      <c r="U63" s="11" t="b">
        <v>0</v>
      </c>
    </row>
    <row r="64" spans="5:21" x14ac:dyDescent="0.35">
      <c r="E64" s="9" t="str">
        <v>EPSG</v>
      </c>
      <c r="F64" s="7" t="str">
        <v>2066</v>
      </c>
      <c r="G64" t="str">
        <v>ProjectedCrs</v>
      </c>
      <c r="H64" t="str">
        <v>Cassini-Soldner</v>
      </c>
      <c r="I64" t="str">
        <v>Mount Dillon / Tobago Grid</v>
      </c>
      <c r="J64" t="str">
        <v>Trinidad and Tobago - Tobago - onshore.</v>
      </c>
      <c r="K64" s="11">
        <v>0</v>
      </c>
      <c r="M64" s="2" t="str">
        <v>healpix</v>
      </c>
      <c r="N64" t="str">
        <v>Projection</v>
      </c>
      <c r="O64" t="str">
        <v>HEALPix</v>
      </c>
      <c r="P64" t="str">
        <v xml:space="preserve">	Sph&amp;Ell
	rot_xy=</v>
      </c>
      <c r="Q64" s="11">
        <v>1</v>
      </c>
      <c r="S64" s="2" t="str">
        <v>Portia</v>
      </c>
      <c r="T64" s="7" t="str">
        <v>ESRI</v>
      </c>
      <c r="U64" s="11" t="b">
        <v>0</v>
      </c>
    </row>
    <row r="65" spans="5:21" x14ac:dyDescent="0.35">
      <c r="E65" s="9" t="str">
        <v>EPSG</v>
      </c>
      <c r="F65" s="7" t="str">
        <v>2067</v>
      </c>
      <c r="G65" t="str">
        <v>ProjectedCrs</v>
      </c>
      <c r="H65" t="str">
        <v>Transverse Mercator</v>
      </c>
      <c r="I65" t="str">
        <v>Naparima 1955 / UTM zone 20N</v>
      </c>
      <c r="J65" t="str">
        <v>Trinidad and Tobago - Trinidad - onshore.</v>
      </c>
      <c r="K65" s="11">
        <v>0</v>
      </c>
      <c r="M65" s="2" t="str">
        <v>rhealpix</v>
      </c>
      <c r="N65" t="str">
        <v>Projection</v>
      </c>
      <c r="O65" t="str">
        <v>rHEALPix</v>
      </c>
      <c r="P65" t="str">
        <v xml:space="preserve">	Sph&amp;Ell
	north_square= south_square=</v>
      </c>
      <c r="Q65" s="11">
        <v>2</v>
      </c>
      <c r="S65" s="2" t="str">
        <v>Prometheus</v>
      </c>
      <c r="T65" s="7" t="str">
        <v>ESRI</v>
      </c>
      <c r="U65" s="11" t="b">
        <v>0</v>
      </c>
    </row>
    <row r="66" spans="5:21" x14ac:dyDescent="0.35">
      <c r="E66" s="9" t="str">
        <v>EPSG</v>
      </c>
      <c r="F66" s="7" t="str">
        <v>2068</v>
      </c>
      <c r="G66" t="str">
        <v>ProjectedCrs</v>
      </c>
      <c r="H66" t="str">
        <v>Transverse Mercator</v>
      </c>
      <c r="I66" t="str">
        <v>ELD79 / Libya zone 5</v>
      </c>
      <c r="J66" t="str">
        <v>Libya - west of 10°E.</v>
      </c>
      <c r="K66" s="11">
        <v>0</v>
      </c>
      <c r="M66" s="2" t="str">
        <v>helmert</v>
      </c>
      <c r="N66" t="str">
        <v>Transformation</v>
      </c>
      <c r="O66" t="str">
        <v>3(6)-, 4(8)- and 7(14)-parameter Helmert shift</v>
      </c>
      <c r="P66" t="str">
        <v>&lt;not available&gt;</v>
      </c>
      <c r="Q66" s="11">
        <v>0</v>
      </c>
      <c r="S66" s="2" t="str">
        <v>Proteus</v>
      </c>
      <c r="T66" s="7" t="str">
        <v>ESRI</v>
      </c>
      <c r="U66" s="11" t="b">
        <v>0</v>
      </c>
    </row>
    <row r="67" spans="5:21" x14ac:dyDescent="0.35">
      <c r="E67" s="9" t="str">
        <v>EPSG</v>
      </c>
      <c r="F67" s="7" t="str">
        <v>2069</v>
      </c>
      <c r="G67" t="str">
        <v>ProjectedCrs</v>
      </c>
      <c r="H67" t="str">
        <v>Transverse Mercator</v>
      </c>
      <c r="I67" t="str">
        <v>ELD79 / Libya zone 6</v>
      </c>
      <c r="J67" t="str">
        <v>Libya - onshore between 10°E and 12°E.</v>
      </c>
      <c r="K67" s="11">
        <v>0</v>
      </c>
      <c r="M67" s="2" t="str">
        <v>hgridshift</v>
      </c>
      <c r="N67" t="str">
        <v>Transformation</v>
      </c>
      <c r="O67" t="str">
        <v>Horizontal grid shift</v>
      </c>
      <c r="P67" t="str">
        <v>&lt;not available&gt;</v>
      </c>
      <c r="Q67" s="11">
        <v>0</v>
      </c>
      <c r="S67" s="2" t="str">
        <v>Puck</v>
      </c>
      <c r="T67" s="7" t="str">
        <v>ESRI</v>
      </c>
      <c r="U67" s="11" t="b">
        <v>0</v>
      </c>
    </row>
    <row r="68" spans="5:21" x14ac:dyDescent="0.35">
      <c r="E68" s="9" t="str">
        <v>EPSG</v>
      </c>
      <c r="F68" s="7" t="str">
        <v>2070</v>
      </c>
      <c r="G68" t="str">
        <v>ProjectedCrs</v>
      </c>
      <c r="H68" t="str">
        <v>Transverse Mercator</v>
      </c>
      <c r="I68" t="str">
        <v>ELD79 / Libya zone 7</v>
      </c>
      <c r="J68" t="str">
        <v>Libya - onshore between 12°E and 14°E.</v>
      </c>
      <c r="K68" s="11">
        <v>0</v>
      </c>
      <c r="M68" s="2" t="str">
        <v>horner</v>
      </c>
      <c r="N68" t="str">
        <v>Transformation</v>
      </c>
      <c r="O68" t="str">
        <v>Horner polynomial evaluation</v>
      </c>
      <c r="P68" t="str">
        <v>&lt;not available&gt;</v>
      </c>
      <c r="Q68" s="11">
        <v>0</v>
      </c>
      <c r="S68" s="2" t="str">
        <v>Rhea</v>
      </c>
      <c r="T68" s="7" t="str">
        <v>ESRI</v>
      </c>
      <c r="U68" s="11" t="b">
        <v>0</v>
      </c>
    </row>
    <row r="69" spans="5:21" x14ac:dyDescent="0.35">
      <c r="E69" s="9" t="str">
        <v>EPSG</v>
      </c>
      <c r="F69" s="7" t="str">
        <v>2071</v>
      </c>
      <c r="G69" t="str">
        <v>ProjectedCrs</v>
      </c>
      <c r="H69" t="str">
        <v>Transverse Mercator</v>
      </c>
      <c r="I69" t="str">
        <v>ELD79 / Libya zone 8</v>
      </c>
      <c r="J69" t="str">
        <v>Libya - onshore between 14°E and 16°E.</v>
      </c>
      <c r="K69" s="11">
        <v>0</v>
      </c>
      <c r="M69" s="2" t="str">
        <v>igh</v>
      </c>
      <c r="N69" t="str">
        <v>Projection</v>
      </c>
      <c r="O69" t="str">
        <v>Interrupted Goode Homolosine</v>
      </c>
      <c r="P69" t="str">
        <v xml:space="preserve">	PCyl, Sph</v>
      </c>
      <c r="Q69" s="11">
        <v>0</v>
      </c>
      <c r="S69" s="2" t="str">
        <v>Rosalind</v>
      </c>
      <c r="T69" s="7" t="str">
        <v>ESRI</v>
      </c>
      <c r="U69" s="11" t="b">
        <v>0</v>
      </c>
    </row>
    <row r="70" spans="5:21" x14ac:dyDescent="0.35">
      <c r="E70" s="9" t="str">
        <v>EPSG</v>
      </c>
      <c r="F70" s="7" t="str">
        <v>2072</v>
      </c>
      <c r="G70" t="str">
        <v>ProjectedCrs</v>
      </c>
      <c r="H70" t="str">
        <v>Transverse Mercator</v>
      </c>
      <c r="I70" t="str">
        <v>ELD79 / Libya zone 9</v>
      </c>
      <c r="J70" t="str">
        <v>Libya - onshore between 16°E and 18°E.</v>
      </c>
      <c r="K70" s="11">
        <v>0</v>
      </c>
      <c r="M70" s="2" t="str">
        <v>igh_o</v>
      </c>
      <c r="N70" t="str">
        <v>Projection</v>
      </c>
      <c r="O70" t="str">
        <v>Interrupted Goode Homolosine Oceanic View</v>
      </c>
      <c r="P70" t="str">
        <v xml:space="preserve">	PCyl, Sph</v>
      </c>
      <c r="Q70" s="11">
        <v>0</v>
      </c>
      <c r="S70" s="2" t="str">
        <v>Saturn</v>
      </c>
      <c r="T70" s="7" t="str">
        <v>ESRI</v>
      </c>
      <c r="U70" s="11" t="b">
        <v>0</v>
      </c>
    </row>
    <row r="71" spans="5:21" x14ac:dyDescent="0.35">
      <c r="E71" s="9" t="str">
        <v>EPSG</v>
      </c>
      <c r="F71" s="7" t="str">
        <v>2073</v>
      </c>
      <c r="G71" t="str">
        <v>ProjectedCrs</v>
      </c>
      <c r="H71" t="str">
        <v>Transverse Mercator</v>
      </c>
      <c r="I71" t="str">
        <v>ELD79 / Libya zone 10</v>
      </c>
      <c r="J71" t="str">
        <v>Libya - onshore between 18°E and 20°E.</v>
      </c>
      <c r="K71" s="11">
        <v>0</v>
      </c>
      <c r="M71" s="2" t="str">
        <v>imoll</v>
      </c>
      <c r="N71" t="str">
        <v>Projection</v>
      </c>
      <c r="O71" t="str">
        <v>Interrupted Mollweide</v>
      </c>
      <c r="P71" t="str">
        <v xml:space="preserve">	PCyl, Sph</v>
      </c>
      <c r="Q71" s="11">
        <v>0</v>
      </c>
      <c r="S71" s="2" t="str">
        <v>Sinope</v>
      </c>
      <c r="T71" s="7" t="str">
        <v>ESRI</v>
      </c>
      <c r="U71" s="11" t="b">
        <v>0</v>
      </c>
    </row>
    <row r="72" spans="5:21" x14ac:dyDescent="0.35">
      <c r="E72" s="9" t="str">
        <v>EPSG</v>
      </c>
      <c r="F72" s="7" t="str">
        <v>2074</v>
      </c>
      <c r="G72" t="str">
        <v>ProjectedCrs</v>
      </c>
      <c r="H72" t="str">
        <v>Transverse Mercator</v>
      </c>
      <c r="I72" t="str">
        <v>ELD79 / Libya zone 11</v>
      </c>
      <c r="J72" t="str">
        <v>Libya - onshore between 20°E and 22°E.</v>
      </c>
      <c r="K72" s="11">
        <v>0</v>
      </c>
      <c r="M72" s="2" t="str">
        <v>imoll_o</v>
      </c>
      <c r="N72" t="str">
        <v>Projection</v>
      </c>
      <c r="O72" t="str">
        <v>Interrupted Mollweide Oceanic View</v>
      </c>
      <c r="P72" t="str">
        <v xml:space="preserve">	PCyl, Sph</v>
      </c>
      <c r="Q72" s="11">
        <v>0</v>
      </c>
      <c r="S72" s="2" t="str">
        <v>Sun</v>
      </c>
      <c r="T72" s="7" t="str">
        <v>ESRI</v>
      </c>
      <c r="U72" s="11" t="b">
        <v>0</v>
      </c>
    </row>
    <row r="73" spans="5:21" x14ac:dyDescent="0.35">
      <c r="E73" s="9" t="str">
        <v>EPSG</v>
      </c>
      <c r="F73" s="7" t="str">
        <v>2075</v>
      </c>
      <c r="G73" t="str">
        <v>ProjectedCrs</v>
      </c>
      <c r="H73" t="str">
        <v>Transverse Mercator</v>
      </c>
      <c r="I73" t="str">
        <v>ELD79 / Libya zone 12</v>
      </c>
      <c r="J73" t="str">
        <v>Libya - onshore between 22°E and 24°E.</v>
      </c>
      <c r="K73" s="11">
        <v>0</v>
      </c>
      <c r="M73" s="2" t="str">
        <v>imw_p</v>
      </c>
      <c r="N73" t="str">
        <v>Projection</v>
      </c>
      <c r="O73" t="str">
        <v>International Map of the World Polyconic</v>
      </c>
      <c r="P73" t="str">
        <v xml:space="preserve">	Mod. Polyconic, Ell
	lat_1= and lat_2= [lon_1=]</v>
      </c>
      <c r="Q73" s="11">
        <v>2</v>
      </c>
      <c r="S73" s="2" t="str">
        <v>Telesto</v>
      </c>
      <c r="T73" s="7" t="str">
        <v>ESRI</v>
      </c>
      <c r="U73" s="11" t="b">
        <v>0</v>
      </c>
    </row>
    <row r="74" spans="5:21" x14ac:dyDescent="0.35">
      <c r="E74" s="9" t="str">
        <v>EPSG</v>
      </c>
      <c r="F74" s="7" t="str">
        <v>2076</v>
      </c>
      <c r="G74" t="str">
        <v>ProjectedCrs</v>
      </c>
      <c r="H74" t="str">
        <v>Transverse Mercator</v>
      </c>
      <c r="I74" t="str">
        <v>ELD79 / Libya zone 13</v>
      </c>
      <c r="J74" t="str">
        <v>Libya - onshore east of 24°E.</v>
      </c>
      <c r="K74" s="11">
        <v>0</v>
      </c>
      <c r="M74" s="2" t="str">
        <v>isea</v>
      </c>
      <c r="N74" t="str">
        <v>Projection</v>
      </c>
      <c r="O74" t="str">
        <v>Icosahedral Snyder Equal Area</v>
      </c>
      <c r="P74" t="str">
        <v xml:space="preserve">	Sph</v>
      </c>
      <c r="Q74" s="11">
        <v>0</v>
      </c>
      <c r="S74" s="2" t="str">
        <v>Tethys</v>
      </c>
      <c r="T74" s="7" t="str">
        <v>ESRI</v>
      </c>
      <c r="U74" s="11" t="b">
        <v>0</v>
      </c>
    </row>
    <row r="75" spans="5:21" x14ac:dyDescent="0.35">
      <c r="E75" s="9" t="str">
        <v>EPSG</v>
      </c>
      <c r="F75" s="7" t="str">
        <v>2077</v>
      </c>
      <c r="G75" t="str">
        <v>ProjectedCrs</v>
      </c>
      <c r="H75" t="str">
        <v>Transverse Mercator</v>
      </c>
      <c r="I75" t="str">
        <v>ELD79 / UTM zone 32N</v>
      </c>
      <c r="J75" t="str">
        <v>Libya - onshore west of 12°E.</v>
      </c>
      <c r="K75" s="11">
        <v>0</v>
      </c>
      <c r="M75" s="2" t="str">
        <v>kav5</v>
      </c>
      <c r="N75" t="str">
        <v>Projection</v>
      </c>
      <c r="O75" t="str">
        <v>Kavrayskiy V</v>
      </c>
      <c r="P75" t="str">
        <v xml:space="preserve">	PCyl, Sph</v>
      </c>
      <c r="Q75" s="11">
        <v>0</v>
      </c>
      <c r="S75" s="2" t="str">
        <v>Thalassa</v>
      </c>
      <c r="T75" s="7" t="str">
        <v>ESRI</v>
      </c>
      <c r="U75" s="11" t="b">
        <v>0</v>
      </c>
    </row>
    <row r="76" spans="5:21" x14ac:dyDescent="0.35">
      <c r="E76" s="9" t="str">
        <v>EPSG</v>
      </c>
      <c r="F76" s="7" t="str">
        <v>2078</v>
      </c>
      <c r="G76" t="str">
        <v>ProjectedCrs</v>
      </c>
      <c r="H76" t="str">
        <v>Transverse Mercator</v>
      </c>
      <c r="I76" t="str">
        <v>ELD79 / UTM zone 33N</v>
      </c>
      <c r="J76" t="str">
        <v>Libya - onshore between 12°E and 18°E.</v>
      </c>
      <c r="K76" s="11">
        <v>0</v>
      </c>
      <c r="M76" s="2" t="str">
        <v>kav7</v>
      </c>
      <c r="N76" t="str">
        <v>Projection</v>
      </c>
      <c r="O76" t="str">
        <v>Kavrayskiy VII</v>
      </c>
      <c r="P76" t="str">
        <v xml:space="preserve">	PCyl, Sph</v>
      </c>
      <c r="Q76" s="11">
        <v>0</v>
      </c>
      <c r="S76" s="2" t="str">
        <v>Thebe</v>
      </c>
      <c r="T76" s="7" t="str">
        <v>ESRI</v>
      </c>
      <c r="U76" s="11" t="b">
        <v>0</v>
      </c>
    </row>
    <row r="77" spans="5:21" x14ac:dyDescent="0.35">
      <c r="E77" s="9" t="str">
        <v>EPSG</v>
      </c>
      <c r="F77" s="7" t="str">
        <v>2079</v>
      </c>
      <c r="G77" t="str">
        <v>ProjectedCrs</v>
      </c>
      <c r="H77" t="str">
        <v>Transverse Mercator</v>
      </c>
      <c r="I77" t="str">
        <v>ELD79 / UTM zone 34N</v>
      </c>
      <c r="J77" t="str">
        <v>Libya - onshore between 18°E and 24°E.</v>
      </c>
      <c r="K77" s="11">
        <v>0</v>
      </c>
      <c r="M77" s="2" t="str">
        <v>krovak</v>
      </c>
      <c r="N77" t="str">
        <v>Projection</v>
      </c>
      <c r="O77" t="str">
        <v>Krovak</v>
      </c>
      <c r="P77" t="str">
        <v xml:space="preserve">	PCyl, Ell</v>
      </c>
      <c r="Q77" s="11">
        <v>0</v>
      </c>
      <c r="S77" s="2" t="str">
        <v>Titan</v>
      </c>
      <c r="T77" s="7" t="str">
        <v>ESRI</v>
      </c>
      <c r="U77" s="11" t="b">
        <v>0</v>
      </c>
    </row>
    <row r="78" spans="5:21" x14ac:dyDescent="0.35">
      <c r="E78" s="9" t="str">
        <v>EPSG</v>
      </c>
      <c r="F78" s="7" t="str">
        <v>2080</v>
      </c>
      <c r="G78" t="str">
        <v>ProjectedCrs</v>
      </c>
      <c r="H78" t="str">
        <v>Transverse Mercator</v>
      </c>
      <c r="I78" t="str">
        <v>ELD79 / UTM zone 35N</v>
      </c>
      <c r="J78" t="str">
        <v>Libya - onshore east of 24°E.</v>
      </c>
      <c r="K78" s="11">
        <v>0</v>
      </c>
      <c r="M78" s="2" t="str">
        <v>labrd</v>
      </c>
      <c r="N78" t="str">
        <v>Projection</v>
      </c>
      <c r="O78" t="str">
        <v>Laborde</v>
      </c>
      <c r="P78" t="str">
        <v xml:space="preserve">	Cyl, Sph
	Special for Madagascar
	lat_0=</v>
      </c>
      <c r="Q78" s="11">
        <v>1</v>
      </c>
      <c r="S78" s="2" t="str">
        <v>Titania</v>
      </c>
      <c r="T78" s="7" t="str">
        <v>ESRI</v>
      </c>
      <c r="U78" s="11" t="b">
        <v>0</v>
      </c>
    </row>
    <row r="79" spans="5:21" x14ac:dyDescent="0.35">
      <c r="E79" s="9" t="str">
        <v>EPSG</v>
      </c>
      <c r="F79" s="7" t="str">
        <v>2081</v>
      </c>
      <c r="G79" t="str">
        <v>ProjectedCrs</v>
      </c>
      <c r="H79" t="str">
        <v>Transverse Mercator</v>
      </c>
      <c r="I79" t="str">
        <v>Chos Malal 1914 / Argentina 2</v>
      </c>
      <c r="J79" t="str">
        <v>Argentina - Mendoza and Neuquen provinces between 70°30'W and 67°30'W - Neuquen and Cuyo basins.</v>
      </c>
      <c r="K79" s="11">
        <v>0</v>
      </c>
      <c r="M79" s="2" t="str">
        <v>laea</v>
      </c>
      <c r="N79" t="str">
        <v>Projection</v>
      </c>
      <c r="O79" t="str">
        <v>Lambert Azimuthal Equal Area</v>
      </c>
      <c r="P79" t="str">
        <v xml:space="preserve">	Azi, Sph&amp;Ell</v>
      </c>
      <c r="Q79" s="11">
        <v>0</v>
      </c>
      <c r="S79" s="2" t="str">
        <v>Triton</v>
      </c>
      <c r="T79" s="7" t="str">
        <v>ESRI</v>
      </c>
      <c r="U79" s="11" t="b">
        <v>0</v>
      </c>
    </row>
    <row r="80" spans="5:21" x14ac:dyDescent="0.35">
      <c r="E80" s="9" t="str">
        <v>EPSG</v>
      </c>
      <c r="F80" s="7" t="str">
        <v>2082</v>
      </c>
      <c r="G80" t="str">
        <v>ProjectedCrs</v>
      </c>
      <c r="H80" t="str">
        <v>Transverse Mercator</v>
      </c>
      <c r="I80" t="str">
        <v>Pampa del Castillo / Argentina 2</v>
      </c>
      <c r="J80" t="str">
        <v>Argentina - Chibut province between 70°30'W and 67°30'W and south of approximately 42°30'S and Santa Cruz province between 70°30'W and 67°30'W and north of approximately 50°20'S.</v>
      </c>
      <c r="K80" s="11">
        <v>0</v>
      </c>
      <c r="M80" s="2" t="str">
        <v>lagrng</v>
      </c>
      <c r="N80" t="str">
        <v>Projection</v>
      </c>
      <c r="O80" t="str">
        <v>Lagrange</v>
      </c>
      <c r="P80" t="str">
        <v xml:space="preserve">	Misc Sph
	W=</v>
      </c>
      <c r="Q80" s="11">
        <v>1</v>
      </c>
      <c r="S80" s="2" t="str">
        <v>Umbriel</v>
      </c>
      <c r="T80" s="7" t="str">
        <v>ESRI</v>
      </c>
      <c r="U80" s="11" t="b">
        <v>0</v>
      </c>
    </row>
    <row r="81" spans="5:21" x14ac:dyDescent="0.35">
      <c r="E81" s="9" t="str">
        <v>EPSG</v>
      </c>
      <c r="F81" s="7" t="str">
        <v>2083</v>
      </c>
      <c r="G81" t="str">
        <v>ProjectedCrs</v>
      </c>
      <c r="H81" t="str">
        <v>Transverse Mercator</v>
      </c>
      <c r="I81" t="str">
        <v>Hito XVIII 1963 / Argentina 2</v>
      </c>
      <c r="J81" t="str">
        <v>Argentina - Tierra del Fuego onshore west of 67°30'W.</v>
      </c>
      <c r="K81" s="11">
        <v>0</v>
      </c>
      <c r="M81" s="2" t="str">
        <v>larr</v>
      </c>
      <c r="N81" t="str">
        <v>Projection</v>
      </c>
      <c r="O81" t="str">
        <v>Larrivee</v>
      </c>
      <c r="P81" t="str">
        <v xml:space="preserve">	Misc Sph, no inv</v>
      </c>
      <c r="Q81" s="11">
        <v>0</v>
      </c>
      <c r="S81" s="2" t="str">
        <v>Uranus</v>
      </c>
      <c r="T81" s="7" t="str">
        <v>ESRI</v>
      </c>
      <c r="U81" s="11" t="b">
        <v>0</v>
      </c>
    </row>
    <row r="82" spans="5:21" x14ac:dyDescent="0.35">
      <c r="E82" s="9" t="str">
        <v>EPSG</v>
      </c>
      <c r="F82" s="7" t="str">
        <v>2084</v>
      </c>
      <c r="G82" t="str">
        <v>ProjectedCrs</v>
      </c>
      <c r="H82" t="str">
        <v>Transverse Mercator</v>
      </c>
      <c r="I82" t="str">
        <v>Hito XVIII 1963 / UTM zone 19S</v>
      </c>
      <c r="J82" t="str">
        <v>Argentina - Tierra del Fuego offshore Atlantic west of 66°W.</v>
      </c>
      <c r="K82" s="11">
        <v>0</v>
      </c>
      <c r="M82" s="2" t="str">
        <v>lask</v>
      </c>
      <c r="N82" t="str">
        <v>Projection</v>
      </c>
      <c r="O82" t="str">
        <v>Laskowski</v>
      </c>
      <c r="P82" t="str">
        <v xml:space="preserve">	Misc Sph, no inv</v>
      </c>
      <c r="Q82" s="11">
        <v>0</v>
      </c>
      <c r="S82" s="2" t="str">
        <v>Venus</v>
      </c>
      <c r="T82" s="7" t="str">
        <v>ESRI</v>
      </c>
      <c r="U82" s="11" t="b">
        <v>0</v>
      </c>
    </row>
    <row r="83" spans="5:21" x14ac:dyDescent="0.35">
      <c r="E83" s="9" t="str">
        <v>EPSG</v>
      </c>
      <c r="F83" s="7" t="str">
        <v>2087</v>
      </c>
      <c r="G83" t="str">
        <v>ProjectedCrs</v>
      </c>
      <c r="H83" t="str">
        <v>Transverse Mercator</v>
      </c>
      <c r="I83" t="str">
        <v>ELD79 / TM 12 NE</v>
      </c>
      <c r="J83" t="str">
        <v>Libya - onshore west of 15°E.</v>
      </c>
      <c r="K83" s="11">
        <v>0</v>
      </c>
      <c r="M83" s="2" t="str">
        <v>lonlat</v>
      </c>
      <c r="N83" t="str">
        <v>Transformation</v>
      </c>
      <c r="O83" t="str">
        <v>Lat/long (Geodetic)</v>
      </c>
      <c r="P83" t="str">
        <v>&lt;not available&gt;</v>
      </c>
      <c r="Q83" s="11">
        <v>0</v>
      </c>
      <c r="S83" s="2" t="str">
        <v>52 Europa</v>
      </c>
      <c r="T83" s="7" t="str">
        <v>IAU_2015</v>
      </c>
      <c r="U83" s="11" t="b">
        <v>0</v>
      </c>
    </row>
    <row r="84" spans="5:21" x14ac:dyDescent="0.35">
      <c r="E84" s="9" t="str">
        <v>EPSG</v>
      </c>
      <c r="F84" s="7" t="str">
        <v>2088</v>
      </c>
      <c r="G84" t="str">
        <v>ProjectedCrs</v>
      </c>
      <c r="H84" t="str">
        <v>Transverse Mercator</v>
      </c>
      <c r="I84" t="str">
        <v>Carthage / TM 11 NE</v>
      </c>
      <c r="J84" t="str">
        <v>Tunisia - offshore.</v>
      </c>
      <c r="K84" s="11">
        <v>0</v>
      </c>
      <c r="M84" s="2" t="str">
        <v>latlon</v>
      </c>
      <c r="N84" t="str">
        <v>Transformation</v>
      </c>
      <c r="O84" t="str">
        <v>Lat/long (Geodetic alias)</v>
      </c>
      <c r="P84" t="str">
        <v>&lt;not available&gt;</v>
      </c>
      <c r="Q84" s="11">
        <v>0</v>
      </c>
      <c r="S84" s="2" t="str">
        <v>Adrastea</v>
      </c>
      <c r="T84" s="7" t="str">
        <v>IAU_2015</v>
      </c>
      <c r="U84" s="11" t="b">
        <v>0</v>
      </c>
    </row>
    <row r="85" spans="5:21" x14ac:dyDescent="0.35">
      <c r="E85" s="9" t="str">
        <v>EPSG</v>
      </c>
      <c r="F85" s="7" t="str">
        <v>2089</v>
      </c>
      <c r="G85" t="str">
        <v>ProjectedCrs</v>
      </c>
      <c r="H85" t="str">
        <v>Transverse Mercator</v>
      </c>
      <c r="I85" t="str">
        <v>Yemen NGN96 / UTM zone 38N</v>
      </c>
      <c r="J85" t="str">
        <v>Yemen - between 42°E and 48°E, onshore and offshore.</v>
      </c>
      <c r="K85" s="11">
        <v>0</v>
      </c>
      <c r="M85" s="2" t="str">
        <v>latlong</v>
      </c>
      <c r="N85" t="str">
        <v>Transformation</v>
      </c>
      <c r="O85" t="str">
        <v>Lat/long (Geodetic alias)</v>
      </c>
      <c r="P85" t="str">
        <v>&lt;not available&gt;</v>
      </c>
      <c r="Q85" s="11">
        <v>0</v>
      </c>
      <c r="S85" s="2" t="str">
        <v>Aegaeon</v>
      </c>
      <c r="T85" s="7" t="str">
        <v>IAU_2015</v>
      </c>
      <c r="U85" s="11" t="b">
        <v>0</v>
      </c>
    </row>
    <row r="86" spans="5:21" x14ac:dyDescent="0.35">
      <c r="E86" s="9" t="str">
        <v>EPSG</v>
      </c>
      <c r="F86" s="7" t="str">
        <v>2090</v>
      </c>
      <c r="G86" t="str">
        <v>ProjectedCrs</v>
      </c>
      <c r="H86" t="str">
        <v>Transverse Mercator</v>
      </c>
      <c r="I86" t="str">
        <v>Yemen NGN96 / UTM zone 39N</v>
      </c>
      <c r="J86" t="str">
        <v>Yemen - between 48°E and 54°E, onshore and offshore.</v>
      </c>
      <c r="K86" s="11">
        <v>0</v>
      </c>
      <c r="M86" s="2" t="str">
        <v>longlat</v>
      </c>
      <c r="N86" t="str">
        <v>Transformation</v>
      </c>
      <c r="O86" t="str">
        <v>Lat/long (Geodetic alias)</v>
      </c>
      <c r="P86" t="str">
        <v>&lt;not available&gt;</v>
      </c>
      <c r="Q86" s="11">
        <v>0</v>
      </c>
      <c r="S86" s="2" t="str">
        <v>Amalthea</v>
      </c>
      <c r="T86" s="7" t="str">
        <v>IAU_2015</v>
      </c>
      <c r="U86" s="11" t="b">
        <v>0</v>
      </c>
    </row>
    <row r="87" spans="5:21" x14ac:dyDescent="0.35">
      <c r="E87" s="9" t="str">
        <v>EPSG</v>
      </c>
      <c r="F87" s="7" t="str">
        <v>2093</v>
      </c>
      <c r="G87" t="str">
        <v>ProjectedCrs</v>
      </c>
      <c r="H87" t="str">
        <v>Transverse Mercator</v>
      </c>
      <c r="I87" t="str">
        <v>Hanoi 1972 / GK 106 NE</v>
      </c>
      <c r="J87" t="str">
        <v>Vietnam - onshore Vung Tau area.</v>
      </c>
      <c r="K87" s="11">
        <v>0</v>
      </c>
      <c r="M87" s="2" t="str">
        <v>lcc</v>
      </c>
      <c r="N87" t="str">
        <v>Projection</v>
      </c>
      <c r="O87" t="str">
        <v>Lambert Conformal Conic</v>
      </c>
      <c r="P87" t="str">
        <v xml:space="preserve">	Conic, Sph&amp;Ell
	lat_1= and lat_2= or lat_0, k_0=</v>
      </c>
      <c r="Q87" s="11">
        <v>3</v>
      </c>
      <c r="S87" s="2" t="str">
        <v>Ananke</v>
      </c>
      <c r="T87" s="7" t="str">
        <v>IAU_2015</v>
      </c>
      <c r="U87" s="11" t="b">
        <v>0</v>
      </c>
    </row>
    <row r="88" spans="5:21" x14ac:dyDescent="0.35">
      <c r="E88" s="9" t="str">
        <v>EPSG</v>
      </c>
      <c r="F88" s="7" t="str">
        <v>2094</v>
      </c>
      <c r="G88" t="str">
        <v>ProjectedCrs</v>
      </c>
      <c r="H88" t="str">
        <v>Transverse Mercator</v>
      </c>
      <c r="I88" t="str">
        <v>WGS 72BE / TM 106 NE</v>
      </c>
      <c r="J88" t="str">
        <v>Vietnam - offshore - Cuu Long basin and northwestern part of Nam Con Son basin.</v>
      </c>
      <c r="K88" s="11">
        <v>0</v>
      </c>
      <c r="M88" s="2" t="str">
        <v>lcca</v>
      </c>
      <c r="N88" t="str">
        <v>Projection</v>
      </c>
      <c r="O88" t="str">
        <v>Lambert Conformal Conic Alternative</v>
      </c>
      <c r="P88" t="str">
        <v xml:space="preserve">	Conic, Sph&amp;Ell
	lat_0=</v>
      </c>
      <c r="Q88" s="11">
        <v>1</v>
      </c>
      <c r="S88" s="2" t="str">
        <v>Anthe</v>
      </c>
      <c r="T88" s="7" t="str">
        <v>IAU_2015</v>
      </c>
      <c r="U88" s="11" t="b">
        <v>0</v>
      </c>
    </row>
    <row r="89" spans="5:21" x14ac:dyDescent="0.35">
      <c r="E89" s="9" t="str">
        <v>EPSG</v>
      </c>
      <c r="F89" s="7" t="str">
        <v>2095</v>
      </c>
      <c r="G89" t="str">
        <v>ProjectedCrs</v>
      </c>
      <c r="H89" t="str">
        <v>Transverse Mercator</v>
      </c>
      <c r="I89" t="str">
        <v>Bissau / UTM zone 28N</v>
      </c>
      <c r="J89" t="str">
        <v>Guinea-Bissau - onshore.</v>
      </c>
      <c r="K89" s="11">
        <v>0</v>
      </c>
      <c r="M89" s="2" t="str">
        <v>leac</v>
      </c>
      <c r="N89" t="str">
        <v>Projection</v>
      </c>
      <c r="O89" t="str">
        <v>Lambert Equal Area Conic</v>
      </c>
      <c r="P89" t="str">
        <v xml:space="preserve">	Conic, Sph&amp;Ell
	lat_1= south</v>
      </c>
      <c r="Q89" s="11">
        <v>1</v>
      </c>
      <c r="S89" s="2" t="str">
        <v>Ariel</v>
      </c>
      <c r="T89" s="7" t="str">
        <v>IAU_2015</v>
      </c>
      <c r="U89" s="11" t="b">
        <v>0</v>
      </c>
    </row>
    <row r="90" spans="5:21" x14ac:dyDescent="0.35">
      <c r="E90" s="9" t="str">
        <v>EPSG</v>
      </c>
      <c r="F90" s="7" t="str">
        <v>2096</v>
      </c>
      <c r="G90" t="str">
        <v>ProjectedCrs</v>
      </c>
      <c r="H90" t="str">
        <v>Transverse Mercator</v>
      </c>
      <c r="I90" t="str">
        <v>Korean 1985 / East Belt</v>
      </c>
      <c r="J90" t="str">
        <v>Republic of Korea (South Korea) - onshore between 128°E and 130°E.</v>
      </c>
      <c r="K90" s="11">
        <v>0</v>
      </c>
      <c r="M90" s="2" t="str">
        <v>lee_os</v>
      </c>
      <c r="N90" t="str">
        <v>Projection</v>
      </c>
      <c r="O90" t="str">
        <v>Lee Oblated Stereographic</v>
      </c>
      <c r="P90" t="str">
        <v xml:space="preserve">	Azi(mod)</v>
      </c>
      <c r="Q90" s="11">
        <v>0</v>
      </c>
      <c r="S90" s="2" t="str">
        <v>Atlas</v>
      </c>
      <c r="T90" s="7" t="str">
        <v>IAU_2015</v>
      </c>
      <c r="U90" s="11" t="b">
        <v>0</v>
      </c>
    </row>
    <row r="91" spans="5:21" x14ac:dyDescent="0.35">
      <c r="E91" s="9" t="str">
        <v>EPSG</v>
      </c>
      <c r="F91" s="7" t="str">
        <v>2097</v>
      </c>
      <c r="G91" t="str">
        <v>ProjectedCrs</v>
      </c>
      <c r="H91" t="str">
        <v>Transverse Mercator</v>
      </c>
      <c r="I91" t="str">
        <v>Korean 1985 / Central Belt</v>
      </c>
      <c r="J91" t="str">
        <v>Republic of Korea (South Korea) - between 126°E and 128°E - mainland and nearshore.</v>
      </c>
      <c r="K91" s="11">
        <v>0</v>
      </c>
      <c r="M91" s="2" t="str">
        <v>loxim</v>
      </c>
      <c r="N91" t="str">
        <v>Projection</v>
      </c>
      <c r="O91" t="str">
        <v>Loximuthal</v>
      </c>
      <c r="P91" t="str">
        <v xml:space="preserve">	PCyl Sph</v>
      </c>
      <c r="Q91" s="11">
        <v>0</v>
      </c>
      <c r="S91" s="2" t="str">
        <v>Belinda</v>
      </c>
      <c r="T91" s="7" t="str">
        <v>IAU_2015</v>
      </c>
      <c r="U91" s="11" t="b">
        <v>0</v>
      </c>
    </row>
    <row r="92" spans="5:21" x14ac:dyDescent="0.35">
      <c r="E92" s="9" t="str">
        <v>EPSG</v>
      </c>
      <c r="F92" s="7" t="str">
        <v>2098</v>
      </c>
      <c r="G92" t="str">
        <v>ProjectedCrs</v>
      </c>
      <c r="H92" t="str">
        <v>Transverse Mercator</v>
      </c>
      <c r="I92" t="str">
        <v>Korean 1985 / West Belt</v>
      </c>
      <c r="J92" t="str">
        <v>Republic of Korea (South Korea) - onshore between 124°E and 126°E.</v>
      </c>
      <c r="K92" s="11">
        <v>0</v>
      </c>
      <c r="M92" s="2" t="str">
        <v>lsat</v>
      </c>
      <c r="N92" t="str">
        <v>Projection</v>
      </c>
      <c r="O92" t="str">
        <v>Space oblique for LANDSAT</v>
      </c>
      <c r="P92" t="str">
        <v xml:space="preserve">	Cyl, Sph&amp;Ell
	lsat= path=</v>
      </c>
      <c r="Q92" s="11">
        <v>2</v>
      </c>
      <c r="S92" s="2" t="str">
        <v>Bianca</v>
      </c>
      <c r="T92" s="7" t="str">
        <v>IAU_2015</v>
      </c>
      <c r="U92" s="11" t="b">
        <v>0</v>
      </c>
    </row>
    <row r="93" spans="5:21" x14ac:dyDescent="0.35">
      <c r="E93" s="9" t="str">
        <v>EPSG</v>
      </c>
      <c r="F93" s="7" t="str">
        <v>2099</v>
      </c>
      <c r="G93" t="str">
        <v>ProjectedCrs</v>
      </c>
      <c r="H93" t="str">
        <v>Cassini-Soldner</v>
      </c>
      <c r="I93" t="str">
        <v>Qatar 1948 / Qatar Grid</v>
      </c>
      <c r="J93" t="str">
        <v>Qatar - onshore.</v>
      </c>
      <c r="K93" s="11">
        <v>0</v>
      </c>
      <c r="M93" s="2" t="str">
        <v>mbt_s</v>
      </c>
      <c r="N93" t="str">
        <v>Projection</v>
      </c>
      <c r="O93" t="str">
        <v>McBryde-Thomas Flat-Polar Sine (No. 1)</v>
      </c>
      <c r="P93" t="str">
        <v xml:space="preserve">	PCyl, Sph</v>
      </c>
      <c r="Q93" s="11">
        <v>0</v>
      </c>
      <c r="S93" s="2" t="str">
        <v>Borrelly</v>
      </c>
      <c r="T93" s="7" t="str">
        <v>IAU_2015</v>
      </c>
      <c r="U93" s="11" t="b">
        <v>0</v>
      </c>
    </row>
    <row r="94" spans="5:21" x14ac:dyDescent="0.35">
      <c r="E94" s="9" t="str">
        <v>EPSG</v>
      </c>
      <c r="F94" s="7" t="str">
        <v>2100</v>
      </c>
      <c r="G94" t="str">
        <v>ProjectedCrs</v>
      </c>
      <c r="H94" t="str">
        <v>Transverse Mercator</v>
      </c>
      <c r="I94" t="str">
        <v>GGRS87 / Greek Grid</v>
      </c>
      <c r="J94" t="str">
        <v>Greece - onshore.</v>
      </c>
      <c r="K94" s="11">
        <v>0</v>
      </c>
      <c r="M94" s="2" t="str">
        <v>mbt_fps</v>
      </c>
      <c r="N94" t="str">
        <v>Projection</v>
      </c>
      <c r="O94" t="str">
        <v>McBryde-Thomas Flat-Pole Sine (No. 2)</v>
      </c>
      <c r="P94" t="str">
        <v xml:space="preserve">	Cyl, Sph</v>
      </c>
      <c r="Q94" s="11">
        <v>0</v>
      </c>
      <c r="S94" s="2" t="str">
        <v>Callisto</v>
      </c>
      <c r="T94" s="7" t="str">
        <v>IAU_2015</v>
      </c>
      <c r="U94" s="11" t="b">
        <v>0</v>
      </c>
    </row>
    <row r="95" spans="5:21" x14ac:dyDescent="0.35">
      <c r="E95" s="9" t="str">
        <v>EPSG</v>
      </c>
      <c r="F95" s="7" t="str">
        <v>2101</v>
      </c>
      <c r="G95" t="str">
        <v>ProjectedCrs</v>
      </c>
      <c r="H95" t="str">
        <v>Lambert Conic Conformal (1SP)</v>
      </c>
      <c r="I95" t="str">
        <v>Lake / Maracaibo Grid M1</v>
      </c>
      <c r="J95" t="str">
        <v>Venezuela - Maracaibo area, onshore and offshore in lake.</v>
      </c>
      <c r="K95" s="11">
        <v>0</v>
      </c>
      <c r="M95" s="2" t="str">
        <v>mbtfpp</v>
      </c>
      <c r="N95" t="str">
        <v>Projection</v>
      </c>
      <c r="O95" t="str">
        <v>McBride-Thomas Flat-Polar Parabolic</v>
      </c>
      <c r="P95" t="str">
        <v xml:space="preserve">	Cyl, Sph</v>
      </c>
      <c r="Q95" s="11">
        <v>0</v>
      </c>
      <c r="S95" s="2" t="str">
        <v>Calypso</v>
      </c>
      <c r="T95" s="7" t="str">
        <v>IAU_2015</v>
      </c>
      <c r="U95" s="11" t="b">
        <v>0</v>
      </c>
    </row>
    <row r="96" spans="5:21" x14ac:dyDescent="0.35">
      <c r="E96" s="9" t="str">
        <v>EPSG</v>
      </c>
      <c r="F96" s="7" t="str">
        <v>2102</v>
      </c>
      <c r="G96" t="str">
        <v>ProjectedCrs</v>
      </c>
      <c r="H96" t="str">
        <v>Lambert Conic Conformal (1SP)</v>
      </c>
      <c r="I96" t="str">
        <v>Lake / Maracaibo Grid</v>
      </c>
      <c r="J96" t="str">
        <v>Venezuela - Maracaibo area, onshore and offshore in lake.</v>
      </c>
      <c r="K96" s="11">
        <v>0</v>
      </c>
      <c r="M96" s="2" t="str">
        <v>mbtfpq</v>
      </c>
      <c r="N96" t="str">
        <v>Projection</v>
      </c>
      <c r="O96" t="str">
        <v>McBryde-Thomas Flat-Polar Quartic</v>
      </c>
      <c r="P96" t="str">
        <v xml:space="preserve">	Cyl, Sph</v>
      </c>
      <c r="Q96" s="11">
        <v>0</v>
      </c>
      <c r="S96" s="2" t="str">
        <v>Carme</v>
      </c>
      <c r="T96" s="7" t="str">
        <v>IAU_2015</v>
      </c>
      <c r="U96" s="11" t="b">
        <v>0</v>
      </c>
    </row>
    <row r="97" spans="5:21" x14ac:dyDescent="0.35">
      <c r="E97" s="9" t="str">
        <v>EPSG</v>
      </c>
      <c r="F97" s="7" t="str">
        <v>2103</v>
      </c>
      <c r="G97" t="str">
        <v>ProjectedCrs</v>
      </c>
      <c r="H97" t="str">
        <v>Lambert Conic Conformal (1SP)</v>
      </c>
      <c r="I97" t="str">
        <v>Lake / Maracaibo Grid M3</v>
      </c>
      <c r="J97" t="str">
        <v>Venezuela - Maracaibo area, onshore and offshore in lake.</v>
      </c>
      <c r="K97" s="11">
        <v>0</v>
      </c>
      <c r="M97" s="2" t="str">
        <v>mbtfps</v>
      </c>
      <c r="N97" t="str">
        <v>Projection</v>
      </c>
      <c r="O97" t="str">
        <v>McBryde-Thomas Flat-Polar Sinusoidal</v>
      </c>
      <c r="P97" t="str">
        <v xml:space="preserve">	PCyl, Sph</v>
      </c>
      <c r="Q97" s="11">
        <v>0</v>
      </c>
      <c r="S97" s="2" t="str">
        <v>Ceres</v>
      </c>
      <c r="T97" s="7" t="str">
        <v>IAU_2015</v>
      </c>
      <c r="U97" s="11" t="b">
        <v>0</v>
      </c>
    </row>
    <row r="98" spans="5:21" x14ac:dyDescent="0.35">
      <c r="E98" s="9" t="str">
        <v>EPSG</v>
      </c>
      <c r="F98" s="7" t="str">
        <v>2104</v>
      </c>
      <c r="G98" t="str">
        <v>ProjectedCrs</v>
      </c>
      <c r="H98" t="str">
        <v>Lambert Conic Conformal (1SP)</v>
      </c>
      <c r="I98" t="str">
        <v>Lake / Maracaibo La Rosa Grid</v>
      </c>
      <c r="J98" t="str">
        <v>Venezuela - Maracaibo area offshore blocks I, II and III.</v>
      </c>
      <c r="K98" s="11">
        <v>0</v>
      </c>
      <c r="M98" s="2" t="str">
        <v>merc</v>
      </c>
      <c r="N98" t="str">
        <v>Projection</v>
      </c>
      <c r="O98" t="str">
        <v>Mercator</v>
      </c>
      <c r="P98" t="str">
        <v xml:space="preserve">	Cyl, Sph&amp;Ell
	lat_ts=</v>
      </c>
      <c r="Q98" s="11">
        <v>1</v>
      </c>
      <c r="S98" s="2" t="str">
        <v>Charon</v>
      </c>
      <c r="T98" s="7" t="str">
        <v>IAU_2015</v>
      </c>
      <c r="U98" s="11" t="b">
        <v>0</v>
      </c>
    </row>
    <row r="99" spans="5:21" x14ac:dyDescent="0.35">
      <c r="E99" s="9" t="str">
        <v>EPSG</v>
      </c>
      <c r="F99" s="7" t="str">
        <v>2105</v>
      </c>
      <c r="G99" t="str">
        <v>ProjectedCrs</v>
      </c>
      <c r="H99" t="str">
        <v>Transverse Mercator</v>
      </c>
      <c r="I99" t="str">
        <v>NZGD2000 / Mount Eden 2000</v>
      </c>
      <c r="J99" t="str">
        <v>New Zealand - North Island - Mount Eden meridional circuit area.</v>
      </c>
      <c r="K99" s="11">
        <v>0</v>
      </c>
      <c r="M99" s="2" t="str">
        <v>mil_os</v>
      </c>
      <c r="N99" t="str">
        <v>Projection</v>
      </c>
      <c r="O99" t="str">
        <v>Miller Oblated Stereographic</v>
      </c>
      <c r="P99" t="str">
        <v xml:space="preserve">	Azi(mod)</v>
      </c>
      <c r="Q99" s="11">
        <v>0</v>
      </c>
      <c r="S99" s="2" t="str">
        <v>Churyumov-Gerasimenko</v>
      </c>
      <c r="T99" s="7" t="str">
        <v>IAU_2015</v>
      </c>
      <c r="U99" s="11" t="b">
        <v>0</v>
      </c>
    </row>
    <row r="100" spans="5:21" x14ac:dyDescent="0.35">
      <c r="E100" s="9" t="str">
        <v>EPSG</v>
      </c>
      <c r="F100" s="7" t="str">
        <v>2106</v>
      </c>
      <c r="G100" t="str">
        <v>ProjectedCrs</v>
      </c>
      <c r="H100" t="str">
        <v>Transverse Mercator</v>
      </c>
      <c r="I100" t="str">
        <v>NZGD2000 / Bay of Plenty 2000</v>
      </c>
      <c r="J100" t="str">
        <v>New Zealand - North Island - Bay of Plenty meridional circuit area.</v>
      </c>
      <c r="K100" s="11">
        <v>0</v>
      </c>
      <c r="M100" s="2" t="str">
        <v>mill</v>
      </c>
      <c r="N100" t="str">
        <v>Projection</v>
      </c>
      <c r="O100" t="str">
        <v>Miller Cylindrical</v>
      </c>
      <c r="P100" t="str">
        <v xml:space="preserve">	Cyl, Sph</v>
      </c>
      <c r="Q100" s="11">
        <v>0</v>
      </c>
      <c r="S100" s="2" t="str">
        <v>Cordelia</v>
      </c>
      <c r="T100" s="7" t="str">
        <v>IAU_2015</v>
      </c>
      <c r="U100" s="11" t="b">
        <v>0</v>
      </c>
    </row>
    <row r="101" spans="5:21" x14ac:dyDescent="0.35">
      <c r="E101" s="9" t="str">
        <v>EPSG</v>
      </c>
      <c r="F101" s="7" t="str">
        <v>2107</v>
      </c>
      <c r="G101" t="str">
        <v>ProjectedCrs</v>
      </c>
      <c r="H101" t="str">
        <v>Transverse Mercator</v>
      </c>
      <c r="I101" t="str">
        <v>NZGD2000 / Poverty Bay 2000</v>
      </c>
      <c r="J101" t="str">
        <v>New Zealand - North Island - Poverty Bay meridional circuit area.</v>
      </c>
      <c r="K101" s="11">
        <v>0</v>
      </c>
      <c r="M101" s="2" t="str">
        <v>misrsom</v>
      </c>
      <c r="N101" t="str">
        <v>Projection</v>
      </c>
      <c r="O101" t="str">
        <v>Space oblique for MISR</v>
      </c>
      <c r="P101" t="str">
        <v xml:space="preserve">	Cyl, Sph&amp;Ell
	path=</v>
      </c>
      <c r="Q101" s="11">
        <v>1</v>
      </c>
      <c r="S101" s="2" t="str">
        <v>Cressida</v>
      </c>
      <c r="T101" s="7" t="str">
        <v>IAU_2015</v>
      </c>
      <c r="U101" s="11" t="b">
        <v>0</v>
      </c>
    </row>
    <row r="102" spans="5:21" x14ac:dyDescent="0.35">
      <c r="E102" s="9" t="str">
        <v>EPSG</v>
      </c>
      <c r="F102" s="7" t="str">
        <v>2108</v>
      </c>
      <c r="G102" t="str">
        <v>ProjectedCrs</v>
      </c>
      <c r="H102" t="str">
        <v>Transverse Mercator</v>
      </c>
      <c r="I102" t="str">
        <v>NZGD2000 / Hawkes Bay 2000</v>
      </c>
      <c r="J102" t="str">
        <v>New Zealand - North Island - Hawkes Bay meridional circuit and Napier vertical crs area.</v>
      </c>
      <c r="K102" s="11">
        <v>0</v>
      </c>
      <c r="M102" s="2" t="str">
        <v>mod_krovak</v>
      </c>
      <c r="N102" t="str">
        <v>Projection</v>
      </c>
      <c r="O102" t="str">
        <v>Modified Krovak</v>
      </c>
      <c r="P102" t="str">
        <v xml:space="preserve">	PCyl, Ell</v>
      </c>
      <c r="Q102" s="11">
        <v>0</v>
      </c>
      <c r="S102" s="2" t="str">
        <v>Daphnis</v>
      </c>
      <c r="T102" s="7" t="str">
        <v>IAU_2015</v>
      </c>
      <c r="U102" s="11" t="b">
        <v>0</v>
      </c>
    </row>
    <row r="103" spans="5:21" x14ac:dyDescent="0.35">
      <c r="E103" s="9" t="str">
        <v>EPSG</v>
      </c>
      <c r="F103" s="7" t="str">
        <v>2109</v>
      </c>
      <c r="G103" t="str">
        <v>ProjectedCrs</v>
      </c>
      <c r="H103" t="str">
        <v>Transverse Mercator</v>
      </c>
      <c r="I103" t="str">
        <v>NZGD2000 / Taranaki 2000</v>
      </c>
      <c r="J103" t="str">
        <v>New Zealand - North Island - Taranaki meridional circuit area.</v>
      </c>
      <c r="K103" s="11">
        <v>0</v>
      </c>
      <c r="M103" s="2" t="str">
        <v>moll</v>
      </c>
      <c r="N103" t="str">
        <v>Projection</v>
      </c>
      <c r="O103" t="str">
        <v>Mollweide</v>
      </c>
      <c r="P103" t="str">
        <v xml:space="preserve">	PCyl, Sph</v>
      </c>
      <c r="Q103" s="11">
        <v>0</v>
      </c>
      <c r="S103" s="2" t="str">
        <v>Davida</v>
      </c>
      <c r="T103" s="7" t="str">
        <v>IAU_2015</v>
      </c>
      <c r="U103" s="11" t="b">
        <v>0</v>
      </c>
    </row>
    <row r="104" spans="5:21" x14ac:dyDescent="0.35">
      <c r="E104" s="9" t="str">
        <v>EPSG</v>
      </c>
      <c r="F104" s="7" t="str">
        <v>2110</v>
      </c>
      <c r="G104" t="str">
        <v>ProjectedCrs</v>
      </c>
      <c r="H104" t="str">
        <v>Transverse Mercator</v>
      </c>
      <c r="I104" t="str">
        <v>NZGD2000 / Tuhirangi 2000</v>
      </c>
      <c r="J104" t="str">
        <v>New Zealand - North Island - Tuhirangi meridional circuit area.</v>
      </c>
      <c r="K104" s="11">
        <v>0</v>
      </c>
      <c r="M104" s="2" t="str">
        <v>molobadekas</v>
      </c>
      <c r="N104" t="str">
        <v>Transformation</v>
      </c>
      <c r="O104" t="str">
        <v>Molodensky-Badekas transformation</v>
      </c>
      <c r="P104" t="str">
        <v>&lt;not available&gt;</v>
      </c>
      <c r="Q104" s="11">
        <v>0</v>
      </c>
      <c r="S104" s="2" t="str">
        <v>Deimos</v>
      </c>
      <c r="T104" s="7" t="str">
        <v>IAU_2015</v>
      </c>
      <c r="U104" s="11" t="b">
        <v>0</v>
      </c>
    </row>
    <row r="105" spans="5:21" x14ac:dyDescent="0.35">
      <c r="E105" s="9" t="str">
        <v>EPSG</v>
      </c>
      <c r="F105" s="7" t="str">
        <v>2111</v>
      </c>
      <c r="G105" t="str">
        <v>ProjectedCrs</v>
      </c>
      <c r="H105" t="str">
        <v>Transverse Mercator</v>
      </c>
      <c r="I105" t="str">
        <v>NZGD2000 / Wanganui 2000</v>
      </c>
      <c r="J105" t="str">
        <v>New Zealand - North Island - Wanganui meridional circuit area.</v>
      </c>
      <c r="K105" s="11">
        <v>0</v>
      </c>
      <c r="M105" s="2" t="str">
        <v>molodensky</v>
      </c>
      <c r="N105" t="str">
        <v>Transformation</v>
      </c>
      <c r="O105" t="str">
        <v>Molodensky transform</v>
      </c>
      <c r="P105" t="str">
        <v>&lt;not available&gt;</v>
      </c>
      <c r="Q105" s="11">
        <v>0</v>
      </c>
      <c r="S105" s="2" t="str">
        <v>Desdemona</v>
      </c>
      <c r="T105" s="7" t="str">
        <v>IAU_2015</v>
      </c>
      <c r="U105" s="11" t="b">
        <v>0</v>
      </c>
    </row>
    <row r="106" spans="5:21" x14ac:dyDescent="0.35">
      <c r="E106" s="9" t="str">
        <v>EPSG</v>
      </c>
      <c r="F106" s="7" t="str">
        <v>2112</v>
      </c>
      <c r="G106" t="str">
        <v>ProjectedCrs</v>
      </c>
      <c r="H106" t="str">
        <v>Transverse Mercator</v>
      </c>
      <c r="I106" t="str">
        <v>NZGD2000 / Wairarapa 2000</v>
      </c>
      <c r="J106" t="str">
        <v>New Zealand - North Island - Wairarapa meridional circuit area.</v>
      </c>
      <c r="K106" s="11">
        <v>0</v>
      </c>
      <c r="M106" s="2" t="str">
        <v>murd1</v>
      </c>
      <c r="N106" t="str">
        <v>Projection</v>
      </c>
      <c r="O106" t="str">
        <v>Murdoch I</v>
      </c>
      <c r="P106" t="str">
        <v xml:space="preserve">	Conic, Sph
	lat_1= and lat_2=</v>
      </c>
      <c r="Q106" s="11">
        <v>2</v>
      </c>
      <c r="S106" s="2" t="str">
        <v>Despina</v>
      </c>
      <c r="T106" s="7" t="str">
        <v>IAU_2015</v>
      </c>
      <c r="U106" s="11" t="b">
        <v>0</v>
      </c>
    </row>
    <row r="107" spans="5:21" x14ac:dyDescent="0.35">
      <c r="E107" s="9" t="str">
        <v>EPSG</v>
      </c>
      <c r="F107" s="7" t="str">
        <v>2113</v>
      </c>
      <c r="G107" t="str">
        <v>ProjectedCrs</v>
      </c>
      <c r="H107" t="str">
        <v>Transverse Mercator</v>
      </c>
      <c r="I107" t="str">
        <v>NZGD2000 / Wellington 2000</v>
      </c>
      <c r="J107" t="str">
        <v>New Zealand - North Island - Wellington meridional circuit area.</v>
      </c>
      <c r="K107" s="11">
        <v>0</v>
      </c>
      <c r="M107" s="2" t="str">
        <v>murd2</v>
      </c>
      <c r="N107" t="str">
        <v>Projection</v>
      </c>
      <c r="O107" t="str">
        <v>Murdoch II</v>
      </c>
      <c r="P107" t="str">
        <v xml:space="preserve">	Conic, Sph
	lat_1= and lat_2=</v>
      </c>
      <c r="Q107" s="11">
        <v>2</v>
      </c>
      <c r="S107" s="2" t="str">
        <v>Dione</v>
      </c>
      <c r="T107" s="7" t="str">
        <v>IAU_2015</v>
      </c>
      <c r="U107" s="11" t="b">
        <v>0</v>
      </c>
    </row>
    <row r="108" spans="5:21" x14ac:dyDescent="0.35">
      <c r="E108" s="9" t="str">
        <v>EPSG</v>
      </c>
      <c r="F108" s="7" t="str">
        <v>2114</v>
      </c>
      <c r="G108" t="str">
        <v>ProjectedCrs</v>
      </c>
      <c r="H108" t="str">
        <v>Transverse Mercator</v>
      </c>
      <c r="I108" t="str">
        <v>NZGD2000 / Collingwood 2000</v>
      </c>
      <c r="J108" t="str">
        <v>New Zealand - South Island - Collingwood meridional circuit area.</v>
      </c>
      <c r="K108" s="11">
        <v>0</v>
      </c>
      <c r="M108" s="2" t="str">
        <v>murd3</v>
      </c>
      <c r="N108" t="str">
        <v>Projection</v>
      </c>
      <c r="O108" t="str">
        <v>Murdoch III</v>
      </c>
      <c r="P108" t="str">
        <v xml:space="preserve">	Conic, Sph
	lat_1= and lat_2=</v>
      </c>
      <c r="Q108" s="11">
        <v>2</v>
      </c>
      <c r="S108" s="2" t="str">
        <v>Earth</v>
      </c>
      <c r="T108" s="7" t="str">
        <v>IAU_2015</v>
      </c>
      <c r="U108" s="11" t="b">
        <v>0</v>
      </c>
    </row>
    <row r="109" spans="5:21" x14ac:dyDescent="0.35">
      <c r="E109" s="9" t="str">
        <v>EPSG</v>
      </c>
      <c r="F109" s="7" t="str">
        <v>2115</v>
      </c>
      <c r="G109" t="str">
        <v>ProjectedCrs</v>
      </c>
      <c r="H109" t="str">
        <v>Transverse Mercator</v>
      </c>
      <c r="I109" t="str">
        <v>NZGD2000 / Nelson 2000</v>
      </c>
      <c r="J109" t="str">
        <v>New Zealand - South Island - Nelson meridional circuit area.</v>
      </c>
      <c r="K109" s="11">
        <v>0</v>
      </c>
      <c r="M109" s="2" t="str">
        <v>natearth</v>
      </c>
      <c r="N109" t="str">
        <v>Projection</v>
      </c>
      <c r="O109" t="str">
        <v>Natural Earth</v>
      </c>
      <c r="P109" t="str">
        <v xml:space="preserve">	PCyl, Sph</v>
      </c>
      <c r="Q109" s="11">
        <v>0</v>
      </c>
      <c r="S109" s="2" t="str">
        <v>Elara</v>
      </c>
      <c r="T109" s="7" t="str">
        <v>IAU_2015</v>
      </c>
      <c r="U109" s="11" t="b">
        <v>0</v>
      </c>
    </row>
    <row r="110" spans="5:21" x14ac:dyDescent="0.35">
      <c r="E110" s="9" t="str">
        <v>EPSG</v>
      </c>
      <c r="F110" s="7" t="str">
        <v>2116</v>
      </c>
      <c r="G110" t="str">
        <v>ProjectedCrs</v>
      </c>
      <c r="H110" t="str">
        <v>Transverse Mercator</v>
      </c>
      <c r="I110" t="str">
        <v>NZGD2000 / Karamea 2000</v>
      </c>
      <c r="J110" t="str">
        <v>New Zealand - South Island - Karamea meridional circuit area.</v>
      </c>
      <c r="K110" s="11">
        <v>0</v>
      </c>
      <c r="M110" s="2" t="str">
        <v>natearth2</v>
      </c>
      <c r="N110" t="str">
        <v>Projection</v>
      </c>
      <c r="O110" t="str">
        <v>Natural Earth 2</v>
      </c>
      <c r="P110" t="str">
        <v xml:space="preserve">	PCyl, Sph</v>
      </c>
      <c r="Q110" s="11">
        <v>0</v>
      </c>
      <c r="S110" s="2" t="str">
        <v>Enceladus</v>
      </c>
      <c r="T110" s="7" t="str">
        <v>IAU_2015</v>
      </c>
      <c r="U110" s="11" t="b">
        <v>0</v>
      </c>
    </row>
    <row r="111" spans="5:21" x14ac:dyDescent="0.35">
      <c r="E111" s="9" t="str">
        <v>EPSG</v>
      </c>
      <c r="F111" s="7" t="str">
        <v>2117</v>
      </c>
      <c r="G111" t="str">
        <v>ProjectedCrs</v>
      </c>
      <c r="H111" t="str">
        <v>Transverse Mercator</v>
      </c>
      <c r="I111" t="str">
        <v>NZGD2000 / Buller 2000</v>
      </c>
      <c r="J111" t="str">
        <v>New Zealand - South Island - Buller meridional circuit area.</v>
      </c>
      <c r="K111" s="11">
        <v>0</v>
      </c>
      <c r="M111" s="2" t="str">
        <v>nell</v>
      </c>
      <c r="N111" t="str">
        <v>Projection</v>
      </c>
      <c r="O111" t="str">
        <v>Nell</v>
      </c>
      <c r="P111" t="str">
        <v xml:space="preserve">	PCyl, Sph</v>
      </c>
      <c r="Q111" s="11">
        <v>0</v>
      </c>
      <c r="S111" s="2" t="str">
        <v>Epimetheus</v>
      </c>
      <c r="T111" s="7" t="str">
        <v>IAU_2015</v>
      </c>
      <c r="U111" s="11" t="b">
        <v>0</v>
      </c>
    </row>
    <row r="112" spans="5:21" x14ac:dyDescent="0.35">
      <c r="E112" s="9" t="str">
        <v>EPSG</v>
      </c>
      <c r="F112" s="7" t="str">
        <v>2118</v>
      </c>
      <c r="G112" t="str">
        <v>ProjectedCrs</v>
      </c>
      <c r="H112" t="str">
        <v>Transverse Mercator</v>
      </c>
      <c r="I112" t="str">
        <v>NZGD2000 / Grey 2000</v>
      </c>
      <c r="J112" t="str">
        <v>New Zealand - South Island - Grey meridional circuit area.</v>
      </c>
      <c r="K112" s="11">
        <v>0</v>
      </c>
      <c r="M112" s="2" t="str">
        <v>nell_h</v>
      </c>
      <c r="N112" t="str">
        <v>Projection</v>
      </c>
      <c r="O112" t="str">
        <v>Nell-Hammer</v>
      </c>
      <c r="P112" t="str">
        <v xml:space="preserve">	PCyl, Sph</v>
      </c>
      <c r="Q112" s="11">
        <v>0</v>
      </c>
      <c r="S112" s="2" t="str">
        <v>Eros</v>
      </c>
      <c r="T112" s="7" t="str">
        <v>IAU_2015</v>
      </c>
      <c r="U112" s="11" t="b">
        <v>0</v>
      </c>
    </row>
    <row r="113" spans="5:21" x14ac:dyDescent="0.35">
      <c r="E113" s="9" t="str">
        <v>EPSG</v>
      </c>
      <c r="F113" s="7" t="str">
        <v>2119</v>
      </c>
      <c r="G113" t="str">
        <v>ProjectedCrs</v>
      </c>
      <c r="H113" t="str">
        <v>Transverse Mercator</v>
      </c>
      <c r="I113" t="str">
        <v>NZGD2000 / Amuri 2000</v>
      </c>
      <c r="J113" t="str">
        <v>New Zealand - South Island - Amuri meridional circuit area.</v>
      </c>
      <c r="K113" s="11">
        <v>0</v>
      </c>
      <c r="M113" s="2" t="str">
        <v>nicol</v>
      </c>
      <c r="N113" t="str">
        <v>Projection</v>
      </c>
      <c r="O113" t="str">
        <v>Nicolosi Globular</v>
      </c>
      <c r="P113" t="str">
        <v xml:space="preserve">	Misc Sph, no inv</v>
      </c>
      <c r="Q113" s="11">
        <v>0</v>
      </c>
      <c r="S113" s="2" t="str">
        <v>Europa</v>
      </c>
      <c r="T113" s="7" t="str">
        <v>IAU_2015</v>
      </c>
      <c r="U113" s="11" t="b">
        <v>0</v>
      </c>
    </row>
    <row r="114" spans="5:21" x14ac:dyDescent="0.35">
      <c r="E114" s="9" t="str">
        <v>EPSG</v>
      </c>
      <c r="F114" s="7" t="str">
        <v>2120</v>
      </c>
      <c r="G114" t="str">
        <v>ProjectedCrs</v>
      </c>
      <c r="H114" t="str">
        <v>Transverse Mercator</v>
      </c>
      <c r="I114" t="str">
        <v>NZGD2000 / Marlborough 2000</v>
      </c>
      <c r="J114" t="str">
        <v>New Zealand - South Island - Marlborough meridional circuit area.</v>
      </c>
      <c r="K114" s="11">
        <v>0</v>
      </c>
      <c r="M114" s="2" t="str">
        <v>nsper</v>
      </c>
      <c r="N114" t="str">
        <v>Projection</v>
      </c>
      <c r="O114" t="str">
        <v>Near-sided perspective</v>
      </c>
      <c r="P114" t="str">
        <v xml:space="preserve">	Azi, Sph
	h=</v>
      </c>
      <c r="Q114" s="11">
        <v>1</v>
      </c>
      <c r="S114" s="2" t="str">
        <v>Galatea</v>
      </c>
      <c r="T114" s="7" t="str">
        <v>IAU_2015</v>
      </c>
      <c r="U114" s="11" t="b">
        <v>0</v>
      </c>
    </row>
    <row r="115" spans="5:21" x14ac:dyDescent="0.35">
      <c r="E115" s="9" t="str">
        <v>EPSG</v>
      </c>
      <c r="F115" s="7" t="str">
        <v>2121</v>
      </c>
      <c r="G115" t="str">
        <v>ProjectedCrs</v>
      </c>
      <c r="H115" t="str">
        <v>Transverse Mercator</v>
      </c>
      <c r="I115" t="str">
        <v>NZGD2000 / Hokitika 2000</v>
      </c>
      <c r="J115" t="str">
        <v>New Zealand - South Island - Hokitika meridional circuit area.</v>
      </c>
      <c r="K115" s="11">
        <v>0</v>
      </c>
      <c r="M115" s="2" t="str">
        <v>nzmg</v>
      </c>
      <c r="N115" t="str">
        <v>Projection</v>
      </c>
      <c r="O115" t="str">
        <v>New Zealand Map Grid</v>
      </c>
      <c r="P115" t="str">
        <v xml:space="preserve">	fixed Earth</v>
      </c>
      <c r="Q115" s="11">
        <v>0</v>
      </c>
      <c r="S115" s="2" t="str">
        <v>Ganymede</v>
      </c>
      <c r="T115" s="7" t="str">
        <v>IAU_2015</v>
      </c>
      <c r="U115" s="11" t="b">
        <v>0</v>
      </c>
    </row>
    <row r="116" spans="5:21" x14ac:dyDescent="0.35">
      <c r="E116" s="9" t="str">
        <v>EPSG</v>
      </c>
      <c r="F116" s="7" t="str">
        <v>2122</v>
      </c>
      <c r="G116" t="str">
        <v>ProjectedCrs</v>
      </c>
      <c r="H116" t="str">
        <v>Transverse Mercator</v>
      </c>
      <c r="I116" t="str">
        <v>NZGD2000 / Okarito 2000</v>
      </c>
      <c r="J116" t="str">
        <v>New Zealand - South Island - Okarito meridional circuit area.</v>
      </c>
      <c r="K116" s="11">
        <v>0</v>
      </c>
      <c r="M116" s="2" t="str">
        <v>noop</v>
      </c>
      <c r="N116" t="str">
        <v>NoOperation</v>
      </c>
      <c r="O116" t="str">
        <v>No operation</v>
      </c>
      <c r="P116" t="str">
        <v>&lt;not available&gt;</v>
      </c>
      <c r="Q116" s="11">
        <v>0</v>
      </c>
      <c r="S116" s="2" t="str">
        <v>Gaspra</v>
      </c>
      <c r="T116" s="7" t="str">
        <v>IAU_2015</v>
      </c>
      <c r="U116" s="11" t="b">
        <v>0</v>
      </c>
    </row>
    <row r="117" spans="5:21" x14ac:dyDescent="0.35">
      <c r="E117" s="9" t="str">
        <v>EPSG</v>
      </c>
      <c r="F117" s="7" t="str">
        <v>2123</v>
      </c>
      <c r="G117" t="str">
        <v>ProjectedCrs</v>
      </c>
      <c r="H117" t="str">
        <v>Transverse Mercator</v>
      </c>
      <c r="I117" t="str">
        <v>NZGD2000 / Jacksons Bay 2000</v>
      </c>
      <c r="J117" t="str">
        <v>New Zealand - South Island - Jacksons Bay meridional circuit area.</v>
      </c>
      <c r="K117" s="11">
        <v>0</v>
      </c>
      <c r="M117" s="2" t="str">
        <v>ob_tran</v>
      </c>
      <c r="N117" t="str">
        <v>Projection</v>
      </c>
      <c r="O117" t="str">
        <v>General Oblique Transformation</v>
      </c>
      <c r="P117" t="str">
        <v xml:space="preserve">	Misc Sph
	o_proj= plus parameters for projection
	o_lat_p= o_lon_p= (new pole) or
	o_alpha= o_lon_c= o_lat_c= or
	o_lon_1= o_lat_1= o_lon_2= o_lat_2=</v>
      </c>
      <c r="Q117" s="11">
        <v>1</v>
      </c>
      <c r="S117" s="2" t="str">
        <v>Halley</v>
      </c>
      <c r="T117" s="7" t="str">
        <v>IAU_2015</v>
      </c>
      <c r="U117" s="11" t="b">
        <v>0</v>
      </c>
    </row>
    <row r="118" spans="5:21" x14ac:dyDescent="0.35">
      <c r="E118" s="9" t="str">
        <v>EPSG</v>
      </c>
      <c r="F118" s="7" t="str">
        <v>2124</v>
      </c>
      <c r="G118" t="str">
        <v>ProjectedCrs</v>
      </c>
      <c r="H118" t="str">
        <v>Transverse Mercator</v>
      </c>
      <c r="I118" t="str">
        <v>NZGD2000 / Mount Pleasant 2000</v>
      </c>
      <c r="J118" t="str">
        <v>New Zealand - South Island - Mount Pleasant meridional circuit area.</v>
      </c>
      <c r="K118" s="11">
        <v>0</v>
      </c>
      <c r="M118" s="2" t="str">
        <v>ocea</v>
      </c>
      <c r="N118" t="str">
        <v>Projection</v>
      </c>
      <c r="O118" t="str">
        <v>Oblique Cylindrical Equal Area</v>
      </c>
      <c r="P118" t="str">
        <v xml:space="preserve">	Cyl, Sphlonc= alpha= or
	lat_1= lat_2= lon_1= lon_2=</v>
      </c>
      <c r="Q118" s="11">
        <v>4</v>
      </c>
      <c r="S118" s="2" t="str">
        <v>Hartley 2</v>
      </c>
      <c r="T118" s="7" t="str">
        <v>IAU_2015</v>
      </c>
      <c r="U118" s="11" t="b">
        <v>0</v>
      </c>
    </row>
    <row r="119" spans="5:21" x14ac:dyDescent="0.35">
      <c r="E119" s="9" t="str">
        <v>EPSG</v>
      </c>
      <c r="F119" s="7" t="str">
        <v>2125</v>
      </c>
      <c r="G119" t="str">
        <v>ProjectedCrs</v>
      </c>
      <c r="H119" t="str">
        <v>Transverse Mercator</v>
      </c>
      <c r="I119" t="str">
        <v>NZGD2000 / Gawler 2000</v>
      </c>
      <c r="J119" t="str">
        <v>New Zealand - South Island - Gawler meridional circuit area.</v>
      </c>
      <c r="K119" s="11">
        <v>0</v>
      </c>
      <c r="M119" s="2" t="str">
        <v>oea</v>
      </c>
      <c r="N119" t="str">
        <v>Projection</v>
      </c>
      <c r="O119" t="str">
        <v>Oblated Equal Area</v>
      </c>
      <c r="P119" t="str">
        <v xml:space="preserve">	Misc Sph
	n= m= theta=</v>
      </c>
      <c r="Q119" s="11">
        <v>3</v>
      </c>
      <c r="S119" s="2" t="str">
        <v>Helene</v>
      </c>
      <c r="T119" s="7" t="str">
        <v>IAU_2015</v>
      </c>
      <c r="U119" s="11" t="b">
        <v>0</v>
      </c>
    </row>
    <row r="120" spans="5:21" x14ac:dyDescent="0.35">
      <c r="E120" s="9" t="str">
        <v>EPSG</v>
      </c>
      <c r="F120" s="7" t="str">
        <v>2126</v>
      </c>
      <c r="G120" t="str">
        <v>ProjectedCrs</v>
      </c>
      <c r="H120" t="str">
        <v>Transverse Mercator</v>
      </c>
      <c r="I120" t="str">
        <v>NZGD2000 / Timaru 2000</v>
      </c>
      <c r="J120" t="str">
        <v>New Zealand - South Island - Timaru meridional circuit area.</v>
      </c>
      <c r="K120" s="11">
        <v>0</v>
      </c>
      <c r="M120" s="2" t="str">
        <v>omerc</v>
      </c>
      <c r="N120" t="str">
        <v>Projection</v>
      </c>
      <c r="O120" t="str">
        <v>Oblique Mercator</v>
      </c>
      <c r="P120" t="str">
        <v xml:space="preserve">	Cyl, Sph&amp;Ell no_rot
	alpha= [gamma=] [no_off] lonc= or
	 lon_1= lat_1= lon_2= lat_2=</v>
      </c>
      <c r="Q120" s="11">
        <v>2</v>
      </c>
      <c r="S120" s="2" t="str">
        <v>Himalia</v>
      </c>
      <c r="T120" s="7" t="str">
        <v>IAU_2015</v>
      </c>
      <c r="U120" s="11" t="b">
        <v>0</v>
      </c>
    </row>
    <row r="121" spans="5:21" x14ac:dyDescent="0.35">
      <c r="E121" s="9" t="str">
        <v>EPSG</v>
      </c>
      <c r="F121" s="7" t="str">
        <v>2127</v>
      </c>
      <c r="G121" t="str">
        <v>ProjectedCrs</v>
      </c>
      <c r="H121" t="str">
        <v>Transverse Mercator</v>
      </c>
      <c r="I121" t="str">
        <v>NZGD2000 / Lindis Peak 2000</v>
      </c>
      <c r="J121" t="str">
        <v>New Zealand - South Island - Lindis Peak meridional circuit area.</v>
      </c>
      <c r="K121" s="11">
        <v>0</v>
      </c>
      <c r="M121" s="2" t="str">
        <v>ortel</v>
      </c>
      <c r="N121" t="str">
        <v>Projection</v>
      </c>
      <c r="O121" t="str">
        <v>Ortelius Oval</v>
      </c>
      <c r="P121" t="str">
        <v xml:space="preserve">	Misc Sph, no inv</v>
      </c>
      <c r="Q121" s="11">
        <v>0</v>
      </c>
      <c r="S121" s="2" t="str">
        <v>Hyperion</v>
      </c>
      <c r="T121" s="7" t="str">
        <v>IAU_2015</v>
      </c>
      <c r="U121" s="11" t="b">
        <v>0</v>
      </c>
    </row>
    <row r="122" spans="5:21" x14ac:dyDescent="0.35">
      <c r="E122" s="9" t="str">
        <v>EPSG</v>
      </c>
      <c r="F122" s="7" t="str">
        <v>2128</v>
      </c>
      <c r="G122" t="str">
        <v>ProjectedCrs</v>
      </c>
      <c r="H122" t="str">
        <v>Transverse Mercator</v>
      </c>
      <c r="I122" t="str">
        <v>NZGD2000 / Mount Nicholas 2000</v>
      </c>
      <c r="J122" t="str">
        <v>New Zealand - South Island - Mount Nicholas meridional circuit area.</v>
      </c>
      <c r="K122" s="11">
        <v>0</v>
      </c>
      <c r="M122" s="2" t="str">
        <v>ortho</v>
      </c>
      <c r="N122" t="str">
        <v>Projection</v>
      </c>
      <c r="O122" t="str">
        <v>Orthographic</v>
      </c>
      <c r="P122" t="str">
        <v xml:space="preserve">	Azi, Sph&amp;Ell</v>
      </c>
      <c r="Q122" s="11">
        <v>0</v>
      </c>
      <c r="S122" s="2" t="str">
        <v>Iapetus</v>
      </c>
      <c r="T122" s="7" t="str">
        <v>IAU_2015</v>
      </c>
      <c r="U122" s="11" t="b">
        <v>0</v>
      </c>
    </row>
    <row r="123" spans="5:21" x14ac:dyDescent="0.35">
      <c r="E123" s="9" t="str">
        <v>EPSG</v>
      </c>
      <c r="F123" s="7" t="str">
        <v>2129</v>
      </c>
      <c r="G123" t="str">
        <v>ProjectedCrs</v>
      </c>
      <c r="H123" t="str">
        <v>Transverse Mercator</v>
      </c>
      <c r="I123" t="str">
        <v>NZGD2000 / Mount York 2000</v>
      </c>
      <c r="J123" t="str">
        <v>New Zealand - South Island - Mount York meridional circuit area.</v>
      </c>
      <c r="K123" s="11">
        <v>0</v>
      </c>
      <c r="M123" s="2" t="str">
        <v>pconic</v>
      </c>
      <c r="N123" t="str">
        <v>Projection</v>
      </c>
      <c r="O123" t="str">
        <v>Perspective Conic</v>
      </c>
      <c r="P123" t="str">
        <v xml:space="preserve">	Conic, Sph
	lat_1= and lat_2=</v>
      </c>
      <c r="Q123" s="11">
        <v>2</v>
      </c>
      <c r="S123" s="2" t="str">
        <v>Ida</v>
      </c>
      <c r="T123" s="7" t="str">
        <v>IAU_2015</v>
      </c>
      <c r="U123" s="11" t="b">
        <v>0</v>
      </c>
    </row>
    <row r="124" spans="5:21" x14ac:dyDescent="0.35">
      <c r="E124" s="9" t="str">
        <v>EPSG</v>
      </c>
      <c r="F124" s="7" t="str">
        <v>2130</v>
      </c>
      <c r="G124" t="str">
        <v>ProjectedCrs</v>
      </c>
      <c r="H124" t="str">
        <v>Transverse Mercator</v>
      </c>
      <c r="I124" t="str">
        <v>NZGD2000 / Observation Point 2000</v>
      </c>
      <c r="J124" t="str">
        <v>New Zealand - South Island - Observation Point meridional circuit area.</v>
      </c>
      <c r="K124" s="11">
        <v>0</v>
      </c>
      <c r="M124" s="2" t="str">
        <v>patterson</v>
      </c>
      <c r="N124" t="str">
        <v>Projection</v>
      </c>
      <c r="O124" t="str">
        <v>Patterson Cylindrical</v>
      </c>
      <c r="P124" t="str">
        <v xml:space="preserve">	Cyl</v>
      </c>
      <c r="Q124" s="11">
        <v>0</v>
      </c>
      <c r="S124" s="2" t="str">
        <v>Io</v>
      </c>
      <c r="T124" s="7" t="str">
        <v>IAU_2015</v>
      </c>
      <c r="U124" s="11" t="b">
        <v>0</v>
      </c>
    </row>
    <row r="125" spans="5:21" x14ac:dyDescent="0.35">
      <c r="E125" s="9" t="str">
        <v>EPSG</v>
      </c>
      <c r="F125" s="7" t="str">
        <v>2131</v>
      </c>
      <c r="G125" t="str">
        <v>ProjectedCrs</v>
      </c>
      <c r="H125" t="str">
        <v>Transverse Mercator</v>
      </c>
      <c r="I125" t="str">
        <v>NZGD2000 / North Taieri 2000</v>
      </c>
      <c r="J125" t="str">
        <v>New Zealand - South Island - North Taieri meridional circuit area.</v>
      </c>
      <c r="K125" s="11">
        <v>0</v>
      </c>
      <c r="M125" s="2" t="str">
        <v>peirce_q</v>
      </c>
      <c r="N125" t="str">
        <v>Projection</v>
      </c>
      <c r="O125" t="str">
        <v>Peirce Quincuncial</v>
      </c>
      <c r="P125" t="str">
        <v xml:space="preserve">	Misc Sph No inv</v>
      </c>
      <c r="Q125" s="11">
        <v>0</v>
      </c>
      <c r="S125" s="2" t="str">
        <v>Itokawa</v>
      </c>
      <c r="T125" s="7" t="str">
        <v>IAU_2015</v>
      </c>
      <c r="U125" s="11" t="b">
        <v>0</v>
      </c>
    </row>
    <row r="126" spans="5:21" x14ac:dyDescent="0.35">
      <c r="E126" s="9" t="str">
        <v>EPSG</v>
      </c>
      <c r="F126" s="7" t="str">
        <v>2132</v>
      </c>
      <c r="G126" t="str">
        <v>ProjectedCrs</v>
      </c>
      <c r="H126" t="str">
        <v>Transverse Mercator</v>
      </c>
      <c r="I126" t="str">
        <v>NZGD2000 / Bluff 2000</v>
      </c>
      <c r="J126" t="str">
        <v>New Zealand - Stewart Island; South Island - Bluff meridional circuit area.</v>
      </c>
      <c r="K126" s="11">
        <v>0</v>
      </c>
      <c r="M126" s="2" t="str">
        <v>pipeline</v>
      </c>
      <c r="N126" t="str">
        <v>Pipeline</v>
      </c>
      <c r="O126" t="str">
        <v>Transformation pipeline manager</v>
      </c>
      <c r="P126" t="str">
        <v>&lt;not available&gt;</v>
      </c>
      <c r="Q126" s="11">
        <v>0</v>
      </c>
      <c r="S126" s="2" t="str">
        <v>Janus</v>
      </c>
      <c r="T126" s="7" t="str">
        <v>IAU_2015</v>
      </c>
      <c r="U126" s="11" t="b">
        <v>0</v>
      </c>
    </row>
    <row r="127" spans="5:21" x14ac:dyDescent="0.35">
      <c r="E127" s="9" t="str">
        <v>EPSG</v>
      </c>
      <c r="F127" s="7" t="str">
        <v>2133</v>
      </c>
      <c r="G127" t="str">
        <v>ProjectedCrs</v>
      </c>
      <c r="H127" t="str">
        <v>Transverse Mercator</v>
      </c>
      <c r="I127" t="str">
        <v>NZGD2000 / UTM zone 58S</v>
      </c>
      <c r="J127" t="str">
        <v>New Zealand - offshore between 162°E and 168°E.</v>
      </c>
      <c r="K127" s="11">
        <v>0</v>
      </c>
      <c r="M127" s="2" t="str">
        <v>poly</v>
      </c>
      <c r="N127" t="str">
        <v>Projection</v>
      </c>
      <c r="O127" t="str">
        <v>Polyconic (American)</v>
      </c>
      <c r="P127" t="str">
        <v xml:space="preserve">	Conic, Sph&amp;Ell</v>
      </c>
      <c r="Q127" s="11">
        <v>0</v>
      </c>
      <c r="S127" s="2" t="str">
        <v>Juliet</v>
      </c>
      <c r="T127" s="7" t="str">
        <v>IAU_2015</v>
      </c>
      <c r="U127" s="11" t="b">
        <v>0</v>
      </c>
    </row>
    <row r="128" spans="5:21" x14ac:dyDescent="0.35">
      <c r="E128" s="9" t="str">
        <v>EPSG</v>
      </c>
      <c r="F128" s="7" t="str">
        <v>2134</v>
      </c>
      <c r="G128" t="str">
        <v>ProjectedCrs</v>
      </c>
      <c r="H128" t="str">
        <v>Transverse Mercator</v>
      </c>
      <c r="I128" t="str">
        <v>NZGD2000 / UTM zone 59S</v>
      </c>
      <c r="J128" t="str">
        <v>New Zealand - offshore between 168°E and 174°E.</v>
      </c>
      <c r="K128" s="11">
        <v>0</v>
      </c>
      <c r="M128" s="2" t="str">
        <v>pop</v>
      </c>
      <c r="N128" t="str">
        <v>Transformation</v>
      </c>
      <c r="O128" t="str">
        <v>Retrieve coordinate value from pipeline stack</v>
      </c>
      <c r="P128" t="str">
        <v>&lt;not available&gt;</v>
      </c>
      <c r="Q128" s="11">
        <v>0</v>
      </c>
      <c r="S128" s="2" t="str">
        <v>Jupiter</v>
      </c>
      <c r="T128" s="7" t="str">
        <v>IAU_2015</v>
      </c>
      <c r="U128" s="11" t="b">
        <v>0</v>
      </c>
    </row>
    <row r="129" spans="5:21" x14ac:dyDescent="0.35">
      <c r="E129" s="9" t="str">
        <v>EPSG</v>
      </c>
      <c r="F129" s="7" t="str">
        <v>2135</v>
      </c>
      <c r="G129" t="str">
        <v>ProjectedCrs</v>
      </c>
      <c r="H129" t="str">
        <v>Transverse Mercator</v>
      </c>
      <c r="I129" t="str">
        <v>NZGD2000 / UTM zone 60S</v>
      </c>
      <c r="J129" t="str">
        <v>New Zealand - offshore between 174°E and 180°E.</v>
      </c>
      <c r="K129" s="11">
        <v>0</v>
      </c>
      <c r="M129" s="2" t="str">
        <v>push</v>
      </c>
      <c r="N129" t="str">
        <v>Transformation</v>
      </c>
      <c r="O129" t="str">
        <v>Save coordinate value on pipeline stack</v>
      </c>
      <c r="P129" t="str">
        <v>&lt;not available&gt;</v>
      </c>
      <c r="Q129" s="11">
        <v>0</v>
      </c>
      <c r="S129" s="2" t="str">
        <v>Kleopatra</v>
      </c>
      <c r="T129" s="7" t="str">
        <v>IAU_2015</v>
      </c>
      <c r="U129" s="11" t="b">
        <v>0</v>
      </c>
    </row>
    <row r="130" spans="5:21" x14ac:dyDescent="0.35">
      <c r="E130" s="9" t="str">
        <v>EPSG</v>
      </c>
      <c r="F130" s="7" t="str">
        <v>2136</v>
      </c>
      <c r="G130" t="str">
        <v>ProjectedCrs</v>
      </c>
      <c r="H130" t="str">
        <v>Transverse Mercator</v>
      </c>
      <c r="I130" t="str">
        <v>Accra / Ghana National Grid</v>
      </c>
      <c r="J130" t="str">
        <v>Ghana - onshore.</v>
      </c>
      <c r="K130" s="11">
        <v>0</v>
      </c>
      <c r="M130" s="2" t="str">
        <v>putp1</v>
      </c>
      <c r="N130" t="str">
        <v>Projection</v>
      </c>
      <c r="O130" t="str">
        <v>Putnins P1</v>
      </c>
      <c r="P130" t="str">
        <v xml:space="preserve">	PCyl, Sph</v>
      </c>
      <c r="Q130" s="11">
        <v>0</v>
      </c>
      <c r="S130" s="2" t="str">
        <v>Larissa</v>
      </c>
      <c r="T130" s="7" t="str">
        <v>IAU_2015</v>
      </c>
      <c r="U130" s="11" t="b">
        <v>0</v>
      </c>
    </row>
    <row r="131" spans="5:21" x14ac:dyDescent="0.35">
      <c r="E131" s="9" t="str">
        <v>EPSG</v>
      </c>
      <c r="F131" s="7" t="str">
        <v>2137</v>
      </c>
      <c r="G131" t="str">
        <v>ProjectedCrs</v>
      </c>
      <c r="H131" t="str">
        <v>Transverse Mercator</v>
      </c>
      <c r="I131" t="str">
        <v>Accra / TM 1 NW</v>
      </c>
      <c r="J131" t="str">
        <v>Ghana - offshore.</v>
      </c>
      <c r="K131" s="11">
        <v>0</v>
      </c>
      <c r="M131" s="2" t="str">
        <v>putp2</v>
      </c>
      <c r="N131" t="str">
        <v>Projection</v>
      </c>
      <c r="O131" t="str">
        <v>Putnins P2</v>
      </c>
      <c r="P131" t="str">
        <v xml:space="preserve">	PCyl, Sph</v>
      </c>
      <c r="Q131" s="11">
        <v>0</v>
      </c>
      <c r="S131" s="2" t="str">
        <v>Leda</v>
      </c>
      <c r="T131" s="7" t="str">
        <v>IAU_2015</v>
      </c>
      <c r="U131" s="11" t="b">
        <v>0</v>
      </c>
    </row>
    <row r="132" spans="5:21" x14ac:dyDescent="0.35">
      <c r="E132" s="9" t="str">
        <v>EPSG</v>
      </c>
      <c r="F132" s="7" t="str">
        <v>2138</v>
      </c>
      <c r="G132" t="str">
        <v>ProjectedCrs</v>
      </c>
      <c r="H132" t="str">
        <v>Lambert Conic Conformal (2SP)</v>
      </c>
      <c r="I132" t="str">
        <v>NAD27(CGQ77) / Quebec Lambert</v>
      </c>
      <c r="J132" t="str">
        <v>Canada - Quebec.</v>
      </c>
      <c r="K132" s="11">
        <v>0</v>
      </c>
      <c r="M132" s="2" t="str">
        <v>putp3</v>
      </c>
      <c r="N132" t="str">
        <v>Projection</v>
      </c>
      <c r="O132" t="str">
        <v>Putnins P3</v>
      </c>
      <c r="P132" t="str">
        <v xml:space="preserve">	PCyl, Sph</v>
      </c>
      <c r="Q132" s="11">
        <v>0</v>
      </c>
      <c r="S132" s="2" t="str">
        <v>Lutetia</v>
      </c>
      <c r="T132" s="7" t="str">
        <v>IAU_2015</v>
      </c>
      <c r="U132" s="11" t="b">
        <v>0</v>
      </c>
    </row>
    <row r="133" spans="5:21" x14ac:dyDescent="0.35">
      <c r="E133" s="9" t="str">
        <v>EPSG</v>
      </c>
      <c r="F133" s="7" t="str">
        <v>2154</v>
      </c>
      <c r="G133" t="str">
        <v>ProjectedCrs</v>
      </c>
      <c r="H133" t="str">
        <v>Lambert Conic Conformal (2SP)</v>
      </c>
      <c r="I133" t="str">
        <v>RGF93 v1 / Lambert-93</v>
      </c>
      <c r="J133" t="str">
        <v>France - onshore and offshore, mainland and Corsica (France métropolitaine including Corsica).</v>
      </c>
      <c r="K133" s="11">
        <v>0</v>
      </c>
      <c r="M133" s="2" t="str">
        <v>putp3p</v>
      </c>
      <c r="N133" t="str">
        <v>Projection</v>
      </c>
      <c r="O133" t="str">
        <v>Putnins P3'</v>
      </c>
      <c r="P133" t="str">
        <v xml:space="preserve">	PCyl, Sph</v>
      </c>
      <c r="Q133" s="11">
        <v>0</v>
      </c>
      <c r="S133" s="2" t="str">
        <v>Lysithea</v>
      </c>
      <c r="T133" s="7" t="str">
        <v>IAU_2015</v>
      </c>
      <c r="U133" s="11" t="b">
        <v>0</v>
      </c>
    </row>
    <row r="134" spans="5:21" x14ac:dyDescent="0.35">
      <c r="E134" s="9" t="str">
        <v>EPSG</v>
      </c>
      <c r="F134" s="7" t="str">
        <v>2157</v>
      </c>
      <c r="G134" t="str">
        <v>ProjectedCrs</v>
      </c>
      <c r="H134" t="str">
        <v>Transverse Mercator</v>
      </c>
      <c r="I134" t="str">
        <v>IRENET95 / Irish Transverse Mercator</v>
      </c>
      <c r="J134" t="str">
        <v>Ireland - onshore. United Kingdom (UK) - Northern Ireland (Ulster) - onshore.</v>
      </c>
      <c r="K134" s="11">
        <v>0</v>
      </c>
      <c r="M134" s="2" t="str">
        <v>putp4p</v>
      </c>
      <c r="N134" t="str">
        <v>Projection</v>
      </c>
      <c r="O134" t="str">
        <v>Putnins P4'</v>
      </c>
      <c r="P134" t="str">
        <v xml:space="preserve">	PCyl, Sph</v>
      </c>
      <c r="Q134" s="11">
        <v>0</v>
      </c>
      <c r="S134" s="2" t="str">
        <v>Mars</v>
      </c>
      <c r="T134" s="7" t="str">
        <v>IAU_2015</v>
      </c>
      <c r="U134" s="11" t="b">
        <v>0</v>
      </c>
    </row>
    <row r="135" spans="5:21" x14ac:dyDescent="0.35">
      <c r="E135" s="9" t="str">
        <v>EPSG</v>
      </c>
      <c r="F135" s="7" t="str">
        <v>2158</v>
      </c>
      <c r="G135" t="str">
        <v>ProjectedCrs</v>
      </c>
      <c r="H135" t="str">
        <v>Transverse Mercator</v>
      </c>
      <c r="I135" t="str">
        <v>IRENET95 / UTM zone 29N</v>
      </c>
      <c r="J135" t="str">
        <v>Ireland - onshore. United Kingdom (UK) - Northern Ireland (Ulster) - onshore.</v>
      </c>
      <c r="K135" s="11">
        <v>0</v>
      </c>
      <c r="M135" s="2" t="str">
        <v>putp5</v>
      </c>
      <c r="N135" t="str">
        <v>Projection</v>
      </c>
      <c r="O135" t="str">
        <v>Putnins P5</v>
      </c>
      <c r="P135" t="str">
        <v xml:space="preserve">	PCyl, Sph</v>
      </c>
      <c r="Q135" s="11">
        <v>0</v>
      </c>
      <c r="S135" s="2" t="str">
        <v>Mathilde</v>
      </c>
      <c r="T135" s="7" t="str">
        <v>IAU_2015</v>
      </c>
      <c r="U135" s="11" t="b">
        <v>0</v>
      </c>
    </row>
    <row r="136" spans="5:21" x14ac:dyDescent="0.35">
      <c r="E136" s="9" t="str">
        <v>EPSG</v>
      </c>
      <c r="F136" s="7" t="str">
        <v>2159</v>
      </c>
      <c r="G136" t="str">
        <v>ProjectedCrs</v>
      </c>
      <c r="H136" t="str">
        <v>Transverse Mercator</v>
      </c>
      <c r="I136" t="str">
        <v>Sierra Leone 1924 / New Colony Grid</v>
      </c>
      <c r="J136" t="str">
        <v>Sierra Leone - Freetown Peninsula.</v>
      </c>
      <c r="K136" s="11">
        <v>0</v>
      </c>
      <c r="M136" s="2" t="str">
        <v>putp5p</v>
      </c>
      <c r="N136" t="str">
        <v>Projection</v>
      </c>
      <c r="O136" t="str">
        <v>Putnins P5'</v>
      </c>
      <c r="P136" t="str">
        <v xml:space="preserve">	PCyl, Sph</v>
      </c>
      <c r="Q136" s="11">
        <v>0</v>
      </c>
      <c r="S136" s="2" t="str">
        <v>Mercury</v>
      </c>
      <c r="T136" s="7" t="str">
        <v>IAU_2015</v>
      </c>
      <c r="U136" s="11" t="b">
        <v>0</v>
      </c>
    </row>
    <row r="137" spans="5:21" x14ac:dyDescent="0.35">
      <c r="E137" s="9" t="str">
        <v>EPSG</v>
      </c>
      <c r="F137" s="7" t="str">
        <v>2160</v>
      </c>
      <c r="G137" t="str">
        <v>ProjectedCrs</v>
      </c>
      <c r="H137" t="str">
        <v>Transverse Mercator</v>
      </c>
      <c r="I137" t="str">
        <v>Sierra Leone 1924 / New War Office Grid</v>
      </c>
      <c r="J137" t="str">
        <v>Sierra Leone - Freetown Peninsula.</v>
      </c>
      <c r="K137" s="11">
        <v>0</v>
      </c>
      <c r="M137" s="2" t="str">
        <v>putp6</v>
      </c>
      <c r="N137" t="str">
        <v>Projection</v>
      </c>
      <c r="O137" t="str">
        <v>Putnins P6</v>
      </c>
      <c r="P137" t="str">
        <v xml:space="preserve">	PCyl, Sph</v>
      </c>
      <c r="Q137" s="11">
        <v>0</v>
      </c>
      <c r="S137" s="2" t="str">
        <v>Methone</v>
      </c>
      <c r="T137" s="7" t="str">
        <v>IAU_2015</v>
      </c>
      <c r="U137" s="11" t="b">
        <v>0</v>
      </c>
    </row>
    <row r="138" spans="5:21" x14ac:dyDescent="0.35">
      <c r="E138" s="9" t="str">
        <v>EPSG</v>
      </c>
      <c r="F138" s="7" t="str">
        <v>2161</v>
      </c>
      <c r="G138" t="str">
        <v>ProjectedCrs</v>
      </c>
      <c r="H138" t="str">
        <v>Transverse Mercator</v>
      </c>
      <c r="I138" t="str">
        <v>Sierra Leone 1968 / UTM zone 28N</v>
      </c>
      <c r="J138" t="str">
        <v>Sierra Leone - onshore west of 12°W.</v>
      </c>
      <c r="K138" s="11">
        <v>0</v>
      </c>
      <c r="M138" s="2" t="str">
        <v>putp6p</v>
      </c>
      <c r="N138" t="str">
        <v>Projection</v>
      </c>
      <c r="O138" t="str">
        <v>Putnins P6'</v>
      </c>
      <c r="P138" t="str">
        <v xml:space="preserve">	PCyl, Sph</v>
      </c>
      <c r="Q138" s="11">
        <v>0</v>
      </c>
      <c r="S138" s="2" t="str">
        <v>Metis</v>
      </c>
      <c r="T138" s="7" t="str">
        <v>IAU_2015</v>
      </c>
      <c r="U138" s="11" t="b">
        <v>0</v>
      </c>
    </row>
    <row r="139" spans="5:21" x14ac:dyDescent="0.35">
      <c r="E139" s="9" t="str">
        <v>EPSG</v>
      </c>
      <c r="F139" s="7" t="str">
        <v>2162</v>
      </c>
      <c r="G139" t="str">
        <v>ProjectedCrs</v>
      </c>
      <c r="H139" t="str">
        <v>Transverse Mercator</v>
      </c>
      <c r="I139" t="str">
        <v>Sierra Leone 1968 / UTM zone 29N</v>
      </c>
      <c r="J139" t="str">
        <v>Sierra Leone - onshore east of 12°W.</v>
      </c>
      <c r="K139" s="11">
        <v>0</v>
      </c>
      <c r="M139" s="2" t="str">
        <v>qua_aut</v>
      </c>
      <c r="N139" t="str">
        <v>Projection</v>
      </c>
      <c r="O139" t="str">
        <v>Quartic Authalic</v>
      </c>
      <c r="P139" t="str">
        <v xml:space="preserve">	PCyl, Sph</v>
      </c>
      <c r="Q139" s="11">
        <v>0</v>
      </c>
      <c r="S139" s="2" t="str">
        <v>Mimas</v>
      </c>
      <c r="T139" s="7" t="str">
        <v>IAU_2015</v>
      </c>
      <c r="U139" s="11" t="b">
        <v>0</v>
      </c>
    </row>
    <row r="140" spans="5:21" x14ac:dyDescent="0.35">
      <c r="E140" s="9" t="str">
        <v>EPSG</v>
      </c>
      <c r="F140" s="7" t="str">
        <v>2164</v>
      </c>
      <c r="G140" t="str">
        <v>ProjectedCrs</v>
      </c>
      <c r="H140" t="str">
        <v>Transverse Mercator</v>
      </c>
      <c r="I140" t="str">
        <v>Locodjo 1965 / TM 5 NW</v>
      </c>
      <c r="J140" t="str">
        <v>Côte d'Ivoire (Ivory Coast) - offshore.</v>
      </c>
      <c r="K140" s="11">
        <v>0</v>
      </c>
      <c r="M140" s="2" t="str">
        <v>qsc</v>
      </c>
      <c r="N140" t="str">
        <v>Projection</v>
      </c>
      <c r="O140" t="str">
        <v>Quadrilateralized Spherical Cube</v>
      </c>
      <c r="P140" t="str">
        <v xml:space="preserve">	Azi, Sph</v>
      </c>
      <c r="Q140" s="11">
        <v>0</v>
      </c>
      <c r="S140" s="2" t="str">
        <v>Miranda</v>
      </c>
      <c r="T140" s="7" t="str">
        <v>IAU_2015</v>
      </c>
      <c r="U140" s="11" t="b">
        <v>0</v>
      </c>
    </row>
    <row r="141" spans="5:21" x14ac:dyDescent="0.35">
      <c r="E141" s="9" t="str">
        <v>EPSG</v>
      </c>
      <c r="F141" s="7" t="str">
        <v>2165</v>
      </c>
      <c r="G141" t="str">
        <v>ProjectedCrs</v>
      </c>
      <c r="H141" t="str">
        <v>Transverse Mercator</v>
      </c>
      <c r="I141" t="str">
        <v>Abidjan 1987 / TM 5 NW</v>
      </c>
      <c r="J141" t="str">
        <v>Côte d'Ivoire (Ivory Coast) - offshore.</v>
      </c>
      <c r="K141" s="11">
        <v>0</v>
      </c>
      <c r="M141" s="2" t="str">
        <v>robin</v>
      </c>
      <c r="N141" t="str">
        <v>Projection</v>
      </c>
      <c r="O141" t="str">
        <v>Robinson</v>
      </c>
      <c r="P141" t="str">
        <v xml:space="preserve">	PCyl, Sph</v>
      </c>
      <c r="Q141" s="11">
        <v>0</v>
      </c>
      <c r="S141" s="2" t="str">
        <v>Moon</v>
      </c>
      <c r="T141" s="7" t="str">
        <v>IAU_2015</v>
      </c>
      <c r="U141" s="11" t="b">
        <v>0</v>
      </c>
    </row>
    <row r="142" spans="5:21" x14ac:dyDescent="0.35">
      <c r="E142" s="9" t="str">
        <v>EPSG</v>
      </c>
      <c r="F142" s="7" t="str">
        <v>2169</v>
      </c>
      <c r="G142" t="str">
        <v>ProjectedCrs</v>
      </c>
      <c r="H142" t="str">
        <v>Transverse Mercator</v>
      </c>
      <c r="I142" t="str">
        <v>LUREF / Luxembourg TM</v>
      </c>
      <c r="J142" t="str">
        <v>Luxembourg.</v>
      </c>
      <c r="K142" s="11">
        <v>0</v>
      </c>
      <c r="M142" s="2" t="str">
        <v>rouss</v>
      </c>
      <c r="N142" t="str">
        <v>Projection</v>
      </c>
      <c r="O142" t="str">
        <v>Roussilhe Stereographic</v>
      </c>
      <c r="P142" t="str">
        <v xml:space="preserve">	Azi, Ell</v>
      </c>
      <c r="Q142" s="11">
        <v>0</v>
      </c>
      <c r="S142" s="2" t="str">
        <v>Naiad</v>
      </c>
      <c r="T142" s="7" t="str">
        <v>IAU_2015</v>
      </c>
      <c r="U142" s="11" t="b">
        <v>0</v>
      </c>
    </row>
    <row r="143" spans="5:21" x14ac:dyDescent="0.35">
      <c r="E143" s="9" t="str">
        <v>EPSG</v>
      </c>
      <c r="F143" s="7" t="str">
        <v>2172</v>
      </c>
      <c r="G143" t="str">
        <v>ProjectedCrs</v>
      </c>
      <c r="H143" t="str">
        <v>Oblique Stereographic</v>
      </c>
      <c r="I143" t="str">
        <v>Pulkovo 1942(58) / Poland zone II</v>
      </c>
      <c r="J143" t="str">
        <v>Poland - northeast - onshore north of 51°20'N and east of 19°E.</v>
      </c>
      <c r="K143" s="11">
        <v>0</v>
      </c>
      <c r="M143" s="2" t="str">
        <v>rpoly</v>
      </c>
      <c r="N143" t="str">
        <v>Projection</v>
      </c>
      <c r="O143" t="str">
        <v>Rectangular Polyconic</v>
      </c>
      <c r="P143" t="str">
        <v xml:space="preserve">	Conic, Sph, no inv
	lat_ts=</v>
      </c>
      <c r="Q143" s="11">
        <v>1</v>
      </c>
      <c r="S143" s="2" t="str">
        <v>Neptune</v>
      </c>
      <c r="T143" s="7" t="str">
        <v>IAU_2015</v>
      </c>
      <c r="U143" s="11" t="b">
        <v>0</v>
      </c>
    </row>
    <row r="144" spans="5:21" x14ac:dyDescent="0.35">
      <c r="E144" s="9" t="str">
        <v>EPSG</v>
      </c>
      <c r="F144" s="7" t="str">
        <v>2173</v>
      </c>
      <c r="G144" t="str">
        <v>ProjectedCrs</v>
      </c>
      <c r="H144" t="str">
        <v>Oblique Stereographic</v>
      </c>
      <c r="I144" t="str">
        <v>Pulkovo 1942(58) / Poland zone III</v>
      </c>
      <c r="J144" t="str">
        <v>Poland - northwest - onshore north of 52°10'N and west of 20°E.</v>
      </c>
      <c r="K144" s="11">
        <v>0</v>
      </c>
      <c r="M144" s="2" t="str">
        <v>s2</v>
      </c>
      <c r="N144" t="str">
        <v>Projection</v>
      </c>
      <c r="O144" t="str">
        <v>S2</v>
      </c>
      <c r="P144" t="str">
        <v xml:space="preserve">	Misc, Sph&amp;Ell</v>
      </c>
      <c r="Q144" s="11">
        <v>0</v>
      </c>
      <c r="S144" s="2" t="str">
        <v>Nereid</v>
      </c>
      <c r="T144" s="7" t="str">
        <v>IAU_2015</v>
      </c>
      <c r="U144" s="11" t="b">
        <v>0</v>
      </c>
    </row>
    <row r="145" spans="5:21" x14ac:dyDescent="0.35">
      <c r="E145" s="9" t="str">
        <v>EPSG</v>
      </c>
      <c r="F145" s="7" t="str">
        <v>2174</v>
      </c>
      <c r="G145" t="str">
        <v>ProjectedCrs</v>
      </c>
      <c r="H145" t="str">
        <v>Oblique Stereographic</v>
      </c>
      <c r="I145" t="str">
        <v>Pulkovo 1942(58) / Poland zone IV</v>
      </c>
      <c r="J145" t="str">
        <v>Poland - southwest - south of 53°20'N and west of 19°05'E.</v>
      </c>
      <c r="K145" s="11">
        <v>0</v>
      </c>
      <c r="M145" s="2" t="str">
        <v>sch</v>
      </c>
      <c r="N145" t="str">
        <v>Projection</v>
      </c>
      <c r="O145" t="str">
        <v>Spherical Cross-track Height</v>
      </c>
      <c r="P145" t="str">
        <v xml:space="preserve">	Misc
	plat_0= plon_0= phdg_0= [h_0=]</v>
      </c>
      <c r="Q145" s="11">
        <v>3</v>
      </c>
      <c r="S145" s="2" t="str">
        <v>Oberon</v>
      </c>
      <c r="T145" s="7" t="str">
        <v>IAU_2015</v>
      </c>
      <c r="U145" s="11" t="b">
        <v>0</v>
      </c>
    </row>
    <row r="146" spans="5:21" x14ac:dyDescent="0.35">
      <c r="E146" s="9" t="str">
        <v>EPSG</v>
      </c>
      <c r="F146" s="7" t="str">
        <v>2175</v>
      </c>
      <c r="G146" t="str">
        <v>ProjectedCrs</v>
      </c>
      <c r="H146" t="str">
        <v>Transverse Mercator</v>
      </c>
      <c r="I146" t="str">
        <v>Pulkovo 1942(58) / Poland zone V</v>
      </c>
      <c r="J146" t="str">
        <v>Poland - south central - between 49°20'N and 51°20'N, 18°20'E and 19°40'E.</v>
      </c>
      <c r="K146" s="11">
        <v>0</v>
      </c>
      <c r="M146" s="2" t="str">
        <v>set</v>
      </c>
      <c r="N146" t="str">
        <v>Transformation</v>
      </c>
      <c r="O146" t="str">
        <v>Set coordinate value</v>
      </c>
      <c r="P146" t="str">
        <v>&lt;not available&gt;</v>
      </c>
      <c r="Q146" s="11">
        <v>0</v>
      </c>
      <c r="S146" s="2" t="str">
        <v>Ophelia</v>
      </c>
      <c r="T146" s="7" t="str">
        <v>IAU_2015</v>
      </c>
      <c r="U146" s="11" t="b">
        <v>0</v>
      </c>
    </row>
    <row r="147" spans="5:21" x14ac:dyDescent="0.35">
      <c r="E147" s="9" t="str">
        <v>EPSG</v>
      </c>
      <c r="F147" s="7" t="str">
        <v>2176</v>
      </c>
      <c r="G147" t="str">
        <v>ProjectedCrs</v>
      </c>
      <c r="H147" t="str">
        <v>Transverse Mercator</v>
      </c>
      <c r="I147" t="str">
        <v>ETRF2000-PL / CS2000/15</v>
      </c>
      <c r="J147" t="str">
        <v>Poland - onshore and offshore west of 16°30'E.</v>
      </c>
      <c r="K147" s="11">
        <v>0</v>
      </c>
      <c r="M147" s="2" t="str">
        <v>sinu</v>
      </c>
      <c r="N147" t="str">
        <v>Projection</v>
      </c>
      <c r="O147" t="str">
        <v>Sinusoidal (Sanson-Flamsteed)</v>
      </c>
      <c r="P147" t="str">
        <v xml:space="preserve">	PCyl, Sph&amp;Ell</v>
      </c>
      <c r="Q147" s="11">
        <v>0</v>
      </c>
      <c r="S147" s="2" t="str">
        <v>Pallene</v>
      </c>
      <c r="T147" s="7" t="str">
        <v>IAU_2015</v>
      </c>
      <c r="U147" s="11" t="b">
        <v>0</v>
      </c>
    </row>
    <row r="148" spans="5:21" x14ac:dyDescent="0.35">
      <c r="E148" s="9" t="str">
        <v>EPSG</v>
      </c>
      <c r="F148" s="7" t="str">
        <v>2177</v>
      </c>
      <c r="G148" t="str">
        <v>ProjectedCrs</v>
      </c>
      <c r="H148" t="str">
        <v>Transverse Mercator</v>
      </c>
      <c r="I148" t="str">
        <v>ETRF2000-PL / CS2000/18</v>
      </c>
      <c r="J148" t="str">
        <v>Poland - onshore and offshore between 16°30'E and 19°30'E.</v>
      </c>
      <c r="K148" s="11">
        <v>0</v>
      </c>
      <c r="M148" s="2" t="str">
        <v>som</v>
      </c>
      <c r="N148" t="str">
        <v>Projection</v>
      </c>
      <c r="O148" t="str">
        <v>Space Oblique Mercator</v>
      </c>
      <c r="P148" t="str">
        <v xml:space="preserve">	Cyl, Sph&amp;Ell
	inc_angle= ps_rev= asc_lon= </v>
      </c>
      <c r="Q148" s="11">
        <v>3</v>
      </c>
      <c r="S148" s="2" t="str">
        <v>Pan</v>
      </c>
      <c r="T148" s="7" t="str">
        <v>IAU_2015</v>
      </c>
      <c r="U148" s="11" t="b">
        <v>0</v>
      </c>
    </row>
    <row r="149" spans="5:21" x14ac:dyDescent="0.35">
      <c r="E149" s="9" t="str">
        <v>EPSG</v>
      </c>
      <c r="F149" s="7" t="str">
        <v>2178</v>
      </c>
      <c r="G149" t="str">
        <v>ProjectedCrs</v>
      </c>
      <c r="H149" t="str">
        <v>Transverse Mercator</v>
      </c>
      <c r="I149" t="str">
        <v>ETRF2000-PL / CS2000/21</v>
      </c>
      <c r="J149" t="str">
        <v>Poland - onshore and offshore between 19°30'E and 22°30'E.</v>
      </c>
      <c r="K149" s="11">
        <v>0</v>
      </c>
      <c r="M149" s="2" t="str">
        <v>somerc</v>
      </c>
      <c r="N149" t="str">
        <v>Projection</v>
      </c>
      <c r="O149" t="str">
        <v>Swiss. Obl. Mercator</v>
      </c>
      <c r="P149" t="str">
        <v xml:space="preserve">	Cyl, Ell
	For CH1903</v>
      </c>
      <c r="Q149" s="11">
        <v>0</v>
      </c>
      <c r="S149" s="2" t="str">
        <v>Pandora</v>
      </c>
      <c r="T149" s="7" t="str">
        <v>IAU_2015</v>
      </c>
      <c r="U149" s="11" t="b">
        <v>0</v>
      </c>
    </row>
    <row r="150" spans="5:21" x14ac:dyDescent="0.35">
      <c r="E150" s="9" t="str">
        <v>EPSG</v>
      </c>
      <c r="F150" s="7" t="str">
        <v>2179</v>
      </c>
      <c r="G150" t="str">
        <v>ProjectedCrs</v>
      </c>
      <c r="H150" t="str">
        <v>Transverse Mercator</v>
      </c>
      <c r="I150" t="str">
        <v>ETRF2000-PL / CS2000/24</v>
      </c>
      <c r="J150" t="str">
        <v>Poland - east of 22°30'E.</v>
      </c>
      <c r="K150" s="11">
        <v>0</v>
      </c>
      <c r="M150" s="2" t="str">
        <v>stere</v>
      </c>
      <c r="N150" t="str">
        <v>Projection</v>
      </c>
      <c r="O150" t="str">
        <v>Stereographic</v>
      </c>
      <c r="P150" t="str">
        <v xml:space="preserve">	Azi, Sph&amp;Ell
	lat_ts=</v>
      </c>
      <c r="Q150" s="11">
        <v>1</v>
      </c>
      <c r="S150" s="2" t="str">
        <v>Pasiphae</v>
      </c>
      <c r="T150" s="7" t="str">
        <v>IAU_2015</v>
      </c>
      <c r="U150" s="11" t="b">
        <v>0</v>
      </c>
    </row>
    <row r="151" spans="5:21" x14ac:dyDescent="0.35">
      <c r="E151" s="9" t="str">
        <v>EPSG</v>
      </c>
      <c r="F151" s="7" t="str">
        <v>2180</v>
      </c>
      <c r="G151" t="str">
        <v>ProjectedCrs</v>
      </c>
      <c r="H151" t="str">
        <v>Transverse Mercator</v>
      </c>
      <c r="I151" t="str">
        <v>ETRF2000-PL / CS92</v>
      </c>
      <c r="J151" t="str">
        <v>Poland - onshore and offshore.</v>
      </c>
      <c r="K151" s="11">
        <v>0</v>
      </c>
      <c r="M151" s="2" t="str">
        <v>sterea</v>
      </c>
      <c r="N151" t="str">
        <v>Projection</v>
      </c>
      <c r="O151" t="str">
        <v>Oblique Stereographic Alternative</v>
      </c>
      <c r="P151" t="str">
        <v xml:space="preserve">	Azimuthal, Sph&amp;Ell</v>
      </c>
      <c r="Q151" s="11">
        <v>0</v>
      </c>
      <c r="S151" s="2" t="str">
        <v>Phobos</v>
      </c>
      <c r="T151" s="7" t="str">
        <v>IAU_2015</v>
      </c>
      <c r="U151" s="11" t="b">
        <v>0</v>
      </c>
    </row>
    <row r="152" spans="5:21" x14ac:dyDescent="0.35">
      <c r="E152" s="9" t="str">
        <v>EPSG</v>
      </c>
      <c r="F152" s="7" t="str">
        <v>2188</v>
      </c>
      <c r="G152" t="str">
        <v>ProjectedCrs</v>
      </c>
      <c r="H152" t="str">
        <v>Transverse Mercator</v>
      </c>
      <c r="I152" t="str">
        <v>Azores Occidental 1939 / UTM zone 25N</v>
      </c>
      <c r="J152" t="str">
        <v>Portugal - western Azores onshore - Flores, Corvo.</v>
      </c>
      <c r="K152" s="11">
        <v>0</v>
      </c>
      <c r="M152" s="2" t="str">
        <v>gstmerc</v>
      </c>
      <c r="N152" t="str">
        <v>Projection</v>
      </c>
      <c r="O152" t="str">
        <v>Gauss-Schreiber Transverse Mercator (aka Gauss-Laborde Reunion)</v>
      </c>
      <c r="P152" t="str">
        <v xml:space="preserve">	Cyl, Sph&amp;Ell
	lat_0= lon_0= k_0=</v>
      </c>
      <c r="Q152" s="11">
        <v>3</v>
      </c>
      <c r="S152" s="2" t="str">
        <v>Phoebe</v>
      </c>
      <c r="T152" s="7" t="str">
        <v>IAU_2015</v>
      </c>
      <c r="U152" s="11" t="b">
        <v>0</v>
      </c>
    </row>
    <row r="153" spans="5:21" x14ac:dyDescent="0.35">
      <c r="E153" s="9" t="str">
        <v>EPSG</v>
      </c>
      <c r="F153" s="7" t="str">
        <v>2189</v>
      </c>
      <c r="G153" t="str">
        <v>ProjectedCrs</v>
      </c>
      <c r="H153" t="str">
        <v>Transverse Mercator</v>
      </c>
      <c r="I153" t="str">
        <v>Azores Central 1948 / UTM zone 26N</v>
      </c>
      <c r="J153" t="str">
        <v>Portugal - central Azores onshore - Faial, Graciosa, Pico, Sao Jorge, Terceira.</v>
      </c>
      <c r="K153" s="11">
        <v>0</v>
      </c>
      <c r="M153" s="2" t="str">
        <v>tcc</v>
      </c>
      <c r="N153" t="str">
        <v>Projection</v>
      </c>
      <c r="O153" t="str">
        <v>Transverse Central Cylindrical</v>
      </c>
      <c r="P153" t="str">
        <v xml:space="preserve">	Cyl, Sph, no inv</v>
      </c>
      <c r="Q153" s="11">
        <v>0</v>
      </c>
      <c r="S153" s="2" t="str">
        <v>Pluto</v>
      </c>
      <c r="T153" s="7" t="str">
        <v>IAU_2015</v>
      </c>
      <c r="U153" s="11" t="b">
        <v>0</v>
      </c>
    </row>
    <row r="154" spans="5:21" x14ac:dyDescent="0.35">
      <c r="E154" s="9" t="str">
        <v>EPSG</v>
      </c>
      <c r="F154" s="7" t="str">
        <v>2190</v>
      </c>
      <c r="G154" t="str">
        <v>ProjectedCrs</v>
      </c>
      <c r="H154" t="str">
        <v>Transverse Mercator</v>
      </c>
      <c r="I154" t="str">
        <v>Azores Oriental 1940 / UTM zone 26N</v>
      </c>
      <c r="J154" t="str">
        <v>Portugal - eastern Azores onshore - Sao Miguel, Santa Maria, Formigas.</v>
      </c>
      <c r="K154" s="11">
        <v>0</v>
      </c>
      <c r="M154" s="2" t="str">
        <v>tcea</v>
      </c>
      <c r="N154" t="str">
        <v>Projection</v>
      </c>
      <c r="O154" t="str">
        <v>Transverse Cylindrical Equal Area</v>
      </c>
      <c r="P154" t="str">
        <v xml:space="preserve">	Cyl, Sph</v>
      </c>
      <c r="Q154" s="11">
        <v>0</v>
      </c>
      <c r="S154" s="2" t="str">
        <v>Polydeuces</v>
      </c>
      <c r="T154" s="7" t="str">
        <v>IAU_2015</v>
      </c>
      <c r="U154" s="11" t="b">
        <v>0</v>
      </c>
    </row>
    <row r="155" spans="5:21" x14ac:dyDescent="0.35">
      <c r="E155" s="9" t="str">
        <v>EPSG</v>
      </c>
      <c r="F155" s="7" t="str">
        <v>2193</v>
      </c>
      <c r="G155" t="str">
        <v>ProjectedCrs</v>
      </c>
      <c r="H155" t="str">
        <v>Transverse Mercator</v>
      </c>
      <c r="I155" t="str">
        <v>NZGD2000 / New Zealand Transverse Mercator 2000</v>
      </c>
      <c r="J155" t="str">
        <v>New Zealand - North Island, South Island, Stewart Island - onshore.</v>
      </c>
      <c r="K155" s="11">
        <v>0</v>
      </c>
      <c r="M155" s="2" t="str">
        <v>times</v>
      </c>
      <c r="N155" t="str">
        <v>Projection</v>
      </c>
      <c r="O155" t="str">
        <v>Times</v>
      </c>
      <c r="P155" t="str">
        <v xml:space="preserve">	Cyl, Sph</v>
      </c>
      <c r="Q155" s="11">
        <v>0</v>
      </c>
      <c r="S155" s="2" t="str">
        <v>Portia</v>
      </c>
      <c r="T155" s="7" t="str">
        <v>IAU_2015</v>
      </c>
      <c r="U155" s="11" t="b">
        <v>0</v>
      </c>
    </row>
    <row r="156" spans="5:21" x14ac:dyDescent="0.35">
      <c r="E156" s="9" t="str">
        <v>EPSG</v>
      </c>
      <c r="F156" s="7" t="str">
        <v>2195</v>
      </c>
      <c r="G156" t="str">
        <v>ProjectedCrs</v>
      </c>
      <c r="H156" t="str">
        <v>Transverse Mercator</v>
      </c>
      <c r="I156" t="str">
        <v>NAD83(HARN) / UTM zone 2S</v>
      </c>
      <c r="J156" t="str">
        <v>American Samoa - Tutuila, Aunu'u, Ofu, Olesega, Ta'u and Rose islands.</v>
      </c>
      <c r="K156" s="11">
        <v>0</v>
      </c>
      <c r="M156" s="2" t="str">
        <v>tinshift</v>
      </c>
      <c r="N156" t="str">
        <v>Transformation</v>
      </c>
      <c r="O156" t="str">
        <v>Triangulation based transformation</v>
      </c>
      <c r="P156" t="str">
        <v>&lt;not available&gt;</v>
      </c>
      <c r="Q156" s="11">
        <v>0</v>
      </c>
      <c r="S156" s="2" t="str">
        <v>Prometheus</v>
      </c>
      <c r="T156" s="7" t="str">
        <v>IAU_2015</v>
      </c>
      <c r="U156" s="11" t="b">
        <v>0</v>
      </c>
    </row>
    <row r="157" spans="5:21" x14ac:dyDescent="0.35">
      <c r="E157" s="9" t="str">
        <v>EPSG</v>
      </c>
      <c r="F157" s="7" t="str">
        <v>2196</v>
      </c>
      <c r="G157" t="str">
        <v>ProjectedCrs</v>
      </c>
      <c r="H157" t="str">
        <v>Transverse Mercator</v>
      </c>
      <c r="I157" t="str">
        <v>ETRS89 / Kp2000 Jutland</v>
      </c>
      <c r="J157" t="str">
        <v>Denmark - Jutland and Funen - onshore.</v>
      </c>
      <c r="K157" s="11">
        <v>0</v>
      </c>
      <c r="M157" s="2" t="str">
        <v>tissot</v>
      </c>
      <c r="N157" t="str">
        <v>Projection</v>
      </c>
      <c r="O157" t="str">
        <v>Tissot</v>
      </c>
      <c r="P157" t="str">
        <v xml:space="preserve">	Conic, Sph
	lat_1= and lat_2=</v>
      </c>
      <c r="Q157" s="11">
        <v>2</v>
      </c>
      <c r="S157" s="2" t="str">
        <v>Proteus</v>
      </c>
      <c r="T157" s="7" t="str">
        <v>IAU_2015</v>
      </c>
      <c r="U157" s="11" t="b">
        <v>0</v>
      </c>
    </row>
    <row r="158" spans="5:21" x14ac:dyDescent="0.35">
      <c r="E158" s="9" t="str">
        <v>EPSG</v>
      </c>
      <c r="F158" s="7" t="str">
        <v>2197</v>
      </c>
      <c r="G158" t="str">
        <v>ProjectedCrs</v>
      </c>
      <c r="H158" t="str">
        <v>Transverse Mercator</v>
      </c>
      <c r="I158" t="str">
        <v>ETRS89 / Kp2000 Zealand</v>
      </c>
      <c r="J158" t="str">
        <v>Denmark - Zealand and Lolland (onshore).</v>
      </c>
      <c r="K158" s="11">
        <v>0</v>
      </c>
      <c r="M158" s="2" t="str">
        <v>tmerc</v>
      </c>
      <c r="N158" t="str">
        <v>Projection</v>
      </c>
      <c r="O158" t="str">
        <v>Transverse Mercator</v>
      </c>
      <c r="P158" t="str">
        <v xml:space="preserve">	Cyl, Sph&amp;Ell
	approx</v>
      </c>
      <c r="Q158" s="11">
        <v>0</v>
      </c>
      <c r="S158" s="2" t="str">
        <v>Psyche</v>
      </c>
      <c r="T158" s="7" t="str">
        <v>IAU_2015</v>
      </c>
      <c r="U158" s="11" t="b">
        <v>0</v>
      </c>
    </row>
    <row r="159" spans="5:21" x14ac:dyDescent="0.35">
      <c r="E159" s="9" t="str">
        <v>EPSG</v>
      </c>
      <c r="F159" s="7" t="str">
        <v>2198</v>
      </c>
      <c r="G159" t="str">
        <v>ProjectedCrs</v>
      </c>
      <c r="H159" t="str">
        <v>Transverse Mercator</v>
      </c>
      <c r="I159" t="str">
        <v>ETRS89 / Kp2000 Bornholm</v>
      </c>
      <c r="J159" t="str">
        <v>Denmark - Bornholm onshore.</v>
      </c>
      <c r="K159" s="11">
        <v>0</v>
      </c>
      <c r="M159" s="2" t="str">
        <v>tobmerc</v>
      </c>
      <c r="N159" t="str">
        <v>Projection</v>
      </c>
      <c r="O159" t="str">
        <v>Tobler-Mercator</v>
      </c>
      <c r="P159" t="str">
        <v xml:space="preserve">	Cyl, Sph</v>
      </c>
      <c r="Q159" s="11">
        <v>0</v>
      </c>
      <c r="S159" s="2" t="str">
        <v>Puck</v>
      </c>
      <c r="T159" s="7" t="str">
        <v>IAU_2015</v>
      </c>
      <c r="U159" s="11" t="b">
        <v>0</v>
      </c>
    </row>
    <row r="160" spans="5:21" x14ac:dyDescent="0.35">
      <c r="E160" s="9" t="str">
        <v>EPSG</v>
      </c>
      <c r="F160" s="7" t="str">
        <v>2200</v>
      </c>
      <c r="G160" t="str">
        <v>ProjectedCrs</v>
      </c>
      <c r="H160" t="str">
        <v>Oblique Stereographic</v>
      </c>
      <c r="I160" t="str">
        <v>ATS77 / New Brunswick Stereographic (ATS77)</v>
      </c>
      <c r="J160" t="str">
        <v>Canada - New Brunswick.</v>
      </c>
      <c r="K160" s="11">
        <v>0</v>
      </c>
      <c r="M160" s="2" t="str">
        <v>topocentric</v>
      </c>
      <c r="N160" t="str">
        <v>Transformation</v>
      </c>
      <c r="O160" t="str">
        <v>Geocentric/Topocentric conversion</v>
      </c>
      <c r="P160" t="str">
        <v>&lt;not available&gt;</v>
      </c>
      <c r="Q160" s="11">
        <v>0</v>
      </c>
      <c r="S160" s="2" t="str">
        <v>Rhea</v>
      </c>
      <c r="T160" s="7" t="str">
        <v>IAU_2015</v>
      </c>
      <c r="U160" s="11" t="b">
        <v>0</v>
      </c>
    </row>
    <row r="161" spans="5:21" x14ac:dyDescent="0.35">
      <c r="E161" s="9" t="str">
        <v>EPSG</v>
      </c>
      <c r="F161" s="7" t="str">
        <v>2201</v>
      </c>
      <c r="G161" t="str">
        <v>ProjectedCrs</v>
      </c>
      <c r="H161" t="str">
        <v>Transverse Mercator</v>
      </c>
      <c r="I161" t="str">
        <v>REGVEN / UTM zone 18N</v>
      </c>
      <c r="J161" t="str">
        <v>Venezuela - west of 72°W.</v>
      </c>
      <c r="K161" s="11">
        <v>0</v>
      </c>
      <c r="M161" s="2" t="str">
        <v>tpeqd</v>
      </c>
      <c r="N161" t="str">
        <v>Projection</v>
      </c>
      <c r="O161" t="str">
        <v>Two Point Equidistant</v>
      </c>
      <c r="P161" t="str">
        <v xml:space="preserve">	Misc Sph
	lat_1= lon_1= lat_2= lon_2=</v>
      </c>
      <c r="Q161" s="11">
        <v>4</v>
      </c>
      <c r="S161" s="2" t="str">
        <v>Rosalind</v>
      </c>
      <c r="T161" s="7" t="str">
        <v>IAU_2015</v>
      </c>
      <c r="U161" s="11" t="b">
        <v>0</v>
      </c>
    </row>
    <row r="162" spans="5:21" x14ac:dyDescent="0.35">
      <c r="E162" s="9" t="str">
        <v>EPSG</v>
      </c>
      <c r="F162" s="7" t="str">
        <v>2202</v>
      </c>
      <c r="G162" t="str">
        <v>ProjectedCrs</v>
      </c>
      <c r="H162" t="str">
        <v>Transverse Mercator</v>
      </c>
      <c r="I162" t="str">
        <v>REGVEN / UTM zone 19N</v>
      </c>
      <c r="J162" t="str">
        <v>Venezuela - between 72°W and 66°W, onshore and offshore.</v>
      </c>
      <c r="K162" s="11">
        <v>0</v>
      </c>
      <c r="M162" s="2" t="str">
        <v>tpers</v>
      </c>
      <c r="N162" t="str">
        <v>Projection</v>
      </c>
      <c r="O162" t="str">
        <v>Tilted perspective</v>
      </c>
      <c r="P162" t="str">
        <v xml:space="preserve">	Azi, Sph
	tilt= azi= h=</v>
      </c>
      <c r="Q162" s="11">
        <v>3</v>
      </c>
      <c r="S162" s="2" t="str">
        <v>Saturn</v>
      </c>
      <c r="T162" s="7" t="str">
        <v>IAU_2015</v>
      </c>
      <c r="U162" s="11" t="b">
        <v>0</v>
      </c>
    </row>
    <row r="163" spans="5:21" x14ac:dyDescent="0.35">
      <c r="E163" s="9" t="str">
        <v>EPSG</v>
      </c>
      <c r="F163" s="7" t="str">
        <v>2203</v>
      </c>
      <c r="G163" t="str">
        <v>ProjectedCrs</v>
      </c>
      <c r="H163" t="str">
        <v>Transverse Mercator</v>
      </c>
      <c r="I163" t="str">
        <v>REGVEN / UTM zone 20N</v>
      </c>
      <c r="J163" t="str">
        <v>Venezuela - east of 66°W, onshore and offshore.</v>
      </c>
      <c r="K163" s="11">
        <v>0</v>
      </c>
      <c r="M163" s="2" t="str">
        <v>unitconvert</v>
      </c>
      <c r="N163" t="str">
        <v>Transformation</v>
      </c>
      <c r="O163" t="str">
        <v>Unit conversion</v>
      </c>
      <c r="P163" t="str">
        <v>&lt;not available&gt;</v>
      </c>
      <c r="Q163" s="11">
        <v>0</v>
      </c>
      <c r="S163" s="2" t="str">
        <v>Sinope</v>
      </c>
      <c r="T163" s="7" t="str">
        <v>IAU_2015</v>
      </c>
      <c r="U163" s="11" t="b">
        <v>0</v>
      </c>
    </row>
    <row r="164" spans="5:21" x14ac:dyDescent="0.35">
      <c r="E164" s="9" t="str">
        <v>EPSG</v>
      </c>
      <c r="F164" s="7" t="str">
        <v>2204</v>
      </c>
      <c r="G164" t="str">
        <v>ProjectedCrs</v>
      </c>
      <c r="H164" t="str">
        <v>Lambert Conic Conformal (2SP)</v>
      </c>
      <c r="I164" t="str">
        <v>NAD27 / Tennessee</v>
      </c>
      <c r="J164"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164" s="11">
        <v>0</v>
      </c>
      <c r="M164" s="2" t="str">
        <v>ups</v>
      </c>
      <c r="N164" t="str">
        <v>Projection</v>
      </c>
      <c r="O164" t="str">
        <v>Universal Polar Stereographic</v>
      </c>
      <c r="P164" t="str">
        <v xml:space="preserve">	Azi, Ell
	south</v>
      </c>
      <c r="Q164" s="11">
        <v>0</v>
      </c>
      <c r="S164" s="2" t="str">
        <v>Steins</v>
      </c>
      <c r="T164" s="7" t="str">
        <v>IAU_2015</v>
      </c>
      <c r="U164" s="11" t="b">
        <v>0</v>
      </c>
    </row>
    <row r="165" spans="5:21" x14ac:dyDescent="0.35">
      <c r="E165" s="9" t="str">
        <v>EPSG</v>
      </c>
      <c r="F165" s="7" t="str">
        <v>2205</v>
      </c>
      <c r="G165" t="str">
        <v>ProjectedCrs</v>
      </c>
      <c r="H165" t="str">
        <v>Lambert Conic Conformal (2SP)</v>
      </c>
      <c r="I165" t="str">
        <v>NAD83 / Kentucky North</v>
      </c>
      <c r="J165"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165" s="11">
        <v>0</v>
      </c>
      <c r="M165" s="2" t="str">
        <v>urm5</v>
      </c>
      <c r="N165" t="str">
        <v>Projection</v>
      </c>
      <c r="O165" t="str">
        <v>Urmaev V</v>
      </c>
      <c r="P165" t="str">
        <v xml:space="preserve">	PCyl, Sph, no inv
	n= q= alpha=</v>
      </c>
      <c r="Q165" s="11">
        <v>3</v>
      </c>
      <c r="S165" s="2" t="str">
        <v>Sun</v>
      </c>
      <c r="T165" s="7" t="str">
        <v>IAU_2015</v>
      </c>
      <c r="U165" s="11" t="b">
        <v>0</v>
      </c>
    </row>
    <row r="166" spans="5:21" x14ac:dyDescent="0.35">
      <c r="E166" s="9" t="str">
        <v>EPSG</v>
      </c>
      <c r="F166" s="7" t="str">
        <v>2206</v>
      </c>
      <c r="G166" t="str">
        <v>ProjectedCrs</v>
      </c>
      <c r="H166" t="str">
        <v>Transverse Mercator</v>
      </c>
      <c r="I166" t="str">
        <v>ED50 / 3-degree Gauss-Kruger zone 9</v>
      </c>
      <c r="J166" t="str">
        <v>Türkiye (Turkey) - west of 28°30'E, onshore.</v>
      </c>
      <c r="K166" s="11">
        <v>0</v>
      </c>
      <c r="M166" s="2" t="str">
        <v>urmfps</v>
      </c>
      <c r="N166" t="str">
        <v>Projection</v>
      </c>
      <c r="O166" t="str">
        <v>Urmaev Flat-Polar Sinusoidal</v>
      </c>
      <c r="P166" t="str">
        <v xml:space="preserve">	PCyl, Sph
	n=</v>
      </c>
      <c r="Q166" s="11">
        <v>1</v>
      </c>
      <c r="S166" s="2" t="str">
        <v>Telesto</v>
      </c>
      <c r="T166" s="7" t="str">
        <v>IAU_2015</v>
      </c>
      <c r="U166" s="11" t="b">
        <v>0</v>
      </c>
    </row>
    <row r="167" spans="5:21" x14ac:dyDescent="0.35">
      <c r="E167" s="9" t="str">
        <v>EPSG</v>
      </c>
      <c r="F167" s="7" t="str">
        <v>2207</v>
      </c>
      <c r="G167" t="str">
        <v>ProjectedCrs</v>
      </c>
      <c r="H167" t="str">
        <v>Transverse Mercator</v>
      </c>
      <c r="I167" t="str">
        <v>ED50 / 3-degree Gauss-Kruger zone 10</v>
      </c>
      <c r="J167" t="str">
        <v>Türkiye (Turkey) - between 28°30'E and 31°30'E, onshore.</v>
      </c>
      <c r="K167" s="11">
        <v>0</v>
      </c>
      <c r="M167" s="2" t="str">
        <v>utm</v>
      </c>
      <c r="N167" t="str">
        <v>Projection</v>
      </c>
      <c r="O167" t="str">
        <v>Universal Transverse Mercator (UTM)</v>
      </c>
      <c r="P167" t="str">
        <v xml:space="preserve">	Cyl, Ell
	zone= south approx</v>
      </c>
      <c r="Q167" s="11">
        <v>1</v>
      </c>
      <c r="S167" s="2" t="str">
        <v>Tempel 1</v>
      </c>
      <c r="T167" s="7" t="str">
        <v>IAU_2015</v>
      </c>
      <c r="U167" s="11" t="b">
        <v>0</v>
      </c>
    </row>
    <row r="168" spans="5:21" x14ac:dyDescent="0.35">
      <c r="E168" s="9" t="str">
        <v>EPSG</v>
      </c>
      <c r="F168" s="7" t="str">
        <v>2208</v>
      </c>
      <c r="G168" t="str">
        <v>ProjectedCrs</v>
      </c>
      <c r="H168" t="str">
        <v>Transverse Mercator</v>
      </c>
      <c r="I168" t="str">
        <v>ED50 / 3-degree Gauss-Kruger zone 11</v>
      </c>
      <c r="J168" t="str">
        <v>Türkiye (Turkey) - between 31°30'E and 34°30'E, onshore.</v>
      </c>
      <c r="K168" s="11">
        <v>0</v>
      </c>
      <c r="M168" s="2" t="str">
        <v>vandg</v>
      </c>
      <c r="N168" t="str">
        <v>Projection</v>
      </c>
      <c r="O168" t="str">
        <v>van der Grinten (I)</v>
      </c>
      <c r="P168" t="str">
        <v xml:space="preserve">	Misc Sph</v>
      </c>
      <c r="Q168" s="11">
        <v>0</v>
      </c>
      <c r="S168" s="2" t="str">
        <v>Tethys</v>
      </c>
      <c r="T168" s="7" t="str">
        <v>IAU_2015</v>
      </c>
      <c r="U168" s="11" t="b">
        <v>0</v>
      </c>
    </row>
    <row r="169" spans="5:21" x14ac:dyDescent="0.35">
      <c r="E169" s="9" t="str">
        <v>EPSG</v>
      </c>
      <c r="F169" s="7" t="str">
        <v>2209</v>
      </c>
      <c r="G169" t="str">
        <v>ProjectedCrs</v>
      </c>
      <c r="H169" t="str">
        <v>Transverse Mercator</v>
      </c>
      <c r="I169" t="str">
        <v>ED50 / 3-degree Gauss-Kruger zone 12</v>
      </c>
      <c r="J169" t="str">
        <v>Türkiye (Turkey) - between 34°30'E and 37°30'E, onshore.</v>
      </c>
      <c r="K169" s="11">
        <v>0</v>
      </c>
      <c r="M169" s="2" t="str">
        <v>vandg2</v>
      </c>
      <c r="N169" t="str">
        <v>Projection</v>
      </c>
      <c r="O169" t="str">
        <v>van der Grinten II</v>
      </c>
      <c r="P169" t="str">
        <v xml:space="preserve">	Misc Sph, no inv</v>
      </c>
      <c r="Q169" s="11">
        <v>0</v>
      </c>
      <c r="S169" s="2" t="str">
        <v>Thalassa</v>
      </c>
      <c r="T169" s="7" t="str">
        <v>IAU_2015</v>
      </c>
      <c r="U169" s="11" t="b">
        <v>0</v>
      </c>
    </row>
    <row r="170" spans="5:21" x14ac:dyDescent="0.35">
      <c r="E170" s="9" t="str">
        <v>EPSG</v>
      </c>
      <c r="F170" s="7" t="str">
        <v>2210</v>
      </c>
      <c r="G170" t="str">
        <v>ProjectedCrs</v>
      </c>
      <c r="H170" t="str">
        <v>Transverse Mercator</v>
      </c>
      <c r="I170" t="str">
        <v>ED50 / 3-degree Gauss-Kruger zone 13</v>
      </c>
      <c r="J170" t="str">
        <v>Türkiye (Turkey) - between 37°30'E and 40°30'E, onshore.</v>
      </c>
      <c r="K170" s="11">
        <v>0</v>
      </c>
      <c r="M170" s="2" t="str">
        <v>vandg3</v>
      </c>
      <c r="N170" t="str">
        <v>Projection</v>
      </c>
      <c r="O170" t="str">
        <v>van der Grinten III</v>
      </c>
      <c r="P170" t="str">
        <v xml:space="preserve">	Misc Sph, no inv</v>
      </c>
      <c r="Q170" s="11">
        <v>0</v>
      </c>
      <c r="S170" s="2" t="str">
        <v>Thebe</v>
      </c>
      <c r="T170" s="7" t="str">
        <v>IAU_2015</v>
      </c>
      <c r="U170" s="11" t="b">
        <v>0</v>
      </c>
    </row>
    <row r="171" spans="5:21" x14ac:dyDescent="0.35">
      <c r="E171" s="9" t="str">
        <v>EPSG</v>
      </c>
      <c r="F171" s="7" t="str">
        <v>2211</v>
      </c>
      <c r="G171" t="str">
        <v>ProjectedCrs</v>
      </c>
      <c r="H171" t="str">
        <v>Transverse Mercator</v>
      </c>
      <c r="I171" t="str">
        <v>ED50 / 3-degree Gauss-Kruger zone 14</v>
      </c>
      <c r="J171" t="str">
        <v>Türkiye (Turkey) - between 40°30'E and 43°30'E, onshore.</v>
      </c>
      <c r="K171" s="11">
        <v>0</v>
      </c>
      <c r="M171" s="2" t="str">
        <v>vandg4</v>
      </c>
      <c r="N171" t="str">
        <v>Projection</v>
      </c>
      <c r="O171" t="str">
        <v>van der Grinten IV</v>
      </c>
      <c r="P171" t="str">
        <v xml:space="preserve">	Misc Sph, no inv</v>
      </c>
      <c r="Q171" s="11">
        <v>0</v>
      </c>
      <c r="S171" s="2" t="str">
        <v>Titan</v>
      </c>
      <c r="T171" s="7" t="str">
        <v>IAU_2015</v>
      </c>
      <c r="U171" s="11" t="b">
        <v>0</v>
      </c>
    </row>
    <row r="172" spans="5:21" x14ac:dyDescent="0.35">
      <c r="E172" s="9" t="str">
        <v>EPSG</v>
      </c>
      <c r="F172" s="7" t="str">
        <v>2212</v>
      </c>
      <c r="G172" t="str">
        <v>ProjectedCrs</v>
      </c>
      <c r="H172" t="str">
        <v>Transverse Mercator</v>
      </c>
      <c r="I172" t="str">
        <v>ED50 / 3-degree Gauss-Kruger zone 15</v>
      </c>
      <c r="J172" t="str">
        <v>Türkiye (Turkey) - east of 43°30'E.</v>
      </c>
      <c r="K172" s="11">
        <v>0</v>
      </c>
      <c r="M172" s="2" t="str">
        <v>vertoffset</v>
      </c>
      <c r="N172" t="str">
        <v>Projection</v>
      </c>
      <c r="O172" t="str">
        <v>Vertical Offset and Slope</v>
      </c>
      <c r="P172" t="str">
        <v xml:space="preserve">	Transformation
	lat_0= lon_0= dh= slope_lat= slope_lon=</v>
      </c>
      <c r="Q172" s="11">
        <v>5</v>
      </c>
      <c r="S172" s="2" t="str">
        <v>Titania</v>
      </c>
      <c r="T172" s="7" t="str">
        <v>IAU_2015</v>
      </c>
      <c r="U172" s="11" t="b">
        <v>0</v>
      </c>
    </row>
    <row r="173" spans="5:21" x14ac:dyDescent="0.35">
      <c r="E173" s="9" t="str">
        <v>EPSG</v>
      </c>
      <c r="F173" s="7" t="str">
        <v>2213</v>
      </c>
      <c r="G173" t="str">
        <v>ProjectedCrs</v>
      </c>
      <c r="H173" t="str">
        <v>Transverse Mercator</v>
      </c>
      <c r="I173" t="str">
        <v>ETRS89 / TM 30 NE</v>
      </c>
      <c r="J173" t="str">
        <v>Romania - offshore.</v>
      </c>
      <c r="K173" s="11">
        <v>0</v>
      </c>
      <c r="M173" s="2" t="str">
        <v>vitk1</v>
      </c>
      <c r="N173" t="str">
        <v>Projection</v>
      </c>
      <c r="O173" t="str">
        <v>Vitkovsky I</v>
      </c>
      <c r="P173" t="str">
        <v xml:space="preserve">	Conic, Sph
	lat_1= and lat_2=</v>
      </c>
      <c r="Q173" s="11">
        <v>2</v>
      </c>
      <c r="S173" s="2" t="str">
        <v>Toutatis</v>
      </c>
      <c r="T173" s="7" t="str">
        <v>IAU_2015</v>
      </c>
      <c r="U173" s="11" t="b">
        <v>0</v>
      </c>
    </row>
    <row r="174" spans="5:21" x14ac:dyDescent="0.35">
      <c r="E174" s="9" t="str">
        <v>EPSG</v>
      </c>
      <c r="F174" s="7" t="str">
        <v>2215</v>
      </c>
      <c r="G174" t="str">
        <v>ProjectedCrs</v>
      </c>
      <c r="H174" t="str">
        <v>Transverse Mercator</v>
      </c>
      <c r="I174" t="str">
        <v>Manoca 1962 / UTM zone 32N</v>
      </c>
      <c r="J174" t="str">
        <v>Cameroon - coastal area.</v>
      </c>
      <c r="K174" s="11">
        <v>0</v>
      </c>
      <c r="M174" s="2" t="str">
        <v>vgridshift</v>
      </c>
      <c r="N174" t="str">
        <v>Transformation</v>
      </c>
      <c r="O174" t="str">
        <v>Vertical grid shift</v>
      </c>
      <c r="P174" t="str">
        <v>&lt;not available&gt;</v>
      </c>
      <c r="Q174" s="11">
        <v>0</v>
      </c>
      <c r="S174" s="2" t="str">
        <v>Triton</v>
      </c>
      <c r="T174" s="7" t="str">
        <v>IAU_2015</v>
      </c>
      <c r="U174" s="11" t="b">
        <v>0</v>
      </c>
    </row>
    <row r="175" spans="5:21" x14ac:dyDescent="0.35">
      <c r="E175" s="9" t="str">
        <v>EPSG</v>
      </c>
      <c r="F175" s="7" t="str">
        <v>2216</v>
      </c>
      <c r="G175" t="str">
        <v>ProjectedCrs</v>
      </c>
      <c r="H175" t="str">
        <v>Transverse Mercator</v>
      </c>
      <c r="I175" t="str">
        <v>Qornoq 1927 / UTM zone 22N</v>
      </c>
      <c r="J175" t="str">
        <v>Greenland - southwest coast between 54°W and 48°W.</v>
      </c>
      <c r="K175" s="11">
        <v>0</v>
      </c>
      <c r="M175" s="2" t="str">
        <v>wag1</v>
      </c>
      <c r="N175" t="str">
        <v>Projection</v>
      </c>
      <c r="O175" t="str">
        <v>Wagner I (Kavrayskiy VI)</v>
      </c>
      <c r="P175" t="str">
        <v xml:space="preserve">	PCyl, Sph</v>
      </c>
      <c r="Q175" s="11">
        <v>0</v>
      </c>
      <c r="S175" s="2" t="str">
        <v>Umbriel</v>
      </c>
      <c r="T175" s="7" t="str">
        <v>IAU_2015</v>
      </c>
      <c r="U175" s="11" t="b">
        <v>0</v>
      </c>
    </row>
    <row r="176" spans="5:21" x14ac:dyDescent="0.35">
      <c r="E176" s="9" t="str">
        <v>EPSG</v>
      </c>
      <c r="F176" s="7" t="str">
        <v>2217</v>
      </c>
      <c r="G176" t="str">
        <v>ProjectedCrs</v>
      </c>
      <c r="H176" t="str">
        <v>Transverse Mercator</v>
      </c>
      <c r="I176" t="str">
        <v>Qornoq 1927 / UTM zone 23N</v>
      </c>
      <c r="J176" t="str">
        <v>Greenland - southwest coast east of 48°W.</v>
      </c>
      <c r="K176" s="11">
        <v>0</v>
      </c>
      <c r="M176" s="2" t="str">
        <v>wag2</v>
      </c>
      <c r="N176" t="str">
        <v>Projection</v>
      </c>
      <c r="O176" t="str">
        <v>Wagner II</v>
      </c>
      <c r="P176" t="str">
        <v xml:space="preserve">	PCyl, Sph</v>
      </c>
      <c r="Q176" s="11">
        <v>0</v>
      </c>
      <c r="S176" s="2" t="str">
        <v>Uranus</v>
      </c>
      <c r="T176" s="7" t="str">
        <v>IAU_2015</v>
      </c>
      <c r="U176" s="11" t="b">
        <v>0</v>
      </c>
    </row>
    <row r="177" spans="5:21" x14ac:dyDescent="0.35">
      <c r="E177" s="9" t="str">
        <v>EPSG</v>
      </c>
      <c r="F177" s="7" t="str">
        <v>2218</v>
      </c>
      <c r="G177" t="str">
        <v>ProjectedCrs</v>
      </c>
      <c r="H177" t="str">
        <v>Lambert Conic Conformal (West Orientated)</v>
      </c>
      <c r="I177" t="str">
        <v>Scoresbysund 1952 / Greenland zone 5 east</v>
      </c>
      <c r="J177" t="str">
        <v>Greenland - east coast onshore - between 69°N and 72°N.</v>
      </c>
      <c r="K177" s="11">
        <v>0</v>
      </c>
      <c r="M177" s="2" t="str">
        <v>wag3</v>
      </c>
      <c r="N177" t="str">
        <v>Projection</v>
      </c>
      <c r="O177" t="str">
        <v>Wagner III</v>
      </c>
      <c r="P177" t="str">
        <v xml:space="preserve">	PCyl, Sph
	lat_ts=</v>
      </c>
      <c r="Q177" s="11">
        <v>1</v>
      </c>
      <c r="S177" s="2" t="str">
        <v>Venus</v>
      </c>
      <c r="T177" s="7" t="str">
        <v>IAU_2015</v>
      </c>
      <c r="U177" s="11" t="b">
        <v>0</v>
      </c>
    </row>
    <row r="178" spans="5:21" x14ac:dyDescent="0.35">
      <c r="E178" s="9" t="str">
        <v>EPSG</v>
      </c>
      <c r="F178" s="7" t="str">
        <v>2219</v>
      </c>
      <c r="G178" t="str">
        <v>ProjectedCrs</v>
      </c>
      <c r="H178" t="str">
        <v>Transverse Mercator</v>
      </c>
      <c r="I178" t="str">
        <v>ATS77 / UTM zone 19N</v>
      </c>
      <c r="J178" t="str">
        <v>Canada - New Brunswick and Nova Scotia - west of 66°W.</v>
      </c>
      <c r="K178" s="11">
        <v>0</v>
      </c>
      <c r="M178" s="2" t="str">
        <v>wag4</v>
      </c>
      <c r="N178" t="str">
        <v>Projection</v>
      </c>
      <c r="O178" t="str">
        <v>Wagner IV</v>
      </c>
      <c r="P178" t="str">
        <v xml:space="preserve">	PCyl, Sph</v>
      </c>
      <c r="Q178" s="11">
        <v>0</v>
      </c>
      <c r="S178" s="2" t="str">
        <v>Vesta</v>
      </c>
      <c r="T178" s="7" t="str">
        <v>IAU_2015</v>
      </c>
      <c r="U178" s="11" t="b">
        <v>0</v>
      </c>
    </row>
    <row r="179" spans="5:21" ht="15" thickBot="1" x14ac:dyDescent="0.4">
      <c r="E179" s="9" t="str">
        <v>EPSG</v>
      </c>
      <c r="F179" s="7" t="str">
        <v>2220</v>
      </c>
      <c r="G179" t="str">
        <v>ProjectedCrs</v>
      </c>
      <c r="H179" t="str">
        <v>Transverse Mercator</v>
      </c>
      <c r="I179" t="str">
        <v>ATS77 / UTM zone 20N</v>
      </c>
      <c r="J179" t="str">
        <v>Canada - New Brunswick and Nova Scotia east of 66°W; Prince Edward Island.</v>
      </c>
      <c r="K179" s="11">
        <v>0</v>
      </c>
      <c r="M179" s="2" t="str">
        <v>wag5</v>
      </c>
      <c r="N179" t="str">
        <v>Projection</v>
      </c>
      <c r="O179" t="str">
        <v>Wagner V</v>
      </c>
      <c r="P179" t="str">
        <v xml:space="preserve">	PCyl, Sph</v>
      </c>
      <c r="Q179" s="11">
        <v>0</v>
      </c>
      <c r="S179" s="3" t="str">
        <v>Wild 2</v>
      </c>
      <c r="T179" s="8" t="str">
        <v>IAU_2015</v>
      </c>
      <c r="U179" s="12" t="b">
        <v>0</v>
      </c>
    </row>
    <row r="180" spans="5:21" x14ac:dyDescent="0.35">
      <c r="E180" s="9" t="str">
        <v>EPSG</v>
      </c>
      <c r="F180" s="7" t="str">
        <v>2221</v>
      </c>
      <c r="G180" t="str">
        <v>ProjectedCrs</v>
      </c>
      <c r="H180" t="str">
        <v>Lambert Conic Conformal (West Orientated)</v>
      </c>
      <c r="I180" t="str">
        <v>Scoresbysund 1952 / Greenland zone 6 east</v>
      </c>
      <c r="J180" t="str">
        <v>Greenland - east coast onshore - between 68°N and 69°N.</v>
      </c>
      <c r="K180" s="11">
        <v>0</v>
      </c>
      <c r="M180" s="2" t="str">
        <v>wag6</v>
      </c>
      <c r="N180" t="str">
        <v>Projection</v>
      </c>
      <c r="O180" t="str">
        <v>Wagner VI</v>
      </c>
      <c r="P180" t="str">
        <v xml:space="preserve">	PCyl, Sph</v>
      </c>
      <c r="Q180" s="11">
        <v>0</v>
      </c>
    </row>
    <row r="181" spans="5:21" x14ac:dyDescent="0.35">
      <c r="E181" s="9" t="str">
        <v>EPSG</v>
      </c>
      <c r="F181" s="7" t="str">
        <v>2222</v>
      </c>
      <c r="G181" t="str">
        <v>ProjectedCrs</v>
      </c>
      <c r="H181" t="str">
        <v>Transverse Mercator</v>
      </c>
      <c r="I181" t="str">
        <v>NAD83 / Arizona East (ft)</v>
      </c>
      <c r="J181" t="str">
        <v>United States (USA) - Arizona - counties Apache; Cochise; Gila; Graham; Greenlee; Navajo.</v>
      </c>
      <c r="K181" s="11">
        <v>0</v>
      </c>
      <c r="M181" s="2" t="str">
        <v>wag7</v>
      </c>
      <c r="N181" t="str">
        <v>Projection</v>
      </c>
      <c r="O181" t="str">
        <v>Wagner VII</v>
      </c>
      <c r="P181" t="str">
        <v xml:space="preserve">	Misc Sph, no inv</v>
      </c>
      <c r="Q181" s="11">
        <v>0</v>
      </c>
    </row>
    <row r="182" spans="5:21" x14ac:dyDescent="0.35">
      <c r="E182" s="9" t="str">
        <v>EPSG</v>
      </c>
      <c r="F182" s="7" t="str">
        <v>2223</v>
      </c>
      <c r="G182" t="str">
        <v>ProjectedCrs</v>
      </c>
      <c r="H182" t="str">
        <v>Transverse Mercator</v>
      </c>
      <c r="I182" t="str">
        <v>NAD83 / Arizona Central (ft)</v>
      </c>
      <c r="J182" t="str">
        <v>United States (USA) - Arizona - counties Coconino; Maricopa; Pima; Pinal; Santa Cruz; Yavapai.</v>
      </c>
      <c r="K182" s="11">
        <v>0</v>
      </c>
      <c r="M182" s="2" t="str">
        <v>webmerc</v>
      </c>
      <c r="N182" t="str">
        <v>Projection</v>
      </c>
      <c r="O182" t="str">
        <v>Web Mercator / Pseudo Mercator</v>
      </c>
      <c r="P182" t="str">
        <v xml:space="preserve">	Cyl, Ell
	</v>
      </c>
      <c r="Q182" s="11">
        <v>0</v>
      </c>
    </row>
    <row r="183" spans="5:21" x14ac:dyDescent="0.35">
      <c r="E183" s="9" t="str">
        <v>EPSG</v>
      </c>
      <c r="F183" s="7" t="str">
        <v>2224</v>
      </c>
      <c r="G183" t="str">
        <v>ProjectedCrs</v>
      </c>
      <c r="H183" t="str">
        <v>Transverse Mercator</v>
      </c>
      <c r="I183" t="str">
        <v>NAD83 / Arizona West (ft)</v>
      </c>
      <c r="J183" t="str">
        <v>United States (USA) - Arizona - counties of La Paz; Mohave; Yuma.</v>
      </c>
      <c r="K183" s="11">
        <v>0</v>
      </c>
      <c r="M183" s="2" t="str">
        <v>weren</v>
      </c>
      <c r="N183" t="str">
        <v>Projection</v>
      </c>
      <c r="O183" t="str">
        <v>Werenskiold I</v>
      </c>
      <c r="P183" t="str">
        <v xml:space="preserve">	PCyl, Sph</v>
      </c>
      <c r="Q183" s="11">
        <v>0</v>
      </c>
    </row>
    <row r="184" spans="5:21" x14ac:dyDescent="0.35">
      <c r="E184" s="9" t="str">
        <v>EPSG</v>
      </c>
      <c r="F184" s="7" t="str">
        <v>2225</v>
      </c>
      <c r="G184" t="str">
        <v>ProjectedCrs</v>
      </c>
      <c r="H184" t="str">
        <v>Lambert Conic Conformal (2SP)</v>
      </c>
      <c r="I184" t="str">
        <v>NAD83 / California zone 1 (ftUS)</v>
      </c>
      <c r="J184" t="str">
        <v>United States (USA) - California - counties Del Norte; Humboldt; Lassen; Modoc; Plumas; Shasta; Siskiyou; Tehama; Trinity.</v>
      </c>
      <c r="K184" s="11">
        <v>0</v>
      </c>
      <c r="M184" s="2" t="str">
        <v>wink1</v>
      </c>
      <c r="N184" t="str">
        <v>Projection</v>
      </c>
      <c r="O184" t="str">
        <v>Winkel I</v>
      </c>
      <c r="P184" t="str">
        <v xml:space="preserve">	PCyl, Sph
	lat_ts=</v>
      </c>
      <c r="Q184" s="11">
        <v>1</v>
      </c>
    </row>
    <row r="185" spans="5:21" x14ac:dyDescent="0.35">
      <c r="E185" s="9" t="str">
        <v>EPSG</v>
      </c>
      <c r="F185" s="7" t="str">
        <v>2226</v>
      </c>
      <c r="G185" t="str">
        <v>ProjectedCrs</v>
      </c>
      <c r="H185" t="str">
        <v>Lambert Conic Conformal (2SP)</v>
      </c>
      <c r="I185" t="str">
        <v>NAD83 / California zone 2 (ftUS)</v>
      </c>
      <c r="J185" t="str">
        <v>United States (USA) - California - counties of Alpine; Amador; Butte; Colusa; El Dorado; Glenn; Lake; Mendocino; Napa; Nevada; Placer; Sacramento; Sierra; Solano; Sonoma; Sutter; Yolo; Yuba.</v>
      </c>
      <c r="K185" s="11">
        <v>0</v>
      </c>
      <c r="M185" s="2" t="str">
        <v>wink2</v>
      </c>
      <c r="N185" t="str">
        <v>Projection</v>
      </c>
      <c r="O185" t="str">
        <v>Winkel II</v>
      </c>
      <c r="P185" t="str">
        <v xml:space="preserve">	PCyl, Sph
	lat_1=</v>
      </c>
      <c r="Q185" s="11">
        <v>1</v>
      </c>
    </row>
    <row r="186" spans="5:21" x14ac:dyDescent="0.35">
      <c r="E186" s="9" t="str">
        <v>EPSG</v>
      </c>
      <c r="F186" s="7" t="str">
        <v>2227</v>
      </c>
      <c r="G186" t="str">
        <v>ProjectedCrs</v>
      </c>
      <c r="H186" t="str">
        <v>Lambert Conic Conformal (2SP)</v>
      </c>
      <c r="I186" t="str">
        <v>NAD83 / California zone 3 (ftUS)</v>
      </c>
      <c r="J186" t="str">
        <v>United States (USA) - California - counties Alameda; Calaveras; Contra Costa; Madera; Marin; Mariposa; Merced; Mono; San Francisco; San Joaquin; San Mateo; Santa Clara; Santa Cruz; Stanislaus; Tuolumne.</v>
      </c>
      <c r="K186" s="11">
        <v>0</v>
      </c>
      <c r="M186" s="2" t="str">
        <v>wintri</v>
      </c>
      <c r="N186" t="str">
        <v>Projection</v>
      </c>
      <c r="O186" t="str">
        <v>Winkel Tripel</v>
      </c>
      <c r="P186" t="str">
        <v xml:space="preserve">	Misc Sph
	lat_1</v>
      </c>
      <c r="Q186" s="11">
        <v>0</v>
      </c>
    </row>
    <row r="187" spans="5:21" ht="15" thickBot="1" x14ac:dyDescent="0.4">
      <c r="E187" s="9" t="str">
        <v>EPSG</v>
      </c>
      <c r="F187" s="7" t="str">
        <v>2228</v>
      </c>
      <c r="G187" t="str">
        <v>ProjectedCrs</v>
      </c>
      <c r="H187" t="str">
        <v>Lambert Conic Conformal (2SP)</v>
      </c>
      <c r="I187" t="str">
        <v>NAD83 / California zone 4 (ftUS)</v>
      </c>
      <c r="J187" t="str">
        <v>United States (USA) - California - counties Fresno; Inyo; Kings; Monterey; San Benito; Tulare.</v>
      </c>
      <c r="K187" s="11">
        <v>0</v>
      </c>
      <c r="M187" s="3" t="str">
        <v>xyzgridshift</v>
      </c>
      <c r="N187" s="4" t="str">
        <v>Transformation</v>
      </c>
      <c r="O187" s="4" t="str">
        <v>Geocentric grid shift</v>
      </c>
      <c r="P187" s="4" t="str">
        <v>&lt;not available&gt;</v>
      </c>
      <c r="Q187" s="12">
        <v>0</v>
      </c>
    </row>
    <row r="188" spans="5:21" x14ac:dyDescent="0.35">
      <c r="E188" s="9" t="str">
        <v>EPSG</v>
      </c>
      <c r="F188" s="7" t="str">
        <v>2229</v>
      </c>
      <c r="G188" t="str">
        <v>ProjectedCrs</v>
      </c>
      <c r="H188" t="str">
        <v>Lambert Conic Conformal (2SP)</v>
      </c>
      <c r="I188" t="str">
        <v>NAD83 / California zone 5 (ftUS)</v>
      </c>
      <c r="J188" t="str">
        <v>United States (USA) - California - counties Kern; Los Angeles; San Bernardino; San Luis Obispo; Santa Barbara; Ventura.</v>
      </c>
      <c r="K188" s="11">
        <v>0</v>
      </c>
    </row>
    <row r="189" spans="5:21" x14ac:dyDescent="0.35">
      <c r="E189" s="9" t="str">
        <v>EPSG</v>
      </c>
      <c r="F189" s="7" t="str">
        <v>2230</v>
      </c>
      <c r="G189" t="str">
        <v>ProjectedCrs</v>
      </c>
      <c r="H189" t="str">
        <v>Lambert Conic Conformal (2SP)</v>
      </c>
      <c r="I189" t="str">
        <v>NAD83 / California zone 6 (ftUS)</v>
      </c>
      <c r="J189" t="str">
        <v>United States (USA) - California - counties Imperial; Orange; Riverside; San Diego.</v>
      </c>
      <c r="K189" s="11">
        <v>0</v>
      </c>
    </row>
    <row r="190" spans="5:21" x14ac:dyDescent="0.35">
      <c r="E190" s="9" t="str">
        <v>EPSG</v>
      </c>
      <c r="F190" s="7" t="str">
        <v>2231</v>
      </c>
      <c r="G190" t="str">
        <v>ProjectedCrs</v>
      </c>
      <c r="H190" t="str">
        <v>Lambert Conic Conformal (2SP)</v>
      </c>
      <c r="I190" t="str">
        <v>NAD83 / Colorado North (ftUS)</v>
      </c>
      <c r="J190" t="str">
        <v>United States (USA) - Colorado - counties Adams; Boulder; Gilpin; Grand; Jackson; Larimer; Logan; Moffat; Morgan; Phillips; Rio Blanco; Routt; Sedgwick; Washington; Weld; Yuma.</v>
      </c>
      <c r="K190" s="11">
        <v>0</v>
      </c>
    </row>
    <row r="191" spans="5:21" x14ac:dyDescent="0.35">
      <c r="E191" s="9" t="str">
        <v>EPSG</v>
      </c>
      <c r="F191" s="7" t="str">
        <v>2232</v>
      </c>
      <c r="G191" t="str">
        <v>ProjectedCrs</v>
      </c>
      <c r="H191" t="str">
        <v>Lambert Conic Conformal (2SP)</v>
      </c>
      <c r="I191" t="str">
        <v>NAD83 / Colorado Central (ftUS)</v>
      </c>
      <c r="J191" t="str">
        <v>United States (USA) - Colorado - counties Arapahoe; Chaffee; Cheyenne; Clear Creek; Delta; Denver; Douglas; Eagle; El Paso; Elbert; Fremont; Garfield; Gunnison; Jefferson; Kit Carson; Lake; Lincoln; Mesa; Park; Pitkin; Summit; Teller.</v>
      </c>
      <c r="K191" s="11">
        <v>0</v>
      </c>
    </row>
    <row r="192" spans="5:21" x14ac:dyDescent="0.35">
      <c r="E192" s="9" t="str">
        <v>EPSG</v>
      </c>
      <c r="F192" s="7" t="str">
        <v>2233</v>
      </c>
      <c r="G192" t="str">
        <v>ProjectedCrs</v>
      </c>
      <c r="H192" t="str">
        <v>Lambert Conic Conformal (2SP)</v>
      </c>
      <c r="I192" t="str">
        <v>NAD83 / Colorado South (ftUS)</v>
      </c>
      <c r="J192" t="str">
        <v>United States (USA) - Colorado - counties Alamosa; Archuleta; Baca; Bent; Conejos; Costilla; Crowley; Custer; Dolores; Hinsdale; Huerfano; Kiowa; La Plata; Las Animas; Mineral; Montezuma; Montrose; Otero; Ouray; Prowers; Pueblo; Rio Grande; Saguache; San Juan; San Miguel.</v>
      </c>
      <c r="K192" s="11">
        <v>0</v>
      </c>
    </row>
    <row r="193" spans="5:11" x14ac:dyDescent="0.35">
      <c r="E193" s="9" t="str">
        <v>EPSG</v>
      </c>
      <c r="F193" s="7" t="str">
        <v>2234</v>
      </c>
      <c r="G193" t="str">
        <v>ProjectedCrs</v>
      </c>
      <c r="H193" t="str">
        <v>Lambert Conic Conformal (2SP)</v>
      </c>
      <c r="I193" t="str">
        <v>NAD83 / Connecticut (ftUS)</v>
      </c>
      <c r="J193" t="str">
        <v>United States (USA) - Connecticut - counties of Fairfield; Hartford; Litchfield; Middlesex; New Haven; New London; Tolland; Windham.</v>
      </c>
      <c r="K193" s="11">
        <v>0</v>
      </c>
    </row>
    <row r="194" spans="5:11" x14ac:dyDescent="0.35">
      <c r="E194" s="9" t="str">
        <v>EPSG</v>
      </c>
      <c r="F194" s="7" t="str">
        <v>2235</v>
      </c>
      <c r="G194" t="str">
        <v>ProjectedCrs</v>
      </c>
      <c r="H194" t="str">
        <v>Transverse Mercator</v>
      </c>
      <c r="I194" t="str">
        <v>NAD83 / Delaware (ftUS)</v>
      </c>
      <c r="J194" t="str">
        <v>United States (USA) - Delaware - counties of Kent; New Castle; Sussex.</v>
      </c>
      <c r="K194" s="11">
        <v>0</v>
      </c>
    </row>
    <row r="195" spans="5:11" x14ac:dyDescent="0.35">
      <c r="E195" s="9" t="str">
        <v>EPSG</v>
      </c>
      <c r="F195" s="7" t="str">
        <v>2236</v>
      </c>
      <c r="G195" t="str">
        <v>ProjectedCrs</v>
      </c>
      <c r="H195" t="str">
        <v>Transverse Mercator</v>
      </c>
      <c r="I195" t="str">
        <v>NAD83 / Florida East (ftUS)</v>
      </c>
      <c r="J195" t="str">
        <v>United States (USA) - Florida - counties of Brevard; Broward; Clay; Collier; Dade; Duval; Flagler; Glades; Hendry; Highlands; Indian River; Lake; Martin; Monroe; Nassau; Okeechobee; Orange; Osceola; Palm Beach; Putnam; Seminole; St Johns; St Lucie; Volusia.</v>
      </c>
      <c r="K195" s="11">
        <v>0</v>
      </c>
    </row>
    <row r="196" spans="5:11" x14ac:dyDescent="0.35">
      <c r="E196" s="9" t="str">
        <v>EPSG</v>
      </c>
      <c r="F196" s="7" t="str">
        <v>2237</v>
      </c>
      <c r="G196" t="str">
        <v>ProjectedCrs</v>
      </c>
      <c r="H196" t="str">
        <v>Transverse Mercator</v>
      </c>
      <c r="I196" t="str">
        <v>NAD83 / Florida West (ftUS)</v>
      </c>
      <c r="J196" t="str">
        <v>United States (USA) - Florida - counties of Charlotte; Citrus; De Soto; Hardee; Hernando; Hillsborough; Lee; Levy; Manatee; Marion; Pasco; Pinellas; Polk; Sarasota; Sumter.</v>
      </c>
      <c r="K196" s="11">
        <v>0</v>
      </c>
    </row>
    <row r="197" spans="5:11" x14ac:dyDescent="0.35">
      <c r="E197" s="9" t="str">
        <v>EPSG</v>
      </c>
      <c r="F197" s="7" t="str">
        <v>2238</v>
      </c>
      <c r="G197" t="str">
        <v>ProjectedCrs</v>
      </c>
      <c r="H197" t="str">
        <v>Lambert Conic Conformal (2SP)</v>
      </c>
      <c r="I197" t="str">
        <v>NAD83 / Florida North (ftUS)</v>
      </c>
      <c r="J197" t="str">
        <v>United States (USA) - Florida - counties of Alachua; Baker; Bay; Bradford; Calhoun; Columbia; Dixie; Escambia; Franklin; Gadsden; Gilchrist; Gulf; Hamilton; Holmes; Jackson; Jefferson; Lafayette; Leon; Liberty; Madison; Okaloosa; Santa Rosa; Suwannee; Taylor; Union; Wakulla; Walton; Washington.</v>
      </c>
      <c r="K197" s="11">
        <v>0</v>
      </c>
    </row>
    <row r="198" spans="5:11" x14ac:dyDescent="0.35">
      <c r="E198" s="9" t="str">
        <v>EPSG</v>
      </c>
      <c r="F198" s="7" t="str">
        <v>2239</v>
      </c>
      <c r="G198" t="str">
        <v>ProjectedCrs</v>
      </c>
      <c r="H198" t="str">
        <v>Transverse Mercator</v>
      </c>
      <c r="I198" t="str">
        <v>NAD83 / Georgia East (ftUS)</v>
      </c>
      <c r="J198"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198" s="11">
        <v>0</v>
      </c>
    </row>
    <row r="199" spans="5:11" x14ac:dyDescent="0.35">
      <c r="E199" s="9" t="str">
        <v>EPSG</v>
      </c>
      <c r="F199" s="7" t="str">
        <v>2240</v>
      </c>
      <c r="G199" t="str">
        <v>ProjectedCrs</v>
      </c>
      <c r="H199" t="str">
        <v>Transverse Mercator</v>
      </c>
      <c r="I199" t="str">
        <v>NAD83 / Georgia West (ftUS)</v>
      </c>
      <c r="J199"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199" s="11">
        <v>0</v>
      </c>
    </row>
    <row r="200" spans="5:11" x14ac:dyDescent="0.35">
      <c r="E200" s="9" t="str">
        <v>EPSG</v>
      </c>
      <c r="F200" s="7" t="str">
        <v>2241</v>
      </c>
      <c r="G200" t="str">
        <v>ProjectedCrs</v>
      </c>
      <c r="H200" t="str">
        <v>Transverse Mercator</v>
      </c>
      <c r="I200" t="str">
        <v>NAD83 / Idaho East (ftUS)</v>
      </c>
      <c r="J200" t="str">
        <v>United States (USA) - Idaho - counties of Bannock; Bear Lake; Bingham; Bonneville; Caribou; Clark; Franklin; Fremont; Jefferson; Madison; Oneida; Power; Teton.</v>
      </c>
      <c r="K200" s="11">
        <v>0</v>
      </c>
    </row>
    <row r="201" spans="5:11" x14ac:dyDescent="0.35">
      <c r="E201" s="9" t="str">
        <v>EPSG</v>
      </c>
      <c r="F201" s="7" t="str">
        <v>2242</v>
      </c>
      <c r="G201" t="str">
        <v>ProjectedCrs</v>
      </c>
      <c r="H201" t="str">
        <v>Transverse Mercator</v>
      </c>
      <c r="I201" t="str">
        <v>NAD83 / Idaho Central (ftUS)</v>
      </c>
      <c r="J201" t="str">
        <v>United States (USA) - Idaho - counties of Blaine; Butte; Camas; Cassia; Custer; Gooding; Jerome; Lemhi; Lincoln; Minidoka; Twin Falls.</v>
      </c>
      <c r="K201" s="11">
        <v>0</v>
      </c>
    </row>
    <row r="202" spans="5:11" x14ac:dyDescent="0.35">
      <c r="E202" s="9" t="str">
        <v>EPSG</v>
      </c>
      <c r="F202" s="7" t="str">
        <v>2243</v>
      </c>
      <c r="G202" t="str">
        <v>ProjectedCrs</v>
      </c>
      <c r="H202" t="str">
        <v>Transverse Mercator</v>
      </c>
      <c r="I202" t="str">
        <v>NAD83 / Idaho West (ftUS)</v>
      </c>
      <c r="J202" t="str">
        <v>United States (USA) - Idaho - counties of Ada; Adams; Benewah; Boise; Bonner; Boundary; Canyon; Clearwater; Elmore; Gem; Idaho; Kootenai; Latah; Lewis; Nez Perce; Owyhee; Payette; Shoshone; Valley; Washington.</v>
      </c>
      <c r="K202" s="11">
        <v>0</v>
      </c>
    </row>
    <row r="203" spans="5:11" x14ac:dyDescent="0.35">
      <c r="E203" s="9" t="str">
        <v>EPSG</v>
      </c>
      <c r="F203" s="7" t="str">
        <v>2246</v>
      </c>
      <c r="G203" t="str">
        <v>ProjectedCrs</v>
      </c>
      <c r="H203" t="str">
        <v>Lambert Conic Conformal (2SP)</v>
      </c>
      <c r="I203" t="str">
        <v>NAD83 / Kentucky North (ftUS)</v>
      </c>
      <c r="J203"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203" s="11">
        <v>0</v>
      </c>
    </row>
    <row r="204" spans="5:11" x14ac:dyDescent="0.35">
      <c r="E204" s="9" t="str">
        <v>EPSG</v>
      </c>
      <c r="F204" s="7" t="str">
        <v>2247</v>
      </c>
      <c r="G204" t="str">
        <v>ProjectedCrs</v>
      </c>
      <c r="H204" t="str">
        <v>Lambert Conic Conformal (2SP)</v>
      </c>
      <c r="I204" t="str">
        <v>NAD83 / Kentucky South (ftUS)</v>
      </c>
      <c r="J204"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204" s="11">
        <v>0</v>
      </c>
    </row>
    <row r="205" spans="5:11" x14ac:dyDescent="0.35">
      <c r="E205" s="9" t="str">
        <v>EPSG</v>
      </c>
      <c r="F205" s="7" t="str">
        <v>2248</v>
      </c>
      <c r="G205" t="str">
        <v>ProjectedCrs</v>
      </c>
      <c r="H205" t="str">
        <v>Lambert Conic Conformal (2SP)</v>
      </c>
      <c r="I205" t="str">
        <v>NAD83 / Maryland (ftUS)</v>
      </c>
      <c r="J205" t="str">
        <v>United States (USA) - Maryland - counties of Allegany; Anne Arundel; Baltimore; Calvert; Caroline; Carroll; Cecil; Charles; Dorchester; Frederick; Garrett; Harford; Howard; Kent; Montgomery; Prince Georges; Queen Annes; Somerset; St Marys; Talbot; Washington; Wicomico; Worcester.</v>
      </c>
      <c r="K205" s="11">
        <v>0</v>
      </c>
    </row>
    <row r="206" spans="5:11" x14ac:dyDescent="0.35">
      <c r="E206" s="9" t="str">
        <v>EPSG</v>
      </c>
      <c r="F206" s="7" t="str">
        <v>2249</v>
      </c>
      <c r="G206" t="str">
        <v>ProjectedCrs</v>
      </c>
      <c r="H206" t="str">
        <v>Lambert Conic Conformal (2SP)</v>
      </c>
      <c r="I206" t="str">
        <v>NAD83 / Massachusetts Mainland (ftUS)</v>
      </c>
      <c r="J206" t="str">
        <v>United States (USA) - Massachusetts onshore - counties of Barnstable; Berkshire; Bristol; Essex; Franklin; Hampden; Hampshire; Middlesex; Norfolk; Plymouth; Suffolk; Worcester.</v>
      </c>
      <c r="K206" s="11">
        <v>0</v>
      </c>
    </row>
    <row r="207" spans="5:11" x14ac:dyDescent="0.35">
      <c r="E207" s="9" t="str">
        <v>EPSG</v>
      </c>
      <c r="F207" s="7" t="str">
        <v>2250</v>
      </c>
      <c r="G207" t="str">
        <v>ProjectedCrs</v>
      </c>
      <c r="H207" t="str">
        <v>Lambert Conic Conformal (2SP)</v>
      </c>
      <c r="I207" t="str">
        <v>NAD83 / Massachusetts Island (ftUS)</v>
      </c>
      <c r="J207" t="str">
        <v>United States (USA) - Massachusetts offshore - counties of Dukes; Nantucket.</v>
      </c>
      <c r="K207" s="11">
        <v>0</v>
      </c>
    </row>
    <row r="208" spans="5:11" x14ac:dyDescent="0.35">
      <c r="E208" s="9" t="str">
        <v>EPSG</v>
      </c>
      <c r="F208" s="7" t="str">
        <v>2251</v>
      </c>
      <c r="G208" t="str">
        <v>ProjectedCrs</v>
      </c>
      <c r="H208" t="str">
        <v>Lambert Conic Conformal (2SP)</v>
      </c>
      <c r="I208" t="str">
        <v>NAD83 / Michigan North (ft)</v>
      </c>
      <c r="J208" t="str">
        <v>United States (USA) - Michigan north of approximately 45°45'N - counties of Alger; Baraga; Chippewa; Delta; Dickinson; Gogebic; Houghton; Iron; Keweenaw; Luce; Mackinac; Marquette; Menominee; Ontonagon; Schoolcraft.</v>
      </c>
      <c r="K208" s="11">
        <v>0</v>
      </c>
    </row>
    <row r="209" spans="5:11" x14ac:dyDescent="0.35">
      <c r="E209" s="9" t="str">
        <v>EPSG</v>
      </c>
      <c r="F209" s="7" t="str">
        <v>2252</v>
      </c>
      <c r="G209" t="str">
        <v>ProjectedCrs</v>
      </c>
      <c r="H209" t="str">
        <v>Lambert Conic Conformal (2SP)</v>
      </c>
      <c r="I209" t="str">
        <v>NAD83 / Michigan Central (ft)</v>
      </c>
      <c r="J209"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209" s="11">
        <v>0</v>
      </c>
    </row>
    <row r="210" spans="5:11" x14ac:dyDescent="0.35">
      <c r="E210" s="9" t="str">
        <v>EPSG</v>
      </c>
      <c r="F210" s="7" t="str">
        <v>2253</v>
      </c>
      <c r="G210" t="str">
        <v>ProjectedCrs</v>
      </c>
      <c r="H210" t="str">
        <v>Lambert Conic Conformal (2SP)</v>
      </c>
      <c r="I210" t="str">
        <v>NAD83 / Michigan South (ft)</v>
      </c>
      <c r="J210"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210" s="11">
        <v>0</v>
      </c>
    </row>
    <row r="211" spans="5:11" x14ac:dyDescent="0.35">
      <c r="E211" s="9" t="str">
        <v>EPSG</v>
      </c>
      <c r="F211" s="7" t="str">
        <v>2254</v>
      </c>
      <c r="G211" t="str">
        <v>ProjectedCrs</v>
      </c>
      <c r="H211" t="str">
        <v>Transverse Mercator</v>
      </c>
      <c r="I211" t="str">
        <v>NAD83 / Mississippi East (ftUS)</v>
      </c>
      <c r="J211"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211" s="11">
        <v>0</v>
      </c>
    </row>
    <row r="212" spans="5:11" x14ac:dyDescent="0.35">
      <c r="E212" s="9" t="str">
        <v>EPSG</v>
      </c>
      <c r="F212" s="7" t="str">
        <v>2255</v>
      </c>
      <c r="G212" t="str">
        <v>ProjectedCrs</v>
      </c>
      <c r="H212" t="str">
        <v>Transverse Mercator</v>
      </c>
      <c r="I212" t="str">
        <v>NAD83 / Mississippi West (ftUS)</v>
      </c>
      <c r="J212"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212" s="11">
        <v>0</v>
      </c>
    </row>
    <row r="213" spans="5:11" x14ac:dyDescent="0.35">
      <c r="E213" s="9" t="str">
        <v>EPSG</v>
      </c>
      <c r="F213" s="7" t="str">
        <v>2256</v>
      </c>
      <c r="G213" t="str">
        <v>ProjectedCrs</v>
      </c>
      <c r="H213" t="str">
        <v>Lambert Conic Conformal (2SP)</v>
      </c>
      <c r="I213" t="str">
        <v>NAD83 / Montana (ft)</v>
      </c>
      <c r="J213"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213" s="11">
        <v>0</v>
      </c>
    </row>
    <row r="214" spans="5:11" x14ac:dyDescent="0.35">
      <c r="E214" s="9" t="str">
        <v>EPSG</v>
      </c>
      <c r="F214" s="7" t="str">
        <v>2257</v>
      </c>
      <c r="G214" t="str">
        <v>ProjectedCrs</v>
      </c>
      <c r="H214" t="str">
        <v>Transverse Mercator</v>
      </c>
      <c r="I214" t="str">
        <v>NAD83 / New Mexico East (ftUS)</v>
      </c>
      <c r="J214" t="str">
        <v>United States (USA) - New Mexico - counties of Chaves; Colfax; Curry; De Baca; Eddy; Guadalupe; Harding; Lea; Mora; Quay; Roosevelt; San Miguel; Union.</v>
      </c>
      <c r="K214" s="11">
        <v>0</v>
      </c>
    </row>
    <row r="215" spans="5:11" x14ac:dyDescent="0.35">
      <c r="E215" s="9" t="str">
        <v>EPSG</v>
      </c>
      <c r="F215" s="7" t="str">
        <v>2258</v>
      </c>
      <c r="G215" t="str">
        <v>ProjectedCrs</v>
      </c>
      <c r="H215" t="str">
        <v>Transverse Mercator</v>
      </c>
      <c r="I215" t="str">
        <v>NAD83 / New Mexico Central (ftUS)</v>
      </c>
      <c r="J215" t="str">
        <v>United States (USA) - New Mexico - counties of Bernalillo; Dona Ana; Lincoln; Los Alamos; Otero; Rio Arriba; Sandoval; Santa Fe; Socorro; Taos; Torrance; Valencia.</v>
      </c>
      <c r="K215" s="11">
        <v>0</v>
      </c>
    </row>
    <row r="216" spans="5:11" x14ac:dyDescent="0.35">
      <c r="E216" s="9" t="str">
        <v>EPSG</v>
      </c>
      <c r="F216" s="7" t="str">
        <v>2259</v>
      </c>
      <c r="G216" t="str">
        <v>ProjectedCrs</v>
      </c>
      <c r="H216" t="str">
        <v>Transverse Mercator</v>
      </c>
      <c r="I216" t="str">
        <v>NAD83 / New Mexico West (ftUS)</v>
      </c>
      <c r="J216" t="str">
        <v>United States (USA) - New Mexico - counties of Catron; Cibola; Grant; Hidalgo; Luna; McKinley; San Juan; Sierra.</v>
      </c>
      <c r="K216" s="11">
        <v>0</v>
      </c>
    </row>
    <row r="217" spans="5:11" x14ac:dyDescent="0.35">
      <c r="E217" s="9" t="str">
        <v>EPSG</v>
      </c>
      <c r="F217" s="7" t="str">
        <v>2260</v>
      </c>
      <c r="G217" t="str">
        <v>ProjectedCrs</v>
      </c>
      <c r="H217" t="str">
        <v>Transverse Mercator</v>
      </c>
      <c r="I217" t="str">
        <v>NAD83 / New York East (ftUS)</v>
      </c>
      <c r="J217"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217" s="11">
        <v>0</v>
      </c>
    </row>
    <row r="218" spans="5:11" x14ac:dyDescent="0.35">
      <c r="E218" s="9" t="str">
        <v>EPSG</v>
      </c>
      <c r="F218" s="7" t="str">
        <v>2261</v>
      </c>
      <c r="G218" t="str">
        <v>ProjectedCrs</v>
      </c>
      <c r="H218" t="str">
        <v>Transverse Mercator</v>
      </c>
      <c r="I218" t="str">
        <v>NAD83 / New York Central (ftUS)</v>
      </c>
      <c r="J218" t="str">
        <v>United States (USA) - New York - counties of Broome; Cayuga; Chemung; Chenango; Cortland; Jefferson; Lewis; Madison; Oneida; Onondaga; Ontario; Oswego; Schuyler; Seneca; Steuben; Tioga; Tompkins; Wayne; Yates.</v>
      </c>
      <c r="K218" s="11">
        <v>0</v>
      </c>
    </row>
    <row r="219" spans="5:11" x14ac:dyDescent="0.35">
      <c r="E219" s="9" t="str">
        <v>EPSG</v>
      </c>
      <c r="F219" s="7" t="str">
        <v>2262</v>
      </c>
      <c r="G219" t="str">
        <v>ProjectedCrs</v>
      </c>
      <c r="H219" t="str">
        <v>Transverse Mercator</v>
      </c>
      <c r="I219" t="str">
        <v>NAD83 / New York West (ftUS)</v>
      </c>
      <c r="J219" t="str">
        <v>United States (USA) - New York - counties of Allegany; Cattaraugus; Chautauqua; Erie; Genesee; Livingston; Monroe; Niagara; Orleans; Wyoming.</v>
      </c>
      <c r="K219" s="11">
        <v>0</v>
      </c>
    </row>
    <row r="220" spans="5:11" x14ac:dyDescent="0.35">
      <c r="E220" s="9" t="str">
        <v>EPSG</v>
      </c>
      <c r="F220" s="7" t="str">
        <v>2263</v>
      </c>
      <c r="G220" t="str">
        <v>ProjectedCrs</v>
      </c>
      <c r="H220" t="str">
        <v>Lambert Conic Conformal (2SP)</v>
      </c>
      <c r="I220" t="str">
        <v>NAD83 / New York Long Island (ftUS)</v>
      </c>
      <c r="J220" t="str">
        <v>United States (USA) - New York - counties of Bronx; Kings; Nassau; New York; Queens; Richmond; Suffolk.</v>
      </c>
      <c r="K220" s="11">
        <v>0</v>
      </c>
    </row>
    <row r="221" spans="5:11" x14ac:dyDescent="0.35">
      <c r="E221" s="9" t="str">
        <v>EPSG</v>
      </c>
      <c r="F221" s="7" t="str">
        <v>2264</v>
      </c>
      <c r="G221" t="str">
        <v>ProjectedCrs</v>
      </c>
      <c r="H221" t="str">
        <v>Lambert Conic Conformal (2SP)</v>
      </c>
      <c r="I221" t="str">
        <v>NAD83 / North Carolina (ftUS)</v>
      </c>
      <c r="J221"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221" s="11">
        <v>0</v>
      </c>
    </row>
    <row r="222" spans="5:11" x14ac:dyDescent="0.35">
      <c r="E222" s="9" t="str">
        <v>EPSG</v>
      </c>
      <c r="F222" s="7" t="str">
        <v>2265</v>
      </c>
      <c r="G222" t="str">
        <v>ProjectedCrs</v>
      </c>
      <c r="H222" t="str">
        <v>Lambert Conic Conformal (2SP)</v>
      </c>
      <c r="I222" t="str">
        <v>NAD83 / North Dakota North (ft)</v>
      </c>
      <c r="J222" t="str">
        <v>United States (USA) - North Dakota - counties of Benson; Bottineau; Burke; Cavalier; Divide; Eddy; Foster; Grand Forks; Griggs; McHenry; McKenzie; McLean; Mountrial; Nelson; Pembina; Pierce; Ramsey; Renville; Rolette; Sheridan; Steele; Towner; Traill; Walsh; Ward; Wells; Williams.</v>
      </c>
      <c r="K222" s="11">
        <v>0</v>
      </c>
    </row>
    <row r="223" spans="5:11" x14ac:dyDescent="0.35">
      <c r="E223" s="9" t="str">
        <v>EPSG</v>
      </c>
      <c r="F223" s="7" t="str">
        <v>2266</v>
      </c>
      <c r="G223" t="str">
        <v>ProjectedCrs</v>
      </c>
      <c r="H223" t="str">
        <v>Lambert Conic Conformal (2SP)</v>
      </c>
      <c r="I223" t="str">
        <v>NAD83 / North Dakota South (ft)</v>
      </c>
      <c r="J223" t="str">
        <v>United States (USA) - North Dakota - counties of Adams; Barnes; Billings; Bowman; Burleigh; Cass; Dickey; Dunn; Emmons; Golden Valley; Grant; Hettinger; Kidder; La Moure; Logan; McIntosh; Mercer; Morton; Oliver; Ransom; Richland; Sargent; Sioux; Slope; Stark; Stutsman.</v>
      </c>
      <c r="K223" s="11">
        <v>0</v>
      </c>
    </row>
    <row r="224" spans="5:11" x14ac:dyDescent="0.35">
      <c r="E224" s="9" t="str">
        <v>EPSG</v>
      </c>
      <c r="F224" s="7" t="str">
        <v>2267</v>
      </c>
      <c r="G224" t="str">
        <v>ProjectedCrs</v>
      </c>
      <c r="H224" t="str">
        <v>Lambert Conic Conformal (2SP)</v>
      </c>
      <c r="I224" t="str">
        <v>NAD83 / Oklahoma North (ftUS)</v>
      </c>
      <c r="J224"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224" s="11">
        <v>0</v>
      </c>
    </row>
    <row r="225" spans="5:11" x14ac:dyDescent="0.35">
      <c r="E225" s="9" t="str">
        <v>EPSG</v>
      </c>
      <c r="F225" s="7" t="str">
        <v>2268</v>
      </c>
      <c r="G225" t="str">
        <v>ProjectedCrs</v>
      </c>
      <c r="H225" t="str">
        <v>Lambert Conic Conformal (2SP)</v>
      </c>
      <c r="I225" t="str">
        <v>NAD83 / Oklahoma South (ftUS)</v>
      </c>
      <c r="J225"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225" s="11">
        <v>0</v>
      </c>
    </row>
    <row r="226" spans="5:11" x14ac:dyDescent="0.35">
      <c r="E226" s="9" t="str">
        <v>EPSG</v>
      </c>
      <c r="F226" s="7" t="str">
        <v>2269</v>
      </c>
      <c r="G226" t="str">
        <v>ProjectedCrs</v>
      </c>
      <c r="H226" t="str">
        <v>Lambert Conic Conformal (2SP)</v>
      </c>
      <c r="I226" t="str">
        <v>NAD83 / Oregon North (ft)</v>
      </c>
      <c r="J226" t="str">
        <v>United States (USA) - Oregon - counties of Baker; Benton; Clackamas; Clatsop; Columbia; Gilliam; Grant; Hood River; Jefferson; Lincoln; Linn; Marion; Morrow; Multnomah; Polk; Sherman; Tillamook; Umatilla; Union; Wallowa; Wasco; Washington; Wheeler; Yamhill.</v>
      </c>
      <c r="K226" s="11">
        <v>0</v>
      </c>
    </row>
    <row r="227" spans="5:11" x14ac:dyDescent="0.35">
      <c r="E227" s="9" t="str">
        <v>EPSG</v>
      </c>
      <c r="F227" s="7" t="str">
        <v>2270</v>
      </c>
      <c r="G227" t="str">
        <v>ProjectedCrs</v>
      </c>
      <c r="H227" t="str">
        <v>Lambert Conic Conformal (2SP)</v>
      </c>
      <c r="I227" t="str">
        <v>NAD83 / Oregon South (ft)</v>
      </c>
      <c r="J227" t="str">
        <v>United States (USA) - Oregon - counties of Coos; Crook; Curry; Deschutes; Douglas; Harney; Jackson; Josephine; Klamath; Lake; Lane; Malheur.</v>
      </c>
      <c r="K227" s="11">
        <v>0</v>
      </c>
    </row>
    <row r="228" spans="5:11" x14ac:dyDescent="0.35">
      <c r="E228" s="9" t="str">
        <v>EPSG</v>
      </c>
      <c r="F228" s="7" t="str">
        <v>2271</v>
      </c>
      <c r="G228" t="str">
        <v>ProjectedCrs</v>
      </c>
      <c r="H228" t="str">
        <v>Lambert Conic Conformal (2SP)</v>
      </c>
      <c r="I228" t="str">
        <v>NAD83 / Pennsylvania North (ftUS)</v>
      </c>
      <c r="J228"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228" s="11">
        <v>0</v>
      </c>
    </row>
    <row r="229" spans="5:11" x14ac:dyDescent="0.35">
      <c r="E229" s="9" t="str">
        <v>EPSG</v>
      </c>
      <c r="F229" s="7" t="str">
        <v>2272</v>
      </c>
      <c r="G229" t="str">
        <v>ProjectedCrs</v>
      </c>
      <c r="H229" t="str">
        <v>Lambert Conic Conformal (2SP)</v>
      </c>
      <c r="I229" t="str">
        <v>NAD83 / Pennsylvania South (ftUS)</v>
      </c>
      <c r="J229"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229" s="11">
        <v>0</v>
      </c>
    </row>
    <row r="230" spans="5:11" x14ac:dyDescent="0.35">
      <c r="E230" s="9" t="str">
        <v>EPSG</v>
      </c>
      <c r="F230" s="7" t="str">
        <v>2273</v>
      </c>
      <c r="G230" t="str">
        <v>ProjectedCrs</v>
      </c>
      <c r="H230" t="str">
        <v>Lambert Conic Conformal (2SP)</v>
      </c>
      <c r="I230" t="str">
        <v>NAD83 / South Carolina (ft)</v>
      </c>
      <c r="J230"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230" s="11">
        <v>0</v>
      </c>
    </row>
    <row r="231" spans="5:11" x14ac:dyDescent="0.35">
      <c r="E231" s="9" t="str">
        <v>EPSG</v>
      </c>
      <c r="F231" s="7" t="str">
        <v>2274</v>
      </c>
      <c r="G231" t="str">
        <v>ProjectedCrs</v>
      </c>
      <c r="H231" t="str">
        <v>Lambert Conic Conformal (2SP)</v>
      </c>
      <c r="I231" t="str">
        <v>NAD83 / Tennessee (ftUS)</v>
      </c>
      <c r="J231"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231" s="11">
        <v>0</v>
      </c>
    </row>
    <row r="232" spans="5:11" x14ac:dyDescent="0.35">
      <c r="E232" s="9" t="str">
        <v>EPSG</v>
      </c>
      <c r="F232" s="7" t="str">
        <v>2275</v>
      </c>
      <c r="G232" t="str">
        <v>ProjectedCrs</v>
      </c>
      <c r="H232" t="str">
        <v>Lambert Conic Conformal (2SP)</v>
      </c>
      <c r="I232" t="str">
        <v>NAD83 / Texas North (ftUS)</v>
      </c>
      <c r="J232" t="str">
        <v>United States (USA) - Texas - counties of: Armstrong; Briscoe; Carson; Castro; Childress; Collingsworth; Dallam; Deaf Smith; Donley; Gray; Hall; Hansford; Hartley; Hemphill; Hutchinson; Lipscomb; Moore; Ochiltree; Oldham; Parmer; Potter; Randall; Roberts; Sherman; Swisher; Wheeler.</v>
      </c>
      <c r="K232" s="11">
        <v>0</v>
      </c>
    </row>
    <row r="233" spans="5:11" x14ac:dyDescent="0.35">
      <c r="E233" s="9" t="str">
        <v>EPSG</v>
      </c>
      <c r="F233" s="7" t="str">
        <v>2276</v>
      </c>
      <c r="G233" t="str">
        <v>ProjectedCrs</v>
      </c>
      <c r="H233" t="str">
        <v>Lambert Conic Conformal (2SP)</v>
      </c>
      <c r="I233" t="str">
        <v>NAD83 / Texas North Central (ftUS)</v>
      </c>
      <c r="J233"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233" s="11">
        <v>0</v>
      </c>
    </row>
    <row r="234" spans="5:11" x14ac:dyDescent="0.35">
      <c r="E234" s="9" t="str">
        <v>EPSG</v>
      </c>
      <c r="F234" s="7" t="str">
        <v>2277</v>
      </c>
      <c r="G234" t="str">
        <v>ProjectedCrs</v>
      </c>
      <c r="H234" t="str">
        <v>Lambert Conic Conformal (2SP)</v>
      </c>
      <c r="I234" t="str">
        <v>NAD83 / Texas Central (ftUS)</v>
      </c>
      <c r="J234"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234" s="11">
        <v>0</v>
      </c>
    </row>
    <row r="235" spans="5:11" x14ac:dyDescent="0.35">
      <c r="E235" s="9" t="str">
        <v>EPSG</v>
      </c>
      <c r="F235" s="7" t="str">
        <v>2278</v>
      </c>
      <c r="G235" t="str">
        <v>ProjectedCrs</v>
      </c>
      <c r="H235" t="str">
        <v>Lambert Conic Conformal (2SP)</v>
      </c>
      <c r="I235" t="str">
        <v>NAD83 / Texas South Central (ftUS)</v>
      </c>
      <c r="J235"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235" s="11">
        <v>0</v>
      </c>
    </row>
    <row r="236" spans="5:11" x14ac:dyDescent="0.35">
      <c r="E236" s="9" t="str">
        <v>EPSG</v>
      </c>
      <c r="F236" s="7" t="str">
        <v>2279</v>
      </c>
      <c r="G236" t="str">
        <v>ProjectedCrs</v>
      </c>
      <c r="H236" t="str">
        <v>Lambert Conic Conformal (2SP)</v>
      </c>
      <c r="I236" t="str">
        <v>NAD83 / Texas South (ftUS)</v>
      </c>
      <c r="J236" t="str">
        <v>United States (USA) - Texas - counties of Brooks; Cameron; Duval; Hidalgo; Jim Hogg; Jim Wells; Kenedy; Kleberg; Nueces; San Patricio; Starr; Webb; Willacy; Zapata.</v>
      </c>
      <c r="K236" s="11">
        <v>0</v>
      </c>
    </row>
    <row r="237" spans="5:11" x14ac:dyDescent="0.35">
      <c r="E237" s="9" t="str">
        <v>EPSG</v>
      </c>
      <c r="F237" s="7" t="str">
        <v>2280</v>
      </c>
      <c r="G237" t="str">
        <v>ProjectedCrs</v>
      </c>
      <c r="H237" t="str">
        <v>Lambert Conic Conformal (2SP)</v>
      </c>
      <c r="I237" t="str">
        <v>NAD83 / Utah North (ft)</v>
      </c>
      <c r="J237" t="str">
        <v>United States (USA) - Utah - counties of Box Elder; Cache; Daggett; Davis; Morgan; Rich; Summit; Weber.</v>
      </c>
      <c r="K237" s="11">
        <v>0</v>
      </c>
    </row>
    <row r="238" spans="5:11" x14ac:dyDescent="0.35">
      <c r="E238" s="9" t="str">
        <v>EPSG</v>
      </c>
      <c r="F238" s="7" t="str">
        <v>2281</v>
      </c>
      <c r="G238" t="str">
        <v>ProjectedCrs</v>
      </c>
      <c r="H238" t="str">
        <v>Lambert Conic Conformal (2SP)</v>
      </c>
      <c r="I238" t="str">
        <v>NAD83 / Utah Central (ft)</v>
      </c>
      <c r="J238" t="str">
        <v>United States (USA) - Utah - counties of Carbon; Duchesne; Emery; Grand; Juab; Millard; Salt Lake; Sanpete; Sevier; Tooele; Uintah; Utah; Wasatch.</v>
      </c>
      <c r="K238" s="11">
        <v>0</v>
      </c>
    </row>
    <row r="239" spans="5:11" x14ac:dyDescent="0.35">
      <c r="E239" s="9" t="str">
        <v>EPSG</v>
      </c>
      <c r="F239" s="7" t="str">
        <v>2282</v>
      </c>
      <c r="G239" t="str">
        <v>ProjectedCrs</v>
      </c>
      <c r="H239" t="str">
        <v>Lambert Conic Conformal (2SP)</v>
      </c>
      <c r="I239" t="str">
        <v>NAD83 / Utah South (ft)</v>
      </c>
      <c r="J239" t="str">
        <v>United States (USA) - Utah - counties of Beaver; Garfield; Iron; Kane; Piute; San Juan; Washington; Wayne.</v>
      </c>
      <c r="K239" s="11">
        <v>0</v>
      </c>
    </row>
    <row r="240" spans="5:11" x14ac:dyDescent="0.35">
      <c r="E240" s="9" t="str">
        <v>EPSG</v>
      </c>
      <c r="F240" s="7" t="str">
        <v>2283</v>
      </c>
      <c r="G240" t="str">
        <v>ProjectedCrs</v>
      </c>
      <c r="H240" t="str">
        <v>Lambert Conic Conformal (2SP)</v>
      </c>
      <c r="I240" t="str">
        <v>NAD83 / Virginia North (ftUS)</v>
      </c>
      <c r="J240" t="str">
        <v>United States (USA) - Virginia - counties of Arlington; Augusta; Bath; Caroline; Clarke; Culpeper; Fairfax; Fauquier; Frederick; Greene; Highland; King George; Loudoun; Madison; Orange; Page; Prince William; Rappahannock; Rockingham; Shenandoah; Spotsylvania; Stafford; Warren; Westmoreland.</v>
      </c>
      <c r="K240" s="11">
        <v>0</v>
      </c>
    </row>
    <row r="241" spans="5:11" x14ac:dyDescent="0.35">
      <c r="E241" s="9" t="str">
        <v>EPSG</v>
      </c>
      <c r="F241" s="7" t="str">
        <v>2284</v>
      </c>
      <c r="G241" t="str">
        <v>ProjectedCrs</v>
      </c>
      <c r="H241" t="str">
        <v>Lambert Conic Conformal (2SP)</v>
      </c>
      <c r="I241" t="str">
        <v>NAD83 / Virginia South (ftUS)</v>
      </c>
      <c r="J241"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241" s="11">
        <v>0</v>
      </c>
    </row>
    <row r="242" spans="5:11" x14ac:dyDescent="0.35">
      <c r="E242" s="9" t="str">
        <v>EPSG</v>
      </c>
      <c r="F242" s="7" t="str">
        <v>2285</v>
      </c>
      <c r="G242" t="str">
        <v>ProjectedCrs</v>
      </c>
      <c r="H242" t="str">
        <v>Lambert Conic Conformal (2SP)</v>
      </c>
      <c r="I242" t="str">
        <v>NAD83 / Washington North (ftUS)</v>
      </c>
      <c r="J242" t="str">
        <v>United States (USA) - Washington - counties of Chelan; Clallam; Douglas; Ferry; Grant north of approximately 47°30'N; Island; Jefferson; King; Kitsap; Lincoln; Okanogan; Pend Oreille; San Juan; Skagit; Snohomish; Spokane; Stevens; Whatcom.</v>
      </c>
      <c r="K242" s="11">
        <v>0</v>
      </c>
    </row>
    <row r="243" spans="5:11" x14ac:dyDescent="0.35">
      <c r="E243" s="9" t="str">
        <v>EPSG</v>
      </c>
      <c r="F243" s="7" t="str">
        <v>2286</v>
      </c>
      <c r="G243" t="str">
        <v>ProjectedCrs</v>
      </c>
      <c r="H243" t="str">
        <v>Lambert Conic Conformal (2SP)</v>
      </c>
      <c r="I243" t="str">
        <v>NAD83 / Washington South (ftUS)</v>
      </c>
      <c r="J243" t="str">
        <v>United States (USA) - Washington - counties of Adams; Asotin; Benton; Clark; Columbia; Cowlitz; Franklin; Garfield; Grant south of approximately 47°30'N; Grays Harbor; Kittitas; Klickitat; Lewis; Mason; Pacific; Pierce; Skamania; Thurston; Wahkiakum; Walla Walla; Whitman; Yakima.</v>
      </c>
      <c r="K243" s="11">
        <v>0</v>
      </c>
    </row>
    <row r="244" spans="5:11" x14ac:dyDescent="0.35">
      <c r="E244" s="9" t="str">
        <v>EPSG</v>
      </c>
      <c r="F244" s="7" t="str">
        <v>2287</v>
      </c>
      <c r="G244" t="str">
        <v>ProjectedCrs</v>
      </c>
      <c r="H244" t="str">
        <v>Lambert Conic Conformal (2SP)</v>
      </c>
      <c r="I244" t="str">
        <v>NAD83 / Wisconsin North (ftUS)</v>
      </c>
      <c r="J244" t="str">
        <v>United States (USA) - Wisconsin - counties of Ashland; Bayfield; Burnett; Douglas; Florence; Forest; Iron; Oneida; Price; Sawyer; Vilas; Washburn.</v>
      </c>
      <c r="K244" s="11">
        <v>0</v>
      </c>
    </row>
    <row r="245" spans="5:11" x14ac:dyDescent="0.35">
      <c r="E245" s="9" t="str">
        <v>EPSG</v>
      </c>
      <c r="F245" s="7" t="str">
        <v>2288</v>
      </c>
      <c r="G245" t="str">
        <v>ProjectedCrs</v>
      </c>
      <c r="H245" t="str">
        <v>Lambert Conic Conformal (2SP)</v>
      </c>
      <c r="I245" t="str">
        <v>NAD83 / Wisconsin Central (ftUS)</v>
      </c>
      <c r="J245" t="str">
        <v>United States (USA) - Wisconsin - counties of Barron; Brown; Buffalo; Chippewa; Clark; Door; Dunn; Eau Claire; Jackson; Kewaunee; Langlade; Lincoln; Marathon; Marinette; Menominee; Oconto; Outagamie; Pepin; Pierce; Polk; Portage; Rusk; Shawano; St Croix; Taylor; Trempealeau; Waupaca; Wood.</v>
      </c>
      <c r="K245" s="11">
        <v>0</v>
      </c>
    </row>
    <row r="246" spans="5:11" x14ac:dyDescent="0.35">
      <c r="E246" s="9" t="str">
        <v>EPSG</v>
      </c>
      <c r="F246" s="7" t="str">
        <v>2289</v>
      </c>
      <c r="G246" t="str">
        <v>ProjectedCrs</v>
      </c>
      <c r="H246" t="str">
        <v>Lambert Conic Conformal (2SP)</v>
      </c>
      <c r="I246" t="str">
        <v>NAD83 / Wisconsin South (ftUS)</v>
      </c>
      <c r="J246"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246" s="11">
        <v>0</v>
      </c>
    </row>
    <row r="247" spans="5:11" x14ac:dyDescent="0.35">
      <c r="E247" s="9" t="str">
        <v>EPSG</v>
      </c>
      <c r="F247" s="7" t="str">
        <v>2290</v>
      </c>
      <c r="G247" t="str">
        <v>ProjectedCrs</v>
      </c>
      <c r="H247" t="str">
        <v>Oblique Stereographic</v>
      </c>
      <c r="I247" t="str">
        <v>ATS77 / Prince Edward Isl. Stereographic (ATS77)</v>
      </c>
      <c r="J247" t="str">
        <v>Canada - Prince Edward Island.</v>
      </c>
      <c r="K247" s="11">
        <v>0</v>
      </c>
    </row>
    <row r="248" spans="5:11" x14ac:dyDescent="0.35">
      <c r="E248" s="9" t="str">
        <v>EPSG</v>
      </c>
      <c r="F248" s="7" t="str">
        <v>2294</v>
      </c>
      <c r="G248" t="str">
        <v>ProjectedCrs</v>
      </c>
      <c r="H248" t="str">
        <v>Transverse Mercator</v>
      </c>
      <c r="I248" t="str">
        <v>ATS77 / MTM Nova Scotia zone 4</v>
      </c>
      <c r="J248" t="str">
        <v>Canada - Nova Scotia - east of 63°W.</v>
      </c>
      <c r="K248" s="11">
        <v>0</v>
      </c>
    </row>
    <row r="249" spans="5:11" x14ac:dyDescent="0.35">
      <c r="E249" s="9" t="str">
        <v>EPSG</v>
      </c>
      <c r="F249" s="7" t="str">
        <v>2295</v>
      </c>
      <c r="G249" t="str">
        <v>ProjectedCrs</v>
      </c>
      <c r="H249" t="str">
        <v>Transverse Mercator</v>
      </c>
      <c r="I249" t="str">
        <v>ATS77 / MTM Nova Scotia zone 5</v>
      </c>
      <c r="J249" t="str">
        <v>Canada - Nova Scotia - west of 63°W.</v>
      </c>
      <c r="K249" s="11">
        <v>0</v>
      </c>
    </row>
    <row r="250" spans="5:11" x14ac:dyDescent="0.35">
      <c r="E250" s="9" t="str">
        <v>EPSG</v>
      </c>
      <c r="F250" s="7" t="str">
        <v>2296</v>
      </c>
      <c r="G250" t="str">
        <v>ProjectedCrs</v>
      </c>
      <c r="H250" t="str">
        <v>Lambert Conic Conformal (West Orientated)</v>
      </c>
      <c r="I250" t="str">
        <v>Ammassalik 1958 / Greenland zone 7 east</v>
      </c>
      <c r="J250" t="str">
        <v>Greenland - Ammassalik area onshore.</v>
      </c>
      <c r="K250" s="11">
        <v>0</v>
      </c>
    </row>
    <row r="251" spans="5:11" x14ac:dyDescent="0.35">
      <c r="E251" s="9" t="str">
        <v>EPSG</v>
      </c>
      <c r="F251" s="7" t="str">
        <v>2299</v>
      </c>
      <c r="G251" t="str">
        <v>ProjectedCrs</v>
      </c>
      <c r="H251" t="str">
        <v>Lambert Conic Conformal (West Orientated)</v>
      </c>
      <c r="I251" t="str">
        <v>Qornoq 1927 / Greenland zone 2 west</v>
      </c>
      <c r="J251" t="str">
        <v>Greenland - west coast onshore - between 78°N and 79°N.</v>
      </c>
      <c r="K251" s="11">
        <v>0</v>
      </c>
    </row>
    <row r="252" spans="5:11" x14ac:dyDescent="0.35">
      <c r="E252" s="9" t="str">
        <v>EPSG</v>
      </c>
      <c r="F252" s="7" t="str">
        <v>2301</v>
      </c>
      <c r="G252" t="str">
        <v>ProjectedCrs</v>
      </c>
      <c r="H252" t="str">
        <v>Lambert Conic Conformal (West Orientated)</v>
      </c>
      <c r="I252" t="str">
        <v>Qornoq 1927 / Greenland zone 3 west</v>
      </c>
      <c r="J252" t="str">
        <v>Greenland - west coast - between 75°N and 78°N.</v>
      </c>
      <c r="K252" s="11">
        <v>0</v>
      </c>
    </row>
    <row r="253" spans="5:11" x14ac:dyDescent="0.35">
      <c r="E253" s="9" t="str">
        <v>EPSG</v>
      </c>
      <c r="F253" s="7" t="str">
        <v>2303</v>
      </c>
      <c r="G253" t="str">
        <v>ProjectedCrs</v>
      </c>
      <c r="H253" t="str">
        <v>Lambert Conic Conformal (West Orientated)</v>
      </c>
      <c r="I253" t="str">
        <v>Qornoq 1927 / Greenland zone 4 west</v>
      </c>
      <c r="J253" t="str">
        <v>Greenland - west coast onshore - between 72°N and 75°N.</v>
      </c>
      <c r="K253" s="11">
        <v>0</v>
      </c>
    </row>
    <row r="254" spans="5:11" x14ac:dyDescent="0.35">
      <c r="E254" s="9" t="str">
        <v>EPSG</v>
      </c>
      <c r="F254" s="7" t="str">
        <v>2304</v>
      </c>
      <c r="G254" t="str">
        <v>ProjectedCrs</v>
      </c>
      <c r="H254" t="str">
        <v>Lambert Conic Conformal (West Orientated)</v>
      </c>
      <c r="I254" t="str">
        <v>Qornoq 1927 / Greenland zone 5 west</v>
      </c>
      <c r="J254" t="str">
        <v>Greenland - west coast onshore - between 69°N and 72°N.</v>
      </c>
      <c r="K254" s="11">
        <v>0</v>
      </c>
    </row>
    <row r="255" spans="5:11" x14ac:dyDescent="0.35">
      <c r="E255" s="9" t="str">
        <v>EPSG</v>
      </c>
      <c r="F255" s="7" t="str">
        <v>2305</v>
      </c>
      <c r="G255" t="str">
        <v>ProjectedCrs</v>
      </c>
      <c r="H255" t="str">
        <v>Lambert Conic Conformal (West Orientated)</v>
      </c>
      <c r="I255" t="str">
        <v>Qornoq 1927 / Greenland zone 6 west</v>
      </c>
      <c r="J255" t="str">
        <v>Greenland - west coast onshore - between 66°N and 69°N.</v>
      </c>
      <c r="K255" s="11">
        <v>0</v>
      </c>
    </row>
    <row r="256" spans="5:11" x14ac:dyDescent="0.35">
      <c r="E256" s="9" t="str">
        <v>EPSG</v>
      </c>
      <c r="F256" s="7" t="str">
        <v>2306</v>
      </c>
      <c r="G256" t="str">
        <v>ProjectedCrs</v>
      </c>
      <c r="H256" t="str">
        <v>Lambert Conic Conformal (West Orientated)</v>
      </c>
      <c r="I256" t="str">
        <v>Qornoq 1927 / Greenland zone 7 west</v>
      </c>
      <c r="J256" t="str">
        <v>Greenland - west coast onshore - between 63°N and 66°N.</v>
      </c>
      <c r="K256" s="11">
        <v>0</v>
      </c>
    </row>
    <row r="257" spans="5:11" x14ac:dyDescent="0.35">
      <c r="E257" s="9" t="str">
        <v>EPSG</v>
      </c>
      <c r="F257" s="7" t="str">
        <v>2307</v>
      </c>
      <c r="G257" t="str">
        <v>ProjectedCrs</v>
      </c>
      <c r="H257" t="str">
        <v>Lambert Conic Conformal (West Orientated)</v>
      </c>
      <c r="I257" t="str">
        <v>Qornoq 1927 / Greenland zone 8 east</v>
      </c>
      <c r="J257" t="str">
        <v>Greenland - onshore southwest coastal area south of 63°N.</v>
      </c>
      <c r="K257" s="11">
        <v>0</v>
      </c>
    </row>
    <row r="258" spans="5:11" x14ac:dyDescent="0.35">
      <c r="E258" s="9" t="str">
        <v>EPSG</v>
      </c>
      <c r="F258" s="7" t="str">
        <v>2308</v>
      </c>
      <c r="G258" t="str">
        <v>ProjectedCrs</v>
      </c>
      <c r="H258" t="str">
        <v>Transverse Mercator</v>
      </c>
      <c r="I258" t="str">
        <v>Batavia / TM 109 SE</v>
      </c>
      <c r="J258" t="str">
        <v>Indonesia - southern Java Sea offshore northwest Java.</v>
      </c>
      <c r="K258" s="11">
        <v>0</v>
      </c>
    </row>
    <row r="259" spans="5:11" x14ac:dyDescent="0.35">
      <c r="E259" s="9" t="str">
        <v>EPSG</v>
      </c>
      <c r="F259" s="7" t="str">
        <v>2309</v>
      </c>
      <c r="G259" t="str">
        <v>ProjectedCrs</v>
      </c>
      <c r="H259" t="str">
        <v>Transverse Mercator</v>
      </c>
      <c r="I259" t="str">
        <v>WGS 84 / TM 116 SE</v>
      </c>
      <c r="J259" t="str">
        <v>Indonesia - offshore Madura Strait and western Bali Sea.</v>
      </c>
      <c r="K259" s="11">
        <v>0</v>
      </c>
    </row>
    <row r="260" spans="5:11" x14ac:dyDescent="0.35">
      <c r="E260" s="9" t="str">
        <v>EPSG</v>
      </c>
      <c r="F260" s="7" t="str">
        <v>2310</v>
      </c>
      <c r="G260" t="str">
        <v>ProjectedCrs</v>
      </c>
      <c r="H260" t="str">
        <v>Transverse Mercator</v>
      </c>
      <c r="I260" t="str">
        <v>WGS 84 / TM 132 SE</v>
      </c>
      <c r="J260" t="str">
        <v>Indonesia - West Papua (formerly Irian Jaya) - Tangguh.</v>
      </c>
      <c r="K260" s="11">
        <v>0</v>
      </c>
    </row>
    <row r="261" spans="5:11" x14ac:dyDescent="0.35">
      <c r="E261" s="9" t="str">
        <v>EPSG</v>
      </c>
      <c r="F261" s="7" t="str">
        <v>2311</v>
      </c>
      <c r="G261" t="str">
        <v>ProjectedCrs</v>
      </c>
      <c r="H261" t="str">
        <v>Transverse Mercator</v>
      </c>
      <c r="I261" t="str">
        <v>WGS 84 / TM 6 NE</v>
      </c>
      <c r="J261" t="str">
        <v>Nigeria - offshore.</v>
      </c>
      <c r="K261" s="11">
        <v>0</v>
      </c>
    </row>
    <row r="262" spans="5:11" x14ac:dyDescent="0.35">
      <c r="E262" s="9" t="str">
        <v>EPSG</v>
      </c>
      <c r="F262" s="7" t="str">
        <v>2312</v>
      </c>
      <c r="G262" t="str">
        <v>ProjectedCrs</v>
      </c>
      <c r="H262" t="str">
        <v>Transverse Mercator</v>
      </c>
      <c r="I262" t="str">
        <v>Garoua / UTM zone 33N</v>
      </c>
      <c r="J262" t="str">
        <v>Cameroon - Garoua area.</v>
      </c>
      <c r="K262" s="11">
        <v>0</v>
      </c>
    </row>
    <row r="263" spans="5:11" x14ac:dyDescent="0.35">
      <c r="E263" s="9" t="str">
        <v>EPSG</v>
      </c>
      <c r="F263" s="7" t="str">
        <v>2313</v>
      </c>
      <c r="G263" t="str">
        <v>ProjectedCrs</v>
      </c>
      <c r="H263" t="str">
        <v>Transverse Mercator</v>
      </c>
      <c r="I263" t="str">
        <v>Kousseri / UTM zone 33N</v>
      </c>
      <c r="J263" t="str">
        <v>Cameroon - N'Djamena area.</v>
      </c>
      <c r="K263" s="11">
        <v>0</v>
      </c>
    </row>
    <row r="264" spans="5:11" x14ac:dyDescent="0.35">
      <c r="E264" s="9" t="str">
        <v>EPSG</v>
      </c>
      <c r="F264" s="7" t="str">
        <v>2314</v>
      </c>
      <c r="G264" t="str">
        <v>ProjectedCrs</v>
      </c>
      <c r="H264" t="str">
        <v>Cassini-Soldner</v>
      </c>
      <c r="I264" t="str">
        <v>Trinidad 1903 / Trinidad Grid (ftCla)</v>
      </c>
      <c r="J264" t="str">
        <v>Trinidad and Tobago - Trinidad - onshore and offshore.</v>
      </c>
      <c r="K264" s="11">
        <v>0</v>
      </c>
    </row>
    <row r="265" spans="5:11" x14ac:dyDescent="0.35">
      <c r="E265" s="9" t="str">
        <v>EPSG</v>
      </c>
      <c r="F265" s="7" t="str">
        <v>2315</v>
      </c>
      <c r="G265" t="str">
        <v>ProjectedCrs</v>
      </c>
      <c r="H265" t="str">
        <v>Transverse Mercator</v>
      </c>
      <c r="I265" t="str">
        <v>Campo Inchauspe / UTM zone 19S</v>
      </c>
      <c r="J265" t="str">
        <v>Argentina - Tierra del Fuego offshore Atlantic west of 66°W.</v>
      </c>
      <c r="K265" s="11">
        <v>0</v>
      </c>
    </row>
    <row r="266" spans="5:11" x14ac:dyDescent="0.35">
      <c r="E266" s="9" t="str">
        <v>EPSG</v>
      </c>
      <c r="F266" s="7" t="str">
        <v>2316</v>
      </c>
      <c r="G266" t="str">
        <v>ProjectedCrs</v>
      </c>
      <c r="H266" t="str">
        <v>Transverse Mercator</v>
      </c>
      <c r="I266" t="str">
        <v>Campo Inchauspe / UTM zone 20S</v>
      </c>
      <c r="J266" t="str">
        <v>Argentina - Tierra del Fuego offshore Atlantic east of 66°W.</v>
      </c>
      <c r="K266" s="11">
        <v>0</v>
      </c>
    </row>
    <row r="267" spans="5:11" x14ac:dyDescent="0.35">
      <c r="E267" s="9" t="str">
        <v>EPSG</v>
      </c>
      <c r="F267" s="7" t="str">
        <v>2317</v>
      </c>
      <c r="G267" t="str">
        <v>ProjectedCrs</v>
      </c>
      <c r="H267" t="str">
        <v>Lambert Conic Conformal (2SP)</v>
      </c>
      <c r="I267" t="str">
        <v>PSAD56 / ICN Regional</v>
      </c>
      <c r="J267" t="str">
        <v>Venezuela - onshore.</v>
      </c>
      <c r="K267" s="11">
        <v>0</v>
      </c>
    </row>
    <row r="268" spans="5:11" x14ac:dyDescent="0.35">
      <c r="E268" s="9" t="str">
        <v>EPSG</v>
      </c>
      <c r="F268" s="7" t="str">
        <v>2318</v>
      </c>
      <c r="G268" t="str">
        <v>ProjectedCrs</v>
      </c>
      <c r="H268" t="str">
        <v>Lambert Conic Conformal (2SP)</v>
      </c>
      <c r="I268" t="str">
        <v>Ain el Abd / Aramco Lambert</v>
      </c>
      <c r="J268" t="str">
        <v>Saudi Arabia - onshore.</v>
      </c>
      <c r="K268" s="11">
        <v>0</v>
      </c>
    </row>
    <row r="269" spans="5:11" x14ac:dyDescent="0.35">
      <c r="E269" s="9" t="str">
        <v>EPSG</v>
      </c>
      <c r="F269" s="7" t="str">
        <v>2319</v>
      </c>
      <c r="G269" t="str">
        <v>ProjectedCrs</v>
      </c>
      <c r="H269" t="str">
        <v>Transverse Mercator</v>
      </c>
      <c r="I269" t="str">
        <v>ED50 / TM27</v>
      </c>
      <c r="J269" t="str">
        <v>Türkiye (Turkey) - west of 28°30'E, onshore.</v>
      </c>
      <c r="K269" s="11">
        <v>0</v>
      </c>
    </row>
    <row r="270" spans="5:11" x14ac:dyDescent="0.35">
      <c r="E270" s="9" t="str">
        <v>EPSG</v>
      </c>
      <c r="F270" s="7" t="str">
        <v>2320</v>
      </c>
      <c r="G270" t="str">
        <v>ProjectedCrs</v>
      </c>
      <c r="H270" t="str">
        <v>Transverse Mercator</v>
      </c>
      <c r="I270" t="str">
        <v>ED50 / TM30</v>
      </c>
      <c r="J270" t="str">
        <v>Türkiye (Turkey) - between 28°30'E and 31°30'E, onshore.</v>
      </c>
      <c r="K270" s="11">
        <v>0</v>
      </c>
    </row>
    <row r="271" spans="5:11" x14ac:dyDescent="0.35">
      <c r="E271" s="9" t="str">
        <v>EPSG</v>
      </c>
      <c r="F271" s="7" t="str">
        <v>2321</v>
      </c>
      <c r="G271" t="str">
        <v>ProjectedCrs</v>
      </c>
      <c r="H271" t="str">
        <v>Transverse Mercator</v>
      </c>
      <c r="I271" t="str">
        <v>ED50 / TM33</v>
      </c>
      <c r="J271" t="str">
        <v>Türkiye (Turkey) - between 31°30'E and 34°30'E, onshore.</v>
      </c>
      <c r="K271" s="11">
        <v>0</v>
      </c>
    </row>
    <row r="272" spans="5:11" x14ac:dyDescent="0.35">
      <c r="E272" s="9" t="str">
        <v>EPSG</v>
      </c>
      <c r="F272" s="7" t="str">
        <v>2322</v>
      </c>
      <c r="G272" t="str">
        <v>ProjectedCrs</v>
      </c>
      <c r="H272" t="str">
        <v>Transverse Mercator</v>
      </c>
      <c r="I272" t="str">
        <v>ED50 / TM36</v>
      </c>
      <c r="J272" t="str">
        <v>Türkiye (Turkey) - between 34°30'E and 37°30'E, onshore.</v>
      </c>
      <c r="K272" s="11">
        <v>0</v>
      </c>
    </row>
    <row r="273" spans="5:11" x14ac:dyDescent="0.35">
      <c r="E273" s="9" t="str">
        <v>EPSG</v>
      </c>
      <c r="F273" s="7" t="str">
        <v>2323</v>
      </c>
      <c r="G273" t="str">
        <v>ProjectedCrs</v>
      </c>
      <c r="H273" t="str">
        <v>Transverse Mercator</v>
      </c>
      <c r="I273" t="str">
        <v>ED50 / TM39</v>
      </c>
      <c r="J273" t="str">
        <v>Türkiye (Turkey) - between 37°30'E and 40°30'E, onshore.</v>
      </c>
      <c r="K273" s="11">
        <v>0</v>
      </c>
    </row>
    <row r="274" spans="5:11" x14ac:dyDescent="0.35">
      <c r="E274" s="9" t="str">
        <v>EPSG</v>
      </c>
      <c r="F274" s="7" t="str">
        <v>2324</v>
      </c>
      <c r="G274" t="str">
        <v>ProjectedCrs</v>
      </c>
      <c r="H274" t="str">
        <v>Transverse Mercator</v>
      </c>
      <c r="I274" t="str">
        <v>ED50 / TM42</v>
      </c>
      <c r="J274" t="str">
        <v>Türkiye (Turkey) - between 40°30'E and 43°30'E, onshore.</v>
      </c>
      <c r="K274" s="11">
        <v>0</v>
      </c>
    </row>
    <row r="275" spans="5:11" x14ac:dyDescent="0.35">
      <c r="E275" s="9" t="str">
        <v>EPSG</v>
      </c>
      <c r="F275" s="7" t="str">
        <v>2325</v>
      </c>
      <c r="G275" t="str">
        <v>ProjectedCrs</v>
      </c>
      <c r="H275" t="str">
        <v>Transverse Mercator</v>
      </c>
      <c r="I275" t="str">
        <v>ED50 / TM45</v>
      </c>
      <c r="J275" t="str">
        <v>Türkiye (Turkey) - east of 43°30'E.</v>
      </c>
      <c r="K275" s="11">
        <v>0</v>
      </c>
    </row>
    <row r="276" spans="5:11" x14ac:dyDescent="0.35">
      <c r="E276" s="9" t="str">
        <v>EPSG</v>
      </c>
      <c r="F276" s="7" t="str">
        <v>2326</v>
      </c>
      <c r="G276" t="str">
        <v>ProjectedCrs</v>
      </c>
      <c r="H276" t="str">
        <v>Transverse Mercator</v>
      </c>
      <c r="I276" t="str">
        <v>Hong Kong 1980 Grid System</v>
      </c>
      <c r="J276" t="str">
        <v>China - Hong Kong - onshore and offshore.</v>
      </c>
      <c r="K276" s="11">
        <v>0</v>
      </c>
    </row>
    <row r="277" spans="5:11" x14ac:dyDescent="0.35">
      <c r="E277" s="9" t="str">
        <v>EPSG</v>
      </c>
      <c r="F277" s="7" t="str">
        <v>2327</v>
      </c>
      <c r="G277" t="str">
        <v>ProjectedCrs</v>
      </c>
      <c r="H277" t="str">
        <v>Transverse Mercator</v>
      </c>
      <c r="I277" t="str">
        <v>Xian 1980 / Gauss-Kruger zone 13</v>
      </c>
      <c r="J277" t="str">
        <v>China - west of 78°E.</v>
      </c>
      <c r="K277" s="11">
        <v>0</v>
      </c>
    </row>
    <row r="278" spans="5:11" x14ac:dyDescent="0.35">
      <c r="E278" s="9" t="str">
        <v>EPSG</v>
      </c>
      <c r="F278" s="7" t="str">
        <v>2328</v>
      </c>
      <c r="G278" t="str">
        <v>ProjectedCrs</v>
      </c>
      <c r="H278" t="str">
        <v>Transverse Mercator</v>
      </c>
      <c r="I278" t="str">
        <v>Xian 1980 / Gauss-Kruger zone 14</v>
      </c>
      <c r="J278" t="str">
        <v>China - between 78°E and 84°E.</v>
      </c>
      <c r="K278" s="11">
        <v>0</v>
      </c>
    </row>
    <row r="279" spans="5:11" x14ac:dyDescent="0.35">
      <c r="E279" s="9" t="str">
        <v>EPSG</v>
      </c>
      <c r="F279" s="7" t="str">
        <v>2329</v>
      </c>
      <c r="G279" t="str">
        <v>ProjectedCrs</v>
      </c>
      <c r="H279" t="str">
        <v>Transverse Mercator</v>
      </c>
      <c r="I279" t="str">
        <v>Xian 1980 / Gauss-Kruger zone 15</v>
      </c>
      <c r="J279" t="str">
        <v>China - between 84°E and 90°E.</v>
      </c>
      <c r="K279" s="11">
        <v>0</v>
      </c>
    </row>
    <row r="280" spans="5:11" x14ac:dyDescent="0.35">
      <c r="E280" s="9" t="str">
        <v>EPSG</v>
      </c>
      <c r="F280" s="7" t="str">
        <v>2330</v>
      </c>
      <c r="G280" t="str">
        <v>ProjectedCrs</v>
      </c>
      <c r="H280" t="str">
        <v>Transverse Mercator</v>
      </c>
      <c r="I280" t="str">
        <v>Xian 1980 / Gauss-Kruger zone 16</v>
      </c>
      <c r="J280" t="str">
        <v>China - between 90°E and 96°E.</v>
      </c>
      <c r="K280" s="11">
        <v>0</v>
      </c>
    </row>
    <row r="281" spans="5:11" x14ac:dyDescent="0.35">
      <c r="E281" s="9" t="str">
        <v>EPSG</v>
      </c>
      <c r="F281" s="7" t="str">
        <v>2331</v>
      </c>
      <c r="G281" t="str">
        <v>ProjectedCrs</v>
      </c>
      <c r="H281" t="str">
        <v>Transverse Mercator</v>
      </c>
      <c r="I281" t="str">
        <v>Xian 1980 / Gauss-Kruger zone 17</v>
      </c>
      <c r="J281" t="str">
        <v>China - between 96°E and 102°E.</v>
      </c>
      <c r="K281" s="11">
        <v>0</v>
      </c>
    </row>
    <row r="282" spans="5:11" x14ac:dyDescent="0.35">
      <c r="E282" s="9" t="str">
        <v>EPSG</v>
      </c>
      <c r="F282" s="7" t="str">
        <v>2332</v>
      </c>
      <c r="G282" t="str">
        <v>ProjectedCrs</v>
      </c>
      <c r="H282" t="str">
        <v>Transverse Mercator</v>
      </c>
      <c r="I282" t="str">
        <v>Xian 1980 / Gauss-Kruger zone 18</v>
      </c>
      <c r="J282" t="str">
        <v>China - onshore between 102°E and 108°E.</v>
      </c>
      <c r="K282" s="11">
        <v>0</v>
      </c>
    </row>
    <row r="283" spans="5:11" x14ac:dyDescent="0.35">
      <c r="E283" s="9" t="str">
        <v>EPSG</v>
      </c>
      <c r="F283" s="7" t="str">
        <v>2333</v>
      </c>
      <c r="G283" t="str">
        <v>ProjectedCrs</v>
      </c>
      <c r="H283" t="str">
        <v>Transverse Mercator</v>
      </c>
      <c r="I283" t="str">
        <v>Xian 1980 / Gauss-Kruger zone 19</v>
      </c>
      <c r="J283" t="str">
        <v>China - onshore between 108°E and 114°E.</v>
      </c>
      <c r="K283" s="11">
        <v>0</v>
      </c>
    </row>
    <row r="284" spans="5:11" x14ac:dyDescent="0.35">
      <c r="E284" s="9" t="str">
        <v>EPSG</v>
      </c>
      <c r="F284" s="7" t="str">
        <v>2334</v>
      </c>
      <c r="G284" t="str">
        <v>ProjectedCrs</v>
      </c>
      <c r="H284" t="str">
        <v>Transverse Mercator</v>
      </c>
      <c r="I284" t="str">
        <v>Xian 1980 / Gauss-Kruger zone 20</v>
      </c>
      <c r="J284" t="str">
        <v>China - onshore between 114°E and 120°E.</v>
      </c>
      <c r="K284" s="11">
        <v>0</v>
      </c>
    </row>
    <row r="285" spans="5:11" x14ac:dyDescent="0.35">
      <c r="E285" s="9" t="str">
        <v>EPSG</v>
      </c>
      <c r="F285" s="7" t="str">
        <v>2335</v>
      </c>
      <c r="G285" t="str">
        <v>ProjectedCrs</v>
      </c>
      <c r="H285" t="str">
        <v>Transverse Mercator</v>
      </c>
      <c r="I285" t="str">
        <v>Xian 1980 / Gauss-Kruger zone 21</v>
      </c>
      <c r="J285" t="str">
        <v>China - onshore between 120°E and 126°E.</v>
      </c>
      <c r="K285" s="11">
        <v>0</v>
      </c>
    </row>
    <row r="286" spans="5:11" x14ac:dyDescent="0.35">
      <c r="E286" s="9" t="str">
        <v>EPSG</v>
      </c>
      <c r="F286" s="7" t="str">
        <v>2336</v>
      </c>
      <c r="G286" t="str">
        <v>ProjectedCrs</v>
      </c>
      <c r="H286" t="str">
        <v>Transverse Mercator</v>
      </c>
      <c r="I286" t="str">
        <v>Xian 1980 / Gauss-Kruger zone 22</v>
      </c>
      <c r="J286" t="str">
        <v>China - onshore between 126°E and 132°E.</v>
      </c>
      <c r="K286" s="11">
        <v>0</v>
      </c>
    </row>
    <row r="287" spans="5:11" x14ac:dyDescent="0.35">
      <c r="E287" s="9" t="str">
        <v>EPSG</v>
      </c>
      <c r="F287" s="7" t="str">
        <v>2337</v>
      </c>
      <c r="G287" t="str">
        <v>ProjectedCrs</v>
      </c>
      <c r="H287" t="str">
        <v>Transverse Mercator</v>
      </c>
      <c r="I287" t="str">
        <v>Xian 1980 / Gauss-Kruger zone 23</v>
      </c>
      <c r="J287" t="str">
        <v>China - east of 132°E.</v>
      </c>
      <c r="K287" s="11">
        <v>0</v>
      </c>
    </row>
    <row r="288" spans="5:11" x14ac:dyDescent="0.35">
      <c r="E288" s="9" t="str">
        <v>EPSG</v>
      </c>
      <c r="F288" s="7" t="str">
        <v>2338</v>
      </c>
      <c r="G288" t="str">
        <v>ProjectedCrs</v>
      </c>
      <c r="H288" t="str">
        <v>Transverse Mercator</v>
      </c>
      <c r="I288" t="str">
        <v>Xian 1980 / Gauss-Kruger CM 75E</v>
      </c>
      <c r="J288" t="str">
        <v>China - west of 78°E.</v>
      </c>
      <c r="K288" s="11">
        <v>0</v>
      </c>
    </row>
    <row r="289" spans="5:11" x14ac:dyDescent="0.35">
      <c r="E289" s="9" t="str">
        <v>EPSG</v>
      </c>
      <c r="F289" s="7" t="str">
        <v>2339</v>
      </c>
      <c r="G289" t="str">
        <v>ProjectedCrs</v>
      </c>
      <c r="H289" t="str">
        <v>Transverse Mercator</v>
      </c>
      <c r="I289" t="str">
        <v>Xian 1980 / Gauss-Kruger CM 81E</v>
      </c>
      <c r="J289" t="str">
        <v>China - between 78°E and 84°E.</v>
      </c>
      <c r="K289" s="11">
        <v>0</v>
      </c>
    </row>
    <row r="290" spans="5:11" x14ac:dyDescent="0.35">
      <c r="E290" s="9" t="str">
        <v>EPSG</v>
      </c>
      <c r="F290" s="7" t="str">
        <v>2340</v>
      </c>
      <c r="G290" t="str">
        <v>ProjectedCrs</v>
      </c>
      <c r="H290" t="str">
        <v>Transverse Mercator</v>
      </c>
      <c r="I290" t="str">
        <v>Xian 1980 / Gauss-Kruger CM 87E</v>
      </c>
      <c r="J290" t="str">
        <v>China - between 84°E and 90°E.</v>
      </c>
      <c r="K290" s="11">
        <v>0</v>
      </c>
    </row>
    <row r="291" spans="5:11" x14ac:dyDescent="0.35">
      <c r="E291" s="9" t="str">
        <v>EPSG</v>
      </c>
      <c r="F291" s="7" t="str">
        <v>2341</v>
      </c>
      <c r="G291" t="str">
        <v>ProjectedCrs</v>
      </c>
      <c r="H291" t="str">
        <v>Transverse Mercator</v>
      </c>
      <c r="I291" t="str">
        <v>Xian 1980 / Gauss-Kruger CM 93E</v>
      </c>
      <c r="J291" t="str">
        <v>China - between 90°E and 96°E.</v>
      </c>
      <c r="K291" s="11">
        <v>0</v>
      </c>
    </row>
    <row r="292" spans="5:11" x14ac:dyDescent="0.35">
      <c r="E292" s="9" t="str">
        <v>EPSG</v>
      </c>
      <c r="F292" s="7" t="str">
        <v>2342</v>
      </c>
      <c r="G292" t="str">
        <v>ProjectedCrs</v>
      </c>
      <c r="H292" t="str">
        <v>Transverse Mercator</v>
      </c>
      <c r="I292" t="str">
        <v>Xian 1980 / Gauss-Kruger CM 99E</v>
      </c>
      <c r="J292" t="str">
        <v>China - between 96°E and 102°E.</v>
      </c>
      <c r="K292" s="11">
        <v>0</v>
      </c>
    </row>
    <row r="293" spans="5:11" x14ac:dyDescent="0.35">
      <c r="E293" s="9" t="str">
        <v>EPSG</v>
      </c>
      <c r="F293" s="7" t="str">
        <v>2343</v>
      </c>
      <c r="G293" t="str">
        <v>ProjectedCrs</v>
      </c>
      <c r="H293" t="str">
        <v>Transverse Mercator</v>
      </c>
      <c r="I293" t="str">
        <v>Xian 1980 / Gauss-Kruger CM 105E</v>
      </c>
      <c r="J293" t="str">
        <v>China - onshore between 102°E and 108°E.</v>
      </c>
      <c r="K293" s="11">
        <v>0</v>
      </c>
    </row>
    <row r="294" spans="5:11" x14ac:dyDescent="0.35">
      <c r="E294" s="9" t="str">
        <v>EPSG</v>
      </c>
      <c r="F294" s="7" t="str">
        <v>2344</v>
      </c>
      <c r="G294" t="str">
        <v>ProjectedCrs</v>
      </c>
      <c r="H294" t="str">
        <v>Transverse Mercator</v>
      </c>
      <c r="I294" t="str">
        <v>Xian 1980 / Gauss-Kruger CM 111E</v>
      </c>
      <c r="J294" t="str">
        <v>China - onshore between 108°E and 114°E.</v>
      </c>
      <c r="K294" s="11">
        <v>0</v>
      </c>
    </row>
    <row r="295" spans="5:11" x14ac:dyDescent="0.35">
      <c r="E295" s="9" t="str">
        <v>EPSG</v>
      </c>
      <c r="F295" s="7" t="str">
        <v>2345</v>
      </c>
      <c r="G295" t="str">
        <v>ProjectedCrs</v>
      </c>
      <c r="H295" t="str">
        <v>Transverse Mercator</v>
      </c>
      <c r="I295" t="str">
        <v>Xian 1980 / Gauss-Kruger CM 117E</v>
      </c>
      <c r="J295" t="str">
        <v>China - onshore between 114°E and 120°E.</v>
      </c>
      <c r="K295" s="11">
        <v>0</v>
      </c>
    </row>
    <row r="296" spans="5:11" x14ac:dyDescent="0.35">
      <c r="E296" s="9" t="str">
        <v>EPSG</v>
      </c>
      <c r="F296" s="7" t="str">
        <v>2346</v>
      </c>
      <c r="G296" t="str">
        <v>ProjectedCrs</v>
      </c>
      <c r="H296" t="str">
        <v>Transverse Mercator</v>
      </c>
      <c r="I296" t="str">
        <v>Xian 1980 / Gauss-Kruger CM 123E</v>
      </c>
      <c r="J296" t="str">
        <v>China - onshore between 120°E and 126°E.</v>
      </c>
      <c r="K296" s="11">
        <v>0</v>
      </c>
    </row>
    <row r="297" spans="5:11" x14ac:dyDescent="0.35">
      <c r="E297" s="9" t="str">
        <v>EPSG</v>
      </c>
      <c r="F297" s="7" t="str">
        <v>2347</v>
      </c>
      <c r="G297" t="str">
        <v>ProjectedCrs</v>
      </c>
      <c r="H297" t="str">
        <v>Transverse Mercator</v>
      </c>
      <c r="I297" t="str">
        <v>Xian 1980 / Gauss-Kruger CM 129E</v>
      </c>
      <c r="J297" t="str">
        <v>China - onshore between 126°E and 132°E.</v>
      </c>
      <c r="K297" s="11">
        <v>0</v>
      </c>
    </row>
    <row r="298" spans="5:11" x14ac:dyDescent="0.35">
      <c r="E298" s="9" t="str">
        <v>EPSG</v>
      </c>
      <c r="F298" s="7" t="str">
        <v>2348</v>
      </c>
      <c r="G298" t="str">
        <v>ProjectedCrs</v>
      </c>
      <c r="H298" t="str">
        <v>Transverse Mercator</v>
      </c>
      <c r="I298" t="str">
        <v>Xian 1980 / Gauss-Kruger CM 135E</v>
      </c>
      <c r="J298" t="str">
        <v>China - east of 132°E.</v>
      </c>
      <c r="K298" s="11">
        <v>0</v>
      </c>
    </row>
    <row r="299" spans="5:11" x14ac:dyDescent="0.35">
      <c r="E299" s="9" t="str">
        <v>EPSG</v>
      </c>
      <c r="F299" s="7" t="str">
        <v>2349</v>
      </c>
      <c r="G299" t="str">
        <v>ProjectedCrs</v>
      </c>
      <c r="H299" t="str">
        <v>Transverse Mercator</v>
      </c>
      <c r="I299" t="str">
        <v>Xian 1980 / 3-degree Gauss-Kruger zone 25</v>
      </c>
      <c r="J299" t="str">
        <v>China - west of 76°30'E.</v>
      </c>
      <c r="K299" s="11">
        <v>0</v>
      </c>
    </row>
    <row r="300" spans="5:11" x14ac:dyDescent="0.35">
      <c r="E300" s="9" t="str">
        <v>EPSG</v>
      </c>
      <c r="F300" s="7" t="str">
        <v>2350</v>
      </c>
      <c r="G300" t="str">
        <v>ProjectedCrs</v>
      </c>
      <c r="H300" t="str">
        <v>Transverse Mercator</v>
      </c>
      <c r="I300" t="str">
        <v>Xian 1980 / 3-degree Gauss-Kruger zone 26</v>
      </c>
      <c r="J300" t="str">
        <v>China - between 76°30'E and 79°30'E.</v>
      </c>
      <c r="K300" s="11">
        <v>0</v>
      </c>
    </row>
    <row r="301" spans="5:11" x14ac:dyDescent="0.35">
      <c r="E301" s="9" t="str">
        <v>EPSG</v>
      </c>
      <c r="F301" s="7" t="str">
        <v>2351</v>
      </c>
      <c r="G301" t="str">
        <v>ProjectedCrs</v>
      </c>
      <c r="H301" t="str">
        <v>Transverse Mercator</v>
      </c>
      <c r="I301" t="str">
        <v>Xian 1980 / 3-degree Gauss-Kruger zone 27</v>
      </c>
      <c r="J301" t="str">
        <v>China - between 79°30'E and 82°30'E.</v>
      </c>
      <c r="K301" s="11">
        <v>0</v>
      </c>
    </row>
    <row r="302" spans="5:11" x14ac:dyDescent="0.35">
      <c r="E302" s="9" t="str">
        <v>EPSG</v>
      </c>
      <c r="F302" s="7" t="str">
        <v>2352</v>
      </c>
      <c r="G302" t="str">
        <v>ProjectedCrs</v>
      </c>
      <c r="H302" t="str">
        <v>Transverse Mercator</v>
      </c>
      <c r="I302" t="str">
        <v>Xian 1980 / 3-degree Gauss-Kruger zone 28</v>
      </c>
      <c r="J302" t="str">
        <v>China - between 82°30'E and 85°30'E.</v>
      </c>
      <c r="K302" s="11">
        <v>0</v>
      </c>
    </row>
    <row r="303" spans="5:11" x14ac:dyDescent="0.35">
      <c r="E303" s="9" t="str">
        <v>EPSG</v>
      </c>
      <c r="F303" s="7" t="str">
        <v>2353</v>
      </c>
      <c r="G303" t="str">
        <v>ProjectedCrs</v>
      </c>
      <c r="H303" t="str">
        <v>Transverse Mercator</v>
      </c>
      <c r="I303" t="str">
        <v>Xian 1980 / 3-degree Gauss-Kruger zone 29</v>
      </c>
      <c r="J303" t="str">
        <v>China - between 85°30'E and 88°30'E.</v>
      </c>
      <c r="K303" s="11">
        <v>0</v>
      </c>
    </row>
    <row r="304" spans="5:11" x14ac:dyDescent="0.35">
      <c r="E304" s="9" t="str">
        <v>EPSG</v>
      </c>
      <c r="F304" s="7" t="str">
        <v>2354</v>
      </c>
      <c r="G304" t="str">
        <v>ProjectedCrs</v>
      </c>
      <c r="H304" t="str">
        <v>Transverse Mercator</v>
      </c>
      <c r="I304" t="str">
        <v>Xian 1980 / 3-degree Gauss-Kruger zone 30</v>
      </c>
      <c r="J304" t="str">
        <v>China - between 88°30'E and 91°30'E.</v>
      </c>
      <c r="K304" s="11">
        <v>0</v>
      </c>
    </row>
    <row r="305" spans="5:11" x14ac:dyDescent="0.35">
      <c r="E305" s="9" t="str">
        <v>EPSG</v>
      </c>
      <c r="F305" s="7" t="str">
        <v>2355</v>
      </c>
      <c r="G305" t="str">
        <v>ProjectedCrs</v>
      </c>
      <c r="H305" t="str">
        <v>Transverse Mercator</v>
      </c>
      <c r="I305" t="str">
        <v>Xian 1980 / 3-degree Gauss-Kruger zone 31</v>
      </c>
      <c r="J305" t="str">
        <v>China - between 91°30'E and 94°30'E.</v>
      </c>
      <c r="K305" s="11">
        <v>0</v>
      </c>
    </row>
    <row r="306" spans="5:11" x14ac:dyDescent="0.35">
      <c r="E306" s="9" t="str">
        <v>EPSG</v>
      </c>
      <c r="F306" s="7" t="str">
        <v>2356</v>
      </c>
      <c r="G306" t="str">
        <v>ProjectedCrs</v>
      </c>
      <c r="H306" t="str">
        <v>Transverse Mercator</v>
      </c>
      <c r="I306" t="str">
        <v>Xian 1980 / 3-degree Gauss-Kruger zone 32</v>
      </c>
      <c r="J306" t="str">
        <v>China - between 94°30'E and 97°30'E.</v>
      </c>
      <c r="K306" s="11">
        <v>0</v>
      </c>
    </row>
    <row r="307" spans="5:11" x14ac:dyDescent="0.35">
      <c r="E307" s="9" t="str">
        <v>EPSG</v>
      </c>
      <c r="F307" s="7" t="str">
        <v>2357</v>
      </c>
      <c r="G307" t="str">
        <v>ProjectedCrs</v>
      </c>
      <c r="H307" t="str">
        <v>Transverse Mercator</v>
      </c>
      <c r="I307" t="str">
        <v>Xian 1980 / 3-degree Gauss-Kruger zone 33</v>
      </c>
      <c r="J307" t="str">
        <v>China - between 97°30'E and 100°30'E.</v>
      </c>
      <c r="K307" s="11">
        <v>0</v>
      </c>
    </row>
    <row r="308" spans="5:11" x14ac:dyDescent="0.35">
      <c r="E308" s="9" t="str">
        <v>EPSG</v>
      </c>
      <c r="F308" s="7" t="str">
        <v>2358</v>
      </c>
      <c r="G308" t="str">
        <v>ProjectedCrs</v>
      </c>
      <c r="H308" t="str">
        <v>Transverse Mercator</v>
      </c>
      <c r="I308" t="str">
        <v>Xian 1980 / 3-degree Gauss-Kruger zone 34</v>
      </c>
      <c r="J308" t="str">
        <v>China - between 100°30'E and 103°30'E.</v>
      </c>
      <c r="K308" s="11">
        <v>0</v>
      </c>
    </row>
    <row r="309" spans="5:11" x14ac:dyDescent="0.35">
      <c r="E309" s="9" t="str">
        <v>EPSG</v>
      </c>
      <c r="F309" s="7" t="str">
        <v>2359</v>
      </c>
      <c r="G309" t="str">
        <v>ProjectedCrs</v>
      </c>
      <c r="H309" t="str">
        <v>Transverse Mercator</v>
      </c>
      <c r="I309" t="str">
        <v>Xian 1980 / 3-degree Gauss-Kruger zone 35</v>
      </c>
      <c r="J309" t="str">
        <v>China - between 103°30'E and 106°30'E.</v>
      </c>
      <c r="K309" s="11">
        <v>0</v>
      </c>
    </row>
    <row r="310" spans="5:11" x14ac:dyDescent="0.35">
      <c r="E310" s="9" t="str">
        <v>EPSG</v>
      </c>
      <c r="F310" s="7" t="str">
        <v>2360</v>
      </c>
      <c r="G310" t="str">
        <v>ProjectedCrs</v>
      </c>
      <c r="H310" t="str">
        <v>Transverse Mercator</v>
      </c>
      <c r="I310" t="str">
        <v>Xian 1980 / 3-degree Gauss-Kruger zone 36</v>
      </c>
      <c r="J310" t="str">
        <v>China - onshore between 106°30'E and 109°30'E.</v>
      </c>
      <c r="K310" s="11">
        <v>0</v>
      </c>
    </row>
    <row r="311" spans="5:11" x14ac:dyDescent="0.35">
      <c r="E311" s="9" t="str">
        <v>EPSG</v>
      </c>
      <c r="F311" s="7" t="str">
        <v>2361</v>
      </c>
      <c r="G311" t="str">
        <v>ProjectedCrs</v>
      </c>
      <c r="H311" t="str">
        <v>Transverse Mercator</v>
      </c>
      <c r="I311" t="str">
        <v>Xian 1980 / 3-degree Gauss-Kruger zone 37</v>
      </c>
      <c r="J311" t="str">
        <v>China - onshore between 109°30'E and 112°30'E.</v>
      </c>
      <c r="K311" s="11">
        <v>0</v>
      </c>
    </row>
    <row r="312" spans="5:11" x14ac:dyDescent="0.35">
      <c r="E312" s="9" t="str">
        <v>EPSG</v>
      </c>
      <c r="F312" s="7" t="str">
        <v>2362</v>
      </c>
      <c r="G312" t="str">
        <v>ProjectedCrs</v>
      </c>
      <c r="H312" t="str">
        <v>Transverse Mercator</v>
      </c>
      <c r="I312" t="str">
        <v>Xian 1980 / 3-degree Gauss-Kruger zone 38</v>
      </c>
      <c r="J312" t="str">
        <v>China - onshore between 112°30'E and 115°30'E.</v>
      </c>
      <c r="K312" s="11">
        <v>0</v>
      </c>
    </row>
    <row r="313" spans="5:11" x14ac:dyDescent="0.35">
      <c r="E313" s="9" t="str">
        <v>EPSG</v>
      </c>
      <c r="F313" s="7" t="str">
        <v>2363</v>
      </c>
      <c r="G313" t="str">
        <v>ProjectedCrs</v>
      </c>
      <c r="H313" t="str">
        <v>Transverse Mercator</v>
      </c>
      <c r="I313" t="str">
        <v>Xian 1980 / 3-degree Gauss-Kruger zone 39</v>
      </c>
      <c r="J313" t="str">
        <v>China - onshore between 115°30'E and 118°30'E.</v>
      </c>
      <c r="K313" s="11">
        <v>0</v>
      </c>
    </row>
    <row r="314" spans="5:11" x14ac:dyDescent="0.35">
      <c r="E314" s="9" t="str">
        <v>EPSG</v>
      </c>
      <c r="F314" s="7" t="str">
        <v>2364</v>
      </c>
      <c r="G314" t="str">
        <v>ProjectedCrs</v>
      </c>
      <c r="H314" t="str">
        <v>Transverse Mercator</v>
      </c>
      <c r="I314" t="str">
        <v>Xian 1980 / 3-degree Gauss-Kruger zone 40</v>
      </c>
      <c r="J314" t="str">
        <v>China - onshore between 118°30'E and 121°30'E.</v>
      </c>
      <c r="K314" s="11">
        <v>0</v>
      </c>
    </row>
    <row r="315" spans="5:11" x14ac:dyDescent="0.35">
      <c r="E315" s="9" t="str">
        <v>EPSG</v>
      </c>
      <c r="F315" s="7" t="str">
        <v>2365</v>
      </c>
      <c r="G315" t="str">
        <v>ProjectedCrs</v>
      </c>
      <c r="H315" t="str">
        <v>Transverse Mercator</v>
      </c>
      <c r="I315" t="str">
        <v>Xian 1980 / 3-degree Gauss-Kruger zone 41</v>
      </c>
      <c r="J315" t="str">
        <v>China - onshore between 121°30'E and 124°30'E.</v>
      </c>
      <c r="K315" s="11">
        <v>0</v>
      </c>
    </row>
    <row r="316" spans="5:11" x14ac:dyDescent="0.35">
      <c r="E316" s="9" t="str">
        <v>EPSG</v>
      </c>
      <c r="F316" s="7" t="str">
        <v>2366</v>
      </c>
      <c r="G316" t="str">
        <v>ProjectedCrs</v>
      </c>
      <c r="H316" t="str">
        <v>Transverse Mercator</v>
      </c>
      <c r="I316" t="str">
        <v>Xian 1980 / 3-degree Gauss-Kruger zone 42</v>
      </c>
      <c r="J316" t="str">
        <v>China - onshore between 124°30'E and 127°30'E.</v>
      </c>
      <c r="K316" s="11">
        <v>0</v>
      </c>
    </row>
    <row r="317" spans="5:11" x14ac:dyDescent="0.35">
      <c r="E317" s="9" t="str">
        <v>EPSG</v>
      </c>
      <c r="F317" s="7" t="str">
        <v>2367</v>
      </c>
      <c r="G317" t="str">
        <v>ProjectedCrs</v>
      </c>
      <c r="H317" t="str">
        <v>Transverse Mercator</v>
      </c>
      <c r="I317" t="str">
        <v>Xian 1980 / 3-degree Gauss-Kruger zone 43</v>
      </c>
      <c r="J317" t="str">
        <v>China - between 127°30'E and 130°30'E.</v>
      </c>
      <c r="K317" s="11">
        <v>0</v>
      </c>
    </row>
    <row r="318" spans="5:11" x14ac:dyDescent="0.35">
      <c r="E318" s="9" t="str">
        <v>EPSG</v>
      </c>
      <c r="F318" s="7" t="str">
        <v>2368</v>
      </c>
      <c r="G318" t="str">
        <v>ProjectedCrs</v>
      </c>
      <c r="H318" t="str">
        <v>Transverse Mercator</v>
      </c>
      <c r="I318" t="str">
        <v>Xian 1980 / 3-degree Gauss-Kruger zone 44</v>
      </c>
      <c r="J318" t="str">
        <v>China - between 130°30'E and 133°30'E.</v>
      </c>
      <c r="K318" s="11">
        <v>0</v>
      </c>
    </row>
    <row r="319" spans="5:11" x14ac:dyDescent="0.35">
      <c r="E319" s="9" t="str">
        <v>EPSG</v>
      </c>
      <c r="F319" s="7" t="str">
        <v>2369</v>
      </c>
      <c r="G319" t="str">
        <v>ProjectedCrs</v>
      </c>
      <c r="H319" t="str">
        <v>Transverse Mercator</v>
      </c>
      <c r="I319" t="str">
        <v>Xian 1980 / 3-degree Gauss-Kruger zone 45</v>
      </c>
      <c r="J319" t="str">
        <v>China - east of 133°30'E.</v>
      </c>
      <c r="K319" s="11">
        <v>0</v>
      </c>
    </row>
    <row r="320" spans="5:11" x14ac:dyDescent="0.35">
      <c r="E320" s="9" t="str">
        <v>EPSG</v>
      </c>
      <c r="F320" s="7" t="str">
        <v>2370</v>
      </c>
      <c r="G320" t="str">
        <v>ProjectedCrs</v>
      </c>
      <c r="H320" t="str">
        <v>Transverse Mercator</v>
      </c>
      <c r="I320" t="str">
        <v>Xian 1980 / 3-degree Gauss-Kruger CM 75E</v>
      </c>
      <c r="J320" t="str">
        <v>China - west of 76°30'E.</v>
      </c>
      <c r="K320" s="11">
        <v>0</v>
      </c>
    </row>
    <row r="321" spans="5:11" x14ac:dyDescent="0.35">
      <c r="E321" s="9" t="str">
        <v>EPSG</v>
      </c>
      <c r="F321" s="7" t="str">
        <v>2371</v>
      </c>
      <c r="G321" t="str">
        <v>ProjectedCrs</v>
      </c>
      <c r="H321" t="str">
        <v>Transverse Mercator</v>
      </c>
      <c r="I321" t="str">
        <v>Xian 1980 / 3-degree Gauss-Kruger CM 78E</v>
      </c>
      <c r="J321" t="str">
        <v>China - between 76°30'E and 79°30'E.</v>
      </c>
      <c r="K321" s="11">
        <v>0</v>
      </c>
    </row>
    <row r="322" spans="5:11" x14ac:dyDescent="0.35">
      <c r="E322" s="9" t="str">
        <v>EPSG</v>
      </c>
      <c r="F322" s="7" t="str">
        <v>2372</v>
      </c>
      <c r="G322" t="str">
        <v>ProjectedCrs</v>
      </c>
      <c r="H322" t="str">
        <v>Transverse Mercator</v>
      </c>
      <c r="I322" t="str">
        <v>Xian 1980 / 3-degree Gauss-Kruger CM 81E</v>
      </c>
      <c r="J322" t="str">
        <v>China - between 79°30'E and 82°30'E.</v>
      </c>
      <c r="K322" s="11">
        <v>0</v>
      </c>
    </row>
    <row r="323" spans="5:11" x14ac:dyDescent="0.35">
      <c r="E323" s="9" t="str">
        <v>EPSG</v>
      </c>
      <c r="F323" s="7" t="str">
        <v>2373</v>
      </c>
      <c r="G323" t="str">
        <v>ProjectedCrs</v>
      </c>
      <c r="H323" t="str">
        <v>Transverse Mercator</v>
      </c>
      <c r="I323" t="str">
        <v>Xian 1980 / 3-degree Gauss-Kruger CM 84E</v>
      </c>
      <c r="J323" t="str">
        <v>China - between 82°30'E and 85°30'E.</v>
      </c>
      <c r="K323" s="11">
        <v>0</v>
      </c>
    </row>
    <row r="324" spans="5:11" x14ac:dyDescent="0.35">
      <c r="E324" s="9" t="str">
        <v>EPSG</v>
      </c>
      <c r="F324" s="7" t="str">
        <v>2374</v>
      </c>
      <c r="G324" t="str">
        <v>ProjectedCrs</v>
      </c>
      <c r="H324" t="str">
        <v>Transverse Mercator</v>
      </c>
      <c r="I324" t="str">
        <v>Xian 1980 / 3-degree Gauss-Kruger CM 87E</v>
      </c>
      <c r="J324" t="str">
        <v>China - between 85°30'E and 88°30'E.</v>
      </c>
      <c r="K324" s="11">
        <v>0</v>
      </c>
    </row>
    <row r="325" spans="5:11" x14ac:dyDescent="0.35">
      <c r="E325" s="9" t="str">
        <v>EPSG</v>
      </c>
      <c r="F325" s="7" t="str">
        <v>2375</v>
      </c>
      <c r="G325" t="str">
        <v>ProjectedCrs</v>
      </c>
      <c r="H325" t="str">
        <v>Transverse Mercator</v>
      </c>
      <c r="I325" t="str">
        <v>Xian 1980 / 3-degree Gauss-Kruger CM 90E</v>
      </c>
      <c r="J325" t="str">
        <v>China - between 88°30'E and 91°30'E.</v>
      </c>
      <c r="K325" s="11">
        <v>0</v>
      </c>
    </row>
    <row r="326" spans="5:11" x14ac:dyDescent="0.35">
      <c r="E326" s="9" t="str">
        <v>EPSG</v>
      </c>
      <c r="F326" s="7" t="str">
        <v>2376</v>
      </c>
      <c r="G326" t="str">
        <v>ProjectedCrs</v>
      </c>
      <c r="H326" t="str">
        <v>Transverse Mercator</v>
      </c>
      <c r="I326" t="str">
        <v>Xian 1980 / 3-degree Gauss-Kruger CM 93E</v>
      </c>
      <c r="J326" t="str">
        <v>China - between 91°30'E and 94°30'E.</v>
      </c>
      <c r="K326" s="11">
        <v>0</v>
      </c>
    </row>
    <row r="327" spans="5:11" x14ac:dyDescent="0.35">
      <c r="E327" s="9" t="str">
        <v>EPSG</v>
      </c>
      <c r="F327" s="7" t="str">
        <v>2377</v>
      </c>
      <c r="G327" t="str">
        <v>ProjectedCrs</v>
      </c>
      <c r="H327" t="str">
        <v>Transverse Mercator</v>
      </c>
      <c r="I327" t="str">
        <v>Xian 1980 / 3-degree Gauss-Kruger CM 96E</v>
      </c>
      <c r="J327" t="str">
        <v>China - between 94°30'E and 97°30'E.</v>
      </c>
      <c r="K327" s="11">
        <v>0</v>
      </c>
    </row>
    <row r="328" spans="5:11" x14ac:dyDescent="0.35">
      <c r="E328" s="9" t="str">
        <v>EPSG</v>
      </c>
      <c r="F328" s="7" t="str">
        <v>2378</v>
      </c>
      <c r="G328" t="str">
        <v>ProjectedCrs</v>
      </c>
      <c r="H328" t="str">
        <v>Transverse Mercator</v>
      </c>
      <c r="I328" t="str">
        <v>Xian 1980 / 3-degree Gauss-Kruger CM 99E</v>
      </c>
      <c r="J328" t="str">
        <v>China - between 97°30'E and 100°30'E.</v>
      </c>
      <c r="K328" s="11">
        <v>0</v>
      </c>
    </row>
    <row r="329" spans="5:11" x14ac:dyDescent="0.35">
      <c r="E329" s="9" t="str">
        <v>EPSG</v>
      </c>
      <c r="F329" s="7" t="str">
        <v>2379</v>
      </c>
      <c r="G329" t="str">
        <v>ProjectedCrs</v>
      </c>
      <c r="H329" t="str">
        <v>Transverse Mercator</v>
      </c>
      <c r="I329" t="str">
        <v>Xian 1980 / 3-degree Gauss-Kruger CM 102E</v>
      </c>
      <c r="J329" t="str">
        <v>China - between 100°30'E and 103°30'E.</v>
      </c>
      <c r="K329" s="11">
        <v>0</v>
      </c>
    </row>
    <row r="330" spans="5:11" x14ac:dyDescent="0.35">
      <c r="E330" s="9" t="str">
        <v>EPSG</v>
      </c>
      <c r="F330" s="7" t="str">
        <v>2380</v>
      </c>
      <c r="G330" t="str">
        <v>ProjectedCrs</v>
      </c>
      <c r="H330" t="str">
        <v>Transverse Mercator</v>
      </c>
      <c r="I330" t="str">
        <v>Xian 1980 / 3-degree Gauss-Kruger CM 105E</v>
      </c>
      <c r="J330" t="str">
        <v>China - between 103°30'E and 106°30'E.</v>
      </c>
      <c r="K330" s="11">
        <v>0</v>
      </c>
    </row>
    <row r="331" spans="5:11" x14ac:dyDescent="0.35">
      <c r="E331" s="9" t="str">
        <v>EPSG</v>
      </c>
      <c r="F331" s="7" t="str">
        <v>2381</v>
      </c>
      <c r="G331" t="str">
        <v>ProjectedCrs</v>
      </c>
      <c r="H331" t="str">
        <v>Transverse Mercator</v>
      </c>
      <c r="I331" t="str">
        <v>Xian 1980 / 3-degree Gauss-Kruger CM 108E</v>
      </c>
      <c r="J331" t="str">
        <v>China - onshore between 106°30'E and 109°30'E.</v>
      </c>
      <c r="K331" s="11">
        <v>0</v>
      </c>
    </row>
    <row r="332" spans="5:11" x14ac:dyDescent="0.35">
      <c r="E332" s="9" t="str">
        <v>EPSG</v>
      </c>
      <c r="F332" s="7" t="str">
        <v>2382</v>
      </c>
      <c r="G332" t="str">
        <v>ProjectedCrs</v>
      </c>
      <c r="H332" t="str">
        <v>Transverse Mercator</v>
      </c>
      <c r="I332" t="str">
        <v>Xian 1980 / 3-degree Gauss-Kruger CM 111E</v>
      </c>
      <c r="J332" t="str">
        <v>China - onshore between 109°30'E and 112°30'E.</v>
      </c>
      <c r="K332" s="11">
        <v>0</v>
      </c>
    </row>
    <row r="333" spans="5:11" x14ac:dyDescent="0.35">
      <c r="E333" s="9" t="str">
        <v>EPSG</v>
      </c>
      <c r="F333" s="7" t="str">
        <v>2383</v>
      </c>
      <c r="G333" t="str">
        <v>ProjectedCrs</v>
      </c>
      <c r="H333" t="str">
        <v>Transverse Mercator</v>
      </c>
      <c r="I333" t="str">
        <v>Xian 1980 / 3-degree Gauss-Kruger CM 114E</v>
      </c>
      <c r="J333" t="str">
        <v>China - onshore between 112°30'E and 115°30'E.</v>
      </c>
      <c r="K333" s="11">
        <v>0</v>
      </c>
    </row>
    <row r="334" spans="5:11" x14ac:dyDescent="0.35">
      <c r="E334" s="9" t="str">
        <v>EPSG</v>
      </c>
      <c r="F334" s="7" t="str">
        <v>2384</v>
      </c>
      <c r="G334" t="str">
        <v>ProjectedCrs</v>
      </c>
      <c r="H334" t="str">
        <v>Transverse Mercator</v>
      </c>
      <c r="I334" t="str">
        <v>Xian 1980 / 3-degree Gauss-Kruger CM 117E</v>
      </c>
      <c r="J334" t="str">
        <v>China - onshore between 115°30'E and 118°30'E.</v>
      </c>
      <c r="K334" s="11">
        <v>0</v>
      </c>
    </row>
    <row r="335" spans="5:11" x14ac:dyDescent="0.35">
      <c r="E335" s="9" t="str">
        <v>EPSG</v>
      </c>
      <c r="F335" s="7" t="str">
        <v>2385</v>
      </c>
      <c r="G335" t="str">
        <v>ProjectedCrs</v>
      </c>
      <c r="H335" t="str">
        <v>Transverse Mercator</v>
      </c>
      <c r="I335" t="str">
        <v>Xian 1980 / 3-degree Gauss-Kruger CM 120E</v>
      </c>
      <c r="J335" t="str">
        <v>China - onshore between 118°30'E and 121°30'E.</v>
      </c>
      <c r="K335" s="11">
        <v>0</v>
      </c>
    </row>
    <row r="336" spans="5:11" x14ac:dyDescent="0.35">
      <c r="E336" s="9" t="str">
        <v>EPSG</v>
      </c>
      <c r="F336" s="7" t="str">
        <v>2386</v>
      </c>
      <c r="G336" t="str">
        <v>ProjectedCrs</v>
      </c>
      <c r="H336" t="str">
        <v>Transverse Mercator</v>
      </c>
      <c r="I336" t="str">
        <v>Xian 1980 / 3-degree Gauss-Kruger CM 123E</v>
      </c>
      <c r="J336" t="str">
        <v>China - onshore between 121°30'E and 124°30'E.</v>
      </c>
      <c r="K336" s="11">
        <v>0</v>
      </c>
    </row>
    <row r="337" spans="5:11" x14ac:dyDescent="0.35">
      <c r="E337" s="9" t="str">
        <v>EPSG</v>
      </c>
      <c r="F337" s="7" t="str">
        <v>2387</v>
      </c>
      <c r="G337" t="str">
        <v>ProjectedCrs</v>
      </c>
      <c r="H337" t="str">
        <v>Transverse Mercator</v>
      </c>
      <c r="I337" t="str">
        <v>Xian 1980 / 3-degree Gauss-Kruger CM 126E</v>
      </c>
      <c r="J337" t="str">
        <v>China - onshore between 124°30'E and 127°30'E.</v>
      </c>
      <c r="K337" s="11">
        <v>0</v>
      </c>
    </row>
    <row r="338" spans="5:11" x14ac:dyDescent="0.35">
      <c r="E338" s="9" t="str">
        <v>EPSG</v>
      </c>
      <c r="F338" s="7" t="str">
        <v>2388</v>
      </c>
      <c r="G338" t="str">
        <v>ProjectedCrs</v>
      </c>
      <c r="H338" t="str">
        <v>Transverse Mercator</v>
      </c>
      <c r="I338" t="str">
        <v>Xian 1980 / 3-degree Gauss-Kruger CM 129E</v>
      </c>
      <c r="J338" t="str">
        <v>China - between 127°30'E and 130°30'E.</v>
      </c>
      <c r="K338" s="11">
        <v>0</v>
      </c>
    </row>
    <row r="339" spans="5:11" x14ac:dyDescent="0.35">
      <c r="E339" s="9" t="str">
        <v>EPSG</v>
      </c>
      <c r="F339" s="7" t="str">
        <v>2389</v>
      </c>
      <c r="G339" t="str">
        <v>ProjectedCrs</v>
      </c>
      <c r="H339" t="str">
        <v>Transverse Mercator</v>
      </c>
      <c r="I339" t="str">
        <v>Xian 1980 / 3-degree Gauss-Kruger CM 132E</v>
      </c>
      <c r="J339" t="str">
        <v>China - between 130°30'E and 133°30'E.</v>
      </c>
      <c r="K339" s="11">
        <v>0</v>
      </c>
    </row>
    <row r="340" spans="5:11" x14ac:dyDescent="0.35">
      <c r="E340" s="9" t="str">
        <v>EPSG</v>
      </c>
      <c r="F340" s="7" t="str">
        <v>2390</v>
      </c>
      <c r="G340" t="str">
        <v>ProjectedCrs</v>
      </c>
      <c r="H340" t="str">
        <v>Transverse Mercator</v>
      </c>
      <c r="I340" t="str">
        <v>Xian 1980 / 3-degree Gauss-Kruger CM 135E</v>
      </c>
      <c r="J340" t="str">
        <v>China - east of 133°30'E.</v>
      </c>
      <c r="K340" s="11">
        <v>0</v>
      </c>
    </row>
    <row r="341" spans="5:11" x14ac:dyDescent="0.35">
      <c r="E341" s="9" t="str">
        <v>EPSG</v>
      </c>
      <c r="F341" s="7" t="str">
        <v>2391</v>
      </c>
      <c r="G341" t="str">
        <v>ProjectedCrs</v>
      </c>
      <c r="H341" t="str">
        <v>Transverse Mercator</v>
      </c>
      <c r="I341" t="str">
        <v>KKJ / Finland zone 1</v>
      </c>
      <c r="J341" t="str">
        <v>Finland - onshore between 19°30'E and 22°30'E.</v>
      </c>
      <c r="K341" s="11">
        <v>0</v>
      </c>
    </row>
    <row r="342" spans="5:11" x14ac:dyDescent="0.35">
      <c r="E342" s="9" t="str">
        <v>EPSG</v>
      </c>
      <c r="F342" s="7" t="str">
        <v>2392</v>
      </c>
      <c r="G342" t="str">
        <v>ProjectedCrs</v>
      </c>
      <c r="H342" t="str">
        <v>Transverse Mercator</v>
      </c>
      <c r="I342" t="str">
        <v>KKJ / Finland zone 2</v>
      </c>
      <c r="J342" t="str">
        <v>Finland - onshore between 22°30'E and 25°30'E.</v>
      </c>
      <c r="K342" s="11">
        <v>0</v>
      </c>
    </row>
    <row r="343" spans="5:11" x14ac:dyDescent="0.35">
      <c r="E343" s="9" t="str">
        <v>EPSG</v>
      </c>
      <c r="F343" s="7" t="str">
        <v>2393</v>
      </c>
      <c r="G343" t="str">
        <v>ProjectedCrs</v>
      </c>
      <c r="H343" t="str">
        <v>Transverse Mercator</v>
      </c>
      <c r="I343" t="str">
        <v>KKJ / Finland Uniform Coordinate System</v>
      </c>
      <c r="J343" t="str">
        <v>Finland - onshore.</v>
      </c>
      <c r="K343" s="11">
        <v>0</v>
      </c>
    </row>
    <row r="344" spans="5:11" x14ac:dyDescent="0.35">
      <c r="E344" s="9" t="str">
        <v>EPSG</v>
      </c>
      <c r="F344" s="7" t="str">
        <v>2393</v>
      </c>
      <c r="G344" t="str">
        <v>ProjectedCrs</v>
      </c>
      <c r="H344" t="str">
        <v>Transverse Mercator</v>
      </c>
      <c r="I344" t="str">
        <v>KKJ / Finland Uniform Coordinate System</v>
      </c>
      <c r="J344" t="str">
        <v>Finland - onshore between 25°30'E and 28°30'E.</v>
      </c>
      <c r="K344" s="11">
        <v>0</v>
      </c>
    </row>
    <row r="345" spans="5:11" x14ac:dyDescent="0.35">
      <c r="E345" s="9" t="str">
        <v>EPSG</v>
      </c>
      <c r="F345" s="7" t="str">
        <v>2394</v>
      </c>
      <c r="G345" t="str">
        <v>ProjectedCrs</v>
      </c>
      <c r="H345" t="str">
        <v>Transverse Mercator</v>
      </c>
      <c r="I345" t="str">
        <v>KKJ / Finland zone 4</v>
      </c>
      <c r="J345" t="str">
        <v>Finland - between 28°30'E and 31°30'E.</v>
      </c>
      <c r="K345" s="11">
        <v>0</v>
      </c>
    </row>
    <row r="346" spans="5:11" x14ac:dyDescent="0.35">
      <c r="E346" s="9" t="str">
        <v>EPSG</v>
      </c>
      <c r="F346" s="7" t="str">
        <v>2395</v>
      </c>
      <c r="G346" t="str">
        <v>ProjectedCrs</v>
      </c>
      <c r="H346" t="str">
        <v>Transverse Mercator</v>
      </c>
      <c r="I346" t="str">
        <v>South Yemen / Gauss-Kruger zone 8</v>
      </c>
      <c r="J346" t="str">
        <v>Yemen - South Yemen onshore mainland west of 48°E.</v>
      </c>
      <c r="K346" s="11">
        <v>0</v>
      </c>
    </row>
    <row r="347" spans="5:11" x14ac:dyDescent="0.35">
      <c r="E347" s="9" t="str">
        <v>EPSG</v>
      </c>
      <c r="F347" s="7" t="str">
        <v>2396</v>
      </c>
      <c r="G347" t="str">
        <v>ProjectedCrs</v>
      </c>
      <c r="H347" t="str">
        <v>Transverse Mercator</v>
      </c>
      <c r="I347" t="str">
        <v>South Yemen / Gauss-Kruger zone 9</v>
      </c>
      <c r="J347" t="str">
        <v>Yemen - South Yemen onshore mainland east of 48°E.</v>
      </c>
      <c r="K347" s="11">
        <v>0</v>
      </c>
    </row>
    <row r="348" spans="5:11" x14ac:dyDescent="0.35">
      <c r="E348" s="9" t="str">
        <v>EPSG</v>
      </c>
      <c r="F348" s="7" t="str">
        <v>2397</v>
      </c>
      <c r="G348" t="str">
        <v>ProjectedCrs</v>
      </c>
      <c r="H348" t="str">
        <v>Transverse Mercator</v>
      </c>
      <c r="I348" t="str">
        <v>Pulkovo 1942(83) / 3-degree Gauss-Kruger zone 3</v>
      </c>
      <c r="J348" t="str">
        <v>Germany - states of former East Germany - west of 10°30'E - Thuringen.</v>
      </c>
      <c r="K348" s="11">
        <v>0</v>
      </c>
    </row>
    <row r="349" spans="5:11" x14ac:dyDescent="0.35">
      <c r="E349" s="9" t="str">
        <v>EPSG</v>
      </c>
      <c r="F349" s="7" t="str">
        <v>2398</v>
      </c>
      <c r="G349" t="str">
        <v>ProjectedCrs</v>
      </c>
      <c r="H349" t="str">
        <v>Transverse Mercator</v>
      </c>
      <c r="I349" t="str">
        <v>Pulkovo 1942(83) / 3-degree Gauss-Kruger zone 4</v>
      </c>
      <c r="J349" t="str">
        <v>Czechia - west of 13°30'E. Germany - states of former East Germany onshore - between 10°30'E and 13°30'E - Brandenburg; Mecklenburg-Vorpommern; Sachsen; Sachsen-Anhalt; Thuringen.</v>
      </c>
      <c r="K349" s="11">
        <v>0</v>
      </c>
    </row>
    <row r="350" spans="5:11" x14ac:dyDescent="0.35">
      <c r="E350" s="9" t="str">
        <v>EPSG</v>
      </c>
      <c r="F350" s="7" t="str">
        <v>2399</v>
      </c>
      <c r="G350" t="str">
        <v>ProjectedCrs</v>
      </c>
      <c r="H350" t="str">
        <v>Transverse Mercator</v>
      </c>
      <c r="I350" t="str">
        <v>Pulkovo 1942(83) / 3-degree Gauss-Kruger zone 5</v>
      </c>
      <c r="J350" t="str">
        <v>Czechia - between 13°30'E and 16°30'E. Germany - states of former East Germany onshore east of 13°30'E - Brandenburg; Mecklenburg-Vorpommern; Sachsen. Hungary - west of 16°30'E.</v>
      </c>
      <c r="K350" s="11">
        <v>0</v>
      </c>
    </row>
    <row r="351" spans="5:11" x14ac:dyDescent="0.35">
      <c r="E351" s="9" t="str">
        <v>EPSG</v>
      </c>
      <c r="F351" s="7" t="str">
        <v>2401</v>
      </c>
      <c r="G351" t="str">
        <v>ProjectedCrs</v>
      </c>
      <c r="H351" t="str">
        <v>Transverse Mercator</v>
      </c>
      <c r="I351" t="str">
        <v>Beijing 1954 / 3-degree Gauss-Kruger zone 25</v>
      </c>
      <c r="J351" t="str">
        <v>China - west of 76°30'E.</v>
      </c>
      <c r="K351" s="11">
        <v>0</v>
      </c>
    </row>
    <row r="352" spans="5:11" x14ac:dyDescent="0.35">
      <c r="E352" s="9" t="str">
        <v>EPSG</v>
      </c>
      <c r="F352" s="7" t="str">
        <v>2402</v>
      </c>
      <c r="G352" t="str">
        <v>ProjectedCrs</v>
      </c>
      <c r="H352" t="str">
        <v>Transverse Mercator</v>
      </c>
      <c r="I352" t="str">
        <v>Beijing 1954 / 3-degree Gauss-Kruger zone 26</v>
      </c>
      <c r="J352" t="str">
        <v>China - between 76°30'E and 79°30'E.</v>
      </c>
      <c r="K352" s="11">
        <v>0</v>
      </c>
    </row>
    <row r="353" spans="5:11" x14ac:dyDescent="0.35">
      <c r="E353" s="9" t="str">
        <v>EPSG</v>
      </c>
      <c r="F353" s="7" t="str">
        <v>2403</v>
      </c>
      <c r="G353" t="str">
        <v>ProjectedCrs</v>
      </c>
      <c r="H353" t="str">
        <v>Transverse Mercator</v>
      </c>
      <c r="I353" t="str">
        <v>Beijing 1954 / 3-degree Gauss-Kruger zone 27</v>
      </c>
      <c r="J353" t="str">
        <v>China - between 79°30'E and 82°30'E.</v>
      </c>
      <c r="K353" s="11">
        <v>0</v>
      </c>
    </row>
    <row r="354" spans="5:11" x14ac:dyDescent="0.35">
      <c r="E354" s="9" t="str">
        <v>EPSG</v>
      </c>
      <c r="F354" s="7" t="str">
        <v>2404</v>
      </c>
      <c r="G354" t="str">
        <v>ProjectedCrs</v>
      </c>
      <c r="H354" t="str">
        <v>Transverse Mercator</v>
      </c>
      <c r="I354" t="str">
        <v>Beijing 1954 / 3-degree Gauss-Kruger zone 28</v>
      </c>
      <c r="J354" t="str">
        <v>China - between 82°30'E and 85°30'E.</v>
      </c>
      <c r="K354" s="11">
        <v>0</v>
      </c>
    </row>
    <row r="355" spans="5:11" x14ac:dyDescent="0.35">
      <c r="E355" s="9" t="str">
        <v>EPSG</v>
      </c>
      <c r="F355" s="7" t="str">
        <v>2405</v>
      </c>
      <c r="G355" t="str">
        <v>ProjectedCrs</v>
      </c>
      <c r="H355" t="str">
        <v>Transverse Mercator</v>
      </c>
      <c r="I355" t="str">
        <v>Beijing 1954 / 3-degree Gauss-Kruger zone 29</v>
      </c>
      <c r="J355" t="str">
        <v>China - between 85°30'E and 88°30'E.</v>
      </c>
      <c r="K355" s="11">
        <v>0</v>
      </c>
    </row>
    <row r="356" spans="5:11" x14ac:dyDescent="0.35">
      <c r="E356" s="9" t="str">
        <v>EPSG</v>
      </c>
      <c r="F356" s="7" t="str">
        <v>2406</v>
      </c>
      <c r="G356" t="str">
        <v>ProjectedCrs</v>
      </c>
      <c r="H356" t="str">
        <v>Transverse Mercator</v>
      </c>
      <c r="I356" t="str">
        <v>Beijing 1954 / 3-degree Gauss-Kruger zone 30</v>
      </c>
      <c r="J356" t="str">
        <v>China - between 88°30'E and 91°30'E.</v>
      </c>
      <c r="K356" s="11">
        <v>0</v>
      </c>
    </row>
    <row r="357" spans="5:11" x14ac:dyDescent="0.35">
      <c r="E357" s="9" t="str">
        <v>EPSG</v>
      </c>
      <c r="F357" s="7" t="str">
        <v>2407</v>
      </c>
      <c r="G357" t="str">
        <v>ProjectedCrs</v>
      </c>
      <c r="H357" t="str">
        <v>Transverse Mercator</v>
      </c>
      <c r="I357" t="str">
        <v>Beijing 1954 / 3-degree Gauss-Kruger zone 31</v>
      </c>
      <c r="J357" t="str">
        <v>China - between 91°30'E and 94°30'E.</v>
      </c>
      <c r="K357" s="11">
        <v>0</v>
      </c>
    </row>
    <row r="358" spans="5:11" x14ac:dyDescent="0.35">
      <c r="E358" s="9" t="str">
        <v>EPSG</v>
      </c>
      <c r="F358" s="7" t="str">
        <v>2408</v>
      </c>
      <c r="G358" t="str">
        <v>ProjectedCrs</v>
      </c>
      <c r="H358" t="str">
        <v>Transverse Mercator</v>
      </c>
      <c r="I358" t="str">
        <v>Beijing 1954 / 3-degree Gauss-Kruger zone 32</v>
      </c>
      <c r="J358" t="str">
        <v>China - between 94°30'E and 97°30'E.</v>
      </c>
      <c r="K358" s="11">
        <v>0</v>
      </c>
    </row>
    <row r="359" spans="5:11" x14ac:dyDescent="0.35">
      <c r="E359" s="9" t="str">
        <v>EPSG</v>
      </c>
      <c r="F359" s="7" t="str">
        <v>2409</v>
      </c>
      <c r="G359" t="str">
        <v>ProjectedCrs</v>
      </c>
      <c r="H359" t="str">
        <v>Transverse Mercator</v>
      </c>
      <c r="I359" t="str">
        <v>Beijing 1954 / 3-degree Gauss-Kruger zone 33</v>
      </c>
      <c r="J359" t="str">
        <v>China - between 97°30'E and 100°30'E.</v>
      </c>
      <c r="K359" s="11">
        <v>0</v>
      </c>
    </row>
    <row r="360" spans="5:11" x14ac:dyDescent="0.35">
      <c r="E360" s="9" t="str">
        <v>EPSG</v>
      </c>
      <c r="F360" s="7" t="str">
        <v>2410</v>
      </c>
      <c r="G360" t="str">
        <v>ProjectedCrs</v>
      </c>
      <c r="H360" t="str">
        <v>Transverse Mercator</v>
      </c>
      <c r="I360" t="str">
        <v>Beijing 1954 / 3-degree Gauss-Kruger zone 34</v>
      </c>
      <c r="J360" t="str">
        <v>China - between 100°30'E and 103°30'E.</v>
      </c>
      <c r="K360" s="11">
        <v>0</v>
      </c>
    </row>
    <row r="361" spans="5:11" x14ac:dyDescent="0.35">
      <c r="E361" s="9" t="str">
        <v>EPSG</v>
      </c>
      <c r="F361" s="7" t="str">
        <v>2411</v>
      </c>
      <c r="G361" t="str">
        <v>ProjectedCrs</v>
      </c>
      <c r="H361" t="str">
        <v>Transverse Mercator</v>
      </c>
      <c r="I361" t="str">
        <v>Beijing 1954 / 3-degree Gauss-Kruger zone 35</v>
      </c>
      <c r="J361" t="str">
        <v>China - between 103°30'E and 106°30'E.</v>
      </c>
      <c r="K361" s="11">
        <v>0</v>
      </c>
    </row>
    <row r="362" spans="5:11" x14ac:dyDescent="0.35">
      <c r="E362" s="9" t="str">
        <v>EPSG</v>
      </c>
      <c r="F362" s="7" t="str">
        <v>2412</v>
      </c>
      <c r="G362" t="str">
        <v>ProjectedCrs</v>
      </c>
      <c r="H362" t="str">
        <v>Transverse Mercator</v>
      </c>
      <c r="I362" t="str">
        <v>Beijing 1954 / 3-degree Gauss-Kruger zone 36</v>
      </c>
      <c r="J362" t="str">
        <v>China - onshore between 106°30'E and 109°30'E.</v>
      </c>
      <c r="K362" s="11">
        <v>0</v>
      </c>
    </row>
    <row r="363" spans="5:11" x14ac:dyDescent="0.35">
      <c r="E363" s="9" t="str">
        <v>EPSG</v>
      </c>
      <c r="F363" s="7" t="str">
        <v>2413</v>
      </c>
      <c r="G363" t="str">
        <v>ProjectedCrs</v>
      </c>
      <c r="H363" t="str">
        <v>Transverse Mercator</v>
      </c>
      <c r="I363" t="str">
        <v>Beijing 1954 / 3-degree Gauss-Kruger zone 37</v>
      </c>
      <c r="J363" t="str">
        <v>China - onshore between 109°30'E and 112°30'E.</v>
      </c>
      <c r="K363" s="11">
        <v>0</v>
      </c>
    </row>
    <row r="364" spans="5:11" x14ac:dyDescent="0.35">
      <c r="E364" s="9" t="str">
        <v>EPSG</v>
      </c>
      <c r="F364" s="7" t="str">
        <v>2414</v>
      </c>
      <c r="G364" t="str">
        <v>ProjectedCrs</v>
      </c>
      <c r="H364" t="str">
        <v>Transverse Mercator</v>
      </c>
      <c r="I364" t="str">
        <v>Beijing 1954 / 3-degree Gauss-Kruger zone 38</v>
      </c>
      <c r="J364" t="str">
        <v>China - onshore between 112°30'E and 115°30'E.</v>
      </c>
      <c r="K364" s="11">
        <v>0</v>
      </c>
    </row>
    <row r="365" spans="5:11" x14ac:dyDescent="0.35">
      <c r="E365" s="9" t="str">
        <v>EPSG</v>
      </c>
      <c r="F365" s="7" t="str">
        <v>2415</v>
      </c>
      <c r="G365" t="str">
        <v>ProjectedCrs</v>
      </c>
      <c r="H365" t="str">
        <v>Transverse Mercator</v>
      </c>
      <c r="I365" t="str">
        <v>Beijing 1954 / 3-degree Gauss-Kruger zone 39</v>
      </c>
      <c r="J365" t="str">
        <v>China - onshore between 115°30'E and 118°30'E.</v>
      </c>
      <c r="K365" s="11">
        <v>0</v>
      </c>
    </row>
    <row r="366" spans="5:11" x14ac:dyDescent="0.35">
      <c r="E366" s="9" t="str">
        <v>EPSG</v>
      </c>
      <c r="F366" s="7" t="str">
        <v>2416</v>
      </c>
      <c r="G366" t="str">
        <v>ProjectedCrs</v>
      </c>
      <c r="H366" t="str">
        <v>Transverse Mercator</v>
      </c>
      <c r="I366" t="str">
        <v>Beijing 1954 / 3-degree Gauss-Kruger zone 40</v>
      </c>
      <c r="J366" t="str">
        <v>China - onshore between 118°30'E and 121°30'E.</v>
      </c>
      <c r="K366" s="11">
        <v>0</v>
      </c>
    </row>
    <row r="367" spans="5:11" x14ac:dyDescent="0.35">
      <c r="E367" s="9" t="str">
        <v>EPSG</v>
      </c>
      <c r="F367" s="7" t="str">
        <v>2417</v>
      </c>
      <c r="G367" t="str">
        <v>ProjectedCrs</v>
      </c>
      <c r="H367" t="str">
        <v>Transverse Mercator</v>
      </c>
      <c r="I367" t="str">
        <v>Beijing 1954 / 3-degree Gauss-Kruger zone 41</v>
      </c>
      <c r="J367" t="str">
        <v>China - onshore between 121°30'E and 124°30'E.</v>
      </c>
      <c r="K367" s="11">
        <v>0</v>
      </c>
    </row>
    <row r="368" spans="5:11" x14ac:dyDescent="0.35">
      <c r="E368" s="9" t="str">
        <v>EPSG</v>
      </c>
      <c r="F368" s="7" t="str">
        <v>2418</v>
      </c>
      <c r="G368" t="str">
        <v>ProjectedCrs</v>
      </c>
      <c r="H368" t="str">
        <v>Transverse Mercator</v>
      </c>
      <c r="I368" t="str">
        <v>Beijing 1954 / 3-degree Gauss-Kruger zone 42</v>
      </c>
      <c r="J368" t="str">
        <v>China - onshore between 124°30'E and 127°30'E.</v>
      </c>
      <c r="K368" s="11">
        <v>0</v>
      </c>
    </row>
    <row r="369" spans="5:11" x14ac:dyDescent="0.35">
      <c r="E369" s="9" t="str">
        <v>EPSG</v>
      </c>
      <c r="F369" s="7" t="str">
        <v>2419</v>
      </c>
      <c r="G369" t="str">
        <v>ProjectedCrs</v>
      </c>
      <c r="H369" t="str">
        <v>Transverse Mercator</v>
      </c>
      <c r="I369" t="str">
        <v>Beijing 1954 / 3-degree Gauss-Kruger zone 43</v>
      </c>
      <c r="J369" t="str">
        <v>China - between 127°30'E and 130°30'E.</v>
      </c>
      <c r="K369" s="11">
        <v>0</v>
      </c>
    </row>
    <row r="370" spans="5:11" x14ac:dyDescent="0.35">
      <c r="E370" s="9" t="str">
        <v>EPSG</v>
      </c>
      <c r="F370" s="7" t="str">
        <v>2420</v>
      </c>
      <c r="G370" t="str">
        <v>ProjectedCrs</v>
      </c>
      <c r="H370" t="str">
        <v>Transverse Mercator</v>
      </c>
      <c r="I370" t="str">
        <v>Beijing 1954 / 3-degree Gauss-Kruger zone 44</v>
      </c>
      <c r="J370" t="str">
        <v>China - between 130°30'E and 133°30'E.</v>
      </c>
      <c r="K370" s="11">
        <v>0</v>
      </c>
    </row>
    <row r="371" spans="5:11" x14ac:dyDescent="0.35">
      <c r="E371" s="9" t="str">
        <v>EPSG</v>
      </c>
      <c r="F371" s="7" t="str">
        <v>2421</v>
      </c>
      <c r="G371" t="str">
        <v>ProjectedCrs</v>
      </c>
      <c r="H371" t="str">
        <v>Transverse Mercator</v>
      </c>
      <c r="I371" t="str">
        <v>Beijing 1954 / 3-degree Gauss-Kruger zone 45</v>
      </c>
      <c r="J371" t="str">
        <v>China - east of 133°30'E.</v>
      </c>
      <c r="K371" s="11">
        <v>0</v>
      </c>
    </row>
    <row r="372" spans="5:11" x14ac:dyDescent="0.35">
      <c r="E372" s="9" t="str">
        <v>EPSG</v>
      </c>
      <c r="F372" s="7" t="str">
        <v>2422</v>
      </c>
      <c r="G372" t="str">
        <v>ProjectedCrs</v>
      </c>
      <c r="H372" t="str">
        <v>Transverse Mercator</v>
      </c>
      <c r="I372" t="str">
        <v>Beijing 1954 / 3-degree Gauss-Kruger CM 75E</v>
      </c>
      <c r="J372" t="str">
        <v>China - west of 76°30'E.</v>
      </c>
      <c r="K372" s="11">
        <v>0</v>
      </c>
    </row>
    <row r="373" spans="5:11" x14ac:dyDescent="0.35">
      <c r="E373" s="9" t="str">
        <v>EPSG</v>
      </c>
      <c r="F373" s="7" t="str">
        <v>2423</v>
      </c>
      <c r="G373" t="str">
        <v>ProjectedCrs</v>
      </c>
      <c r="H373" t="str">
        <v>Transverse Mercator</v>
      </c>
      <c r="I373" t="str">
        <v>Beijing 1954 / 3-degree Gauss-Kruger CM 78E</v>
      </c>
      <c r="J373" t="str">
        <v>China - between 76°30'E and 79°30'E.</v>
      </c>
      <c r="K373" s="11">
        <v>0</v>
      </c>
    </row>
    <row r="374" spans="5:11" x14ac:dyDescent="0.35">
      <c r="E374" s="9" t="str">
        <v>EPSG</v>
      </c>
      <c r="F374" s="7" t="str">
        <v>2424</v>
      </c>
      <c r="G374" t="str">
        <v>ProjectedCrs</v>
      </c>
      <c r="H374" t="str">
        <v>Transverse Mercator</v>
      </c>
      <c r="I374" t="str">
        <v>Beijing 1954 / 3-degree Gauss-Kruger CM 81E</v>
      </c>
      <c r="J374" t="str">
        <v>China - between 79°30'E and 82°30'E.</v>
      </c>
      <c r="K374" s="11">
        <v>0</v>
      </c>
    </row>
    <row r="375" spans="5:11" x14ac:dyDescent="0.35">
      <c r="E375" s="9" t="str">
        <v>EPSG</v>
      </c>
      <c r="F375" s="7" t="str">
        <v>2425</v>
      </c>
      <c r="G375" t="str">
        <v>ProjectedCrs</v>
      </c>
      <c r="H375" t="str">
        <v>Transverse Mercator</v>
      </c>
      <c r="I375" t="str">
        <v>Beijing 1954 / 3-degree Gauss-Kruger CM 84E</v>
      </c>
      <c r="J375" t="str">
        <v>China - between 82°30'E and 85°30'E.</v>
      </c>
      <c r="K375" s="11">
        <v>0</v>
      </c>
    </row>
    <row r="376" spans="5:11" x14ac:dyDescent="0.35">
      <c r="E376" s="9" t="str">
        <v>EPSG</v>
      </c>
      <c r="F376" s="7" t="str">
        <v>2426</v>
      </c>
      <c r="G376" t="str">
        <v>ProjectedCrs</v>
      </c>
      <c r="H376" t="str">
        <v>Transverse Mercator</v>
      </c>
      <c r="I376" t="str">
        <v>Beijing 1954 / 3-degree Gauss-Kruger CM 87E</v>
      </c>
      <c r="J376" t="str">
        <v>China - between 85°30'E and 88°30'E.</v>
      </c>
      <c r="K376" s="11">
        <v>0</v>
      </c>
    </row>
    <row r="377" spans="5:11" x14ac:dyDescent="0.35">
      <c r="E377" s="9" t="str">
        <v>EPSG</v>
      </c>
      <c r="F377" s="7" t="str">
        <v>2427</v>
      </c>
      <c r="G377" t="str">
        <v>ProjectedCrs</v>
      </c>
      <c r="H377" t="str">
        <v>Transverse Mercator</v>
      </c>
      <c r="I377" t="str">
        <v>Beijing 1954 / 3-degree Gauss-Kruger CM 90E</v>
      </c>
      <c r="J377" t="str">
        <v>China - between 88°30'E and 91°30'E.</v>
      </c>
      <c r="K377" s="11">
        <v>0</v>
      </c>
    </row>
    <row r="378" spans="5:11" x14ac:dyDescent="0.35">
      <c r="E378" s="9" t="str">
        <v>EPSG</v>
      </c>
      <c r="F378" s="7" t="str">
        <v>2428</v>
      </c>
      <c r="G378" t="str">
        <v>ProjectedCrs</v>
      </c>
      <c r="H378" t="str">
        <v>Transverse Mercator</v>
      </c>
      <c r="I378" t="str">
        <v>Beijing 1954 / 3-degree Gauss-Kruger CM 93E</v>
      </c>
      <c r="J378" t="str">
        <v>China - between 91°30'E and 94°30'E.</v>
      </c>
      <c r="K378" s="11">
        <v>0</v>
      </c>
    </row>
    <row r="379" spans="5:11" x14ac:dyDescent="0.35">
      <c r="E379" s="9" t="str">
        <v>EPSG</v>
      </c>
      <c r="F379" s="7" t="str">
        <v>2429</v>
      </c>
      <c r="G379" t="str">
        <v>ProjectedCrs</v>
      </c>
      <c r="H379" t="str">
        <v>Transverse Mercator</v>
      </c>
      <c r="I379" t="str">
        <v>Beijing 1954 / 3-degree Gauss-Kruger CM 96E</v>
      </c>
      <c r="J379" t="str">
        <v>China - between 94°30'E and 97°30'E.</v>
      </c>
      <c r="K379" s="11">
        <v>0</v>
      </c>
    </row>
    <row r="380" spans="5:11" x14ac:dyDescent="0.35">
      <c r="E380" s="9" t="str">
        <v>EPSG</v>
      </c>
      <c r="F380" s="7" t="str">
        <v>2430</v>
      </c>
      <c r="G380" t="str">
        <v>ProjectedCrs</v>
      </c>
      <c r="H380" t="str">
        <v>Transverse Mercator</v>
      </c>
      <c r="I380" t="str">
        <v>Beijing 1954 / 3-degree Gauss-Kruger CM 99E</v>
      </c>
      <c r="J380" t="str">
        <v>China - between 97°30'E and 100°30'E.</v>
      </c>
      <c r="K380" s="11">
        <v>0</v>
      </c>
    </row>
    <row r="381" spans="5:11" x14ac:dyDescent="0.35">
      <c r="E381" s="9" t="str">
        <v>EPSG</v>
      </c>
      <c r="F381" s="7" t="str">
        <v>2431</v>
      </c>
      <c r="G381" t="str">
        <v>ProjectedCrs</v>
      </c>
      <c r="H381" t="str">
        <v>Transverse Mercator</v>
      </c>
      <c r="I381" t="str">
        <v>Beijing 1954 / 3-degree Gauss-Kruger CM 102E</v>
      </c>
      <c r="J381" t="str">
        <v>China - between 100°30'E and 103°30'E.</v>
      </c>
      <c r="K381" s="11">
        <v>0</v>
      </c>
    </row>
    <row r="382" spans="5:11" x14ac:dyDescent="0.35">
      <c r="E382" s="9" t="str">
        <v>EPSG</v>
      </c>
      <c r="F382" s="7" t="str">
        <v>2432</v>
      </c>
      <c r="G382" t="str">
        <v>ProjectedCrs</v>
      </c>
      <c r="H382" t="str">
        <v>Transverse Mercator</v>
      </c>
      <c r="I382" t="str">
        <v>Beijing 1954 / 3-degree Gauss-Kruger CM 105E</v>
      </c>
      <c r="J382" t="str">
        <v>China - between 103°30'E and 106°30'E.</v>
      </c>
      <c r="K382" s="11">
        <v>0</v>
      </c>
    </row>
    <row r="383" spans="5:11" x14ac:dyDescent="0.35">
      <c r="E383" s="9" t="str">
        <v>EPSG</v>
      </c>
      <c r="F383" s="7" t="str">
        <v>2433</v>
      </c>
      <c r="G383" t="str">
        <v>ProjectedCrs</v>
      </c>
      <c r="H383" t="str">
        <v>Transverse Mercator</v>
      </c>
      <c r="I383" t="str">
        <v>Beijing 1954 / 3-degree Gauss-Kruger CM 108E</v>
      </c>
      <c r="J383" t="str">
        <v>China - onshore between 106°30'E and 109°30'E.</v>
      </c>
      <c r="K383" s="11">
        <v>0</v>
      </c>
    </row>
    <row r="384" spans="5:11" x14ac:dyDescent="0.35">
      <c r="E384" s="9" t="str">
        <v>EPSG</v>
      </c>
      <c r="F384" s="7" t="str">
        <v>2434</v>
      </c>
      <c r="G384" t="str">
        <v>ProjectedCrs</v>
      </c>
      <c r="H384" t="str">
        <v>Transverse Mercator</v>
      </c>
      <c r="I384" t="str">
        <v>Beijing 1954 / 3-degree Gauss-Kruger CM 111E</v>
      </c>
      <c r="J384" t="str">
        <v>China - onshore between 109°30'E and 112°30'E.</v>
      </c>
      <c r="K384" s="11">
        <v>0</v>
      </c>
    </row>
    <row r="385" spans="5:11" x14ac:dyDescent="0.35">
      <c r="E385" s="9" t="str">
        <v>EPSG</v>
      </c>
      <c r="F385" s="7" t="str">
        <v>2435</v>
      </c>
      <c r="G385" t="str">
        <v>ProjectedCrs</v>
      </c>
      <c r="H385" t="str">
        <v>Transverse Mercator</v>
      </c>
      <c r="I385" t="str">
        <v>Beijing 1954 / 3-degree Gauss-Kruger CM 114E</v>
      </c>
      <c r="J385" t="str">
        <v>China - onshore between 112°30'E and 115°30'E.</v>
      </c>
      <c r="K385" s="11">
        <v>0</v>
      </c>
    </row>
    <row r="386" spans="5:11" x14ac:dyDescent="0.35">
      <c r="E386" s="9" t="str">
        <v>EPSG</v>
      </c>
      <c r="F386" s="7" t="str">
        <v>2436</v>
      </c>
      <c r="G386" t="str">
        <v>ProjectedCrs</v>
      </c>
      <c r="H386" t="str">
        <v>Transverse Mercator</v>
      </c>
      <c r="I386" t="str">
        <v>Beijing 1954 / 3-degree Gauss-Kruger CM 117E</v>
      </c>
      <c r="J386" t="str">
        <v>China - onshore between 115°30'E and 118°30'E.</v>
      </c>
      <c r="K386" s="11">
        <v>0</v>
      </c>
    </row>
    <row r="387" spans="5:11" x14ac:dyDescent="0.35">
      <c r="E387" s="9" t="str">
        <v>EPSG</v>
      </c>
      <c r="F387" s="7" t="str">
        <v>2437</v>
      </c>
      <c r="G387" t="str">
        <v>ProjectedCrs</v>
      </c>
      <c r="H387" t="str">
        <v>Transverse Mercator</v>
      </c>
      <c r="I387" t="str">
        <v>Beijing 1954 / 3-degree Gauss-Kruger CM 120E</v>
      </c>
      <c r="J387" t="str">
        <v>China - onshore between 118°30'E and 121°30'E.</v>
      </c>
      <c r="K387" s="11">
        <v>0</v>
      </c>
    </row>
    <row r="388" spans="5:11" x14ac:dyDescent="0.35">
      <c r="E388" s="9" t="str">
        <v>EPSG</v>
      </c>
      <c r="F388" s="7" t="str">
        <v>2438</v>
      </c>
      <c r="G388" t="str">
        <v>ProjectedCrs</v>
      </c>
      <c r="H388" t="str">
        <v>Transverse Mercator</v>
      </c>
      <c r="I388" t="str">
        <v>Beijing 1954 / 3-degree Gauss-Kruger CM 123E</v>
      </c>
      <c r="J388" t="str">
        <v>China - onshore between 121°30'E and 124°30'E.</v>
      </c>
      <c r="K388" s="11">
        <v>0</v>
      </c>
    </row>
    <row r="389" spans="5:11" x14ac:dyDescent="0.35">
      <c r="E389" s="9" t="str">
        <v>EPSG</v>
      </c>
      <c r="F389" s="7" t="str">
        <v>2439</v>
      </c>
      <c r="G389" t="str">
        <v>ProjectedCrs</v>
      </c>
      <c r="H389" t="str">
        <v>Transverse Mercator</v>
      </c>
      <c r="I389" t="str">
        <v>Beijing 1954 / 3-degree Gauss-Kruger CM 126E</v>
      </c>
      <c r="J389" t="str">
        <v>China - onshore between 124°30'E and 127°30'E.</v>
      </c>
      <c r="K389" s="11">
        <v>0</v>
      </c>
    </row>
    <row r="390" spans="5:11" x14ac:dyDescent="0.35">
      <c r="E390" s="9" t="str">
        <v>EPSG</v>
      </c>
      <c r="F390" s="7" t="str">
        <v>2440</v>
      </c>
      <c r="G390" t="str">
        <v>ProjectedCrs</v>
      </c>
      <c r="H390" t="str">
        <v>Transverse Mercator</v>
      </c>
      <c r="I390" t="str">
        <v>Beijing 1954 / 3-degree Gauss-Kruger CM 129E</v>
      </c>
      <c r="J390" t="str">
        <v>China - between 127°30'E and 130°30'E.</v>
      </c>
      <c r="K390" s="11">
        <v>0</v>
      </c>
    </row>
    <row r="391" spans="5:11" x14ac:dyDescent="0.35">
      <c r="E391" s="9" t="str">
        <v>EPSG</v>
      </c>
      <c r="F391" s="7" t="str">
        <v>2441</v>
      </c>
      <c r="G391" t="str">
        <v>ProjectedCrs</v>
      </c>
      <c r="H391" t="str">
        <v>Transverse Mercator</v>
      </c>
      <c r="I391" t="str">
        <v>Beijing 1954 / 3-degree Gauss-Kruger CM 132E</v>
      </c>
      <c r="J391" t="str">
        <v>China - between 130°30'E and 133°30'E.</v>
      </c>
      <c r="K391" s="11">
        <v>0</v>
      </c>
    </row>
    <row r="392" spans="5:11" x14ac:dyDescent="0.35">
      <c r="E392" s="9" t="str">
        <v>EPSG</v>
      </c>
      <c r="F392" s="7" t="str">
        <v>2442</v>
      </c>
      <c r="G392" t="str">
        <v>ProjectedCrs</v>
      </c>
      <c r="H392" t="str">
        <v>Transverse Mercator</v>
      </c>
      <c r="I392" t="str">
        <v>Beijing 1954 / 3-degree Gauss-Kruger CM 135E</v>
      </c>
      <c r="J392" t="str">
        <v>China - east of 133°30'E.</v>
      </c>
      <c r="K392" s="11">
        <v>0</v>
      </c>
    </row>
    <row r="393" spans="5:11" x14ac:dyDescent="0.35">
      <c r="E393" s="9" t="str">
        <v>EPSG</v>
      </c>
      <c r="F393" s="7" t="str">
        <v>2443</v>
      </c>
      <c r="G393" t="str">
        <v>ProjectedCrs</v>
      </c>
      <c r="H393" t="str">
        <v>Transverse Mercator</v>
      </c>
      <c r="I393" t="str">
        <v>JGD2000 / Japan Plane Rectangular CS I</v>
      </c>
      <c r="J393" t="str">
        <v>Japan - onshore - Kyushu west of approximately 130°E - Nagasaki-ken; islands of Kagoshima-ken between 27°N and 32°N and between 128°18'E and 130°E (between 128°18'E and 30°13'E for Amami islands).</v>
      </c>
      <c r="K393" s="11">
        <v>0</v>
      </c>
    </row>
    <row r="394" spans="5:11" x14ac:dyDescent="0.35">
      <c r="E394" s="9" t="str">
        <v>EPSG</v>
      </c>
      <c r="F394" s="7" t="str">
        <v>2444</v>
      </c>
      <c r="G394" t="str">
        <v>ProjectedCrs</v>
      </c>
      <c r="H394" t="str">
        <v>Transverse Mercator</v>
      </c>
      <c r="I394" t="str">
        <v>JGD2000 / Japan Plane Rectangular CS II</v>
      </c>
      <c r="J394" t="str">
        <v>Japan - onshore - Kyushu east of approximately 130°E - Fukuoka-ken; Saga-ken; Kumamoto-ken; Oita-ken; Miyazaki-ken; Kagoshima-ken (except for area within Japan Plane Rectangular Coordinate System zone I).</v>
      </c>
      <c r="K394" s="11">
        <v>0</v>
      </c>
    </row>
    <row r="395" spans="5:11" x14ac:dyDescent="0.35">
      <c r="E395" s="9" t="str">
        <v>EPSG</v>
      </c>
      <c r="F395" s="7" t="str">
        <v>2445</v>
      </c>
      <c r="G395" t="str">
        <v>ProjectedCrs</v>
      </c>
      <c r="H395" t="str">
        <v>Transverse Mercator</v>
      </c>
      <c r="I395" t="str">
        <v>JGD2000 / Japan Plane Rectangular CS III</v>
      </c>
      <c r="J395" t="str">
        <v>Japan - onshore - Honshu west of approximately 133°15'E - Yamaguchi-ken; Shimane-ken; Hiroshima-ken.</v>
      </c>
      <c r="K395" s="11">
        <v>0</v>
      </c>
    </row>
    <row r="396" spans="5:11" x14ac:dyDescent="0.35">
      <c r="E396" s="9" t="str">
        <v>EPSG</v>
      </c>
      <c r="F396" s="7" t="str">
        <v>2446</v>
      </c>
      <c r="G396" t="str">
        <v>ProjectedCrs</v>
      </c>
      <c r="H396" t="str">
        <v>Transverse Mercator</v>
      </c>
      <c r="I396" t="str">
        <v>JGD2000 / Japan Plane Rectangular CS IV</v>
      </c>
      <c r="J396" t="str">
        <v>Japan - onshore - Shikoku - Kagawa-ken; Ehime-ken; Tokushima-ken; Kochi-ken.</v>
      </c>
      <c r="K396" s="11">
        <v>0</v>
      </c>
    </row>
    <row r="397" spans="5:11" x14ac:dyDescent="0.35">
      <c r="E397" s="9" t="str">
        <v>EPSG</v>
      </c>
      <c r="F397" s="7" t="str">
        <v>2447</v>
      </c>
      <c r="G397" t="str">
        <v>ProjectedCrs</v>
      </c>
      <c r="H397" t="str">
        <v>Transverse Mercator</v>
      </c>
      <c r="I397" t="str">
        <v>JGD2000 / Japan Plane Rectangular CS V</v>
      </c>
      <c r="J397" t="str">
        <v>Japan - onshore - Honshu between approximately 133°15'E and 135°10'E - Hyogo-ken; Tottori-ken; Okayama-ken.</v>
      </c>
      <c r="K397" s="11">
        <v>0</v>
      </c>
    </row>
    <row r="398" spans="5:11" x14ac:dyDescent="0.35">
      <c r="E398" s="9" t="str">
        <v>EPSG</v>
      </c>
      <c r="F398" s="7" t="str">
        <v>2448</v>
      </c>
      <c r="G398" t="str">
        <v>ProjectedCrs</v>
      </c>
      <c r="H398" t="str">
        <v>Transverse Mercator</v>
      </c>
      <c r="I398" t="str">
        <v>JGD2000 / Japan Plane Rectangular CS VI</v>
      </c>
      <c r="J398" t="str">
        <v>Japan - onshore - Honshu between approximately 135°10'E and 136°45'E - Kyoto-fu; Osaka-fu; Fukui-ken; Shiga-ken; Mie-ken; Nara-ken; Wakayama-ken.</v>
      </c>
      <c r="K398" s="11">
        <v>0</v>
      </c>
    </row>
    <row r="399" spans="5:11" x14ac:dyDescent="0.35">
      <c r="E399" s="9" t="str">
        <v>EPSG</v>
      </c>
      <c r="F399" s="7" t="str">
        <v>2449</v>
      </c>
      <c r="G399" t="str">
        <v>ProjectedCrs</v>
      </c>
      <c r="H399" t="str">
        <v>Transverse Mercator</v>
      </c>
      <c r="I399" t="str">
        <v>JGD2000 / Japan Plane Rectangular CS VII</v>
      </c>
      <c r="J399" t="str">
        <v>Japan - onshore - Honshu between approximately 136°15'E and 137°45'E - Ishikawa-ken; Toyama-ken; Gifu-ken; Aichi-ken.</v>
      </c>
      <c r="K399" s="11">
        <v>0</v>
      </c>
    </row>
    <row r="400" spans="5:11" x14ac:dyDescent="0.35">
      <c r="E400" s="9" t="str">
        <v>EPSG</v>
      </c>
      <c r="F400" s="7" t="str">
        <v>2450</v>
      </c>
      <c r="G400" t="str">
        <v>ProjectedCrs</v>
      </c>
      <c r="H400" t="str">
        <v>Transverse Mercator</v>
      </c>
      <c r="I400" t="str">
        <v>JGD2000 / Japan Plane Rectangular CS VIII</v>
      </c>
      <c r="J400" t="str">
        <v>Japan - onshore - Honshu between approximately 137°45'E and 139°E - Niigata-ken; Nagano-ken; Yamanashi-ken; Shizuoka-ken.</v>
      </c>
      <c r="K400" s="11">
        <v>0</v>
      </c>
    </row>
    <row r="401" spans="5:11" x14ac:dyDescent="0.35">
      <c r="E401" s="9" t="str">
        <v>EPSG</v>
      </c>
      <c r="F401" s="7" t="str">
        <v>2451</v>
      </c>
      <c r="G401" t="str">
        <v>ProjectedCrs</v>
      </c>
      <c r="H401" t="str">
        <v>Transverse Mercator</v>
      </c>
      <c r="I401" t="str">
        <v>JGD2000 / Japan Plane Rectangular CS IX</v>
      </c>
      <c r="J401" t="str">
        <v>Japan - onshore - Honshu - Tokyo-to. (Excludes offshore island areas of Tokyo-to covered by Japan Plane Rectangular Coordinate System zones XIV, XVIII and XIX).</v>
      </c>
      <c r="K401" s="11">
        <v>0</v>
      </c>
    </row>
    <row r="402" spans="5:11" x14ac:dyDescent="0.35">
      <c r="E402" s="9" t="str">
        <v>EPSG</v>
      </c>
      <c r="F402" s="7" t="str">
        <v>2452</v>
      </c>
      <c r="G402" t="str">
        <v>ProjectedCrs</v>
      </c>
      <c r="H402" t="str">
        <v>Transverse Mercator</v>
      </c>
      <c r="I402" t="str">
        <v>JGD2000 / Japan Plane Rectangular CS X</v>
      </c>
      <c r="J402" t="str">
        <v>Japan - onshore - Honshu north of 38°N approximately - Aomori-ken; Akita-ken; Yamagata-ken; Iwate-ken; Miyagi-ken.</v>
      </c>
      <c r="K402" s="11">
        <v>0</v>
      </c>
    </row>
    <row r="403" spans="5:11" x14ac:dyDescent="0.35">
      <c r="E403" s="9" t="str">
        <v>EPSG</v>
      </c>
      <c r="F403" s="7" t="str">
        <v>2453</v>
      </c>
      <c r="G403" t="str">
        <v>ProjectedCrs</v>
      </c>
      <c r="H403" t="str">
        <v>Transverse Mercator</v>
      </c>
      <c r="I403" t="str">
        <v>JGD2000 / Japan Plane Rectangular CS XI</v>
      </c>
      <c r="J403" t="str">
        <v>Japan - onshore - Hokkaido west of approximately 141°E - Otaru city; Hakodate city; Date city; Usu-gun and Abuta-gun of Iburi-shicho; Hiyama-shicho; Shiribeshi-shicho; Oshima-shicho.</v>
      </c>
      <c r="K403" s="11">
        <v>0</v>
      </c>
    </row>
    <row r="404" spans="5:11" x14ac:dyDescent="0.35">
      <c r="E404" s="9" t="str">
        <v>EPSG</v>
      </c>
      <c r="F404" s="7" t="str">
        <v>2454</v>
      </c>
      <c r="G404" t="str">
        <v>ProjectedCrs</v>
      </c>
      <c r="H404" t="str">
        <v>Transverse Mercator</v>
      </c>
      <c r="I404" t="str">
        <v>JGD2000 / Japan Plane Rectangular CS XII</v>
      </c>
      <c r="J404" t="str">
        <v>Japan - onshore - Hokkaido between approximately 141°E and 143°E - Sapporo city; Asahikawa city; Wakkanai city; Rumoi city; Bibai city; Yubari city; Iwamizawa city; Tomakomai city; Muroran city; Shibetsu city; Nayoro city; Ashibetsu city; Akabira city; Mikasa city; Takikawa city; Sunagawa city; Ebetsu city; Chitose city; Utashinai city; Fukagawa city; Monbetsu city; Furano city; Noboribetsu city; Eniwa city; Ishikari-shicho; Monbetsu-gun of Abashiri-shicho; Kamikawa-shicho; Soya-shicho; Hidaka-shicho; Iburi-shicho (except Usu-gun and Abuta-gun); Sorachi-shicho; Rumoi-shicho.</v>
      </c>
      <c r="K404" s="11">
        <v>0</v>
      </c>
    </row>
    <row r="405" spans="5:11" x14ac:dyDescent="0.35">
      <c r="E405" s="9" t="str">
        <v>EPSG</v>
      </c>
      <c r="F405" s="7" t="str">
        <v>2455</v>
      </c>
      <c r="G405" t="str">
        <v>ProjectedCrs</v>
      </c>
      <c r="H405" t="str">
        <v>Transverse Mercator</v>
      </c>
      <c r="I405" t="str">
        <v>JGD2000 / Japan Plane Rectangular CS XIII</v>
      </c>
      <c r="J405" t="str">
        <v>Japan - onshore - Hokkaido east of approximately 143°E - Kitami city; Obihiro city; Kushiro city; Abashiri city; Nemuro city; Nemuro-shicho; Kushiro-shicho; Abashiri-shicho (except Monbetsu-gun); Tokachi-shicho.</v>
      </c>
      <c r="K405" s="11">
        <v>0</v>
      </c>
    </row>
    <row r="406" spans="5:11" x14ac:dyDescent="0.35">
      <c r="E406" s="9" t="str">
        <v>EPSG</v>
      </c>
      <c r="F406" s="7" t="str">
        <v>2456</v>
      </c>
      <c r="G406" t="str">
        <v>ProjectedCrs</v>
      </c>
      <c r="H406" t="str">
        <v>Transverse Mercator</v>
      </c>
      <c r="I406" t="str">
        <v>JGD2000 / Japan Plane Rectangular CS XIV</v>
      </c>
      <c r="J406" t="str">
        <v>Japan - onshore - Tokyo-to south of 28°N and between 140°30'E and 143°E.</v>
      </c>
      <c r="K406" s="11">
        <v>0</v>
      </c>
    </row>
    <row r="407" spans="5:11" x14ac:dyDescent="0.35">
      <c r="E407" s="9" t="str">
        <v>EPSG</v>
      </c>
      <c r="F407" s="7" t="str">
        <v>2457</v>
      </c>
      <c r="G407" t="str">
        <v>ProjectedCrs</v>
      </c>
      <c r="H407" t="str">
        <v>Transverse Mercator</v>
      </c>
      <c r="I407" t="str">
        <v>JGD2000 / Japan Plane Rectangular CS XV</v>
      </c>
      <c r="J407" t="str">
        <v>Japan - onshore - Okinawa-ken between 126°E and 130°E.</v>
      </c>
      <c r="K407" s="11">
        <v>0</v>
      </c>
    </row>
    <row r="408" spans="5:11" x14ac:dyDescent="0.35">
      <c r="E408" s="9" t="str">
        <v>EPSG</v>
      </c>
      <c r="F408" s="7" t="str">
        <v>2458</v>
      </c>
      <c r="G408" t="str">
        <v>ProjectedCrs</v>
      </c>
      <c r="H408" t="str">
        <v>Transverse Mercator</v>
      </c>
      <c r="I408" t="str">
        <v>JGD2000 / Japan Plane Rectangular CS XVI</v>
      </c>
      <c r="J408" t="str">
        <v>Japan - onshore - Okinawa-ken west of 126°E.</v>
      </c>
      <c r="K408" s="11">
        <v>0</v>
      </c>
    </row>
    <row r="409" spans="5:11" x14ac:dyDescent="0.35">
      <c r="E409" s="9" t="str">
        <v>EPSG</v>
      </c>
      <c r="F409" s="7" t="str">
        <v>2459</v>
      </c>
      <c r="G409" t="str">
        <v>ProjectedCrs</v>
      </c>
      <c r="H409" t="str">
        <v>Transverse Mercator</v>
      </c>
      <c r="I409" t="str">
        <v>JGD2000 / Japan Plane Rectangular CS XVII</v>
      </c>
      <c r="J409" t="str">
        <v>Japan - onshore Okinawa-ken east of 130°E.</v>
      </c>
      <c r="K409" s="11">
        <v>0</v>
      </c>
    </row>
    <row r="410" spans="5:11" x14ac:dyDescent="0.35">
      <c r="E410" s="9" t="str">
        <v>EPSG</v>
      </c>
      <c r="F410" s="7" t="str">
        <v>2460</v>
      </c>
      <c r="G410" t="str">
        <v>ProjectedCrs</v>
      </c>
      <c r="H410" t="str">
        <v>Transverse Mercator</v>
      </c>
      <c r="I410" t="str">
        <v>JGD2000 / Japan Plane Rectangular CS XVIII</v>
      </c>
      <c r="J410" t="str">
        <v>Japan - onshore - Tokyo-to south of 28°N and west of 140°30'E.</v>
      </c>
      <c r="K410" s="11">
        <v>0</v>
      </c>
    </row>
    <row r="411" spans="5:11" x14ac:dyDescent="0.35">
      <c r="E411" s="9" t="str">
        <v>EPSG</v>
      </c>
      <c r="F411" s="7" t="str">
        <v>2461</v>
      </c>
      <c r="G411" t="str">
        <v>ProjectedCrs</v>
      </c>
      <c r="H411" t="str">
        <v>Transverse Mercator</v>
      </c>
      <c r="I411" t="str">
        <v>JGD2000 / Japan Plane Rectangular CS XIX</v>
      </c>
      <c r="J411" t="str">
        <v>Japan - onshore - Tokyo-to south of 28°N and east of 143°E - Minamitori-shima (Marcus Island).</v>
      </c>
      <c r="K411" s="11">
        <v>0</v>
      </c>
    </row>
    <row r="412" spans="5:11" x14ac:dyDescent="0.35">
      <c r="E412" s="9" t="str">
        <v>EPSG</v>
      </c>
      <c r="F412" s="7" t="str">
        <v>2462</v>
      </c>
      <c r="G412" t="str">
        <v>ProjectedCrs</v>
      </c>
      <c r="H412" t="str">
        <v>Transverse Mercator</v>
      </c>
      <c r="I412" t="str">
        <v>Albanian 1987 / Gauss-Kruger zone 4</v>
      </c>
      <c r="J412" t="str">
        <v>Albania - onshore.</v>
      </c>
      <c r="K412" s="11">
        <v>0</v>
      </c>
    </row>
    <row r="413" spans="5:11" x14ac:dyDescent="0.35">
      <c r="E413" s="9" t="str">
        <v>EPSG</v>
      </c>
      <c r="F413" s="7" t="str">
        <v>2463</v>
      </c>
      <c r="G413" t="str">
        <v>ProjectedCrs</v>
      </c>
      <c r="H413" t="str">
        <v>Transverse Mercator</v>
      </c>
      <c r="I413" t="str">
        <v>Pulkovo 1995 / Gauss-Kruger CM 21E</v>
      </c>
      <c r="J413" t="str">
        <v>Russian Federation - onshore west of 24°E - Kaliningrad.</v>
      </c>
      <c r="K413" s="11">
        <v>0</v>
      </c>
    </row>
    <row r="414" spans="5:11" x14ac:dyDescent="0.35">
      <c r="E414" s="9" t="str">
        <v>EPSG</v>
      </c>
      <c r="F414" s="7" t="str">
        <v>2464</v>
      </c>
      <c r="G414" t="str">
        <v>ProjectedCrs</v>
      </c>
      <c r="H414" t="str">
        <v>Transverse Mercator</v>
      </c>
      <c r="I414" t="str">
        <v>Pulkovo 1995 / Gauss-Kruger CM 27E</v>
      </c>
      <c r="J414" t="str">
        <v>Russian Federation - onshore between 24°E and 30°E.</v>
      </c>
      <c r="K414" s="11">
        <v>0</v>
      </c>
    </row>
    <row r="415" spans="5:11" x14ac:dyDescent="0.35">
      <c r="E415" s="9" t="str">
        <v>EPSG</v>
      </c>
      <c r="F415" s="7" t="str">
        <v>2465</v>
      </c>
      <c r="G415" t="str">
        <v>ProjectedCrs</v>
      </c>
      <c r="H415" t="str">
        <v>Transverse Mercator</v>
      </c>
      <c r="I415" t="str">
        <v>Pulkovo 1995 / Gauss-Kruger CM 33E</v>
      </c>
      <c r="J415" t="str">
        <v>Russian Federation - onshore between 30°E and 36°E.</v>
      </c>
      <c r="K415" s="11">
        <v>0</v>
      </c>
    </row>
    <row r="416" spans="5:11" x14ac:dyDescent="0.35">
      <c r="E416" s="9" t="str">
        <v>EPSG</v>
      </c>
      <c r="F416" s="7" t="str">
        <v>2466</v>
      </c>
      <c r="G416" t="str">
        <v>ProjectedCrs</v>
      </c>
      <c r="H416" t="str">
        <v>Transverse Mercator</v>
      </c>
      <c r="I416" t="str">
        <v>Pulkovo 1995 / Gauss-Kruger CM 39E</v>
      </c>
      <c r="J416" t="str">
        <v>Russian Federation - onshore between 36°E and 42°E.</v>
      </c>
      <c r="K416" s="11">
        <v>0</v>
      </c>
    </row>
    <row r="417" spans="5:11" x14ac:dyDescent="0.35">
      <c r="E417" s="9" t="str">
        <v>EPSG</v>
      </c>
      <c r="F417" s="7" t="str">
        <v>2467</v>
      </c>
      <c r="G417" t="str">
        <v>ProjectedCrs</v>
      </c>
      <c r="H417" t="str">
        <v>Transverse Mercator</v>
      </c>
      <c r="I417" t="str">
        <v>Pulkovo 1995 / Gauss-Kruger CM 45E</v>
      </c>
      <c r="J417" t="str">
        <v>Russian Federation - onshore between 42°E and 48°E.</v>
      </c>
      <c r="K417" s="11">
        <v>0</v>
      </c>
    </row>
    <row r="418" spans="5:11" x14ac:dyDescent="0.35">
      <c r="E418" s="9" t="str">
        <v>EPSG</v>
      </c>
      <c r="F418" s="7" t="str">
        <v>2468</v>
      </c>
      <c r="G418" t="str">
        <v>ProjectedCrs</v>
      </c>
      <c r="H418" t="str">
        <v>Transverse Mercator</v>
      </c>
      <c r="I418" t="str">
        <v>Pulkovo 1995 / Gauss-Kruger CM 51E</v>
      </c>
      <c r="J418" t="str">
        <v>Russian Federation - onshore between 48°E and 54°E.</v>
      </c>
      <c r="K418" s="11">
        <v>0</v>
      </c>
    </row>
    <row r="419" spans="5:11" x14ac:dyDescent="0.35">
      <c r="E419" s="9" t="str">
        <v>EPSG</v>
      </c>
      <c r="F419" s="7" t="str">
        <v>2469</v>
      </c>
      <c r="G419" t="str">
        <v>ProjectedCrs</v>
      </c>
      <c r="H419" t="str">
        <v>Transverse Mercator</v>
      </c>
      <c r="I419" t="str">
        <v>Pulkovo 1995 / Gauss-Kruger CM 57E</v>
      </c>
      <c r="J419" t="str">
        <v>Russian Federation - onshore between 54°E and 60°E.</v>
      </c>
      <c r="K419" s="11">
        <v>0</v>
      </c>
    </row>
    <row r="420" spans="5:11" x14ac:dyDescent="0.35">
      <c r="E420" s="9" t="str">
        <v>EPSG</v>
      </c>
      <c r="F420" s="7" t="str">
        <v>2470</v>
      </c>
      <c r="G420" t="str">
        <v>ProjectedCrs</v>
      </c>
      <c r="H420" t="str">
        <v>Transverse Mercator</v>
      </c>
      <c r="I420" t="str">
        <v>Pulkovo 1995 / Gauss-Kruger CM 63E</v>
      </c>
      <c r="J420" t="str">
        <v>Russian Federation - onshore between 60°E and 66°E.</v>
      </c>
      <c r="K420" s="11">
        <v>0</v>
      </c>
    </row>
    <row r="421" spans="5:11" x14ac:dyDescent="0.35">
      <c r="E421" s="9" t="str">
        <v>EPSG</v>
      </c>
      <c r="F421" s="7" t="str">
        <v>2471</v>
      </c>
      <c r="G421" t="str">
        <v>ProjectedCrs</v>
      </c>
      <c r="H421" t="str">
        <v>Transverse Mercator</v>
      </c>
      <c r="I421" t="str">
        <v>Pulkovo 1995 / Gauss-Kruger CM 69E</v>
      </c>
      <c r="J421" t="str">
        <v>Russian Federation - onshore between 66°E and 72°E .</v>
      </c>
      <c r="K421" s="11">
        <v>0</v>
      </c>
    </row>
    <row r="422" spans="5:11" x14ac:dyDescent="0.35">
      <c r="E422" s="9" t="str">
        <v>EPSG</v>
      </c>
      <c r="F422" s="7" t="str">
        <v>2472</v>
      </c>
      <c r="G422" t="str">
        <v>ProjectedCrs</v>
      </c>
      <c r="H422" t="str">
        <v>Transverse Mercator</v>
      </c>
      <c r="I422" t="str">
        <v>Pulkovo 1995 / Gauss-Kruger CM 75E</v>
      </c>
      <c r="J422" t="str">
        <v>Russian Federation - onshore between 72°E and 78°E.</v>
      </c>
      <c r="K422" s="11">
        <v>0</v>
      </c>
    </row>
    <row r="423" spans="5:11" x14ac:dyDescent="0.35">
      <c r="E423" s="9" t="str">
        <v>EPSG</v>
      </c>
      <c r="F423" s="7" t="str">
        <v>2473</v>
      </c>
      <c r="G423" t="str">
        <v>ProjectedCrs</v>
      </c>
      <c r="H423" t="str">
        <v>Transverse Mercator</v>
      </c>
      <c r="I423" t="str">
        <v>Pulkovo 1995 / Gauss-Kruger CM 81E</v>
      </c>
      <c r="J423" t="str">
        <v>Russian Federation - onshore between 78°E and 84°E.</v>
      </c>
      <c r="K423" s="11">
        <v>0</v>
      </c>
    </row>
    <row r="424" spans="5:11" x14ac:dyDescent="0.35">
      <c r="E424" s="9" t="str">
        <v>EPSG</v>
      </c>
      <c r="F424" s="7" t="str">
        <v>2474</v>
      </c>
      <c r="G424" t="str">
        <v>ProjectedCrs</v>
      </c>
      <c r="H424" t="str">
        <v>Transverse Mercator</v>
      </c>
      <c r="I424" t="str">
        <v>Pulkovo 1995 / Gauss-Kruger CM 87E</v>
      </c>
      <c r="J424" t="str">
        <v>Russian Federation - onshore between 84°E and 90°E.</v>
      </c>
      <c r="K424" s="11">
        <v>0</v>
      </c>
    </row>
    <row r="425" spans="5:11" x14ac:dyDescent="0.35">
      <c r="E425" s="9" t="str">
        <v>EPSG</v>
      </c>
      <c r="F425" s="7" t="str">
        <v>2475</v>
      </c>
      <c r="G425" t="str">
        <v>ProjectedCrs</v>
      </c>
      <c r="H425" t="str">
        <v>Transverse Mercator</v>
      </c>
      <c r="I425" t="str">
        <v>Pulkovo 1995 / Gauss-Kruger CM 93E</v>
      </c>
      <c r="J425" t="str">
        <v>Russian Federation - onshore between 90°E and 96°E.</v>
      </c>
      <c r="K425" s="11">
        <v>0</v>
      </c>
    </row>
    <row r="426" spans="5:11" x14ac:dyDescent="0.35">
      <c r="E426" s="9" t="str">
        <v>EPSG</v>
      </c>
      <c r="F426" s="7" t="str">
        <v>2476</v>
      </c>
      <c r="G426" t="str">
        <v>ProjectedCrs</v>
      </c>
      <c r="H426" t="str">
        <v>Transverse Mercator</v>
      </c>
      <c r="I426" t="str">
        <v>Pulkovo 1995 / Gauss-Kruger CM 99E</v>
      </c>
      <c r="J426" t="str">
        <v>Russian Federation - onshore between 96°E and 102°E.</v>
      </c>
      <c r="K426" s="11">
        <v>0</v>
      </c>
    </row>
    <row r="427" spans="5:11" x14ac:dyDescent="0.35">
      <c r="E427" s="9" t="str">
        <v>EPSG</v>
      </c>
      <c r="F427" s="7" t="str">
        <v>2477</v>
      </c>
      <c r="G427" t="str">
        <v>ProjectedCrs</v>
      </c>
      <c r="H427" t="str">
        <v>Transverse Mercator</v>
      </c>
      <c r="I427" t="str">
        <v>Pulkovo 1995 / Gauss-Kruger CM 105E</v>
      </c>
      <c r="J427" t="str">
        <v>Russian Federation - onshore between 102°E and 108°E.</v>
      </c>
      <c r="K427" s="11">
        <v>0</v>
      </c>
    </row>
    <row r="428" spans="5:11" x14ac:dyDescent="0.35">
      <c r="E428" s="9" t="str">
        <v>EPSG</v>
      </c>
      <c r="F428" s="7" t="str">
        <v>2478</v>
      </c>
      <c r="G428" t="str">
        <v>ProjectedCrs</v>
      </c>
      <c r="H428" t="str">
        <v>Transverse Mercator</v>
      </c>
      <c r="I428" t="str">
        <v>Pulkovo 1995 / Gauss-Kruger CM 111E</v>
      </c>
      <c r="J428" t="str">
        <v>Russian Federation - onshore between 108°E and 114°E.</v>
      </c>
      <c r="K428" s="11">
        <v>0</v>
      </c>
    </row>
    <row r="429" spans="5:11" x14ac:dyDescent="0.35">
      <c r="E429" s="9" t="str">
        <v>EPSG</v>
      </c>
      <c r="F429" s="7" t="str">
        <v>2479</v>
      </c>
      <c r="G429" t="str">
        <v>ProjectedCrs</v>
      </c>
      <c r="H429" t="str">
        <v>Transverse Mercator</v>
      </c>
      <c r="I429" t="str">
        <v>Pulkovo 1995 / Gauss-Kruger CM 117E</v>
      </c>
      <c r="J429" t="str">
        <v>Russian Federation - onshore between 114°E and 120°E.</v>
      </c>
      <c r="K429" s="11">
        <v>0</v>
      </c>
    </row>
    <row r="430" spans="5:11" x14ac:dyDescent="0.35">
      <c r="E430" s="9" t="str">
        <v>EPSG</v>
      </c>
      <c r="F430" s="7" t="str">
        <v>2480</v>
      </c>
      <c r="G430" t="str">
        <v>ProjectedCrs</v>
      </c>
      <c r="H430" t="str">
        <v>Transverse Mercator</v>
      </c>
      <c r="I430" t="str">
        <v>Pulkovo 1995 / Gauss-Kruger CM 123E</v>
      </c>
      <c r="J430" t="str">
        <v>Russian Federation - onshore between 120°E and 126°E.</v>
      </c>
      <c r="K430" s="11">
        <v>0</v>
      </c>
    </row>
    <row r="431" spans="5:11" x14ac:dyDescent="0.35">
      <c r="E431" s="9" t="str">
        <v>EPSG</v>
      </c>
      <c r="F431" s="7" t="str">
        <v>2481</v>
      </c>
      <c r="G431" t="str">
        <v>ProjectedCrs</v>
      </c>
      <c r="H431" t="str">
        <v>Transverse Mercator</v>
      </c>
      <c r="I431" t="str">
        <v>Pulkovo 1995 / Gauss-Kruger CM 129E</v>
      </c>
      <c r="J431" t="str">
        <v>Russian Federation - onshore between 126°E and 132°E.</v>
      </c>
      <c r="K431" s="11">
        <v>0</v>
      </c>
    </row>
    <row r="432" spans="5:11" x14ac:dyDescent="0.35">
      <c r="E432" s="9" t="str">
        <v>EPSG</v>
      </c>
      <c r="F432" s="7" t="str">
        <v>2482</v>
      </c>
      <c r="G432" t="str">
        <v>ProjectedCrs</v>
      </c>
      <c r="H432" t="str">
        <v>Transverse Mercator</v>
      </c>
      <c r="I432" t="str">
        <v>Pulkovo 1995 / Gauss-Kruger CM 135E</v>
      </c>
      <c r="J432" t="str">
        <v>Russian Federation - onshore between 132°E and 138°E.</v>
      </c>
      <c r="K432" s="11">
        <v>0</v>
      </c>
    </row>
    <row r="433" spans="5:11" x14ac:dyDescent="0.35">
      <c r="E433" s="9" t="str">
        <v>EPSG</v>
      </c>
      <c r="F433" s="7" t="str">
        <v>2483</v>
      </c>
      <c r="G433" t="str">
        <v>ProjectedCrs</v>
      </c>
      <c r="H433" t="str">
        <v>Transverse Mercator</v>
      </c>
      <c r="I433" t="str">
        <v>Pulkovo 1995 / Gauss-Kruger CM 141E</v>
      </c>
      <c r="J433" t="str">
        <v>Russian Federation - onshore between 138°E and 144°E.</v>
      </c>
      <c r="K433" s="11">
        <v>0</v>
      </c>
    </row>
    <row r="434" spans="5:11" x14ac:dyDescent="0.35">
      <c r="E434" s="9" t="str">
        <v>EPSG</v>
      </c>
      <c r="F434" s="7" t="str">
        <v>2484</v>
      </c>
      <c r="G434" t="str">
        <v>ProjectedCrs</v>
      </c>
      <c r="H434" t="str">
        <v>Transverse Mercator</v>
      </c>
      <c r="I434" t="str">
        <v>Pulkovo 1995 / Gauss-Kruger CM 147E</v>
      </c>
      <c r="J434" t="str">
        <v>Russian Federation - onshore between 144°E and 150°E.</v>
      </c>
      <c r="K434" s="11">
        <v>0</v>
      </c>
    </row>
    <row r="435" spans="5:11" x14ac:dyDescent="0.35">
      <c r="E435" s="9" t="str">
        <v>EPSG</v>
      </c>
      <c r="F435" s="7" t="str">
        <v>2485</v>
      </c>
      <c r="G435" t="str">
        <v>ProjectedCrs</v>
      </c>
      <c r="H435" t="str">
        <v>Transverse Mercator</v>
      </c>
      <c r="I435" t="str">
        <v>Pulkovo 1995 / Gauss-Kruger CM 153E</v>
      </c>
      <c r="J435" t="str">
        <v>Russian Federation - onshore between 150°E and 156°E.</v>
      </c>
      <c r="K435" s="11">
        <v>0</v>
      </c>
    </row>
    <row r="436" spans="5:11" x14ac:dyDescent="0.35">
      <c r="E436" s="9" t="str">
        <v>EPSG</v>
      </c>
      <c r="F436" s="7" t="str">
        <v>2486</v>
      </c>
      <c r="G436" t="str">
        <v>ProjectedCrs</v>
      </c>
      <c r="H436" t="str">
        <v>Transverse Mercator</v>
      </c>
      <c r="I436" t="str">
        <v>Pulkovo 1995 / Gauss-Kruger CM 159E</v>
      </c>
      <c r="J436" t="str">
        <v>Russian Federation - onshore between 156°E and 162°E.</v>
      </c>
      <c r="K436" s="11">
        <v>0</v>
      </c>
    </row>
    <row r="437" spans="5:11" x14ac:dyDescent="0.35">
      <c r="E437" s="9" t="str">
        <v>EPSG</v>
      </c>
      <c r="F437" s="7" t="str">
        <v>2487</v>
      </c>
      <c r="G437" t="str">
        <v>ProjectedCrs</v>
      </c>
      <c r="H437" t="str">
        <v>Transverse Mercator</v>
      </c>
      <c r="I437" t="str">
        <v>Pulkovo 1995 / Gauss-Kruger CM 165E</v>
      </c>
      <c r="J437" t="str">
        <v>Russian Federation - onshore between 162°E and 168°E.</v>
      </c>
      <c r="K437" s="11">
        <v>0</v>
      </c>
    </row>
    <row r="438" spans="5:11" x14ac:dyDescent="0.35">
      <c r="E438" s="9" t="str">
        <v>EPSG</v>
      </c>
      <c r="F438" s="7" t="str">
        <v>2488</v>
      </c>
      <c r="G438" t="str">
        <v>ProjectedCrs</v>
      </c>
      <c r="H438" t="str">
        <v>Transverse Mercator</v>
      </c>
      <c r="I438" t="str">
        <v>Pulkovo 1995 / Gauss-Kruger CM 171E</v>
      </c>
      <c r="J438" t="str">
        <v>Russian Federation - onshore between 168°E and 174°E.</v>
      </c>
      <c r="K438" s="11">
        <v>0</v>
      </c>
    </row>
    <row r="439" spans="5:11" x14ac:dyDescent="0.35">
      <c r="E439" s="9" t="str">
        <v>EPSG</v>
      </c>
      <c r="F439" s="7" t="str">
        <v>2489</v>
      </c>
      <c r="G439" t="str">
        <v>ProjectedCrs</v>
      </c>
      <c r="H439" t="str">
        <v>Transverse Mercator</v>
      </c>
      <c r="I439" t="str">
        <v>Pulkovo 1995 / Gauss-Kruger CM 177E</v>
      </c>
      <c r="J439" t="str">
        <v>Russian Federation - onshore between 174°E and 180°E .</v>
      </c>
      <c r="K439" s="11">
        <v>0</v>
      </c>
    </row>
    <row r="440" spans="5:11" x14ac:dyDescent="0.35">
      <c r="E440" s="9" t="str">
        <v>EPSG</v>
      </c>
      <c r="F440" s="7" t="str">
        <v>2490</v>
      </c>
      <c r="G440" t="str">
        <v>ProjectedCrs</v>
      </c>
      <c r="H440" t="str">
        <v>Transverse Mercator</v>
      </c>
      <c r="I440" t="str">
        <v>Pulkovo 1995 / Gauss-Kruger CM 177W</v>
      </c>
      <c r="J440" t="str">
        <v>Russian Federation - onshore between 180°E and 174°W.</v>
      </c>
      <c r="K440" s="11">
        <v>0</v>
      </c>
    </row>
    <row r="441" spans="5:11" x14ac:dyDescent="0.35">
      <c r="E441" s="9" t="str">
        <v>EPSG</v>
      </c>
      <c r="F441" s="7" t="str">
        <v>2491</v>
      </c>
      <c r="G441" t="str">
        <v>ProjectedCrs</v>
      </c>
      <c r="H441" t="str">
        <v>Transverse Mercator</v>
      </c>
      <c r="I441" t="str">
        <v>Pulkovo 1995 / Gauss-Kruger CM 171W</v>
      </c>
      <c r="J441" t="str">
        <v>Russian Federation - onshore east of 174°W.</v>
      </c>
      <c r="K441" s="11">
        <v>0</v>
      </c>
    </row>
    <row r="442" spans="5:11" x14ac:dyDescent="0.35">
      <c r="E442" s="9" t="str">
        <v>EPSG</v>
      </c>
      <c r="F442" s="7" t="str">
        <v>2494</v>
      </c>
      <c r="G442" t="str">
        <v>ProjectedCrs</v>
      </c>
      <c r="H442" t="str">
        <v>Transverse Mercator</v>
      </c>
      <c r="I442" t="str">
        <v>Pulkovo 1942 / Gauss-Kruger CM 21E</v>
      </c>
      <c r="J442" t="str">
        <v>Belarus, Estonia, Latvia, Lithuania and Ukraine - onshore west of 24°E. Russian Federation - Kaliningrad onshore.</v>
      </c>
      <c r="K442" s="11">
        <v>0</v>
      </c>
    </row>
    <row r="443" spans="5:11" x14ac:dyDescent="0.35">
      <c r="E443" s="9" t="str">
        <v>EPSG</v>
      </c>
      <c r="F443" s="7" t="str">
        <v>2495</v>
      </c>
      <c r="G443" t="str">
        <v>ProjectedCrs</v>
      </c>
      <c r="H443" t="str">
        <v>Transverse Mercator</v>
      </c>
      <c r="I443" t="str">
        <v>Pulkovo 1942 / Gauss-Kruger CM 27E</v>
      </c>
      <c r="J443" t="str">
        <v>Estonia; Latvia and Lithuania - onshore east of 24°E; Belarus, Moldova, Russian Federation and Ukraine - onshore 24°E to 30°E.</v>
      </c>
      <c r="K443" s="11">
        <v>0</v>
      </c>
    </row>
    <row r="444" spans="5:11" x14ac:dyDescent="0.35">
      <c r="E444" s="9" t="str">
        <v>EPSG</v>
      </c>
      <c r="F444" s="7" t="str">
        <v>2496</v>
      </c>
      <c r="G444" t="str">
        <v>ProjectedCrs</v>
      </c>
      <c r="H444" t="str">
        <v>Transverse Mercator</v>
      </c>
      <c r="I444" t="str">
        <v>Pulkovo 1942 / Gauss-Kruger CM 33E</v>
      </c>
      <c r="J444" t="str">
        <v>Belarus and Moldova - east of 30°E; Russian Federation and Ukraine - onshore 30°E to 36°E.</v>
      </c>
      <c r="K444" s="11">
        <v>0</v>
      </c>
    </row>
    <row r="445" spans="5:11" x14ac:dyDescent="0.35">
      <c r="E445" s="9" t="str">
        <v>EPSG</v>
      </c>
      <c r="F445" s="7" t="str">
        <v>2497</v>
      </c>
      <c r="G445" t="str">
        <v>ProjectedCrs</v>
      </c>
      <c r="H445" t="str">
        <v>Transverse Mercator</v>
      </c>
      <c r="I445" t="str">
        <v>Pulkovo 1942 / Gauss-Kruger CM 39E</v>
      </c>
      <c r="J445" t="str">
        <v>Georgia - onshore west of 36°E; Russian Federation - onshore 36°E to 42°E; Ukraine - onshore east of 36°E.</v>
      </c>
      <c r="K445" s="11">
        <v>0</v>
      </c>
    </row>
    <row r="446" spans="5:11" x14ac:dyDescent="0.35">
      <c r="E446" s="9" t="str">
        <v>EPSG</v>
      </c>
      <c r="F446" s="7" t="str">
        <v>2498</v>
      </c>
      <c r="G446" t="str">
        <v>ProjectedCrs</v>
      </c>
      <c r="H446" t="str">
        <v>Transverse Mercator</v>
      </c>
      <c r="I446" t="str">
        <v>Pulkovo 1942 / Gauss-Kruger CM 45E</v>
      </c>
      <c r="J446" t="str">
        <v>Armenia - west of 48°E; Azerbaijan - west of 48°E; Georgia - east of 42°E; Kazakhstan - west of 48°E; Russian Federation - onshore 42°E to 48°E.</v>
      </c>
      <c r="K446" s="11">
        <v>0</v>
      </c>
    </row>
    <row r="447" spans="5:11" x14ac:dyDescent="0.35">
      <c r="E447" s="9" t="str">
        <v>EPSG</v>
      </c>
      <c r="F447" s="7" t="str">
        <v>2499</v>
      </c>
      <c r="G447" t="str">
        <v>ProjectedCrs</v>
      </c>
      <c r="H447" t="str">
        <v>Transverse Mercator</v>
      </c>
      <c r="I447" t="str">
        <v>Pulkovo 1942 / Gauss-Kruger CM 51E</v>
      </c>
      <c r="J447" t="str">
        <v>Azerbaijan - east of 48°E; Kazakhstan - 48°E to 54°E; Russian Federation - 48°E to 54°E; Turkmenistan - west of 54°E. Includes Caspian Sea (considered a lake rather than offshore).</v>
      </c>
      <c r="K447" s="11">
        <v>0</v>
      </c>
    </row>
    <row r="448" spans="5:11" x14ac:dyDescent="0.35">
      <c r="E448" s="9" t="str">
        <v>EPSG</v>
      </c>
      <c r="F448" s="7" t="str">
        <v>2500</v>
      </c>
      <c r="G448" t="str">
        <v>ProjectedCrs</v>
      </c>
      <c r="H448" t="str">
        <v>Transverse Mercator</v>
      </c>
      <c r="I448" t="str">
        <v>Pulkovo 1942 / Gauss-Kruger CM 57E</v>
      </c>
      <c r="J448" t="str">
        <v>Kazakhstan; Russian Federation - onshore; Turkmenistan - 54°E to 60°E; Uzbekistan - west of 60°E.</v>
      </c>
      <c r="K448" s="11">
        <v>0</v>
      </c>
    </row>
    <row r="449" spans="5:11" x14ac:dyDescent="0.35">
      <c r="E449" s="9" t="str">
        <v>EPSG</v>
      </c>
      <c r="F449" s="7" t="str">
        <v>2501</v>
      </c>
      <c r="G449" t="str">
        <v>ProjectedCrs</v>
      </c>
      <c r="H449" t="str">
        <v>Transverse Mercator</v>
      </c>
      <c r="I449" t="str">
        <v>Pulkovo 1942 / Gauss-Kruger CM 63E</v>
      </c>
      <c r="J449" t="str">
        <v>Kazakhstan; Russian Federation - onshore; Uzbekistan - 60°E to 66°E; Turkmenistan - east of 60°E.</v>
      </c>
      <c r="K449" s="11">
        <v>0</v>
      </c>
    </row>
    <row r="450" spans="5:11" x14ac:dyDescent="0.35">
      <c r="E450" s="9" t="str">
        <v>EPSG</v>
      </c>
      <c r="F450" s="7" t="str">
        <v>2502</v>
      </c>
      <c r="G450" t="str">
        <v>ProjectedCrs</v>
      </c>
      <c r="H450" t="str">
        <v>Transverse Mercator</v>
      </c>
      <c r="I450" t="str">
        <v>Pulkovo 1942 / Gauss-Kruger CM 69E</v>
      </c>
      <c r="J450" t="str">
        <v>Kazakhstan, Russian Federation onshore and Uzbekistan - 66°E to 72°E; Kyrgyzstan and Tajikistan - west of 72°E.</v>
      </c>
      <c r="K450" s="11">
        <v>0</v>
      </c>
    </row>
    <row r="451" spans="5:11" x14ac:dyDescent="0.35">
      <c r="E451" s="9" t="str">
        <v>EPSG</v>
      </c>
      <c r="F451" s="7" t="str">
        <v>2503</v>
      </c>
      <c r="G451" t="str">
        <v>ProjectedCrs</v>
      </c>
      <c r="H451" t="str">
        <v>Transverse Mercator</v>
      </c>
      <c r="I451" t="str">
        <v>Pulkovo 1942 / Gauss-Kruger CM 75E</v>
      </c>
      <c r="J451" t="str">
        <v>Kazakhstan; Kyrgyzstan; Russian Federation onshore - 72°E to 78°E; Tajikistan and Uzbekistan - east of 72°E.</v>
      </c>
      <c r="K451" s="11">
        <v>0</v>
      </c>
    </row>
    <row r="452" spans="5:11" x14ac:dyDescent="0.35">
      <c r="E452" s="9" t="str">
        <v>EPSG</v>
      </c>
      <c r="F452" s="7" t="str">
        <v>2504</v>
      </c>
      <c r="G452" t="str">
        <v>ProjectedCrs</v>
      </c>
      <c r="H452" t="str">
        <v>Transverse Mercator</v>
      </c>
      <c r="I452" t="str">
        <v>Pulkovo 1942 / Gauss-Kruger CM 81E</v>
      </c>
      <c r="J452" t="str">
        <v>Kazakhstan and Russian Federation onshore - 78°E to 84°E; Kyrgyzstan - east of 78°E.</v>
      </c>
      <c r="K452" s="11">
        <v>0</v>
      </c>
    </row>
    <row r="453" spans="5:11" x14ac:dyDescent="0.35">
      <c r="E453" s="9" t="str">
        <v>EPSG</v>
      </c>
      <c r="F453" s="7" t="str">
        <v>2505</v>
      </c>
      <c r="G453" t="str">
        <v>ProjectedCrs</v>
      </c>
      <c r="H453" t="str">
        <v>Transverse Mercator</v>
      </c>
      <c r="I453" t="str">
        <v>Pulkovo 1942 / Gauss-Kruger CM 87E</v>
      </c>
      <c r="J453" t="str">
        <v>Kazakhstan - east of 84°E; Russian Federation - onshore 84°E to 90°E.</v>
      </c>
      <c r="K453" s="11">
        <v>0</v>
      </c>
    </row>
    <row r="454" spans="5:11" x14ac:dyDescent="0.35">
      <c r="E454" s="9" t="str">
        <v>EPSG</v>
      </c>
      <c r="F454" s="7" t="str">
        <v>2506</v>
      </c>
      <c r="G454" t="str">
        <v>ProjectedCrs</v>
      </c>
      <c r="H454" t="str">
        <v>Transverse Mercator</v>
      </c>
      <c r="I454" t="str">
        <v>Pulkovo 1942 / Gauss-Kruger CM 93E</v>
      </c>
      <c r="J454" t="str">
        <v>Russian Federation - onshore between 90°E and 96°E.</v>
      </c>
      <c r="K454" s="11">
        <v>0</v>
      </c>
    </row>
    <row r="455" spans="5:11" x14ac:dyDescent="0.35">
      <c r="E455" s="9" t="str">
        <v>EPSG</v>
      </c>
      <c r="F455" s="7" t="str">
        <v>2507</v>
      </c>
      <c r="G455" t="str">
        <v>ProjectedCrs</v>
      </c>
      <c r="H455" t="str">
        <v>Transverse Mercator</v>
      </c>
      <c r="I455" t="str">
        <v>Pulkovo 1942 / Gauss-Kruger CM 99E</v>
      </c>
      <c r="J455" t="str">
        <v>Russian Federation - onshore between 96°E and 102°E.</v>
      </c>
      <c r="K455" s="11">
        <v>0</v>
      </c>
    </row>
    <row r="456" spans="5:11" x14ac:dyDescent="0.35">
      <c r="E456" s="9" t="str">
        <v>EPSG</v>
      </c>
      <c r="F456" s="7" t="str">
        <v>2508</v>
      </c>
      <c r="G456" t="str">
        <v>ProjectedCrs</v>
      </c>
      <c r="H456" t="str">
        <v>Transverse Mercator</v>
      </c>
      <c r="I456" t="str">
        <v>Pulkovo 1942 / Gauss-Kruger CM 105E</v>
      </c>
      <c r="J456" t="str">
        <v>Russian Federation - onshore between 102°E and 108°E.</v>
      </c>
      <c r="K456" s="11">
        <v>0</v>
      </c>
    </row>
    <row r="457" spans="5:11" x14ac:dyDescent="0.35">
      <c r="E457" s="9" t="str">
        <v>EPSG</v>
      </c>
      <c r="F457" s="7" t="str">
        <v>2509</v>
      </c>
      <c r="G457" t="str">
        <v>ProjectedCrs</v>
      </c>
      <c r="H457" t="str">
        <v>Transverse Mercator</v>
      </c>
      <c r="I457" t="str">
        <v>Pulkovo 1942 / Gauss-Kruger CM 111E</v>
      </c>
      <c r="J457" t="str">
        <v>Russian Federation - onshore between 108°E and 114°E.</v>
      </c>
      <c r="K457" s="11">
        <v>0</v>
      </c>
    </row>
    <row r="458" spans="5:11" x14ac:dyDescent="0.35">
      <c r="E458" s="9" t="str">
        <v>EPSG</v>
      </c>
      <c r="F458" s="7" t="str">
        <v>2510</v>
      </c>
      <c r="G458" t="str">
        <v>ProjectedCrs</v>
      </c>
      <c r="H458" t="str">
        <v>Transverse Mercator</v>
      </c>
      <c r="I458" t="str">
        <v>Pulkovo 1942 / Gauss-Kruger CM 117E</v>
      </c>
      <c r="J458" t="str">
        <v>Russian Federation - onshore between 114°E and 120°E.</v>
      </c>
      <c r="K458" s="11">
        <v>0</v>
      </c>
    </row>
    <row r="459" spans="5:11" x14ac:dyDescent="0.35">
      <c r="E459" s="9" t="str">
        <v>EPSG</v>
      </c>
      <c r="F459" s="7" t="str">
        <v>2511</v>
      </c>
      <c r="G459" t="str">
        <v>ProjectedCrs</v>
      </c>
      <c r="H459" t="str">
        <v>Transverse Mercator</v>
      </c>
      <c r="I459" t="str">
        <v>Pulkovo 1942 / Gauss-Kruger CM 123E</v>
      </c>
      <c r="J459" t="str">
        <v>Russian Federation - onshore between 120°E and 126°E.</v>
      </c>
      <c r="K459" s="11">
        <v>0</v>
      </c>
    </row>
    <row r="460" spans="5:11" x14ac:dyDescent="0.35">
      <c r="E460" s="9" t="str">
        <v>EPSG</v>
      </c>
      <c r="F460" s="7" t="str">
        <v>2512</v>
      </c>
      <c r="G460" t="str">
        <v>ProjectedCrs</v>
      </c>
      <c r="H460" t="str">
        <v>Transverse Mercator</v>
      </c>
      <c r="I460" t="str">
        <v>Pulkovo 1942 / Gauss-Kruger CM 129E</v>
      </c>
      <c r="J460" t="str">
        <v>Russian Federation - onshore between 126°E and 132°E.</v>
      </c>
      <c r="K460" s="11">
        <v>0</v>
      </c>
    </row>
    <row r="461" spans="5:11" x14ac:dyDescent="0.35">
      <c r="E461" s="9" t="str">
        <v>EPSG</v>
      </c>
      <c r="F461" s="7" t="str">
        <v>2513</v>
      </c>
      <c r="G461" t="str">
        <v>ProjectedCrs</v>
      </c>
      <c r="H461" t="str">
        <v>Transverse Mercator</v>
      </c>
      <c r="I461" t="str">
        <v>Pulkovo 1942 / Gauss-Kruger CM 135E</v>
      </c>
      <c r="J461" t="str">
        <v>Russian Federation - onshore between 132°E and 138°E.</v>
      </c>
      <c r="K461" s="11">
        <v>0</v>
      </c>
    </row>
    <row r="462" spans="5:11" x14ac:dyDescent="0.35">
      <c r="E462" s="9" t="str">
        <v>EPSG</v>
      </c>
      <c r="F462" s="7" t="str">
        <v>2514</v>
      </c>
      <c r="G462" t="str">
        <v>ProjectedCrs</v>
      </c>
      <c r="H462" t="str">
        <v>Transverse Mercator</v>
      </c>
      <c r="I462" t="str">
        <v>Pulkovo 1942 / Gauss-Kruger CM 141E</v>
      </c>
      <c r="J462" t="str">
        <v>Russian Federation - onshore between 138°E and 144°E.</v>
      </c>
      <c r="K462" s="11">
        <v>0</v>
      </c>
    </row>
    <row r="463" spans="5:11" x14ac:dyDescent="0.35">
      <c r="E463" s="9" t="str">
        <v>EPSG</v>
      </c>
      <c r="F463" s="7" t="str">
        <v>2515</v>
      </c>
      <c r="G463" t="str">
        <v>ProjectedCrs</v>
      </c>
      <c r="H463" t="str">
        <v>Transverse Mercator</v>
      </c>
      <c r="I463" t="str">
        <v>Pulkovo 1942 / Gauss-Kruger CM 147E</v>
      </c>
      <c r="J463" t="str">
        <v>Russian Federation - onshore between 144°E and 150°E.</v>
      </c>
      <c r="K463" s="11">
        <v>0</v>
      </c>
    </row>
    <row r="464" spans="5:11" x14ac:dyDescent="0.35">
      <c r="E464" s="9" t="str">
        <v>EPSG</v>
      </c>
      <c r="F464" s="7" t="str">
        <v>2516</v>
      </c>
      <c r="G464" t="str">
        <v>ProjectedCrs</v>
      </c>
      <c r="H464" t="str">
        <v>Transverse Mercator</v>
      </c>
      <c r="I464" t="str">
        <v>Pulkovo 1942 / Gauss-Kruger CM 153E</v>
      </c>
      <c r="J464" t="str">
        <v>Russian Federation - onshore between 150°E and 156°E.</v>
      </c>
      <c r="K464" s="11">
        <v>0</v>
      </c>
    </row>
    <row r="465" spans="5:11" x14ac:dyDescent="0.35">
      <c r="E465" s="9" t="str">
        <v>EPSG</v>
      </c>
      <c r="F465" s="7" t="str">
        <v>2517</v>
      </c>
      <c r="G465" t="str">
        <v>ProjectedCrs</v>
      </c>
      <c r="H465" t="str">
        <v>Transverse Mercator</v>
      </c>
      <c r="I465" t="str">
        <v>Pulkovo 1942 / Gauss-Kruger CM 159E</v>
      </c>
      <c r="J465" t="str">
        <v>Russian Federation - onshore between 156°E and 162°E.</v>
      </c>
      <c r="K465" s="11">
        <v>0</v>
      </c>
    </row>
    <row r="466" spans="5:11" x14ac:dyDescent="0.35">
      <c r="E466" s="9" t="str">
        <v>EPSG</v>
      </c>
      <c r="F466" s="7" t="str">
        <v>2518</v>
      </c>
      <c r="G466" t="str">
        <v>ProjectedCrs</v>
      </c>
      <c r="H466" t="str">
        <v>Transverse Mercator</v>
      </c>
      <c r="I466" t="str">
        <v>Pulkovo 1942 / Gauss-Kruger CM 165E</v>
      </c>
      <c r="J466" t="str">
        <v>Russian Federation - onshore between 162°E and 168°E.</v>
      </c>
      <c r="K466" s="11">
        <v>0</v>
      </c>
    </row>
    <row r="467" spans="5:11" x14ac:dyDescent="0.35">
      <c r="E467" s="9" t="str">
        <v>EPSG</v>
      </c>
      <c r="F467" s="7" t="str">
        <v>2519</v>
      </c>
      <c r="G467" t="str">
        <v>ProjectedCrs</v>
      </c>
      <c r="H467" t="str">
        <v>Transverse Mercator</v>
      </c>
      <c r="I467" t="str">
        <v>Pulkovo 1942 / Gauss-Kruger CM 171E</v>
      </c>
      <c r="J467" t="str">
        <v>Russian Federation - onshore between 168°E and 174°E.</v>
      </c>
      <c r="K467" s="11">
        <v>0</v>
      </c>
    </row>
    <row r="468" spans="5:11" x14ac:dyDescent="0.35">
      <c r="E468" s="9" t="str">
        <v>EPSG</v>
      </c>
      <c r="F468" s="7" t="str">
        <v>2520</v>
      </c>
      <c r="G468" t="str">
        <v>ProjectedCrs</v>
      </c>
      <c r="H468" t="str">
        <v>Transverse Mercator</v>
      </c>
      <c r="I468" t="str">
        <v>Pulkovo 1942 / Gauss-Kruger CM 177E</v>
      </c>
      <c r="J468" t="str">
        <v>Russian Federation - onshore between 174°E and 180°E .</v>
      </c>
      <c r="K468" s="11">
        <v>0</v>
      </c>
    </row>
    <row r="469" spans="5:11" x14ac:dyDescent="0.35">
      <c r="E469" s="9" t="str">
        <v>EPSG</v>
      </c>
      <c r="F469" s="7" t="str">
        <v>2521</v>
      </c>
      <c r="G469" t="str">
        <v>ProjectedCrs</v>
      </c>
      <c r="H469" t="str">
        <v>Transverse Mercator</v>
      </c>
      <c r="I469" t="str">
        <v>Pulkovo 1942 / Gauss-Kruger CM 177W</v>
      </c>
      <c r="J469" t="str">
        <v>Russian Federation - onshore between 180°E and 174°W.</v>
      </c>
      <c r="K469" s="11">
        <v>0</v>
      </c>
    </row>
    <row r="470" spans="5:11" x14ac:dyDescent="0.35">
      <c r="E470" s="9" t="str">
        <v>EPSG</v>
      </c>
      <c r="F470" s="7" t="str">
        <v>2522</v>
      </c>
      <c r="G470" t="str">
        <v>ProjectedCrs</v>
      </c>
      <c r="H470" t="str">
        <v>Transverse Mercator</v>
      </c>
      <c r="I470" t="str">
        <v>Pulkovo 1942 / Gauss-Kruger CM 171W</v>
      </c>
      <c r="J470" t="str">
        <v>Russian Federation - onshore east of 174°W.</v>
      </c>
      <c r="K470" s="11">
        <v>0</v>
      </c>
    </row>
    <row r="471" spans="5:11" x14ac:dyDescent="0.35">
      <c r="E471" s="9" t="str">
        <v>EPSG</v>
      </c>
      <c r="F471" s="7" t="str">
        <v>2523</v>
      </c>
      <c r="G471" t="str">
        <v>ProjectedCrs</v>
      </c>
      <c r="H471" t="str">
        <v>Transverse Mercator</v>
      </c>
      <c r="I471" t="str">
        <v>Pulkovo 1942 / 3-degree Gauss-Kruger zone 7</v>
      </c>
      <c r="J471" t="str">
        <v>Estonia, Latvia, Lithuania, Russian Federation (Kaliningrad) and Ukraine - onshore between 19°30'E and 22°30'E.</v>
      </c>
      <c r="K471" s="11">
        <v>0</v>
      </c>
    </row>
    <row r="472" spans="5:11" x14ac:dyDescent="0.35">
      <c r="E472" s="9" t="str">
        <v>EPSG</v>
      </c>
      <c r="F472" s="7" t="str">
        <v>2524</v>
      </c>
      <c r="G472" t="str">
        <v>ProjectedCrs</v>
      </c>
      <c r="H472" t="str">
        <v>Transverse Mercator</v>
      </c>
      <c r="I472" t="str">
        <v>Pulkovo 1942 / 3-degree Gauss-Kruger zone 8</v>
      </c>
      <c r="J472" t="str">
        <v>Belarus, Estonia, Latvia, Lithuania, Russian Federation (Kaliningrad) and Ukraine - onshore between 22°30'E and 25°30'E.</v>
      </c>
      <c r="K472" s="11">
        <v>0</v>
      </c>
    </row>
    <row r="473" spans="5:11" x14ac:dyDescent="0.35">
      <c r="E473" s="9" t="str">
        <v>EPSG</v>
      </c>
      <c r="F473" s="7" t="str">
        <v>2525</v>
      </c>
      <c r="G473" t="str">
        <v>ProjectedCrs</v>
      </c>
      <c r="H473" t="str">
        <v>Transverse Mercator</v>
      </c>
      <c r="I473" t="str">
        <v>Pulkovo 1942 / 3-degree Gauss-Kruger zone 9</v>
      </c>
      <c r="J473" t="str">
        <v>Belarus, Estonia, Latvia, Lithuania, Moldova, Russian Federation and Ukraine - onshore between 25°30'E and 28°30'E.</v>
      </c>
      <c r="K473" s="11">
        <v>0</v>
      </c>
    </row>
    <row r="474" spans="5:11" x14ac:dyDescent="0.35">
      <c r="E474" s="9" t="str">
        <v>EPSG</v>
      </c>
      <c r="F474" s="7" t="str">
        <v>2526</v>
      </c>
      <c r="G474" t="str">
        <v>ProjectedCrs</v>
      </c>
      <c r="H474" t="str">
        <v>Transverse Mercator</v>
      </c>
      <c r="I474" t="str">
        <v>Pulkovo 1942 / 3-degree Gauss-Kruger zone 10</v>
      </c>
      <c r="J474" t="str">
        <v>Belarus, Moldova, Russian Federation and Ukraine - onshore between 28°30'E and 31°30'E.</v>
      </c>
      <c r="K474" s="11">
        <v>0</v>
      </c>
    </row>
    <row r="475" spans="5:11" x14ac:dyDescent="0.35">
      <c r="E475" s="9" t="str">
        <v>EPSG</v>
      </c>
      <c r="F475" s="7" t="str">
        <v>2527</v>
      </c>
      <c r="G475" t="str">
        <v>ProjectedCrs</v>
      </c>
      <c r="H475" t="str">
        <v>Transverse Mercator</v>
      </c>
      <c r="I475" t="str">
        <v>Pulkovo 1942 / 3-degree Gauss-Kruger zone 11</v>
      </c>
      <c r="J475" t="str">
        <v>Belarus, Russian Federation and Ukraine - onshore between 31°30'E and 34°30'E.</v>
      </c>
      <c r="K475" s="11">
        <v>0</v>
      </c>
    </row>
    <row r="476" spans="5:11" x14ac:dyDescent="0.35">
      <c r="E476" s="9" t="str">
        <v>EPSG</v>
      </c>
      <c r="F476" s="7" t="str">
        <v>2528</v>
      </c>
      <c r="G476" t="str">
        <v>ProjectedCrs</v>
      </c>
      <c r="H476" t="str">
        <v>Transverse Mercator</v>
      </c>
      <c r="I476" t="str">
        <v>Pulkovo 1942 / 3-degree Gauss-Kruger zone 12</v>
      </c>
      <c r="J476" t="str">
        <v>Russian Federation and Ukraine - onshore between 34°30'E and 37°30'E.</v>
      </c>
      <c r="K476" s="11">
        <v>0</v>
      </c>
    </row>
    <row r="477" spans="5:11" x14ac:dyDescent="0.35">
      <c r="E477" s="9" t="str">
        <v>EPSG</v>
      </c>
      <c r="F477" s="7" t="str">
        <v>2529</v>
      </c>
      <c r="G477" t="str">
        <v>ProjectedCrs</v>
      </c>
      <c r="H477" t="str">
        <v>Transverse Mercator</v>
      </c>
      <c r="I477" t="str">
        <v>Pulkovo 1942 / 3-degree Gauss-Kruger zone 13</v>
      </c>
      <c r="J477" t="str">
        <v>Georgia, Russian Federation and Ukraine - onshore between 37°30'E and 40°30'E.</v>
      </c>
      <c r="K477" s="11">
        <v>0</v>
      </c>
    </row>
    <row r="478" spans="5:11" x14ac:dyDescent="0.35">
      <c r="E478" s="9" t="str">
        <v>EPSG</v>
      </c>
      <c r="F478" s="7" t="str">
        <v>2530</v>
      </c>
      <c r="G478" t="str">
        <v>ProjectedCrs</v>
      </c>
      <c r="H478" t="str">
        <v>Transverse Mercator</v>
      </c>
      <c r="I478" t="str">
        <v>Pulkovo 1942 / 3-degree Gauss-Kruger zone 14</v>
      </c>
      <c r="J478" t="str">
        <v>Georgia, Russian Federation - onshore between 40°30'E and 43°30'E.</v>
      </c>
      <c r="K478" s="11">
        <v>0</v>
      </c>
    </row>
    <row r="479" spans="5:11" x14ac:dyDescent="0.35">
      <c r="E479" s="9" t="str">
        <v>EPSG</v>
      </c>
      <c r="F479" s="7" t="str">
        <v>2531</v>
      </c>
      <c r="G479" t="str">
        <v>ProjectedCrs</v>
      </c>
      <c r="H479" t="str">
        <v>Transverse Mercator</v>
      </c>
      <c r="I479" t="str">
        <v>Pulkovo 1942 / 3-degree Gauss-Kruger zone 15</v>
      </c>
      <c r="J479" t="str">
        <v>Armenia, Azerbaijan, Georgia and Russian Federation onshore - between 43°30'E and 46°30'E.</v>
      </c>
      <c r="K479" s="11">
        <v>0</v>
      </c>
    </row>
    <row r="480" spans="5:11" x14ac:dyDescent="0.35">
      <c r="E480" s="9" t="str">
        <v>EPSG</v>
      </c>
      <c r="F480" s="7" t="str">
        <v>2532</v>
      </c>
      <c r="G480" t="str">
        <v>ProjectedCrs</v>
      </c>
      <c r="H480" t="str">
        <v>Transverse Mercator</v>
      </c>
      <c r="I480" t="str">
        <v>Pulkovo 1942 / 3-degree Gauss-Kruger zone 16</v>
      </c>
      <c r="J480" t="str">
        <v>Azerbaijan, Georgia, Kazakhstan and Russian Federation onshore - between 46°30'E and 49°30'E.</v>
      </c>
      <c r="K480" s="11">
        <v>0</v>
      </c>
    </row>
    <row r="481" spans="5:11" x14ac:dyDescent="0.35">
      <c r="E481" s="9" t="str">
        <v>EPSG</v>
      </c>
      <c r="F481" s="7" t="str">
        <v>2533</v>
      </c>
      <c r="G481" t="str">
        <v>ProjectedCrs</v>
      </c>
      <c r="H481" t="str">
        <v>Transverse Mercator</v>
      </c>
      <c r="I481" t="str">
        <v>Pulkovo 1942 / 3-degree Gauss-Kruger zone 17</v>
      </c>
      <c r="J481" t="str">
        <v>Azerbaijan, Kazakhstan and Russian Federation onshore - between 49°30'E and 52°30'E.</v>
      </c>
      <c r="K481" s="11">
        <v>0</v>
      </c>
    </row>
    <row r="482" spans="5:11" x14ac:dyDescent="0.35">
      <c r="E482" s="9" t="str">
        <v>EPSG</v>
      </c>
      <c r="F482" s="7" t="str">
        <v>2534</v>
      </c>
      <c r="G482" t="str">
        <v>ProjectedCrs</v>
      </c>
      <c r="H482" t="str">
        <v>Transverse Mercator</v>
      </c>
      <c r="I482" t="str">
        <v>Pulkovo 1942 / 3-degree Gauss-Kruger zone 18</v>
      </c>
      <c r="J482" t="str">
        <v>Kazakhstan, Russian Federation onshore and Turkmenistan - between 52°30'E and 55°30'E.</v>
      </c>
      <c r="K482" s="11">
        <v>0</v>
      </c>
    </row>
    <row r="483" spans="5:11" x14ac:dyDescent="0.35">
      <c r="E483" s="9" t="str">
        <v>EPSG</v>
      </c>
      <c r="F483" s="7" t="str">
        <v>2535</v>
      </c>
      <c r="G483" t="str">
        <v>ProjectedCrs</v>
      </c>
      <c r="H483" t="str">
        <v>Transverse Mercator</v>
      </c>
      <c r="I483" t="str">
        <v>Pulkovo 1942 / 3-degree Gauss-Kruger zone 19</v>
      </c>
      <c r="J483" t="str">
        <v>Kazakhstan, Russian Federation onshore, Turkmenistan and Uzbekistan - between 55°30'E and 58°30'E.</v>
      </c>
      <c r="K483" s="11">
        <v>0</v>
      </c>
    </row>
    <row r="484" spans="5:11" x14ac:dyDescent="0.35">
      <c r="E484" s="9" t="str">
        <v>EPSG</v>
      </c>
      <c r="F484" s="7" t="str">
        <v>2536</v>
      </c>
      <c r="G484" t="str">
        <v>ProjectedCrs</v>
      </c>
      <c r="H484" t="str">
        <v>Transverse Mercator</v>
      </c>
      <c r="I484" t="str">
        <v>Pulkovo 1942 / 3-degree Gauss-Kruger zone 20</v>
      </c>
      <c r="J484" t="str">
        <v>Kazakhstan, Russian Federation onshore, Turkmenistan and Uzbekistan - between 58°30'E and 61°30'E.</v>
      </c>
      <c r="K484" s="11">
        <v>0</v>
      </c>
    </row>
    <row r="485" spans="5:11" x14ac:dyDescent="0.35">
      <c r="E485" s="9" t="str">
        <v>EPSG</v>
      </c>
      <c r="F485" s="7" t="str">
        <v>2537</v>
      </c>
      <c r="G485" t="str">
        <v>ProjectedCrs</v>
      </c>
      <c r="H485" t="str">
        <v>Transverse Mercator</v>
      </c>
      <c r="I485" t="str">
        <v>Pulkovo 1942 / 3-degree Gauss-Kruger zone 21</v>
      </c>
      <c r="J485" t="str">
        <v>Kazakhstan, Russian Federation onshore, Turkmenistan and Uzbekistan - between 61°30'E and 64°30'E.</v>
      </c>
      <c r="K485" s="11">
        <v>0</v>
      </c>
    </row>
    <row r="486" spans="5:11" x14ac:dyDescent="0.35">
      <c r="E486" s="9" t="str">
        <v>EPSG</v>
      </c>
      <c r="F486" s="7" t="str">
        <v>2538</v>
      </c>
      <c r="G486" t="str">
        <v>ProjectedCrs</v>
      </c>
      <c r="H486" t="str">
        <v>Transverse Mercator</v>
      </c>
      <c r="I486" t="str">
        <v>Pulkovo 1942 / 3-degree Gauss-Kruger zone 22</v>
      </c>
      <c r="J486" t="str">
        <v>Kazakhstan, Russian Federation onshore, Tajikistan, Turkmenistan and Uzbekistan - between 64°30'E and 67°30'E.</v>
      </c>
      <c r="K486" s="11">
        <v>0</v>
      </c>
    </row>
    <row r="487" spans="5:11" x14ac:dyDescent="0.35">
      <c r="E487" s="9" t="str">
        <v>EPSG</v>
      </c>
      <c r="F487" s="7" t="str">
        <v>2539</v>
      </c>
      <c r="G487" t="str">
        <v>ProjectedCrs</v>
      </c>
      <c r="H487" t="str">
        <v>Transverse Mercator</v>
      </c>
      <c r="I487" t="str">
        <v>Pulkovo 1942 / 3-degree Gauss-Kruger zone 23</v>
      </c>
      <c r="J487" t="str">
        <v>Kazakhstan, Kyrgyzstan, Russian Federation onshore, Tajikistan and Uzbekistan - between 67°30'E and 70°30'E.</v>
      </c>
      <c r="K487" s="11">
        <v>0</v>
      </c>
    </row>
    <row r="488" spans="5:11" x14ac:dyDescent="0.35">
      <c r="E488" s="9" t="str">
        <v>EPSG</v>
      </c>
      <c r="F488" s="7" t="str">
        <v>2540</v>
      </c>
      <c r="G488" t="str">
        <v>ProjectedCrs</v>
      </c>
      <c r="H488" t="str">
        <v>Transverse Mercator</v>
      </c>
      <c r="I488" t="str">
        <v>Pulkovo 1942 / 3-degree Gauss-Kruger zone 24</v>
      </c>
      <c r="J488" t="str">
        <v>Kazakhstan, Kyrgyzstan, Russian Federation onshore, Tajikistan and Uzbekistan - between 70°30'E and 73°30'E.</v>
      </c>
      <c r="K488" s="11">
        <v>0</v>
      </c>
    </row>
    <row r="489" spans="5:11" x14ac:dyDescent="0.35">
      <c r="E489" s="9" t="str">
        <v>EPSG</v>
      </c>
      <c r="F489" s="7" t="str">
        <v>2541</v>
      </c>
      <c r="G489" t="str">
        <v>ProjectedCrs</v>
      </c>
      <c r="H489" t="str">
        <v>Transverse Mercator</v>
      </c>
      <c r="I489" t="str">
        <v>Pulkovo 1942 / 3-degree Gauss-Kruger zone 25</v>
      </c>
      <c r="J489" t="str">
        <v>Kazakhstan, Kyrgyzstan, Russian Federation onshore and Tajikistan - between 73°30'E and 76°30'E.</v>
      </c>
      <c r="K489" s="11">
        <v>0</v>
      </c>
    </row>
    <row r="490" spans="5:11" x14ac:dyDescent="0.35">
      <c r="E490" s="9" t="str">
        <v>EPSG</v>
      </c>
      <c r="F490" s="7" t="str">
        <v>2542</v>
      </c>
      <c r="G490" t="str">
        <v>ProjectedCrs</v>
      </c>
      <c r="H490" t="str">
        <v>Transverse Mercator</v>
      </c>
      <c r="I490" t="str">
        <v>Pulkovo 1942 / 3-degree Gauss-Kruger zone 26</v>
      </c>
      <c r="J490" t="str">
        <v>Kazakhstan, Kyrgyzstan and Russian Federation onshore - between 76°30'E and 79°30'E.</v>
      </c>
      <c r="K490" s="11">
        <v>0</v>
      </c>
    </row>
    <row r="491" spans="5:11" x14ac:dyDescent="0.35">
      <c r="E491" s="9" t="str">
        <v>EPSG</v>
      </c>
      <c r="F491" s="7" t="str">
        <v>2543</v>
      </c>
      <c r="G491" t="str">
        <v>ProjectedCrs</v>
      </c>
      <c r="H491" t="str">
        <v>Transverse Mercator</v>
      </c>
      <c r="I491" t="str">
        <v>Pulkovo 1942 / 3-degree Gauss-Kruger zone 27</v>
      </c>
      <c r="J491" t="str">
        <v>Kazakhstan, Kyrgyzstan and Russian Federation onshore - between 79°30'E and 82°30'E.</v>
      </c>
      <c r="K491" s="11">
        <v>0</v>
      </c>
    </row>
    <row r="492" spans="5:11" x14ac:dyDescent="0.35">
      <c r="E492" s="9" t="str">
        <v>EPSG</v>
      </c>
      <c r="F492" s="7" t="str">
        <v>2544</v>
      </c>
      <c r="G492" t="str">
        <v>ProjectedCrs</v>
      </c>
      <c r="H492" t="str">
        <v>Transverse Mercator</v>
      </c>
      <c r="I492" t="str">
        <v>Pulkovo 1942 / 3-degree Gauss-Kruger zone 28</v>
      </c>
      <c r="J492" t="str">
        <v>Kazakhstan and Russian Federation onshore - between 82°30'E and 85°30'E.</v>
      </c>
      <c r="K492" s="11">
        <v>0</v>
      </c>
    </row>
    <row r="493" spans="5:11" x14ac:dyDescent="0.35">
      <c r="E493" s="9" t="str">
        <v>EPSG</v>
      </c>
      <c r="F493" s="7" t="str">
        <v>2545</v>
      </c>
      <c r="G493" t="str">
        <v>ProjectedCrs</v>
      </c>
      <c r="H493" t="str">
        <v>Transverse Mercator</v>
      </c>
      <c r="I493" t="str">
        <v>Pulkovo 1942 / 3-degree Gauss-Kruger zone 29</v>
      </c>
      <c r="J493" t="str">
        <v>Kazakhstan and Russian Federation onshore - between 85°30'E and 88°30'E.</v>
      </c>
      <c r="K493" s="11">
        <v>0</v>
      </c>
    </row>
    <row r="494" spans="5:11" x14ac:dyDescent="0.35">
      <c r="E494" s="9" t="str">
        <v>EPSG</v>
      </c>
      <c r="F494" s="7" t="str">
        <v>2546</v>
      </c>
      <c r="G494" t="str">
        <v>ProjectedCrs</v>
      </c>
      <c r="H494" t="str">
        <v>Transverse Mercator</v>
      </c>
      <c r="I494" t="str">
        <v>Pulkovo 1942 / 3-degree Gauss-Kruger zone 30</v>
      </c>
      <c r="J494" t="str">
        <v>Russian Federation - onshore between 88°30'E and 91°30'E.</v>
      </c>
      <c r="K494" s="11">
        <v>0</v>
      </c>
    </row>
    <row r="495" spans="5:11" x14ac:dyDescent="0.35">
      <c r="E495" s="9" t="str">
        <v>EPSG</v>
      </c>
      <c r="F495" s="7" t="str">
        <v>2547</v>
      </c>
      <c r="G495" t="str">
        <v>ProjectedCrs</v>
      </c>
      <c r="H495" t="str">
        <v>Transverse Mercator</v>
      </c>
      <c r="I495" t="str">
        <v>Pulkovo 1942 / 3-degree Gauss-Kruger zone 31</v>
      </c>
      <c r="J495" t="str">
        <v>Russian Federation - onshore between 91°30'E and 94°30'E.</v>
      </c>
      <c r="K495" s="11">
        <v>0</v>
      </c>
    </row>
    <row r="496" spans="5:11" x14ac:dyDescent="0.35">
      <c r="E496" s="9" t="str">
        <v>EPSG</v>
      </c>
      <c r="F496" s="7" t="str">
        <v>2548</v>
      </c>
      <c r="G496" t="str">
        <v>ProjectedCrs</v>
      </c>
      <c r="H496" t="str">
        <v>Transverse Mercator</v>
      </c>
      <c r="I496" t="str">
        <v>Pulkovo 1942 / 3-degree Gauss-Kruger zone 32</v>
      </c>
      <c r="J496" t="str">
        <v>Russian Federation - onshore between 94°30'E and 97°30'E.</v>
      </c>
      <c r="K496" s="11">
        <v>0</v>
      </c>
    </row>
    <row r="497" spans="5:11" x14ac:dyDescent="0.35">
      <c r="E497" s="9" t="str">
        <v>EPSG</v>
      </c>
      <c r="F497" s="7" t="str">
        <v>2549</v>
      </c>
      <c r="G497" t="str">
        <v>ProjectedCrs</v>
      </c>
      <c r="H497" t="str">
        <v>Transverse Mercator</v>
      </c>
      <c r="I497" t="str">
        <v>Pulkovo 1942 / 3-degree Gauss-Kruger zone 33</v>
      </c>
      <c r="J497" t="str">
        <v>Russian Federation - onshore between 97°30'E and 100°30'E.</v>
      </c>
      <c r="K497" s="11">
        <v>0</v>
      </c>
    </row>
    <row r="498" spans="5:11" x14ac:dyDescent="0.35">
      <c r="E498" s="9" t="str">
        <v>EPSG</v>
      </c>
      <c r="F498" s="7" t="str">
        <v>2551</v>
      </c>
      <c r="G498" t="str">
        <v>ProjectedCrs</v>
      </c>
      <c r="H498" t="str">
        <v>Transverse Mercator</v>
      </c>
      <c r="I498" t="str">
        <v>Pulkovo 1942 / 3-degree Gauss-Kruger zone 34</v>
      </c>
      <c r="J498" t="str">
        <v>Russian Federation - onshore between 100°30'E and 103°30'E.</v>
      </c>
      <c r="K498" s="11">
        <v>0</v>
      </c>
    </row>
    <row r="499" spans="5:11" x14ac:dyDescent="0.35">
      <c r="E499" s="9" t="str">
        <v>EPSG</v>
      </c>
      <c r="F499" s="7" t="str">
        <v>2552</v>
      </c>
      <c r="G499" t="str">
        <v>ProjectedCrs</v>
      </c>
      <c r="H499" t="str">
        <v>Transverse Mercator</v>
      </c>
      <c r="I499" t="str">
        <v>Pulkovo 1942 / 3-degree Gauss-Kruger zone 35</v>
      </c>
      <c r="J499" t="str">
        <v>Russian Federation - onshore between 103°30'E and 106°30'E.</v>
      </c>
      <c r="K499" s="11">
        <v>0</v>
      </c>
    </row>
    <row r="500" spans="5:11" x14ac:dyDescent="0.35">
      <c r="E500" s="9" t="str">
        <v>EPSG</v>
      </c>
      <c r="F500" s="7" t="str">
        <v>2553</v>
      </c>
      <c r="G500" t="str">
        <v>ProjectedCrs</v>
      </c>
      <c r="H500" t="str">
        <v>Transverse Mercator</v>
      </c>
      <c r="I500" t="str">
        <v>Pulkovo 1942 / 3-degree Gauss-Kruger zone 36</v>
      </c>
      <c r="J500" t="str">
        <v>Russian Federation - onshore between 106°30'E and 109°30'E.</v>
      </c>
      <c r="K500" s="11">
        <v>0</v>
      </c>
    </row>
    <row r="501" spans="5:11" x14ac:dyDescent="0.35">
      <c r="E501" s="9" t="str">
        <v>EPSG</v>
      </c>
      <c r="F501" s="7" t="str">
        <v>2554</v>
      </c>
      <c r="G501" t="str">
        <v>ProjectedCrs</v>
      </c>
      <c r="H501" t="str">
        <v>Transverse Mercator</v>
      </c>
      <c r="I501" t="str">
        <v>Pulkovo 1942 / 3-degree Gauss-Kruger zone 37</v>
      </c>
      <c r="J501" t="str">
        <v>Russian Federation - onshore between 109°30'E and 112°30'E.</v>
      </c>
      <c r="K501" s="11">
        <v>0</v>
      </c>
    </row>
    <row r="502" spans="5:11" x14ac:dyDescent="0.35">
      <c r="E502" s="9" t="str">
        <v>EPSG</v>
      </c>
      <c r="F502" s="7" t="str">
        <v>2555</v>
      </c>
      <c r="G502" t="str">
        <v>ProjectedCrs</v>
      </c>
      <c r="H502" t="str">
        <v>Transverse Mercator</v>
      </c>
      <c r="I502" t="str">
        <v>Pulkovo 1942 / 3-degree Gauss-Kruger zone 38</v>
      </c>
      <c r="J502" t="str">
        <v>Russian Federation - onshore between 112°30'E and 115°30'E.</v>
      </c>
      <c r="K502" s="11">
        <v>0</v>
      </c>
    </row>
    <row r="503" spans="5:11" x14ac:dyDescent="0.35">
      <c r="E503" s="9" t="str">
        <v>EPSG</v>
      </c>
      <c r="F503" s="7" t="str">
        <v>2556</v>
      </c>
      <c r="G503" t="str">
        <v>ProjectedCrs</v>
      </c>
      <c r="H503" t="str">
        <v>Transverse Mercator</v>
      </c>
      <c r="I503" t="str">
        <v>Pulkovo 1942 / 3-degree Gauss-Kruger zone 39</v>
      </c>
      <c r="J503" t="str">
        <v>Russian Federation - onshore between 115°30'E and 118°30'E.</v>
      </c>
      <c r="K503" s="11">
        <v>0</v>
      </c>
    </row>
    <row r="504" spans="5:11" x14ac:dyDescent="0.35">
      <c r="E504" s="9" t="str">
        <v>EPSG</v>
      </c>
      <c r="F504" s="7" t="str">
        <v>2557</v>
      </c>
      <c r="G504" t="str">
        <v>ProjectedCrs</v>
      </c>
      <c r="H504" t="str">
        <v>Transverse Mercator</v>
      </c>
      <c r="I504" t="str">
        <v>Pulkovo 1942 / 3-degree Gauss-Kruger zone 40</v>
      </c>
      <c r="J504" t="str">
        <v>Russian Federation - onshore between 118°30'E and 121°30'E.</v>
      </c>
      <c r="K504" s="11">
        <v>0</v>
      </c>
    </row>
    <row r="505" spans="5:11" x14ac:dyDescent="0.35">
      <c r="E505" s="9" t="str">
        <v>EPSG</v>
      </c>
      <c r="F505" s="7" t="str">
        <v>2558</v>
      </c>
      <c r="G505" t="str">
        <v>ProjectedCrs</v>
      </c>
      <c r="H505" t="str">
        <v>Transverse Mercator</v>
      </c>
      <c r="I505" t="str">
        <v>Pulkovo 1942 / 3-degree Gauss-Kruger zone 41</v>
      </c>
      <c r="J505" t="str">
        <v>Russian Federation - onshore between 121°30'E and 124°30'E.</v>
      </c>
      <c r="K505" s="11">
        <v>0</v>
      </c>
    </row>
    <row r="506" spans="5:11" x14ac:dyDescent="0.35">
      <c r="E506" s="9" t="str">
        <v>EPSG</v>
      </c>
      <c r="F506" s="7" t="str">
        <v>2559</v>
      </c>
      <c r="G506" t="str">
        <v>ProjectedCrs</v>
      </c>
      <c r="H506" t="str">
        <v>Transverse Mercator</v>
      </c>
      <c r="I506" t="str">
        <v>Pulkovo 1942 / 3-degree Gauss-Kruger zone 42</v>
      </c>
      <c r="J506" t="str">
        <v>Russian Federation - onshore between 124°30'E and 127°30'E.</v>
      </c>
      <c r="K506" s="11">
        <v>0</v>
      </c>
    </row>
    <row r="507" spans="5:11" x14ac:dyDescent="0.35">
      <c r="E507" s="9" t="str">
        <v>EPSG</v>
      </c>
      <c r="F507" s="7" t="str">
        <v>2560</v>
      </c>
      <c r="G507" t="str">
        <v>ProjectedCrs</v>
      </c>
      <c r="H507" t="str">
        <v>Transverse Mercator</v>
      </c>
      <c r="I507" t="str">
        <v>Pulkovo 1942 / 3-degree Gauss-Kruger zone 43</v>
      </c>
      <c r="J507" t="str">
        <v>Russian Federation - onshore between 127°30'E and 130°30'E.</v>
      </c>
      <c r="K507" s="11">
        <v>0</v>
      </c>
    </row>
    <row r="508" spans="5:11" x14ac:dyDescent="0.35">
      <c r="E508" s="9" t="str">
        <v>EPSG</v>
      </c>
      <c r="F508" s="7" t="str">
        <v>2561</v>
      </c>
      <c r="G508" t="str">
        <v>ProjectedCrs</v>
      </c>
      <c r="H508" t="str">
        <v>Transverse Mercator</v>
      </c>
      <c r="I508" t="str">
        <v>Pulkovo 1942 / 3-degree Gauss-Kruger zone 44</v>
      </c>
      <c r="J508" t="str">
        <v>Russian Federation - onshore between 130°30'E and 133°30'E.</v>
      </c>
      <c r="K508" s="11">
        <v>0</v>
      </c>
    </row>
    <row r="509" spans="5:11" x14ac:dyDescent="0.35">
      <c r="E509" s="9" t="str">
        <v>EPSG</v>
      </c>
      <c r="F509" s="7" t="str">
        <v>2562</v>
      </c>
      <c r="G509" t="str">
        <v>ProjectedCrs</v>
      </c>
      <c r="H509" t="str">
        <v>Transverse Mercator</v>
      </c>
      <c r="I509" t="str">
        <v>Pulkovo 1942 / 3-degree Gauss-Kruger zone 45</v>
      </c>
      <c r="J509" t="str">
        <v>Russian Federation - onshore between 133°30'E and 136°30'E.</v>
      </c>
      <c r="K509" s="11">
        <v>0</v>
      </c>
    </row>
    <row r="510" spans="5:11" x14ac:dyDescent="0.35">
      <c r="E510" s="9" t="str">
        <v>EPSG</v>
      </c>
      <c r="F510" s="7" t="str">
        <v>2563</v>
      </c>
      <c r="G510" t="str">
        <v>ProjectedCrs</v>
      </c>
      <c r="H510" t="str">
        <v>Transverse Mercator</v>
      </c>
      <c r="I510" t="str">
        <v>Pulkovo 1942 / 3-degree Gauss-Kruger zone 46</v>
      </c>
      <c r="J510" t="str">
        <v>Russian Federation - onshore between 136°30'E and 139°30'E.</v>
      </c>
      <c r="K510" s="11">
        <v>0</v>
      </c>
    </row>
    <row r="511" spans="5:11" x14ac:dyDescent="0.35">
      <c r="E511" s="9" t="str">
        <v>EPSG</v>
      </c>
      <c r="F511" s="7" t="str">
        <v>2564</v>
      </c>
      <c r="G511" t="str">
        <v>ProjectedCrs</v>
      </c>
      <c r="H511" t="str">
        <v>Transverse Mercator</v>
      </c>
      <c r="I511" t="str">
        <v>Pulkovo 1942 / 3-degree Gauss-Kruger zone 47</v>
      </c>
      <c r="J511" t="str">
        <v>Russian Federation - onshore between 139°30'E and 142°30'E.</v>
      </c>
      <c r="K511" s="11">
        <v>0</v>
      </c>
    </row>
    <row r="512" spans="5:11" x14ac:dyDescent="0.35">
      <c r="E512" s="9" t="str">
        <v>EPSG</v>
      </c>
      <c r="F512" s="7" t="str">
        <v>2565</v>
      </c>
      <c r="G512" t="str">
        <v>ProjectedCrs</v>
      </c>
      <c r="H512" t="str">
        <v>Transverse Mercator</v>
      </c>
      <c r="I512" t="str">
        <v>Pulkovo 1942 / 3-degree Gauss-Kruger zone 48</v>
      </c>
      <c r="J512" t="str">
        <v>Russian Federation - onshore between 142°30'E and 145°30'E.</v>
      </c>
      <c r="K512" s="11">
        <v>0</v>
      </c>
    </row>
    <row r="513" spans="5:11" x14ac:dyDescent="0.35">
      <c r="E513" s="9" t="str">
        <v>EPSG</v>
      </c>
      <c r="F513" s="7" t="str">
        <v>2566</v>
      </c>
      <c r="G513" t="str">
        <v>ProjectedCrs</v>
      </c>
      <c r="H513" t="str">
        <v>Transverse Mercator</v>
      </c>
      <c r="I513" t="str">
        <v>Pulkovo 1942 / 3-degree Gauss-Kruger zone 49</v>
      </c>
      <c r="J513" t="str">
        <v>Russian Federation - onshore between 145°30'E and 148°30'E.</v>
      </c>
      <c r="K513" s="11">
        <v>0</v>
      </c>
    </row>
    <row r="514" spans="5:11" x14ac:dyDescent="0.35">
      <c r="E514" s="9" t="str">
        <v>EPSG</v>
      </c>
      <c r="F514" s="7" t="str">
        <v>2567</v>
      </c>
      <c r="G514" t="str">
        <v>ProjectedCrs</v>
      </c>
      <c r="H514" t="str">
        <v>Transverse Mercator</v>
      </c>
      <c r="I514" t="str">
        <v>Pulkovo 1942 / 3-degree Gauss-Kruger zone 50</v>
      </c>
      <c r="J514" t="str">
        <v>Russian Federation - onshore between 148°30'E and 151°30'E.</v>
      </c>
      <c r="K514" s="11">
        <v>0</v>
      </c>
    </row>
    <row r="515" spans="5:11" x14ac:dyDescent="0.35">
      <c r="E515" s="9" t="str">
        <v>EPSG</v>
      </c>
      <c r="F515" s="7" t="str">
        <v>2568</v>
      </c>
      <c r="G515" t="str">
        <v>ProjectedCrs</v>
      </c>
      <c r="H515" t="str">
        <v>Transverse Mercator</v>
      </c>
      <c r="I515" t="str">
        <v>Pulkovo 1942 / 3-degree Gauss-Kruger zone 51</v>
      </c>
      <c r="J515" t="str">
        <v>Russian Federation - onshore between 151°30'E and 154°30'E.</v>
      </c>
      <c r="K515" s="11">
        <v>0</v>
      </c>
    </row>
    <row r="516" spans="5:11" x14ac:dyDescent="0.35">
      <c r="E516" s="9" t="str">
        <v>EPSG</v>
      </c>
      <c r="F516" s="7" t="str">
        <v>2569</v>
      </c>
      <c r="G516" t="str">
        <v>ProjectedCrs</v>
      </c>
      <c r="H516" t="str">
        <v>Transverse Mercator</v>
      </c>
      <c r="I516" t="str">
        <v>Pulkovo 1942 / 3-degree Gauss-Kruger zone 52</v>
      </c>
      <c r="J516" t="str">
        <v>Russian Federation - onshore between 154°30'E and 157°30'E.</v>
      </c>
      <c r="K516" s="11">
        <v>0</v>
      </c>
    </row>
    <row r="517" spans="5:11" x14ac:dyDescent="0.35">
      <c r="E517" s="9" t="str">
        <v>EPSG</v>
      </c>
      <c r="F517" s="7" t="str">
        <v>2570</v>
      </c>
      <c r="G517" t="str">
        <v>ProjectedCrs</v>
      </c>
      <c r="H517" t="str">
        <v>Transverse Mercator</v>
      </c>
      <c r="I517" t="str">
        <v>Pulkovo 1942 / 3-degree Gauss-Kruger zone 53</v>
      </c>
      <c r="J517" t="str">
        <v>Russian Federation - onshore between 157°30'E and 160°30'E.</v>
      </c>
      <c r="K517" s="11">
        <v>0</v>
      </c>
    </row>
    <row r="518" spans="5:11" x14ac:dyDescent="0.35">
      <c r="E518" s="9" t="str">
        <v>EPSG</v>
      </c>
      <c r="F518" s="7" t="str">
        <v>2571</v>
      </c>
      <c r="G518" t="str">
        <v>ProjectedCrs</v>
      </c>
      <c r="H518" t="str">
        <v>Transverse Mercator</v>
      </c>
      <c r="I518" t="str">
        <v>Pulkovo 1942 / 3-degree Gauss-Kruger zone 54</v>
      </c>
      <c r="J518" t="str">
        <v>Russian Federation - onshore between 160°30'E and 163°30'E.</v>
      </c>
      <c r="K518" s="11">
        <v>0</v>
      </c>
    </row>
    <row r="519" spans="5:11" x14ac:dyDescent="0.35">
      <c r="E519" s="9" t="str">
        <v>EPSG</v>
      </c>
      <c r="F519" s="7" t="str">
        <v>2572</v>
      </c>
      <c r="G519" t="str">
        <v>ProjectedCrs</v>
      </c>
      <c r="H519" t="str">
        <v>Transverse Mercator</v>
      </c>
      <c r="I519" t="str">
        <v>Pulkovo 1942 / 3-degree Gauss-Kruger zone 55</v>
      </c>
      <c r="J519" t="str">
        <v>Russian Federation - onshore between 163°30'E and 166°30'E.</v>
      </c>
      <c r="K519" s="11">
        <v>0</v>
      </c>
    </row>
    <row r="520" spans="5:11" x14ac:dyDescent="0.35">
      <c r="E520" s="9" t="str">
        <v>EPSG</v>
      </c>
      <c r="F520" s="7" t="str">
        <v>2573</v>
      </c>
      <c r="G520" t="str">
        <v>ProjectedCrs</v>
      </c>
      <c r="H520" t="str">
        <v>Transverse Mercator</v>
      </c>
      <c r="I520" t="str">
        <v>Pulkovo 1942 / 3-degree Gauss-Kruger zone 56</v>
      </c>
      <c r="J520" t="str">
        <v>Russian Federation - onshore between 166°30'E and 169°30'E.</v>
      </c>
      <c r="K520" s="11">
        <v>0</v>
      </c>
    </row>
    <row r="521" spans="5:11" x14ac:dyDescent="0.35">
      <c r="E521" s="9" t="str">
        <v>EPSG</v>
      </c>
      <c r="F521" s="7" t="str">
        <v>2574</v>
      </c>
      <c r="G521" t="str">
        <v>ProjectedCrs</v>
      </c>
      <c r="H521" t="str">
        <v>Transverse Mercator</v>
      </c>
      <c r="I521" t="str">
        <v>Pulkovo 1942 / 3-degree Gauss-Kruger zone 57</v>
      </c>
      <c r="J521" t="str">
        <v>Russian Federation - onshore between 169°30'E and 172°30'E.</v>
      </c>
      <c r="K521" s="11">
        <v>0</v>
      </c>
    </row>
    <row r="522" spans="5:11" x14ac:dyDescent="0.35">
      <c r="E522" s="9" t="str">
        <v>EPSG</v>
      </c>
      <c r="F522" s="7" t="str">
        <v>2575</v>
      </c>
      <c r="G522" t="str">
        <v>ProjectedCrs</v>
      </c>
      <c r="H522" t="str">
        <v>Transverse Mercator</v>
      </c>
      <c r="I522" t="str">
        <v>Pulkovo 1942 / 3-degree Gauss-Kruger zone 58</v>
      </c>
      <c r="J522" t="str">
        <v>Russian Federation - onshore between 172°30'E and 175°30'E.</v>
      </c>
      <c r="K522" s="11">
        <v>0</v>
      </c>
    </row>
    <row r="523" spans="5:11" x14ac:dyDescent="0.35">
      <c r="E523" s="9" t="str">
        <v>EPSG</v>
      </c>
      <c r="F523" s="7" t="str">
        <v>2576</v>
      </c>
      <c r="G523" t="str">
        <v>ProjectedCrs</v>
      </c>
      <c r="H523" t="str">
        <v>Transverse Mercator</v>
      </c>
      <c r="I523" t="str">
        <v>Pulkovo 1942 / 3-degree Gauss-Kruger zone 59</v>
      </c>
      <c r="J523" t="str">
        <v>Russian Federation - onshore between 175°30'E and 178°30'E.</v>
      </c>
      <c r="K523" s="11">
        <v>0</v>
      </c>
    </row>
    <row r="524" spans="5:11" x14ac:dyDescent="0.35">
      <c r="E524" s="9" t="str">
        <v>EPSG</v>
      </c>
      <c r="F524" s="7" t="str">
        <v>2578</v>
      </c>
      <c r="G524" t="str">
        <v>ProjectedCrs</v>
      </c>
      <c r="H524" t="str">
        <v>Transverse Mercator</v>
      </c>
      <c r="I524" t="str">
        <v>Pulkovo 1942 / 3-degree Gauss-Kruger zone 61</v>
      </c>
      <c r="J524" t="str">
        <v>Russian Federation - onshore between 178°30'W and 175°30'W.</v>
      </c>
      <c r="K524" s="11">
        <v>0</v>
      </c>
    </row>
    <row r="525" spans="5:11" x14ac:dyDescent="0.35">
      <c r="E525" s="9" t="str">
        <v>EPSG</v>
      </c>
      <c r="F525" s="7" t="str">
        <v>2579</v>
      </c>
      <c r="G525" t="str">
        <v>ProjectedCrs</v>
      </c>
      <c r="H525" t="str">
        <v>Transverse Mercator</v>
      </c>
      <c r="I525" t="str">
        <v>Pulkovo 1942 / 3-degree Gauss-Kruger zone 62</v>
      </c>
      <c r="J525" t="str">
        <v>Russian Federation - onshore between 175°30'W and 172°30'W.</v>
      </c>
      <c r="K525" s="11">
        <v>0</v>
      </c>
    </row>
    <row r="526" spans="5:11" x14ac:dyDescent="0.35">
      <c r="E526" s="9" t="str">
        <v>EPSG</v>
      </c>
      <c r="F526" s="7" t="str">
        <v>2580</v>
      </c>
      <c r="G526" t="str">
        <v>ProjectedCrs</v>
      </c>
      <c r="H526" t="str">
        <v>Transverse Mercator</v>
      </c>
      <c r="I526" t="str">
        <v>Pulkovo 1942 / 3-degree Gauss-Kruger zone 63</v>
      </c>
      <c r="J526" t="str">
        <v>Russian Federation - onshore between 172°30'W and 169°30'W.</v>
      </c>
      <c r="K526" s="11">
        <v>0</v>
      </c>
    </row>
    <row r="527" spans="5:11" x14ac:dyDescent="0.35">
      <c r="E527" s="9" t="str">
        <v>EPSG</v>
      </c>
      <c r="F527" s="7" t="str">
        <v>2581</v>
      </c>
      <c r="G527" t="str">
        <v>ProjectedCrs</v>
      </c>
      <c r="H527" t="str">
        <v>Transverse Mercator</v>
      </c>
      <c r="I527" t="str">
        <v>Pulkovo 1942 / 3-degree Gauss-Kruger zone 64</v>
      </c>
      <c r="J527" t="str">
        <v>Russian Federation - onshore between 169°30'W and 166°30'W.</v>
      </c>
      <c r="K527" s="11">
        <v>0</v>
      </c>
    </row>
    <row r="528" spans="5:11" x14ac:dyDescent="0.35">
      <c r="E528" s="9" t="str">
        <v>EPSG</v>
      </c>
      <c r="F528" s="7" t="str">
        <v>2582</v>
      </c>
      <c r="G528" t="str">
        <v>ProjectedCrs</v>
      </c>
      <c r="H528" t="str">
        <v>Transverse Mercator</v>
      </c>
      <c r="I528" t="str">
        <v>Pulkovo 1942 / 3-degree Gauss-Kruger CM 21E</v>
      </c>
      <c r="J528" t="str">
        <v>Estonia, Latvia, Lithuania, Russian Federation (Kaliningrad) and Ukraine - onshore between 19°30'E and 22°30'E.</v>
      </c>
      <c r="K528" s="11">
        <v>0</v>
      </c>
    </row>
    <row r="529" spans="5:11" x14ac:dyDescent="0.35">
      <c r="E529" s="9" t="str">
        <v>EPSG</v>
      </c>
      <c r="F529" s="7" t="str">
        <v>2583</v>
      </c>
      <c r="G529" t="str">
        <v>ProjectedCrs</v>
      </c>
      <c r="H529" t="str">
        <v>Transverse Mercator</v>
      </c>
      <c r="I529" t="str">
        <v>Pulkovo 1942 / 3-degree Gauss-Kruger CM 24E</v>
      </c>
      <c r="J529" t="str">
        <v>Belarus, Estonia, Latvia, Lithuania, Russian Federation (Kaliningrad) and Ukraine - onshore between 22°30'E and 25°30'E.</v>
      </c>
      <c r="K529" s="11">
        <v>0</v>
      </c>
    </row>
    <row r="530" spans="5:11" x14ac:dyDescent="0.35">
      <c r="E530" s="9" t="str">
        <v>EPSG</v>
      </c>
      <c r="F530" s="7" t="str">
        <v>2584</v>
      </c>
      <c r="G530" t="str">
        <v>ProjectedCrs</v>
      </c>
      <c r="H530" t="str">
        <v>Transverse Mercator</v>
      </c>
      <c r="I530" t="str">
        <v>Pulkovo 1942 / 3-degree Gauss-Kruger CM 27E</v>
      </c>
      <c r="J530" t="str">
        <v>Belarus, Estonia, Latvia, Lithuania, Moldova, Russian Federation and Ukraine - onshore between 25°30'E and 28°30'E.</v>
      </c>
      <c r="K530" s="11">
        <v>0</v>
      </c>
    </row>
    <row r="531" spans="5:11" x14ac:dyDescent="0.35">
      <c r="E531" s="9" t="str">
        <v>EPSG</v>
      </c>
      <c r="F531" s="7" t="str">
        <v>2585</v>
      </c>
      <c r="G531" t="str">
        <v>ProjectedCrs</v>
      </c>
      <c r="H531" t="str">
        <v>Transverse Mercator</v>
      </c>
      <c r="I531" t="str">
        <v>Pulkovo 1942 / 3-degree Gauss-Kruger CM 30E</v>
      </c>
      <c r="J531" t="str">
        <v>Belarus, Moldova, Russian Federation and Ukraine - onshore between 28°30'E and 31°30'E.</v>
      </c>
      <c r="K531" s="11">
        <v>0</v>
      </c>
    </row>
    <row r="532" spans="5:11" x14ac:dyDescent="0.35">
      <c r="E532" s="9" t="str">
        <v>EPSG</v>
      </c>
      <c r="F532" s="7" t="str">
        <v>2586</v>
      </c>
      <c r="G532" t="str">
        <v>ProjectedCrs</v>
      </c>
      <c r="H532" t="str">
        <v>Transverse Mercator</v>
      </c>
      <c r="I532" t="str">
        <v>Pulkovo 1942 / 3-degree Gauss-Kruger CM 33E</v>
      </c>
      <c r="J532" t="str">
        <v>Belarus, Russian Federation and Ukraine - onshore between 31°30'E and 34°30'E.</v>
      </c>
      <c r="K532" s="11">
        <v>0</v>
      </c>
    </row>
    <row r="533" spans="5:11" x14ac:dyDescent="0.35">
      <c r="E533" s="9" t="str">
        <v>EPSG</v>
      </c>
      <c r="F533" s="7" t="str">
        <v>2587</v>
      </c>
      <c r="G533" t="str">
        <v>ProjectedCrs</v>
      </c>
      <c r="H533" t="str">
        <v>Transverse Mercator</v>
      </c>
      <c r="I533" t="str">
        <v>Pulkovo 1942 / 3-degree Gauss-Kruger CM 36E</v>
      </c>
      <c r="J533" t="str">
        <v>Russian Federation and Ukraine - onshore between 34°30'E and 37°30'E.</v>
      </c>
      <c r="K533" s="11">
        <v>0</v>
      </c>
    </row>
    <row r="534" spans="5:11" x14ac:dyDescent="0.35">
      <c r="E534" s="9" t="str">
        <v>EPSG</v>
      </c>
      <c r="F534" s="7" t="str">
        <v>2588</v>
      </c>
      <c r="G534" t="str">
        <v>ProjectedCrs</v>
      </c>
      <c r="H534" t="str">
        <v>Transverse Mercator</v>
      </c>
      <c r="I534" t="str">
        <v>Pulkovo 1942 / 3-degree Gauss-Kruger CM 39E</v>
      </c>
      <c r="J534" t="str">
        <v>Georgia, Russian Federation and Ukraine - onshore between 37°30'E and 40°30'E.</v>
      </c>
      <c r="K534" s="11">
        <v>0</v>
      </c>
    </row>
    <row r="535" spans="5:11" x14ac:dyDescent="0.35">
      <c r="E535" s="9" t="str">
        <v>EPSG</v>
      </c>
      <c r="F535" s="7" t="str">
        <v>2589</v>
      </c>
      <c r="G535" t="str">
        <v>ProjectedCrs</v>
      </c>
      <c r="H535" t="str">
        <v>Transverse Mercator</v>
      </c>
      <c r="I535" t="str">
        <v>Pulkovo 1942 / 3-degree Gauss-Kruger CM 42E</v>
      </c>
      <c r="J535" t="str">
        <v>Georgia, Russian Federation - onshore between 40°30'E and 43°30'E.</v>
      </c>
      <c r="K535" s="11">
        <v>0</v>
      </c>
    </row>
    <row r="536" spans="5:11" x14ac:dyDescent="0.35">
      <c r="E536" s="9" t="str">
        <v>EPSG</v>
      </c>
      <c r="F536" s="7" t="str">
        <v>2590</v>
      </c>
      <c r="G536" t="str">
        <v>ProjectedCrs</v>
      </c>
      <c r="H536" t="str">
        <v>Transverse Mercator</v>
      </c>
      <c r="I536" t="str">
        <v>Pulkovo 1942 / 3-degree Gauss-Kruger CM 45E</v>
      </c>
      <c r="J536" t="str">
        <v>Armenia, Azerbaijan, Georgia and Russian Federation onshore - between 43°30'E and 46°30'E.</v>
      </c>
      <c r="K536" s="11">
        <v>0</v>
      </c>
    </row>
    <row r="537" spans="5:11" x14ac:dyDescent="0.35">
      <c r="E537" s="9" t="str">
        <v>EPSG</v>
      </c>
      <c r="F537" s="7" t="str">
        <v>2591</v>
      </c>
      <c r="G537" t="str">
        <v>ProjectedCrs</v>
      </c>
      <c r="H537" t="str">
        <v>Transverse Mercator</v>
      </c>
      <c r="I537" t="str">
        <v>Pulkovo 1942 / 3-degree Gauss-Kruger CM 48E</v>
      </c>
      <c r="J537" t="str">
        <v>Azerbaijan, Georgia, Kazakhstan and Russian Federation onshore - between 46°30'E and 49°30'E.</v>
      </c>
      <c r="K537" s="11">
        <v>0</v>
      </c>
    </row>
    <row r="538" spans="5:11" x14ac:dyDescent="0.35">
      <c r="E538" s="9" t="str">
        <v>EPSG</v>
      </c>
      <c r="F538" s="7" t="str">
        <v>2592</v>
      </c>
      <c r="G538" t="str">
        <v>ProjectedCrs</v>
      </c>
      <c r="H538" t="str">
        <v>Transverse Mercator</v>
      </c>
      <c r="I538" t="str">
        <v>Pulkovo 1942 / 3-degree Gauss-Kruger CM 51E</v>
      </c>
      <c r="J538" t="str">
        <v>Azerbaijan, Kazakhstan and Russian Federation onshore - between 49°30'E and 52°30'E.</v>
      </c>
      <c r="K538" s="11">
        <v>0</v>
      </c>
    </row>
    <row r="539" spans="5:11" x14ac:dyDescent="0.35">
      <c r="E539" s="9" t="str">
        <v>EPSG</v>
      </c>
      <c r="F539" s="7" t="str">
        <v>2593</v>
      </c>
      <c r="G539" t="str">
        <v>ProjectedCrs</v>
      </c>
      <c r="H539" t="str">
        <v>Transverse Mercator</v>
      </c>
      <c r="I539" t="str">
        <v>Pulkovo 1942 / 3-degree Gauss-Kruger CM 54E</v>
      </c>
      <c r="J539" t="str">
        <v>Kazakhstan, Russian Federation onshore and Turkmenistan - between 52°30'E and 55°30'E.</v>
      </c>
      <c r="K539" s="11">
        <v>0</v>
      </c>
    </row>
    <row r="540" spans="5:11" x14ac:dyDescent="0.35">
      <c r="E540" s="9" t="str">
        <v>EPSG</v>
      </c>
      <c r="F540" s="7" t="str">
        <v>2594</v>
      </c>
      <c r="G540" t="str">
        <v>ProjectedCrs</v>
      </c>
      <c r="H540" t="str">
        <v>Transverse Mercator</v>
      </c>
      <c r="I540" t="str">
        <v>Pulkovo 1942 / 3-degree Gauss-Kruger CM 57E</v>
      </c>
      <c r="J540" t="str">
        <v>Kazakhstan, Russian Federation onshore, Turkmenistan and Uzbekistan - between 55°30'E and 58°30'E.</v>
      </c>
      <c r="K540" s="11">
        <v>0</v>
      </c>
    </row>
    <row r="541" spans="5:11" x14ac:dyDescent="0.35">
      <c r="E541" s="9" t="str">
        <v>EPSG</v>
      </c>
      <c r="F541" s="7" t="str">
        <v>2595</v>
      </c>
      <c r="G541" t="str">
        <v>ProjectedCrs</v>
      </c>
      <c r="H541" t="str">
        <v>Transverse Mercator</v>
      </c>
      <c r="I541" t="str">
        <v>Pulkovo 1942 / 3-degree Gauss-Kruger CM 60E</v>
      </c>
      <c r="J541" t="str">
        <v>Kazakhstan, Russian Federation onshore, Turkmenistan and Uzbekistan - between 58°30'E and 61°30'E.</v>
      </c>
      <c r="K541" s="11">
        <v>0</v>
      </c>
    </row>
    <row r="542" spans="5:11" x14ac:dyDescent="0.35">
      <c r="E542" s="9" t="str">
        <v>EPSG</v>
      </c>
      <c r="F542" s="7" t="str">
        <v>2596</v>
      </c>
      <c r="G542" t="str">
        <v>ProjectedCrs</v>
      </c>
      <c r="H542" t="str">
        <v>Transverse Mercator</v>
      </c>
      <c r="I542" t="str">
        <v>Pulkovo 1942 / 3-degree Gauss-Kruger CM 63E</v>
      </c>
      <c r="J542" t="str">
        <v>Kazakhstan, Russian Federation onshore, Turkmenistan and Uzbekistan - between 61°30'E and 64°30'E.</v>
      </c>
      <c r="K542" s="11">
        <v>0</v>
      </c>
    </row>
    <row r="543" spans="5:11" x14ac:dyDescent="0.35">
      <c r="E543" s="9" t="str">
        <v>EPSG</v>
      </c>
      <c r="F543" s="7" t="str">
        <v>2597</v>
      </c>
      <c r="G543" t="str">
        <v>ProjectedCrs</v>
      </c>
      <c r="H543" t="str">
        <v>Transverse Mercator</v>
      </c>
      <c r="I543" t="str">
        <v>Pulkovo 1942 / 3-degree Gauss-Kruger CM 66E</v>
      </c>
      <c r="J543" t="str">
        <v>Kazakhstan, Russian Federation onshore, Tajikistan, Turkmenistan and Uzbekistan - between 64°30'E and 67°30'E.</v>
      </c>
      <c r="K543" s="11">
        <v>0</v>
      </c>
    </row>
    <row r="544" spans="5:11" x14ac:dyDescent="0.35">
      <c r="E544" s="9" t="str">
        <v>EPSG</v>
      </c>
      <c r="F544" s="7" t="str">
        <v>2598</v>
      </c>
      <c r="G544" t="str">
        <v>ProjectedCrs</v>
      </c>
      <c r="H544" t="str">
        <v>Transverse Mercator</v>
      </c>
      <c r="I544" t="str">
        <v>Pulkovo 1942 / 3-degree Gauss-Kruger CM 69E</v>
      </c>
      <c r="J544" t="str">
        <v>Kazakhstan, Kyrgyzstan, Russian Federation onshore, Tajikistan and Uzbekistan - between 67°30'E and 70°30'E.</v>
      </c>
      <c r="K544" s="11">
        <v>0</v>
      </c>
    </row>
    <row r="545" spans="5:11" x14ac:dyDescent="0.35">
      <c r="E545" s="9" t="str">
        <v>EPSG</v>
      </c>
      <c r="F545" s="7" t="str">
        <v>2599</v>
      </c>
      <c r="G545" t="str">
        <v>ProjectedCrs</v>
      </c>
      <c r="H545" t="str">
        <v>Transverse Mercator</v>
      </c>
      <c r="I545" t="str">
        <v>Pulkovo 1942 / 3-degree Gauss-Kruger CM 72E</v>
      </c>
      <c r="J545" t="str">
        <v>Kazakhstan, Kyrgyzstan, Russian Federation onshore, Tajikistan and Uzbekistan - between 70°30'E and 73°30'E.</v>
      </c>
      <c r="K545" s="11">
        <v>0</v>
      </c>
    </row>
    <row r="546" spans="5:11" x14ac:dyDescent="0.35">
      <c r="E546" s="9" t="str">
        <v>EPSG</v>
      </c>
      <c r="F546" s="7" t="str">
        <v>2601</v>
      </c>
      <c r="G546" t="str">
        <v>ProjectedCrs</v>
      </c>
      <c r="H546" t="str">
        <v>Transverse Mercator</v>
      </c>
      <c r="I546" t="str">
        <v>Pulkovo 1942 / 3-degree Gauss-Kruger CM 75E</v>
      </c>
      <c r="J546" t="str">
        <v>Kazakhstan, Kyrgyzstan, Russian Federation onshore and Tajikistan - between 73°30'E and 76°30'E.</v>
      </c>
      <c r="K546" s="11">
        <v>0</v>
      </c>
    </row>
    <row r="547" spans="5:11" x14ac:dyDescent="0.35">
      <c r="E547" s="9" t="str">
        <v>EPSG</v>
      </c>
      <c r="F547" s="7" t="str">
        <v>2602</v>
      </c>
      <c r="G547" t="str">
        <v>ProjectedCrs</v>
      </c>
      <c r="H547" t="str">
        <v>Transverse Mercator</v>
      </c>
      <c r="I547" t="str">
        <v>Pulkovo 1942 / 3-degree Gauss-Kruger CM 78E</v>
      </c>
      <c r="J547" t="str">
        <v>Kazakhstan, Kyrgyzstan and Russian Federation onshore - between 76°30'E and 79°30'E.</v>
      </c>
      <c r="K547" s="11">
        <v>0</v>
      </c>
    </row>
    <row r="548" spans="5:11" x14ac:dyDescent="0.35">
      <c r="E548" s="9" t="str">
        <v>EPSG</v>
      </c>
      <c r="F548" s="7" t="str">
        <v>2603</v>
      </c>
      <c r="G548" t="str">
        <v>ProjectedCrs</v>
      </c>
      <c r="H548" t="str">
        <v>Transverse Mercator</v>
      </c>
      <c r="I548" t="str">
        <v>Pulkovo 1942 / 3-degree Gauss-Kruger CM 81E</v>
      </c>
      <c r="J548" t="str">
        <v>Kazakhstan, Kyrgyzstan and Russian Federation onshore - between 79°30'E and 82°30'E.</v>
      </c>
      <c r="K548" s="11">
        <v>0</v>
      </c>
    </row>
    <row r="549" spans="5:11" x14ac:dyDescent="0.35">
      <c r="E549" s="9" t="str">
        <v>EPSG</v>
      </c>
      <c r="F549" s="7" t="str">
        <v>2604</v>
      </c>
      <c r="G549" t="str">
        <v>ProjectedCrs</v>
      </c>
      <c r="H549" t="str">
        <v>Transverse Mercator</v>
      </c>
      <c r="I549" t="str">
        <v>Pulkovo 1942 / 3-degree Gauss-Kruger CM 84E</v>
      </c>
      <c r="J549" t="str">
        <v>Kazakhstan and Russian Federation onshore - between 82°30'E and 85°30'E.</v>
      </c>
      <c r="K549" s="11">
        <v>0</v>
      </c>
    </row>
    <row r="550" spans="5:11" x14ac:dyDescent="0.35">
      <c r="E550" s="9" t="str">
        <v>EPSG</v>
      </c>
      <c r="F550" s="7" t="str">
        <v>2605</v>
      </c>
      <c r="G550" t="str">
        <v>ProjectedCrs</v>
      </c>
      <c r="H550" t="str">
        <v>Transverse Mercator</v>
      </c>
      <c r="I550" t="str">
        <v>Pulkovo 1942 / 3-degree Gauss-Kruger CM 87E</v>
      </c>
      <c r="J550" t="str">
        <v>Kazakhstan and Russian Federation onshore - between 85°30'E and 88°30'E.</v>
      </c>
      <c r="K550" s="11">
        <v>0</v>
      </c>
    </row>
    <row r="551" spans="5:11" x14ac:dyDescent="0.35">
      <c r="E551" s="9" t="str">
        <v>EPSG</v>
      </c>
      <c r="F551" s="7" t="str">
        <v>2606</v>
      </c>
      <c r="G551" t="str">
        <v>ProjectedCrs</v>
      </c>
      <c r="H551" t="str">
        <v>Transverse Mercator</v>
      </c>
      <c r="I551" t="str">
        <v>Pulkovo 1942 / 3-degree Gauss-Kruger CM 90E</v>
      </c>
      <c r="J551" t="str">
        <v>Russian Federation - onshore between 88°30'E and 91°30'E.</v>
      </c>
      <c r="K551" s="11">
        <v>0</v>
      </c>
    </row>
    <row r="552" spans="5:11" x14ac:dyDescent="0.35">
      <c r="E552" s="9" t="str">
        <v>EPSG</v>
      </c>
      <c r="F552" s="7" t="str">
        <v>2607</v>
      </c>
      <c r="G552" t="str">
        <v>ProjectedCrs</v>
      </c>
      <c r="H552" t="str">
        <v>Transverse Mercator</v>
      </c>
      <c r="I552" t="str">
        <v>Pulkovo 1942 / 3-degree Gauss-Kruger CM 93E</v>
      </c>
      <c r="J552" t="str">
        <v>Russian Federation - onshore between 91°30'E and 94°30'E.</v>
      </c>
      <c r="K552" s="11">
        <v>0</v>
      </c>
    </row>
    <row r="553" spans="5:11" x14ac:dyDescent="0.35">
      <c r="E553" s="9" t="str">
        <v>EPSG</v>
      </c>
      <c r="F553" s="7" t="str">
        <v>2608</v>
      </c>
      <c r="G553" t="str">
        <v>ProjectedCrs</v>
      </c>
      <c r="H553" t="str">
        <v>Transverse Mercator</v>
      </c>
      <c r="I553" t="str">
        <v>Pulkovo 1942 / 3-degree Gauss-Kruger CM 96E</v>
      </c>
      <c r="J553" t="str">
        <v>Russian Federation - onshore between 94°30'E and 97°30'E.</v>
      </c>
      <c r="K553" s="11">
        <v>0</v>
      </c>
    </row>
    <row r="554" spans="5:11" x14ac:dyDescent="0.35">
      <c r="E554" s="9" t="str">
        <v>EPSG</v>
      </c>
      <c r="F554" s="7" t="str">
        <v>2609</v>
      </c>
      <c r="G554" t="str">
        <v>ProjectedCrs</v>
      </c>
      <c r="H554" t="str">
        <v>Transverse Mercator</v>
      </c>
      <c r="I554" t="str">
        <v>Pulkovo 1942 / 3-degree Gauss-Kruger CM 99E</v>
      </c>
      <c r="J554" t="str">
        <v>Russian Federation - onshore between 97°30'E and 100°30'E.</v>
      </c>
      <c r="K554" s="11">
        <v>0</v>
      </c>
    </row>
    <row r="555" spans="5:11" x14ac:dyDescent="0.35">
      <c r="E555" s="9" t="str">
        <v>EPSG</v>
      </c>
      <c r="F555" s="7" t="str">
        <v>2610</v>
      </c>
      <c r="G555" t="str">
        <v>ProjectedCrs</v>
      </c>
      <c r="H555" t="str">
        <v>Transverse Mercator</v>
      </c>
      <c r="I555" t="str">
        <v>Pulkovo 1942 / 3-degree Gauss-Kruger CM 102E</v>
      </c>
      <c r="J555" t="str">
        <v>Russian Federation - onshore between 100°30'E and 103°30'E.</v>
      </c>
      <c r="K555" s="11">
        <v>0</v>
      </c>
    </row>
    <row r="556" spans="5:11" x14ac:dyDescent="0.35">
      <c r="E556" s="9" t="str">
        <v>EPSG</v>
      </c>
      <c r="F556" s="7" t="str">
        <v>2611</v>
      </c>
      <c r="G556" t="str">
        <v>ProjectedCrs</v>
      </c>
      <c r="H556" t="str">
        <v>Transverse Mercator</v>
      </c>
      <c r="I556" t="str">
        <v>Pulkovo 1942 / 3-degree Gauss-Kruger CM 105E</v>
      </c>
      <c r="J556" t="str">
        <v>Russian Federation - onshore between 103°30'E and 106°30'E.</v>
      </c>
      <c r="K556" s="11">
        <v>0</v>
      </c>
    </row>
    <row r="557" spans="5:11" x14ac:dyDescent="0.35">
      <c r="E557" s="9" t="str">
        <v>EPSG</v>
      </c>
      <c r="F557" s="7" t="str">
        <v>2612</v>
      </c>
      <c r="G557" t="str">
        <v>ProjectedCrs</v>
      </c>
      <c r="H557" t="str">
        <v>Transverse Mercator</v>
      </c>
      <c r="I557" t="str">
        <v>Pulkovo 1942 / 3-degree Gauss-Kruger CM 108E</v>
      </c>
      <c r="J557" t="str">
        <v>Russian Federation - onshore between 106°30'E and 109°30'E.</v>
      </c>
      <c r="K557" s="11">
        <v>0</v>
      </c>
    </row>
    <row r="558" spans="5:11" x14ac:dyDescent="0.35">
      <c r="E558" s="9" t="str">
        <v>EPSG</v>
      </c>
      <c r="F558" s="7" t="str">
        <v>2613</v>
      </c>
      <c r="G558" t="str">
        <v>ProjectedCrs</v>
      </c>
      <c r="H558" t="str">
        <v>Transverse Mercator</v>
      </c>
      <c r="I558" t="str">
        <v>Pulkovo 1942 / 3-degree Gauss-Kruger CM 111E</v>
      </c>
      <c r="J558" t="str">
        <v>Russian Federation - onshore between 109°30'E and 112°30'E.</v>
      </c>
      <c r="K558" s="11">
        <v>0</v>
      </c>
    </row>
    <row r="559" spans="5:11" x14ac:dyDescent="0.35">
      <c r="E559" s="9" t="str">
        <v>EPSG</v>
      </c>
      <c r="F559" s="7" t="str">
        <v>2614</v>
      </c>
      <c r="G559" t="str">
        <v>ProjectedCrs</v>
      </c>
      <c r="H559" t="str">
        <v>Transverse Mercator</v>
      </c>
      <c r="I559" t="str">
        <v>Pulkovo 1942 / 3-degree Gauss-Kruger CM 114E</v>
      </c>
      <c r="J559" t="str">
        <v>Russian Federation - onshore between 112°30'E and 115°30'E.</v>
      </c>
      <c r="K559" s="11">
        <v>0</v>
      </c>
    </row>
    <row r="560" spans="5:11" x14ac:dyDescent="0.35">
      <c r="E560" s="9" t="str">
        <v>EPSG</v>
      </c>
      <c r="F560" s="7" t="str">
        <v>2615</v>
      </c>
      <c r="G560" t="str">
        <v>ProjectedCrs</v>
      </c>
      <c r="H560" t="str">
        <v>Transverse Mercator</v>
      </c>
      <c r="I560" t="str">
        <v>Pulkovo 1942 / 3-degree Gauss-Kruger CM 117E</v>
      </c>
      <c r="J560" t="str">
        <v>Russian Federation - onshore between 115°30'E and 118°30'E.</v>
      </c>
      <c r="K560" s="11">
        <v>0</v>
      </c>
    </row>
    <row r="561" spans="5:11" x14ac:dyDescent="0.35">
      <c r="E561" s="9" t="str">
        <v>EPSG</v>
      </c>
      <c r="F561" s="7" t="str">
        <v>2616</v>
      </c>
      <c r="G561" t="str">
        <v>ProjectedCrs</v>
      </c>
      <c r="H561" t="str">
        <v>Transverse Mercator</v>
      </c>
      <c r="I561" t="str">
        <v>Pulkovo 1942 / 3-degree Gauss-Kruger CM 120E</v>
      </c>
      <c r="J561" t="str">
        <v>Russian Federation - onshore between 118°30'E and 121°30'E.</v>
      </c>
      <c r="K561" s="11">
        <v>0</v>
      </c>
    </row>
    <row r="562" spans="5:11" x14ac:dyDescent="0.35">
      <c r="E562" s="9" t="str">
        <v>EPSG</v>
      </c>
      <c r="F562" s="7" t="str">
        <v>2617</v>
      </c>
      <c r="G562" t="str">
        <v>ProjectedCrs</v>
      </c>
      <c r="H562" t="str">
        <v>Transverse Mercator</v>
      </c>
      <c r="I562" t="str">
        <v>Pulkovo 1942 / 3-degree Gauss-Kruger CM 123E</v>
      </c>
      <c r="J562" t="str">
        <v>Russian Federation - onshore between 121°30'E and 124°30'E.</v>
      </c>
      <c r="K562" s="11">
        <v>0</v>
      </c>
    </row>
    <row r="563" spans="5:11" x14ac:dyDescent="0.35">
      <c r="E563" s="9" t="str">
        <v>EPSG</v>
      </c>
      <c r="F563" s="7" t="str">
        <v>2618</v>
      </c>
      <c r="G563" t="str">
        <v>ProjectedCrs</v>
      </c>
      <c r="H563" t="str">
        <v>Transverse Mercator</v>
      </c>
      <c r="I563" t="str">
        <v>Pulkovo 1942 / 3-degree Gauss-Kruger CM 126E</v>
      </c>
      <c r="J563" t="str">
        <v>Russian Federation - onshore between 124°30'E and 127°30'E.</v>
      </c>
      <c r="K563" s="11">
        <v>0</v>
      </c>
    </row>
    <row r="564" spans="5:11" x14ac:dyDescent="0.35">
      <c r="E564" s="9" t="str">
        <v>EPSG</v>
      </c>
      <c r="F564" s="7" t="str">
        <v>2619</v>
      </c>
      <c r="G564" t="str">
        <v>ProjectedCrs</v>
      </c>
      <c r="H564" t="str">
        <v>Transverse Mercator</v>
      </c>
      <c r="I564" t="str">
        <v>Pulkovo 1942 / 3-degree Gauss-Kruger CM 129E</v>
      </c>
      <c r="J564" t="str">
        <v>Russian Federation - onshore between 127°30'E and 130°30'E.</v>
      </c>
      <c r="K564" s="11">
        <v>0</v>
      </c>
    </row>
    <row r="565" spans="5:11" x14ac:dyDescent="0.35">
      <c r="E565" s="9" t="str">
        <v>EPSG</v>
      </c>
      <c r="F565" s="7" t="str">
        <v>2620</v>
      </c>
      <c r="G565" t="str">
        <v>ProjectedCrs</v>
      </c>
      <c r="H565" t="str">
        <v>Transverse Mercator</v>
      </c>
      <c r="I565" t="str">
        <v>Pulkovo 1942 / 3-degree Gauss-Kruger CM 132E</v>
      </c>
      <c r="J565" t="str">
        <v>Russian Federation - onshore between 130°30'E and 133°30'E.</v>
      </c>
      <c r="K565" s="11">
        <v>0</v>
      </c>
    </row>
    <row r="566" spans="5:11" x14ac:dyDescent="0.35">
      <c r="E566" s="9" t="str">
        <v>EPSG</v>
      </c>
      <c r="F566" s="7" t="str">
        <v>2621</v>
      </c>
      <c r="G566" t="str">
        <v>ProjectedCrs</v>
      </c>
      <c r="H566" t="str">
        <v>Transverse Mercator</v>
      </c>
      <c r="I566" t="str">
        <v>Pulkovo 1942 / 3-degree Gauss-Kruger CM 135E</v>
      </c>
      <c r="J566" t="str">
        <v>Russian Federation - onshore between 133°30'E and 136°30'E.</v>
      </c>
      <c r="K566" s="11">
        <v>0</v>
      </c>
    </row>
    <row r="567" spans="5:11" x14ac:dyDescent="0.35">
      <c r="E567" s="9" t="str">
        <v>EPSG</v>
      </c>
      <c r="F567" s="7" t="str">
        <v>2622</v>
      </c>
      <c r="G567" t="str">
        <v>ProjectedCrs</v>
      </c>
      <c r="H567" t="str">
        <v>Transverse Mercator</v>
      </c>
      <c r="I567" t="str">
        <v>Pulkovo 1942 / 3-degree Gauss-Kruger CM 138E</v>
      </c>
      <c r="J567" t="str">
        <v>Russian Federation - onshore between 136°30'E and 139°30'E.</v>
      </c>
      <c r="K567" s="11">
        <v>0</v>
      </c>
    </row>
    <row r="568" spans="5:11" x14ac:dyDescent="0.35">
      <c r="E568" s="9" t="str">
        <v>EPSG</v>
      </c>
      <c r="F568" s="7" t="str">
        <v>2623</v>
      </c>
      <c r="G568" t="str">
        <v>ProjectedCrs</v>
      </c>
      <c r="H568" t="str">
        <v>Transverse Mercator</v>
      </c>
      <c r="I568" t="str">
        <v>Pulkovo 1942 / 3-degree Gauss-Kruger CM 141E</v>
      </c>
      <c r="J568" t="str">
        <v>Russian Federation - onshore between 139°30'E and 142°30'E.</v>
      </c>
      <c r="K568" s="11">
        <v>0</v>
      </c>
    </row>
    <row r="569" spans="5:11" x14ac:dyDescent="0.35">
      <c r="E569" s="9" t="str">
        <v>EPSG</v>
      </c>
      <c r="F569" s="7" t="str">
        <v>2624</v>
      </c>
      <c r="G569" t="str">
        <v>ProjectedCrs</v>
      </c>
      <c r="H569" t="str">
        <v>Transverse Mercator</v>
      </c>
      <c r="I569" t="str">
        <v>Pulkovo 1942 / 3-degree Gauss-Kruger CM 144E</v>
      </c>
      <c r="J569" t="str">
        <v>Russian Federation - onshore between 142°30'E and 145°30'E.</v>
      </c>
      <c r="K569" s="11">
        <v>0</v>
      </c>
    </row>
    <row r="570" spans="5:11" x14ac:dyDescent="0.35">
      <c r="E570" s="9" t="str">
        <v>EPSG</v>
      </c>
      <c r="F570" s="7" t="str">
        <v>2625</v>
      </c>
      <c r="G570" t="str">
        <v>ProjectedCrs</v>
      </c>
      <c r="H570" t="str">
        <v>Transverse Mercator</v>
      </c>
      <c r="I570" t="str">
        <v>Pulkovo 1942 / 3-degree Gauss-Kruger CM 147E</v>
      </c>
      <c r="J570" t="str">
        <v>Russian Federation - onshore between 145°30'E and 148°30'E.</v>
      </c>
      <c r="K570" s="11">
        <v>0</v>
      </c>
    </row>
    <row r="571" spans="5:11" x14ac:dyDescent="0.35">
      <c r="E571" s="9" t="str">
        <v>EPSG</v>
      </c>
      <c r="F571" s="7" t="str">
        <v>2626</v>
      </c>
      <c r="G571" t="str">
        <v>ProjectedCrs</v>
      </c>
      <c r="H571" t="str">
        <v>Transverse Mercator</v>
      </c>
      <c r="I571" t="str">
        <v>Pulkovo 1942 / 3-degree Gauss-Kruger CM 150E</v>
      </c>
      <c r="J571" t="str">
        <v>Russian Federation - onshore between 148°30'E and 151°30'E.</v>
      </c>
      <c r="K571" s="11">
        <v>0</v>
      </c>
    </row>
    <row r="572" spans="5:11" x14ac:dyDescent="0.35">
      <c r="E572" s="9" t="str">
        <v>EPSG</v>
      </c>
      <c r="F572" s="7" t="str">
        <v>2627</v>
      </c>
      <c r="G572" t="str">
        <v>ProjectedCrs</v>
      </c>
      <c r="H572" t="str">
        <v>Transverse Mercator</v>
      </c>
      <c r="I572" t="str">
        <v>Pulkovo 1942 / 3-degree Gauss-Kruger CM 153E</v>
      </c>
      <c r="J572" t="str">
        <v>Russian Federation - onshore between 151°30'E and 154°30'E.</v>
      </c>
      <c r="K572" s="11">
        <v>0</v>
      </c>
    </row>
    <row r="573" spans="5:11" x14ac:dyDescent="0.35">
      <c r="E573" s="9" t="str">
        <v>EPSG</v>
      </c>
      <c r="F573" s="7" t="str">
        <v>2628</v>
      </c>
      <c r="G573" t="str">
        <v>ProjectedCrs</v>
      </c>
      <c r="H573" t="str">
        <v>Transverse Mercator</v>
      </c>
      <c r="I573" t="str">
        <v>Pulkovo 1942 / 3-degree Gauss-Kruger CM 156E</v>
      </c>
      <c r="J573" t="str">
        <v>Russian Federation - onshore between 154°30'E and 157°30'E.</v>
      </c>
      <c r="K573" s="11">
        <v>0</v>
      </c>
    </row>
    <row r="574" spans="5:11" x14ac:dyDescent="0.35">
      <c r="E574" s="9" t="str">
        <v>EPSG</v>
      </c>
      <c r="F574" s="7" t="str">
        <v>2629</v>
      </c>
      <c r="G574" t="str">
        <v>ProjectedCrs</v>
      </c>
      <c r="H574" t="str">
        <v>Transverse Mercator</v>
      </c>
      <c r="I574" t="str">
        <v>Pulkovo 1942 / 3-degree Gauss-Kruger CM 159E</v>
      </c>
      <c r="J574" t="str">
        <v>Russian Federation - onshore between 157°30'E and 160°30'E.</v>
      </c>
      <c r="K574" s="11">
        <v>0</v>
      </c>
    </row>
    <row r="575" spans="5:11" x14ac:dyDescent="0.35">
      <c r="E575" s="9" t="str">
        <v>EPSG</v>
      </c>
      <c r="F575" s="7" t="str">
        <v>2630</v>
      </c>
      <c r="G575" t="str">
        <v>ProjectedCrs</v>
      </c>
      <c r="H575" t="str">
        <v>Transverse Mercator</v>
      </c>
      <c r="I575" t="str">
        <v>Pulkovo 1942 / 3-degree Gauss-Kruger CM 162E</v>
      </c>
      <c r="J575" t="str">
        <v>Russian Federation - onshore between 160°30'E and 163°30'E.</v>
      </c>
      <c r="K575" s="11">
        <v>0</v>
      </c>
    </row>
    <row r="576" spans="5:11" x14ac:dyDescent="0.35">
      <c r="E576" s="9" t="str">
        <v>EPSG</v>
      </c>
      <c r="F576" s="7" t="str">
        <v>2631</v>
      </c>
      <c r="G576" t="str">
        <v>ProjectedCrs</v>
      </c>
      <c r="H576" t="str">
        <v>Transverse Mercator</v>
      </c>
      <c r="I576" t="str">
        <v>Pulkovo 1942 / 3-degree Gauss-Kruger CM 165E</v>
      </c>
      <c r="J576" t="str">
        <v>Russian Federation - onshore between 163°30'E and 166°30'E.</v>
      </c>
      <c r="K576" s="11">
        <v>0</v>
      </c>
    </row>
    <row r="577" spans="5:11" x14ac:dyDescent="0.35">
      <c r="E577" s="9" t="str">
        <v>EPSG</v>
      </c>
      <c r="F577" s="7" t="str">
        <v>2632</v>
      </c>
      <c r="G577" t="str">
        <v>ProjectedCrs</v>
      </c>
      <c r="H577" t="str">
        <v>Transverse Mercator</v>
      </c>
      <c r="I577" t="str">
        <v>Pulkovo 1942 / 3-degree Gauss-Kruger CM 168E</v>
      </c>
      <c r="J577" t="str">
        <v>Russian Federation - onshore between 166°30'E and 169°30'E.</v>
      </c>
      <c r="K577" s="11">
        <v>0</v>
      </c>
    </row>
    <row r="578" spans="5:11" x14ac:dyDescent="0.35">
      <c r="E578" s="9" t="str">
        <v>EPSG</v>
      </c>
      <c r="F578" s="7" t="str">
        <v>2633</v>
      </c>
      <c r="G578" t="str">
        <v>ProjectedCrs</v>
      </c>
      <c r="H578" t="str">
        <v>Transverse Mercator</v>
      </c>
      <c r="I578" t="str">
        <v>Pulkovo 1942 / 3-degree Gauss-Kruger CM 171E</v>
      </c>
      <c r="J578" t="str">
        <v>Russian Federation - onshore between 169°30'E and 172°30'E.</v>
      </c>
      <c r="K578" s="11">
        <v>0</v>
      </c>
    </row>
    <row r="579" spans="5:11" x14ac:dyDescent="0.35">
      <c r="E579" s="9" t="str">
        <v>EPSG</v>
      </c>
      <c r="F579" s="7" t="str">
        <v>2634</v>
      </c>
      <c r="G579" t="str">
        <v>ProjectedCrs</v>
      </c>
      <c r="H579" t="str">
        <v>Transverse Mercator</v>
      </c>
      <c r="I579" t="str">
        <v>Pulkovo 1942 / 3-degree Gauss-Kruger CM 174E</v>
      </c>
      <c r="J579" t="str">
        <v>Russian Federation - onshore between 172°30'E and 175°30'E.</v>
      </c>
      <c r="K579" s="11">
        <v>0</v>
      </c>
    </row>
    <row r="580" spans="5:11" x14ac:dyDescent="0.35">
      <c r="E580" s="9" t="str">
        <v>EPSG</v>
      </c>
      <c r="F580" s="7" t="str">
        <v>2635</v>
      </c>
      <c r="G580" t="str">
        <v>ProjectedCrs</v>
      </c>
      <c r="H580" t="str">
        <v>Transverse Mercator</v>
      </c>
      <c r="I580" t="str">
        <v>Pulkovo 1942 / 3-degree Gauss-Kruger CM 177E</v>
      </c>
      <c r="J580" t="str">
        <v>Russian Federation - onshore between 175°30'E and 178°30'E.</v>
      </c>
      <c r="K580" s="11">
        <v>0</v>
      </c>
    </row>
    <row r="581" spans="5:11" x14ac:dyDescent="0.35">
      <c r="E581" s="9" t="str">
        <v>EPSG</v>
      </c>
      <c r="F581" s="7" t="str">
        <v>2636</v>
      </c>
      <c r="G581" t="str">
        <v>ProjectedCrs</v>
      </c>
      <c r="H581" t="str">
        <v>Transverse Mercator</v>
      </c>
      <c r="I581" t="str">
        <v>Pulkovo 1942 / 3-degree Gauss-Kruger CM 180E</v>
      </c>
      <c r="J581" t="str">
        <v>Russian Federation - onshore between 178°30'E and 178°30'W.</v>
      </c>
      <c r="K581" s="11">
        <v>0</v>
      </c>
    </row>
    <row r="582" spans="5:11" x14ac:dyDescent="0.35">
      <c r="E582" s="9" t="str">
        <v>EPSG</v>
      </c>
      <c r="F582" s="7" t="str">
        <v>2637</v>
      </c>
      <c r="G582" t="str">
        <v>ProjectedCrs</v>
      </c>
      <c r="H582" t="str">
        <v>Transverse Mercator</v>
      </c>
      <c r="I582" t="str">
        <v>Pulkovo 1942 / 3-degree Gauss-Kruger CM 177W</v>
      </c>
      <c r="J582" t="str">
        <v>Russian Federation - onshore between 178°30'W and 175°30'W.</v>
      </c>
      <c r="K582" s="11">
        <v>0</v>
      </c>
    </row>
    <row r="583" spans="5:11" x14ac:dyDescent="0.35">
      <c r="E583" s="9" t="str">
        <v>EPSG</v>
      </c>
      <c r="F583" s="7" t="str">
        <v>2638</v>
      </c>
      <c r="G583" t="str">
        <v>ProjectedCrs</v>
      </c>
      <c r="H583" t="str">
        <v>Transverse Mercator</v>
      </c>
      <c r="I583" t="str">
        <v>Pulkovo 1942 / 3-degree Gauss-Kruger CM 174W</v>
      </c>
      <c r="J583" t="str">
        <v>Russian Federation - onshore between 175°30'W and 172°30'W.</v>
      </c>
      <c r="K583" s="11">
        <v>0</v>
      </c>
    </row>
    <row r="584" spans="5:11" x14ac:dyDescent="0.35">
      <c r="E584" s="9" t="str">
        <v>EPSG</v>
      </c>
      <c r="F584" s="7" t="str">
        <v>2639</v>
      </c>
      <c r="G584" t="str">
        <v>ProjectedCrs</v>
      </c>
      <c r="H584" t="str">
        <v>Transverse Mercator</v>
      </c>
      <c r="I584" t="str">
        <v>Pulkovo 1942 / 3-degree Gauss-Kruger CM 171W</v>
      </c>
      <c r="J584" t="str">
        <v>Russian Federation - onshore between 172°30'W and 169°30'W.</v>
      </c>
      <c r="K584" s="11">
        <v>0</v>
      </c>
    </row>
    <row r="585" spans="5:11" x14ac:dyDescent="0.35">
      <c r="E585" s="9" t="str">
        <v>EPSG</v>
      </c>
      <c r="F585" s="7" t="str">
        <v>2640</v>
      </c>
      <c r="G585" t="str">
        <v>ProjectedCrs</v>
      </c>
      <c r="H585" t="str">
        <v>Transverse Mercator</v>
      </c>
      <c r="I585" t="str">
        <v>Pulkovo 1942 / 3-degree Gauss-Kruger CM 168W</v>
      </c>
      <c r="J585" t="str">
        <v>Russian Federation - onshore between 169°30'W and 166°30'W.</v>
      </c>
      <c r="K585" s="11">
        <v>0</v>
      </c>
    </row>
    <row r="586" spans="5:11" x14ac:dyDescent="0.35">
      <c r="E586" s="9" t="str">
        <v>EPSG</v>
      </c>
      <c r="F586" s="7" t="str">
        <v>2641</v>
      </c>
      <c r="G586" t="str">
        <v>ProjectedCrs</v>
      </c>
      <c r="H586" t="str">
        <v>Transverse Mercator</v>
      </c>
      <c r="I586" t="str">
        <v>Pulkovo 1995 / 3-degree Gauss-Kruger zone 7</v>
      </c>
      <c r="J586" t="str">
        <v>Russian Federation - Kaliningrad - onshore between 19°30'E and 22°30'E.</v>
      </c>
      <c r="K586" s="11">
        <v>0</v>
      </c>
    </row>
    <row r="587" spans="5:11" x14ac:dyDescent="0.35">
      <c r="E587" s="9" t="str">
        <v>EPSG</v>
      </c>
      <c r="F587" s="7" t="str">
        <v>2642</v>
      </c>
      <c r="G587" t="str">
        <v>ProjectedCrs</v>
      </c>
      <c r="H587" t="str">
        <v>Transverse Mercator</v>
      </c>
      <c r="I587" t="str">
        <v>Pulkovo 1995 / 3-degree Gauss-Kruger zone 8</v>
      </c>
      <c r="J587" t="str">
        <v>Russian Federation - onshore between 22°30'E and 25°30'E - Kaliningrad.</v>
      </c>
      <c r="K587" s="11">
        <v>0</v>
      </c>
    </row>
    <row r="588" spans="5:11" x14ac:dyDescent="0.35">
      <c r="E588" s="9" t="str">
        <v>EPSG</v>
      </c>
      <c r="F588" s="7" t="str">
        <v>2643</v>
      </c>
      <c r="G588" t="str">
        <v>ProjectedCrs</v>
      </c>
      <c r="H588" t="str">
        <v>Transverse Mercator</v>
      </c>
      <c r="I588" t="str">
        <v>Pulkovo 1995 / 3-degree Gauss-Kruger zone 9</v>
      </c>
      <c r="J588" t="str">
        <v>Russian Federation - onshore between 25°30'E and 28°30'E.</v>
      </c>
      <c r="K588" s="11">
        <v>0</v>
      </c>
    </row>
    <row r="589" spans="5:11" x14ac:dyDescent="0.35">
      <c r="E589" s="9" t="str">
        <v>EPSG</v>
      </c>
      <c r="F589" s="7" t="str">
        <v>2644</v>
      </c>
      <c r="G589" t="str">
        <v>ProjectedCrs</v>
      </c>
      <c r="H589" t="str">
        <v>Transverse Mercator</v>
      </c>
      <c r="I589" t="str">
        <v>Pulkovo 1995 / 3-degree Gauss-Kruger zone 10</v>
      </c>
      <c r="J589" t="str">
        <v>Russian Federation - onshore between 28°30'E and 31°30'E.</v>
      </c>
      <c r="K589" s="11">
        <v>0</v>
      </c>
    </row>
    <row r="590" spans="5:11" x14ac:dyDescent="0.35">
      <c r="E590" s="9" t="str">
        <v>EPSG</v>
      </c>
      <c r="F590" s="7" t="str">
        <v>2645</v>
      </c>
      <c r="G590" t="str">
        <v>ProjectedCrs</v>
      </c>
      <c r="H590" t="str">
        <v>Transverse Mercator</v>
      </c>
      <c r="I590" t="str">
        <v>Pulkovo 1995 / 3-degree Gauss-Kruger zone 11</v>
      </c>
      <c r="J590" t="str">
        <v>Russian Federation - onshore between 31°30'E and 34°30'E.</v>
      </c>
      <c r="K590" s="11">
        <v>0</v>
      </c>
    </row>
    <row r="591" spans="5:11" x14ac:dyDescent="0.35">
      <c r="E591" s="9" t="str">
        <v>EPSG</v>
      </c>
      <c r="F591" s="7" t="str">
        <v>2646</v>
      </c>
      <c r="G591" t="str">
        <v>ProjectedCrs</v>
      </c>
      <c r="H591" t="str">
        <v>Transverse Mercator</v>
      </c>
      <c r="I591" t="str">
        <v>Pulkovo 1995 / 3-degree Gauss-Kruger zone 12</v>
      </c>
      <c r="J591" t="str">
        <v>Russian Federation - onshore between 34°30'E and 37°30'E.</v>
      </c>
      <c r="K591" s="11">
        <v>0</v>
      </c>
    </row>
    <row r="592" spans="5:11" x14ac:dyDescent="0.35">
      <c r="E592" s="9" t="str">
        <v>EPSG</v>
      </c>
      <c r="F592" s="7" t="str">
        <v>2647</v>
      </c>
      <c r="G592" t="str">
        <v>ProjectedCrs</v>
      </c>
      <c r="H592" t="str">
        <v>Transverse Mercator</v>
      </c>
      <c r="I592" t="str">
        <v>Pulkovo 1995 / 3-degree Gauss-Kruger zone 13</v>
      </c>
      <c r="J592" t="str">
        <v>Russian Federation - onshore between 37°30'E and 40°30'E.</v>
      </c>
      <c r="K592" s="11">
        <v>0</v>
      </c>
    </row>
    <row r="593" spans="5:11" x14ac:dyDescent="0.35">
      <c r="E593" s="9" t="str">
        <v>EPSG</v>
      </c>
      <c r="F593" s="7" t="str">
        <v>2648</v>
      </c>
      <c r="G593" t="str">
        <v>ProjectedCrs</v>
      </c>
      <c r="H593" t="str">
        <v>Transverse Mercator</v>
      </c>
      <c r="I593" t="str">
        <v>Pulkovo 1995 / 3-degree Gauss-Kruger zone 14</v>
      </c>
      <c r="J593" t="str">
        <v>Russian Federation - onshore between 40°30'E and 43°30'E.</v>
      </c>
      <c r="K593" s="11">
        <v>0</v>
      </c>
    </row>
    <row r="594" spans="5:11" x14ac:dyDescent="0.35">
      <c r="E594" s="9" t="str">
        <v>EPSG</v>
      </c>
      <c r="F594" s="7" t="str">
        <v>2649</v>
      </c>
      <c r="G594" t="str">
        <v>ProjectedCrs</v>
      </c>
      <c r="H594" t="str">
        <v>Transverse Mercator</v>
      </c>
      <c r="I594" t="str">
        <v>Pulkovo 1995 / 3-degree Gauss-Kruger zone 15</v>
      </c>
      <c r="J594" t="str">
        <v>Russian Federation - onshore between 43°30'E and 46°30'E.</v>
      </c>
      <c r="K594" s="11">
        <v>0</v>
      </c>
    </row>
    <row r="595" spans="5:11" x14ac:dyDescent="0.35">
      <c r="E595" s="9" t="str">
        <v>EPSG</v>
      </c>
      <c r="F595" s="7" t="str">
        <v>2650</v>
      </c>
      <c r="G595" t="str">
        <v>ProjectedCrs</v>
      </c>
      <c r="H595" t="str">
        <v>Transverse Mercator</v>
      </c>
      <c r="I595" t="str">
        <v>Pulkovo 1995 / 3-degree Gauss-Kruger zone 16</v>
      </c>
      <c r="J595" t="str">
        <v>Russian Federation - onshore between 46°30'E and 49°30'E.</v>
      </c>
      <c r="K595" s="11">
        <v>0</v>
      </c>
    </row>
    <row r="596" spans="5:11" x14ac:dyDescent="0.35">
      <c r="E596" s="9" t="str">
        <v>EPSG</v>
      </c>
      <c r="F596" s="7" t="str">
        <v>2651</v>
      </c>
      <c r="G596" t="str">
        <v>ProjectedCrs</v>
      </c>
      <c r="H596" t="str">
        <v>Transverse Mercator</v>
      </c>
      <c r="I596" t="str">
        <v>Pulkovo 1995 / 3-degree Gauss-Kruger zone 17</v>
      </c>
      <c r="J596" t="str">
        <v>Russian Federation - onshore between 49°30'E and 52°30'E.</v>
      </c>
      <c r="K596" s="11">
        <v>0</v>
      </c>
    </row>
    <row r="597" spans="5:11" x14ac:dyDescent="0.35">
      <c r="E597" s="9" t="str">
        <v>EPSG</v>
      </c>
      <c r="F597" s="7" t="str">
        <v>2652</v>
      </c>
      <c r="G597" t="str">
        <v>ProjectedCrs</v>
      </c>
      <c r="H597" t="str">
        <v>Transverse Mercator</v>
      </c>
      <c r="I597" t="str">
        <v>Pulkovo 1995 / 3-degree Gauss-Kruger zone 18</v>
      </c>
      <c r="J597" t="str">
        <v>Russian Federation - onshore between 52°30'E and 55°30'E.</v>
      </c>
      <c r="K597" s="11">
        <v>0</v>
      </c>
    </row>
    <row r="598" spans="5:11" x14ac:dyDescent="0.35">
      <c r="E598" s="9" t="str">
        <v>EPSG</v>
      </c>
      <c r="F598" s="7" t="str">
        <v>2653</v>
      </c>
      <c r="G598" t="str">
        <v>ProjectedCrs</v>
      </c>
      <c r="H598" t="str">
        <v>Transverse Mercator</v>
      </c>
      <c r="I598" t="str">
        <v>Pulkovo 1995 / 3-degree Gauss-Kruger zone 19</v>
      </c>
      <c r="J598" t="str">
        <v>Russian Federation - onshore between 55°30'E and 58°30'E.</v>
      </c>
      <c r="K598" s="11">
        <v>0</v>
      </c>
    </row>
    <row r="599" spans="5:11" x14ac:dyDescent="0.35">
      <c r="E599" s="9" t="str">
        <v>EPSG</v>
      </c>
      <c r="F599" s="7" t="str">
        <v>2654</v>
      </c>
      <c r="G599" t="str">
        <v>ProjectedCrs</v>
      </c>
      <c r="H599" t="str">
        <v>Transverse Mercator</v>
      </c>
      <c r="I599" t="str">
        <v>Pulkovo 1995 / 3-degree Gauss-Kruger zone 20</v>
      </c>
      <c r="J599" t="str">
        <v>Russian Federation - onshore between 58°30'E and 61°30'E.</v>
      </c>
      <c r="K599" s="11">
        <v>0</v>
      </c>
    </row>
    <row r="600" spans="5:11" x14ac:dyDescent="0.35">
      <c r="E600" s="9" t="str">
        <v>EPSG</v>
      </c>
      <c r="F600" s="7" t="str">
        <v>2655</v>
      </c>
      <c r="G600" t="str">
        <v>ProjectedCrs</v>
      </c>
      <c r="H600" t="str">
        <v>Transverse Mercator</v>
      </c>
      <c r="I600" t="str">
        <v>Pulkovo 1995 / 3-degree Gauss-Kruger zone 21</v>
      </c>
      <c r="J600" t="str">
        <v>Russian Federation - onshore between 61°30'E and 64°30'E.</v>
      </c>
      <c r="K600" s="11">
        <v>0</v>
      </c>
    </row>
    <row r="601" spans="5:11" x14ac:dyDescent="0.35">
      <c r="E601" s="9" t="str">
        <v>EPSG</v>
      </c>
      <c r="F601" s="7" t="str">
        <v>2656</v>
      </c>
      <c r="G601" t="str">
        <v>ProjectedCrs</v>
      </c>
      <c r="H601" t="str">
        <v>Transverse Mercator</v>
      </c>
      <c r="I601" t="str">
        <v>Pulkovo 1995 / 3-degree Gauss-Kruger zone 22</v>
      </c>
      <c r="J601" t="str">
        <v>Russian Federation - onshore between 64°30'E and 67°30'E.</v>
      </c>
      <c r="K601" s="11">
        <v>0</v>
      </c>
    </row>
    <row r="602" spans="5:11" x14ac:dyDescent="0.35">
      <c r="E602" s="9" t="str">
        <v>EPSG</v>
      </c>
      <c r="F602" s="7" t="str">
        <v>2657</v>
      </c>
      <c r="G602" t="str">
        <v>ProjectedCrs</v>
      </c>
      <c r="H602" t="str">
        <v>Transverse Mercator</v>
      </c>
      <c r="I602" t="str">
        <v>Pulkovo 1995 / 3-degree Gauss-Kruger zone 23</v>
      </c>
      <c r="J602" t="str">
        <v>Russian Federation - onshore between 67°30'E and 70°30'E.</v>
      </c>
      <c r="K602" s="11">
        <v>0</v>
      </c>
    </row>
    <row r="603" spans="5:11" x14ac:dyDescent="0.35">
      <c r="E603" s="9" t="str">
        <v>EPSG</v>
      </c>
      <c r="F603" s="7" t="str">
        <v>2658</v>
      </c>
      <c r="G603" t="str">
        <v>ProjectedCrs</v>
      </c>
      <c r="H603" t="str">
        <v>Transverse Mercator</v>
      </c>
      <c r="I603" t="str">
        <v>Pulkovo 1995 / 3-degree Gauss-Kruger zone 24</v>
      </c>
      <c r="J603" t="str">
        <v>Russian Federation - onshore between 70°30'E and 73°30'E.</v>
      </c>
      <c r="K603" s="11">
        <v>0</v>
      </c>
    </row>
    <row r="604" spans="5:11" x14ac:dyDescent="0.35">
      <c r="E604" s="9" t="str">
        <v>EPSG</v>
      </c>
      <c r="F604" s="7" t="str">
        <v>2659</v>
      </c>
      <c r="G604" t="str">
        <v>ProjectedCrs</v>
      </c>
      <c r="H604" t="str">
        <v>Transverse Mercator</v>
      </c>
      <c r="I604" t="str">
        <v>Pulkovo 1995 / 3-degree Gauss-Kruger zone 25</v>
      </c>
      <c r="J604" t="str">
        <v>Russian Federation - onshore between 73°30'E and 76°30'E.</v>
      </c>
      <c r="K604" s="11">
        <v>0</v>
      </c>
    </row>
    <row r="605" spans="5:11" x14ac:dyDescent="0.35">
      <c r="E605" s="9" t="str">
        <v>EPSG</v>
      </c>
      <c r="F605" s="7" t="str">
        <v>2660</v>
      </c>
      <c r="G605" t="str">
        <v>ProjectedCrs</v>
      </c>
      <c r="H605" t="str">
        <v>Transverse Mercator</v>
      </c>
      <c r="I605" t="str">
        <v>Pulkovo 1995 / 3-degree Gauss-Kruger zone 26</v>
      </c>
      <c r="J605" t="str">
        <v>Russian Federation - onshore between 76°30'E and 79°30'E.</v>
      </c>
      <c r="K605" s="11">
        <v>0</v>
      </c>
    </row>
    <row r="606" spans="5:11" x14ac:dyDescent="0.35">
      <c r="E606" s="9" t="str">
        <v>EPSG</v>
      </c>
      <c r="F606" s="7" t="str">
        <v>2661</v>
      </c>
      <c r="G606" t="str">
        <v>ProjectedCrs</v>
      </c>
      <c r="H606" t="str">
        <v>Transverse Mercator</v>
      </c>
      <c r="I606" t="str">
        <v>Pulkovo 1995 / 3-degree Gauss-Kruger zone 27</v>
      </c>
      <c r="J606" t="str">
        <v>Russian Federation - onshore between 79°30'E and 82°30'E.</v>
      </c>
      <c r="K606" s="11">
        <v>0</v>
      </c>
    </row>
    <row r="607" spans="5:11" x14ac:dyDescent="0.35">
      <c r="E607" s="9" t="str">
        <v>EPSG</v>
      </c>
      <c r="F607" s="7" t="str">
        <v>2662</v>
      </c>
      <c r="G607" t="str">
        <v>ProjectedCrs</v>
      </c>
      <c r="H607" t="str">
        <v>Transverse Mercator</v>
      </c>
      <c r="I607" t="str">
        <v>Pulkovo 1995 / 3-degree Gauss-Kruger zone 28</v>
      </c>
      <c r="J607" t="str">
        <v>Russian Federation - onshore between 82°30'E and 85°30'E.</v>
      </c>
      <c r="K607" s="11">
        <v>0</v>
      </c>
    </row>
    <row r="608" spans="5:11" x14ac:dyDescent="0.35">
      <c r="E608" s="9" t="str">
        <v>EPSG</v>
      </c>
      <c r="F608" s="7" t="str">
        <v>2663</v>
      </c>
      <c r="G608" t="str">
        <v>ProjectedCrs</v>
      </c>
      <c r="H608" t="str">
        <v>Transverse Mercator</v>
      </c>
      <c r="I608" t="str">
        <v>Pulkovo 1995 / 3-degree Gauss-Kruger zone 29</v>
      </c>
      <c r="J608" t="str">
        <v>Russian Federation - onshore between 85°30'E and 88°30'E.</v>
      </c>
      <c r="K608" s="11">
        <v>0</v>
      </c>
    </row>
    <row r="609" spans="5:11" x14ac:dyDescent="0.35">
      <c r="E609" s="9" t="str">
        <v>EPSG</v>
      </c>
      <c r="F609" s="7" t="str">
        <v>2664</v>
      </c>
      <c r="G609" t="str">
        <v>ProjectedCrs</v>
      </c>
      <c r="H609" t="str">
        <v>Transverse Mercator</v>
      </c>
      <c r="I609" t="str">
        <v>Pulkovo 1995 / 3-degree Gauss-Kruger zone 30</v>
      </c>
      <c r="J609" t="str">
        <v>Russian Federation - onshore between 88°30'E and 91°30'E.</v>
      </c>
      <c r="K609" s="11">
        <v>0</v>
      </c>
    </row>
    <row r="610" spans="5:11" x14ac:dyDescent="0.35">
      <c r="E610" s="9" t="str">
        <v>EPSG</v>
      </c>
      <c r="F610" s="7" t="str">
        <v>2665</v>
      </c>
      <c r="G610" t="str">
        <v>ProjectedCrs</v>
      </c>
      <c r="H610" t="str">
        <v>Transverse Mercator</v>
      </c>
      <c r="I610" t="str">
        <v>Pulkovo 1995 / 3-degree Gauss-Kruger zone 31</v>
      </c>
      <c r="J610" t="str">
        <v>Russian Federation - onshore between 91°30'E and 94°30'E.</v>
      </c>
      <c r="K610" s="11">
        <v>0</v>
      </c>
    </row>
    <row r="611" spans="5:11" x14ac:dyDescent="0.35">
      <c r="E611" s="9" t="str">
        <v>EPSG</v>
      </c>
      <c r="F611" s="7" t="str">
        <v>2666</v>
      </c>
      <c r="G611" t="str">
        <v>ProjectedCrs</v>
      </c>
      <c r="H611" t="str">
        <v>Transverse Mercator</v>
      </c>
      <c r="I611" t="str">
        <v>Pulkovo 1995 / 3-degree Gauss-Kruger zone 32</v>
      </c>
      <c r="J611" t="str">
        <v>Russian Federation - onshore between 94°30'E and 97°30'E.</v>
      </c>
      <c r="K611" s="11">
        <v>0</v>
      </c>
    </row>
    <row r="612" spans="5:11" x14ac:dyDescent="0.35">
      <c r="E612" s="9" t="str">
        <v>EPSG</v>
      </c>
      <c r="F612" s="7" t="str">
        <v>2667</v>
      </c>
      <c r="G612" t="str">
        <v>ProjectedCrs</v>
      </c>
      <c r="H612" t="str">
        <v>Transverse Mercator</v>
      </c>
      <c r="I612" t="str">
        <v>Pulkovo 1995 / 3-degree Gauss-Kruger zone 33</v>
      </c>
      <c r="J612" t="str">
        <v>Russian Federation - onshore between 97°30'E and 100°30'E.</v>
      </c>
      <c r="K612" s="11">
        <v>0</v>
      </c>
    </row>
    <row r="613" spans="5:11" x14ac:dyDescent="0.35">
      <c r="E613" s="9" t="str">
        <v>EPSG</v>
      </c>
      <c r="F613" s="7" t="str">
        <v>2668</v>
      </c>
      <c r="G613" t="str">
        <v>ProjectedCrs</v>
      </c>
      <c r="H613" t="str">
        <v>Transverse Mercator</v>
      </c>
      <c r="I613" t="str">
        <v>Pulkovo 1995 / 3-degree Gauss-Kruger zone 34</v>
      </c>
      <c r="J613" t="str">
        <v>Russian Federation - onshore between 100°30'E and 103°30'E.</v>
      </c>
      <c r="K613" s="11">
        <v>0</v>
      </c>
    </row>
    <row r="614" spans="5:11" x14ac:dyDescent="0.35">
      <c r="E614" s="9" t="str">
        <v>EPSG</v>
      </c>
      <c r="F614" s="7" t="str">
        <v>2669</v>
      </c>
      <c r="G614" t="str">
        <v>ProjectedCrs</v>
      </c>
      <c r="H614" t="str">
        <v>Transverse Mercator</v>
      </c>
      <c r="I614" t="str">
        <v>Pulkovo 1995 / 3-degree Gauss-Kruger zone 35</v>
      </c>
      <c r="J614" t="str">
        <v>Russian Federation - onshore between 103°30'E and 106°30'E.</v>
      </c>
      <c r="K614" s="11">
        <v>0</v>
      </c>
    </row>
    <row r="615" spans="5:11" x14ac:dyDescent="0.35">
      <c r="E615" s="9" t="str">
        <v>EPSG</v>
      </c>
      <c r="F615" s="7" t="str">
        <v>2670</v>
      </c>
      <c r="G615" t="str">
        <v>ProjectedCrs</v>
      </c>
      <c r="H615" t="str">
        <v>Transverse Mercator</v>
      </c>
      <c r="I615" t="str">
        <v>Pulkovo 1995 / 3-degree Gauss-Kruger zone 36</v>
      </c>
      <c r="J615" t="str">
        <v>Russian Federation - onshore between 106°30'E and 109°30'E.</v>
      </c>
      <c r="K615" s="11">
        <v>0</v>
      </c>
    </row>
    <row r="616" spans="5:11" x14ac:dyDescent="0.35">
      <c r="E616" s="9" t="str">
        <v>EPSG</v>
      </c>
      <c r="F616" s="7" t="str">
        <v>2671</v>
      </c>
      <c r="G616" t="str">
        <v>ProjectedCrs</v>
      </c>
      <c r="H616" t="str">
        <v>Transverse Mercator</v>
      </c>
      <c r="I616" t="str">
        <v>Pulkovo 1995 / 3-degree Gauss-Kruger zone 37</v>
      </c>
      <c r="J616" t="str">
        <v>Russian Federation - onshore between 109°30'E and 112°30'E.</v>
      </c>
      <c r="K616" s="11">
        <v>0</v>
      </c>
    </row>
    <row r="617" spans="5:11" x14ac:dyDescent="0.35">
      <c r="E617" s="9" t="str">
        <v>EPSG</v>
      </c>
      <c r="F617" s="7" t="str">
        <v>2672</v>
      </c>
      <c r="G617" t="str">
        <v>ProjectedCrs</v>
      </c>
      <c r="H617" t="str">
        <v>Transverse Mercator</v>
      </c>
      <c r="I617" t="str">
        <v>Pulkovo 1995 / 3-degree Gauss-Kruger zone 38</v>
      </c>
      <c r="J617" t="str">
        <v>Russian Federation - onshore between 112°30'E and 115°30'E.</v>
      </c>
      <c r="K617" s="11">
        <v>0</v>
      </c>
    </row>
    <row r="618" spans="5:11" x14ac:dyDescent="0.35">
      <c r="E618" s="9" t="str">
        <v>EPSG</v>
      </c>
      <c r="F618" s="7" t="str">
        <v>2673</v>
      </c>
      <c r="G618" t="str">
        <v>ProjectedCrs</v>
      </c>
      <c r="H618" t="str">
        <v>Transverse Mercator</v>
      </c>
      <c r="I618" t="str">
        <v>Pulkovo 1995 / 3-degree Gauss-Kruger zone 39</v>
      </c>
      <c r="J618" t="str">
        <v>Russian Federation - onshore between 115°30'E and 118°30'E.</v>
      </c>
      <c r="K618" s="11">
        <v>0</v>
      </c>
    </row>
    <row r="619" spans="5:11" x14ac:dyDescent="0.35">
      <c r="E619" s="9" t="str">
        <v>EPSG</v>
      </c>
      <c r="F619" s="7" t="str">
        <v>2674</v>
      </c>
      <c r="G619" t="str">
        <v>ProjectedCrs</v>
      </c>
      <c r="H619" t="str">
        <v>Transverse Mercator</v>
      </c>
      <c r="I619" t="str">
        <v>Pulkovo 1995 / 3-degree Gauss-Kruger zone 40</v>
      </c>
      <c r="J619" t="str">
        <v>Russian Federation - onshore between 118°30'E and 121°30'E.</v>
      </c>
      <c r="K619" s="11">
        <v>0</v>
      </c>
    </row>
    <row r="620" spans="5:11" x14ac:dyDescent="0.35">
      <c r="E620" s="9" t="str">
        <v>EPSG</v>
      </c>
      <c r="F620" s="7" t="str">
        <v>2675</v>
      </c>
      <c r="G620" t="str">
        <v>ProjectedCrs</v>
      </c>
      <c r="H620" t="str">
        <v>Transverse Mercator</v>
      </c>
      <c r="I620" t="str">
        <v>Pulkovo 1995 / 3-degree Gauss-Kruger zone 41</v>
      </c>
      <c r="J620" t="str">
        <v>Russian Federation - onshore between 121°30'E and 124°30'E.</v>
      </c>
      <c r="K620" s="11">
        <v>0</v>
      </c>
    </row>
    <row r="621" spans="5:11" x14ac:dyDescent="0.35">
      <c r="E621" s="9" t="str">
        <v>EPSG</v>
      </c>
      <c r="F621" s="7" t="str">
        <v>2676</v>
      </c>
      <c r="G621" t="str">
        <v>ProjectedCrs</v>
      </c>
      <c r="H621" t="str">
        <v>Transverse Mercator</v>
      </c>
      <c r="I621" t="str">
        <v>Pulkovo 1995 / 3-degree Gauss-Kruger zone 42</v>
      </c>
      <c r="J621" t="str">
        <v>Russian Federation - onshore between 124°30'E and 127°30'E.</v>
      </c>
      <c r="K621" s="11">
        <v>0</v>
      </c>
    </row>
    <row r="622" spans="5:11" x14ac:dyDescent="0.35">
      <c r="E622" s="9" t="str">
        <v>EPSG</v>
      </c>
      <c r="F622" s="7" t="str">
        <v>2677</v>
      </c>
      <c r="G622" t="str">
        <v>ProjectedCrs</v>
      </c>
      <c r="H622" t="str">
        <v>Transverse Mercator</v>
      </c>
      <c r="I622" t="str">
        <v>Pulkovo 1995 / 3-degree Gauss-Kruger zone 43</v>
      </c>
      <c r="J622" t="str">
        <v>Russian Federation - onshore between 127°30'E and 130°30'E.</v>
      </c>
      <c r="K622" s="11">
        <v>0</v>
      </c>
    </row>
    <row r="623" spans="5:11" x14ac:dyDescent="0.35">
      <c r="E623" s="9" t="str">
        <v>EPSG</v>
      </c>
      <c r="F623" s="7" t="str">
        <v>2678</v>
      </c>
      <c r="G623" t="str">
        <v>ProjectedCrs</v>
      </c>
      <c r="H623" t="str">
        <v>Transverse Mercator</v>
      </c>
      <c r="I623" t="str">
        <v>Pulkovo 1995 / 3-degree Gauss-Kruger zone 44</v>
      </c>
      <c r="J623" t="str">
        <v>Russian Federation - onshore between 130°30'E and 133°30'E.</v>
      </c>
      <c r="K623" s="11">
        <v>0</v>
      </c>
    </row>
    <row r="624" spans="5:11" x14ac:dyDescent="0.35">
      <c r="E624" s="9" t="str">
        <v>EPSG</v>
      </c>
      <c r="F624" s="7" t="str">
        <v>2679</v>
      </c>
      <c r="G624" t="str">
        <v>ProjectedCrs</v>
      </c>
      <c r="H624" t="str">
        <v>Transverse Mercator</v>
      </c>
      <c r="I624" t="str">
        <v>Pulkovo 1995 / 3-degree Gauss-Kruger zone 45</v>
      </c>
      <c r="J624" t="str">
        <v>Russian Federation - onshore between 133°30'E and 136°30'E.</v>
      </c>
      <c r="K624" s="11">
        <v>0</v>
      </c>
    </row>
    <row r="625" spans="5:11" x14ac:dyDescent="0.35">
      <c r="E625" s="9" t="str">
        <v>EPSG</v>
      </c>
      <c r="F625" s="7" t="str">
        <v>2680</v>
      </c>
      <c r="G625" t="str">
        <v>ProjectedCrs</v>
      </c>
      <c r="H625" t="str">
        <v>Transverse Mercator</v>
      </c>
      <c r="I625" t="str">
        <v>Pulkovo 1995 / 3-degree Gauss-Kruger zone 46</v>
      </c>
      <c r="J625" t="str">
        <v>Russian Federation - onshore between 136°30'E and 139°30'E.</v>
      </c>
      <c r="K625" s="11">
        <v>0</v>
      </c>
    </row>
    <row r="626" spans="5:11" x14ac:dyDescent="0.35">
      <c r="E626" s="9" t="str">
        <v>EPSG</v>
      </c>
      <c r="F626" s="7" t="str">
        <v>2681</v>
      </c>
      <c r="G626" t="str">
        <v>ProjectedCrs</v>
      </c>
      <c r="H626" t="str">
        <v>Transverse Mercator</v>
      </c>
      <c r="I626" t="str">
        <v>Pulkovo 1995 / 3-degree Gauss-Kruger zone 47</v>
      </c>
      <c r="J626" t="str">
        <v>Russian Federation - onshore between 139°30'E and 142°30'E.</v>
      </c>
      <c r="K626" s="11">
        <v>0</v>
      </c>
    </row>
    <row r="627" spans="5:11" x14ac:dyDescent="0.35">
      <c r="E627" s="9" t="str">
        <v>EPSG</v>
      </c>
      <c r="F627" s="7" t="str">
        <v>2682</v>
      </c>
      <c r="G627" t="str">
        <v>ProjectedCrs</v>
      </c>
      <c r="H627" t="str">
        <v>Transverse Mercator</v>
      </c>
      <c r="I627" t="str">
        <v>Pulkovo 1995 / 3-degree Gauss-Kruger zone 48</v>
      </c>
      <c r="J627" t="str">
        <v>Russian Federation - onshore between 142°30'E and 145°30'E.</v>
      </c>
      <c r="K627" s="11">
        <v>0</v>
      </c>
    </row>
    <row r="628" spans="5:11" x14ac:dyDescent="0.35">
      <c r="E628" s="9" t="str">
        <v>EPSG</v>
      </c>
      <c r="F628" s="7" t="str">
        <v>2683</v>
      </c>
      <c r="G628" t="str">
        <v>ProjectedCrs</v>
      </c>
      <c r="H628" t="str">
        <v>Transverse Mercator</v>
      </c>
      <c r="I628" t="str">
        <v>Pulkovo 1995 / 3-degree Gauss-Kruger zone 49</v>
      </c>
      <c r="J628" t="str">
        <v>Russian Federation - onshore between 145°30'E and 148°30'E.</v>
      </c>
      <c r="K628" s="11">
        <v>0</v>
      </c>
    </row>
    <row r="629" spans="5:11" x14ac:dyDescent="0.35">
      <c r="E629" s="9" t="str">
        <v>EPSG</v>
      </c>
      <c r="F629" s="7" t="str">
        <v>2684</v>
      </c>
      <c r="G629" t="str">
        <v>ProjectedCrs</v>
      </c>
      <c r="H629" t="str">
        <v>Transverse Mercator</v>
      </c>
      <c r="I629" t="str">
        <v>Pulkovo 1995 / 3-degree Gauss-Kruger zone 50</v>
      </c>
      <c r="J629" t="str">
        <v>Russian Federation - onshore between 148°30'E and 151°30'E.</v>
      </c>
      <c r="K629" s="11">
        <v>0</v>
      </c>
    </row>
    <row r="630" spans="5:11" x14ac:dyDescent="0.35">
      <c r="E630" s="9" t="str">
        <v>EPSG</v>
      </c>
      <c r="F630" s="7" t="str">
        <v>2685</v>
      </c>
      <c r="G630" t="str">
        <v>ProjectedCrs</v>
      </c>
      <c r="H630" t="str">
        <v>Transverse Mercator</v>
      </c>
      <c r="I630" t="str">
        <v>Pulkovo 1995 / 3-degree Gauss-Kruger zone 51</v>
      </c>
      <c r="J630" t="str">
        <v>Russian Federation - onshore between 151°30'E and 154°30'E.</v>
      </c>
      <c r="K630" s="11">
        <v>0</v>
      </c>
    </row>
    <row r="631" spans="5:11" x14ac:dyDescent="0.35">
      <c r="E631" s="9" t="str">
        <v>EPSG</v>
      </c>
      <c r="F631" s="7" t="str">
        <v>2686</v>
      </c>
      <c r="G631" t="str">
        <v>ProjectedCrs</v>
      </c>
      <c r="H631" t="str">
        <v>Transverse Mercator</v>
      </c>
      <c r="I631" t="str">
        <v>Pulkovo 1995 / 3-degree Gauss-Kruger zone 52</v>
      </c>
      <c r="J631" t="str">
        <v>Russian Federation - onshore between 154°30'E and 157°30'E.</v>
      </c>
      <c r="K631" s="11">
        <v>0</v>
      </c>
    </row>
    <row r="632" spans="5:11" x14ac:dyDescent="0.35">
      <c r="E632" s="9" t="str">
        <v>EPSG</v>
      </c>
      <c r="F632" s="7" t="str">
        <v>2687</v>
      </c>
      <c r="G632" t="str">
        <v>ProjectedCrs</v>
      </c>
      <c r="H632" t="str">
        <v>Transverse Mercator</v>
      </c>
      <c r="I632" t="str">
        <v>Pulkovo 1995 / 3-degree Gauss-Kruger zone 53</v>
      </c>
      <c r="J632" t="str">
        <v>Russian Federation - onshore between 157°30'E and 160°30'E.</v>
      </c>
      <c r="K632" s="11">
        <v>0</v>
      </c>
    </row>
    <row r="633" spans="5:11" x14ac:dyDescent="0.35">
      <c r="E633" s="9" t="str">
        <v>EPSG</v>
      </c>
      <c r="F633" s="7" t="str">
        <v>2688</v>
      </c>
      <c r="G633" t="str">
        <v>ProjectedCrs</v>
      </c>
      <c r="H633" t="str">
        <v>Transverse Mercator</v>
      </c>
      <c r="I633" t="str">
        <v>Pulkovo 1995 / 3-degree Gauss-Kruger zone 54</v>
      </c>
      <c r="J633" t="str">
        <v>Russian Federation - onshore between 160°30'E and 163°30'E.</v>
      </c>
      <c r="K633" s="11">
        <v>0</v>
      </c>
    </row>
    <row r="634" spans="5:11" x14ac:dyDescent="0.35">
      <c r="E634" s="9" t="str">
        <v>EPSG</v>
      </c>
      <c r="F634" s="7" t="str">
        <v>2689</v>
      </c>
      <c r="G634" t="str">
        <v>ProjectedCrs</v>
      </c>
      <c r="H634" t="str">
        <v>Transverse Mercator</v>
      </c>
      <c r="I634" t="str">
        <v>Pulkovo 1995 / 3-degree Gauss-Kruger zone 55</v>
      </c>
      <c r="J634" t="str">
        <v>Russian Federation - onshore between 163°30'E and 166°30'E.</v>
      </c>
      <c r="K634" s="11">
        <v>0</v>
      </c>
    </row>
    <row r="635" spans="5:11" x14ac:dyDescent="0.35">
      <c r="E635" s="9" t="str">
        <v>EPSG</v>
      </c>
      <c r="F635" s="7" t="str">
        <v>2690</v>
      </c>
      <c r="G635" t="str">
        <v>ProjectedCrs</v>
      </c>
      <c r="H635" t="str">
        <v>Transverse Mercator</v>
      </c>
      <c r="I635" t="str">
        <v>Pulkovo 1995 / 3-degree Gauss-Kruger zone 56</v>
      </c>
      <c r="J635" t="str">
        <v>Russian Federation - onshore between 166°30'E and 169°30'E.</v>
      </c>
      <c r="K635" s="11">
        <v>0</v>
      </c>
    </row>
    <row r="636" spans="5:11" x14ac:dyDescent="0.35">
      <c r="E636" s="9" t="str">
        <v>EPSG</v>
      </c>
      <c r="F636" s="7" t="str">
        <v>2691</v>
      </c>
      <c r="G636" t="str">
        <v>ProjectedCrs</v>
      </c>
      <c r="H636" t="str">
        <v>Transverse Mercator</v>
      </c>
      <c r="I636" t="str">
        <v>Pulkovo 1995 / 3-degree Gauss-Kruger zone 57</v>
      </c>
      <c r="J636" t="str">
        <v>Russian Federation - onshore between 169°30'E and 172°30'E.</v>
      </c>
      <c r="K636" s="11">
        <v>0</v>
      </c>
    </row>
    <row r="637" spans="5:11" x14ac:dyDescent="0.35">
      <c r="E637" s="9" t="str">
        <v>EPSG</v>
      </c>
      <c r="F637" s="7" t="str">
        <v>2692</v>
      </c>
      <c r="G637" t="str">
        <v>ProjectedCrs</v>
      </c>
      <c r="H637" t="str">
        <v>Transverse Mercator</v>
      </c>
      <c r="I637" t="str">
        <v>Pulkovo 1995 / 3-degree Gauss-Kruger zone 58</v>
      </c>
      <c r="J637" t="str">
        <v>Russian Federation - onshore between 172°30'E and 175°30'E.</v>
      </c>
      <c r="K637" s="11">
        <v>0</v>
      </c>
    </row>
    <row r="638" spans="5:11" x14ac:dyDescent="0.35">
      <c r="E638" s="9" t="str">
        <v>EPSG</v>
      </c>
      <c r="F638" s="7" t="str">
        <v>2693</v>
      </c>
      <c r="G638" t="str">
        <v>ProjectedCrs</v>
      </c>
      <c r="H638" t="str">
        <v>Transverse Mercator</v>
      </c>
      <c r="I638" t="str">
        <v>Pulkovo 1995 / 3-degree Gauss-Kruger zone 59</v>
      </c>
      <c r="J638" t="str">
        <v>Russian Federation - onshore between 175°30'E and 178°30'E.</v>
      </c>
      <c r="K638" s="11">
        <v>0</v>
      </c>
    </row>
    <row r="639" spans="5:11" x14ac:dyDescent="0.35">
      <c r="E639" s="9" t="str">
        <v>EPSG</v>
      </c>
      <c r="F639" s="7" t="str">
        <v>2695</v>
      </c>
      <c r="G639" t="str">
        <v>ProjectedCrs</v>
      </c>
      <c r="H639" t="str">
        <v>Transverse Mercator</v>
      </c>
      <c r="I639" t="str">
        <v>Pulkovo 1995 / 3-degree Gauss-Kruger zone 61</v>
      </c>
      <c r="J639" t="str">
        <v>Russian Federation - onshore between 178°30'W and 175°30'W.</v>
      </c>
      <c r="K639" s="11">
        <v>0</v>
      </c>
    </row>
    <row r="640" spans="5:11" x14ac:dyDescent="0.35">
      <c r="E640" s="9" t="str">
        <v>EPSG</v>
      </c>
      <c r="F640" s="7" t="str">
        <v>2696</v>
      </c>
      <c r="G640" t="str">
        <v>ProjectedCrs</v>
      </c>
      <c r="H640" t="str">
        <v>Transverse Mercator</v>
      </c>
      <c r="I640" t="str">
        <v>Pulkovo 1995 / 3-degree Gauss-Kruger zone 62</v>
      </c>
      <c r="J640" t="str">
        <v>Russian Federation - onshore between 175°30'W and 172°30'W.</v>
      </c>
      <c r="K640" s="11">
        <v>0</v>
      </c>
    </row>
    <row r="641" spans="5:11" x14ac:dyDescent="0.35">
      <c r="E641" s="9" t="str">
        <v>EPSG</v>
      </c>
      <c r="F641" s="7" t="str">
        <v>2697</v>
      </c>
      <c r="G641" t="str">
        <v>ProjectedCrs</v>
      </c>
      <c r="H641" t="str">
        <v>Transverse Mercator</v>
      </c>
      <c r="I641" t="str">
        <v>Pulkovo 1995 / 3-degree Gauss-Kruger zone 63</v>
      </c>
      <c r="J641" t="str">
        <v>Russian Federation - onshore between 172°30'W and 169°30'W.</v>
      </c>
      <c r="K641" s="11">
        <v>0</v>
      </c>
    </row>
    <row r="642" spans="5:11" x14ac:dyDescent="0.35">
      <c r="E642" s="9" t="str">
        <v>EPSG</v>
      </c>
      <c r="F642" s="7" t="str">
        <v>2698</v>
      </c>
      <c r="G642" t="str">
        <v>ProjectedCrs</v>
      </c>
      <c r="H642" t="str">
        <v>Transverse Mercator</v>
      </c>
      <c r="I642" t="str">
        <v>Pulkovo 1995 / 3-degree Gauss-Kruger zone 64</v>
      </c>
      <c r="J642" t="str">
        <v>Russian Federation - onshore between 169°30'W and 166°30'W.</v>
      </c>
      <c r="K642" s="11">
        <v>0</v>
      </c>
    </row>
    <row r="643" spans="5:11" x14ac:dyDescent="0.35">
      <c r="E643" s="9" t="str">
        <v>EPSG</v>
      </c>
      <c r="F643" s="7" t="str">
        <v>2699</v>
      </c>
      <c r="G643" t="str">
        <v>ProjectedCrs</v>
      </c>
      <c r="H643" t="str">
        <v>Transverse Mercator</v>
      </c>
      <c r="I643" t="str">
        <v>Pulkovo 1995 / 3-degree Gauss-Kruger CM 21E</v>
      </c>
      <c r="J643" t="str">
        <v>Russian Federation - Kaliningrad - onshore between 19°30'E and 22°30'E.</v>
      </c>
      <c r="K643" s="11">
        <v>0</v>
      </c>
    </row>
    <row r="644" spans="5:11" x14ac:dyDescent="0.35">
      <c r="E644" s="9" t="str">
        <v>EPSG</v>
      </c>
      <c r="F644" s="7" t="str">
        <v>2700</v>
      </c>
      <c r="G644" t="str">
        <v>ProjectedCrs</v>
      </c>
      <c r="H644" t="str">
        <v>Transverse Mercator</v>
      </c>
      <c r="I644" t="str">
        <v>Pulkovo 1995 / 3-degree Gauss-Kruger CM 24E</v>
      </c>
      <c r="J644" t="str">
        <v>Russian Federation - onshore between 22°30'E and 25°30'E - Kaliningrad.</v>
      </c>
      <c r="K644" s="11">
        <v>0</v>
      </c>
    </row>
    <row r="645" spans="5:11" x14ac:dyDescent="0.35">
      <c r="E645" s="9" t="str">
        <v>EPSG</v>
      </c>
      <c r="F645" s="7" t="str">
        <v>2701</v>
      </c>
      <c r="G645" t="str">
        <v>ProjectedCrs</v>
      </c>
      <c r="H645" t="str">
        <v>Transverse Mercator</v>
      </c>
      <c r="I645" t="str">
        <v>Pulkovo 1995 / 3-degree Gauss-Kruger CM 27E</v>
      </c>
      <c r="J645" t="str">
        <v>Russian Federation - onshore between 25°30'E and 28°30'E.</v>
      </c>
      <c r="K645" s="11">
        <v>0</v>
      </c>
    </row>
    <row r="646" spans="5:11" x14ac:dyDescent="0.35">
      <c r="E646" s="9" t="str">
        <v>EPSG</v>
      </c>
      <c r="F646" s="7" t="str">
        <v>2702</v>
      </c>
      <c r="G646" t="str">
        <v>ProjectedCrs</v>
      </c>
      <c r="H646" t="str">
        <v>Transverse Mercator</v>
      </c>
      <c r="I646" t="str">
        <v>Pulkovo 1995 / 3-degree Gauss-Kruger CM 30E</v>
      </c>
      <c r="J646" t="str">
        <v>Russian Federation - onshore between 28°30'E and 31°30'E.</v>
      </c>
      <c r="K646" s="11">
        <v>0</v>
      </c>
    </row>
    <row r="647" spans="5:11" x14ac:dyDescent="0.35">
      <c r="E647" s="9" t="str">
        <v>EPSG</v>
      </c>
      <c r="F647" s="7" t="str">
        <v>2703</v>
      </c>
      <c r="G647" t="str">
        <v>ProjectedCrs</v>
      </c>
      <c r="H647" t="str">
        <v>Transverse Mercator</v>
      </c>
      <c r="I647" t="str">
        <v>Pulkovo 1995 / 3-degree Gauss-Kruger CM 33E</v>
      </c>
      <c r="J647" t="str">
        <v>Russian Federation - onshore between 31°30'E and 34°30'E.</v>
      </c>
      <c r="K647" s="11">
        <v>0</v>
      </c>
    </row>
    <row r="648" spans="5:11" x14ac:dyDescent="0.35">
      <c r="E648" s="9" t="str">
        <v>EPSG</v>
      </c>
      <c r="F648" s="7" t="str">
        <v>2704</v>
      </c>
      <c r="G648" t="str">
        <v>ProjectedCrs</v>
      </c>
      <c r="H648" t="str">
        <v>Transverse Mercator</v>
      </c>
      <c r="I648" t="str">
        <v>Pulkovo 1995 / 3-degree Gauss-Kruger CM 36E</v>
      </c>
      <c r="J648" t="str">
        <v>Russian Federation - onshore between 34°30'E and 37°30'E.</v>
      </c>
      <c r="K648" s="11">
        <v>0</v>
      </c>
    </row>
    <row r="649" spans="5:11" x14ac:dyDescent="0.35">
      <c r="E649" s="9" t="str">
        <v>EPSG</v>
      </c>
      <c r="F649" s="7" t="str">
        <v>2705</v>
      </c>
      <c r="G649" t="str">
        <v>ProjectedCrs</v>
      </c>
      <c r="H649" t="str">
        <v>Transverse Mercator</v>
      </c>
      <c r="I649" t="str">
        <v>Pulkovo 1995 / 3-degree Gauss-Kruger CM 39E</v>
      </c>
      <c r="J649" t="str">
        <v>Russian Federation - onshore between 37°30'E and 40°30'E.</v>
      </c>
      <c r="K649" s="11">
        <v>0</v>
      </c>
    </row>
    <row r="650" spans="5:11" x14ac:dyDescent="0.35">
      <c r="E650" s="9" t="str">
        <v>EPSG</v>
      </c>
      <c r="F650" s="7" t="str">
        <v>2706</v>
      </c>
      <c r="G650" t="str">
        <v>ProjectedCrs</v>
      </c>
      <c r="H650" t="str">
        <v>Transverse Mercator</v>
      </c>
      <c r="I650" t="str">
        <v>Pulkovo 1995 / 3-degree Gauss-Kruger CM 42E</v>
      </c>
      <c r="J650" t="str">
        <v>Russian Federation - onshore between 40°30'E and 43°30'E.</v>
      </c>
      <c r="K650" s="11">
        <v>0</v>
      </c>
    </row>
    <row r="651" spans="5:11" x14ac:dyDescent="0.35">
      <c r="E651" s="9" t="str">
        <v>EPSG</v>
      </c>
      <c r="F651" s="7" t="str">
        <v>2707</v>
      </c>
      <c r="G651" t="str">
        <v>ProjectedCrs</v>
      </c>
      <c r="H651" t="str">
        <v>Transverse Mercator</v>
      </c>
      <c r="I651" t="str">
        <v>Pulkovo 1995 / 3-degree Gauss-Kruger CM 45E</v>
      </c>
      <c r="J651" t="str">
        <v>Russian Federation - onshore between 43°30'E and 46°30'E.</v>
      </c>
      <c r="K651" s="11">
        <v>0</v>
      </c>
    </row>
    <row r="652" spans="5:11" x14ac:dyDescent="0.35">
      <c r="E652" s="9" t="str">
        <v>EPSG</v>
      </c>
      <c r="F652" s="7" t="str">
        <v>2708</v>
      </c>
      <c r="G652" t="str">
        <v>ProjectedCrs</v>
      </c>
      <c r="H652" t="str">
        <v>Transverse Mercator</v>
      </c>
      <c r="I652" t="str">
        <v>Pulkovo 1995 / 3-degree Gauss-Kruger CM 48E</v>
      </c>
      <c r="J652" t="str">
        <v>Russian Federation - onshore between 46°30'E and 49°30'E.</v>
      </c>
      <c r="K652" s="11">
        <v>0</v>
      </c>
    </row>
    <row r="653" spans="5:11" x14ac:dyDescent="0.35">
      <c r="E653" s="9" t="str">
        <v>EPSG</v>
      </c>
      <c r="F653" s="7" t="str">
        <v>2709</v>
      </c>
      <c r="G653" t="str">
        <v>ProjectedCrs</v>
      </c>
      <c r="H653" t="str">
        <v>Transverse Mercator</v>
      </c>
      <c r="I653" t="str">
        <v>Pulkovo 1995 / 3-degree Gauss-Kruger CM 51E</v>
      </c>
      <c r="J653" t="str">
        <v>Russian Federation - onshore between 49°30'E and 52°30'E.</v>
      </c>
      <c r="K653" s="11">
        <v>0</v>
      </c>
    </row>
    <row r="654" spans="5:11" x14ac:dyDescent="0.35">
      <c r="E654" s="9" t="str">
        <v>EPSG</v>
      </c>
      <c r="F654" s="7" t="str">
        <v>2710</v>
      </c>
      <c r="G654" t="str">
        <v>ProjectedCrs</v>
      </c>
      <c r="H654" t="str">
        <v>Transverse Mercator</v>
      </c>
      <c r="I654" t="str">
        <v>Pulkovo 1995 / 3-degree Gauss-Kruger CM 54E</v>
      </c>
      <c r="J654" t="str">
        <v>Russian Federation - onshore between 52°30'E and 55°30'E.</v>
      </c>
      <c r="K654" s="11">
        <v>0</v>
      </c>
    </row>
    <row r="655" spans="5:11" x14ac:dyDescent="0.35">
      <c r="E655" s="9" t="str">
        <v>EPSG</v>
      </c>
      <c r="F655" s="7" t="str">
        <v>2711</v>
      </c>
      <c r="G655" t="str">
        <v>ProjectedCrs</v>
      </c>
      <c r="H655" t="str">
        <v>Transverse Mercator</v>
      </c>
      <c r="I655" t="str">
        <v>Pulkovo 1995 / 3-degree Gauss-Kruger CM 57E</v>
      </c>
      <c r="J655" t="str">
        <v>Russian Federation - onshore between 55°30'E and 58°30'E.</v>
      </c>
      <c r="K655" s="11">
        <v>0</v>
      </c>
    </row>
    <row r="656" spans="5:11" x14ac:dyDescent="0.35">
      <c r="E656" s="9" t="str">
        <v>EPSG</v>
      </c>
      <c r="F656" s="7" t="str">
        <v>2712</v>
      </c>
      <c r="G656" t="str">
        <v>ProjectedCrs</v>
      </c>
      <c r="H656" t="str">
        <v>Transverse Mercator</v>
      </c>
      <c r="I656" t="str">
        <v>Pulkovo 1995 / 3-degree Gauss-Kruger CM 60E</v>
      </c>
      <c r="J656" t="str">
        <v>Russian Federation - onshore between 58°30'E and 61°30'E.</v>
      </c>
      <c r="K656" s="11">
        <v>0</v>
      </c>
    </row>
    <row r="657" spans="5:11" x14ac:dyDescent="0.35">
      <c r="E657" s="9" t="str">
        <v>EPSG</v>
      </c>
      <c r="F657" s="7" t="str">
        <v>2713</v>
      </c>
      <c r="G657" t="str">
        <v>ProjectedCrs</v>
      </c>
      <c r="H657" t="str">
        <v>Transverse Mercator</v>
      </c>
      <c r="I657" t="str">
        <v>Pulkovo 1995 / 3-degree Gauss-Kruger CM 63E</v>
      </c>
      <c r="J657" t="str">
        <v>Russian Federation - onshore between 61°30'E and 64°30'E.</v>
      </c>
      <c r="K657" s="11">
        <v>0</v>
      </c>
    </row>
    <row r="658" spans="5:11" x14ac:dyDescent="0.35">
      <c r="E658" s="9" t="str">
        <v>EPSG</v>
      </c>
      <c r="F658" s="7" t="str">
        <v>2714</v>
      </c>
      <c r="G658" t="str">
        <v>ProjectedCrs</v>
      </c>
      <c r="H658" t="str">
        <v>Transverse Mercator</v>
      </c>
      <c r="I658" t="str">
        <v>Pulkovo 1995 / 3-degree Gauss-Kruger CM 66E</v>
      </c>
      <c r="J658" t="str">
        <v>Russian Federation - onshore between 64°30'E and 67°30'E.</v>
      </c>
      <c r="K658" s="11">
        <v>0</v>
      </c>
    </row>
    <row r="659" spans="5:11" x14ac:dyDescent="0.35">
      <c r="E659" s="9" t="str">
        <v>EPSG</v>
      </c>
      <c r="F659" s="7" t="str">
        <v>2715</v>
      </c>
      <c r="G659" t="str">
        <v>ProjectedCrs</v>
      </c>
      <c r="H659" t="str">
        <v>Transverse Mercator</v>
      </c>
      <c r="I659" t="str">
        <v>Pulkovo 1995 / 3-degree Gauss-Kruger CM 69E</v>
      </c>
      <c r="J659" t="str">
        <v>Russian Federation - onshore between 67°30'E and 70°30'E.</v>
      </c>
      <c r="K659" s="11">
        <v>0</v>
      </c>
    </row>
    <row r="660" spans="5:11" x14ac:dyDescent="0.35">
      <c r="E660" s="9" t="str">
        <v>EPSG</v>
      </c>
      <c r="F660" s="7" t="str">
        <v>2716</v>
      </c>
      <c r="G660" t="str">
        <v>ProjectedCrs</v>
      </c>
      <c r="H660" t="str">
        <v>Transverse Mercator</v>
      </c>
      <c r="I660" t="str">
        <v>Pulkovo 1995 / 3-degree Gauss-Kruger CM 72E</v>
      </c>
      <c r="J660" t="str">
        <v>Russian Federation - onshore between 70°30'E and 73°30'E.</v>
      </c>
      <c r="K660" s="11">
        <v>0</v>
      </c>
    </row>
    <row r="661" spans="5:11" x14ac:dyDescent="0.35">
      <c r="E661" s="9" t="str">
        <v>EPSG</v>
      </c>
      <c r="F661" s="7" t="str">
        <v>2717</v>
      </c>
      <c r="G661" t="str">
        <v>ProjectedCrs</v>
      </c>
      <c r="H661" t="str">
        <v>Transverse Mercator</v>
      </c>
      <c r="I661" t="str">
        <v>Pulkovo 1995 / 3-degree Gauss-Kruger CM 75E</v>
      </c>
      <c r="J661" t="str">
        <v>Russian Federation - onshore between 73°30'E and 76°30'E.</v>
      </c>
      <c r="K661" s="11">
        <v>0</v>
      </c>
    </row>
    <row r="662" spans="5:11" x14ac:dyDescent="0.35">
      <c r="E662" s="9" t="str">
        <v>EPSG</v>
      </c>
      <c r="F662" s="7" t="str">
        <v>2718</v>
      </c>
      <c r="G662" t="str">
        <v>ProjectedCrs</v>
      </c>
      <c r="H662" t="str">
        <v>Transverse Mercator</v>
      </c>
      <c r="I662" t="str">
        <v>Pulkovo 1995 / 3-degree Gauss-Kruger CM 78E</v>
      </c>
      <c r="J662" t="str">
        <v>Russian Federation - onshore between 76°30'E and 79°30'E.</v>
      </c>
      <c r="K662" s="11">
        <v>0</v>
      </c>
    </row>
    <row r="663" spans="5:11" x14ac:dyDescent="0.35">
      <c r="E663" s="9" t="str">
        <v>EPSG</v>
      </c>
      <c r="F663" s="7" t="str">
        <v>2719</v>
      </c>
      <c r="G663" t="str">
        <v>ProjectedCrs</v>
      </c>
      <c r="H663" t="str">
        <v>Transverse Mercator</v>
      </c>
      <c r="I663" t="str">
        <v>Pulkovo 1995 / 3-degree Gauss-Kruger CM 81E</v>
      </c>
      <c r="J663" t="str">
        <v>Russian Federation - onshore between 79°30'E and 82°30'E.</v>
      </c>
      <c r="K663" s="11">
        <v>0</v>
      </c>
    </row>
    <row r="664" spans="5:11" x14ac:dyDescent="0.35">
      <c r="E664" s="9" t="str">
        <v>EPSG</v>
      </c>
      <c r="F664" s="7" t="str">
        <v>2720</v>
      </c>
      <c r="G664" t="str">
        <v>ProjectedCrs</v>
      </c>
      <c r="H664" t="str">
        <v>Transverse Mercator</v>
      </c>
      <c r="I664" t="str">
        <v>Pulkovo 1995 / 3-degree Gauss-Kruger CM 84E</v>
      </c>
      <c r="J664" t="str">
        <v>Russian Federation - onshore between 82°30'E and 85°30'E.</v>
      </c>
      <c r="K664" s="11">
        <v>0</v>
      </c>
    </row>
    <row r="665" spans="5:11" x14ac:dyDescent="0.35">
      <c r="E665" s="9" t="str">
        <v>EPSG</v>
      </c>
      <c r="F665" s="7" t="str">
        <v>2721</v>
      </c>
      <c r="G665" t="str">
        <v>ProjectedCrs</v>
      </c>
      <c r="H665" t="str">
        <v>Transverse Mercator</v>
      </c>
      <c r="I665" t="str">
        <v>Pulkovo 1995 / 3-degree Gauss-Kruger CM 87E</v>
      </c>
      <c r="J665" t="str">
        <v>Russian Federation - onshore between 85°30'E and 88°30'E.</v>
      </c>
      <c r="K665" s="11">
        <v>0</v>
      </c>
    </row>
    <row r="666" spans="5:11" x14ac:dyDescent="0.35">
      <c r="E666" s="9" t="str">
        <v>EPSG</v>
      </c>
      <c r="F666" s="7" t="str">
        <v>2722</v>
      </c>
      <c r="G666" t="str">
        <v>ProjectedCrs</v>
      </c>
      <c r="H666" t="str">
        <v>Transverse Mercator</v>
      </c>
      <c r="I666" t="str">
        <v>Pulkovo 1995 / 3-degree Gauss-Kruger CM 90E</v>
      </c>
      <c r="J666" t="str">
        <v>Russian Federation - onshore between 88°30'E and 91°30'E.</v>
      </c>
      <c r="K666" s="11">
        <v>0</v>
      </c>
    </row>
    <row r="667" spans="5:11" x14ac:dyDescent="0.35">
      <c r="E667" s="9" t="str">
        <v>EPSG</v>
      </c>
      <c r="F667" s="7" t="str">
        <v>2723</v>
      </c>
      <c r="G667" t="str">
        <v>ProjectedCrs</v>
      </c>
      <c r="H667" t="str">
        <v>Transverse Mercator</v>
      </c>
      <c r="I667" t="str">
        <v>Pulkovo 1995 / 3-degree Gauss-Kruger CM 93E</v>
      </c>
      <c r="J667" t="str">
        <v>Russian Federation - onshore between 91°30'E and 94°30'E.</v>
      </c>
      <c r="K667" s="11">
        <v>0</v>
      </c>
    </row>
    <row r="668" spans="5:11" x14ac:dyDescent="0.35">
      <c r="E668" s="9" t="str">
        <v>EPSG</v>
      </c>
      <c r="F668" s="7" t="str">
        <v>2724</v>
      </c>
      <c r="G668" t="str">
        <v>ProjectedCrs</v>
      </c>
      <c r="H668" t="str">
        <v>Transverse Mercator</v>
      </c>
      <c r="I668" t="str">
        <v>Pulkovo 1995 / 3-degree Gauss-Kruger CM 96E</v>
      </c>
      <c r="J668" t="str">
        <v>Russian Federation - onshore between 94°30'E and 97°30'E.</v>
      </c>
      <c r="K668" s="11">
        <v>0</v>
      </c>
    </row>
    <row r="669" spans="5:11" x14ac:dyDescent="0.35">
      <c r="E669" s="9" t="str">
        <v>EPSG</v>
      </c>
      <c r="F669" s="7" t="str">
        <v>2725</v>
      </c>
      <c r="G669" t="str">
        <v>ProjectedCrs</v>
      </c>
      <c r="H669" t="str">
        <v>Transverse Mercator</v>
      </c>
      <c r="I669" t="str">
        <v>Pulkovo 1995 / 3-degree Gauss-Kruger CM 99E</v>
      </c>
      <c r="J669" t="str">
        <v>Russian Federation - onshore between 97°30'E and 100°30'E.</v>
      </c>
      <c r="K669" s="11">
        <v>0</v>
      </c>
    </row>
    <row r="670" spans="5:11" x14ac:dyDescent="0.35">
      <c r="E670" s="9" t="str">
        <v>EPSG</v>
      </c>
      <c r="F670" s="7" t="str">
        <v>2726</v>
      </c>
      <c r="G670" t="str">
        <v>ProjectedCrs</v>
      </c>
      <c r="H670" t="str">
        <v>Transverse Mercator</v>
      </c>
      <c r="I670" t="str">
        <v>Pulkovo 1995 / 3-degree Gauss-Kruger CM 102E</v>
      </c>
      <c r="J670" t="str">
        <v>Russian Federation - onshore between 100°30'E and 103°30'E.</v>
      </c>
      <c r="K670" s="11">
        <v>0</v>
      </c>
    </row>
    <row r="671" spans="5:11" x14ac:dyDescent="0.35">
      <c r="E671" s="9" t="str">
        <v>EPSG</v>
      </c>
      <c r="F671" s="7" t="str">
        <v>2727</v>
      </c>
      <c r="G671" t="str">
        <v>ProjectedCrs</v>
      </c>
      <c r="H671" t="str">
        <v>Transverse Mercator</v>
      </c>
      <c r="I671" t="str">
        <v>Pulkovo 1995 / 3-degree Gauss-Kruger CM 105E</v>
      </c>
      <c r="J671" t="str">
        <v>Russian Federation - onshore between 103°30'E and 106°30'E.</v>
      </c>
      <c r="K671" s="11">
        <v>0</v>
      </c>
    </row>
    <row r="672" spans="5:11" x14ac:dyDescent="0.35">
      <c r="E672" s="9" t="str">
        <v>EPSG</v>
      </c>
      <c r="F672" s="7" t="str">
        <v>2728</v>
      </c>
      <c r="G672" t="str">
        <v>ProjectedCrs</v>
      </c>
      <c r="H672" t="str">
        <v>Transverse Mercator</v>
      </c>
      <c r="I672" t="str">
        <v>Pulkovo 1995 / 3-degree Gauss-Kruger CM 108E</v>
      </c>
      <c r="J672" t="str">
        <v>Russian Federation - onshore between 106°30'E and 109°30'E.</v>
      </c>
      <c r="K672" s="11">
        <v>0</v>
      </c>
    </row>
    <row r="673" spans="5:11" x14ac:dyDescent="0.35">
      <c r="E673" s="9" t="str">
        <v>EPSG</v>
      </c>
      <c r="F673" s="7" t="str">
        <v>2729</v>
      </c>
      <c r="G673" t="str">
        <v>ProjectedCrs</v>
      </c>
      <c r="H673" t="str">
        <v>Transverse Mercator</v>
      </c>
      <c r="I673" t="str">
        <v>Pulkovo 1995 / 3-degree Gauss-Kruger CM 111E</v>
      </c>
      <c r="J673" t="str">
        <v>Russian Federation - onshore between 109°30'E and 112°30'E.</v>
      </c>
      <c r="K673" s="11">
        <v>0</v>
      </c>
    </row>
    <row r="674" spans="5:11" x14ac:dyDescent="0.35">
      <c r="E674" s="9" t="str">
        <v>EPSG</v>
      </c>
      <c r="F674" s="7" t="str">
        <v>2730</v>
      </c>
      <c r="G674" t="str">
        <v>ProjectedCrs</v>
      </c>
      <c r="H674" t="str">
        <v>Transverse Mercator</v>
      </c>
      <c r="I674" t="str">
        <v>Pulkovo 1995 / 3-degree Gauss-Kruger CM 114E</v>
      </c>
      <c r="J674" t="str">
        <v>Russian Federation - onshore between 112°30'E and 115°30'E.</v>
      </c>
      <c r="K674" s="11">
        <v>0</v>
      </c>
    </row>
    <row r="675" spans="5:11" x14ac:dyDescent="0.35">
      <c r="E675" s="9" t="str">
        <v>EPSG</v>
      </c>
      <c r="F675" s="7" t="str">
        <v>2731</v>
      </c>
      <c r="G675" t="str">
        <v>ProjectedCrs</v>
      </c>
      <c r="H675" t="str">
        <v>Transverse Mercator</v>
      </c>
      <c r="I675" t="str">
        <v>Pulkovo 1995 / 3-degree Gauss-Kruger CM 117E</v>
      </c>
      <c r="J675" t="str">
        <v>Russian Federation - onshore between 115°30'E and 118°30'E.</v>
      </c>
      <c r="K675" s="11">
        <v>0</v>
      </c>
    </row>
    <row r="676" spans="5:11" x14ac:dyDescent="0.35">
      <c r="E676" s="9" t="str">
        <v>EPSG</v>
      </c>
      <c r="F676" s="7" t="str">
        <v>2732</v>
      </c>
      <c r="G676" t="str">
        <v>ProjectedCrs</v>
      </c>
      <c r="H676" t="str">
        <v>Transverse Mercator</v>
      </c>
      <c r="I676" t="str">
        <v>Pulkovo 1995 / 3-degree Gauss-Kruger CM 120E</v>
      </c>
      <c r="J676" t="str">
        <v>Russian Federation - onshore between 118°30'E and 121°30'E.</v>
      </c>
      <c r="K676" s="11">
        <v>0</v>
      </c>
    </row>
    <row r="677" spans="5:11" x14ac:dyDescent="0.35">
      <c r="E677" s="9" t="str">
        <v>EPSG</v>
      </c>
      <c r="F677" s="7" t="str">
        <v>2733</v>
      </c>
      <c r="G677" t="str">
        <v>ProjectedCrs</v>
      </c>
      <c r="H677" t="str">
        <v>Transverse Mercator</v>
      </c>
      <c r="I677" t="str">
        <v>Pulkovo 1995 / 3-degree Gauss-Kruger CM 123E</v>
      </c>
      <c r="J677" t="str">
        <v>Russian Federation - onshore between 121°30'E and 124°30'E.</v>
      </c>
      <c r="K677" s="11">
        <v>0</v>
      </c>
    </row>
    <row r="678" spans="5:11" x14ac:dyDescent="0.35">
      <c r="E678" s="9" t="str">
        <v>EPSG</v>
      </c>
      <c r="F678" s="7" t="str">
        <v>2734</v>
      </c>
      <c r="G678" t="str">
        <v>ProjectedCrs</v>
      </c>
      <c r="H678" t="str">
        <v>Transverse Mercator</v>
      </c>
      <c r="I678" t="str">
        <v>Pulkovo 1995 / 3-degree Gauss-Kruger CM 126E</v>
      </c>
      <c r="J678" t="str">
        <v>Russian Federation - onshore between 124°30'E and 127°30'E.</v>
      </c>
      <c r="K678" s="11">
        <v>0</v>
      </c>
    </row>
    <row r="679" spans="5:11" x14ac:dyDescent="0.35">
      <c r="E679" s="9" t="str">
        <v>EPSG</v>
      </c>
      <c r="F679" s="7" t="str">
        <v>2735</v>
      </c>
      <c r="G679" t="str">
        <v>ProjectedCrs</v>
      </c>
      <c r="H679" t="str">
        <v>Transverse Mercator</v>
      </c>
      <c r="I679" t="str">
        <v>Pulkovo 1995 / 3-degree Gauss-Kruger CM 129E</v>
      </c>
      <c r="J679" t="str">
        <v>Russian Federation - onshore between 127°30'E and 130°30'E.</v>
      </c>
      <c r="K679" s="11">
        <v>0</v>
      </c>
    </row>
    <row r="680" spans="5:11" x14ac:dyDescent="0.35">
      <c r="E680" s="9" t="str">
        <v>EPSG</v>
      </c>
      <c r="F680" s="7" t="str">
        <v>2736</v>
      </c>
      <c r="G680" t="str">
        <v>ProjectedCrs</v>
      </c>
      <c r="H680" t="str">
        <v>Transverse Mercator</v>
      </c>
      <c r="I680" t="str">
        <v>Tete / UTM zone 36S</v>
      </c>
      <c r="J680" t="str">
        <v>Mozambique - onshore west of 36°E.</v>
      </c>
      <c r="K680" s="11">
        <v>0</v>
      </c>
    </row>
    <row r="681" spans="5:11" x14ac:dyDescent="0.35">
      <c r="E681" s="9" t="str">
        <v>EPSG</v>
      </c>
      <c r="F681" s="7" t="str">
        <v>2737</v>
      </c>
      <c r="G681" t="str">
        <v>ProjectedCrs</v>
      </c>
      <c r="H681" t="str">
        <v>Transverse Mercator</v>
      </c>
      <c r="I681" t="str">
        <v>Tete / UTM zone 37S</v>
      </c>
      <c r="J681" t="str">
        <v>Mozambique - onshore east of 36°E.</v>
      </c>
      <c r="K681" s="11">
        <v>0</v>
      </c>
    </row>
    <row r="682" spans="5:11" x14ac:dyDescent="0.35">
      <c r="E682" s="9" t="str">
        <v>EPSG</v>
      </c>
      <c r="F682" s="7" t="str">
        <v>2738</v>
      </c>
      <c r="G682" t="str">
        <v>ProjectedCrs</v>
      </c>
      <c r="H682" t="str">
        <v>Transverse Mercator</v>
      </c>
      <c r="I682" t="str">
        <v>Pulkovo 1995 / 3-degree Gauss-Kruger CM 132E</v>
      </c>
      <c r="J682" t="str">
        <v>Russian Federation - onshore between 130°30'E and 133°30'E.</v>
      </c>
      <c r="K682" s="11">
        <v>0</v>
      </c>
    </row>
    <row r="683" spans="5:11" x14ac:dyDescent="0.35">
      <c r="E683" s="9" t="str">
        <v>EPSG</v>
      </c>
      <c r="F683" s="7" t="str">
        <v>2739</v>
      </c>
      <c r="G683" t="str">
        <v>ProjectedCrs</v>
      </c>
      <c r="H683" t="str">
        <v>Transverse Mercator</v>
      </c>
      <c r="I683" t="str">
        <v>Pulkovo 1995 / 3-degree Gauss-Kruger CM 135E</v>
      </c>
      <c r="J683" t="str">
        <v>Russian Federation - onshore between 133°30'E and 136°30'E.</v>
      </c>
      <c r="K683" s="11">
        <v>0</v>
      </c>
    </row>
    <row r="684" spans="5:11" x14ac:dyDescent="0.35">
      <c r="E684" s="9" t="str">
        <v>EPSG</v>
      </c>
      <c r="F684" s="7" t="str">
        <v>2740</v>
      </c>
      <c r="G684" t="str">
        <v>ProjectedCrs</v>
      </c>
      <c r="H684" t="str">
        <v>Transverse Mercator</v>
      </c>
      <c r="I684" t="str">
        <v>Pulkovo 1995 / 3-degree Gauss-Kruger CM 138E</v>
      </c>
      <c r="J684" t="str">
        <v>Russian Federation - onshore between 136°30'E and 139°30'E.</v>
      </c>
      <c r="K684" s="11">
        <v>0</v>
      </c>
    </row>
    <row r="685" spans="5:11" x14ac:dyDescent="0.35">
      <c r="E685" s="9" t="str">
        <v>EPSG</v>
      </c>
      <c r="F685" s="7" t="str">
        <v>2741</v>
      </c>
      <c r="G685" t="str">
        <v>ProjectedCrs</v>
      </c>
      <c r="H685" t="str">
        <v>Transverse Mercator</v>
      </c>
      <c r="I685" t="str">
        <v>Pulkovo 1995 / 3-degree Gauss-Kruger CM 141E</v>
      </c>
      <c r="J685" t="str">
        <v>Russian Federation - onshore between 139°30'E and 142°30'E.</v>
      </c>
      <c r="K685" s="11">
        <v>0</v>
      </c>
    </row>
    <row r="686" spans="5:11" x14ac:dyDescent="0.35">
      <c r="E686" s="9" t="str">
        <v>EPSG</v>
      </c>
      <c r="F686" s="7" t="str">
        <v>2742</v>
      </c>
      <c r="G686" t="str">
        <v>ProjectedCrs</v>
      </c>
      <c r="H686" t="str">
        <v>Transverse Mercator</v>
      </c>
      <c r="I686" t="str">
        <v>Pulkovo 1995 / 3-degree Gauss-Kruger CM 144E</v>
      </c>
      <c r="J686" t="str">
        <v>Russian Federation - onshore between 142°30'E and 145°30'E.</v>
      </c>
      <c r="K686" s="11">
        <v>0</v>
      </c>
    </row>
    <row r="687" spans="5:11" x14ac:dyDescent="0.35">
      <c r="E687" s="9" t="str">
        <v>EPSG</v>
      </c>
      <c r="F687" s="7" t="str">
        <v>2743</v>
      </c>
      <c r="G687" t="str">
        <v>ProjectedCrs</v>
      </c>
      <c r="H687" t="str">
        <v>Transverse Mercator</v>
      </c>
      <c r="I687" t="str">
        <v>Pulkovo 1995 / 3-degree Gauss-Kruger CM 147E</v>
      </c>
      <c r="J687" t="str">
        <v>Russian Federation - onshore between 145°30'E and 148°30'E.</v>
      </c>
      <c r="K687" s="11">
        <v>0</v>
      </c>
    </row>
    <row r="688" spans="5:11" x14ac:dyDescent="0.35">
      <c r="E688" s="9" t="str">
        <v>EPSG</v>
      </c>
      <c r="F688" s="7" t="str">
        <v>2744</v>
      </c>
      <c r="G688" t="str">
        <v>ProjectedCrs</v>
      </c>
      <c r="H688" t="str">
        <v>Transverse Mercator</v>
      </c>
      <c r="I688" t="str">
        <v>Pulkovo 1995 / 3-degree Gauss-Kruger CM 150E</v>
      </c>
      <c r="J688" t="str">
        <v>Russian Federation - onshore between 148°30'E and 151°30'E.</v>
      </c>
      <c r="K688" s="11">
        <v>0</v>
      </c>
    </row>
    <row r="689" spans="5:11" x14ac:dyDescent="0.35">
      <c r="E689" s="9" t="str">
        <v>EPSG</v>
      </c>
      <c r="F689" s="7" t="str">
        <v>2745</v>
      </c>
      <c r="G689" t="str">
        <v>ProjectedCrs</v>
      </c>
      <c r="H689" t="str">
        <v>Transverse Mercator</v>
      </c>
      <c r="I689" t="str">
        <v>Pulkovo 1995 / 3-degree Gauss-Kruger CM 153E</v>
      </c>
      <c r="J689" t="str">
        <v>Russian Federation - onshore between 151°30'E and 154°30'E.</v>
      </c>
      <c r="K689" s="11">
        <v>0</v>
      </c>
    </row>
    <row r="690" spans="5:11" x14ac:dyDescent="0.35">
      <c r="E690" s="9" t="str">
        <v>EPSG</v>
      </c>
      <c r="F690" s="7" t="str">
        <v>2746</v>
      </c>
      <c r="G690" t="str">
        <v>ProjectedCrs</v>
      </c>
      <c r="H690" t="str">
        <v>Transverse Mercator</v>
      </c>
      <c r="I690" t="str">
        <v>Pulkovo 1995 / 3-degree Gauss-Kruger CM 156E</v>
      </c>
      <c r="J690" t="str">
        <v>Russian Federation - onshore between 154°30'E and 157°30'E.</v>
      </c>
      <c r="K690" s="11">
        <v>0</v>
      </c>
    </row>
    <row r="691" spans="5:11" x14ac:dyDescent="0.35">
      <c r="E691" s="9" t="str">
        <v>EPSG</v>
      </c>
      <c r="F691" s="7" t="str">
        <v>2747</v>
      </c>
      <c r="G691" t="str">
        <v>ProjectedCrs</v>
      </c>
      <c r="H691" t="str">
        <v>Transverse Mercator</v>
      </c>
      <c r="I691" t="str">
        <v>Pulkovo 1995 / 3-degree Gauss-Kruger CM 159E</v>
      </c>
      <c r="J691" t="str">
        <v>Russian Federation - onshore between 157°30'E and 160°30'E.</v>
      </c>
      <c r="K691" s="11">
        <v>0</v>
      </c>
    </row>
    <row r="692" spans="5:11" x14ac:dyDescent="0.35">
      <c r="E692" s="9" t="str">
        <v>EPSG</v>
      </c>
      <c r="F692" s="7" t="str">
        <v>2748</v>
      </c>
      <c r="G692" t="str">
        <v>ProjectedCrs</v>
      </c>
      <c r="H692" t="str">
        <v>Transverse Mercator</v>
      </c>
      <c r="I692" t="str">
        <v>Pulkovo 1995 / 3-degree Gauss-Kruger CM 162E</v>
      </c>
      <c r="J692" t="str">
        <v>Russian Federation - onshore between 160°30'E and 163°30'E.</v>
      </c>
      <c r="K692" s="11">
        <v>0</v>
      </c>
    </row>
    <row r="693" spans="5:11" x14ac:dyDescent="0.35">
      <c r="E693" s="9" t="str">
        <v>EPSG</v>
      </c>
      <c r="F693" s="7" t="str">
        <v>2749</v>
      </c>
      <c r="G693" t="str">
        <v>ProjectedCrs</v>
      </c>
      <c r="H693" t="str">
        <v>Transverse Mercator</v>
      </c>
      <c r="I693" t="str">
        <v>Pulkovo 1995 / 3-degree Gauss-Kruger CM 165E</v>
      </c>
      <c r="J693" t="str">
        <v>Russian Federation - onshore between 163°30'E and 166°30'E.</v>
      </c>
      <c r="K693" s="11">
        <v>0</v>
      </c>
    </row>
    <row r="694" spans="5:11" x14ac:dyDescent="0.35">
      <c r="E694" s="9" t="str">
        <v>EPSG</v>
      </c>
      <c r="F694" s="7" t="str">
        <v>2750</v>
      </c>
      <c r="G694" t="str">
        <v>ProjectedCrs</v>
      </c>
      <c r="H694" t="str">
        <v>Transverse Mercator</v>
      </c>
      <c r="I694" t="str">
        <v>Pulkovo 1995 / 3-degree Gauss-Kruger CM 168E</v>
      </c>
      <c r="J694" t="str">
        <v>Russian Federation - onshore between 166°30'E and 169°30'E.</v>
      </c>
      <c r="K694" s="11">
        <v>0</v>
      </c>
    </row>
    <row r="695" spans="5:11" x14ac:dyDescent="0.35">
      <c r="E695" s="9" t="str">
        <v>EPSG</v>
      </c>
      <c r="F695" s="7" t="str">
        <v>2751</v>
      </c>
      <c r="G695" t="str">
        <v>ProjectedCrs</v>
      </c>
      <c r="H695" t="str">
        <v>Transverse Mercator</v>
      </c>
      <c r="I695" t="str">
        <v>Pulkovo 1995 / 3-degree Gauss-Kruger CM 171E</v>
      </c>
      <c r="J695" t="str">
        <v>Russian Federation - onshore between 169°30'E and 172°30'E.</v>
      </c>
      <c r="K695" s="11">
        <v>0</v>
      </c>
    </row>
    <row r="696" spans="5:11" x14ac:dyDescent="0.35">
      <c r="E696" s="9" t="str">
        <v>EPSG</v>
      </c>
      <c r="F696" s="7" t="str">
        <v>2752</v>
      </c>
      <c r="G696" t="str">
        <v>ProjectedCrs</v>
      </c>
      <c r="H696" t="str">
        <v>Transverse Mercator</v>
      </c>
      <c r="I696" t="str">
        <v>Pulkovo 1995 / 3-degree Gauss-Kruger CM 174E</v>
      </c>
      <c r="J696" t="str">
        <v>Russian Federation - onshore between 172°30'E and 175°30'E.</v>
      </c>
      <c r="K696" s="11">
        <v>0</v>
      </c>
    </row>
    <row r="697" spans="5:11" x14ac:dyDescent="0.35">
      <c r="E697" s="9" t="str">
        <v>EPSG</v>
      </c>
      <c r="F697" s="7" t="str">
        <v>2753</v>
      </c>
      <c r="G697" t="str">
        <v>ProjectedCrs</v>
      </c>
      <c r="H697" t="str">
        <v>Transverse Mercator</v>
      </c>
      <c r="I697" t="str">
        <v>Pulkovo 1995 / 3-degree Gauss-Kruger CM 177E</v>
      </c>
      <c r="J697" t="str">
        <v>Russian Federation - onshore between 175°30'E and 178°30'E.</v>
      </c>
      <c r="K697" s="11">
        <v>0</v>
      </c>
    </row>
    <row r="698" spans="5:11" x14ac:dyDescent="0.35">
      <c r="E698" s="9" t="str">
        <v>EPSG</v>
      </c>
      <c r="F698" s="7" t="str">
        <v>2754</v>
      </c>
      <c r="G698" t="str">
        <v>ProjectedCrs</v>
      </c>
      <c r="H698" t="str">
        <v>Transverse Mercator</v>
      </c>
      <c r="I698" t="str">
        <v>Pulkovo 1995 / 3-degree Gauss-Kruger CM 180E</v>
      </c>
      <c r="J698" t="str">
        <v>Russian Federation - onshore between 178°30'E and 178°30'W.</v>
      </c>
      <c r="K698" s="11">
        <v>0</v>
      </c>
    </row>
    <row r="699" spans="5:11" x14ac:dyDescent="0.35">
      <c r="E699" s="9" t="str">
        <v>EPSG</v>
      </c>
      <c r="F699" s="7" t="str">
        <v>2755</v>
      </c>
      <c r="G699" t="str">
        <v>ProjectedCrs</v>
      </c>
      <c r="H699" t="str">
        <v>Transverse Mercator</v>
      </c>
      <c r="I699" t="str">
        <v>Pulkovo 1995 / 3-degree Gauss-Kruger CM 177W</v>
      </c>
      <c r="J699" t="str">
        <v>Russian Federation - onshore between 178°30'W and 175°30'W.</v>
      </c>
      <c r="K699" s="11">
        <v>0</v>
      </c>
    </row>
    <row r="700" spans="5:11" x14ac:dyDescent="0.35">
      <c r="E700" s="9" t="str">
        <v>EPSG</v>
      </c>
      <c r="F700" s="7" t="str">
        <v>2756</v>
      </c>
      <c r="G700" t="str">
        <v>ProjectedCrs</v>
      </c>
      <c r="H700" t="str">
        <v>Transverse Mercator</v>
      </c>
      <c r="I700" t="str">
        <v>Pulkovo 1995 / 3-degree Gauss-Kruger CM 174W</v>
      </c>
      <c r="J700" t="str">
        <v>Russian Federation - onshore between 175°30'W and 172°30'W.</v>
      </c>
      <c r="K700" s="11">
        <v>0</v>
      </c>
    </row>
    <row r="701" spans="5:11" x14ac:dyDescent="0.35">
      <c r="E701" s="9" t="str">
        <v>EPSG</v>
      </c>
      <c r="F701" s="7" t="str">
        <v>2757</v>
      </c>
      <c r="G701" t="str">
        <v>ProjectedCrs</v>
      </c>
      <c r="H701" t="str">
        <v>Transverse Mercator</v>
      </c>
      <c r="I701" t="str">
        <v>Pulkovo 1995 / 3-degree Gauss-Kruger CM 171W</v>
      </c>
      <c r="J701" t="str">
        <v>Russian Federation - onshore between 172°30'W and 169°30'W.</v>
      </c>
      <c r="K701" s="11">
        <v>0</v>
      </c>
    </row>
    <row r="702" spans="5:11" x14ac:dyDescent="0.35">
      <c r="E702" s="9" t="str">
        <v>EPSG</v>
      </c>
      <c r="F702" s="7" t="str">
        <v>2758</v>
      </c>
      <c r="G702" t="str">
        <v>ProjectedCrs</v>
      </c>
      <c r="H702" t="str">
        <v>Transverse Mercator</v>
      </c>
      <c r="I702" t="str">
        <v>Pulkovo 1995 / 3-degree Gauss-Kruger CM 168W</v>
      </c>
      <c r="J702" t="str">
        <v>Russian Federation - onshore between 169°30'W and 166°30'W.</v>
      </c>
      <c r="K702" s="11">
        <v>0</v>
      </c>
    </row>
    <row r="703" spans="5:11" x14ac:dyDescent="0.35">
      <c r="E703" s="9" t="str">
        <v>EPSG</v>
      </c>
      <c r="F703" s="7" t="str">
        <v>2759</v>
      </c>
      <c r="G703" t="str">
        <v>ProjectedCrs</v>
      </c>
      <c r="H703" t="str">
        <v>Transverse Mercator</v>
      </c>
      <c r="I703" t="str">
        <v>NAD83(HARN) / Alabama East</v>
      </c>
      <c r="J703"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703" s="11">
        <v>0</v>
      </c>
    </row>
    <row r="704" spans="5:11" x14ac:dyDescent="0.35">
      <c r="E704" s="9" t="str">
        <v>EPSG</v>
      </c>
      <c r="F704" s="7" t="str">
        <v>2760</v>
      </c>
      <c r="G704" t="str">
        <v>ProjectedCrs</v>
      </c>
      <c r="H704" t="str">
        <v>Transverse Mercator</v>
      </c>
      <c r="I704" t="str">
        <v>NAD83(HARN) / Alabama West</v>
      </c>
      <c r="J704"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704" s="11">
        <v>0</v>
      </c>
    </row>
    <row r="705" spans="5:11" x14ac:dyDescent="0.35">
      <c r="E705" s="9" t="str">
        <v>EPSG</v>
      </c>
      <c r="F705" s="7" t="str">
        <v>2761</v>
      </c>
      <c r="G705" t="str">
        <v>ProjectedCrs</v>
      </c>
      <c r="H705" t="str">
        <v>Transverse Mercator</v>
      </c>
      <c r="I705" t="str">
        <v>NAD83(HARN) / Arizona East</v>
      </c>
      <c r="J705" t="str">
        <v>United States (USA) - Arizona - counties Apache; Cochise; Gila; Graham; Greenlee; Navajo.</v>
      </c>
      <c r="K705" s="11">
        <v>0</v>
      </c>
    </row>
    <row r="706" spans="5:11" x14ac:dyDescent="0.35">
      <c r="E706" s="9" t="str">
        <v>EPSG</v>
      </c>
      <c r="F706" s="7" t="str">
        <v>2762</v>
      </c>
      <c r="G706" t="str">
        <v>ProjectedCrs</v>
      </c>
      <c r="H706" t="str">
        <v>Transverse Mercator</v>
      </c>
      <c r="I706" t="str">
        <v>NAD83(HARN) / Arizona Central</v>
      </c>
      <c r="J706" t="str">
        <v>United States (USA) - Arizona - counties Coconino; Maricopa; Pima; Pinal; Santa Cruz; Yavapai.</v>
      </c>
      <c r="K706" s="11">
        <v>0</v>
      </c>
    </row>
    <row r="707" spans="5:11" x14ac:dyDescent="0.35">
      <c r="E707" s="9" t="str">
        <v>EPSG</v>
      </c>
      <c r="F707" s="7" t="str">
        <v>2763</v>
      </c>
      <c r="G707" t="str">
        <v>ProjectedCrs</v>
      </c>
      <c r="H707" t="str">
        <v>Transverse Mercator</v>
      </c>
      <c r="I707" t="str">
        <v>NAD83(HARN) / Arizona West</v>
      </c>
      <c r="J707" t="str">
        <v>United States (USA) - Arizona - counties of La Paz; Mohave; Yuma.</v>
      </c>
      <c r="K707" s="11">
        <v>0</v>
      </c>
    </row>
    <row r="708" spans="5:11" x14ac:dyDescent="0.35">
      <c r="E708" s="9" t="str">
        <v>EPSG</v>
      </c>
      <c r="F708" s="7" t="str">
        <v>2764</v>
      </c>
      <c r="G708" t="str">
        <v>ProjectedCrs</v>
      </c>
      <c r="H708" t="str">
        <v>Lambert Conic Conformal (2SP)</v>
      </c>
      <c r="I708" t="str">
        <v>NAD83(HARN) / Arkansas North</v>
      </c>
      <c r="J708"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708" s="11">
        <v>0</v>
      </c>
    </row>
    <row r="709" spans="5:11" x14ac:dyDescent="0.35">
      <c r="E709" s="9" t="str">
        <v>EPSG</v>
      </c>
      <c r="F709" s="7" t="str">
        <v>2765</v>
      </c>
      <c r="G709" t="str">
        <v>ProjectedCrs</v>
      </c>
      <c r="H709" t="str">
        <v>Lambert Conic Conformal (2SP)</v>
      </c>
      <c r="I709" t="str">
        <v>NAD83(HARN) / Arkansas South</v>
      </c>
      <c r="J709"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709" s="11">
        <v>0</v>
      </c>
    </row>
    <row r="710" spans="5:11" x14ac:dyDescent="0.35">
      <c r="E710" s="9" t="str">
        <v>EPSG</v>
      </c>
      <c r="F710" s="7" t="str">
        <v>2766</v>
      </c>
      <c r="G710" t="str">
        <v>ProjectedCrs</v>
      </c>
      <c r="H710" t="str">
        <v>Lambert Conic Conformal (2SP)</v>
      </c>
      <c r="I710" t="str">
        <v>NAD83(HARN) / California zone 1</v>
      </c>
      <c r="J710" t="str">
        <v>United States (USA) - California - counties Del Norte; Humboldt; Lassen; Modoc; Plumas; Shasta; Siskiyou; Tehama; Trinity.</v>
      </c>
      <c r="K710" s="11">
        <v>0</v>
      </c>
    </row>
    <row r="711" spans="5:11" x14ac:dyDescent="0.35">
      <c r="E711" s="9" t="str">
        <v>EPSG</v>
      </c>
      <c r="F711" s="7" t="str">
        <v>2767</v>
      </c>
      <c r="G711" t="str">
        <v>ProjectedCrs</v>
      </c>
      <c r="H711" t="str">
        <v>Lambert Conic Conformal (2SP)</v>
      </c>
      <c r="I711" t="str">
        <v>NAD83(HARN) / California zone 2</v>
      </c>
      <c r="J711" t="str">
        <v>United States (USA) - California - counties of Alpine; Amador; Butte; Colusa; El Dorado; Glenn; Lake; Mendocino; Napa; Nevada; Placer; Sacramento; Sierra; Solano; Sonoma; Sutter; Yolo; Yuba.</v>
      </c>
      <c r="K711" s="11">
        <v>0</v>
      </c>
    </row>
    <row r="712" spans="5:11" x14ac:dyDescent="0.35">
      <c r="E712" s="9" t="str">
        <v>EPSG</v>
      </c>
      <c r="F712" s="7" t="str">
        <v>2768</v>
      </c>
      <c r="G712" t="str">
        <v>ProjectedCrs</v>
      </c>
      <c r="H712" t="str">
        <v>Lambert Conic Conformal (2SP)</v>
      </c>
      <c r="I712" t="str">
        <v>NAD83(HARN) / California zone 3</v>
      </c>
      <c r="J712" t="str">
        <v>United States (USA) - California - counties Alameda; Calaveras; Contra Costa; Madera; Marin; Mariposa; Merced; Mono; San Francisco; San Joaquin; San Mateo; Santa Clara; Santa Cruz; Stanislaus; Tuolumne.</v>
      </c>
      <c r="K712" s="11">
        <v>0</v>
      </c>
    </row>
    <row r="713" spans="5:11" x14ac:dyDescent="0.35">
      <c r="E713" s="9" t="str">
        <v>EPSG</v>
      </c>
      <c r="F713" s="7" t="str">
        <v>2769</v>
      </c>
      <c r="G713" t="str">
        <v>ProjectedCrs</v>
      </c>
      <c r="H713" t="str">
        <v>Lambert Conic Conformal (2SP)</v>
      </c>
      <c r="I713" t="str">
        <v>NAD83(HARN) / California zone 4</v>
      </c>
      <c r="J713" t="str">
        <v>United States (USA) - California - counties Fresno; Inyo; Kings; Monterey; San Benito; Tulare.</v>
      </c>
      <c r="K713" s="11">
        <v>0</v>
      </c>
    </row>
    <row r="714" spans="5:11" x14ac:dyDescent="0.35">
      <c r="E714" s="9" t="str">
        <v>EPSG</v>
      </c>
      <c r="F714" s="7" t="str">
        <v>2770</v>
      </c>
      <c r="G714" t="str">
        <v>ProjectedCrs</v>
      </c>
      <c r="H714" t="str">
        <v>Lambert Conic Conformal (2SP)</v>
      </c>
      <c r="I714" t="str">
        <v>NAD83(HARN) / California zone 5</v>
      </c>
      <c r="J714" t="str">
        <v>United States (USA) - California - counties Kern; Los Angeles; San Bernardino; San Luis Obispo; Santa Barbara; Ventura.</v>
      </c>
      <c r="K714" s="11">
        <v>0</v>
      </c>
    </row>
    <row r="715" spans="5:11" x14ac:dyDescent="0.35">
      <c r="E715" s="9" t="str">
        <v>EPSG</v>
      </c>
      <c r="F715" s="7" t="str">
        <v>2771</v>
      </c>
      <c r="G715" t="str">
        <v>ProjectedCrs</v>
      </c>
      <c r="H715" t="str">
        <v>Lambert Conic Conformal (2SP)</v>
      </c>
      <c r="I715" t="str">
        <v>NAD83(HARN) / California zone 6</v>
      </c>
      <c r="J715" t="str">
        <v>United States (USA) - California - counties Imperial; Orange; Riverside; San Diego.</v>
      </c>
      <c r="K715" s="11">
        <v>0</v>
      </c>
    </row>
    <row r="716" spans="5:11" x14ac:dyDescent="0.35">
      <c r="E716" s="9" t="str">
        <v>EPSG</v>
      </c>
      <c r="F716" s="7" t="str">
        <v>2772</v>
      </c>
      <c r="G716" t="str">
        <v>ProjectedCrs</v>
      </c>
      <c r="H716" t="str">
        <v>Lambert Conic Conformal (2SP)</v>
      </c>
      <c r="I716" t="str">
        <v>NAD83(HARN) / Colorado North</v>
      </c>
      <c r="J716" t="str">
        <v>United States (USA) - Colorado - counties Adams; Boulder; Gilpin; Grand; Jackson; Larimer; Logan; Moffat; Morgan; Phillips; Rio Blanco; Routt; Sedgwick; Washington; Weld; Yuma.</v>
      </c>
      <c r="K716" s="11">
        <v>0</v>
      </c>
    </row>
    <row r="717" spans="5:11" x14ac:dyDescent="0.35">
      <c r="E717" s="9" t="str">
        <v>EPSG</v>
      </c>
      <c r="F717" s="7" t="str">
        <v>2773</v>
      </c>
      <c r="G717" t="str">
        <v>ProjectedCrs</v>
      </c>
      <c r="H717" t="str">
        <v>Lambert Conic Conformal (2SP)</v>
      </c>
      <c r="I717" t="str">
        <v>NAD83(HARN) / Colorado Central</v>
      </c>
      <c r="J717" t="str">
        <v>United States (USA) - Colorado - counties Arapahoe; Chaffee; Cheyenne; Clear Creek; Delta; Denver; Douglas; Eagle; El Paso; Elbert; Fremont; Garfield; Gunnison; Jefferson; Kit Carson; Lake; Lincoln; Mesa; Park; Pitkin; Summit; Teller.</v>
      </c>
      <c r="K717" s="11">
        <v>0</v>
      </c>
    </row>
    <row r="718" spans="5:11" x14ac:dyDescent="0.35">
      <c r="E718" s="9" t="str">
        <v>EPSG</v>
      </c>
      <c r="F718" s="7" t="str">
        <v>2774</v>
      </c>
      <c r="G718" t="str">
        <v>ProjectedCrs</v>
      </c>
      <c r="H718" t="str">
        <v>Lambert Conic Conformal (2SP)</v>
      </c>
      <c r="I718" t="str">
        <v>NAD83(HARN) / Colorado South</v>
      </c>
      <c r="J718" t="str">
        <v>United States (USA) - Colorado - counties Alamosa; Archuleta; Baca; Bent; Conejos; Costilla; Crowley; Custer; Dolores; Hinsdale; Huerfano; Kiowa; La Plata; Las Animas; Mineral; Montezuma; Montrose; Otero; Ouray; Prowers; Pueblo; Rio Grande; Saguache; San Juan; San Miguel.</v>
      </c>
      <c r="K718" s="11">
        <v>0</v>
      </c>
    </row>
    <row r="719" spans="5:11" x14ac:dyDescent="0.35">
      <c r="E719" s="9" t="str">
        <v>EPSG</v>
      </c>
      <c r="F719" s="7" t="str">
        <v>2775</v>
      </c>
      <c r="G719" t="str">
        <v>ProjectedCrs</v>
      </c>
      <c r="H719" t="str">
        <v>Lambert Conic Conformal (2SP)</v>
      </c>
      <c r="I719" t="str">
        <v>NAD83(HARN) / Connecticut</v>
      </c>
      <c r="J719" t="str">
        <v>United States (USA) - Connecticut - counties of Fairfield; Hartford; Litchfield; Middlesex; New Haven; New London; Tolland; Windham.</v>
      </c>
      <c r="K719" s="11">
        <v>0</v>
      </c>
    </row>
    <row r="720" spans="5:11" x14ac:dyDescent="0.35">
      <c r="E720" s="9" t="str">
        <v>EPSG</v>
      </c>
      <c r="F720" s="7" t="str">
        <v>2776</v>
      </c>
      <c r="G720" t="str">
        <v>ProjectedCrs</v>
      </c>
      <c r="H720" t="str">
        <v>Transverse Mercator</v>
      </c>
      <c r="I720" t="str">
        <v>NAD83(HARN) / Delaware</v>
      </c>
      <c r="J720" t="str">
        <v>United States (USA) - Delaware - counties of Kent; New Castle; Sussex.</v>
      </c>
      <c r="K720" s="11">
        <v>0</v>
      </c>
    </row>
    <row r="721" spans="5:11" x14ac:dyDescent="0.35">
      <c r="E721" s="9" t="str">
        <v>EPSG</v>
      </c>
      <c r="F721" s="7" t="str">
        <v>2777</v>
      </c>
      <c r="G721" t="str">
        <v>ProjectedCrs</v>
      </c>
      <c r="H721" t="str">
        <v>Transverse Mercator</v>
      </c>
      <c r="I721" t="str">
        <v>NAD83(HARN) / Florida East</v>
      </c>
      <c r="J721" t="str">
        <v>United States (USA) - Florida - counties of Brevard; Broward; Clay; Collier; Dade; Duval; Flagler; Glades; Hendry; Highlands; Indian River; Lake; Martin; Monroe; Nassau; Okeechobee; Orange; Osceola; Palm Beach; Putnam; Seminole; St Johns; St Lucie; Volusia.</v>
      </c>
      <c r="K721" s="11">
        <v>0</v>
      </c>
    </row>
    <row r="722" spans="5:11" x14ac:dyDescent="0.35">
      <c r="E722" s="9" t="str">
        <v>EPSG</v>
      </c>
      <c r="F722" s="7" t="str">
        <v>2778</v>
      </c>
      <c r="G722" t="str">
        <v>ProjectedCrs</v>
      </c>
      <c r="H722" t="str">
        <v>Transverse Mercator</v>
      </c>
      <c r="I722" t="str">
        <v>NAD83(HARN) / Florida West</v>
      </c>
      <c r="J722" t="str">
        <v>United States (USA) - Florida - counties of Charlotte; Citrus; De Soto; Hardee; Hernando; Hillsborough; Lee; Levy; Manatee; Marion; Pasco; Pinellas; Polk; Sarasota; Sumter.</v>
      </c>
      <c r="K722" s="11">
        <v>0</v>
      </c>
    </row>
    <row r="723" spans="5:11" x14ac:dyDescent="0.35">
      <c r="E723" s="9" t="str">
        <v>EPSG</v>
      </c>
      <c r="F723" s="7" t="str">
        <v>2779</v>
      </c>
      <c r="G723" t="str">
        <v>ProjectedCrs</v>
      </c>
      <c r="H723" t="str">
        <v>Lambert Conic Conformal (2SP)</v>
      </c>
      <c r="I723" t="str">
        <v>NAD83(HARN) / Florida North</v>
      </c>
      <c r="J723" t="str">
        <v>United States (USA) - Florida - counties of Alachua; Baker; Bay; Bradford; Calhoun; Columbia; Dixie; Escambia; Franklin; Gadsden; Gilchrist; Gulf; Hamilton; Holmes; Jackson; Jefferson; Lafayette; Leon; Liberty; Madison; Okaloosa; Santa Rosa; Suwannee; Taylor; Union; Wakulla; Walton; Washington.</v>
      </c>
      <c r="K723" s="11">
        <v>0</v>
      </c>
    </row>
    <row r="724" spans="5:11" x14ac:dyDescent="0.35">
      <c r="E724" s="9" t="str">
        <v>EPSG</v>
      </c>
      <c r="F724" s="7" t="str">
        <v>2780</v>
      </c>
      <c r="G724" t="str">
        <v>ProjectedCrs</v>
      </c>
      <c r="H724" t="str">
        <v>Transverse Mercator</v>
      </c>
      <c r="I724" t="str">
        <v>NAD83(HARN) / Georgia East</v>
      </c>
      <c r="J724"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724" s="11">
        <v>0</v>
      </c>
    </row>
    <row r="725" spans="5:11" x14ac:dyDescent="0.35">
      <c r="E725" s="9" t="str">
        <v>EPSG</v>
      </c>
      <c r="F725" s="7" t="str">
        <v>2781</v>
      </c>
      <c r="G725" t="str">
        <v>ProjectedCrs</v>
      </c>
      <c r="H725" t="str">
        <v>Transverse Mercator</v>
      </c>
      <c r="I725" t="str">
        <v>NAD83(HARN) / Georgia West</v>
      </c>
      <c r="J725"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725" s="11">
        <v>0</v>
      </c>
    </row>
    <row r="726" spans="5:11" x14ac:dyDescent="0.35">
      <c r="E726" s="9" t="str">
        <v>EPSG</v>
      </c>
      <c r="F726" s="7" t="str">
        <v>2782</v>
      </c>
      <c r="G726" t="str">
        <v>ProjectedCrs</v>
      </c>
      <c r="H726" t="str">
        <v>Transverse Mercator</v>
      </c>
      <c r="I726" t="str">
        <v>NAD83(HARN) / Hawaii zone 1</v>
      </c>
      <c r="J726" t="str">
        <v>United States (USA) - Hawaii - island of Hawaii - onshore.</v>
      </c>
      <c r="K726" s="11">
        <v>0</v>
      </c>
    </row>
    <row r="727" spans="5:11" x14ac:dyDescent="0.35">
      <c r="E727" s="9" t="str">
        <v>EPSG</v>
      </c>
      <c r="F727" s="7" t="str">
        <v>2783</v>
      </c>
      <c r="G727" t="str">
        <v>ProjectedCrs</v>
      </c>
      <c r="H727" t="str">
        <v>Transverse Mercator</v>
      </c>
      <c r="I727" t="str">
        <v>NAD83(HARN) / Hawaii zone 2</v>
      </c>
      <c r="J727" t="str">
        <v>United States (USA) - Hawaii - Maui; Kahoolawe; Lanai; Molokai - onshore.</v>
      </c>
      <c r="K727" s="11">
        <v>0</v>
      </c>
    </row>
    <row r="728" spans="5:11" x14ac:dyDescent="0.35">
      <c r="E728" s="9" t="str">
        <v>EPSG</v>
      </c>
      <c r="F728" s="7" t="str">
        <v>2784</v>
      </c>
      <c r="G728" t="str">
        <v>ProjectedCrs</v>
      </c>
      <c r="H728" t="str">
        <v>Transverse Mercator</v>
      </c>
      <c r="I728" t="str">
        <v>NAD83(HARN) / Hawaii zone 3</v>
      </c>
      <c r="J728" t="str">
        <v>United States (USA) - Hawaii - Oahu - onshore.</v>
      </c>
      <c r="K728" s="11">
        <v>0</v>
      </c>
    </row>
    <row r="729" spans="5:11" x14ac:dyDescent="0.35">
      <c r="E729" s="9" t="str">
        <v>EPSG</v>
      </c>
      <c r="F729" s="7" t="str">
        <v>2785</v>
      </c>
      <c r="G729" t="str">
        <v>ProjectedCrs</v>
      </c>
      <c r="H729" t="str">
        <v>Transverse Mercator</v>
      </c>
      <c r="I729" t="str">
        <v>NAD83(HARN) / Hawaii zone 4</v>
      </c>
      <c r="J729" t="str">
        <v>United States (USA) - Hawaii - Kauai - onshore.</v>
      </c>
      <c r="K729" s="11">
        <v>0</v>
      </c>
    </row>
    <row r="730" spans="5:11" x14ac:dyDescent="0.35">
      <c r="E730" s="9" t="str">
        <v>EPSG</v>
      </c>
      <c r="F730" s="7" t="str">
        <v>2786</v>
      </c>
      <c r="G730" t="str">
        <v>ProjectedCrs</v>
      </c>
      <c r="H730" t="str">
        <v>Transverse Mercator</v>
      </c>
      <c r="I730" t="str">
        <v>NAD83(HARN) / Hawaii zone 5</v>
      </c>
      <c r="J730" t="str">
        <v>United States (USA) - Hawaii - Niihau - onshore.</v>
      </c>
      <c r="K730" s="11">
        <v>0</v>
      </c>
    </row>
    <row r="731" spans="5:11" x14ac:dyDescent="0.35">
      <c r="E731" s="9" t="str">
        <v>EPSG</v>
      </c>
      <c r="F731" s="7" t="str">
        <v>2787</v>
      </c>
      <c r="G731" t="str">
        <v>ProjectedCrs</v>
      </c>
      <c r="H731" t="str">
        <v>Transverse Mercator</v>
      </c>
      <c r="I731" t="str">
        <v>NAD83(HARN) / Idaho East</v>
      </c>
      <c r="J731" t="str">
        <v>United States (USA) - Idaho - counties of Bannock; Bear Lake; Bingham; Bonneville; Caribou; Clark; Franklin; Fremont; Jefferson; Madison; Oneida; Power; Teton.</v>
      </c>
      <c r="K731" s="11">
        <v>0</v>
      </c>
    </row>
    <row r="732" spans="5:11" x14ac:dyDescent="0.35">
      <c r="E732" s="9" t="str">
        <v>EPSG</v>
      </c>
      <c r="F732" s="7" t="str">
        <v>2788</v>
      </c>
      <c r="G732" t="str">
        <v>ProjectedCrs</v>
      </c>
      <c r="H732" t="str">
        <v>Transverse Mercator</v>
      </c>
      <c r="I732" t="str">
        <v>NAD83(HARN) / Idaho Central</v>
      </c>
      <c r="J732" t="str">
        <v>United States (USA) - Idaho - counties of Blaine; Butte; Camas; Cassia; Custer; Gooding; Jerome; Lemhi; Lincoln; Minidoka; Twin Falls.</v>
      </c>
      <c r="K732" s="11">
        <v>0</v>
      </c>
    </row>
    <row r="733" spans="5:11" x14ac:dyDescent="0.35">
      <c r="E733" s="9" t="str">
        <v>EPSG</v>
      </c>
      <c r="F733" s="7" t="str">
        <v>2789</v>
      </c>
      <c r="G733" t="str">
        <v>ProjectedCrs</v>
      </c>
      <c r="H733" t="str">
        <v>Transverse Mercator</v>
      </c>
      <c r="I733" t="str">
        <v>NAD83(HARN) / Idaho West</v>
      </c>
      <c r="J733" t="str">
        <v>United States (USA) - Idaho - counties of Ada; Adams; Benewah; Boise; Bonner; Boundary; Canyon; Clearwater; Elmore; Gem; Idaho; Kootenai; Latah; Lewis; Nez Perce; Owyhee; Payette; Shoshone; Valley; Washington.</v>
      </c>
      <c r="K733" s="11">
        <v>0</v>
      </c>
    </row>
    <row r="734" spans="5:11" x14ac:dyDescent="0.35">
      <c r="E734" s="9" t="str">
        <v>EPSG</v>
      </c>
      <c r="F734" s="7" t="str">
        <v>2790</v>
      </c>
      <c r="G734" t="str">
        <v>ProjectedCrs</v>
      </c>
      <c r="H734" t="str">
        <v>Transverse Mercator</v>
      </c>
      <c r="I734" t="str">
        <v>NAD83(HARN) / Illinois East</v>
      </c>
      <c r="J734"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734" s="11">
        <v>0</v>
      </c>
    </row>
    <row r="735" spans="5:11" x14ac:dyDescent="0.35">
      <c r="E735" s="9" t="str">
        <v>EPSG</v>
      </c>
      <c r="F735" s="7" t="str">
        <v>2791</v>
      </c>
      <c r="G735" t="str">
        <v>ProjectedCrs</v>
      </c>
      <c r="H735" t="str">
        <v>Transverse Mercator</v>
      </c>
      <c r="I735" t="str">
        <v>NAD83(HARN) / Illinois West</v>
      </c>
      <c r="J735"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735" s="11">
        <v>0</v>
      </c>
    </row>
    <row r="736" spans="5:11" x14ac:dyDescent="0.35">
      <c r="E736" s="9" t="str">
        <v>EPSG</v>
      </c>
      <c r="F736" s="7" t="str">
        <v>2792</v>
      </c>
      <c r="G736" t="str">
        <v>ProjectedCrs</v>
      </c>
      <c r="H736" t="str">
        <v>Transverse Mercator</v>
      </c>
      <c r="I736" t="str">
        <v>NAD83(HARN) / Indiana East</v>
      </c>
      <c r="J736"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736" s="11">
        <v>0</v>
      </c>
    </row>
    <row r="737" spans="5:11" x14ac:dyDescent="0.35">
      <c r="E737" s="9" t="str">
        <v>EPSG</v>
      </c>
      <c r="F737" s="7" t="str">
        <v>2793</v>
      </c>
      <c r="G737" t="str">
        <v>ProjectedCrs</v>
      </c>
      <c r="H737" t="str">
        <v>Transverse Mercator</v>
      </c>
      <c r="I737" t="str">
        <v>NAD83(HARN) / Indiana West</v>
      </c>
      <c r="J737"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737" s="11">
        <v>0</v>
      </c>
    </row>
    <row r="738" spans="5:11" x14ac:dyDescent="0.35">
      <c r="E738" s="9" t="str">
        <v>EPSG</v>
      </c>
      <c r="F738" s="7" t="str">
        <v>2794</v>
      </c>
      <c r="G738" t="str">
        <v>ProjectedCrs</v>
      </c>
      <c r="H738" t="str">
        <v>Lambert Conic Conformal (2SP)</v>
      </c>
      <c r="I738" t="str">
        <v>NAD83(HARN) / Iowa North</v>
      </c>
      <c r="J738"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738" s="11">
        <v>0</v>
      </c>
    </row>
    <row r="739" spans="5:11" x14ac:dyDescent="0.35">
      <c r="E739" s="9" t="str">
        <v>EPSG</v>
      </c>
      <c r="F739" s="7" t="str">
        <v>2795</v>
      </c>
      <c r="G739" t="str">
        <v>ProjectedCrs</v>
      </c>
      <c r="H739" t="str">
        <v>Lambert Conic Conformal (2SP)</v>
      </c>
      <c r="I739" t="str">
        <v>NAD83(HARN) / Iowa South</v>
      </c>
      <c r="J739"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739" s="11">
        <v>0</v>
      </c>
    </row>
    <row r="740" spans="5:11" x14ac:dyDescent="0.35">
      <c r="E740" s="9" t="str">
        <v>EPSG</v>
      </c>
      <c r="F740" s="7" t="str">
        <v>2796</v>
      </c>
      <c r="G740" t="str">
        <v>ProjectedCrs</v>
      </c>
      <c r="H740" t="str">
        <v>Lambert Conic Conformal (2SP)</v>
      </c>
      <c r="I740" t="str">
        <v>NAD83(HARN) / Kansas North</v>
      </c>
      <c r="J740"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740" s="11">
        <v>0</v>
      </c>
    </row>
    <row r="741" spans="5:11" x14ac:dyDescent="0.35">
      <c r="E741" s="9" t="str">
        <v>EPSG</v>
      </c>
      <c r="F741" s="7" t="str">
        <v>2797</v>
      </c>
      <c r="G741" t="str">
        <v>ProjectedCrs</v>
      </c>
      <c r="H741" t="str">
        <v>Lambert Conic Conformal (2SP)</v>
      </c>
      <c r="I741" t="str">
        <v>NAD83(HARN) / Kansas South</v>
      </c>
      <c r="J741"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741" s="11">
        <v>0</v>
      </c>
    </row>
    <row r="742" spans="5:11" x14ac:dyDescent="0.35">
      <c r="E742" s="9" t="str">
        <v>EPSG</v>
      </c>
      <c r="F742" s="7" t="str">
        <v>2798</v>
      </c>
      <c r="G742" t="str">
        <v>ProjectedCrs</v>
      </c>
      <c r="H742" t="str">
        <v>Lambert Conic Conformal (2SP)</v>
      </c>
      <c r="I742" t="str">
        <v>NAD83(HARN) / Kentucky North</v>
      </c>
      <c r="J742"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742" s="11">
        <v>0</v>
      </c>
    </row>
    <row r="743" spans="5:11" x14ac:dyDescent="0.35">
      <c r="E743" s="9" t="str">
        <v>EPSG</v>
      </c>
      <c r="F743" s="7" t="str">
        <v>2799</v>
      </c>
      <c r="G743" t="str">
        <v>ProjectedCrs</v>
      </c>
      <c r="H743" t="str">
        <v>Lambert Conic Conformal (2SP)</v>
      </c>
      <c r="I743" t="str">
        <v>NAD83(HARN) / Kentucky South</v>
      </c>
      <c r="J743"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743" s="11">
        <v>0</v>
      </c>
    </row>
    <row r="744" spans="5:11" x14ac:dyDescent="0.35">
      <c r="E744" s="9" t="str">
        <v>EPSG</v>
      </c>
      <c r="F744" s="7" t="str">
        <v>2800</v>
      </c>
      <c r="G744" t="str">
        <v>ProjectedCrs</v>
      </c>
      <c r="H744" t="str">
        <v>Lambert Conic Conformal (2SP)</v>
      </c>
      <c r="I744" t="str">
        <v>NAD83(HARN) / Louisiana North</v>
      </c>
      <c r="J744"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744" s="11">
        <v>0</v>
      </c>
    </row>
    <row r="745" spans="5:11" x14ac:dyDescent="0.35">
      <c r="E745" s="9" t="str">
        <v>EPSG</v>
      </c>
      <c r="F745" s="7" t="str">
        <v>2801</v>
      </c>
      <c r="G745" t="str">
        <v>ProjectedCrs</v>
      </c>
      <c r="H745" t="str">
        <v>Lambert Conic Conformal (2SP)</v>
      </c>
      <c r="I745" t="str">
        <v>NAD83(HARN) / Louisiana South</v>
      </c>
      <c r="J745"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745" s="11">
        <v>0</v>
      </c>
    </row>
    <row r="746" spans="5:11" x14ac:dyDescent="0.35">
      <c r="E746" s="9" t="str">
        <v>EPSG</v>
      </c>
      <c r="F746" s="7" t="str">
        <v>2802</v>
      </c>
      <c r="G746" t="str">
        <v>ProjectedCrs</v>
      </c>
      <c r="H746" t="str">
        <v>Transverse Mercator</v>
      </c>
      <c r="I746" t="str">
        <v>NAD83(HARN) / Maine East</v>
      </c>
      <c r="J746" t="str">
        <v>United States (USA) - Maine - counties of Aroostook; Hancock; Knox; Penobscot; Piscataquis; Waldo; Washington.</v>
      </c>
      <c r="K746" s="11">
        <v>0</v>
      </c>
    </row>
    <row r="747" spans="5:11" x14ac:dyDescent="0.35">
      <c r="E747" s="9" t="str">
        <v>EPSG</v>
      </c>
      <c r="F747" s="7" t="str">
        <v>2803</v>
      </c>
      <c r="G747" t="str">
        <v>ProjectedCrs</v>
      </c>
      <c r="H747" t="str">
        <v>Transverse Mercator</v>
      </c>
      <c r="I747" t="str">
        <v>NAD83(HARN) / Maine West</v>
      </c>
      <c r="J747" t="str">
        <v>United States (USA) - Maine - counties of Androscoggin; Cumberland; Franklin; Kennebec; Lincoln; Oxford; Sagadahoc; Somerset; York.</v>
      </c>
      <c r="K747" s="11">
        <v>0</v>
      </c>
    </row>
    <row r="748" spans="5:11" x14ac:dyDescent="0.35">
      <c r="E748" s="9" t="str">
        <v>EPSG</v>
      </c>
      <c r="F748" s="7" t="str">
        <v>2804</v>
      </c>
      <c r="G748" t="str">
        <v>ProjectedCrs</v>
      </c>
      <c r="H748" t="str">
        <v>Lambert Conic Conformal (2SP)</v>
      </c>
      <c r="I748" t="str">
        <v>NAD83(HARN) / Maryland</v>
      </c>
      <c r="J748" t="str">
        <v>United States (USA) - Maryland - counties of Allegany; Anne Arundel; Baltimore; Calvert; Caroline; Carroll; Cecil; Charles; Dorchester; Frederick; Garrett; Harford; Howard; Kent; Montgomery; Prince Georges; Queen Annes; Somerset; St Marys; Talbot; Washington; Wicomico; Worcester.</v>
      </c>
      <c r="K748" s="11">
        <v>0</v>
      </c>
    </row>
    <row r="749" spans="5:11" x14ac:dyDescent="0.35">
      <c r="E749" s="9" t="str">
        <v>EPSG</v>
      </c>
      <c r="F749" s="7" t="str">
        <v>2805</v>
      </c>
      <c r="G749" t="str">
        <v>ProjectedCrs</v>
      </c>
      <c r="H749" t="str">
        <v>Lambert Conic Conformal (2SP)</v>
      </c>
      <c r="I749" t="str">
        <v>NAD83(HARN) / Massachusetts Mainland</v>
      </c>
      <c r="J749" t="str">
        <v>United States (USA) - Massachusetts onshore - counties of Barnstable; Berkshire; Bristol; Essex; Franklin; Hampden; Hampshire; Middlesex; Norfolk; Plymouth; Suffolk; Worcester.</v>
      </c>
      <c r="K749" s="11">
        <v>0</v>
      </c>
    </row>
    <row r="750" spans="5:11" x14ac:dyDescent="0.35">
      <c r="E750" s="9" t="str">
        <v>EPSG</v>
      </c>
      <c r="F750" s="7" t="str">
        <v>2806</v>
      </c>
      <c r="G750" t="str">
        <v>ProjectedCrs</v>
      </c>
      <c r="H750" t="str">
        <v>Lambert Conic Conformal (2SP)</v>
      </c>
      <c r="I750" t="str">
        <v>NAD83(HARN) / Massachusetts Island</v>
      </c>
      <c r="J750" t="str">
        <v>United States (USA) - Massachusetts offshore - counties of Dukes; Nantucket.</v>
      </c>
      <c r="K750" s="11">
        <v>0</v>
      </c>
    </row>
    <row r="751" spans="5:11" x14ac:dyDescent="0.35">
      <c r="E751" s="9" t="str">
        <v>EPSG</v>
      </c>
      <c r="F751" s="7" t="str">
        <v>2807</v>
      </c>
      <c r="G751" t="str">
        <v>ProjectedCrs</v>
      </c>
      <c r="H751" t="str">
        <v>Lambert Conic Conformal (2SP)</v>
      </c>
      <c r="I751" t="str">
        <v>NAD83(HARN) / Michigan North</v>
      </c>
      <c r="J751" t="str">
        <v>United States (USA) - Michigan north of approximately 45°45'N - counties of Alger; Baraga; Chippewa; Delta; Dickinson; Gogebic; Houghton; Iron; Keweenaw; Luce; Mackinac; Marquette; Menominee; Ontonagon; Schoolcraft.</v>
      </c>
      <c r="K751" s="11">
        <v>0</v>
      </c>
    </row>
    <row r="752" spans="5:11" x14ac:dyDescent="0.35">
      <c r="E752" s="9" t="str">
        <v>EPSG</v>
      </c>
      <c r="F752" s="7" t="str">
        <v>2808</v>
      </c>
      <c r="G752" t="str">
        <v>ProjectedCrs</v>
      </c>
      <c r="H752" t="str">
        <v>Lambert Conic Conformal (2SP)</v>
      </c>
      <c r="I752" t="str">
        <v>NAD83(HARN) / Michigan Central</v>
      </c>
      <c r="J752"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752" s="11">
        <v>0</v>
      </c>
    </row>
    <row r="753" spans="5:11" x14ac:dyDescent="0.35">
      <c r="E753" s="9" t="str">
        <v>EPSG</v>
      </c>
      <c r="F753" s="7" t="str">
        <v>2809</v>
      </c>
      <c r="G753" t="str">
        <v>ProjectedCrs</v>
      </c>
      <c r="H753" t="str">
        <v>Lambert Conic Conformal (2SP)</v>
      </c>
      <c r="I753" t="str">
        <v>NAD83(HARN) / Michigan South</v>
      </c>
      <c r="J753"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753" s="11">
        <v>0</v>
      </c>
    </row>
    <row r="754" spans="5:11" x14ac:dyDescent="0.35">
      <c r="E754" s="9" t="str">
        <v>EPSG</v>
      </c>
      <c r="F754" s="7" t="str">
        <v>2810</v>
      </c>
      <c r="G754" t="str">
        <v>ProjectedCrs</v>
      </c>
      <c r="H754" t="str">
        <v>Lambert Conic Conformal (2SP)</v>
      </c>
      <c r="I754" t="str">
        <v>NAD83(HARN) / Minnesota North</v>
      </c>
      <c r="J754" t="str">
        <v>United States (USA) - Minnesota - counties of Beltrami; Clearwater; Cook; Itasca; Kittson; Koochiching; Lake; Lake of the Woods; Mahnomen; Marshall; Norman; Pennington; Polk; Red Lake; Roseau; St Louis.</v>
      </c>
      <c r="K754" s="11">
        <v>0</v>
      </c>
    </row>
    <row r="755" spans="5:11" x14ac:dyDescent="0.35">
      <c r="E755" s="9" t="str">
        <v>EPSG</v>
      </c>
      <c r="F755" s="7" t="str">
        <v>2811</v>
      </c>
      <c r="G755" t="str">
        <v>ProjectedCrs</v>
      </c>
      <c r="H755" t="str">
        <v>Lambert Conic Conformal (2SP)</v>
      </c>
      <c r="I755" t="str">
        <v>NAD83(HARN) / Minnesota Central</v>
      </c>
      <c r="J755" t="str">
        <v>United States (USA) - Minnesota - counties of Aitkin; Becker; Benton; Carlton; Cass; Chisago; Clay; Crow Wing; Douglas; Grant; Hubbard; Isanti; Kanabec; Mille Lacs; Morrison; Otter Tail; Pine; Pope; Stearns; Stevens; Todd; Traverse; Wadena; Wilkin.</v>
      </c>
      <c r="K755" s="11">
        <v>0</v>
      </c>
    </row>
    <row r="756" spans="5:11" x14ac:dyDescent="0.35">
      <c r="E756" s="9" t="str">
        <v>EPSG</v>
      </c>
      <c r="F756" s="7" t="str">
        <v>2812</v>
      </c>
      <c r="G756" t="str">
        <v>ProjectedCrs</v>
      </c>
      <c r="H756" t="str">
        <v>Lambert Conic Conformal (2SP)</v>
      </c>
      <c r="I756" t="str">
        <v>NAD83(HARN) / Minnesota South</v>
      </c>
      <c r="J756"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756" s="11">
        <v>0</v>
      </c>
    </row>
    <row r="757" spans="5:11" x14ac:dyDescent="0.35">
      <c r="E757" s="9" t="str">
        <v>EPSG</v>
      </c>
      <c r="F757" s="7" t="str">
        <v>2813</v>
      </c>
      <c r="G757" t="str">
        <v>ProjectedCrs</v>
      </c>
      <c r="H757" t="str">
        <v>Transverse Mercator</v>
      </c>
      <c r="I757" t="str">
        <v>NAD83(HARN) / Mississippi East</v>
      </c>
      <c r="J757"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757" s="11">
        <v>0</v>
      </c>
    </row>
    <row r="758" spans="5:11" x14ac:dyDescent="0.35">
      <c r="E758" s="9" t="str">
        <v>EPSG</v>
      </c>
      <c r="F758" s="7" t="str">
        <v>2814</v>
      </c>
      <c r="G758" t="str">
        <v>ProjectedCrs</v>
      </c>
      <c r="H758" t="str">
        <v>Transverse Mercator</v>
      </c>
      <c r="I758" t="str">
        <v>NAD83(HARN) / Mississippi West</v>
      </c>
      <c r="J758"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758" s="11">
        <v>0</v>
      </c>
    </row>
    <row r="759" spans="5:11" x14ac:dyDescent="0.35">
      <c r="E759" s="9" t="str">
        <v>EPSG</v>
      </c>
      <c r="F759" s="7" t="str">
        <v>2815</v>
      </c>
      <c r="G759" t="str">
        <v>ProjectedCrs</v>
      </c>
      <c r="H759" t="str">
        <v>Transverse Mercator</v>
      </c>
      <c r="I759" t="str">
        <v>NAD83(HARN) / Missouri East</v>
      </c>
      <c r="J759" t="str">
        <v>United States (USA) - Missouri - counties of Bollinger; Butler; Cape Girardeau; Carter; Clark; Crawford; Dent; Dunklin; Franklin; Gasconade; Iron; Jefferson; Lewis; Lincoln; Madison; Marion; Mississippi; Montgomery; New Madrid; Oregon; Pemiscot; Perry; Pike; Ralls; Reynolds; Ripley; Scott; Shannon; St Charles; St Francois; St Louis; Ste. Genevieve; Stoddard; Warren; Washington; Wayne.</v>
      </c>
      <c r="K759" s="11">
        <v>0</v>
      </c>
    </row>
    <row r="760" spans="5:11" x14ac:dyDescent="0.35">
      <c r="E760" s="9" t="str">
        <v>EPSG</v>
      </c>
      <c r="F760" s="7" t="str">
        <v>2816</v>
      </c>
      <c r="G760" t="str">
        <v>ProjectedCrs</v>
      </c>
      <c r="H760" t="str">
        <v>Transverse Mercator</v>
      </c>
      <c r="I760" t="str">
        <v>NAD83(HARN) / Missouri Central</v>
      </c>
      <c r="J760" t="str">
        <v>United States (USA) - Missouri - counties of Adair; Audrain; Benton; Boone; Callaway; Camden; Carroll; Chariton; Christian; Cole; Cooper; Dallas; Douglas; Greene; Grundy; Hickory; Howard; Howell; Knox; Laclede; Linn; Livingston; Macon; Maries; Mercer; Miller; Moniteau; Monroe; Morgan; Osage; Ozark; Pettis; Phelps; Polk; Pulaski; Putnam; Randolph; Saline; Schuyler; Scotland; Shelby; Stone; Sullivan; Taney; Texas; Webster; Wright.</v>
      </c>
      <c r="K760" s="11">
        <v>0</v>
      </c>
    </row>
    <row r="761" spans="5:11" x14ac:dyDescent="0.35">
      <c r="E761" s="9" t="str">
        <v>EPSG</v>
      </c>
      <c r="F761" s="7" t="str">
        <v>2817</v>
      </c>
      <c r="G761" t="str">
        <v>ProjectedCrs</v>
      </c>
      <c r="H761" t="str">
        <v>Transverse Mercator</v>
      </c>
      <c r="I761" t="str">
        <v>NAD83(HARN) / Missouri West</v>
      </c>
      <c r="J761" t="str">
        <v>United States (USA) - Missouri - counties of Andrew; Atchison; Barry; Barton; Bates; Buchanan; Caldwell; Cass; Cedar; Clay; Clinton; Dade; Daviess; De Kalb; Gentry; Harrison; Henry; Holt; Jackson; Jasper; Johnson; Lafayette; Lawrence; McDonald; Newton; Nodaway; Platte; Ray; St Clair; Vernon; Worth.</v>
      </c>
      <c r="K761" s="11">
        <v>0</v>
      </c>
    </row>
    <row r="762" spans="5:11" x14ac:dyDescent="0.35">
      <c r="E762" s="9" t="str">
        <v>EPSG</v>
      </c>
      <c r="F762" s="7" t="str">
        <v>2818</v>
      </c>
      <c r="G762" t="str">
        <v>ProjectedCrs</v>
      </c>
      <c r="H762" t="str">
        <v>Lambert Conic Conformal (2SP)</v>
      </c>
      <c r="I762" t="str">
        <v>NAD83(HARN) / Montana</v>
      </c>
      <c r="J762"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762" s="11">
        <v>0</v>
      </c>
    </row>
    <row r="763" spans="5:11" x14ac:dyDescent="0.35">
      <c r="E763" s="9" t="str">
        <v>EPSG</v>
      </c>
      <c r="F763" s="7" t="str">
        <v>2819</v>
      </c>
      <c r="G763" t="str">
        <v>ProjectedCrs</v>
      </c>
      <c r="H763" t="str">
        <v>Lambert Conic Conformal (2SP)</v>
      </c>
      <c r="I763" t="str">
        <v>NAD83(HARN) / Nebraska</v>
      </c>
      <c r="J763"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763" s="11">
        <v>0</v>
      </c>
    </row>
    <row r="764" spans="5:11" x14ac:dyDescent="0.35">
      <c r="E764" s="9" t="str">
        <v>EPSG</v>
      </c>
      <c r="F764" s="7" t="str">
        <v>2820</v>
      </c>
      <c r="G764" t="str">
        <v>ProjectedCrs</v>
      </c>
      <c r="H764" t="str">
        <v>Transverse Mercator</v>
      </c>
      <c r="I764" t="str">
        <v>NAD83(HARN) / Nevada East</v>
      </c>
      <c r="J764" t="str">
        <v>United States (USA) - Nevada - counties of Clark; Elko; Eureka; Lincoln; White Pine.</v>
      </c>
      <c r="K764" s="11">
        <v>0</v>
      </c>
    </row>
    <row r="765" spans="5:11" x14ac:dyDescent="0.35">
      <c r="E765" s="9" t="str">
        <v>EPSG</v>
      </c>
      <c r="F765" s="7" t="str">
        <v>2821</v>
      </c>
      <c r="G765" t="str">
        <v>ProjectedCrs</v>
      </c>
      <c r="H765" t="str">
        <v>Transverse Mercator</v>
      </c>
      <c r="I765" t="str">
        <v>NAD83(HARN) / Nevada Central</v>
      </c>
      <c r="J765" t="str">
        <v>United States (USA) - Nevada - counties of Lander; Nye.</v>
      </c>
      <c r="K765" s="11">
        <v>0</v>
      </c>
    </row>
    <row r="766" spans="5:11" x14ac:dyDescent="0.35">
      <c r="E766" s="9" t="str">
        <v>EPSG</v>
      </c>
      <c r="F766" s="7" t="str">
        <v>2822</v>
      </c>
      <c r="G766" t="str">
        <v>ProjectedCrs</v>
      </c>
      <c r="H766" t="str">
        <v>Transverse Mercator</v>
      </c>
      <c r="I766" t="str">
        <v>NAD83(HARN) / Nevada West</v>
      </c>
      <c r="J766" t="str">
        <v>United States (USA) - Nevada - counties of Churchill; Douglas; Esmeralda; Humboldt; Lyon; Mineral; Pershing; Storey; Washoe.</v>
      </c>
      <c r="K766" s="11">
        <v>0</v>
      </c>
    </row>
    <row r="767" spans="5:11" x14ac:dyDescent="0.35">
      <c r="E767" s="9" t="str">
        <v>EPSG</v>
      </c>
      <c r="F767" s="7" t="str">
        <v>2823</v>
      </c>
      <c r="G767" t="str">
        <v>ProjectedCrs</v>
      </c>
      <c r="H767" t="str">
        <v>Transverse Mercator</v>
      </c>
      <c r="I767" t="str">
        <v>NAD83(HARN) / New Hampshire</v>
      </c>
      <c r="J767" t="str">
        <v>United States (USA) - New Hampshire - counties of Belknap; Carroll; Cheshire; Coos; Grafton; Hillsborough; Merrimack; Rockingham; Strafford; Sullivan.</v>
      </c>
      <c r="K767" s="11">
        <v>0</v>
      </c>
    </row>
    <row r="768" spans="5:11" x14ac:dyDescent="0.35">
      <c r="E768" s="9" t="str">
        <v>EPSG</v>
      </c>
      <c r="F768" s="7" t="str">
        <v>2824</v>
      </c>
      <c r="G768" t="str">
        <v>ProjectedCrs</v>
      </c>
      <c r="H768" t="str">
        <v>Transverse Mercator</v>
      </c>
      <c r="I768" t="str">
        <v>NAD83(HARN) / New Jersey</v>
      </c>
      <c r="J768" t="str">
        <v>United States (USA) - New Jersey - counties of Atlantic; Bergen; Burlington; Camden; Cape May; Cumberland; Essex; Gloucester; Hudson; Hunterdon; Mercer; Middlesex; Monmouth; Morris; Ocean; Passaic; Salem; Somerset; Sussex; Union; Warren.</v>
      </c>
      <c r="K768" s="11">
        <v>0</v>
      </c>
    </row>
    <row r="769" spans="5:11" x14ac:dyDescent="0.35">
      <c r="E769" s="9" t="str">
        <v>EPSG</v>
      </c>
      <c r="F769" s="7" t="str">
        <v>2825</v>
      </c>
      <c r="G769" t="str">
        <v>ProjectedCrs</v>
      </c>
      <c r="H769" t="str">
        <v>Transverse Mercator</v>
      </c>
      <c r="I769" t="str">
        <v>NAD83(HARN) / New Mexico East</v>
      </c>
      <c r="J769" t="str">
        <v>United States (USA) - New Mexico - counties of Chaves; Colfax; Curry; De Baca; Eddy; Guadalupe; Harding; Lea; Mora; Quay; Roosevelt; San Miguel; Union.</v>
      </c>
      <c r="K769" s="11">
        <v>0</v>
      </c>
    </row>
    <row r="770" spans="5:11" x14ac:dyDescent="0.35">
      <c r="E770" s="9" t="str">
        <v>EPSG</v>
      </c>
      <c r="F770" s="7" t="str">
        <v>2826</v>
      </c>
      <c r="G770" t="str">
        <v>ProjectedCrs</v>
      </c>
      <c r="H770" t="str">
        <v>Transverse Mercator</v>
      </c>
      <c r="I770" t="str">
        <v>NAD83(HARN) / New Mexico Central</v>
      </c>
      <c r="J770" t="str">
        <v>United States (USA) - New Mexico - counties of Bernalillo; Dona Ana; Lincoln; Los Alamos; Otero; Rio Arriba; Sandoval; Santa Fe; Socorro; Taos; Torrance; Valencia.</v>
      </c>
      <c r="K770" s="11">
        <v>0</v>
      </c>
    </row>
    <row r="771" spans="5:11" x14ac:dyDescent="0.35">
      <c r="E771" s="9" t="str">
        <v>EPSG</v>
      </c>
      <c r="F771" s="7" t="str">
        <v>2827</v>
      </c>
      <c r="G771" t="str">
        <v>ProjectedCrs</v>
      </c>
      <c r="H771" t="str">
        <v>Transverse Mercator</v>
      </c>
      <c r="I771" t="str">
        <v>NAD83(HARN) / New Mexico West</v>
      </c>
      <c r="J771" t="str">
        <v>United States (USA) - New Mexico - counties of Catron; Cibola; Grant; Hidalgo; Luna; McKinley; San Juan; Sierra.</v>
      </c>
      <c r="K771" s="11">
        <v>0</v>
      </c>
    </row>
    <row r="772" spans="5:11" x14ac:dyDescent="0.35">
      <c r="E772" s="9" t="str">
        <v>EPSG</v>
      </c>
      <c r="F772" s="7" t="str">
        <v>2828</v>
      </c>
      <c r="G772" t="str">
        <v>ProjectedCrs</v>
      </c>
      <c r="H772" t="str">
        <v>Transverse Mercator</v>
      </c>
      <c r="I772" t="str">
        <v>NAD83(HARN) / New York East</v>
      </c>
      <c r="J772"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772" s="11">
        <v>0</v>
      </c>
    </row>
    <row r="773" spans="5:11" x14ac:dyDescent="0.35">
      <c r="E773" s="9" t="str">
        <v>EPSG</v>
      </c>
      <c r="F773" s="7" t="str">
        <v>2829</v>
      </c>
      <c r="G773" t="str">
        <v>ProjectedCrs</v>
      </c>
      <c r="H773" t="str">
        <v>Transverse Mercator</v>
      </c>
      <c r="I773" t="str">
        <v>NAD83(HARN) / New York Central</v>
      </c>
      <c r="J773" t="str">
        <v>United States (USA) - New York - counties of Broome; Cayuga; Chemung; Chenango; Cortland; Jefferson; Lewis; Madison; Oneida; Onondaga; Ontario; Oswego; Schuyler; Seneca; Steuben; Tioga; Tompkins; Wayne; Yates.</v>
      </c>
      <c r="K773" s="11">
        <v>0</v>
      </c>
    </row>
    <row r="774" spans="5:11" x14ac:dyDescent="0.35">
      <c r="E774" s="9" t="str">
        <v>EPSG</v>
      </c>
      <c r="F774" s="7" t="str">
        <v>2830</v>
      </c>
      <c r="G774" t="str">
        <v>ProjectedCrs</v>
      </c>
      <c r="H774" t="str">
        <v>Transverse Mercator</v>
      </c>
      <c r="I774" t="str">
        <v>NAD83(HARN) / New York West</v>
      </c>
      <c r="J774" t="str">
        <v>United States (USA) - New York - counties of Allegany; Cattaraugus; Chautauqua; Erie; Genesee; Livingston; Monroe; Niagara; Orleans; Wyoming.</v>
      </c>
      <c r="K774" s="11">
        <v>0</v>
      </c>
    </row>
    <row r="775" spans="5:11" x14ac:dyDescent="0.35">
      <c r="E775" s="9" t="str">
        <v>EPSG</v>
      </c>
      <c r="F775" s="7" t="str">
        <v>2831</v>
      </c>
      <c r="G775" t="str">
        <v>ProjectedCrs</v>
      </c>
      <c r="H775" t="str">
        <v>Lambert Conic Conformal (2SP)</v>
      </c>
      <c r="I775" t="str">
        <v>NAD83(HARN) / New York Long Island</v>
      </c>
      <c r="J775" t="str">
        <v>United States (USA) - New York - counties of Bronx; Kings; Nassau; New York; Queens; Richmond; Suffolk.</v>
      </c>
      <c r="K775" s="11">
        <v>0</v>
      </c>
    </row>
    <row r="776" spans="5:11" x14ac:dyDescent="0.35">
      <c r="E776" s="9" t="str">
        <v>EPSG</v>
      </c>
      <c r="F776" s="7" t="str">
        <v>2832</v>
      </c>
      <c r="G776" t="str">
        <v>ProjectedCrs</v>
      </c>
      <c r="H776" t="str">
        <v>Lambert Conic Conformal (2SP)</v>
      </c>
      <c r="I776" t="str">
        <v>NAD83(HARN) / North Dakota North</v>
      </c>
      <c r="J776" t="str">
        <v>United States (USA) - North Dakota - counties of Benson; Bottineau; Burke; Cavalier; Divide; Eddy; Foster; Grand Forks; Griggs; McHenry; McKenzie; McLean; Mountrial; Nelson; Pembina; Pierce; Ramsey; Renville; Rolette; Sheridan; Steele; Towner; Traill; Walsh; Ward; Wells; Williams.</v>
      </c>
      <c r="K776" s="11">
        <v>0</v>
      </c>
    </row>
    <row r="777" spans="5:11" x14ac:dyDescent="0.35">
      <c r="E777" s="9" t="str">
        <v>EPSG</v>
      </c>
      <c r="F777" s="7" t="str">
        <v>2833</v>
      </c>
      <c r="G777" t="str">
        <v>ProjectedCrs</v>
      </c>
      <c r="H777" t="str">
        <v>Lambert Conic Conformal (2SP)</v>
      </c>
      <c r="I777" t="str">
        <v>NAD83(HARN) / North Dakota South</v>
      </c>
      <c r="J777" t="str">
        <v>United States (USA) - North Dakota - counties of Adams; Barnes; Billings; Bowman; Burleigh; Cass; Dickey; Dunn; Emmons; Golden Valley; Grant; Hettinger; Kidder; La Moure; Logan; McIntosh; Mercer; Morton; Oliver; Ransom; Richland; Sargent; Sioux; Slope; Stark; Stutsman.</v>
      </c>
      <c r="K777" s="11">
        <v>0</v>
      </c>
    </row>
    <row r="778" spans="5:11" x14ac:dyDescent="0.35">
      <c r="E778" s="9" t="str">
        <v>EPSG</v>
      </c>
      <c r="F778" s="7" t="str">
        <v>2834</v>
      </c>
      <c r="G778" t="str">
        <v>ProjectedCrs</v>
      </c>
      <c r="H778" t="str">
        <v>Lambert Conic Conformal (2SP)</v>
      </c>
      <c r="I778" t="str">
        <v>NAD83(HARN) / Ohio North</v>
      </c>
      <c r="J778"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778" s="11">
        <v>0</v>
      </c>
    </row>
    <row r="779" spans="5:11" x14ac:dyDescent="0.35">
      <c r="E779" s="9" t="str">
        <v>EPSG</v>
      </c>
      <c r="F779" s="7" t="str">
        <v>2835</v>
      </c>
      <c r="G779" t="str">
        <v>ProjectedCrs</v>
      </c>
      <c r="H779" t="str">
        <v>Lambert Conic Conformal (2SP)</v>
      </c>
      <c r="I779" t="str">
        <v>NAD83(HARN) / Ohio South</v>
      </c>
      <c r="J779"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779" s="11">
        <v>0</v>
      </c>
    </row>
    <row r="780" spans="5:11" x14ac:dyDescent="0.35">
      <c r="E780" s="9" t="str">
        <v>EPSG</v>
      </c>
      <c r="F780" s="7" t="str">
        <v>2836</v>
      </c>
      <c r="G780" t="str">
        <v>ProjectedCrs</v>
      </c>
      <c r="H780" t="str">
        <v>Lambert Conic Conformal (2SP)</v>
      </c>
      <c r="I780" t="str">
        <v>NAD83(HARN) / Oklahoma North</v>
      </c>
      <c r="J780"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780" s="11">
        <v>0</v>
      </c>
    </row>
    <row r="781" spans="5:11" x14ac:dyDescent="0.35">
      <c r="E781" s="9" t="str">
        <v>EPSG</v>
      </c>
      <c r="F781" s="7" t="str">
        <v>2837</v>
      </c>
      <c r="G781" t="str">
        <v>ProjectedCrs</v>
      </c>
      <c r="H781" t="str">
        <v>Lambert Conic Conformal (2SP)</v>
      </c>
      <c r="I781" t="str">
        <v>NAD83(HARN) / Oklahoma South</v>
      </c>
      <c r="J781"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781" s="11">
        <v>0</v>
      </c>
    </row>
    <row r="782" spans="5:11" x14ac:dyDescent="0.35">
      <c r="E782" s="9" t="str">
        <v>EPSG</v>
      </c>
      <c r="F782" s="7" t="str">
        <v>2838</v>
      </c>
      <c r="G782" t="str">
        <v>ProjectedCrs</v>
      </c>
      <c r="H782" t="str">
        <v>Lambert Conic Conformal (2SP)</v>
      </c>
      <c r="I782" t="str">
        <v>NAD83(HARN) / Oregon North</v>
      </c>
      <c r="J782" t="str">
        <v>United States (USA) - Oregon - counties of Baker; Benton; Clackamas; Clatsop; Columbia; Gilliam; Grant; Hood River; Jefferson; Lincoln; Linn; Marion; Morrow; Multnomah; Polk; Sherman; Tillamook; Umatilla; Union; Wallowa; Wasco; Washington; Wheeler; Yamhill.</v>
      </c>
      <c r="K782" s="11">
        <v>0</v>
      </c>
    </row>
    <row r="783" spans="5:11" x14ac:dyDescent="0.35">
      <c r="E783" s="9" t="str">
        <v>EPSG</v>
      </c>
      <c r="F783" s="7" t="str">
        <v>2839</v>
      </c>
      <c r="G783" t="str">
        <v>ProjectedCrs</v>
      </c>
      <c r="H783" t="str">
        <v>Lambert Conic Conformal (2SP)</v>
      </c>
      <c r="I783" t="str">
        <v>NAD83(HARN) / Oregon South</v>
      </c>
      <c r="J783" t="str">
        <v>United States (USA) - Oregon - counties of Coos; Crook; Curry; Deschutes; Douglas; Harney; Jackson; Josephine; Klamath; Lake; Lane; Malheur.</v>
      </c>
      <c r="K783" s="11">
        <v>0</v>
      </c>
    </row>
    <row r="784" spans="5:11" x14ac:dyDescent="0.35">
      <c r="E784" s="9" t="str">
        <v>EPSG</v>
      </c>
      <c r="F784" s="7" t="str">
        <v>2840</v>
      </c>
      <c r="G784" t="str">
        <v>ProjectedCrs</v>
      </c>
      <c r="H784" t="str">
        <v>Transverse Mercator</v>
      </c>
      <c r="I784" t="str">
        <v>NAD83(HARN) / Rhode Island</v>
      </c>
      <c r="J784" t="str">
        <v>United States (USA) - Rhode Island - counties of Bristol; Kent; Newport; Providence; Washington.</v>
      </c>
      <c r="K784" s="11">
        <v>0</v>
      </c>
    </row>
    <row r="785" spans="5:11" x14ac:dyDescent="0.35">
      <c r="E785" s="9" t="str">
        <v>EPSG</v>
      </c>
      <c r="F785" s="7" t="str">
        <v>2841</v>
      </c>
      <c r="G785" t="str">
        <v>ProjectedCrs</v>
      </c>
      <c r="H785" t="str">
        <v>Lambert Conic Conformal (2SP)</v>
      </c>
      <c r="I785" t="str">
        <v>NAD83(HARN) / South Dakota North</v>
      </c>
      <c r="J785" t="str">
        <v>United States (USA) - South Dakota - counties of Beadle; Brookings; Brown; Butte; Campbell; Clark; Codington; Corson; Day; Deuel; Dewey; Edmunds; Faulk; Grant; Hamlin; Hand; Harding; Hyde; Kingsbury; Lawrence; Marshall; McPherson; Meade; Perkins; Potter; Roberts; Spink; Sully; Walworth; Ziebach.</v>
      </c>
      <c r="K785" s="11">
        <v>0</v>
      </c>
    </row>
    <row r="786" spans="5:11" x14ac:dyDescent="0.35">
      <c r="E786" s="9" t="str">
        <v>EPSG</v>
      </c>
      <c r="F786" s="7" t="str">
        <v>2842</v>
      </c>
      <c r="G786" t="str">
        <v>ProjectedCrs</v>
      </c>
      <c r="H786" t="str">
        <v>Lambert Conic Conformal (2SP)</v>
      </c>
      <c r="I786" t="str">
        <v>NAD83(HARN) / South Dakota South</v>
      </c>
      <c r="J786"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786" s="11">
        <v>0</v>
      </c>
    </row>
    <row r="787" spans="5:11" x14ac:dyDescent="0.35">
      <c r="E787" s="9" t="str">
        <v>EPSG</v>
      </c>
      <c r="F787" s="7" t="str">
        <v>2843</v>
      </c>
      <c r="G787" t="str">
        <v>ProjectedCrs</v>
      </c>
      <c r="H787" t="str">
        <v>Lambert Conic Conformal (2SP)</v>
      </c>
      <c r="I787" t="str">
        <v>NAD83(HARN) / Tennessee</v>
      </c>
      <c r="J787"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787" s="11">
        <v>0</v>
      </c>
    </row>
    <row r="788" spans="5:11" x14ac:dyDescent="0.35">
      <c r="E788" s="9" t="str">
        <v>EPSG</v>
      </c>
      <c r="F788" s="7" t="str">
        <v>2844</v>
      </c>
      <c r="G788" t="str">
        <v>ProjectedCrs</v>
      </c>
      <c r="H788" t="str">
        <v>Lambert Conic Conformal (2SP)</v>
      </c>
      <c r="I788" t="str">
        <v>NAD83(HARN) / Texas North</v>
      </c>
      <c r="J788" t="str">
        <v>United States (USA) - Texas - counties of: Armstrong; Briscoe; Carson; Castro; Childress; Collingsworth; Dallam; Deaf Smith; Donley; Gray; Hall; Hansford; Hartley; Hemphill; Hutchinson; Lipscomb; Moore; Ochiltree; Oldham; Parmer; Potter; Randall; Roberts; Sherman; Swisher; Wheeler.</v>
      </c>
      <c r="K788" s="11">
        <v>0</v>
      </c>
    </row>
    <row r="789" spans="5:11" x14ac:dyDescent="0.35">
      <c r="E789" s="9" t="str">
        <v>EPSG</v>
      </c>
      <c r="F789" s="7" t="str">
        <v>2845</v>
      </c>
      <c r="G789" t="str">
        <v>ProjectedCrs</v>
      </c>
      <c r="H789" t="str">
        <v>Lambert Conic Conformal (2SP)</v>
      </c>
      <c r="I789" t="str">
        <v>NAD83(HARN) / Texas North Central</v>
      </c>
      <c r="J789"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789" s="11">
        <v>0</v>
      </c>
    </row>
    <row r="790" spans="5:11" x14ac:dyDescent="0.35">
      <c r="E790" s="9" t="str">
        <v>EPSG</v>
      </c>
      <c r="F790" s="7" t="str">
        <v>2846</v>
      </c>
      <c r="G790" t="str">
        <v>ProjectedCrs</v>
      </c>
      <c r="H790" t="str">
        <v>Lambert Conic Conformal (2SP)</v>
      </c>
      <c r="I790" t="str">
        <v>NAD83(HARN) / Texas Central</v>
      </c>
      <c r="J790"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790" s="11">
        <v>0</v>
      </c>
    </row>
    <row r="791" spans="5:11" x14ac:dyDescent="0.35">
      <c r="E791" s="9" t="str">
        <v>EPSG</v>
      </c>
      <c r="F791" s="7" t="str">
        <v>2847</v>
      </c>
      <c r="G791" t="str">
        <v>ProjectedCrs</v>
      </c>
      <c r="H791" t="str">
        <v>Lambert Conic Conformal (2SP)</v>
      </c>
      <c r="I791" t="str">
        <v>NAD83(HARN) / Texas South Central</v>
      </c>
      <c r="J791"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791" s="11">
        <v>0</v>
      </c>
    </row>
    <row r="792" spans="5:11" x14ac:dyDescent="0.35">
      <c r="E792" s="9" t="str">
        <v>EPSG</v>
      </c>
      <c r="F792" s="7" t="str">
        <v>2848</v>
      </c>
      <c r="G792" t="str">
        <v>ProjectedCrs</v>
      </c>
      <c r="H792" t="str">
        <v>Lambert Conic Conformal (2SP)</v>
      </c>
      <c r="I792" t="str">
        <v>NAD83(HARN) / Texas South</v>
      </c>
      <c r="J792" t="str">
        <v>United States (USA) - Texas - counties of Brooks; Cameron; Duval; Hidalgo; Jim Hogg; Jim Wells; Kenedy; Kleberg; Nueces; San Patricio; Starr; Webb; Willacy; Zapata.</v>
      </c>
      <c r="K792" s="11">
        <v>0</v>
      </c>
    </row>
    <row r="793" spans="5:11" x14ac:dyDescent="0.35">
      <c r="E793" s="9" t="str">
        <v>EPSG</v>
      </c>
      <c r="F793" s="7" t="str">
        <v>2849</v>
      </c>
      <c r="G793" t="str">
        <v>ProjectedCrs</v>
      </c>
      <c r="H793" t="str">
        <v>Lambert Conic Conformal (2SP)</v>
      </c>
      <c r="I793" t="str">
        <v>NAD83(HARN) / Utah North</v>
      </c>
      <c r="J793" t="str">
        <v>United States (USA) - Utah - counties of Box Elder; Cache; Daggett; Davis; Morgan; Rich; Summit; Weber.</v>
      </c>
      <c r="K793" s="11">
        <v>0</v>
      </c>
    </row>
    <row r="794" spans="5:11" x14ac:dyDescent="0.35">
      <c r="E794" s="9" t="str">
        <v>EPSG</v>
      </c>
      <c r="F794" s="7" t="str">
        <v>2850</v>
      </c>
      <c r="G794" t="str">
        <v>ProjectedCrs</v>
      </c>
      <c r="H794" t="str">
        <v>Lambert Conic Conformal (2SP)</v>
      </c>
      <c r="I794" t="str">
        <v>NAD83(HARN) / Utah Central</v>
      </c>
      <c r="J794" t="str">
        <v>United States (USA) - Utah - counties of Carbon; Duchesne; Emery; Grand; Juab; Millard; Salt Lake; Sanpete; Sevier; Tooele; Uintah; Utah; Wasatch.</v>
      </c>
      <c r="K794" s="11">
        <v>0</v>
      </c>
    </row>
    <row r="795" spans="5:11" x14ac:dyDescent="0.35">
      <c r="E795" s="9" t="str">
        <v>EPSG</v>
      </c>
      <c r="F795" s="7" t="str">
        <v>2851</v>
      </c>
      <c r="G795" t="str">
        <v>ProjectedCrs</v>
      </c>
      <c r="H795" t="str">
        <v>Lambert Conic Conformal (2SP)</v>
      </c>
      <c r="I795" t="str">
        <v>NAD83(HARN) / Utah South</v>
      </c>
      <c r="J795" t="str">
        <v>United States (USA) - Utah - counties of Beaver; Garfield; Iron; Kane; Piute; San Juan; Washington; Wayne.</v>
      </c>
      <c r="K795" s="11">
        <v>0</v>
      </c>
    </row>
    <row r="796" spans="5:11" x14ac:dyDescent="0.35">
      <c r="E796" s="9" t="str">
        <v>EPSG</v>
      </c>
      <c r="F796" s="7" t="str">
        <v>2852</v>
      </c>
      <c r="G796" t="str">
        <v>ProjectedCrs</v>
      </c>
      <c r="H796" t="str">
        <v>Transverse Mercator</v>
      </c>
      <c r="I796" t="str">
        <v>NAD83(HARN) / Vermont</v>
      </c>
      <c r="J796" t="str">
        <v>United States (USA) - Vermont - counties of Addison; Bennington; Caledonia; Chittenden; Essex; Franklin; Grand Isle; Lamoille; Orange; Orleans; Rutland; Washington; Windham; Windsor.</v>
      </c>
      <c r="K796" s="11">
        <v>0</v>
      </c>
    </row>
    <row r="797" spans="5:11" x14ac:dyDescent="0.35">
      <c r="E797" s="9" t="str">
        <v>EPSG</v>
      </c>
      <c r="F797" s="7" t="str">
        <v>2853</v>
      </c>
      <c r="G797" t="str">
        <v>ProjectedCrs</v>
      </c>
      <c r="H797" t="str">
        <v>Lambert Conic Conformal (2SP)</v>
      </c>
      <c r="I797" t="str">
        <v>NAD83(HARN) / Virginia North</v>
      </c>
      <c r="J797" t="str">
        <v>United States (USA) - Virginia - counties of Arlington; Augusta; Bath; Caroline; Clarke; Culpeper; Fairfax; Fauquier; Frederick; Greene; Highland; King George; Loudoun; Madison; Orange; Page; Prince William; Rappahannock; Rockingham; Shenandoah; Spotsylvania; Stafford; Warren; Westmoreland.</v>
      </c>
      <c r="K797" s="11">
        <v>0</v>
      </c>
    </row>
    <row r="798" spans="5:11" x14ac:dyDescent="0.35">
      <c r="E798" s="9" t="str">
        <v>EPSG</v>
      </c>
      <c r="F798" s="7" t="str">
        <v>2854</v>
      </c>
      <c r="G798" t="str">
        <v>ProjectedCrs</v>
      </c>
      <c r="H798" t="str">
        <v>Lambert Conic Conformal (2SP)</v>
      </c>
      <c r="I798" t="str">
        <v>NAD83(HARN) / Virginia South</v>
      </c>
      <c r="J798"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798" s="11">
        <v>0</v>
      </c>
    </row>
    <row r="799" spans="5:11" x14ac:dyDescent="0.35">
      <c r="E799" s="9" t="str">
        <v>EPSG</v>
      </c>
      <c r="F799" s="7" t="str">
        <v>2855</v>
      </c>
      <c r="G799" t="str">
        <v>ProjectedCrs</v>
      </c>
      <c r="H799" t="str">
        <v>Lambert Conic Conformal (2SP)</v>
      </c>
      <c r="I799" t="str">
        <v>NAD83(HARN) / Washington North</v>
      </c>
      <c r="J799" t="str">
        <v>United States (USA) - Washington - counties of Chelan; Clallam; Douglas; Ferry; Grant north of approximately 47°30'N; Island; Jefferson; King; Kitsap; Lincoln; Okanogan; Pend Oreille; San Juan; Skagit; Snohomish; Spokane; Stevens; Whatcom.</v>
      </c>
      <c r="K799" s="11">
        <v>0</v>
      </c>
    </row>
    <row r="800" spans="5:11" x14ac:dyDescent="0.35">
      <c r="E800" s="9" t="str">
        <v>EPSG</v>
      </c>
      <c r="F800" s="7" t="str">
        <v>2856</v>
      </c>
      <c r="G800" t="str">
        <v>ProjectedCrs</v>
      </c>
      <c r="H800" t="str">
        <v>Lambert Conic Conformal (2SP)</v>
      </c>
      <c r="I800" t="str">
        <v>NAD83(HARN) / Washington South</v>
      </c>
      <c r="J800" t="str">
        <v>United States (USA) - Washington - counties of Adams; Asotin; Benton; Clark; Columbia; Cowlitz; Franklin; Garfield; Grant south of approximately 47°30'N; Grays Harbor; Kittitas; Klickitat; Lewis; Mason; Pacific; Pierce; Skamania; Thurston; Wahkiakum; Walla Walla; Whitman; Yakima.</v>
      </c>
      <c r="K800" s="11">
        <v>0</v>
      </c>
    </row>
    <row r="801" spans="5:11" x14ac:dyDescent="0.35">
      <c r="E801" s="9" t="str">
        <v>EPSG</v>
      </c>
      <c r="F801" s="7" t="str">
        <v>2857</v>
      </c>
      <c r="G801" t="str">
        <v>ProjectedCrs</v>
      </c>
      <c r="H801" t="str">
        <v>Lambert Conic Conformal (2SP)</v>
      </c>
      <c r="I801" t="str">
        <v>NAD83(HARN) / West Virginia North</v>
      </c>
      <c r="J801" t="str">
        <v>United States (USA) - West Virginia - counties of Barbour; Berkeley; Brooke; Doddridge; Grant; Hampshire; Hancock; Hardy; Harrison; Jefferson; Marion; Marshall; Mineral; Monongalia; Morgan; Ohio; Pleasants; Preston; Ritchie; Taylor; Tucker; Tyler; Wetzel; Wirt; Wood.</v>
      </c>
      <c r="K801" s="11">
        <v>0</v>
      </c>
    </row>
    <row r="802" spans="5:11" x14ac:dyDescent="0.35">
      <c r="E802" s="9" t="str">
        <v>EPSG</v>
      </c>
      <c r="F802" s="7" t="str">
        <v>2858</v>
      </c>
      <c r="G802" t="str">
        <v>ProjectedCrs</v>
      </c>
      <c r="H802" t="str">
        <v>Lambert Conic Conformal (2SP)</v>
      </c>
      <c r="I802" t="str">
        <v>NAD83(HARN) / West Virginia South</v>
      </c>
      <c r="J802"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802" s="11">
        <v>0</v>
      </c>
    </row>
    <row r="803" spans="5:11" x14ac:dyDescent="0.35">
      <c r="E803" s="9" t="str">
        <v>EPSG</v>
      </c>
      <c r="F803" s="7" t="str">
        <v>2859</v>
      </c>
      <c r="G803" t="str">
        <v>ProjectedCrs</v>
      </c>
      <c r="H803" t="str">
        <v>Lambert Conic Conformal (2SP)</v>
      </c>
      <c r="I803" t="str">
        <v>NAD83(HARN) / Wisconsin North</v>
      </c>
      <c r="J803" t="str">
        <v>United States (USA) - Wisconsin - counties of Ashland; Bayfield; Burnett; Douglas; Florence; Forest; Iron; Oneida; Price; Sawyer; Vilas; Washburn.</v>
      </c>
      <c r="K803" s="11">
        <v>0</v>
      </c>
    </row>
    <row r="804" spans="5:11" x14ac:dyDescent="0.35">
      <c r="E804" s="9" t="str">
        <v>EPSG</v>
      </c>
      <c r="F804" s="7" t="str">
        <v>2860</v>
      </c>
      <c r="G804" t="str">
        <v>ProjectedCrs</v>
      </c>
      <c r="H804" t="str">
        <v>Lambert Conic Conformal (2SP)</v>
      </c>
      <c r="I804" t="str">
        <v>NAD83(HARN) / Wisconsin Central</v>
      </c>
      <c r="J804" t="str">
        <v>United States (USA) - Wisconsin - counties of Barron; Brown; Buffalo; Chippewa; Clark; Door; Dunn; Eau Claire; Jackson; Kewaunee; Langlade; Lincoln; Marathon; Marinette; Menominee; Oconto; Outagamie; Pepin; Pierce; Polk; Portage; Rusk; Shawano; St Croix; Taylor; Trempealeau; Waupaca; Wood.</v>
      </c>
      <c r="K804" s="11">
        <v>0</v>
      </c>
    </row>
    <row r="805" spans="5:11" x14ac:dyDescent="0.35">
      <c r="E805" s="9" t="str">
        <v>EPSG</v>
      </c>
      <c r="F805" s="7" t="str">
        <v>2861</v>
      </c>
      <c r="G805" t="str">
        <v>ProjectedCrs</v>
      </c>
      <c r="H805" t="str">
        <v>Lambert Conic Conformal (2SP)</v>
      </c>
      <c r="I805" t="str">
        <v>NAD83(HARN) / Wisconsin South</v>
      </c>
      <c r="J805"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805" s="11">
        <v>0</v>
      </c>
    </row>
    <row r="806" spans="5:11" x14ac:dyDescent="0.35">
      <c r="E806" s="9" t="str">
        <v>EPSG</v>
      </c>
      <c r="F806" s="7" t="str">
        <v>2862</v>
      </c>
      <c r="G806" t="str">
        <v>ProjectedCrs</v>
      </c>
      <c r="H806" t="str">
        <v>Transverse Mercator</v>
      </c>
      <c r="I806" t="str">
        <v>NAD83(HARN) / Wyoming East</v>
      </c>
      <c r="J806" t="str">
        <v>United States (USA) - Wyoming - counties of Albany; Campbell; Converse; Crook; Goshen; Laramie; Niobrara; Platte; Weston.</v>
      </c>
      <c r="K806" s="11">
        <v>0</v>
      </c>
    </row>
    <row r="807" spans="5:11" x14ac:dyDescent="0.35">
      <c r="E807" s="9" t="str">
        <v>EPSG</v>
      </c>
      <c r="F807" s="7" t="str">
        <v>2863</v>
      </c>
      <c r="G807" t="str">
        <v>ProjectedCrs</v>
      </c>
      <c r="H807" t="str">
        <v>Transverse Mercator</v>
      </c>
      <c r="I807" t="str">
        <v>NAD83(HARN) / Wyoming East Central</v>
      </c>
      <c r="J807" t="str">
        <v>United States (USA) - Wyoming - counties of Big Horn; Carbon; Johnson; Natrona; Sheridan; Washakie.</v>
      </c>
      <c r="K807" s="11">
        <v>0</v>
      </c>
    </row>
    <row r="808" spans="5:11" x14ac:dyDescent="0.35">
      <c r="E808" s="9" t="str">
        <v>EPSG</v>
      </c>
      <c r="F808" s="7" t="str">
        <v>2864</v>
      </c>
      <c r="G808" t="str">
        <v>ProjectedCrs</v>
      </c>
      <c r="H808" t="str">
        <v>Transverse Mercator</v>
      </c>
      <c r="I808" t="str">
        <v>NAD83(HARN) / Wyoming West Central</v>
      </c>
      <c r="J808" t="str">
        <v>United States (USA) - Wyoming - counties of Fremont; Hot Springs; Park; Sweetwater.</v>
      </c>
      <c r="K808" s="11">
        <v>0</v>
      </c>
    </row>
    <row r="809" spans="5:11" x14ac:dyDescent="0.35">
      <c r="E809" s="9" t="str">
        <v>EPSG</v>
      </c>
      <c r="F809" s="7" t="str">
        <v>2865</v>
      </c>
      <c r="G809" t="str">
        <v>ProjectedCrs</v>
      </c>
      <c r="H809" t="str">
        <v>Transverse Mercator</v>
      </c>
      <c r="I809" t="str">
        <v>NAD83(HARN) / Wyoming West</v>
      </c>
      <c r="J809" t="str">
        <v>United States (USA) - Wyoming - counties of Lincoln; Sublette; Teton; Uinta.</v>
      </c>
      <c r="K809" s="11">
        <v>0</v>
      </c>
    </row>
    <row r="810" spans="5:11" x14ac:dyDescent="0.35">
      <c r="E810" s="9" t="str">
        <v>EPSG</v>
      </c>
      <c r="F810" s="7" t="str">
        <v>2866</v>
      </c>
      <c r="G810" t="str">
        <v>ProjectedCrs</v>
      </c>
      <c r="H810" t="str">
        <v>Lambert Conic Conformal (2SP)</v>
      </c>
      <c r="I810" t="str">
        <v>NAD83(HARN) / Puerto Rico and Virgin Is.</v>
      </c>
      <c r="J810" t="str">
        <v>Puerto Rico and US Virgin Islands - onshore.</v>
      </c>
      <c r="K810" s="11">
        <v>0</v>
      </c>
    </row>
    <row r="811" spans="5:11" x14ac:dyDescent="0.35">
      <c r="E811" s="9" t="str">
        <v>EPSG</v>
      </c>
      <c r="F811" s="7" t="str">
        <v>2867</v>
      </c>
      <c r="G811" t="str">
        <v>ProjectedCrs</v>
      </c>
      <c r="H811" t="str">
        <v>Transverse Mercator</v>
      </c>
      <c r="I811" t="str">
        <v>NAD83(HARN) / Arizona East (ft)</v>
      </c>
      <c r="J811" t="str">
        <v>United States (USA) - Arizona - counties Apache; Cochise; Gila; Graham; Greenlee; Navajo.</v>
      </c>
      <c r="K811" s="11">
        <v>0</v>
      </c>
    </row>
    <row r="812" spans="5:11" x14ac:dyDescent="0.35">
      <c r="E812" s="9" t="str">
        <v>EPSG</v>
      </c>
      <c r="F812" s="7" t="str">
        <v>2868</v>
      </c>
      <c r="G812" t="str">
        <v>ProjectedCrs</v>
      </c>
      <c r="H812" t="str">
        <v>Transverse Mercator</v>
      </c>
      <c r="I812" t="str">
        <v>NAD83(HARN) / Arizona Central (ft)</v>
      </c>
      <c r="J812" t="str">
        <v>United States (USA) - Arizona - counties Coconino; Maricopa; Pima; Pinal; Santa Cruz; Yavapai.</v>
      </c>
      <c r="K812" s="11">
        <v>0</v>
      </c>
    </row>
    <row r="813" spans="5:11" x14ac:dyDescent="0.35">
      <c r="E813" s="9" t="str">
        <v>EPSG</v>
      </c>
      <c r="F813" s="7" t="str">
        <v>2869</v>
      </c>
      <c r="G813" t="str">
        <v>ProjectedCrs</v>
      </c>
      <c r="H813" t="str">
        <v>Transverse Mercator</v>
      </c>
      <c r="I813" t="str">
        <v>NAD83(HARN) / Arizona West (ft)</v>
      </c>
      <c r="J813" t="str">
        <v>United States (USA) - Arizona - counties of La Paz; Mohave; Yuma.</v>
      </c>
      <c r="K813" s="11">
        <v>0</v>
      </c>
    </row>
    <row r="814" spans="5:11" x14ac:dyDescent="0.35">
      <c r="E814" s="9" t="str">
        <v>EPSG</v>
      </c>
      <c r="F814" s="7" t="str">
        <v>2870</v>
      </c>
      <c r="G814" t="str">
        <v>ProjectedCrs</v>
      </c>
      <c r="H814" t="str">
        <v>Lambert Conic Conformal (2SP)</v>
      </c>
      <c r="I814" t="str">
        <v>NAD83(HARN) / California zone 1 (ftUS)</v>
      </c>
      <c r="J814" t="str">
        <v>United States (USA) - California - counties Del Norte; Humboldt; Lassen; Modoc; Plumas; Shasta; Siskiyou; Tehama; Trinity.</v>
      </c>
      <c r="K814" s="11">
        <v>0</v>
      </c>
    </row>
    <row r="815" spans="5:11" x14ac:dyDescent="0.35">
      <c r="E815" s="9" t="str">
        <v>EPSG</v>
      </c>
      <c r="F815" s="7" t="str">
        <v>2871</v>
      </c>
      <c r="G815" t="str">
        <v>ProjectedCrs</v>
      </c>
      <c r="H815" t="str">
        <v>Lambert Conic Conformal (2SP)</v>
      </c>
      <c r="I815" t="str">
        <v>NAD83(HARN) / California zone 2 (ftUS)</v>
      </c>
      <c r="J815" t="str">
        <v>United States (USA) - California - counties of Alpine; Amador; Butte; Colusa; El Dorado; Glenn; Lake; Mendocino; Napa; Nevada; Placer; Sacramento; Sierra; Solano; Sonoma; Sutter; Yolo; Yuba.</v>
      </c>
      <c r="K815" s="11">
        <v>0</v>
      </c>
    </row>
    <row r="816" spans="5:11" x14ac:dyDescent="0.35">
      <c r="E816" s="9" t="str">
        <v>EPSG</v>
      </c>
      <c r="F816" s="7" t="str">
        <v>2872</v>
      </c>
      <c r="G816" t="str">
        <v>ProjectedCrs</v>
      </c>
      <c r="H816" t="str">
        <v>Lambert Conic Conformal (2SP)</v>
      </c>
      <c r="I816" t="str">
        <v>NAD83(HARN) / California zone 3 (ftUS)</v>
      </c>
      <c r="J816" t="str">
        <v>United States (USA) - California - counties Alameda; Calaveras; Contra Costa; Madera; Marin; Mariposa; Merced; Mono; San Francisco; San Joaquin; San Mateo; Santa Clara; Santa Cruz; Stanislaus; Tuolumne.</v>
      </c>
      <c r="K816" s="11">
        <v>0</v>
      </c>
    </row>
    <row r="817" spans="5:11" x14ac:dyDescent="0.35">
      <c r="E817" s="9" t="str">
        <v>EPSG</v>
      </c>
      <c r="F817" s="7" t="str">
        <v>2873</v>
      </c>
      <c r="G817" t="str">
        <v>ProjectedCrs</v>
      </c>
      <c r="H817" t="str">
        <v>Lambert Conic Conformal (2SP)</v>
      </c>
      <c r="I817" t="str">
        <v>NAD83(HARN) / California zone 4 (ftUS)</v>
      </c>
      <c r="J817" t="str">
        <v>United States (USA) - California - counties Fresno; Inyo; Kings; Monterey; San Benito; Tulare.</v>
      </c>
      <c r="K817" s="11">
        <v>0</v>
      </c>
    </row>
    <row r="818" spans="5:11" x14ac:dyDescent="0.35">
      <c r="E818" s="9" t="str">
        <v>EPSG</v>
      </c>
      <c r="F818" s="7" t="str">
        <v>2874</v>
      </c>
      <c r="G818" t="str">
        <v>ProjectedCrs</v>
      </c>
      <c r="H818" t="str">
        <v>Lambert Conic Conformal (2SP)</v>
      </c>
      <c r="I818" t="str">
        <v>NAD83(HARN) / California zone 5 (ftUS)</v>
      </c>
      <c r="J818" t="str">
        <v>United States (USA) - California - counties Kern; Los Angeles; San Bernardino; San Luis Obispo; Santa Barbara; Ventura.</v>
      </c>
      <c r="K818" s="11">
        <v>0</v>
      </c>
    </row>
    <row r="819" spans="5:11" x14ac:dyDescent="0.35">
      <c r="E819" s="9" t="str">
        <v>EPSG</v>
      </c>
      <c r="F819" s="7" t="str">
        <v>2875</v>
      </c>
      <c r="G819" t="str">
        <v>ProjectedCrs</v>
      </c>
      <c r="H819" t="str">
        <v>Lambert Conic Conformal (2SP)</v>
      </c>
      <c r="I819" t="str">
        <v>NAD83(HARN) / California zone 6 (ftUS)</v>
      </c>
      <c r="J819" t="str">
        <v>United States (USA) - California - counties Imperial; Orange; Riverside; San Diego.</v>
      </c>
      <c r="K819" s="11">
        <v>0</v>
      </c>
    </row>
    <row r="820" spans="5:11" x14ac:dyDescent="0.35">
      <c r="E820" s="9" t="str">
        <v>EPSG</v>
      </c>
      <c r="F820" s="7" t="str">
        <v>2876</v>
      </c>
      <c r="G820" t="str">
        <v>ProjectedCrs</v>
      </c>
      <c r="H820" t="str">
        <v>Lambert Conic Conformal (2SP)</v>
      </c>
      <c r="I820" t="str">
        <v>NAD83(HARN) / Colorado North (ftUS)</v>
      </c>
      <c r="J820" t="str">
        <v>United States (USA) - Colorado - counties Adams; Boulder; Gilpin; Grand; Jackson; Larimer; Logan; Moffat; Morgan; Phillips; Rio Blanco; Routt; Sedgwick; Washington; Weld; Yuma.</v>
      </c>
      <c r="K820" s="11">
        <v>0</v>
      </c>
    </row>
    <row r="821" spans="5:11" x14ac:dyDescent="0.35">
      <c r="E821" s="9" t="str">
        <v>EPSG</v>
      </c>
      <c r="F821" s="7" t="str">
        <v>2877</v>
      </c>
      <c r="G821" t="str">
        <v>ProjectedCrs</v>
      </c>
      <c r="H821" t="str">
        <v>Lambert Conic Conformal (2SP)</v>
      </c>
      <c r="I821" t="str">
        <v>NAD83(HARN) / Colorado Central (ftUS)</v>
      </c>
      <c r="J821" t="str">
        <v>United States (USA) - Colorado - counties Arapahoe; Chaffee; Cheyenne; Clear Creek; Delta; Denver; Douglas; Eagle; El Paso; Elbert; Fremont; Garfield; Gunnison; Jefferson; Kit Carson; Lake; Lincoln; Mesa; Park; Pitkin; Summit; Teller.</v>
      </c>
      <c r="K821" s="11">
        <v>0</v>
      </c>
    </row>
    <row r="822" spans="5:11" x14ac:dyDescent="0.35">
      <c r="E822" s="9" t="str">
        <v>EPSG</v>
      </c>
      <c r="F822" s="7" t="str">
        <v>2878</v>
      </c>
      <c r="G822" t="str">
        <v>ProjectedCrs</v>
      </c>
      <c r="H822" t="str">
        <v>Lambert Conic Conformal (2SP)</v>
      </c>
      <c r="I822" t="str">
        <v>NAD83(HARN) / Colorado South (ftUS)</v>
      </c>
      <c r="J822" t="str">
        <v>United States (USA) - Colorado - counties Alamosa; Archuleta; Baca; Bent; Conejos; Costilla; Crowley; Custer; Dolores; Hinsdale; Huerfano; Kiowa; La Plata; Las Animas; Mineral; Montezuma; Montrose; Otero; Ouray; Prowers; Pueblo; Rio Grande; Saguache; San Juan; San Miguel.</v>
      </c>
      <c r="K822" s="11">
        <v>0</v>
      </c>
    </row>
    <row r="823" spans="5:11" x14ac:dyDescent="0.35">
      <c r="E823" s="9" t="str">
        <v>EPSG</v>
      </c>
      <c r="F823" s="7" t="str">
        <v>2879</v>
      </c>
      <c r="G823" t="str">
        <v>ProjectedCrs</v>
      </c>
      <c r="H823" t="str">
        <v>Lambert Conic Conformal (2SP)</v>
      </c>
      <c r="I823" t="str">
        <v>NAD83(HARN) / Connecticut (ftUS)</v>
      </c>
      <c r="J823" t="str">
        <v>United States (USA) - Connecticut - counties of Fairfield; Hartford; Litchfield; Middlesex; New Haven; New London; Tolland; Windham.</v>
      </c>
      <c r="K823" s="11">
        <v>0</v>
      </c>
    </row>
    <row r="824" spans="5:11" x14ac:dyDescent="0.35">
      <c r="E824" s="9" t="str">
        <v>EPSG</v>
      </c>
      <c r="F824" s="7" t="str">
        <v>2880</v>
      </c>
      <c r="G824" t="str">
        <v>ProjectedCrs</v>
      </c>
      <c r="H824" t="str">
        <v>Transverse Mercator</v>
      </c>
      <c r="I824" t="str">
        <v>NAD83(HARN) / Delaware (ftUS)</v>
      </c>
      <c r="J824" t="str">
        <v>United States (USA) - Delaware - counties of Kent; New Castle; Sussex.</v>
      </c>
      <c r="K824" s="11">
        <v>0</v>
      </c>
    </row>
    <row r="825" spans="5:11" x14ac:dyDescent="0.35">
      <c r="E825" s="9" t="str">
        <v>EPSG</v>
      </c>
      <c r="F825" s="7" t="str">
        <v>2881</v>
      </c>
      <c r="G825" t="str">
        <v>ProjectedCrs</v>
      </c>
      <c r="H825" t="str">
        <v>Transverse Mercator</v>
      </c>
      <c r="I825" t="str">
        <v>NAD83(HARN) / Florida East (ftUS)</v>
      </c>
      <c r="J825" t="str">
        <v>United States (USA) - Florida - counties of Brevard; Broward; Clay; Collier; Dade; Duval; Flagler; Glades; Hendry; Highlands; Indian River; Lake; Martin; Monroe; Nassau; Okeechobee; Orange; Osceola; Palm Beach; Putnam; Seminole; St Johns; St Lucie; Volusia.</v>
      </c>
      <c r="K825" s="11">
        <v>0</v>
      </c>
    </row>
    <row r="826" spans="5:11" x14ac:dyDescent="0.35">
      <c r="E826" s="9" t="str">
        <v>EPSG</v>
      </c>
      <c r="F826" s="7" t="str">
        <v>2882</v>
      </c>
      <c r="G826" t="str">
        <v>ProjectedCrs</v>
      </c>
      <c r="H826" t="str">
        <v>Transverse Mercator</v>
      </c>
      <c r="I826" t="str">
        <v>NAD83(HARN) / Florida West (ftUS)</v>
      </c>
      <c r="J826" t="str">
        <v>United States (USA) - Florida - counties of Charlotte; Citrus; De Soto; Hardee; Hernando; Hillsborough; Lee; Levy; Manatee; Marion; Pasco; Pinellas; Polk; Sarasota; Sumter.</v>
      </c>
      <c r="K826" s="11">
        <v>0</v>
      </c>
    </row>
    <row r="827" spans="5:11" x14ac:dyDescent="0.35">
      <c r="E827" s="9" t="str">
        <v>EPSG</v>
      </c>
      <c r="F827" s="7" t="str">
        <v>2883</v>
      </c>
      <c r="G827" t="str">
        <v>ProjectedCrs</v>
      </c>
      <c r="H827" t="str">
        <v>Lambert Conic Conformal (2SP)</v>
      </c>
      <c r="I827" t="str">
        <v>NAD83(HARN) / Florida North (ftUS)</v>
      </c>
      <c r="J827" t="str">
        <v>United States (USA) - Florida - counties of Alachua; Baker; Bay; Bradford; Calhoun; Columbia; Dixie; Escambia; Franklin; Gadsden; Gilchrist; Gulf; Hamilton; Holmes; Jackson; Jefferson; Lafayette; Leon; Liberty; Madison; Okaloosa; Santa Rosa; Suwannee; Taylor; Union; Wakulla; Walton; Washington.</v>
      </c>
      <c r="K827" s="11">
        <v>0</v>
      </c>
    </row>
    <row r="828" spans="5:11" x14ac:dyDescent="0.35">
      <c r="E828" s="9" t="str">
        <v>EPSG</v>
      </c>
      <c r="F828" s="7" t="str">
        <v>2884</v>
      </c>
      <c r="G828" t="str">
        <v>ProjectedCrs</v>
      </c>
      <c r="H828" t="str">
        <v>Transverse Mercator</v>
      </c>
      <c r="I828" t="str">
        <v>NAD83(HARN) / Georgia East (ftUS)</v>
      </c>
      <c r="J828"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828" s="11">
        <v>0</v>
      </c>
    </row>
    <row r="829" spans="5:11" x14ac:dyDescent="0.35">
      <c r="E829" s="9" t="str">
        <v>EPSG</v>
      </c>
      <c r="F829" s="7" t="str">
        <v>2885</v>
      </c>
      <c r="G829" t="str">
        <v>ProjectedCrs</v>
      </c>
      <c r="H829" t="str">
        <v>Transverse Mercator</v>
      </c>
      <c r="I829" t="str">
        <v>NAD83(HARN) / Georgia West (ftUS)</v>
      </c>
      <c r="J829"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829" s="11">
        <v>0</v>
      </c>
    </row>
    <row r="830" spans="5:11" x14ac:dyDescent="0.35">
      <c r="E830" s="9" t="str">
        <v>EPSG</v>
      </c>
      <c r="F830" s="7" t="str">
        <v>2886</v>
      </c>
      <c r="G830" t="str">
        <v>ProjectedCrs</v>
      </c>
      <c r="H830" t="str">
        <v>Transverse Mercator</v>
      </c>
      <c r="I830" t="str">
        <v>NAD83(HARN) / Idaho East (ftUS)</v>
      </c>
      <c r="J830" t="str">
        <v>United States (USA) - Idaho - counties of Bannock; Bear Lake; Bingham; Bonneville; Caribou; Clark; Franklin; Fremont; Jefferson; Madison; Oneida; Power; Teton.</v>
      </c>
      <c r="K830" s="11">
        <v>0</v>
      </c>
    </row>
    <row r="831" spans="5:11" x14ac:dyDescent="0.35">
      <c r="E831" s="9" t="str">
        <v>EPSG</v>
      </c>
      <c r="F831" s="7" t="str">
        <v>2887</v>
      </c>
      <c r="G831" t="str">
        <v>ProjectedCrs</v>
      </c>
      <c r="H831" t="str">
        <v>Transverse Mercator</v>
      </c>
      <c r="I831" t="str">
        <v>NAD83(HARN) / Idaho Central (ftUS)</v>
      </c>
      <c r="J831" t="str">
        <v>United States (USA) - Idaho - counties of Blaine; Butte; Camas; Cassia; Custer; Gooding; Jerome; Lemhi; Lincoln; Minidoka; Twin Falls.</v>
      </c>
      <c r="K831" s="11">
        <v>0</v>
      </c>
    </row>
    <row r="832" spans="5:11" x14ac:dyDescent="0.35">
      <c r="E832" s="9" t="str">
        <v>EPSG</v>
      </c>
      <c r="F832" s="7" t="str">
        <v>2888</v>
      </c>
      <c r="G832" t="str">
        <v>ProjectedCrs</v>
      </c>
      <c r="H832" t="str">
        <v>Transverse Mercator</v>
      </c>
      <c r="I832" t="str">
        <v>NAD83(HARN) / Idaho West (ftUS)</v>
      </c>
      <c r="J832" t="str">
        <v>United States (USA) - Idaho - counties of Ada; Adams; Benewah; Boise; Bonner; Boundary; Canyon; Clearwater; Elmore; Gem; Idaho; Kootenai; Latah; Lewis; Nez Perce; Owyhee; Payette; Shoshone; Valley; Washington.</v>
      </c>
      <c r="K832" s="11">
        <v>0</v>
      </c>
    </row>
    <row r="833" spans="5:11" x14ac:dyDescent="0.35">
      <c r="E833" s="9" t="str">
        <v>EPSG</v>
      </c>
      <c r="F833" s="7" t="str">
        <v>2891</v>
      </c>
      <c r="G833" t="str">
        <v>ProjectedCrs</v>
      </c>
      <c r="H833" t="str">
        <v>Lambert Conic Conformal (2SP)</v>
      </c>
      <c r="I833" t="str">
        <v>NAD83(HARN) / Kentucky North (ftUS)</v>
      </c>
      <c r="J833"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833" s="11">
        <v>0</v>
      </c>
    </row>
    <row r="834" spans="5:11" x14ac:dyDescent="0.35">
      <c r="E834" s="9" t="str">
        <v>EPSG</v>
      </c>
      <c r="F834" s="7" t="str">
        <v>2892</v>
      </c>
      <c r="G834" t="str">
        <v>ProjectedCrs</v>
      </c>
      <c r="H834" t="str">
        <v>Lambert Conic Conformal (2SP)</v>
      </c>
      <c r="I834" t="str">
        <v>NAD83(HARN) / Kentucky South (ftUS)</v>
      </c>
      <c r="J834"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834" s="11">
        <v>0</v>
      </c>
    </row>
    <row r="835" spans="5:11" x14ac:dyDescent="0.35">
      <c r="E835" s="9" t="str">
        <v>EPSG</v>
      </c>
      <c r="F835" s="7" t="str">
        <v>2893</v>
      </c>
      <c r="G835" t="str">
        <v>ProjectedCrs</v>
      </c>
      <c r="H835" t="str">
        <v>Lambert Conic Conformal (2SP)</v>
      </c>
      <c r="I835" t="str">
        <v>NAD83(HARN) / Maryland (ftUS)</v>
      </c>
      <c r="J835" t="str">
        <v>United States (USA) - Maryland - counties of Allegany; Anne Arundel; Baltimore; Calvert; Caroline; Carroll; Cecil; Charles; Dorchester; Frederick; Garrett; Harford; Howard; Kent; Montgomery; Prince Georges; Queen Annes; Somerset; St Marys; Talbot; Washington; Wicomico; Worcester.</v>
      </c>
      <c r="K835" s="11">
        <v>0</v>
      </c>
    </row>
    <row r="836" spans="5:11" x14ac:dyDescent="0.35">
      <c r="E836" s="9" t="str">
        <v>EPSG</v>
      </c>
      <c r="F836" s="7" t="str">
        <v>2894</v>
      </c>
      <c r="G836" t="str">
        <v>ProjectedCrs</v>
      </c>
      <c r="H836" t="str">
        <v>Lambert Conic Conformal (2SP)</v>
      </c>
      <c r="I836" t="str">
        <v>NAD83(HARN) / Massachusetts Mainland (ftUS)</v>
      </c>
      <c r="J836" t="str">
        <v>United States (USA) - Massachusetts onshore - counties of Barnstable; Berkshire; Bristol; Essex; Franklin; Hampden; Hampshire; Middlesex; Norfolk; Plymouth; Suffolk; Worcester.</v>
      </c>
      <c r="K836" s="11">
        <v>0</v>
      </c>
    </row>
    <row r="837" spans="5:11" x14ac:dyDescent="0.35">
      <c r="E837" s="9" t="str">
        <v>EPSG</v>
      </c>
      <c r="F837" s="7" t="str">
        <v>2895</v>
      </c>
      <c r="G837" t="str">
        <v>ProjectedCrs</v>
      </c>
      <c r="H837" t="str">
        <v>Lambert Conic Conformal (2SP)</v>
      </c>
      <c r="I837" t="str">
        <v>NAD83(HARN) / Massachusetts Island (ftUS)</v>
      </c>
      <c r="J837" t="str">
        <v>United States (USA) - Massachusetts offshore - counties of Dukes; Nantucket.</v>
      </c>
      <c r="K837" s="11">
        <v>0</v>
      </c>
    </row>
    <row r="838" spans="5:11" x14ac:dyDescent="0.35">
      <c r="E838" s="9" t="str">
        <v>EPSG</v>
      </c>
      <c r="F838" s="7" t="str">
        <v>2896</v>
      </c>
      <c r="G838" t="str">
        <v>ProjectedCrs</v>
      </c>
      <c r="H838" t="str">
        <v>Lambert Conic Conformal (2SP)</v>
      </c>
      <c r="I838" t="str">
        <v>NAD83(HARN) / Michigan North (ft)</v>
      </c>
      <c r="J838" t="str">
        <v>United States (USA) - Michigan north of approximately 45°45'N - counties of Alger; Baraga; Chippewa; Delta; Dickinson; Gogebic; Houghton; Iron; Keweenaw; Luce; Mackinac; Marquette; Menominee; Ontonagon; Schoolcraft.</v>
      </c>
      <c r="K838" s="11">
        <v>0</v>
      </c>
    </row>
    <row r="839" spans="5:11" x14ac:dyDescent="0.35">
      <c r="E839" s="9" t="str">
        <v>EPSG</v>
      </c>
      <c r="F839" s="7" t="str">
        <v>2897</v>
      </c>
      <c r="G839" t="str">
        <v>ProjectedCrs</v>
      </c>
      <c r="H839" t="str">
        <v>Lambert Conic Conformal (2SP)</v>
      </c>
      <c r="I839" t="str">
        <v>NAD83(HARN) / Michigan Central (ft)</v>
      </c>
      <c r="J839"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839" s="11">
        <v>0</v>
      </c>
    </row>
    <row r="840" spans="5:11" x14ac:dyDescent="0.35">
      <c r="E840" s="9" t="str">
        <v>EPSG</v>
      </c>
      <c r="F840" s="7" t="str">
        <v>2898</v>
      </c>
      <c r="G840" t="str">
        <v>ProjectedCrs</v>
      </c>
      <c r="H840" t="str">
        <v>Lambert Conic Conformal (2SP)</v>
      </c>
      <c r="I840" t="str">
        <v>NAD83(HARN) / Michigan South (ft)</v>
      </c>
      <c r="J840"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840" s="11">
        <v>0</v>
      </c>
    </row>
    <row r="841" spans="5:11" x14ac:dyDescent="0.35">
      <c r="E841" s="9" t="str">
        <v>EPSG</v>
      </c>
      <c r="F841" s="7" t="str">
        <v>2899</v>
      </c>
      <c r="G841" t="str">
        <v>ProjectedCrs</v>
      </c>
      <c r="H841" t="str">
        <v>Transverse Mercator</v>
      </c>
      <c r="I841" t="str">
        <v>NAD83(HARN) / Mississippi East (ftUS)</v>
      </c>
      <c r="J841"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841" s="11">
        <v>0</v>
      </c>
    </row>
    <row r="842" spans="5:11" x14ac:dyDescent="0.35">
      <c r="E842" s="9" t="str">
        <v>EPSG</v>
      </c>
      <c r="F842" s="7" t="str">
        <v>2900</v>
      </c>
      <c r="G842" t="str">
        <v>ProjectedCrs</v>
      </c>
      <c r="H842" t="str">
        <v>Transverse Mercator</v>
      </c>
      <c r="I842" t="str">
        <v>NAD83(HARN) / Mississippi West (ftUS)</v>
      </c>
      <c r="J842"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842" s="11">
        <v>0</v>
      </c>
    </row>
    <row r="843" spans="5:11" x14ac:dyDescent="0.35">
      <c r="E843" s="9" t="str">
        <v>EPSG</v>
      </c>
      <c r="F843" s="7" t="str">
        <v>2901</v>
      </c>
      <c r="G843" t="str">
        <v>ProjectedCrs</v>
      </c>
      <c r="H843" t="str">
        <v>Lambert Conic Conformal (2SP)</v>
      </c>
      <c r="I843" t="str">
        <v>NAD83(HARN) / Montana (ft)</v>
      </c>
      <c r="J843"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843" s="11">
        <v>0</v>
      </c>
    </row>
    <row r="844" spans="5:11" x14ac:dyDescent="0.35">
      <c r="E844" s="9" t="str">
        <v>EPSG</v>
      </c>
      <c r="F844" s="7" t="str">
        <v>2902</v>
      </c>
      <c r="G844" t="str">
        <v>ProjectedCrs</v>
      </c>
      <c r="H844" t="str">
        <v>Transverse Mercator</v>
      </c>
      <c r="I844" t="str">
        <v>NAD83(HARN) / New Mexico East (ftUS)</v>
      </c>
      <c r="J844" t="str">
        <v>United States (USA) - New Mexico - counties of Chaves; Colfax; Curry; De Baca; Eddy; Guadalupe; Harding; Lea; Mora; Quay; Roosevelt; San Miguel; Union.</v>
      </c>
      <c r="K844" s="11">
        <v>0</v>
      </c>
    </row>
    <row r="845" spans="5:11" x14ac:dyDescent="0.35">
      <c r="E845" s="9" t="str">
        <v>EPSG</v>
      </c>
      <c r="F845" s="7" t="str">
        <v>2903</v>
      </c>
      <c r="G845" t="str">
        <v>ProjectedCrs</v>
      </c>
      <c r="H845" t="str">
        <v>Transverse Mercator</v>
      </c>
      <c r="I845" t="str">
        <v>NAD83(HARN) / New Mexico Central (ftUS)</v>
      </c>
      <c r="J845" t="str">
        <v>United States (USA) - New Mexico - counties of Bernalillo; Dona Ana; Lincoln; Los Alamos; Otero; Rio Arriba; Sandoval; Santa Fe; Socorro; Taos; Torrance; Valencia.</v>
      </c>
      <c r="K845" s="11">
        <v>0</v>
      </c>
    </row>
    <row r="846" spans="5:11" x14ac:dyDescent="0.35">
      <c r="E846" s="9" t="str">
        <v>EPSG</v>
      </c>
      <c r="F846" s="7" t="str">
        <v>2904</v>
      </c>
      <c r="G846" t="str">
        <v>ProjectedCrs</v>
      </c>
      <c r="H846" t="str">
        <v>Transverse Mercator</v>
      </c>
      <c r="I846" t="str">
        <v>NAD83(HARN) / New Mexico West (ftUS)</v>
      </c>
      <c r="J846" t="str">
        <v>United States (USA) - New Mexico - counties of Catron; Cibola; Grant; Hidalgo; Luna; McKinley; San Juan; Sierra.</v>
      </c>
      <c r="K846" s="11">
        <v>0</v>
      </c>
    </row>
    <row r="847" spans="5:11" x14ac:dyDescent="0.35">
      <c r="E847" s="9" t="str">
        <v>EPSG</v>
      </c>
      <c r="F847" s="7" t="str">
        <v>2905</v>
      </c>
      <c r="G847" t="str">
        <v>ProjectedCrs</v>
      </c>
      <c r="H847" t="str">
        <v>Transverse Mercator</v>
      </c>
      <c r="I847" t="str">
        <v>NAD83(HARN) / New York East (ftUS)</v>
      </c>
      <c r="J847"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847" s="11">
        <v>0</v>
      </c>
    </row>
    <row r="848" spans="5:11" x14ac:dyDescent="0.35">
      <c r="E848" s="9" t="str">
        <v>EPSG</v>
      </c>
      <c r="F848" s="7" t="str">
        <v>2906</v>
      </c>
      <c r="G848" t="str">
        <v>ProjectedCrs</v>
      </c>
      <c r="H848" t="str">
        <v>Transverse Mercator</v>
      </c>
      <c r="I848" t="str">
        <v>NAD83(HARN) / New York Central (ftUS)</v>
      </c>
      <c r="J848" t="str">
        <v>United States (USA) - New York - counties of Broome; Cayuga; Chemung; Chenango; Cortland; Jefferson; Lewis; Madison; Oneida; Onondaga; Ontario; Oswego; Schuyler; Seneca; Steuben; Tioga; Tompkins; Wayne; Yates.</v>
      </c>
      <c r="K848" s="11">
        <v>0</v>
      </c>
    </row>
    <row r="849" spans="5:11" x14ac:dyDescent="0.35">
      <c r="E849" s="9" t="str">
        <v>EPSG</v>
      </c>
      <c r="F849" s="7" t="str">
        <v>2907</v>
      </c>
      <c r="G849" t="str">
        <v>ProjectedCrs</v>
      </c>
      <c r="H849" t="str">
        <v>Transverse Mercator</v>
      </c>
      <c r="I849" t="str">
        <v>NAD83(HARN) / New York West (ftUS)</v>
      </c>
      <c r="J849" t="str">
        <v>United States (USA) - New York - counties of Allegany; Cattaraugus; Chautauqua; Erie; Genesee; Livingston; Monroe; Niagara; Orleans; Wyoming.</v>
      </c>
      <c r="K849" s="11">
        <v>0</v>
      </c>
    </row>
    <row r="850" spans="5:11" x14ac:dyDescent="0.35">
      <c r="E850" s="9" t="str">
        <v>EPSG</v>
      </c>
      <c r="F850" s="7" t="str">
        <v>2908</v>
      </c>
      <c r="G850" t="str">
        <v>ProjectedCrs</v>
      </c>
      <c r="H850" t="str">
        <v>Lambert Conic Conformal (2SP)</v>
      </c>
      <c r="I850" t="str">
        <v>NAD83(HARN) / New York Long Island (ftUS)</v>
      </c>
      <c r="J850" t="str">
        <v>United States (USA) - New York - counties of Bronx; Kings; Nassau; New York; Queens; Richmond; Suffolk.</v>
      </c>
      <c r="K850" s="11">
        <v>0</v>
      </c>
    </row>
    <row r="851" spans="5:11" x14ac:dyDescent="0.35">
      <c r="E851" s="9" t="str">
        <v>EPSG</v>
      </c>
      <c r="F851" s="7" t="str">
        <v>2909</v>
      </c>
      <c r="G851" t="str">
        <v>ProjectedCrs</v>
      </c>
      <c r="H851" t="str">
        <v>Lambert Conic Conformal (2SP)</v>
      </c>
      <c r="I851" t="str">
        <v>NAD83(HARN) / North Dakota North (ft)</v>
      </c>
      <c r="J851" t="str">
        <v>United States (USA) - North Dakota - counties of Benson; Bottineau; Burke; Cavalier; Divide; Eddy; Foster; Grand Forks; Griggs; McHenry; McKenzie; McLean; Mountrial; Nelson; Pembina; Pierce; Ramsey; Renville; Rolette; Sheridan; Steele; Towner; Traill; Walsh; Ward; Wells; Williams.</v>
      </c>
      <c r="K851" s="11">
        <v>0</v>
      </c>
    </row>
    <row r="852" spans="5:11" x14ac:dyDescent="0.35">
      <c r="E852" s="9" t="str">
        <v>EPSG</v>
      </c>
      <c r="F852" s="7" t="str">
        <v>2910</v>
      </c>
      <c r="G852" t="str">
        <v>ProjectedCrs</v>
      </c>
      <c r="H852" t="str">
        <v>Lambert Conic Conformal (2SP)</v>
      </c>
      <c r="I852" t="str">
        <v>NAD83(HARN) / North Dakota South (ft)</v>
      </c>
      <c r="J852" t="str">
        <v>United States (USA) - North Dakota - counties of Adams; Barnes; Billings; Bowman; Burleigh; Cass; Dickey; Dunn; Emmons; Golden Valley; Grant; Hettinger; Kidder; La Moure; Logan; McIntosh; Mercer; Morton; Oliver; Ransom; Richland; Sargent; Sioux; Slope; Stark; Stutsman.</v>
      </c>
      <c r="K852" s="11">
        <v>0</v>
      </c>
    </row>
    <row r="853" spans="5:11" x14ac:dyDescent="0.35">
      <c r="E853" s="9" t="str">
        <v>EPSG</v>
      </c>
      <c r="F853" s="7" t="str">
        <v>2911</v>
      </c>
      <c r="G853" t="str">
        <v>ProjectedCrs</v>
      </c>
      <c r="H853" t="str">
        <v>Lambert Conic Conformal (2SP)</v>
      </c>
      <c r="I853" t="str">
        <v>NAD83(HARN) / Oklahoma North (ftUS)</v>
      </c>
      <c r="J853"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853" s="11">
        <v>0</v>
      </c>
    </row>
    <row r="854" spans="5:11" x14ac:dyDescent="0.35">
      <c r="E854" s="9" t="str">
        <v>EPSG</v>
      </c>
      <c r="F854" s="7" t="str">
        <v>2912</v>
      </c>
      <c r="G854" t="str">
        <v>ProjectedCrs</v>
      </c>
      <c r="H854" t="str">
        <v>Lambert Conic Conformal (2SP)</v>
      </c>
      <c r="I854" t="str">
        <v>NAD83(HARN) / Oklahoma South (ftUS)</v>
      </c>
      <c r="J854"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854" s="11">
        <v>0</v>
      </c>
    </row>
    <row r="855" spans="5:11" x14ac:dyDescent="0.35">
      <c r="E855" s="9" t="str">
        <v>EPSG</v>
      </c>
      <c r="F855" s="7" t="str">
        <v>2913</v>
      </c>
      <c r="G855" t="str">
        <v>ProjectedCrs</v>
      </c>
      <c r="H855" t="str">
        <v>Lambert Conic Conformal (2SP)</v>
      </c>
      <c r="I855" t="str">
        <v>NAD83(HARN) / Oregon North (ft)</v>
      </c>
      <c r="J855" t="str">
        <v>United States (USA) - Oregon - counties of Baker; Benton; Clackamas; Clatsop; Columbia; Gilliam; Grant; Hood River; Jefferson; Lincoln; Linn; Marion; Morrow; Multnomah; Polk; Sherman; Tillamook; Umatilla; Union; Wallowa; Wasco; Washington; Wheeler; Yamhill.</v>
      </c>
      <c r="K855" s="11">
        <v>0</v>
      </c>
    </row>
    <row r="856" spans="5:11" x14ac:dyDescent="0.35">
      <c r="E856" s="9" t="str">
        <v>EPSG</v>
      </c>
      <c r="F856" s="7" t="str">
        <v>2914</v>
      </c>
      <c r="G856" t="str">
        <v>ProjectedCrs</v>
      </c>
      <c r="H856" t="str">
        <v>Lambert Conic Conformal (2SP)</v>
      </c>
      <c r="I856" t="str">
        <v>NAD83(HARN) / Oregon South (ft)</v>
      </c>
      <c r="J856" t="str">
        <v>United States (USA) - Oregon - counties of Coos; Crook; Curry; Deschutes; Douglas; Harney; Jackson; Josephine; Klamath; Lake; Lane; Malheur.</v>
      </c>
      <c r="K856" s="11">
        <v>0</v>
      </c>
    </row>
    <row r="857" spans="5:11" x14ac:dyDescent="0.35">
      <c r="E857" s="9" t="str">
        <v>EPSG</v>
      </c>
      <c r="F857" s="7" t="str">
        <v>2915</v>
      </c>
      <c r="G857" t="str">
        <v>ProjectedCrs</v>
      </c>
      <c r="H857" t="str">
        <v>Lambert Conic Conformal (2SP)</v>
      </c>
      <c r="I857" t="str">
        <v>NAD83(HARN) / Tennessee (ftUS)</v>
      </c>
      <c r="J857"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857" s="11">
        <v>0</v>
      </c>
    </row>
    <row r="858" spans="5:11" x14ac:dyDescent="0.35">
      <c r="E858" s="9" t="str">
        <v>EPSG</v>
      </c>
      <c r="F858" s="7" t="str">
        <v>2916</v>
      </c>
      <c r="G858" t="str">
        <v>ProjectedCrs</v>
      </c>
      <c r="H858" t="str">
        <v>Lambert Conic Conformal (2SP)</v>
      </c>
      <c r="I858" t="str">
        <v>NAD83(HARN) / Texas North (ftUS)</v>
      </c>
      <c r="J858" t="str">
        <v>United States (USA) - Texas - counties of: Armstrong; Briscoe; Carson; Castro; Childress; Collingsworth; Dallam; Deaf Smith; Donley; Gray; Hall; Hansford; Hartley; Hemphill; Hutchinson; Lipscomb; Moore; Ochiltree; Oldham; Parmer; Potter; Randall; Roberts; Sherman; Swisher; Wheeler.</v>
      </c>
      <c r="K858" s="11">
        <v>0</v>
      </c>
    </row>
    <row r="859" spans="5:11" x14ac:dyDescent="0.35">
      <c r="E859" s="9" t="str">
        <v>EPSG</v>
      </c>
      <c r="F859" s="7" t="str">
        <v>2917</v>
      </c>
      <c r="G859" t="str">
        <v>ProjectedCrs</v>
      </c>
      <c r="H859" t="str">
        <v>Lambert Conic Conformal (2SP)</v>
      </c>
      <c r="I859" t="str">
        <v>NAD83(HARN) / Texas North Central (ftUS)</v>
      </c>
      <c r="J859"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859" s="11">
        <v>0</v>
      </c>
    </row>
    <row r="860" spans="5:11" x14ac:dyDescent="0.35">
      <c r="E860" s="9" t="str">
        <v>EPSG</v>
      </c>
      <c r="F860" s="7" t="str">
        <v>2918</v>
      </c>
      <c r="G860" t="str">
        <v>ProjectedCrs</v>
      </c>
      <c r="H860" t="str">
        <v>Lambert Conic Conformal (2SP)</v>
      </c>
      <c r="I860" t="str">
        <v>NAD83(HARN) / Texas Central (ftUS)</v>
      </c>
      <c r="J860"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860" s="11">
        <v>0</v>
      </c>
    </row>
    <row r="861" spans="5:11" x14ac:dyDescent="0.35">
      <c r="E861" s="9" t="str">
        <v>EPSG</v>
      </c>
      <c r="F861" s="7" t="str">
        <v>2919</v>
      </c>
      <c r="G861" t="str">
        <v>ProjectedCrs</v>
      </c>
      <c r="H861" t="str">
        <v>Lambert Conic Conformal (2SP)</v>
      </c>
      <c r="I861" t="str">
        <v>NAD83(HARN) / Texas South Central (ftUS)</v>
      </c>
      <c r="J861"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861" s="11">
        <v>0</v>
      </c>
    </row>
    <row r="862" spans="5:11" x14ac:dyDescent="0.35">
      <c r="E862" s="9" t="str">
        <v>EPSG</v>
      </c>
      <c r="F862" s="7" t="str">
        <v>2920</v>
      </c>
      <c r="G862" t="str">
        <v>ProjectedCrs</v>
      </c>
      <c r="H862" t="str">
        <v>Lambert Conic Conformal (2SP)</v>
      </c>
      <c r="I862" t="str">
        <v>NAD83(HARN) / Texas South (ftUS)</v>
      </c>
      <c r="J862" t="str">
        <v>United States (USA) - Texas - counties of Brooks; Cameron; Duval; Hidalgo; Jim Hogg; Jim Wells; Kenedy; Kleberg; Nueces; San Patricio; Starr; Webb; Willacy; Zapata.</v>
      </c>
      <c r="K862" s="11">
        <v>0</v>
      </c>
    </row>
    <row r="863" spans="5:11" x14ac:dyDescent="0.35">
      <c r="E863" s="9" t="str">
        <v>EPSG</v>
      </c>
      <c r="F863" s="7" t="str">
        <v>2921</v>
      </c>
      <c r="G863" t="str">
        <v>ProjectedCrs</v>
      </c>
      <c r="H863" t="str">
        <v>Lambert Conic Conformal (2SP)</v>
      </c>
      <c r="I863" t="str">
        <v>NAD83(HARN) / Utah North (ft)</v>
      </c>
      <c r="J863" t="str">
        <v>United States (USA) - Utah - counties of Box Elder; Cache; Daggett; Davis; Morgan; Rich; Summit; Weber.</v>
      </c>
      <c r="K863" s="11">
        <v>0</v>
      </c>
    </row>
    <row r="864" spans="5:11" x14ac:dyDescent="0.35">
      <c r="E864" s="9" t="str">
        <v>EPSG</v>
      </c>
      <c r="F864" s="7" t="str">
        <v>2922</v>
      </c>
      <c r="G864" t="str">
        <v>ProjectedCrs</v>
      </c>
      <c r="H864" t="str">
        <v>Lambert Conic Conformal (2SP)</v>
      </c>
      <c r="I864" t="str">
        <v>NAD83(HARN) / Utah Central (ft)</v>
      </c>
      <c r="J864" t="str">
        <v>United States (USA) - Utah - counties of Carbon; Duchesne; Emery; Grand; Juab; Millard; Salt Lake; Sanpete; Sevier; Tooele; Uintah; Utah; Wasatch.</v>
      </c>
      <c r="K864" s="11">
        <v>0</v>
      </c>
    </row>
    <row r="865" spans="5:11" x14ac:dyDescent="0.35">
      <c r="E865" s="9" t="str">
        <v>EPSG</v>
      </c>
      <c r="F865" s="7" t="str">
        <v>2923</v>
      </c>
      <c r="G865" t="str">
        <v>ProjectedCrs</v>
      </c>
      <c r="H865" t="str">
        <v>Lambert Conic Conformal (2SP)</v>
      </c>
      <c r="I865" t="str">
        <v>NAD83(HARN) / Utah South (ft)</v>
      </c>
      <c r="J865" t="str">
        <v>United States (USA) - Utah - counties of Beaver; Garfield; Iron; Kane; Piute; San Juan; Washington; Wayne.</v>
      </c>
      <c r="K865" s="11">
        <v>0</v>
      </c>
    </row>
    <row r="866" spans="5:11" x14ac:dyDescent="0.35">
      <c r="E866" s="9" t="str">
        <v>EPSG</v>
      </c>
      <c r="F866" s="7" t="str">
        <v>2924</v>
      </c>
      <c r="G866" t="str">
        <v>ProjectedCrs</v>
      </c>
      <c r="H866" t="str">
        <v>Lambert Conic Conformal (2SP)</v>
      </c>
      <c r="I866" t="str">
        <v>NAD83(HARN) / Virginia North (ftUS)</v>
      </c>
      <c r="J866" t="str">
        <v>United States (USA) - Virginia - counties of Arlington; Augusta; Bath; Caroline; Clarke; Culpeper; Fairfax; Fauquier; Frederick; Greene; Highland; King George; Loudoun; Madison; Orange; Page; Prince William; Rappahannock; Rockingham; Shenandoah; Spotsylvania; Stafford; Warren; Westmoreland.</v>
      </c>
      <c r="K866" s="11">
        <v>0</v>
      </c>
    </row>
    <row r="867" spans="5:11" x14ac:dyDescent="0.35">
      <c r="E867" s="9" t="str">
        <v>EPSG</v>
      </c>
      <c r="F867" s="7" t="str">
        <v>2925</v>
      </c>
      <c r="G867" t="str">
        <v>ProjectedCrs</v>
      </c>
      <c r="H867" t="str">
        <v>Lambert Conic Conformal (2SP)</v>
      </c>
      <c r="I867" t="str">
        <v>NAD83(HARN) / Virginia South (ftUS)</v>
      </c>
      <c r="J867"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867" s="11">
        <v>0</v>
      </c>
    </row>
    <row r="868" spans="5:11" x14ac:dyDescent="0.35">
      <c r="E868" s="9" t="str">
        <v>EPSG</v>
      </c>
      <c r="F868" s="7" t="str">
        <v>2926</v>
      </c>
      <c r="G868" t="str">
        <v>ProjectedCrs</v>
      </c>
      <c r="H868" t="str">
        <v>Lambert Conic Conformal (2SP)</v>
      </c>
      <c r="I868" t="str">
        <v>NAD83(HARN) / Washington North (ftUS)</v>
      </c>
      <c r="J868" t="str">
        <v>United States (USA) - Washington - counties of Chelan; Clallam; Douglas; Ferry; Grant north of approximately 47°30'N; Island; Jefferson; King; Kitsap; Lincoln; Okanogan; Pend Oreille; San Juan; Skagit; Snohomish; Spokane; Stevens; Whatcom.</v>
      </c>
      <c r="K868" s="11">
        <v>0</v>
      </c>
    </row>
    <row r="869" spans="5:11" x14ac:dyDescent="0.35">
      <c r="E869" s="9" t="str">
        <v>EPSG</v>
      </c>
      <c r="F869" s="7" t="str">
        <v>2927</v>
      </c>
      <c r="G869" t="str">
        <v>ProjectedCrs</v>
      </c>
      <c r="H869" t="str">
        <v>Lambert Conic Conformal (2SP)</v>
      </c>
      <c r="I869" t="str">
        <v>NAD83(HARN) / Washington South (ftUS)</v>
      </c>
      <c r="J869" t="str">
        <v>United States (USA) - Washington - counties of Adams; Asotin; Benton; Clark; Columbia; Cowlitz; Franklin; Garfield; Grant south of approximately 47°30'N; Grays Harbor; Kittitas; Klickitat; Lewis; Mason; Pacific; Pierce; Skamania; Thurston; Wahkiakum; Walla Walla; Whitman; Yakima.</v>
      </c>
      <c r="K869" s="11">
        <v>0</v>
      </c>
    </row>
    <row r="870" spans="5:11" x14ac:dyDescent="0.35">
      <c r="E870" s="9" t="str">
        <v>EPSG</v>
      </c>
      <c r="F870" s="7" t="str">
        <v>2928</v>
      </c>
      <c r="G870" t="str">
        <v>ProjectedCrs</v>
      </c>
      <c r="H870" t="str">
        <v>Lambert Conic Conformal (2SP)</v>
      </c>
      <c r="I870" t="str">
        <v>NAD83(HARN) / Wisconsin North (ftUS)</v>
      </c>
      <c r="J870" t="str">
        <v>United States (USA) - Wisconsin - counties of Ashland; Bayfield; Burnett; Douglas; Florence; Forest; Iron; Oneida; Price; Sawyer; Vilas; Washburn.</v>
      </c>
      <c r="K870" s="11">
        <v>0</v>
      </c>
    </row>
    <row r="871" spans="5:11" x14ac:dyDescent="0.35">
      <c r="E871" s="9" t="str">
        <v>EPSG</v>
      </c>
      <c r="F871" s="7" t="str">
        <v>2929</v>
      </c>
      <c r="G871" t="str">
        <v>ProjectedCrs</v>
      </c>
      <c r="H871" t="str">
        <v>Lambert Conic Conformal (2SP)</v>
      </c>
      <c r="I871" t="str">
        <v>NAD83(HARN) / Wisconsin Central (ftUS)</v>
      </c>
      <c r="J871" t="str">
        <v>United States (USA) - Wisconsin - counties of Barron; Brown; Buffalo; Chippewa; Clark; Door; Dunn; Eau Claire; Jackson; Kewaunee; Langlade; Lincoln; Marathon; Marinette; Menominee; Oconto; Outagamie; Pepin; Pierce; Polk; Portage; Rusk; Shawano; St Croix; Taylor; Trempealeau; Waupaca; Wood.</v>
      </c>
      <c r="K871" s="11">
        <v>0</v>
      </c>
    </row>
    <row r="872" spans="5:11" x14ac:dyDescent="0.35">
      <c r="E872" s="9" t="str">
        <v>EPSG</v>
      </c>
      <c r="F872" s="7" t="str">
        <v>2930</v>
      </c>
      <c r="G872" t="str">
        <v>ProjectedCrs</v>
      </c>
      <c r="H872" t="str">
        <v>Lambert Conic Conformal (2SP)</v>
      </c>
      <c r="I872" t="str">
        <v>NAD83(HARN) / Wisconsin South (ftUS)</v>
      </c>
      <c r="J872"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872" s="11">
        <v>0</v>
      </c>
    </row>
    <row r="873" spans="5:11" x14ac:dyDescent="0.35">
      <c r="E873" s="9" t="str">
        <v>EPSG</v>
      </c>
      <c r="F873" s="7" t="str">
        <v>2931</v>
      </c>
      <c r="G873" t="str">
        <v>ProjectedCrs</v>
      </c>
      <c r="H873" t="str">
        <v>Transverse Mercator</v>
      </c>
      <c r="I873" t="str">
        <v>Beduaram / TM 13 NE</v>
      </c>
      <c r="J873" t="str">
        <v>Niger - southeast</v>
      </c>
      <c r="K873" s="11">
        <v>0</v>
      </c>
    </row>
    <row r="874" spans="5:11" x14ac:dyDescent="0.35">
      <c r="E874" s="9" t="str">
        <v>EPSG</v>
      </c>
      <c r="F874" s="7" t="str">
        <v>2932</v>
      </c>
      <c r="G874" t="str">
        <v>ProjectedCrs</v>
      </c>
      <c r="H874" t="str">
        <v>Transverse Mercator</v>
      </c>
      <c r="I874" t="str">
        <v>QND95 / Qatar National Grid</v>
      </c>
      <c r="J874" t="str">
        <v>Qatar - onshore.</v>
      </c>
      <c r="K874" s="11">
        <v>0</v>
      </c>
    </row>
    <row r="875" spans="5:11" x14ac:dyDescent="0.35">
      <c r="E875" s="9" t="str">
        <v>EPSG</v>
      </c>
      <c r="F875" s="7" t="str">
        <v>2933</v>
      </c>
      <c r="G875" t="str">
        <v>ProjectedCrs</v>
      </c>
      <c r="H875" t="str">
        <v>Transverse Mercator</v>
      </c>
      <c r="I875" t="str">
        <v>Segara / UTM zone 50S</v>
      </c>
      <c r="J875" t="str">
        <v>Indonesia - east Kalimantan - Mahakam delta coastal and offshore shelf areas.</v>
      </c>
      <c r="K875" s="11">
        <v>0</v>
      </c>
    </row>
    <row r="876" spans="5:11" x14ac:dyDescent="0.35">
      <c r="E876" s="9" t="str">
        <v>EPSG</v>
      </c>
      <c r="F876" s="7" t="str">
        <v>2935</v>
      </c>
      <c r="G876" t="str">
        <v>ProjectedCrs</v>
      </c>
      <c r="H876" t="str">
        <v>Transverse Mercator</v>
      </c>
      <c r="I876" t="str">
        <v>Pulkovo 1942 / CS63 zone A1</v>
      </c>
      <c r="J876" t="str">
        <v>Armenia and Georgia onshore west of 43°02'E.</v>
      </c>
      <c r="K876" s="11">
        <v>0</v>
      </c>
    </row>
    <row r="877" spans="5:11" x14ac:dyDescent="0.35">
      <c r="E877" s="9" t="str">
        <v>EPSG</v>
      </c>
      <c r="F877" s="7" t="str">
        <v>2936</v>
      </c>
      <c r="G877" t="str">
        <v>ProjectedCrs</v>
      </c>
      <c r="H877" t="str">
        <v>Transverse Mercator</v>
      </c>
      <c r="I877" t="str">
        <v>Pulkovo 1942 / CS63 zone A2</v>
      </c>
      <c r="J877" t="str">
        <v>Armenia and Georgia between 43°02'E and 46°02'E; Azerbaijan west of 46°02'E.</v>
      </c>
      <c r="K877" s="11">
        <v>0</v>
      </c>
    </row>
    <row r="878" spans="5:11" x14ac:dyDescent="0.35">
      <c r="E878" s="9" t="str">
        <v>EPSG</v>
      </c>
      <c r="F878" s="7" t="str">
        <v>2937</v>
      </c>
      <c r="G878" t="str">
        <v>ProjectedCrs</v>
      </c>
      <c r="H878" t="str">
        <v>Transverse Mercator</v>
      </c>
      <c r="I878" t="str">
        <v>Pulkovo 1942 / CS63 zone A3</v>
      </c>
      <c r="J878" t="str">
        <v>Armenia and Georgia east of 46°02'E; Azerbaijan between 46°02' and 49°02'E.</v>
      </c>
      <c r="K878" s="11">
        <v>0</v>
      </c>
    </row>
    <row r="879" spans="5:11" x14ac:dyDescent="0.35">
      <c r="E879" s="9" t="str">
        <v>EPSG</v>
      </c>
      <c r="F879" s="7" t="str">
        <v>2938</v>
      </c>
      <c r="G879" t="str">
        <v>ProjectedCrs</v>
      </c>
      <c r="H879" t="str">
        <v>Transverse Mercator</v>
      </c>
      <c r="I879" t="str">
        <v>Pulkovo 1942 / CS63 zone A4</v>
      </c>
      <c r="J879" t="str">
        <v>Azerbaijan east of 49°02'E.</v>
      </c>
      <c r="K879" s="11">
        <v>0</v>
      </c>
    </row>
    <row r="880" spans="5:11" x14ac:dyDescent="0.35">
      <c r="E880" s="9" t="str">
        <v>EPSG</v>
      </c>
      <c r="F880" s="7" t="str">
        <v>2939</v>
      </c>
      <c r="G880" t="str">
        <v>ProjectedCrs</v>
      </c>
      <c r="H880" t="str">
        <v>Transverse Mercator</v>
      </c>
      <c r="I880" t="str">
        <v>Pulkovo 1942 / CS63 zone K2</v>
      </c>
      <c r="J880" t="str">
        <v>Kazakhstan between 49°16'E and 52°16'E.</v>
      </c>
      <c r="K880" s="11">
        <v>0</v>
      </c>
    </row>
    <row r="881" spans="5:11" x14ac:dyDescent="0.35">
      <c r="E881" s="9" t="str">
        <v>EPSG</v>
      </c>
      <c r="F881" s="7" t="str">
        <v>2940</v>
      </c>
      <c r="G881" t="str">
        <v>ProjectedCrs</v>
      </c>
      <c r="H881" t="str">
        <v>Transverse Mercator</v>
      </c>
      <c r="I881" t="str">
        <v>Pulkovo 1942 / CS63 zone K3</v>
      </c>
      <c r="J881" t="str">
        <v>Kazakhstan between 52°16'E and 55°16'E.</v>
      </c>
      <c r="K881" s="11">
        <v>0</v>
      </c>
    </row>
    <row r="882" spans="5:11" x14ac:dyDescent="0.35">
      <c r="E882" s="9" t="str">
        <v>EPSG</v>
      </c>
      <c r="F882" s="7" t="str">
        <v>2941</v>
      </c>
      <c r="G882" t="str">
        <v>ProjectedCrs</v>
      </c>
      <c r="H882" t="str">
        <v>Transverse Mercator</v>
      </c>
      <c r="I882" t="str">
        <v>Pulkovo 1942 / CS63 zone K4</v>
      </c>
      <c r="J882" t="str">
        <v>Kazakhstan between 55°16'E and 58°16'E.</v>
      </c>
      <c r="K882" s="11">
        <v>0</v>
      </c>
    </row>
    <row r="883" spans="5:11" x14ac:dyDescent="0.35">
      <c r="E883" s="9" t="str">
        <v>EPSG</v>
      </c>
      <c r="F883" s="7" t="str">
        <v>2942</v>
      </c>
      <c r="G883" t="str">
        <v>ProjectedCrs</v>
      </c>
      <c r="H883" t="str">
        <v>Transverse Mercator</v>
      </c>
      <c r="I883" t="str">
        <v>Porto Santo / UTM zone 28N</v>
      </c>
      <c r="J883" t="str">
        <v>Portugal - Madeira, Porto Santo and Desertas islands - onshore.</v>
      </c>
      <c r="K883" s="11">
        <v>0</v>
      </c>
    </row>
    <row r="884" spans="5:11" x14ac:dyDescent="0.35">
      <c r="E884" s="9" t="str">
        <v>EPSG</v>
      </c>
      <c r="F884" s="7" t="str">
        <v>2943</v>
      </c>
      <c r="G884" t="str">
        <v>ProjectedCrs</v>
      </c>
      <c r="H884" t="str">
        <v>Transverse Mercator</v>
      </c>
      <c r="I884" t="str">
        <v>Selvagem Grande / UTM zone 28N</v>
      </c>
      <c r="J884" t="str">
        <v>Portugal - Selvagens islands (Madeira province) - onshore.</v>
      </c>
      <c r="K884" s="11">
        <v>0</v>
      </c>
    </row>
    <row r="885" spans="5:11" x14ac:dyDescent="0.35">
      <c r="E885" s="9" t="str">
        <v>EPSG</v>
      </c>
      <c r="F885" s="7" t="str">
        <v>2945</v>
      </c>
      <c r="G885" t="str">
        <v>ProjectedCrs</v>
      </c>
      <c r="H885" t="str">
        <v>Transverse Mercator</v>
      </c>
      <c r="I885" t="str">
        <v>NAD83(CSRS) / MTM zone 3</v>
      </c>
      <c r="J885" t="str">
        <v>Canada - Newfoundland and Labrador between 60°W and 57°30'W; Canada - Quebec east of 60°W.</v>
      </c>
      <c r="K885" s="11">
        <v>0</v>
      </c>
    </row>
    <row r="886" spans="5:11" x14ac:dyDescent="0.35">
      <c r="E886" s="9" t="str">
        <v>EPSG</v>
      </c>
      <c r="F886" s="7" t="str">
        <v>2946</v>
      </c>
      <c r="G886" t="str">
        <v>ProjectedCrs</v>
      </c>
      <c r="H886" t="str">
        <v>Transverse Mercator</v>
      </c>
      <c r="I886" t="str">
        <v>NAD83(CSRS) / MTM zone 4</v>
      </c>
      <c r="J886" t="str">
        <v>Canada - Quebec and Labrador between 63°W and 60°W.</v>
      </c>
      <c r="K886" s="11">
        <v>0</v>
      </c>
    </row>
    <row r="887" spans="5:11" x14ac:dyDescent="0.35">
      <c r="E887" s="9" t="str">
        <v>EPSG</v>
      </c>
      <c r="F887" s="7" t="str">
        <v>2947</v>
      </c>
      <c r="G887" t="str">
        <v>ProjectedCrs</v>
      </c>
      <c r="H887" t="str">
        <v>Transverse Mercator</v>
      </c>
      <c r="I887" t="str">
        <v>NAD83(CSRS) / MTM zone 5</v>
      </c>
      <c r="J887" t="str">
        <v>Canada - Quebec and Labrador between 66°W and 63°W.</v>
      </c>
      <c r="K887" s="11">
        <v>0</v>
      </c>
    </row>
    <row r="888" spans="5:11" x14ac:dyDescent="0.35">
      <c r="E888" s="9" t="str">
        <v>EPSG</v>
      </c>
      <c r="F888" s="7" t="str">
        <v>2948</v>
      </c>
      <c r="G888" t="str">
        <v>ProjectedCrs</v>
      </c>
      <c r="H888" t="str">
        <v>Transverse Mercator</v>
      </c>
      <c r="I888" t="str">
        <v>NAD83(CSRS) / MTM zone 6</v>
      </c>
      <c r="J888" t="str">
        <v>Canada - Quebec and Labrador between 69°W and 66°W.</v>
      </c>
      <c r="K888" s="11">
        <v>0</v>
      </c>
    </row>
    <row r="889" spans="5:11" x14ac:dyDescent="0.35">
      <c r="E889" s="9" t="str">
        <v>EPSG</v>
      </c>
      <c r="F889" s="7" t="str">
        <v>2949</v>
      </c>
      <c r="G889" t="str">
        <v>ProjectedCrs</v>
      </c>
      <c r="H889" t="str">
        <v>Transverse Mercator</v>
      </c>
      <c r="I889" t="str">
        <v>NAD83(CSRS) / MTM zone 7</v>
      </c>
      <c r="J889" t="str">
        <v>Canada - Quebec - between 72°W and 69°W.</v>
      </c>
      <c r="K889" s="11">
        <v>0</v>
      </c>
    </row>
    <row r="890" spans="5:11" x14ac:dyDescent="0.35">
      <c r="E890" s="9" t="str">
        <v>EPSG</v>
      </c>
      <c r="F890" s="7" t="str">
        <v>2950</v>
      </c>
      <c r="G890" t="str">
        <v>ProjectedCrs</v>
      </c>
      <c r="H890" t="str">
        <v>Transverse Mercator</v>
      </c>
      <c r="I890" t="str">
        <v>NAD83(CSRS) / MTM zone 8</v>
      </c>
      <c r="J890" t="str">
        <v>Canada - Quebec between 75°W and 72°W.; Canada - Ontario - east of 75°W.</v>
      </c>
      <c r="K890" s="11">
        <v>0</v>
      </c>
    </row>
    <row r="891" spans="5:11" x14ac:dyDescent="0.35">
      <c r="E891" s="9" t="str">
        <v>EPSG</v>
      </c>
      <c r="F891" s="7" t="str">
        <v>2951</v>
      </c>
      <c r="G891" t="str">
        <v>ProjectedCrs</v>
      </c>
      <c r="H891" t="str">
        <v>Transverse Mercator</v>
      </c>
      <c r="I891" t="str">
        <v>NAD83(CSRS) / MTM zone 9</v>
      </c>
      <c r="J891" t="str">
        <v>Canada - Quebec and Ontario - between 78°W and 75°W.</v>
      </c>
      <c r="K891" s="11">
        <v>0</v>
      </c>
    </row>
    <row r="892" spans="5:11" x14ac:dyDescent="0.35">
      <c r="E892" s="9" t="str">
        <v>EPSG</v>
      </c>
      <c r="F892" s="7" t="str">
        <v>2952</v>
      </c>
      <c r="G892" t="str">
        <v>ProjectedCrs</v>
      </c>
      <c r="H892" t="str">
        <v>Transverse Mercator</v>
      </c>
      <c r="I892" t="str">
        <v>NAD83(CSRS) / MTM zone 10</v>
      </c>
      <c r="J892" t="str">
        <v>Canada - Quebec west of 78°W; Canada - Ontario - between 79°30'W and 78°W in area to north of 47°N; between 80°15'W and 78°W in area between 46°N and 47°N; between 81°W and 78°W in area south of 46°N.</v>
      </c>
      <c r="K892" s="11">
        <v>0</v>
      </c>
    </row>
    <row r="893" spans="5:11" x14ac:dyDescent="0.35">
      <c r="E893" s="9" t="str">
        <v>EPSG</v>
      </c>
      <c r="F893" s="7" t="str">
        <v>2953</v>
      </c>
      <c r="G893" t="str">
        <v>ProjectedCrs</v>
      </c>
      <c r="H893" t="str">
        <v>Oblique Stereographic</v>
      </c>
      <c r="I893" t="str">
        <v>NAD83(CSRS) / New Brunswick Stereographic</v>
      </c>
      <c r="J893" t="str">
        <v>Canada - New Brunswick.</v>
      </c>
      <c r="K893" s="11">
        <v>0</v>
      </c>
    </row>
    <row r="894" spans="5:11" x14ac:dyDescent="0.35">
      <c r="E894" s="9" t="str">
        <v>EPSG</v>
      </c>
      <c r="F894" s="7" t="str">
        <v>2954</v>
      </c>
      <c r="G894" t="str">
        <v>ProjectedCrs</v>
      </c>
      <c r="H894" t="str">
        <v>Oblique Stereographic</v>
      </c>
      <c r="I894" t="str">
        <v>NAD83(CSRS) / Prince Edward Isl. Stereographic (NAD83)</v>
      </c>
      <c r="J894" t="str">
        <v>Canada - Prince Edward Island.</v>
      </c>
      <c r="K894" s="11">
        <v>0</v>
      </c>
    </row>
    <row r="895" spans="5:11" x14ac:dyDescent="0.35">
      <c r="E895" s="9" t="str">
        <v>EPSG</v>
      </c>
      <c r="F895" s="7" t="str">
        <v>2955</v>
      </c>
      <c r="G895" t="str">
        <v>ProjectedCrs</v>
      </c>
      <c r="H895" t="str">
        <v>Transverse Mercator</v>
      </c>
      <c r="I895" t="str">
        <v>NAD83(CSRS) / UTM zone 11N</v>
      </c>
      <c r="J895" t="str">
        <v>Canada between 120°W and 114°W onshore and offshore - Alberta, British Columbia, Northwest Territories, Nunavut.</v>
      </c>
      <c r="K895" s="11">
        <v>0</v>
      </c>
    </row>
    <row r="896" spans="5:11" x14ac:dyDescent="0.35">
      <c r="E896" s="9" t="str">
        <v>EPSG</v>
      </c>
      <c r="F896" s="7" t="str">
        <v>2956</v>
      </c>
      <c r="G896" t="str">
        <v>ProjectedCrs</v>
      </c>
      <c r="H896" t="str">
        <v>Transverse Mercator</v>
      </c>
      <c r="I896" t="str">
        <v>NAD83(CSRS) / UTM zone 12N</v>
      </c>
      <c r="J896" t="str">
        <v>Canada between 114°W and 108°W onshore and offshore - Alberta, Northwest Territories, Nunavut, Saskatchewan.</v>
      </c>
      <c r="K896" s="11">
        <v>0</v>
      </c>
    </row>
    <row r="897" spans="5:11" x14ac:dyDescent="0.35">
      <c r="E897" s="9" t="str">
        <v>EPSG</v>
      </c>
      <c r="F897" s="7" t="str">
        <v>2957</v>
      </c>
      <c r="G897" t="str">
        <v>ProjectedCrs</v>
      </c>
      <c r="H897" t="str">
        <v>Transverse Mercator</v>
      </c>
      <c r="I897" t="str">
        <v>NAD83(CSRS) / UTM zone 13N</v>
      </c>
      <c r="J897" t="str">
        <v>Canada between 108°W and 102°W onshore and offshore - Northwest Territories, Nunavut, Saskatchewan.</v>
      </c>
      <c r="K897" s="11">
        <v>0</v>
      </c>
    </row>
    <row r="898" spans="5:11" x14ac:dyDescent="0.35">
      <c r="E898" s="9" t="str">
        <v>EPSG</v>
      </c>
      <c r="F898" s="7" t="str">
        <v>2958</v>
      </c>
      <c r="G898" t="str">
        <v>ProjectedCrs</v>
      </c>
      <c r="H898" t="str">
        <v>Transverse Mercator</v>
      </c>
      <c r="I898" t="str">
        <v>NAD83(CSRS) / UTM zone 17N</v>
      </c>
      <c r="J898" t="str">
        <v>Canada between 84°W and 78°W, onshore and offshore south of 84°N - Nunavut, Ontario and Quebec.</v>
      </c>
      <c r="K898" s="11">
        <v>0</v>
      </c>
    </row>
    <row r="899" spans="5:11" x14ac:dyDescent="0.35">
      <c r="E899" s="9" t="str">
        <v>EPSG</v>
      </c>
      <c r="F899" s="7" t="str">
        <v>2959</v>
      </c>
      <c r="G899" t="str">
        <v>ProjectedCrs</v>
      </c>
      <c r="H899" t="str">
        <v>Transverse Mercator</v>
      </c>
      <c r="I899" t="str">
        <v>NAD83(CSRS) / UTM zone 18N</v>
      </c>
      <c r="J899" t="str">
        <v>Canada between 78°W and 72°W, onshore and offshore south of 84°N - Nunavut, Ontario and Quebec.</v>
      </c>
      <c r="K899" s="11">
        <v>0</v>
      </c>
    </row>
    <row r="900" spans="5:11" x14ac:dyDescent="0.35">
      <c r="E900" s="9" t="str">
        <v>EPSG</v>
      </c>
      <c r="F900" s="7" t="str">
        <v>2960</v>
      </c>
      <c r="G900" t="str">
        <v>ProjectedCrs</v>
      </c>
      <c r="H900" t="str">
        <v>Transverse Mercator</v>
      </c>
      <c r="I900" t="str">
        <v>NAD83(CSRS) / UTM zone 19N</v>
      </c>
      <c r="J900" t="str">
        <v>Canada between 72°W and 66°W onshore and offshore - New Brunswick, Labrador, Nova Scotia, Nunavut, Quebec.</v>
      </c>
      <c r="K900" s="11">
        <v>0</v>
      </c>
    </row>
    <row r="901" spans="5:11" x14ac:dyDescent="0.35">
      <c r="E901" s="9" t="str">
        <v>EPSG</v>
      </c>
      <c r="F901" s="7" t="str">
        <v>2961</v>
      </c>
      <c r="G901" t="str">
        <v>ProjectedCrs</v>
      </c>
      <c r="H901" t="str">
        <v>Transverse Mercator</v>
      </c>
      <c r="I901" t="str">
        <v>NAD83(CSRS) / UTM zone 20N</v>
      </c>
      <c r="J901" t="str">
        <v>Canada between 66°W and 60°W onshore and offshore - New Brunswick, Labrador, Nova Scotia, Nunavut, Prince Edward Island, Quebec.</v>
      </c>
      <c r="K901" s="11">
        <v>0</v>
      </c>
    </row>
    <row r="902" spans="5:11" x14ac:dyDescent="0.35">
      <c r="E902" s="9" t="str">
        <v>EPSG</v>
      </c>
      <c r="F902" s="7" t="str">
        <v>2962</v>
      </c>
      <c r="G902" t="str">
        <v>ProjectedCrs</v>
      </c>
      <c r="H902" t="str">
        <v>Transverse Mercator</v>
      </c>
      <c r="I902" t="str">
        <v>NAD83(CSRS) / UTM zone 21N</v>
      </c>
      <c r="J902" t="str">
        <v>Canada between 60°W and 54°W - Newfoundland and Labrador; Nunavut; Quebec.</v>
      </c>
      <c r="K902" s="11">
        <v>0</v>
      </c>
    </row>
    <row r="903" spans="5:11" x14ac:dyDescent="0.35">
      <c r="E903" s="9" t="str">
        <v>EPSG</v>
      </c>
      <c r="F903" s="7" t="str">
        <v>2963</v>
      </c>
      <c r="G903" t="str">
        <v>ProjectedCrs</v>
      </c>
      <c r="H903" t="str">
        <v>Bonne (South Orientated)</v>
      </c>
      <c r="I903" t="str">
        <v>Lisbon 1890 (Lisbon) / Portugal Bonne</v>
      </c>
      <c r="J903" t="str">
        <v>Portugal - mainland - onshore.</v>
      </c>
      <c r="K903" s="11">
        <v>0</v>
      </c>
    </row>
    <row r="904" spans="5:11" x14ac:dyDescent="0.35">
      <c r="E904" s="9" t="str">
        <v>EPSG</v>
      </c>
      <c r="F904" s="7" t="str">
        <v>2964</v>
      </c>
      <c r="G904" t="str">
        <v>ProjectedCrs</v>
      </c>
      <c r="H904" t="str">
        <v>Albers Equal Area</v>
      </c>
      <c r="I904" t="str">
        <v>NAD27 / Alaska Albers</v>
      </c>
      <c r="J904" t="str">
        <v>United States (USA) - Alaska.</v>
      </c>
      <c r="K904" s="11">
        <v>0</v>
      </c>
    </row>
    <row r="905" spans="5:11" x14ac:dyDescent="0.35">
      <c r="E905" s="9" t="str">
        <v>EPSG</v>
      </c>
      <c r="F905" s="7" t="str">
        <v>2965</v>
      </c>
      <c r="G905" t="str">
        <v>ProjectedCrs</v>
      </c>
      <c r="H905" t="str">
        <v>Transverse Mercator</v>
      </c>
      <c r="I905" t="str">
        <v>NAD83 / Indiana East (ftUS)</v>
      </c>
      <c r="J905"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905" s="11">
        <v>0</v>
      </c>
    </row>
    <row r="906" spans="5:11" x14ac:dyDescent="0.35">
      <c r="E906" s="9" t="str">
        <v>EPSG</v>
      </c>
      <c r="F906" s="7" t="str">
        <v>2966</v>
      </c>
      <c r="G906" t="str">
        <v>ProjectedCrs</v>
      </c>
      <c r="H906" t="str">
        <v>Transverse Mercator</v>
      </c>
      <c r="I906" t="str">
        <v>NAD83 / Indiana West (ftUS)</v>
      </c>
      <c r="J906"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906" s="11">
        <v>0</v>
      </c>
    </row>
    <row r="907" spans="5:11" x14ac:dyDescent="0.35">
      <c r="E907" s="9" t="str">
        <v>EPSG</v>
      </c>
      <c r="F907" s="7" t="str">
        <v>2967</v>
      </c>
      <c r="G907" t="str">
        <v>ProjectedCrs</v>
      </c>
      <c r="H907" t="str">
        <v>Transverse Mercator</v>
      </c>
      <c r="I907" t="str">
        <v>NAD83(HARN) / Indiana East (ftUS)</v>
      </c>
      <c r="J907"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907" s="11">
        <v>0</v>
      </c>
    </row>
    <row r="908" spans="5:11" x14ac:dyDescent="0.35">
      <c r="E908" s="9" t="str">
        <v>EPSG</v>
      </c>
      <c r="F908" s="7" t="str">
        <v>2968</v>
      </c>
      <c r="G908" t="str">
        <v>ProjectedCrs</v>
      </c>
      <c r="H908" t="str">
        <v>Transverse Mercator</v>
      </c>
      <c r="I908" t="str">
        <v>NAD83(HARN) / Indiana West (ftUS)</v>
      </c>
      <c r="J908"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908" s="11">
        <v>0</v>
      </c>
    </row>
    <row r="909" spans="5:11" x14ac:dyDescent="0.35">
      <c r="E909" s="9" t="str">
        <v>EPSG</v>
      </c>
      <c r="F909" s="7" t="str">
        <v>2969</v>
      </c>
      <c r="G909" t="str">
        <v>ProjectedCrs</v>
      </c>
      <c r="H909" t="str">
        <v>Transverse Mercator</v>
      </c>
      <c r="I909" t="str">
        <v>Fort Marigot / UTM zone 20N</v>
      </c>
      <c r="J909" t="str">
        <v>Guadeloupe - onshore - St Martin and St Barthélemy islands.</v>
      </c>
      <c r="K909" s="11">
        <v>0</v>
      </c>
    </row>
    <row r="910" spans="5:11" x14ac:dyDescent="0.35">
      <c r="E910" s="9" t="str">
        <v>EPSG</v>
      </c>
      <c r="F910" s="7" t="str">
        <v>2970</v>
      </c>
      <c r="G910" t="str">
        <v>ProjectedCrs</v>
      </c>
      <c r="H910" t="str">
        <v>Transverse Mercator</v>
      </c>
      <c r="I910" t="str">
        <v>Guadeloupe 1948 / UTM zone 20N</v>
      </c>
      <c r="J910" t="str">
        <v>Guadeloupe - onshore - Basse-Terre, Grande-Terre, La Desirade, Marie-Galante, Les Saintes.</v>
      </c>
      <c r="K910" s="11">
        <v>0</v>
      </c>
    </row>
    <row r="911" spans="5:11" x14ac:dyDescent="0.35">
      <c r="E911" s="9" t="str">
        <v>EPSG</v>
      </c>
      <c r="F911" s="7" t="str">
        <v>2971</v>
      </c>
      <c r="G911" t="str">
        <v>ProjectedCrs</v>
      </c>
      <c r="H911" t="str">
        <v>Transverse Mercator</v>
      </c>
      <c r="I911" t="str">
        <v>CSG67 / UTM zone 22N</v>
      </c>
      <c r="J911" t="str">
        <v>French Guiana - coastal area east of 54°W.</v>
      </c>
      <c r="K911" s="11">
        <v>0</v>
      </c>
    </row>
    <row r="912" spans="5:11" x14ac:dyDescent="0.35">
      <c r="E912" s="9" t="str">
        <v>EPSG</v>
      </c>
      <c r="F912" s="7" t="str">
        <v>2972</v>
      </c>
      <c r="G912" t="str">
        <v>ProjectedCrs</v>
      </c>
      <c r="H912" t="str">
        <v>Transverse Mercator</v>
      </c>
      <c r="I912" t="str">
        <v>RGFG95 / UTM zone 22N</v>
      </c>
      <c r="J912" t="str">
        <v>French Guiana - east of 54°W, onshore and offshore.</v>
      </c>
      <c r="K912" s="11">
        <v>0</v>
      </c>
    </row>
    <row r="913" spans="5:11" x14ac:dyDescent="0.35">
      <c r="E913" s="9" t="str">
        <v>EPSG</v>
      </c>
      <c r="F913" s="7" t="str">
        <v>2973</v>
      </c>
      <c r="G913" t="str">
        <v>ProjectedCrs</v>
      </c>
      <c r="H913" t="str">
        <v>Transverse Mercator</v>
      </c>
      <c r="I913" t="str">
        <v>Martinique 1938 / UTM zone 20N</v>
      </c>
      <c r="J913" t="str">
        <v>Martinique - onshore.</v>
      </c>
      <c r="K913" s="11">
        <v>0</v>
      </c>
    </row>
    <row r="914" spans="5:11" x14ac:dyDescent="0.35">
      <c r="E914" s="9" t="str">
        <v>EPSG</v>
      </c>
      <c r="F914" s="7" t="str">
        <v>2975</v>
      </c>
      <c r="G914" t="str">
        <v>ProjectedCrs</v>
      </c>
      <c r="H914" t="str">
        <v>Transverse Mercator</v>
      </c>
      <c r="I914" t="str">
        <v>RGR92 / UTM zone 40S</v>
      </c>
      <c r="J914" t="str">
        <v>Reunion - onshore and offshore - east of 54°E.</v>
      </c>
      <c r="K914" s="11">
        <v>0</v>
      </c>
    </row>
    <row r="915" spans="5:11" x14ac:dyDescent="0.35">
      <c r="E915" s="9" t="str">
        <v>EPSG</v>
      </c>
      <c r="F915" s="7" t="str">
        <v>2976</v>
      </c>
      <c r="G915" t="str">
        <v>ProjectedCrs</v>
      </c>
      <c r="H915" t="str">
        <v>Transverse Mercator</v>
      </c>
      <c r="I915" t="str">
        <v>Tahiti 52 / UTM zone 6S</v>
      </c>
      <c r="J915" t="str">
        <v>French Polynesia - Society Islands - Moorea and Tahiti.</v>
      </c>
      <c r="K915" s="11">
        <v>0</v>
      </c>
    </row>
    <row r="916" spans="5:11" x14ac:dyDescent="0.35">
      <c r="E916" s="9" t="str">
        <v>EPSG</v>
      </c>
      <c r="F916" s="7" t="str">
        <v>2977</v>
      </c>
      <c r="G916" t="str">
        <v>ProjectedCrs</v>
      </c>
      <c r="H916" t="str">
        <v>Transverse Mercator</v>
      </c>
      <c r="I916" t="str">
        <v>Tahaa 54 / UTM zone 5S</v>
      </c>
      <c r="J916" t="str">
        <v>French Polynesia - Society Islands - Bora Bora, Huahine, Raiatea and Tahaa.</v>
      </c>
      <c r="K916" s="11">
        <v>0</v>
      </c>
    </row>
    <row r="917" spans="5:11" x14ac:dyDescent="0.35">
      <c r="E917" s="9" t="str">
        <v>EPSG</v>
      </c>
      <c r="F917" s="7" t="str">
        <v>2978</v>
      </c>
      <c r="G917" t="str">
        <v>ProjectedCrs</v>
      </c>
      <c r="H917" t="str">
        <v>Transverse Mercator</v>
      </c>
      <c r="I917" t="str">
        <v>IGN72 Nuku Hiva / UTM zone 7S</v>
      </c>
      <c r="J917" t="str">
        <v>French Polynesia - Marquesas Islands - Nuku Hiva, Ua Huka and Ua Pou.</v>
      </c>
      <c r="K917" s="11">
        <v>0</v>
      </c>
    </row>
    <row r="918" spans="5:11" x14ac:dyDescent="0.35">
      <c r="E918" s="9" t="str">
        <v>EPSG</v>
      </c>
      <c r="F918" s="7" t="str">
        <v>2980</v>
      </c>
      <c r="G918" t="str">
        <v>ProjectedCrs</v>
      </c>
      <c r="H918" t="str">
        <v>Transverse Mercator</v>
      </c>
      <c r="I918" t="str">
        <v>Combani 1950 / UTM zone 38S</v>
      </c>
      <c r="J918" t="str">
        <v>Mayotte - onshore.</v>
      </c>
      <c r="K918" s="11">
        <v>0</v>
      </c>
    </row>
    <row r="919" spans="5:11" x14ac:dyDescent="0.35">
      <c r="E919" s="9" t="str">
        <v>EPSG</v>
      </c>
      <c r="F919" s="7" t="str">
        <v>2981</v>
      </c>
      <c r="G919" t="str">
        <v>ProjectedCrs</v>
      </c>
      <c r="H919" t="str">
        <v>Transverse Mercator</v>
      </c>
      <c r="I919" t="str">
        <v>IGN56 Lifou / UTM zone 58S</v>
      </c>
      <c r="J919" t="str">
        <v>New Caledonia - Loyalty Islands - Lifou.</v>
      </c>
      <c r="K919" s="11">
        <v>0</v>
      </c>
    </row>
    <row r="920" spans="5:11" x14ac:dyDescent="0.35">
      <c r="E920" s="9" t="str">
        <v>EPSG</v>
      </c>
      <c r="F920" s="7" t="str">
        <v>2985</v>
      </c>
      <c r="G920" t="str">
        <v>ProjectedCrs</v>
      </c>
      <c r="H920" t="str">
        <v>Polar Stereographic (variant C)</v>
      </c>
      <c r="I920" t="str">
        <v>Petrels 1972 / Terre Adelie Polar Stereographic</v>
      </c>
      <c r="J920" t="str">
        <v>Antarctica - Adelie Land - Petrels island.</v>
      </c>
      <c r="K920" s="11">
        <v>0</v>
      </c>
    </row>
    <row r="921" spans="5:11" x14ac:dyDescent="0.35">
      <c r="E921" s="9" t="str">
        <v>EPSG</v>
      </c>
      <c r="F921" s="7" t="str">
        <v>2986</v>
      </c>
      <c r="G921" t="str">
        <v>ProjectedCrs</v>
      </c>
      <c r="H921" t="str">
        <v>Polar Stereographic (variant C)</v>
      </c>
      <c r="I921" t="str">
        <v>Perroud 1950 / Terre Adelie Polar Stereographic</v>
      </c>
      <c r="J921" t="str">
        <v>Antarctica - Adelie Land - coastal area between 136°E and 142°E.</v>
      </c>
      <c r="K921" s="11">
        <v>0</v>
      </c>
    </row>
    <row r="922" spans="5:11" x14ac:dyDescent="0.35">
      <c r="E922" s="9" t="str">
        <v>EPSG</v>
      </c>
      <c r="F922" s="7" t="str">
        <v>2987</v>
      </c>
      <c r="G922" t="str">
        <v>ProjectedCrs</v>
      </c>
      <c r="H922" t="str">
        <v>Transverse Mercator</v>
      </c>
      <c r="I922" t="str">
        <v>Saint Pierre et Miquelon 1950 / UTM zone 21N</v>
      </c>
      <c r="J922" t="str">
        <v>St Pierre and Miquelon - onshore.</v>
      </c>
      <c r="K922" s="11">
        <v>0</v>
      </c>
    </row>
    <row r="923" spans="5:11" x14ac:dyDescent="0.35">
      <c r="E923" s="9" t="str">
        <v>EPSG</v>
      </c>
      <c r="F923" s="7" t="str">
        <v>2988</v>
      </c>
      <c r="G923" t="str">
        <v>ProjectedCrs</v>
      </c>
      <c r="H923" t="str">
        <v>Transverse Mercator</v>
      </c>
      <c r="I923" t="str">
        <v>MOP78 / UTM zone 1S</v>
      </c>
      <c r="J923" t="str">
        <v>Wallis and Futuna - Wallis.</v>
      </c>
      <c r="K923" s="11">
        <v>0</v>
      </c>
    </row>
    <row r="924" spans="5:11" x14ac:dyDescent="0.35">
      <c r="E924" s="9" t="str">
        <v>EPSG</v>
      </c>
      <c r="F924" s="7" t="str">
        <v>2991</v>
      </c>
      <c r="G924" t="str">
        <v>ProjectedCrs</v>
      </c>
      <c r="H924" t="str">
        <v>Lambert Conic Conformal (2SP)</v>
      </c>
      <c r="I924" t="str">
        <v>NAD83 / Oregon LCC (m)</v>
      </c>
      <c r="J924" t="str">
        <v>United States (USA) - Oregon.</v>
      </c>
      <c r="K924" s="11">
        <v>0</v>
      </c>
    </row>
    <row r="925" spans="5:11" x14ac:dyDescent="0.35">
      <c r="E925" s="9" t="str">
        <v>EPSG</v>
      </c>
      <c r="F925" s="7" t="str">
        <v>2992</v>
      </c>
      <c r="G925" t="str">
        <v>ProjectedCrs</v>
      </c>
      <c r="H925" t="str">
        <v>Lambert Conic Conformal (2SP)</v>
      </c>
      <c r="I925" t="str">
        <v>NAD83 / Oregon GIC Lambert (ft)</v>
      </c>
      <c r="J925" t="str">
        <v>United States (USA) - Oregon.</v>
      </c>
      <c r="K925" s="11">
        <v>0</v>
      </c>
    </row>
    <row r="926" spans="5:11" x14ac:dyDescent="0.35">
      <c r="E926" s="9" t="str">
        <v>EPSG</v>
      </c>
      <c r="F926" s="7" t="str">
        <v>2993</v>
      </c>
      <c r="G926" t="str">
        <v>ProjectedCrs</v>
      </c>
      <c r="H926" t="str">
        <v>Lambert Conic Conformal (2SP)</v>
      </c>
      <c r="I926" t="str">
        <v>NAD83(HARN) / Oregon LCC (m)</v>
      </c>
      <c r="J926" t="str">
        <v>United States (USA) - Oregon.</v>
      </c>
      <c r="K926" s="11">
        <v>0</v>
      </c>
    </row>
    <row r="927" spans="5:11" x14ac:dyDescent="0.35">
      <c r="E927" s="9" t="str">
        <v>EPSG</v>
      </c>
      <c r="F927" s="7" t="str">
        <v>2994</v>
      </c>
      <c r="G927" t="str">
        <v>ProjectedCrs</v>
      </c>
      <c r="H927" t="str">
        <v>Lambert Conic Conformal (2SP)</v>
      </c>
      <c r="I927" t="str">
        <v>NAD83(HARN) / Oregon GIC Lambert (ft)</v>
      </c>
      <c r="J927" t="str">
        <v>United States (USA) - Oregon.</v>
      </c>
      <c r="K927" s="11">
        <v>0</v>
      </c>
    </row>
    <row r="928" spans="5:11" x14ac:dyDescent="0.35">
      <c r="E928" s="9" t="str">
        <v>EPSG</v>
      </c>
      <c r="F928" s="7" t="str">
        <v>2995</v>
      </c>
      <c r="G928" t="str">
        <v>ProjectedCrs</v>
      </c>
      <c r="H928" t="str">
        <v>Transverse Mercator</v>
      </c>
      <c r="I928" t="str">
        <v>IGN53 Mare / UTM zone 58S</v>
      </c>
      <c r="J928" t="str">
        <v>New Caledonia - Loyalty Islands - Mare - west of 168°E.</v>
      </c>
      <c r="K928" s="11">
        <v>0</v>
      </c>
    </row>
    <row r="929" spans="5:11" x14ac:dyDescent="0.35">
      <c r="E929" s="9" t="str">
        <v>EPSG</v>
      </c>
      <c r="F929" s="7" t="str">
        <v>2996</v>
      </c>
      <c r="G929" t="str">
        <v>ProjectedCrs</v>
      </c>
      <c r="H929" t="str">
        <v>Transverse Mercator</v>
      </c>
      <c r="I929" t="str">
        <v>ST84 Ile des Pins / UTM zone 58S</v>
      </c>
      <c r="J929" t="str">
        <v>New Caledonia - Ile des Pins.</v>
      </c>
      <c r="K929" s="11">
        <v>0</v>
      </c>
    </row>
    <row r="930" spans="5:11" x14ac:dyDescent="0.35">
      <c r="E930" s="9" t="str">
        <v>EPSG</v>
      </c>
      <c r="F930" s="7" t="str">
        <v>2997</v>
      </c>
      <c r="G930" t="str">
        <v>ProjectedCrs</v>
      </c>
      <c r="H930" t="str">
        <v>Transverse Mercator</v>
      </c>
      <c r="I930" t="str">
        <v>ST71 Belep / UTM zone 58S</v>
      </c>
      <c r="J930" t="str">
        <v>New Caledonia - Belep.</v>
      </c>
      <c r="K930" s="11">
        <v>0</v>
      </c>
    </row>
    <row r="931" spans="5:11" x14ac:dyDescent="0.35">
      <c r="E931" s="9" t="str">
        <v>EPSG</v>
      </c>
      <c r="F931" s="7" t="str">
        <v>2998</v>
      </c>
      <c r="G931" t="str">
        <v>ProjectedCrs</v>
      </c>
      <c r="H931" t="str">
        <v>Transverse Mercator</v>
      </c>
      <c r="I931" t="str">
        <v>NEA74 Noumea / UTM zone 58S</v>
      </c>
      <c r="J931" t="str">
        <v>New Caledonia - Grande Terre - Noumea district.</v>
      </c>
      <c r="K931" s="11">
        <v>0</v>
      </c>
    </row>
    <row r="932" spans="5:11" x14ac:dyDescent="0.35">
      <c r="E932" s="9" t="str">
        <v>EPSG</v>
      </c>
      <c r="F932" s="7" t="str">
        <v>2999</v>
      </c>
      <c r="G932" t="str">
        <v>ProjectedCrs</v>
      </c>
      <c r="H932" t="str">
        <v>Transverse Mercator</v>
      </c>
      <c r="I932" t="str">
        <v>Grand Comoros / UTM zone 38S</v>
      </c>
      <c r="J932" t="str">
        <v>Comoros - Njazidja (Grande Comore).</v>
      </c>
      <c r="K932" s="11">
        <v>0</v>
      </c>
    </row>
    <row r="933" spans="5:11" x14ac:dyDescent="0.35">
      <c r="E933" s="9" t="str">
        <v>EPSG</v>
      </c>
      <c r="F933" s="7" t="str">
        <v>3000</v>
      </c>
      <c r="G933" t="str">
        <v>ProjectedCrs</v>
      </c>
      <c r="H933" t="str">
        <v>Mercator (variant A)</v>
      </c>
      <c r="I933" t="str">
        <v>Segara / NEIEZ</v>
      </c>
      <c r="J933" t="str">
        <v>Indonesia - Kalimantan - onshore east coastal area including Mahakam delta coastal and offshore shelf areas.</v>
      </c>
      <c r="K933" s="11">
        <v>0</v>
      </c>
    </row>
    <row r="934" spans="5:11" x14ac:dyDescent="0.35">
      <c r="E934" s="9" t="str">
        <v>EPSG</v>
      </c>
      <c r="F934" s="7" t="str">
        <v>3001</v>
      </c>
      <c r="G934" t="str">
        <v>ProjectedCrs</v>
      </c>
      <c r="H934" t="str">
        <v>Mercator (variant A)</v>
      </c>
      <c r="I934" t="str">
        <v>Batavia / NEIEZ</v>
      </c>
      <c r="J934" t="str">
        <v>Indonesia - onshore - Bali, Java and western Sumatra.</v>
      </c>
      <c r="K934" s="11">
        <v>0</v>
      </c>
    </row>
    <row r="935" spans="5:11" x14ac:dyDescent="0.35">
      <c r="E935" s="9" t="str">
        <v>EPSG</v>
      </c>
      <c r="F935" s="7" t="str">
        <v>3002</v>
      </c>
      <c r="G935" t="str">
        <v>ProjectedCrs</v>
      </c>
      <c r="H935" t="str">
        <v>Mercator (variant A)</v>
      </c>
      <c r="I935" t="str">
        <v>Makassar / NEIEZ</v>
      </c>
      <c r="J935" t="str">
        <v>Indonesia - south west Sulawesi.</v>
      </c>
      <c r="K935" s="11">
        <v>0</v>
      </c>
    </row>
    <row r="936" spans="5:11" x14ac:dyDescent="0.35">
      <c r="E936" s="9" t="str">
        <v>EPSG</v>
      </c>
      <c r="F936" s="7" t="str">
        <v>3003</v>
      </c>
      <c r="G936" t="str">
        <v>ProjectedCrs</v>
      </c>
      <c r="H936" t="str">
        <v>Transverse Mercator</v>
      </c>
      <c r="I936" t="str">
        <v>Monte Mario / Italy zone 1</v>
      </c>
      <c r="J936" t="str">
        <v>Italy - onshore and offshore - west of 12°E.</v>
      </c>
      <c r="K936" s="11">
        <v>0</v>
      </c>
    </row>
    <row r="937" spans="5:11" x14ac:dyDescent="0.35">
      <c r="E937" s="9" t="str">
        <v>EPSG</v>
      </c>
      <c r="F937" s="7" t="str">
        <v>3004</v>
      </c>
      <c r="G937" t="str">
        <v>ProjectedCrs</v>
      </c>
      <c r="H937" t="str">
        <v>Transverse Mercator</v>
      </c>
      <c r="I937" t="str">
        <v>Monte Mario / Italy zone 2</v>
      </c>
      <c r="J937" t="str">
        <v>Italy - onshore and offshore - east of 12°E including San Marino and Vatican City State.</v>
      </c>
      <c r="K937" s="11">
        <v>0</v>
      </c>
    </row>
    <row r="938" spans="5:11" x14ac:dyDescent="0.35">
      <c r="E938" s="9" t="str">
        <v>EPSG</v>
      </c>
      <c r="F938" s="7" t="str">
        <v>3005</v>
      </c>
      <c r="G938" t="str">
        <v>ProjectedCrs</v>
      </c>
      <c r="H938" t="str">
        <v>Albers Equal Area</v>
      </c>
      <c r="I938" t="str">
        <v>NAD83 / BC Albers</v>
      </c>
      <c r="J938" t="str">
        <v>Canada - British Columbia.</v>
      </c>
      <c r="K938" s="11">
        <v>0</v>
      </c>
    </row>
    <row r="939" spans="5:11" x14ac:dyDescent="0.35">
      <c r="E939" s="9" t="str">
        <v>EPSG</v>
      </c>
      <c r="F939" s="7" t="str">
        <v>3006</v>
      </c>
      <c r="G939" t="str">
        <v>ProjectedCrs</v>
      </c>
      <c r="H939" t="str">
        <v>Transverse Mercator</v>
      </c>
      <c r="I939" t="str">
        <v>SWEREF99 TM</v>
      </c>
      <c r="J939" t="str">
        <v>Sweden - onshore and offshore.</v>
      </c>
      <c r="K939" s="11">
        <v>0</v>
      </c>
    </row>
    <row r="940" spans="5:11" x14ac:dyDescent="0.35">
      <c r="E940" s="9" t="str">
        <v>EPSG</v>
      </c>
      <c r="F940" s="7" t="str">
        <v>3007</v>
      </c>
      <c r="G940" t="str">
        <v>ProjectedCrs</v>
      </c>
      <c r="H940" t="str">
        <v>Transverse Mercator</v>
      </c>
      <c r="I940" t="str">
        <v>SWEREF99 12 00</v>
      </c>
      <c r="J940" t="str">
        <v>Sweden - communes west of approximately 12°45'E and south of approximately 60°N. See information source for map.</v>
      </c>
      <c r="K940" s="11">
        <v>0</v>
      </c>
    </row>
    <row r="941" spans="5:11" x14ac:dyDescent="0.35">
      <c r="E941" s="9" t="str">
        <v>EPSG</v>
      </c>
      <c r="F941" s="7" t="str">
        <v>3008</v>
      </c>
      <c r="G941" t="str">
        <v>ProjectedCrs</v>
      </c>
      <c r="H941" t="str">
        <v>Transverse Mercator</v>
      </c>
      <c r="I941" t="str">
        <v>SWEREF99 13 30</v>
      </c>
      <c r="J941" t="str">
        <v>Sweden - communes between approximately 12°45'E and 14°15'E and south of approximately 62°10'N. See information source for map.</v>
      </c>
      <c r="K941" s="11">
        <v>0</v>
      </c>
    </row>
    <row r="942" spans="5:11" x14ac:dyDescent="0.35">
      <c r="E942" s="9" t="str">
        <v>EPSG</v>
      </c>
      <c r="F942" s="7" t="str">
        <v>3009</v>
      </c>
      <c r="G942" t="str">
        <v>ProjectedCrs</v>
      </c>
      <c r="H942" t="str">
        <v>Transverse Mercator</v>
      </c>
      <c r="I942" t="str">
        <v>SWEREF99 15 00</v>
      </c>
      <c r="J942" t="str">
        <v>Sweden - communes between approximately 14°15'E and 15°45'E and south of approximately 61°30'N. See information source for map.</v>
      </c>
      <c r="K942" s="11">
        <v>0</v>
      </c>
    </row>
    <row r="943" spans="5:11" x14ac:dyDescent="0.35">
      <c r="E943" s="9" t="str">
        <v>EPSG</v>
      </c>
      <c r="F943" s="7" t="str">
        <v>3010</v>
      </c>
      <c r="G943" t="str">
        <v>ProjectedCrs</v>
      </c>
      <c r="H943" t="str">
        <v>Transverse Mercator</v>
      </c>
      <c r="I943" t="str">
        <v>SWEREF99 16 30</v>
      </c>
      <c r="J943" t="str">
        <v>Sweden - communes between approximately 15°45'E and 17°15'E and south of approximately 62°20'N. See information source for map.</v>
      </c>
      <c r="K943" s="11">
        <v>0</v>
      </c>
    </row>
    <row r="944" spans="5:11" x14ac:dyDescent="0.35">
      <c r="E944" s="9" t="str">
        <v>EPSG</v>
      </c>
      <c r="F944" s="7" t="str">
        <v>3011</v>
      </c>
      <c r="G944" t="str">
        <v>ProjectedCrs</v>
      </c>
      <c r="H944" t="str">
        <v>Transverse Mercator</v>
      </c>
      <c r="I944" t="str">
        <v>SWEREF99 18 00</v>
      </c>
      <c r="J944" t="str">
        <v>Sweden - communes east of approximately 17°15'E between approximately 60°40'N and 58°50'N. See information source for map.</v>
      </c>
      <c r="K944" s="11">
        <v>0</v>
      </c>
    </row>
    <row r="945" spans="5:11" x14ac:dyDescent="0.35">
      <c r="E945" s="9" t="str">
        <v>EPSG</v>
      </c>
      <c r="F945" s="7" t="str">
        <v>3012</v>
      </c>
      <c r="G945" t="str">
        <v>ProjectedCrs</v>
      </c>
      <c r="H945" t="str">
        <v>Transverse Mercator</v>
      </c>
      <c r="I945" t="str">
        <v>SWEREF99 14 15</v>
      </c>
      <c r="J945" t="str">
        <v>Sweden - communes west of approximately 15°E and between approximately 61°35'N and 64°25'N. See information source for map.</v>
      </c>
      <c r="K945" s="11">
        <v>0</v>
      </c>
    </row>
    <row r="946" spans="5:11" x14ac:dyDescent="0.35">
      <c r="E946" s="9" t="str">
        <v>EPSG</v>
      </c>
      <c r="F946" s="7" t="str">
        <v>3013</v>
      </c>
      <c r="G946" t="str">
        <v>ProjectedCrs</v>
      </c>
      <c r="H946" t="str">
        <v>Transverse Mercator</v>
      </c>
      <c r="I946" t="str">
        <v>SWEREF99 15 45</v>
      </c>
      <c r="J946" t="str">
        <v>Sweden - communes between approximately 15°E and 16°30'E and between approximately 60°30'N and 65°N. See information source for map.</v>
      </c>
      <c r="K946" s="11">
        <v>0</v>
      </c>
    </row>
    <row r="947" spans="5:11" x14ac:dyDescent="0.35">
      <c r="E947" s="9" t="str">
        <v>EPSG</v>
      </c>
      <c r="F947" s="7" t="str">
        <v>3014</v>
      </c>
      <c r="G947" t="str">
        <v>ProjectedCrs</v>
      </c>
      <c r="H947" t="str">
        <v>Transverse Mercator</v>
      </c>
      <c r="I947" t="str">
        <v>SWEREF99 17 15</v>
      </c>
      <c r="J947" t="str">
        <v>Sweden - communes between approximately 14°20'E and 18°50'E and between approximately 67°10'N and 62°05'N. See information source for map.</v>
      </c>
      <c r="K947" s="11">
        <v>0</v>
      </c>
    </row>
    <row r="948" spans="5:11" x14ac:dyDescent="0.35">
      <c r="E948" s="9" t="str">
        <v>EPSG</v>
      </c>
      <c r="F948" s="7" t="str">
        <v>3015</v>
      </c>
      <c r="G948" t="str">
        <v>ProjectedCrs</v>
      </c>
      <c r="H948" t="str">
        <v>Transverse Mercator</v>
      </c>
      <c r="I948" t="str">
        <v>SWEREF99 18 45</v>
      </c>
      <c r="J948" t="str">
        <v>Sweden - mainland communes between approximately 18°E and 19°30'E and between approximately 62°50'N and 66°N. Also Gotland. See information source for map.</v>
      </c>
      <c r="K948" s="11">
        <v>0</v>
      </c>
    </row>
    <row r="949" spans="5:11" x14ac:dyDescent="0.35">
      <c r="E949" s="9" t="str">
        <v>EPSG</v>
      </c>
      <c r="F949" s="7" t="str">
        <v>3016</v>
      </c>
      <c r="G949" t="str">
        <v>ProjectedCrs</v>
      </c>
      <c r="H949" t="str">
        <v>Transverse Mercator</v>
      </c>
      <c r="I949" t="str">
        <v>SWEREF99 20 15</v>
      </c>
      <c r="J949" t="str">
        <v>Sweden - communes in Vaasterbotten east of approximately 19°30'E and (i) north of 63°30'N and (ii) south of approximately 65°05'N. Also Norbotten west of approximately 23°20'E. See information source for map.</v>
      </c>
      <c r="K949" s="11">
        <v>0</v>
      </c>
    </row>
    <row r="950" spans="5:11" x14ac:dyDescent="0.35">
      <c r="E950" s="9" t="str">
        <v>EPSG</v>
      </c>
      <c r="F950" s="7" t="str">
        <v>3017</v>
      </c>
      <c r="G950" t="str">
        <v>ProjectedCrs</v>
      </c>
      <c r="H950" t="str">
        <v>Transverse Mercator</v>
      </c>
      <c r="I950" t="str">
        <v>SWEREF99 21 45</v>
      </c>
      <c r="J950" t="str">
        <v>Sweden - communes in Norbotten east of approximately 19°30'E and south of approximately 65°50'N. See information source for map.</v>
      </c>
      <c r="K950" s="11">
        <v>0</v>
      </c>
    </row>
    <row r="951" spans="5:11" x14ac:dyDescent="0.35">
      <c r="E951" s="9" t="str">
        <v>EPSG</v>
      </c>
      <c r="F951" s="7" t="str">
        <v>3018</v>
      </c>
      <c r="G951" t="str">
        <v>ProjectedCrs</v>
      </c>
      <c r="H951" t="str">
        <v>Transverse Mercator</v>
      </c>
      <c r="I951" t="str">
        <v>SWEREF99 23 15</v>
      </c>
      <c r="J951" t="str">
        <v>Sweden - communes east of approximately 21°50'E. See information source for map.</v>
      </c>
      <c r="K951" s="11">
        <v>0</v>
      </c>
    </row>
    <row r="952" spans="5:11" x14ac:dyDescent="0.35">
      <c r="E952" s="9" t="str">
        <v>EPSG</v>
      </c>
      <c r="F952" s="7" t="str">
        <v>3019</v>
      </c>
      <c r="G952" t="str">
        <v>ProjectedCrs</v>
      </c>
      <c r="H952" t="str">
        <v>Transverse Mercator</v>
      </c>
      <c r="I952" t="str">
        <v>RT90 7.5 gon V</v>
      </c>
      <c r="J952" t="str">
        <v>Sweden - communes west of approximately 12°26'E. See information source for map.</v>
      </c>
      <c r="K952" s="11">
        <v>0</v>
      </c>
    </row>
    <row r="953" spans="5:11" x14ac:dyDescent="0.35">
      <c r="E953" s="9" t="str">
        <v>EPSG</v>
      </c>
      <c r="F953" s="7" t="str">
        <v>3020</v>
      </c>
      <c r="G953" t="str">
        <v>ProjectedCrs</v>
      </c>
      <c r="H953" t="str">
        <v>Transverse Mercator</v>
      </c>
      <c r="I953" t="str">
        <v>RT90 5 gon V</v>
      </c>
      <c r="J953" t="str">
        <v>Sweden - communes between approximately 12°26'E and 14°40'E. See information source for map.</v>
      </c>
      <c r="K953" s="11">
        <v>0</v>
      </c>
    </row>
    <row r="954" spans="5:11" x14ac:dyDescent="0.35">
      <c r="E954" s="9" t="str">
        <v>EPSG</v>
      </c>
      <c r="F954" s="7" t="str">
        <v>3021</v>
      </c>
      <c r="G954" t="str">
        <v>ProjectedCrs</v>
      </c>
      <c r="H954" t="str">
        <v>Transverse Mercator</v>
      </c>
      <c r="I954" t="str">
        <v>RT90 2.5 gon V</v>
      </c>
      <c r="J954" t="str">
        <v>Sweden - onshore.</v>
      </c>
      <c r="K954" s="11">
        <v>0</v>
      </c>
    </row>
    <row r="955" spans="5:11" x14ac:dyDescent="0.35">
      <c r="E955" s="9" t="str">
        <v>EPSG</v>
      </c>
      <c r="F955" s="7" t="str">
        <v>3021</v>
      </c>
      <c r="G955" t="str">
        <v>ProjectedCrs</v>
      </c>
      <c r="H955" t="str">
        <v>Transverse Mercator</v>
      </c>
      <c r="I955" t="str">
        <v>RT90 2.5 gon V</v>
      </c>
      <c r="J955" t="str">
        <v>Sweden - communes between approximately 14°40'E and 16°55'E. See information source for map.</v>
      </c>
      <c r="K955" s="11">
        <v>0</v>
      </c>
    </row>
    <row r="956" spans="5:11" x14ac:dyDescent="0.35">
      <c r="E956" s="9" t="str">
        <v>EPSG</v>
      </c>
      <c r="F956" s="7" t="str">
        <v>3022</v>
      </c>
      <c r="G956" t="str">
        <v>ProjectedCrs</v>
      </c>
      <c r="H956" t="str">
        <v>Transverse Mercator</v>
      </c>
      <c r="I956" t="str">
        <v>RT90 0 gon</v>
      </c>
      <c r="J956" t="str">
        <v>Sweden - communes between approximately 16°55'E and 19°10'E; Gotland. See information source for map.</v>
      </c>
      <c r="K956" s="11">
        <v>0</v>
      </c>
    </row>
    <row r="957" spans="5:11" x14ac:dyDescent="0.35">
      <c r="E957" s="9" t="str">
        <v>EPSG</v>
      </c>
      <c r="F957" s="7" t="str">
        <v>3023</v>
      </c>
      <c r="G957" t="str">
        <v>ProjectedCrs</v>
      </c>
      <c r="H957" t="str">
        <v>Transverse Mercator</v>
      </c>
      <c r="I957" t="str">
        <v>RT90 2.5 gon O</v>
      </c>
      <c r="J957" t="str">
        <v>Sweden - communes between approximately 19°10'E and 21°25'E. See information source for map.</v>
      </c>
      <c r="K957" s="11">
        <v>0</v>
      </c>
    </row>
    <row r="958" spans="5:11" x14ac:dyDescent="0.35">
      <c r="E958" s="9" t="str">
        <v>EPSG</v>
      </c>
      <c r="F958" s="7" t="str">
        <v>3024</v>
      </c>
      <c r="G958" t="str">
        <v>ProjectedCrs</v>
      </c>
      <c r="H958" t="str">
        <v>Transverse Mercator</v>
      </c>
      <c r="I958" t="str">
        <v>RT90 5 gon O</v>
      </c>
      <c r="J958" t="str">
        <v>Sweden - east of approximately 21°26'E. See information source for map.</v>
      </c>
      <c r="K958" s="11">
        <v>0</v>
      </c>
    </row>
    <row r="959" spans="5:11" x14ac:dyDescent="0.35">
      <c r="E959" s="9" t="str">
        <v>EPSG</v>
      </c>
      <c r="F959" s="7" t="str">
        <v>3025</v>
      </c>
      <c r="G959" t="str">
        <v>ProjectedCrs</v>
      </c>
      <c r="H959" t="str">
        <v>Transverse Mercator</v>
      </c>
      <c r="I959" t="str">
        <v>RT38 7.5 gon V</v>
      </c>
      <c r="J959" t="str">
        <v>Sweden - communes west of approximately 12°26'E. See information source for map.</v>
      </c>
      <c r="K959" s="11">
        <v>0</v>
      </c>
    </row>
    <row r="960" spans="5:11" x14ac:dyDescent="0.35">
      <c r="E960" s="9" t="str">
        <v>EPSG</v>
      </c>
      <c r="F960" s="7" t="str">
        <v>3026</v>
      </c>
      <c r="G960" t="str">
        <v>ProjectedCrs</v>
      </c>
      <c r="H960" t="str">
        <v>Transverse Mercator</v>
      </c>
      <c r="I960" t="str">
        <v>RT38 5 gon V</v>
      </c>
      <c r="J960" t="str">
        <v>Sweden - communes between approximately 12°26'E and 14°40'E. See information source for map.</v>
      </c>
      <c r="K960" s="11">
        <v>0</v>
      </c>
    </row>
    <row r="961" spans="5:11" x14ac:dyDescent="0.35">
      <c r="E961" s="9" t="str">
        <v>EPSG</v>
      </c>
      <c r="F961" s="7" t="str">
        <v>3027</v>
      </c>
      <c r="G961" t="str">
        <v>ProjectedCrs</v>
      </c>
      <c r="H961" t="str">
        <v>Transverse Mercator</v>
      </c>
      <c r="I961" t="str">
        <v>RT38 2.5 gon V</v>
      </c>
      <c r="J961" t="str">
        <v>Sweden - onshore.</v>
      </c>
      <c r="K961" s="11">
        <v>0</v>
      </c>
    </row>
    <row r="962" spans="5:11" x14ac:dyDescent="0.35">
      <c r="E962" s="9" t="str">
        <v>EPSG</v>
      </c>
      <c r="F962" s="7" t="str">
        <v>3027</v>
      </c>
      <c r="G962" t="str">
        <v>ProjectedCrs</v>
      </c>
      <c r="H962" t="str">
        <v>Transverse Mercator</v>
      </c>
      <c r="I962" t="str">
        <v>RT38 2.5 gon V</v>
      </c>
      <c r="J962" t="str">
        <v>Sweden - communes between approximately 14°40'E and 16°55'E. See information source for map.</v>
      </c>
      <c r="K962" s="11">
        <v>0</v>
      </c>
    </row>
    <row r="963" spans="5:11" x14ac:dyDescent="0.35">
      <c r="E963" s="9" t="str">
        <v>EPSG</v>
      </c>
      <c r="F963" s="7" t="str">
        <v>3028</v>
      </c>
      <c r="G963" t="str">
        <v>ProjectedCrs</v>
      </c>
      <c r="H963" t="str">
        <v>Transverse Mercator</v>
      </c>
      <c r="I963" t="str">
        <v>RT38 0 gon</v>
      </c>
      <c r="J963" t="str">
        <v>Sweden - communes between approximately 16°55'E and 19°10'E; Gotland. See information source for map.</v>
      </c>
      <c r="K963" s="11">
        <v>0</v>
      </c>
    </row>
    <row r="964" spans="5:11" x14ac:dyDescent="0.35">
      <c r="E964" s="9" t="str">
        <v>EPSG</v>
      </c>
      <c r="F964" s="7" t="str">
        <v>3029</v>
      </c>
      <c r="G964" t="str">
        <v>ProjectedCrs</v>
      </c>
      <c r="H964" t="str">
        <v>Transverse Mercator</v>
      </c>
      <c r="I964" t="str">
        <v>RT38 2.5 gon O</v>
      </c>
      <c r="J964" t="str">
        <v>Sweden - communes between approximately 19°10'E and 21°25'E. See information source for map.</v>
      </c>
      <c r="K964" s="11">
        <v>0</v>
      </c>
    </row>
    <row r="965" spans="5:11" x14ac:dyDescent="0.35">
      <c r="E965" s="9" t="str">
        <v>EPSG</v>
      </c>
      <c r="F965" s="7" t="str">
        <v>3030</v>
      </c>
      <c r="G965" t="str">
        <v>ProjectedCrs</v>
      </c>
      <c r="H965" t="str">
        <v>Transverse Mercator</v>
      </c>
      <c r="I965" t="str">
        <v>RT38 5 gon O</v>
      </c>
      <c r="J965" t="str">
        <v>Sweden - east of approximately 21°26'E. See information source for map.</v>
      </c>
      <c r="K965" s="11">
        <v>0</v>
      </c>
    </row>
    <row r="966" spans="5:11" x14ac:dyDescent="0.35">
      <c r="E966" s="9" t="str">
        <v>EPSG</v>
      </c>
      <c r="F966" s="7" t="str">
        <v>3031</v>
      </c>
      <c r="G966" t="str">
        <v>ProjectedCrs</v>
      </c>
      <c r="H966" t="str">
        <v>Polar Stereographic (variant B)</v>
      </c>
      <c r="I966" t="str">
        <v>WGS 84 / Antarctic Polar Stereographic</v>
      </c>
      <c r="J966" t="str">
        <v>Antarctica.</v>
      </c>
      <c r="K966" s="11">
        <v>0</v>
      </c>
    </row>
    <row r="967" spans="5:11" x14ac:dyDescent="0.35">
      <c r="E967" s="9" t="str">
        <v>EPSG</v>
      </c>
      <c r="F967" s="7" t="str">
        <v>3032</v>
      </c>
      <c r="G967" t="str">
        <v>ProjectedCrs</v>
      </c>
      <c r="H967" t="str">
        <v>Polar Stereographic (variant B)</v>
      </c>
      <c r="I967" t="str">
        <v>WGS 84 / Australian Antarctic Polar Stereographic</v>
      </c>
      <c r="J967" t="str">
        <v>Antarctica between 45°E and 136°E and between 142°E and 160°E - Australian sector.</v>
      </c>
      <c r="K967" s="11">
        <v>0</v>
      </c>
    </row>
    <row r="968" spans="5:11" x14ac:dyDescent="0.35">
      <c r="E968" s="9" t="str">
        <v>EPSG</v>
      </c>
      <c r="F968" s="7" t="str">
        <v>3033</v>
      </c>
      <c r="G968" t="str">
        <v>ProjectedCrs</v>
      </c>
      <c r="H968" t="str">
        <v>Lambert Conic Conformal (2SP)</v>
      </c>
      <c r="I968" t="str">
        <v>WGS 84 / Australian Antarctic Lambert</v>
      </c>
      <c r="J968" t="str">
        <v>Antarctica - north of 80°S and between 45°E and 136°E and between 142°E and 160°E - Australian sector north of 80°S.</v>
      </c>
      <c r="K968" s="11">
        <v>0</v>
      </c>
    </row>
    <row r="969" spans="5:11" x14ac:dyDescent="0.35">
      <c r="E969" s="9" t="str">
        <v>EPSG</v>
      </c>
      <c r="F969" s="7" t="str">
        <v>3034</v>
      </c>
      <c r="G969" t="str">
        <v>ProjectedCrs</v>
      </c>
      <c r="H969" t="str">
        <v>Lambert Conic Conformal (2SP)</v>
      </c>
      <c r="I969" t="str">
        <v>ETRS89-extended / LCC Europe</v>
      </c>
      <c r="J969" t="str">
        <v>Europe - European Union (EU) countries and candidates. Europe - onshore and offshore: Albania; Andorra; Austria; Belgium; Bosnia and Herzegovina; Bulgaria; Croatia; Cyprus; Czechia; Denmark; Estonia; Faroe Islands; Finland; France; Germany; Gibraltar; Greece; Hungary; Iceland; Ireland; Italy; Kosovo; Latvia; Liechtenstein; Lithuania; Luxembourg; Malta; Monaco; Montenegro; Netherlands; North Macedonia; Norway including Svalbard and Jan Mayen; Poland; Portugal including Madeira and Azores; Romania; San Marino; Serbia; Slovakia; Slovenia; Spain including Canary Islands; Sweden; Switzerland; Türkiye (Turkey); United Kingdom (UK) including Channel Islands and Isle of Man; Vatican City State.</v>
      </c>
      <c r="K969" s="11">
        <v>0</v>
      </c>
    </row>
    <row r="970" spans="5:11" x14ac:dyDescent="0.35">
      <c r="E970" s="9" t="str">
        <v>EPSG</v>
      </c>
      <c r="F970" s="7" t="str">
        <v>3035</v>
      </c>
      <c r="G970" t="str">
        <v>ProjectedCrs</v>
      </c>
      <c r="H970" t="str">
        <v>Lambert Azimuthal Equal Area</v>
      </c>
      <c r="I970" t="str">
        <v>ETRS89-extended / LAEA Europe</v>
      </c>
      <c r="J970" t="str">
        <v>Europe - European Union (EU) countries and candidates. Europe - onshore and offshore: Albania; Andorra; Austria; Belgium; Bosnia and Herzegovina; Bulgaria; Croatia; Cyprus; Czechia; Denmark; Estonia; Faroe Islands; Finland; France; Germany; Gibraltar; Greece; Hungary; Iceland; Ireland; Italy; Kosovo; Latvia; Liechtenstein; Lithuania; Luxembourg; Malta; Monaco; Montenegro; Netherlands; North Macedonia; Norway including Svalbard and Jan Mayen; Poland; Portugal including Madeira and Azores; Romania; San Marino; Serbia; Slovakia; Slovenia; Spain including Canary Islands; Sweden; Switzerland; Türkiye (Turkey); United Kingdom (UK) including Channel Islands and Isle of Man; Vatican City State.</v>
      </c>
      <c r="K970" s="11">
        <v>0</v>
      </c>
    </row>
    <row r="971" spans="5:11" x14ac:dyDescent="0.35">
      <c r="E971" s="9" t="str">
        <v>EPSG</v>
      </c>
      <c r="F971" s="7" t="str">
        <v>3036</v>
      </c>
      <c r="G971" t="str">
        <v>ProjectedCrs</v>
      </c>
      <c r="H971" t="str">
        <v>Transverse Mercator</v>
      </c>
      <c r="I971" t="str">
        <v>Moznet / UTM zone 36S</v>
      </c>
      <c r="J971" t="str">
        <v>Mozambique - west of 36°E, onshore and offshore.</v>
      </c>
      <c r="K971" s="11">
        <v>0</v>
      </c>
    </row>
    <row r="972" spans="5:11" x14ac:dyDescent="0.35">
      <c r="E972" s="9" t="str">
        <v>EPSG</v>
      </c>
      <c r="F972" s="7" t="str">
        <v>3037</v>
      </c>
      <c r="G972" t="str">
        <v>ProjectedCrs</v>
      </c>
      <c r="H972" t="str">
        <v>Transverse Mercator</v>
      </c>
      <c r="I972" t="str">
        <v>Moznet / UTM zone 37S</v>
      </c>
      <c r="J972" t="str">
        <v>Mozambique - between 36°E and 42°E, onshore and offshore.</v>
      </c>
      <c r="K972" s="11">
        <v>0</v>
      </c>
    </row>
    <row r="973" spans="5:11" x14ac:dyDescent="0.35">
      <c r="E973" s="9" t="str">
        <v>EPSG</v>
      </c>
      <c r="F973" s="7" t="str">
        <v>3040</v>
      </c>
      <c r="G973" t="str">
        <v>ProjectedCrs</v>
      </c>
      <c r="H973" t="str">
        <v>Transverse Mercator</v>
      </c>
      <c r="I973" t="str">
        <v>ETRS89 / UTM zone 28N (N-E)</v>
      </c>
      <c r="J973" t="str">
        <v>Europe between 18°W and 12°W: Faroe Islands - offshore; Ireland - offshore; Jan Mayen - offshore; Portugal - offshore mainland; Spain - offshore mainland; United Kingdom (UKCS) - offshore.</v>
      </c>
      <c r="K973" s="11">
        <v>0</v>
      </c>
    </row>
    <row r="974" spans="5:11" x14ac:dyDescent="0.35">
      <c r="E974" s="9" t="str">
        <v>EPSG</v>
      </c>
      <c r="F974" s="7" t="str">
        <v>3041</v>
      </c>
      <c r="G974" t="str">
        <v>ProjectedCrs</v>
      </c>
      <c r="H974" t="str">
        <v>Transverse Mercator</v>
      </c>
      <c r="I974" t="str">
        <v>ETRS89 / UTM zone 29N (N-E)</v>
      </c>
      <c r="J974" t="str">
        <v>Europe between 12°W and 6°W and approximately 34°50'N to 74°10'N: Faroe Islands - offshore; Ireland - offshore; Jan Mayen - onshore and offshore; Portugal - mainland - onshore and offshore; Spain - mainland - onshore and offshore; United Kingdom - UKCS offshore.</v>
      </c>
      <c r="K974" s="11">
        <v>0</v>
      </c>
    </row>
    <row r="975" spans="5:11" x14ac:dyDescent="0.35">
      <c r="E975" s="9" t="str">
        <v>EPSG</v>
      </c>
      <c r="F975" s="7" t="str">
        <v>3042</v>
      </c>
      <c r="G975" t="str">
        <v>ProjectedCrs</v>
      </c>
      <c r="H975" t="str">
        <v>Transverse Mercator</v>
      </c>
      <c r="I975" t="str">
        <v>ETRS89 / UTM zone 30N (N-E)</v>
      </c>
      <c r="J975" t="str">
        <v>Europe between 6°W and 0°W and approximately 35°15'N to 80°30'N: Faroe Islands - offshore; Ireland - offshore; Jan Mayen - offshore; Norway including Svalbard - offshore; Spain - mainland - onshore and offshore.</v>
      </c>
      <c r="K975" s="11">
        <v>0</v>
      </c>
    </row>
    <row r="976" spans="5:11" x14ac:dyDescent="0.35">
      <c r="E976" s="9" t="str">
        <v>EPSG</v>
      </c>
      <c r="F976" s="7" t="str">
        <v>3043</v>
      </c>
      <c r="G976" t="str">
        <v>ProjectedCrs</v>
      </c>
      <c r="H976" t="str">
        <v>Transverse Mercator</v>
      </c>
      <c r="I976" t="str">
        <v>ETRS89 / UTM zone 31N (N-E)</v>
      </c>
      <c r="J976" t="str">
        <v>Europe between 0°E and 6°E and approximately 37°N to 82°27'N: Andorra; Denmark - offshore; Germany - offshore; Jan Mayen - offshore; Norway including Svalbard - onshore and offshore; Spain - mainland and Balearic islands - onshore and offshore.</v>
      </c>
      <c r="K976" s="11">
        <v>0</v>
      </c>
    </row>
    <row r="977" spans="5:11" x14ac:dyDescent="0.35">
      <c r="E977" s="9" t="str">
        <v>EPSG</v>
      </c>
      <c r="F977" s="7" t="str">
        <v>3044</v>
      </c>
      <c r="G977" t="str">
        <v>ProjectedCrs</v>
      </c>
      <c r="H977" t="str">
        <v>Transverse Mercator</v>
      </c>
      <c r="I977" t="str">
        <v>ETRS89 / UTM zone 32N (N-E)</v>
      </c>
      <c r="J977" t="str">
        <v>Europe between 6°E and 12°E and approximately 36°30'N to 84°N: Austria; Denmark - onshore and offshore; Germany - onshore and offshore; Italy - onshore and offshore; Norway including Svalbard - onshore and offshore; Spain - offshore.</v>
      </c>
      <c r="K977" s="11">
        <v>0</v>
      </c>
    </row>
    <row r="978" spans="5:11" x14ac:dyDescent="0.35">
      <c r="E978" s="9" t="str">
        <v>EPSG</v>
      </c>
      <c r="F978" s="7" t="str">
        <v>3045</v>
      </c>
      <c r="G978" t="str">
        <v>ProjectedCrs</v>
      </c>
      <c r="H978" t="str">
        <v>Transverse Mercator</v>
      </c>
      <c r="I978" t="str">
        <v>ETRS89 / UTM zone 33N (N-E)</v>
      </c>
      <c r="J978" t="str">
        <v>Europe between 12°E and 18°E and approximately 34°30'N to 84°N.: Austria; Croatia; Denmark - offshore and offshore; Germany - onshore and offshore; Italy - onshore and offshore; Norway including Svalbard - onshore and offshore.</v>
      </c>
      <c r="K978" s="11">
        <v>0</v>
      </c>
    </row>
    <row r="979" spans="5:11" x14ac:dyDescent="0.35">
      <c r="E979" s="9" t="str">
        <v>EPSG</v>
      </c>
      <c r="F979" s="7" t="str">
        <v>3046</v>
      </c>
      <c r="G979" t="str">
        <v>ProjectedCrs</v>
      </c>
      <c r="H979" t="str">
        <v>Transverse Mercator</v>
      </c>
      <c r="I979" t="str">
        <v>ETRS89 / UTM zone 34N (N-E)</v>
      </c>
      <c r="J979" t="str">
        <v>Europe between 18°E and 24°E and approximately 33°36'N to 84°N: Bulgaria; Croatia; Italy - onshore and offshore; Norway including Svalbard - onshore and offshore.</v>
      </c>
      <c r="K979" s="11">
        <v>0</v>
      </c>
    </row>
    <row r="980" spans="5:11" x14ac:dyDescent="0.35">
      <c r="E980" s="9" t="str">
        <v>EPSG</v>
      </c>
      <c r="F980" s="7" t="str">
        <v>3047</v>
      </c>
      <c r="G980" t="str">
        <v>ProjectedCrs</v>
      </c>
      <c r="H980" t="str">
        <v>Transverse Mercator</v>
      </c>
      <c r="I980" t="str">
        <v>ETRS89 / UTM zone 35N (N-E)</v>
      </c>
      <c r="J980" t="str">
        <v>Europe between 24°E and 30°E and approximately 33°15'N to 84°N: Bulgaria - onshore and offshore; Norway including Svalbard - onshore and offshore.</v>
      </c>
      <c r="K980" s="11">
        <v>0</v>
      </c>
    </row>
    <row r="981" spans="5:11" x14ac:dyDescent="0.35">
      <c r="E981" s="9" t="str">
        <v>EPSG</v>
      </c>
      <c r="F981" s="7" t="str">
        <v>3048</v>
      </c>
      <c r="G981" t="str">
        <v>ProjectedCrs</v>
      </c>
      <c r="H981" t="str">
        <v>Transverse Mercator</v>
      </c>
      <c r="I981" t="str">
        <v>ETRS89 / UTM zone 36N (N-E)</v>
      </c>
      <c r="J981" t="str">
        <v>Europe between 30°E and 36°E and approximately 33°55'N to 84°N: Bulgaria - offshore; Norway including Svalbard - onshore and offshore.</v>
      </c>
      <c r="K981" s="11">
        <v>0</v>
      </c>
    </row>
    <row r="982" spans="5:11" x14ac:dyDescent="0.35">
      <c r="E982" s="9" t="str">
        <v>EPSG</v>
      </c>
      <c r="F982" s="7" t="str">
        <v>3049</v>
      </c>
      <c r="G982" t="str">
        <v>ProjectedCrs</v>
      </c>
      <c r="H982" t="str">
        <v>Transverse Mercator</v>
      </c>
      <c r="I982" t="str">
        <v>ETRS89 / UTM zone 37N (N-E)</v>
      </c>
      <c r="J982" t="str">
        <v>Europe between 36°E and 42°E: Norway including Svalbard - offshore.</v>
      </c>
      <c r="K982" s="11">
        <v>0</v>
      </c>
    </row>
    <row r="983" spans="5:11" x14ac:dyDescent="0.35">
      <c r="E983" s="9" t="str">
        <v>EPSG</v>
      </c>
      <c r="F983" s="7" t="str">
        <v>3052</v>
      </c>
      <c r="G983" t="str">
        <v>ProjectedCrs</v>
      </c>
      <c r="H983" t="str">
        <v>Lambert Conic Conformal (West Orientated)</v>
      </c>
      <c r="I983" t="str">
        <v>Reykjavik 1900 / Lambert 1900</v>
      </c>
      <c r="J983" t="str">
        <v>Iceland - mainland.</v>
      </c>
      <c r="K983" s="11">
        <v>0</v>
      </c>
    </row>
    <row r="984" spans="5:11" x14ac:dyDescent="0.35">
      <c r="E984" s="9" t="str">
        <v>EPSG</v>
      </c>
      <c r="F984" s="7" t="str">
        <v>3053</v>
      </c>
      <c r="G984" t="str">
        <v>ProjectedCrs</v>
      </c>
      <c r="H984" t="str">
        <v>Lambert Conic Conformal (West Orientated)</v>
      </c>
      <c r="I984" t="str">
        <v>Hjorsey 1955 / Lambert 1955</v>
      </c>
      <c r="J984" t="str">
        <v>Iceland - mainland.</v>
      </c>
      <c r="K984" s="11">
        <v>0</v>
      </c>
    </row>
    <row r="985" spans="5:11" x14ac:dyDescent="0.35">
      <c r="E985" s="9" t="str">
        <v>EPSG</v>
      </c>
      <c r="F985" s="7" t="str">
        <v>3054</v>
      </c>
      <c r="G985" t="str">
        <v>ProjectedCrs</v>
      </c>
      <c r="H985" t="str">
        <v>Transverse Mercator</v>
      </c>
      <c r="I985" t="str">
        <v>Hjorsey 1955 / UTM zone 26N</v>
      </c>
      <c r="J985" t="str">
        <v>Iceland - mainland west of 24°W.</v>
      </c>
      <c r="K985" s="11">
        <v>0</v>
      </c>
    </row>
    <row r="986" spans="5:11" x14ac:dyDescent="0.35">
      <c r="E986" s="9" t="str">
        <v>EPSG</v>
      </c>
      <c r="F986" s="7" t="str">
        <v>3055</v>
      </c>
      <c r="G986" t="str">
        <v>ProjectedCrs</v>
      </c>
      <c r="H986" t="str">
        <v>Transverse Mercator</v>
      </c>
      <c r="I986" t="str">
        <v>Hjorsey 1955 / UTM zone 27N</v>
      </c>
      <c r="J986" t="str">
        <v>Iceland - mainland between 24°W and 18°W.</v>
      </c>
      <c r="K986" s="11">
        <v>0</v>
      </c>
    </row>
    <row r="987" spans="5:11" x14ac:dyDescent="0.35">
      <c r="E987" s="9" t="str">
        <v>EPSG</v>
      </c>
      <c r="F987" s="7" t="str">
        <v>3056</v>
      </c>
      <c r="G987" t="str">
        <v>ProjectedCrs</v>
      </c>
      <c r="H987" t="str">
        <v>Transverse Mercator</v>
      </c>
      <c r="I987" t="str">
        <v>Hjorsey 1955 / UTM zone 28N</v>
      </c>
      <c r="J987" t="str">
        <v>Iceland - mainland east of 18°W.</v>
      </c>
      <c r="K987" s="11">
        <v>0</v>
      </c>
    </row>
    <row r="988" spans="5:11" x14ac:dyDescent="0.35">
      <c r="E988" s="9" t="str">
        <v>EPSG</v>
      </c>
      <c r="F988" s="7" t="str">
        <v>3057</v>
      </c>
      <c r="G988" t="str">
        <v>ProjectedCrs</v>
      </c>
      <c r="H988" t="str">
        <v>Lambert Conic Conformal (2SP)</v>
      </c>
      <c r="I988" t="str">
        <v>ISN93 / Lambert 1993</v>
      </c>
      <c r="J988" t="str">
        <v>Iceland - onshore and offshore.</v>
      </c>
      <c r="K988" s="11">
        <v>0</v>
      </c>
    </row>
    <row r="989" spans="5:11" x14ac:dyDescent="0.35">
      <c r="E989" s="9" t="str">
        <v>EPSG</v>
      </c>
      <c r="F989" s="7" t="str">
        <v>3058</v>
      </c>
      <c r="G989" t="str">
        <v>ProjectedCrs</v>
      </c>
      <c r="H989" t="str">
        <v>Transverse Mercator</v>
      </c>
      <c r="I989" t="str">
        <v>Helle 1954 / Jan Mayen Grid</v>
      </c>
      <c r="J989" t="str">
        <v>Jan Mayen - onshore.</v>
      </c>
      <c r="K989" s="11">
        <v>0</v>
      </c>
    </row>
    <row r="990" spans="5:11" x14ac:dyDescent="0.35">
      <c r="E990" s="9" t="str">
        <v>EPSG</v>
      </c>
      <c r="F990" s="7" t="str">
        <v>3059</v>
      </c>
      <c r="G990" t="str">
        <v>ProjectedCrs</v>
      </c>
      <c r="H990" t="str">
        <v>Transverse Mercator</v>
      </c>
      <c r="I990" t="str">
        <v>LKS-92 / Latvia TM</v>
      </c>
      <c r="J990" t="str">
        <v>Latvia - onshore and offshore.</v>
      </c>
      <c r="K990" s="11">
        <v>0</v>
      </c>
    </row>
    <row r="991" spans="5:11" x14ac:dyDescent="0.35">
      <c r="E991" s="9" t="str">
        <v>EPSG</v>
      </c>
      <c r="F991" s="7" t="str">
        <v>3060</v>
      </c>
      <c r="G991" t="str">
        <v>ProjectedCrs</v>
      </c>
      <c r="H991" t="str">
        <v>Transverse Mercator</v>
      </c>
      <c r="I991" t="str">
        <v>IGN72 Grande Terre / UTM zone 58S</v>
      </c>
      <c r="J991" t="str">
        <v>New Caledonia - Grande Terre.</v>
      </c>
      <c r="K991" s="11">
        <v>0</v>
      </c>
    </row>
    <row r="992" spans="5:11" x14ac:dyDescent="0.35">
      <c r="E992" s="9" t="str">
        <v>EPSG</v>
      </c>
      <c r="F992" s="7" t="str">
        <v>3061</v>
      </c>
      <c r="G992" t="str">
        <v>ProjectedCrs</v>
      </c>
      <c r="H992" t="str">
        <v>Transverse Mercator</v>
      </c>
      <c r="I992" t="str">
        <v>Porto Santo 1995 / UTM zone 28N</v>
      </c>
      <c r="J992" t="str">
        <v>Portugal - Madeira, Porto Santo and Desertas islands - onshore.</v>
      </c>
      <c r="K992" s="11">
        <v>0</v>
      </c>
    </row>
    <row r="993" spans="5:11" x14ac:dyDescent="0.35">
      <c r="E993" s="9" t="str">
        <v>EPSG</v>
      </c>
      <c r="F993" s="7" t="str">
        <v>3062</v>
      </c>
      <c r="G993" t="str">
        <v>ProjectedCrs</v>
      </c>
      <c r="H993" t="str">
        <v>Transverse Mercator</v>
      </c>
      <c r="I993" t="str">
        <v>Azores Oriental 1995 / UTM zone 26N</v>
      </c>
      <c r="J993" t="str">
        <v>Portugal - eastern Azores onshore - Sao Miguel, Santa Maria, Formigas.</v>
      </c>
      <c r="K993" s="11">
        <v>0</v>
      </c>
    </row>
    <row r="994" spans="5:11" x14ac:dyDescent="0.35">
      <c r="E994" s="9" t="str">
        <v>EPSG</v>
      </c>
      <c r="F994" s="7" t="str">
        <v>3063</v>
      </c>
      <c r="G994" t="str">
        <v>ProjectedCrs</v>
      </c>
      <c r="H994" t="str">
        <v>Transverse Mercator</v>
      </c>
      <c r="I994" t="str">
        <v>Azores Central 1995 / UTM zone 26N</v>
      </c>
      <c r="J994" t="str">
        <v>Portugal - central Azores onshore - Faial, Graciosa, Pico, Sao Jorge, Terceira.</v>
      </c>
      <c r="K994" s="11">
        <v>0</v>
      </c>
    </row>
    <row r="995" spans="5:11" x14ac:dyDescent="0.35">
      <c r="E995" s="9" t="str">
        <v>EPSG</v>
      </c>
      <c r="F995" s="7" t="str">
        <v>3064</v>
      </c>
      <c r="G995" t="str">
        <v>ProjectedCrs</v>
      </c>
      <c r="H995" t="str">
        <v>Transverse Mercator</v>
      </c>
      <c r="I995" t="str">
        <v>IGM95 / UTM zone 32N</v>
      </c>
      <c r="J995" t="str">
        <v>Italy - onshore and offshore - west of 12°E.</v>
      </c>
      <c r="K995" s="11">
        <v>0</v>
      </c>
    </row>
    <row r="996" spans="5:11" x14ac:dyDescent="0.35">
      <c r="E996" s="9" t="str">
        <v>EPSG</v>
      </c>
      <c r="F996" s="7" t="str">
        <v>3065</v>
      </c>
      <c r="G996" t="str">
        <v>ProjectedCrs</v>
      </c>
      <c r="H996" t="str">
        <v>Transverse Mercator</v>
      </c>
      <c r="I996" t="str">
        <v>IGM95 / UTM zone 33N</v>
      </c>
      <c r="J996" t="str">
        <v>Italy - onshore and offshore - between 12°E and 18°E including San Marino and Vatican City State.</v>
      </c>
      <c r="K996" s="11">
        <v>0</v>
      </c>
    </row>
    <row r="997" spans="5:11" x14ac:dyDescent="0.35">
      <c r="E997" s="9" t="str">
        <v>EPSG</v>
      </c>
      <c r="F997" s="7" t="str">
        <v>3066</v>
      </c>
      <c r="G997" t="str">
        <v>ProjectedCrs</v>
      </c>
      <c r="H997" t="str">
        <v>Transverse Mercator</v>
      </c>
      <c r="I997" t="str">
        <v>ED50 / Jordan TM</v>
      </c>
      <c r="J997" t="str">
        <v>Jordan.</v>
      </c>
      <c r="K997" s="11">
        <v>0</v>
      </c>
    </row>
    <row r="998" spans="5:11" x14ac:dyDescent="0.35">
      <c r="E998" s="9" t="str">
        <v>EPSG</v>
      </c>
      <c r="F998" s="7" t="str">
        <v>3067</v>
      </c>
      <c r="G998" t="str">
        <v>ProjectedCrs</v>
      </c>
      <c r="H998" t="str">
        <v>Transverse Mercator</v>
      </c>
      <c r="I998" t="str">
        <v>ETRS89 / TM35FIN(E,N)</v>
      </c>
      <c r="J998" t="str">
        <v>Finland - onshore and offshore.</v>
      </c>
      <c r="K998" s="11">
        <v>0</v>
      </c>
    </row>
    <row r="999" spans="5:11" x14ac:dyDescent="0.35">
      <c r="E999" s="9" t="str">
        <v>EPSG</v>
      </c>
      <c r="F999" s="7" t="str">
        <v>3068</v>
      </c>
      <c r="G999" t="str">
        <v>ProjectedCrs</v>
      </c>
      <c r="H999" t="str">
        <v>Cassini-Soldner</v>
      </c>
      <c r="I999" t="str">
        <v>DHDN / Soldner Berlin</v>
      </c>
      <c r="J999" t="str">
        <v>Germany - Berlin.</v>
      </c>
      <c r="K999" s="11">
        <v>0</v>
      </c>
    </row>
    <row r="1000" spans="5:11" x14ac:dyDescent="0.35">
      <c r="E1000" s="9" t="str">
        <v>EPSG</v>
      </c>
      <c r="F1000" s="7" t="str">
        <v>3069</v>
      </c>
      <c r="G1000" t="str">
        <v>ProjectedCrs</v>
      </c>
      <c r="H1000" t="str">
        <v>Transverse Mercator</v>
      </c>
      <c r="I1000" t="str">
        <v>NAD27 / Wisconsin Transverse Mercator</v>
      </c>
      <c r="J1000" t="str">
        <v>United States (USA) - Wisconsin.</v>
      </c>
      <c r="K1000" s="11">
        <v>0</v>
      </c>
    </row>
    <row r="1001" spans="5:11" x14ac:dyDescent="0.35">
      <c r="E1001" s="9" t="str">
        <v>EPSG</v>
      </c>
      <c r="F1001" s="7" t="str">
        <v>3070</v>
      </c>
      <c r="G1001" t="str">
        <v>ProjectedCrs</v>
      </c>
      <c r="H1001" t="str">
        <v>Transverse Mercator</v>
      </c>
      <c r="I1001" t="str">
        <v>NAD83 / Wisconsin Transverse Mercator</v>
      </c>
      <c r="J1001" t="str">
        <v>United States (USA) - Wisconsin.</v>
      </c>
      <c r="K1001" s="11">
        <v>0</v>
      </c>
    </row>
    <row r="1002" spans="5:11" x14ac:dyDescent="0.35">
      <c r="E1002" s="9" t="str">
        <v>EPSG</v>
      </c>
      <c r="F1002" s="7" t="str">
        <v>3071</v>
      </c>
      <c r="G1002" t="str">
        <v>ProjectedCrs</v>
      </c>
      <c r="H1002" t="str">
        <v>Transverse Mercator</v>
      </c>
      <c r="I1002" t="str">
        <v>NAD83(HARN) / Wisconsin Transverse Mercator</v>
      </c>
      <c r="J1002" t="str">
        <v>United States (USA) - Wisconsin.</v>
      </c>
      <c r="K1002" s="11">
        <v>0</v>
      </c>
    </row>
    <row r="1003" spans="5:11" x14ac:dyDescent="0.35">
      <c r="E1003" s="9" t="str">
        <v>EPSG</v>
      </c>
      <c r="F1003" s="7" t="str">
        <v>3072</v>
      </c>
      <c r="G1003" t="str">
        <v>ProjectedCrs</v>
      </c>
      <c r="H1003" t="str">
        <v>Transverse Mercator</v>
      </c>
      <c r="I1003" t="str">
        <v>NAD83 / Maine CS2000 East</v>
      </c>
      <c r="J1003" t="str">
        <v>United States (USA) - Maine east of approximately 68°25'W. The area is bounded by the following: Beginning at the point determined by the intersection of the Maine State line and the Fort Kent - Frenchville town line, thence continuing easterly and then southerly along the state line to the boundary of the State of Maine as determined by Maritime law, thence following the State boundary westerly to the intersection of the Knox and Hancock County line, thence northerly along the easterly boundary of the Maine 2000 Central Zone, as defined, to the point of beginning.</v>
      </c>
      <c r="K1003" s="11">
        <v>0</v>
      </c>
    </row>
    <row r="1004" spans="5:11" x14ac:dyDescent="0.35">
      <c r="E1004" s="9" t="str">
        <v>EPSG</v>
      </c>
      <c r="F1004" s="7" t="str">
        <v>3074</v>
      </c>
      <c r="G1004" t="str">
        <v>ProjectedCrs</v>
      </c>
      <c r="H1004" t="str">
        <v>Transverse Mercator</v>
      </c>
      <c r="I1004" t="str">
        <v>NAD83 / Maine CS2000 West</v>
      </c>
      <c r="J1004" t="str">
        <v>United States (USA) - Maine west of approximately 69°40'W. The area is bounded by the following: Beginning at the point determined by the intersection of the Maine State line and the County Line between Aroostook and Somerset Counties, thence following the Somerset County line Easterly to the Northwest corner of the Somerset and Piscataquis county line, thence Southerly along this county line to the northeast corner of the Athens town line, thence westerly along the town line between Brighton Plantation and Athens to the westerly corner of Athens, and continuing southerly to the southwest corner of the town of Athens where it meets the Cornville town line, thence westerly along the Cornville - Solon town line to the intersection of the Cornville - Madison town line, thence southerly and westerly following the Madison town line to the intersection of the Norridgewock - Skowhegan town line, thence southerly along the Skowhegan town line to the Fairfield town line, thence easterly along the Fairfield town line to the Clinton town line (being determined by the Kennebec River), thence southerly along the Kennebec River to the Augusta city line, thence easterly along the city line to the Windsor town line, thence southerly along the Augusta - Windsor town line to the northwest corner of the Lincoln County line, thence southerly along the westerly Lincoln county line to the boundary of the State of Maine as determined by Maritime law, thence following the State boundary on the westerly side of the state to the point of beginning.</v>
      </c>
      <c r="K1004" s="11">
        <v>0</v>
      </c>
    </row>
    <row r="1005" spans="5:11" x14ac:dyDescent="0.35">
      <c r="E1005" s="9" t="str">
        <v>EPSG</v>
      </c>
      <c r="F1005" s="7" t="str">
        <v>3075</v>
      </c>
      <c r="G1005" t="str">
        <v>ProjectedCrs</v>
      </c>
      <c r="H1005" t="str">
        <v>Transverse Mercator</v>
      </c>
      <c r="I1005" t="str">
        <v>NAD83(HARN) / Maine CS2000 East</v>
      </c>
      <c r="J1005" t="str">
        <v>United States (USA) - Maine east of approximately 68°25'W. The area is bounded by the following: Beginning at the point determined by the intersection of the Maine State line and the Fort Kent - Frenchville town line, thence continuing easterly and then southerly along the state line to the boundary of the State of Maine as determined by Maritime law, thence following the State boundary westerly to the intersection of the Knox and Hancock County line, thence northerly along the easterly boundary of the Maine 2000 Central Zone, as defined, to the point of beginning.</v>
      </c>
      <c r="K1005" s="11">
        <v>0</v>
      </c>
    </row>
    <row r="1006" spans="5:11" x14ac:dyDescent="0.35">
      <c r="E1006" s="9" t="str">
        <v>EPSG</v>
      </c>
      <c r="F1006" s="7" t="str">
        <v>3077</v>
      </c>
      <c r="G1006" t="str">
        <v>ProjectedCrs</v>
      </c>
      <c r="H1006" t="str">
        <v>Transverse Mercator</v>
      </c>
      <c r="I1006" t="str">
        <v>NAD83(HARN) / Maine CS2000 West</v>
      </c>
      <c r="J1006" t="str">
        <v>United States (USA) - Maine west of approximately 69°40'W. The area is bounded by the following: Beginning at the point determined by the intersection of the Maine State line and the County Line between Aroostook and Somerset Counties, thence following the Somerset County line Easterly to the Northwest corner of the Somerset and Piscataquis county line, thence Southerly along this county line to the northeast corner of the Athens town line, thence westerly along the town line between Brighton Plantation and Athens to the westerly corner of Athens, and continuing southerly to the southwest corner of the town of Athens where it meets the Cornville town line, thence westerly along the Cornville - Solon town line to the intersection of the Cornville - Madison town line, thence southerly and westerly following the Madison town line to the intersection of the Norridgewock - Skowhegan town line, thence southerly along the Skowhegan town line to the Fairfield town line, thence easterly along the Fairfield town line to the Clinton town line (being determined by the Kennebec River), thence southerly along the Kennebec River to the Augusta city line, thence easterly along the city line to the Windsor town line, thence southerly along the Augusta - Windsor town line to the northwest corner of the Lincoln County line, thence southerly along the westerly Lincoln county line to the boundary of the State of Maine as determined by Maritime law, thence following the State boundary on the westerly side of the state to the point of beginning.</v>
      </c>
      <c r="K1006" s="11">
        <v>0</v>
      </c>
    </row>
    <row r="1007" spans="5:11" x14ac:dyDescent="0.35">
      <c r="E1007" s="9" t="str">
        <v>EPSG</v>
      </c>
      <c r="F1007" s="7" t="str">
        <v>3078</v>
      </c>
      <c r="G1007" t="str">
        <v>ProjectedCrs</v>
      </c>
      <c r="H1007" t="str">
        <v>Hotine Oblique Mercator (variant A)</v>
      </c>
      <c r="I1007" t="str">
        <v>NAD83 / Michigan Oblique Mercator</v>
      </c>
      <c r="J1007" t="str">
        <v>United States (USA) - Michigan.</v>
      </c>
      <c r="K1007" s="11">
        <v>0</v>
      </c>
    </row>
    <row r="1008" spans="5:11" x14ac:dyDescent="0.35">
      <c r="E1008" s="9" t="str">
        <v>EPSG</v>
      </c>
      <c r="F1008" s="7" t="str">
        <v>3079</v>
      </c>
      <c r="G1008" t="str">
        <v>ProjectedCrs</v>
      </c>
      <c r="H1008" t="str">
        <v>Hotine Oblique Mercator (variant A)</v>
      </c>
      <c r="I1008" t="str">
        <v>NAD83(HARN) / Michigan Oblique Mercator</v>
      </c>
      <c r="J1008" t="str">
        <v>United States (USA) - Michigan.</v>
      </c>
      <c r="K1008" s="11">
        <v>0</v>
      </c>
    </row>
    <row r="1009" spans="5:11" x14ac:dyDescent="0.35">
      <c r="E1009" s="9" t="str">
        <v>EPSG</v>
      </c>
      <c r="F1009" s="7" t="str">
        <v>3080</v>
      </c>
      <c r="G1009" t="str">
        <v>ProjectedCrs</v>
      </c>
      <c r="H1009" t="str">
        <v>Lambert Conic Conformal (2SP)</v>
      </c>
      <c r="I1009" t="str">
        <v>NAD27 / Shackleford</v>
      </c>
      <c r="J1009" t="str">
        <v>United States (USA) - Texas.</v>
      </c>
      <c r="K1009" s="11">
        <v>0</v>
      </c>
    </row>
    <row r="1010" spans="5:11" x14ac:dyDescent="0.35">
      <c r="E1010" s="9" t="str">
        <v>EPSG</v>
      </c>
      <c r="F1010" s="7" t="str">
        <v>3081</v>
      </c>
      <c r="G1010" t="str">
        <v>ProjectedCrs</v>
      </c>
      <c r="H1010" t="str">
        <v>Lambert Conic Conformal (2SP)</v>
      </c>
      <c r="I1010" t="str">
        <v>NAD83 / Texas State Mapping System</v>
      </c>
      <c r="J1010" t="str">
        <v>United States (USA) - Texas.</v>
      </c>
      <c r="K1010" s="11">
        <v>0</v>
      </c>
    </row>
    <row r="1011" spans="5:11" x14ac:dyDescent="0.35">
      <c r="E1011" s="9" t="str">
        <v>EPSG</v>
      </c>
      <c r="F1011" s="7" t="str">
        <v>3082</v>
      </c>
      <c r="G1011" t="str">
        <v>ProjectedCrs</v>
      </c>
      <c r="H1011" t="str">
        <v>Lambert Conic Conformal (2SP)</v>
      </c>
      <c r="I1011" t="str">
        <v>NAD83 / Texas Centric Lambert Conformal</v>
      </c>
      <c r="J1011" t="str">
        <v>United States (USA) - Texas.</v>
      </c>
      <c r="K1011" s="11">
        <v>0</v>
      </c>
    </row>
    <row r="1012" spans="5:11" x14ac:dyDescent="0.35">
      <c r="E1012" s="9" t="str">
        <v>EPSG</v>
      </c>
      <c r="F1012" s="7" t="str">
        <v>3083</v>
      </c>
      <c r="G1012" t="str">
        <v>ProjectedCrs</v>
      </c>
      <c r="H1012" t="str">
        <v>Albers Equal Area</v>
      </c>
      <c r="I1012" t="str">
        <v>NAD83 / Texas Centric Albers Equal Area</v>
      </c>
      <c r="J1012" t="str">
        <v>United States (USA) - Texas.</v>
      </c>
      <c r="K1012" s="11">
        <v>0</v>
      </c>
    </row>
    <row r="1013" spans="5:11" x14ac:dyDescent="0.35">
      <c r="E1013" s="9" t="str">
        <v>EPSG</v>
      </c>
      <c r="F1013" s="7" t="str">
        <v>3084</v>
      </c>
      <c r="G1013" t="str">
        <v>ProjectedCrs</v>
      </c>
      <c r="H1013" t="str">
        <v>Lambert Conic Conformal (2SP)</v>
      </c>
      <c r="I1013" t="str">
        <v>NAD83(HARN) / Texas Centric Lambert Conformal</v>
      </c>
      <c r="J1013" t="str">
        <v>United States (USA) - Texas.</v>
      </c>
      <c r="K1013" s="11">
        <v>0</v>
      </c>
    </row>
    <row r="1014" spans="5:11" x14ac:dyDescent="0.35">
      <c r="E1014" s="9" t="str">
        <v>EPSG</v>
      </c>
      <c r="F1014" s="7" t="str">
        <v>3085</v>
      </c>
      <c r="G1014" t="str">
        <v>ProjectedCrs</v>
      </c>
      <c r="H1014" t="str">
        <v>Albers Equal Area</v>
      </c>
      <c r="I1014" t="str">
        <v>NAD83(HARN) / Texas Centric Albers Equal Area</v>
      </c>
      <c r="J1014" t="str">
        <v>United States (USA) - Texas.</v>
      </c>
      <c r="K1014" s="11">
        <v>0</v>
      </c>
    </row>
    <row r="1015" spans="5:11" x14ac:dyDescent="0.35">
      <c r="E1015" s="9" t="str">
        <v>EPSG</v>
      </c>
      <c r="F1015" s="7" t="str">
        <v>3086</v>
      </c>
      <c r="G1015" t="str">
        <v>ProjectedCrs</v>
      </c>
      <c r="H1015" t="str">
        <v>Albers Equal Area</v>
      </c>
      <c r="I1015" t="str">
        <v>NAD83 / Florida GDL Albers</v>
      </c>
      <c r="J1015" t="str">
        <v>United States (USA) - Florida.</v>
      </c>
      <c r="K1015" s="11">
        <v>0</v>
      </c>
    </row>
    <row r="1016" spans="5:11" x14ac:dyDescent="0.35">
      <c r="E1016" s="9" t="str">
        <v>EPSG</v>
      </c>
      <c r="F1016" s="7" t="str">
        <v>3087</v>
      </c>
      <c r="G1016" t="str">
        <v>ProjectedCrs</v>
      </c>
      <c r="H1016" t="str">
        <v>Albers Equal Area</v>
      </c>
      <c r="I1016" t="str">
        <v>NAD83(HARN) / Florida GDL Albers</v>
      </c>
      <c r="J1016" t="str">
        <v>United States (USA) - Florida.</v>
      </c>
      <c r="K1016" s="11">
        <v>0</v>
      </c>
    </row>
    <row r="1017" spans="5:11" x14ac:dyDescent="0.35">
      <c r="E1017" s="9" t="str">
        <v>EPSG</v>
      </c>
      <c r="F1017" s="7" t="str">
        <v>3088</v>
      </c>
      <c r="G1017" t="str">
        <v>ProjectedCrs</v>
      </c>
      <c r="H1017" t="str">
        <v>Lambert Conic Conformal (2SP)</v>
      </c>
      <c r="I1017" t="str">
        <v>NAD83 / Kentucky Single Zone</v>
      </c>
      <c r="J1017" t="str">
        <v>United States (USA) - Kentucky.</v>
      </c>
      <c r="K1017" s="11">
        <v>0</v>
      </c>
    </row>
    <row r="1018" spans="5:11" x14ac:dyDescent="0.35">
      <c r="E1018" s="9" t="str">
        <v>EPSG</v>
      </c>
      <c r="F1018" s="7" t="str">
        <v>3089</v>
      </c>
      <c r="G1018" t="str">
        <v>ProjectedCrs</v>
      </c>
      <c r="H1018" t="str">
        <v>Lambert Conic Conformal (2SP)</v>
      </c>
      <c r="I1018" t="str">
        <v>NAD83 / Kentucky Single Zone (ftUS)</v>
      </c>
      <c r="J1018" t="str">
        <v>United States (USA) - Kentucky.</v>
      </c>
      <c r="K1018" s="11">
        <v>0</v>
      </c>
    </row>
    <row r="1019" spans="5:11" x14ac:dyDescent="0.35">
      <c r="E1019" s="9" t="str">
        <v>EPSG</v>
      </c>
      <c r="F1019" s="7" t="str">
        <v>3090</v>
      </c>
      <c r="G1019" t="str">
        <v>ProjectedCrs</v>
      </c>
      <c r="H1019" t="str">
        <v>Lambert Conic Conformal (2SP)</v>
      </c>
      <c r="I1019" t="str">
        <v>NAD83(HARN) / Kentucky Single Zone</v>
      </c>
      <c r="J1019" t="str">
        <v>United States (USA) - Kentucky.</v>
      </c>
      <c r="K1019" s="11">
        <v>0</v>
      </c>
    </row>
    <row r="1020" spans="5:11" x14ac:dyDescent="0.35">
      <c r="E1020" s="9" t="str">
        <v>EPSG</v>
      </c>
      <c r="F1020" s="7" t="str">
        <v>3091</v>
      </c>
      <c r="G1020" t="str">
        <v>ProjectedCrs</v>
      </c>
      <c r="H1020" t="str">
        <v>Lambert Conic Conformal (2SP)</v>
      </c>
      <c r="I1020" t="str">
        <v>NAD83(HARN) / Kentucky Single Zone (ftUS)</v>
      </c>
      <c r="J1020" t="str">
        <v>United States (USA) - Kentucky.</v>
      </c>
      <c r="K1020" s="11">
        <v>0</v>
      </c>
    </row>
    <row r="1021" spans="5:11" x14ac:dyDescent="0.35">
      <c r="E1021" s="9" t="str">
        <v>EPSG</v>
      </c>
      <c r="F1021" s="7" t="str">
        <v>3092</v>
      </c>
      <c r="G1021" t="str">
        <v>ProjectedCrs</v>
      </c>
      <c r="H1021" t="str">
        <v>Transverse Mercator</v>
      </c>
      <c r="I1021" t="str">
        <v>Tokyo / UTM zone 51N</v>
      </c>
      <c r="J1021" t="str">
        <v>Japan - onshore west of 126°E.</v>
      </c>
      <c r="K1021" s="11">
        <v>0</v>
      </c>
    </row>
    <row r="1022" spans="5:11" x14ac:dyDescent="0.35">
      <c r="E1022" s="9" t="str">
        <v>EPSG</v>
      </c>
      <c r="F1022" s="7" t="str">
        <v>3093</v>
      </c>
      <c r="G1022" t="str">
        <v>ProjectedCrs</v>
      </c>
      <c r="H1022" t="str">
        <v>Transverse Mercator</v>
      </c>
      <c r="I1022" t="str">
        <v>Tokyo / UTM zone 52N</v>
      </c>
      <c r="J1022" t="str">
        <v>Japan - onshore between 126°E and 132°E.</v>
      </c>
      <c r="K1022" s="11">
        <v>0</v>
      </c>
    </row>
    <row r="1023" spans="5:11" x14ac:dyDescent="0.35">
      <c r="E1023" s="9" t="str">
        <v>EPSG</v>
      </c>
      <c r="F1023" s="7" t="str">
        <v>3094</v>
      </c>
      <c r="G1023" t="str">
        <v>ProjectedCrs</v>
      </c>
      <c r="H1023" t="str">
        <v>Transverse Mercator</v>
      </c>
      <c r="I1023" t="str">
        <v>Tokyo / UTM zone 53N</v>
      </c>
      <c r="J1023" t="str">
        <v>Japan - onshore between 132°E and 138°E.</v>
      </c>
      <c r="K1023" s="11">
        <v>0</v>
      </c>
    </row>
    <row r="1024" spans="5:11" x14ac:dyDescent="0.35">
      <c r="E1024" s="9" t="str">
        <v>EPSG</v>
      </c>
      <c r="F1024" s="7" t="str">
        <v>3095</v>
      </c>
      <c r="G1024" t="str">
        <v>ProjectedCrs</v>
      </c>
      <c r="H1024" t="str">
        <v>Transverse Mercator</v>
      </c>
      <c r="I1024" t="str">
        <v>Tokyo / UTM zone 54N</v>
      </c>
      <c r="J1024" t="str">
        <v>Japan - onshore between 138°E and 144°E.</v>
      </c>
      <c r="K1024" s="11">
        <v>0</v>
      </c>
    </row>
    <row r="1025" spans="5:11" x14ac:dyDescent="0.35">
      <c r="E1025" s="9" t="str">
        <v>EPSG</v>
      </c>
      <c r="F1025" s="7" t="str">
        <v>3096</v>
      </c>
      <c r="G1025" t="str">
        <v>ProjectedCrs</v>
      </c>
      <c r="H1025" t="str">
        <v>Transverse Mercator</v>
      </c>
      <c r="I1025" t="str">
        <v>Tokyo / UTM zone 55N</v>
      </c>
      <c r="J1025" t="str">
        <v>Japan - onshore east of 144°E.</v>
      </c>
      <c r="K1025" s="11">
        <v>0</v>
      </c>
    </row>
    <row r="1026" spans="5:11" x14ac:dyDescent="0.35">
      <c r="E1026" s="9" t="str">
        <v>EPSG</v>
      </c>
      <c r="F1026" s="7" t="str">
        <v>3097</v>
      </c>
      <c r="G1026" t="str">
        <v>ProjectedCrs</v>
      </c>
      <c r="H1026" t="str">
        <v>Transverse Mercator</v>
      </c>
      <c r="I1026" t="str">
        <v>JGD2000 / UTM zone 51N</v>
      </c>
      <c r="J1026" t="str">
        <v>Japan - west of 126°E, onshore and offshore.</v>
      </c>
      <c r="K1026" s="11">
        <v>0</v>
      </c>
    </row>
    <row r="1027" spans="5:11" x14ac:dyDescent="0.35">
      <c r="E1027" s="9" t="str">
        <v>EPSG</v>
      </c>
      <c r="F1027" s="7" t="str">
        <v>3098</v>
      </c>
      <c r="G1027" t="str">
        <v>ProjectedCrs</v>
      </c>
      <c r="H1027" t="str">
        <v>Transverse Mercator</v>
      </c>
      <c r="I1027" t="str">
        <v>JGD2000 / UTM zone 52N</v>
      </c>
      <c r="J1027" t="str">
        <v>Japan - between 126°E and 132°E, onshore and offshore.</v>
      </c>
      <c r="K1027" s="11">
        <v>0</v>
      </c>
    </row>
    <row r="1028" spans="5:11" x14ac:dyDescent="0.35">
      <c r="E1028" s="9" t="str">
        <v>EPSG</v>
      </c>
      <c r="F1028" s="7" t="str">
        <v>3099</v>
      </c>
      <c r="G1028" t="str">
        <v>ProjectedCrs</v>
      </c>
      <c r="H1028" t="str">
        <v>Transverse Mercator</v>
      </c>
      <c r="I1028" t="str">
        <v>JGD2000 / UTM zone 53N</v>
      </c>
      <c r="J1028" t="str">
        <v>Japan - between 132°E and 138°E, onshore and offshore.</v>
      </c>
      <c r="K1028" s="11">
        <v>0</v>
      </c>
    </row>
    <row r="1029" spans="5:11" x14ac:dyDescent="0.35">
      <c r="E1029" s="9" t="str">
        <v>EPSG</v>
      </c>
      <c r="F1029" s="7" t="str">
        <v>3100</v>
      </c>
      <c r="G1029" t="str">
        <v>ProjectedCrs</v>
      </c>
      <c r="H1029" t="str">
        <v>Transverse Mercator</v>
      </c>
      <c r="I1029" t="str">
        <v>JGD2000 / UTM zone 54N</v>
      </c>
      <c r="J1029" t="str">
        <v>Japan - between 138°E and 144°E, onshore and offshore.</v>
      </c>
      <c r="K1029" s="11">
        <v>0</v>
      </c>
    </row>
    <row r="1030" spans="5:11" x14ac:dyDescent="0.35">
      <c r="E1030" s="9" t="str">
        <v>EPSG</v>
      </c>
      <c r="F1030" s="7" t="str">
        <v>3101</v>
      </c>
      <c r="G1030" t="str">
        <v>ProjectedCrs</v>
      </c>
      <c r="H1030" t="str">
        <v>Transverse Mercator</v>
      </c>
      <c r="I1030" t="str">
        <v>JGD2000 / UTM zone 55N</v>
      </c>
      <c r="J1030" t="str">
        <v>Japan - east of 144°E, onshore and offshore.</v>
      </c>
      <c r="K1030" s="11">
        <v>0</v>
      </c>
    </row>
    <row r="1031" spans="5:11" x14ac:dyDescent="0.35">
      <c r="E1031" s="9" t="str">
        <v>EPSG</v>
      </c>
      <c r="F1031" s="7" t="str">
        <v>3102</v>
      </c>
      <c r="G1031" t="str">
        <v>ProjectedCrs</v>
      </c>
      <c r="H1031" t="str">
        <v>Lambert Conic Conformal (1SP)</v>
      </c>
      <c r="I1031" t="str">
        <v>American Samoa 1962 / American Samoa Lambert</v>
      </c>
      <c r="J1031" t="str">
        <v>American Samoa - Tutuila, Aunu'u, Ofu, Olesega and Ta'u islands.</v>
      </c>
      <c r="K1031" s="11">
        <v>0</v>
      </c>
    </row>
    <row r="1032" spans="5:11" x14ac:dyDescent="0.35">
      <c r="E1032" s="9" t="str">
        <v>EPSG</v>
      </c>
      <c r="F1032" s="7" t="str">
        <v>3106</v>
      </c>
      <c r="G1032" t="str">
        <v>ProjectedCrs</v>
      </c>
      <c r="H1032" t="str">
        <v>Transverse Mercator</v>
      </c>
      <c r="I1032" t="str">
        <v>Gulshan 303 / TM 90 NE</v>
      </c>
      <c r="J1032" t="str">
        <v>Bangladesh - onshore and offshore.</v>
      </c>
      <c r="K1032" s="11">
        <v>0</v>
      </c>
    </row>
    <row r="1033" spans="5:11" x14ac:dyDescent="0.35">
      <c r="E1033" s="9" t="str">
        <v>EPSG</v>
      </c>
      <c r="F1033" s="7" t="str">
        <v>3106</v>
      </c>
      <c r="G1033" t="str">
        <v>ProjectedCrs</v>
      </c>
      <c r="H1033" t="str">
        <v>Transverse Mercator</v>
      </c>
      <c r="I1033" t="str">
        <v>Gulshan 303 / TM 90 NE</v>
      </c>
      <c r="J1033" t="str">
        <v>Bangladesh - onshore.</v>
      </c>
      <c r="K1033" s="11">
        <v>0</v>
      </c>
    </row>
    <row r="1034" spans="5:11" x14ac:dyDescent="0.35">
      <c r="E1034" s="9" t="str">
        <v>EPSG</v>
      </c>
      <c r="F1034" s="7" t="str">
        <v>3107</v>
      </c>
      <c r="G1034" t="str">
        <v>ProjectedCrs</v>
      </c>
      <c r="H1034" t="str">
        <v>Lambert Conic Conformal (2SP)</v>
      </c>
      <c r="I1034" t="str">
        <v>GDA94 / SA Lambert</v>
      </c>
      <c r="J1034" t="str">
        <v>Australia - South Australia.</v>
      </c>
      <c r="K1034" s="11">
        <v>0</v>
      </c>
    </row>
    <row r="1035" spans="5:11" x14ac:dyDescent="0.35">
      <c r="E1035" s="9" t="str">
        <v>EPSG</v>
      </c>
      <c r="F1035" s="7" t="str">
        <v>3108</v>
      </c>
      <c r="G1035" t="str">
        <v>ProjectedCrs</v>
      </c>
      <c r="H1035" t="str">
        <v>Transverse Mercator</v>
      </c>
      <c r="I1035" t="str">
        <v>ETRS89 / Guernsey Grid</v>
      </c>
      <c r="J1035" t="str">
        <v>Channel Islands - Guernsey, Alderney, Sark, Herm, Brecqhou, Jethou, Lihou - onshore and offshore.</v>
      </c>
      <c r="K1035" s="11">
        <v>0</v>
      </c>
    </row>
    <row r="1036" spans="5:11" x14ac:dyDescent="0.35">
      <c r="E1036" s="9" t="str">
        <v>EPSG</v>
      </c>
      <c r="F1036" s="7" t="str">
        <v>3109</v>
      </c>
      <c r="G1036" t="str">
        <v>ProjectedCrs</v>
      </c>
      <c r="H1036" t="str">
        <v>Transverse Mercator</v>
      </c>
      <c r="I1036" t="str">
        <v>ETRS89 / Jersey Transverse Mercator</v>
      </c>
      <c r="J1036" t="str">
        <v>Channel Islands - Jersey, Les Ecrehos and Les Minquiers - onshore and offshore.</v>
      </c>
      <c r="K1036" s="11">
        <v>0</v>
      </c>
    </row>
    <row r="1037" spans="5:11" x14ac:dyDescent="0.35">
      <c r="E1037" s="9" t="str">
        <v>EPSG</v>
      </c>
      <c r="F1037" s="7" t="str">
        <v>3110</v>
      </c>
      <c r="G1037" t="str">
        <v>ProjectedCrs</v>
      </c>
      <c r="H1037" t="str">
        <v>Lambert Conic Conformal (2SP)</v>
      </c>
      <c r="I1037" t="str">
        <v>AGD66 / Vicgrid66</v>
      </c>
      <c r="J1037" t="str">
        <v>Australia - Victoria.</v>
      </c>
      <c r="K1037" s="11">
        <v>0</v>
      </c>
    </row>
    <row r="1038" spans="5:11" x14ac:dyDescent="0.35">
      <c r="E1038" s="9" t="str">
        <v>EPSG</v>
      </c>
      <c r="F1038" s="7" t="str">
        <v>3111</v>
      </c>
      <c r="G1038" t="str">
        <v>ProjectedCrs</v>
      </c>
      <c r="H1038" t="str">
        <v>Lambert Conic Conformal (2SP)</v>
      </c>
      <c r="I1038" t="str">
        <v>GDA94 / Vicgrid</v>
      </c>
      <c r="J1038" t="str">
        <v>Australia - Victoria.</v>
      </c>
      <c r="K1038" s="11">
        <v>0</v>
      </c>
    </row>
    <row r="1039" spans="5:11" x14ac:dyDescent="0.35">
      <c r="E1039" s="9" t="str">
        <v>EPSG</v>
      </c>
      <c r="F1039" s="7" t="str">
        <v>3112</v>
      </c>
      <c r="G1039" t="str">
        <v>ProjectedCrs</v>
      </c>
      <c r="H1039" t="str">
        <v>Lambert Conic Conformal (2SP)</v>
      </c>
      <c r="I1039" t="str">
        <v>GDA94 / Geoscience Australia Lambert</v>
      </c>
      <c r="J1039" t="str">
        <v>Australia - Australian Capital Territory; New South Wales; Northern Territory; Queensland; South Australia; Tasmania; Western Australia; Victoria.</v>
      </c>
      <c r="K1039" s="11">
        <v>0</v>
      </c>
    </row>
    <row r="1040" spans="5:11" x14ac:dyDescent="0.35">
      <c r="E1040" s="9" t="str">
        <v>EPSG</v>
      </c>
      <c r="F1040" s="7" t="str">
        <v>3113</v>
      </c>
      <c r="G1040" t="str">
        <v>ProjectedCrs</v>
      </c>
      <c r="H1040" t="str">
        <v>Transverse Mercator</v>
      </c>
      <c r="I1040" t="str">
        <v>GDA94 / BCSG02</v>
      </c>
      <c r="J1040" t="str">
        <v>Australia - Brisbane and surrounding area. Also applicable in other local authorities in south-east Queensland (Gold Coast, Logan, Ipswich, Scenic Rim, Redland, Moreton Bay, Sunshine Coast, Noosa, eastern part of Gympie, eastern part of Fraser Coast) and north-east New South Wales (Tweed, Byron, Lismore, Kyogle, Ballina and Richmond Valley).</v>
      </c>
      <c r="K1040" s="11">
        <v>0</v>
      </c>
    </row>
    <row r="1041" spans="5:11" x14ac:dyDescent="0.35">
      <c r="E1041" s="9" t="str">
        <v>EPSG</v>
      </c>
      <c r="F1041" s="7" t="str">
        <v>3114</v>
      </c>
      <c r="G1041" t="str">
        <v>ProjectedCrs</v>
      </c>
      <c r="H1041" t="str">
        <v>Transverse Mercator</v>
      </c>
      <c r="I1041" t="str">
        <v>MAGNA-SIRGAS / Colombia Far West zone</v>
      </c>
      <c r="J1041" t="str">
        <v>Colombia - mainland onshore west of 4°30'W of Bogota (approximately 78°35'W of Greenwich).</v>
      </c>
      <c r="K1041" s="11">
        <v>0</v>
      </c>
    </row>
    <row r="1042" spans="5:11" x14ac:dyDescent="0.35">
      <c r="E1042" s="9" t="str">
        <v>EPSG</v>
      </c>
      <c r="F1042" s="7" t="str">
        <v>3115</v>
      </c>
      <c r="G1042" t="str">
        <v>ProjectedCrs</v>
      </c>
      <c r="H1042" t="str">
        <v>Transverse Mercator</v>
      </c>
      <c r="I1042" t="str">
        <v>MAGNA-SIRGAS / Colombia West zone</v>
      </c>
      <c r="J1042" t="str">
        <v>Colombia - onshore between 4°30'W and 1°30'W of Bogota (approximately 78°35'W and 75°35'W of Greenwich).</v>
      </c>
      <c r="K1042" s="11">
        <v>0</v>
      </c>
    </row>
    <row r="1043" spans="5:11" x14ac:dyDescent="0.35">
      <c r="E1043" s="9" t="str">
        <v>EPSG</v>
      </c>
      <c r="F1043" s="7" t="str">
        <v>3116</v>
      </c>
      <c r="G1043" t="str">
        <v>ProjectedCrs</v>
      </c>
      <c r="H1043" t="str">
        <v>Transverse Mercator</v>
      </c>
      <c r="I1043" t="str">
        <v>MAGNA-SIRGAS / Colombia Bogota zone</v>
      </c>
      <c r="J1043" t="str">
        <v>Colombia - onshore between 1°30'W and 1°30'E of Bogota (approximately 75°35'W and 72°35'W of Greenwich).</v>
      </c>
      <c r="K1043" s="11">
        <v>0</v>
      </c>
    </row>
    <row r="1044" spans="5:11" x14ac:dyDescent="0.35">
      <c r="E1044" s="9" t="str">
        <v>EPSG</v>
      </c>
      <c r="F1044" s="7" t="str">
        <v>3117</v>
      </c>
      <c r="G1044" t="str">
        <v>ProjectedCrs</v>
      </c>
      <c r="H1044" t="str">
        <v>Transverse Mercator</v>
      </c>
      <c r="I1044" t="str">
        <v>MAGNA-SIRGAS / Colombia East Central zone</v>
      </c>
      <c r="J1044" t="str">
        <v>Colombia - onshore between 1°30'E and 4°30'E of Bogota (approximately 72°35'W and 69°35'W of Greenwich).</v>
      </c>
      <c r="K1044" s="11">
        <v>0</v>
      </c>
    </row>
    <row r="1045" spans="5:11" x14ac:dyDescent="0.35">
      <c r="E1045" s="9" t="str">
        <v>EPSG</v>
      </c>
      <c r="F1045" s="7" t="str">
        <v>3118</v>
      </c>
      <c r="G1045" t="str">
        <v>ProjectedCrs</v>
      </c>
      <c r="H1045" t="str">
        <v>Transverse Mercator</v>
      </c>
      <c r="I1045" t="str">
        <v>MAGNA-SIRGAS / Colombia East zone</v>
      </c>
      <c r="J1045" t="str">
        <v>Colombia - east of 4°30'E of Bogota (approximately 69°35'W of Greenwich).</v>
      </c>
      <c r="K1045" s="11">
        <v>0</v>
      </c>
    </row>
    <row r="1046" spans="5:11" x14ac:dyDescent="0.35">
      <c r="E1046" s="9" t="str">
        <v>EPSG</v>
      </c>
      <c r="F1046" s="7" t="str">
        <v>3119</v>
      </c>
      <c r="G1046" t="str">
        <v>ProjectedCrs</v>
      </c>
      <c r="H1046" t="str">
        <v>Transverse Mercator</v>
      </c>
      <c r="I1046" t="str">
        <v>Douala 1948 / AEF west</v>
      </c>
      <c r="J1046" t="str">
        <v>Cameroon - coastal area.</v>
      </c>
      <c r="K1046" s="11">
        <v>0</v>
      </c>
    </row>
    <row r="1047" spans="5:11" x14ac:dyDescent="0.35">
      <c r="E1047" s="9" t="str">
        <v>EPSG</v>
      </c>
      <c r="F1047" s="7" t="str">
        <v>3120</v>
      </c>
      <c r="G1047" t="str">
        <v>ProjectedCrs</v>
      </c>
      <c r="H1047" t="str">
        <v>Oblique Stereographic</v>
      </c>
      <c r="I1047" t="str">
        <v>Pulkovo 1942(58) / Poland zone I</v>
      </c>
      <c r="J1047" t="str">
        <v>Poland - southeast - south of 52°20'N and east of 18°E.</v>
      </c>
      <c r="K1047" s="11">
        <v>0</v>
      </c>
    </row>
    <row r="1048" spans="5:11" x14ac:dyDescent="0.35">
      <c r="E1048" s="9" t="str">
        <v>EPSG</v>
      </c>
      <c r="F1048" s="7" t="str">
        <v>3121</v>
      </c>
      <c r="G1048" t="str">
        <v>ProjectedCrs</v>
      </c>
      <c r="H1048" t="str">
        <v>Transverse Mercator</v>
      </c>
      <c r="I1048" t="str">
        <v>PRS92 / Philippines zone 1</v>
      </c>
      <c r="J1048" t="str">
        <v>Philippines - west of 118°E onshore and offshore.</v>
      </c>
      <c r="K1048" s="11">
        <v>0</v>
      </c>
    </row>
    <row r="1049" spans="5:11" x14ac:dyDescent="0.35">
      <c r="E1049" s="9" t="str">
        <v>EPSG</v>
      </c>
      <c r="F1049" s="7" t="str">
        <v>3122</v>
      </c>
      <c r="G1049" t="str">
        <v>ProjectedCrs</v>
      </c>
      <c r="H1049" t="str">
        <v>Transverse Mercator</v>
      </c>
      <c r="I1049" t="str">
        <v>PRS92 / Philippines zone 2</v>
      </c>
      <c r="J1049" t="str">
        <v>Philippines - approximately between 118°E and 120°E - Palawan; Calamian Islands - onshore and offshore.</v>
      </c>
      <c r="K1049" s="11">
        <v>0</v>
      </c>
    </row>
    <row r="1050" spans="5:11" x14ac:dyDescent="0.35">
      <c r="E1050" s="9" t="str">
        <v>EPSG</v>
      </c>
      <c r="F1050" s="7" t="str">
        <v>3123</v>
      </c>
      <c r="G1050" t="str">
        <v>ProjectedCrs</v>
      </c>
      <c r="H1050" t="str">
        <v>Transverse Mercator</v>
      </c>
      <c r="I1050" t="str">
        <v>PRS92 / Philippines zone 3</v>
      </c>
      <c r="J1050" t="str">
        <v>Philippines - approximately between 120°E and 122°E, onshore and offshore. Luzon (west of 122°E); Mindoro.</v>
      </c>
      <c r="K1050" s="11">
        <v>0</v>
      </c>
    </row>
    <row r="1051" spans="5:11" x14ac:dyDescent="0.35">
      <c r="E1051" s="9" t="str">
        <v>EPSG</v>
      </c>
      <c r="F1051" s="7" t="str">
        <v>3124</v>
      </c>
      <c r="G1051" t="str">
        <v>ProjectedCrs</v>
      </c>
      <c r="H1051" t="str">
        <v>Transverse Mercator</v>
      </c>
      <c r="I1051" t="str">
        <v>PRS92 / Philippines zone 4</v>
      </c>
      <c r="J1051" t="str">
        <v>Philippines - approximately between 122°E and 124°E onshore and offshore - southeast Luzon (east of 122°E); Tablas; Masbate; Panay; Cebu; Negros; west Mindanao (west of 122°E).</v>
      </c>
      <c r="K1051" s="11">
        <v>0</v>
      </c>
    </row>
    <row r="1052" spans="5:11" x14ac:dyDescent="0.35">
      <c r="E1052" s="9" t="str">
        <v>EPSG</v>
      </c>
      <c r="F1052" s="7" t="str">
        <v>3125</v>
      </c>
      <c r="G1052" t="str">
        <v>ProjectedCrs</v>
      </c>
      <c r="H1052" t="str">
        <v>Transverse Mercator</v>
      </c>
      <c r="I1052" t="str">
        <v>PRS92 / Philippines zone 5</v>
      </c>
      <c r="J1052" t="str">
        <v>Philippines - approximately between 124°E and 126°E, onshore and offshore - east Mindanao (east of 124°E); Bohol; Samar.</v>
      </c>
      <c r="K1052" s="11">
        <v>0</v>
      </c>
    </row>
    <row r="1053" spans="5:11" x14ac:dyDescent="0.35">
      <c r="E1053" s="9" t="str">
        <v>EPSG</v>
      </c>
      <c r="F1053" s="7" t="str">
        <v>3126</v>
      </c>
      <c r="G1053" t="str">
        <v>ProjectedCrs</v>
      </c>
      <c r="H1053" t="str">
        <v>Transverse Mercator</v>
      </c>
      <c r="I1053" t="str">
        <v>ETRS89 / ETRS-GK19FIN</v>
      </c>
      <c r="J1053" t="str">
        <v>Finland - onshore west of 19°30'E.</v>
      </c>
      <c r="K1053" s="11">
        <v>0</v>
      </c>
    </row>
    <row r="1054" spans="5:11" x14ac:dyDescent="0.35">
      <c r="E1054" s="9" t="str">
        <v>EPSG</v>
      </c>
      <c r="F1054" s="7" t="str">
        <v>3127</v>
      </c>
      <c r="G1054" t="str">
        <v>ProjectedCrs</v>
      </c>
      <c r="H1054" t="str">
        <v>Transverse Mercator</v>
      </c>
      <c r="I1054" t="str">
        <v>ETRS89 / ETRS-GK20FIN</v>
      </c>
      <c r="J1054" t="str">
        <v>Finland - onshore between 19°30'E and 20°30'E.</v>
      </c>
      <c r="K1054" s="11">
        <v>0</v>
      </c>
    </row>
    <row r="1055" spans="5:11" x14ac:dyDescent="0.35">
      <c r="E1055" s="9" t="str">
        <v>EPSG</v>
      </c>
      <c r="F1055" s="7" t="str">
        <v>3128</v>
      </c>
      <c r="G1055" t="str">
        <v>ProjectedCrs</v>
      </c>
      <c r="H1055" t="str">
        <v>Transverse Mercator</v>
      </c>
      <c r="I1055" t="str">
        <v>ETRS89 / ETRS-GK21FIN</v>
      </c>
      <c r="J1055" t="str">
        <v>Finland - onshore between 20°30'E and 21°30'E.</v>
      </c>
      <c r="K1055" s="11">
        <v>0</v>
      </c>
    </row>
    <row r="1056" spans="5:11" x14ac:dyDescent="0.35">
      <c r="E1056" s="9" t="str">
        <v>EPSG</v>
      </c>
      <c r="F1056" s="7" t="str">
        <v>3129</v>
      </c>
      <c r="G1056" t="str">
        <v>ProjectedCrs</v>
      </c>
      <c r="H1056" t="str">
        <v>Transverse Mercator</v>
      </c>
      <c r="I1056" t="str">
        <v>ETRS89 / ETRS-GK22FIN</v>
      </c>
      <c r="J1056" t="str">
        <v>Finland - onshore between 21°30'E and 22°30'E.</v>
      </c>
      <c r="K1056" s="11">
        <v>0</v>
      </c>
    </row>
    <row r="1057" spans="5:11" x14ac:dyDescent="0.35">
      <c r="E1057" s="9" t="str">
        <v>EPSG</v>
      </c>
      <c r="F1057" s="7" t="str">
        <v>3130</v>
      </c>
      <c r="G1057" t="str">
        <v>ProjectedCrs</v>
      </c>
      <c r="H1057" t="str">
        <v>Transverse Mercator</v>
      </c>
      <c r="I1057" t="str">
        <v>ETRS89 / ETRS-GK23FIN</v>
      </c>
      <c r="J1057" t="str">
        <v>Finland - onshore between 22°30'E and 23°30'E.</v>
      </c>
      <c r="K1057" s="11">
        <v>0</v>
      </c>
    </row>
    <row r="1058" spans="5:11" x14ac:dyDescent="0.35">
      <c r="E1058" s="9" t="str">
        <v>EPSG</v>
      </c>
      <c r="F1058" s="7" t="str">
        <v>3131</v>
      </c>
      <c r="G1058" t="str">
        <v>ProjectedCrs</v>
      </c>
      <c r="H1058" t="str">
        <v>Transverse Mercator</v>
      </c>
      <c r="I1058" t="str">
        <v>ETRS89 / ETRS-GK24FIN</v>
      </c>
      <c r="J1058" t="str">
        <v>Finland - onshore between 23°30'E and 24°30'E.</v>
      </c>
      <c r="K1058" s="11">
        <v>0</v>
      </c>
    </row>
    <row r="1059" spans="5:11" x14ac:dyDescent="0.35">
      <c r="E1059" s="9" t="str">
        <v>EPSG</v>
      </c>
      <c r="F1059" s="7" t="str">
        <v>3132</v>
      </c>
      <c r="G1059" t="str">
        <v>ProjectedCrs</v>
      </c>
      <c r="H1059" t="str">
        <v>Transverse Mercator</v>
      </c>
      <c r="I1059" t="str">
        <v>ETRS89 / ETRS-GK25FIN</v>
      </c>
      <c r="J1059" t="str">
        <v>Finland - onshore between 24°30'E and 25°30'E.</v>
      </c>
      <c r="K1059" s="11">
        <v>0</v>
      </c>
    </row>
    <row r="1060" spans="5:11" x14ac:dyDescent="0.35">
      <c r="E1060" s="9" t="str">
        <v>EPSG</v>
      </c>
      <c r="F1060" s="7" t="str">
        <v>3133</v>
      </c>
      <c r="G1060" t="str">
        <v>ProjectedCrs</v>
      </c>
      <c r="H1060" t="str">
        <v>Transverse Mercator</v>
      </c>
      <c r="I1060" t="str">
        <v>ETRS89 / ETRS-GK26FIN</v>
      </c>
      <c r="J1060" t="str">
        <v>Finland - onshore between 25°30'E and 26°30'E.</v>
      </c>
      <c r="K1060" s="11">
        <v>0</v>
      </c>
    </row>
    <row r="1061" spans="5:11" x14ac:dyDescent="0.35">
      <c r="E1061" s="9" t="str">
        <v>EPSG</v>
      </c>
      <c r="F1061" s="7" t="str">
        <v>3134</v>
      </c>
      <c r="G1061" t="str">
        <v>ProjectedCrs</v>
      </c>
      <c r="H1061" t="str">
        <v>Transverse Mercator</v>
      </c>
      <c r="I1061" t="str">
        <v>ETRS89 / ETRS-GK27FIN</v>
      </c>
      <c r="J1061" t="str">
        <v>Finland - onshore between 26°30'E and 27°30'E.</v>
      </c>
      <c r="K1061" s="11">
        <v>0</v>
      </c>
    </row>
    <row r="1062" spans="5:11" x14ac:dyDescent="0.35">
      <c r="E1062" s="9" t="str">
        <v>EPSG</v>
      </c>
      <c r="F1062" s="7" t="str">
        <v>3135</v>
      </c>
      <c r="G1062" t="str">
        <v>ProjectedCrs</v>
      </c>
      <c r="H1062" t="str">
        <v>Transverse Mercator</v>
      </c>
      <c r="I1062" t="str">
        <v>ETRS89 / ETRS-GK28FIN</v>
      </c>
      <c r="J1062" t="str">
        <v>Finland - onshore between 27°30'E and 28°30'E.</v>
      </c>
      <c r="K1062" s="11">
        <v>0</v>
      </c>
    </row>
    <row r="1063" spans="5:11" x14ac:dyDescent="0.35">
      <c r="E1063" s="9" t="str">
        <v>EPSG</v>
      </c>
      <c r="F1063" s="7" t="str">
        <v>3136</v>
      </c>
      <c r="G1063" t="str">
        <v>ProjectedCrs</v>
      </c>
      <c r="H1063" t="str">
        <v>Transverse Mercator</v>
      </c>
      <c r="I1063" t="str">
        <v>ETRS89 / ETRS-GK29FIN</v>
      </c>
      <c r="J1063" t="str">
        <v>Finland - between 28°30'E and 29°30'E.</v>
      </c>
      <c r="K1063" s="11">
        <v>0</v>
      </c>
    </row>
    <row r="1064" spans="5:11" x14ac:dyDescent="0.35">
      <c r="E1064" s="9" t="str">
        <v>EPSG</v>
      </c>
      <c r="F1064" s="7" t="str">
        <v>3137</v>
      </c>
      <c r="G1064" t="str">
        <v>ProjectedCrs</v>
      </c>
      <c r="H1064" t="str">
        <v>Transverse Mercator</v>
      </c>
      <c r="I1064" t="str">
        <v>ETRS89 / ETRS-GK30FIN</v>
      </c>
      <c r="J1064" t="str">
        <v>Finland - between 29°30'E and 30°30'E.</v>
      </c>
      <c r="K1064" s="11">
        <v>0</v>
      </c>
    </row>
    <row r="1065" spans="5:11" x14ac:dyDescent="0.35">
      <c r="E1065" s="9" t="str">
        <v>EPSG</v>
      </c>
      <c r="F1065" s="7" t="str">
        <v>3138</v>
      </c>
      <c r="G1065" t="str">
        <v>ProjectedCrs</v>
      </c>
      <c r="H1065" t="str">
        <v>Transverse Mercator</v>
      </c>
      <c r="I1065" t="str">
        <v>ETRS89 / ETRS-GK31FIN</v>
      </c>
      <c r="J1065" t="str">
        <v>Finland - east of 30°30'E.</v>
      </c>
      <c r="K1065" s="11">
        <v>0</v>
      </c>
    </row>
    <row r="1066" spans="5:11" x14ac:dyDescent="0.35">
      <c r="E1066" s="9" t="str">
        <v>EPSG</v>
      </c>
      <c r="F1066" s="7" t="str">
        <v>3139</v>
      </c>
      <c r="G1066" t="str">
        <v>ProjectedCrs</v>
      </c>
      <c r="H1066" t="str">
        <v>Hyperbolic Cassini-Soldner</v>
      </c>
      <c r="I1066" t="str">
        <v>Vanua Levu 1915 / Vanua Levu Grid</v>
      </c>
      <c r="J1066" t="str">
        <v>Fiji - Vanua Levu and Taveuni.</v>
      </c>
      <c r="K1066" s="11">
        <v>0</v>
      </c>
    </row>
    <row r="1067" spans="5:11" x14ac:dyDescent="0.35">
      <c r="E1067" s="9" t="str">
        <v>EPSG</v>
      </c>
      <c r="F1067" s="7" t="str">
        <v>3140</v>
      </c>
      <c r="G1067" t="str">
        <v>ProjectedCrs</v>
      </c>
      <c r="H1067" t="str">
        <v>Cassini-Soldner</v>
      </c>
      <c r="I1067" t="str">
        <v>Viti Levu 1912 / Viti Levu Grid</v>
      </c>
      <c r="J1067" t="str">
        <v>Fiji - Viti Levu island.</v>
      </c>
      <c r="K1067" s="11">
        <v>0</v>
      </c>
    </row>
    <row r="1068" spans="5:11" x14ac:dyDescent="0.35">
      <c r="E1068" s="9" t="str">
        <v>EPSG</v>
      </c>
      <c r="F1068" s="7" t="str">
        <v>3141</v>
      </c>
      <c r="G1068" t="str">
        <v>ProjectedCrs</v>
      </c>
      <c r="H1068" t="str">
        <v>Transverse Mercator</v>
      </c>
      <c r="I1068" t="str">
        <v>Fiji 1956 / UTM zone 60S</v>
      </c>
      <c r="J1068" t="str">
        <v>Fiji - onshore west of 180° - Vanua Levu, Taveuni, Viti Levu and and immediately adjacent smaller islands of Yasawa and Kandavu groups.</v>
      </c>
      <c r="K1068" s="11">
        <v>0</v>
      </c>
    </row>
    <row r="1069" spans="5:11" x14ac:dyDescent="0.35">
      <c r="E1069" s="9" t="str">
        <v>EPSG</v>
      </c>
      <c r="F1069" s="7" t="str">
        <v>3142</v>
      </c>
      <c r="G1069" t="str">
        <v>ProjectedCrs</v>
      </c>
      <c r="H1069" t="str">
        <v>Transverse Mercator</v>
      </c>
      <c r="I1069" t="str">
        <v>Fiji 1956 / UTM zone 1S</v>
      </c>
      <c r="J1069" t="str">
        <v>Fiji - onshore east of 180° - Vanua Levu, Taveuni.</v>
      </c>
      <c r="K1069" s="11">
        <v>0</v>
      </c>
    </row>
    <row r="1070" spans="5:11" x14ac:dyDescent="0.35">
      <c r="E1070" s="9" t="str">
        <v>EPSG</v>
      </c>
      <c r="F1070" s="7" t="str">
        <v>3144</v>
      </c>
      <c r="G1070" t="str">
        <v>ProjectedCrs</v>
      </c>
      <c r="H1070" t="str">
        <v>Lambert Conic Conformal (West Orientated)</v>
      </c>
      <c r="I1070" t="str">
        <v>FD54 / Faroe Lambert</v>
      </c>
      <c r="J1070" t="str">
        <v>Faroe Islands - onshore.</v>
      </c>
      <c r="K1070" s="11">
        <v>0</v>
      </c>
    </row>
    <row r="1071" spans="5:11" x14ac:dyDescent="0.35">
      <c r="E1071" s="9" t="str">
        <v>EPSG</v>
      </c>
      <c r="F1071" s="7" t="str">
        <v>3145</v>
      </c>
      <c r="G1071" t="str">
        <v>ProjectedCrs</v>
      </c>
      <c r="H1071" t="str">
        <v>Lambert Conic Conformal (West Orientated)</v>
      </c>
      <c r="I1071" t="str">
        <v>ETRS89 / Faroe Lambert</v>
      </c>
      <c r="J1071" t="str">
        <v>Faroe Islands - onshore.</v>
      </c>
      <c r="K1071" s="11">
        <v>0</v>
      </c>
    </row>
    <row r="1072" spans="5:11" x14ac:dyDescent="0.35">
      <c r="E1072" s="9" t="str">
        <v>EPSG</v>
      </c>
      <c r="F1072" s="7" t="str">
        <v>3148</v>
      </c>
      <c r="G1072" t="str">
        <v>ProjectedCrs</v>
      </c>
      <c r="H1072" t="str">
        <v>Transverse Mercator</v>
      </c>
      <c r="I1072" t="str">
        <v>Indian 1960 / UTM zone 48N</v>
      </c>
      <c r="J1072" t="str">
        <v>Cambodia; Vietnam west of 108°E.</v>
      </c>
      <c r="K1072" s="11">
        <v>0</v>
      </c>
    </row>
    <row r="1073" spans="5:11" x14ac:dyDescent="0.35">
      <c r="E1073" s="9" t="str">
        <v>EPSG</v>
      </c>
      <c r="F1073" s="7" t="str">
        <v>3149</v>
      </c>
      <c r="G1073" t="str">
        <v>ProjectedCrs</v>
      </c>
      <c r="H1073" t="str">
        <v>Transverse Mercator</v>
      </c>
      <c r="I1073" t="str">
        <v>Indian 1960 / UTM zone 49N</v>
      </c>
      <c r="J1073" t="str">
        <v>Vietnam - onshore east of 108°E.</v>
      </c>
      <c r="K1073" s="11">
        <v>0</v>
      </c>
    </row>
    <row r="1074" spans="5:11" x14ac:dyDescent="0.35">
      <c r="E1074" s="9" t="str">
        <v>EPSG</v>
      </c>
      <c r="F1074" s="7" t="str">
        <v>3152</v>
      </c>
      <c r="G1074" t="str">
        <v>ProjectedCrs</v>
      </c>
      <c r="H1074" t="str">
        <v>Transverse Mercator</v>
      </c>
      <c r="I1074" t="str">
        <v>ST74</v>
      </c>
      <c r="J1074" t="str">
        <v>Sweden - Stockholm commune.</v>
      </c>
      <c r="K1074" s="11">
        <v>0</v>
      </c>
    </row>
    <row r="1075" spans="5:11" x14ac:dyDescent="0.35">
      <c r="E1075" s="9" t="str">
        <v>EPSG</v>
      </c>
      <c r="F1075" s="7" t="str">
        <v>3153</v>
      </c>
      <c r="G1075" t="str">
        <v>ProjectedCrs</v>
      </c>
      <c r="H1075" t="str">
        <v>Albers Equal Area</v>
      </c>
      <c r="I1075" t="str">
        <v>NAD83(CSRS) / BC Albers</v>
      </c>
      <c r="J1075" t="str">
        <v>Canada - British Columbia.</v>
      </c>
      <c r="K1075" s="11">
        <v>0</v>
      </c>
    </row>
    <row r="1076" spans="5:11" x14ac:dyDescent="0.35">
      <c r="E1076" s="9" t="str">
        <v>EPSG</v>
      </c>
      <c r="F1076" s="7" t="str">
        <v>3154</v>
      </c>
      <c r="G1076" t="str">
        <v>ProjectedCrs</v>
      </c>
      <c r="H1076" t="str">
        <v>Transverse Mercator</v>
      </c>
      <c r="I1076" t="str">
        <v>NAD83(CSRS) / UTM zone 7N</v>
      </c>
      <c r="J1076" t="str">
        <v>Canada west of 138°W, onshore and offshore south of 84°N - British Columbia, Yukon.</v>
      </c>
      <c r="K1076" s="11">
        <v>0</v>
      </c>
    </row>
    <row r="1077" spans="5:11" x14ac:dyDescent="0.35">
      <c r="E1077" s="9" t="str">
        <v>EPSG</v>
      </c>
      <c r="F1077" s="7" t="str">
        <v>3155</v>
      </c>
      <c r="G1077" t="str">
        <v>ProjectedCrs</v>
      </c>
      <c r="H1077" t="str">
        <v>Transverse Mercator</v>
      </c>
      <c r="I1077" t="str">
        <v>NAD83(CSRS) / UTM zone 8N</v>
      </c>
      <c r="J1077" t="str">
        <v>Canada between 138°W and 132°W, onshore and offshore south of 84°N - British Columbia, Northwest Territories, Yukon.</v>
      </c>
      <c r="K1077" s="11">
        <v>0</v>
      </c>
    </row>
    <row r="1078" spans="5:11" x14ac:dyDescent="0.35">
      <c r="E1078" s="9" t="str">
        <v>EPSG</v>
      </c>
      <c r="F1078" s="7" t="str">
        <v>3156</v>
      </c>
      <c r="G1078" t="str">
        <v>ProjectedCrs</v>
      </c>
      <c r="H1078" t="str">
        <v>Transverse Mercator</v>
      </c>
      <c r="I1078" t="str">
        <v>NAD83(CSRS) / UTM zone 9N</v>
      </c>
      <c r="J1078" t="str">
        <v>Canada - between 132°W and 126°W, onshore and offshore south of 84°N - British Columbia, Northwest Territories, Yukon.</v>
      </c>
      <c r="K1078" s="11">
        <v>0</v>
      </c>
    </row>
    <row r="1079" spans="5:11" x14ac:dyDescent="0.35">
      <c r="E1079" s="9" t="str">
        <v>EPSG</v>
      </c>
      <c r="F1079" s="7" t="str">
        <v>3157</v>
      </c>
      <c r="G1079" t="str">
        <v>ProjectedCrs</v>
      </c>
      <c r="H1079" t="str">
        <v>Transverse Mercator</v>
      </c>
      <c r="I1079" t="str">
        <v>NAD83(CSRS) / UTM zone 10N</v>
      </c>
      <c r="J1079" t="str">
        <v>Canada between 126°W and 120°W, onshore and offshore south of 84°N - British Columbia, Northwest Territories, Yukon.</v>
      </c>
      <c r="K1079" s="11">
        <v>0</v>
      </c>
    </row>
    <row r="1080" spans="5:11" x14ac:dyDescent="0.35">
      <c r="E1080" s="9" t="str">
        <v>EPSG</v>
      </c>
      <c r="F1080" s="7" t="str">
        <v>3158</v>
      </c>
      <c r="G1080" t="str">
        <v>ProjectedCrs</v>
      </c>
      <c r="H1080" t="str">
        <v>Transverse Mercator</v>
      </c>
      <c r="I1080" t="str">
        <v>NAD83(CSRS) / UTM zone 14N</v>
      </c>
      <c r="J1080" t="str">
        <v>Canada between 102°W and 96°W, onshore and offshore south of 84°N - Manitoba, Nunavut, Saskatchewan.</v>
      </c>
      <c r="K1080" s="11">
        <v>0</v>
      </c>
    </row>
    <row r="1081" spans="5:11" x14ac:dyDescent="0.35">
      <c r="E1081" s="9" t="str">
        <v>EPSG</v>
      </c>
      <c r="F1081" s="7" t="str">
        <v>3159</v>
      </c>
      <c r="G1081" t="str">
        <v>ProjectedCrs</v>
      </c>
      <c r="H1081" t="str">
        <v>Transverse Mercator</v>
      </c>
      <c r="I1081" t="str">
        <v>NAD83(CSRS) / UTM zone 15N</v>
      </c>
      <c r="J1081" t="str">
        <v>Canada between 96°W and 90°W, onshore and offshore south of 84°N - Manitoba, Nunavut, Ontario.</v>
      </c>
      <c r="K1081" s="11">
        <v>0</v>
      </c>
    </row>
    <row r="1082" spans="5:11" x14ac:dyDescent="0.35">
      <c r="E1082" s="9" t="str">
        <v>EPSG</v>
      </c>
      <c r="F1082" s="7" t="str">
        <v>3160</v>
      </c>
      <c r="G1082" t="str">
        <v>ProjectedCrs</v>
      </c>
      <c r="H1082" t="str">
        <v>Transverse Mercator</v>
      </c>
      <c r="I1082" t="str">
        <v>NAD83(CSRS) / UTM zone 16N</v>
      </c>
      <c r="J1082" t="str">
        <v>Canada between 90°W and 84°W, onshore and offshore south of 84°N - Manitoba, Nunavut, Ontario.</v>
      </c>
      <c r="K1082" s="11">
        <v>0</v>
      </c>
    </row>
    <row r="1083" spans="5:11" x14ac:dyDescent="0.35">
      <c r="E1083" s="9" t="str">
        <v>EPSG</v>
      </c>
      <c r="F1083" s="7" t="str">
        <v>3161</v>
      </c>
      <c r="G1083" t="str">
        <v>ProjectedCrs</v>
      </c>
      <c r="H1083" t="str">
        <v>Lambert Conic Conformal (2SP)</v>
      </c>
      <c r="I1083" t="str">
        <v>NAD83 / Ontario MNR Lambert</v>
      </c>
      <c r="J1083" t="str">
        <v>Canada - Ontario.</v>
      </c>
      <c r="K1083" s="11">
        <v>0</v>
      </c>
    </row>
    <row r="1084" spans="5:11" x14ac:dyDescent="0.35">
      <c r="E1084" s="9" t="str">
        <v>EPSG</v>
      </c>
      <c r="F1084" s="7" t="str">
        <v>3162</v>
      </c>
      <c r="G1084" t="str">
        <v>ProjectedCrs</v>
      </c>
      <c r="H1084" t="str">
        <v>Lambert Conic Conformal (2SP)</v>
      </c>
      <c r="I1084" t="str">
        <v>NAD83(CSRS) / Ontario MNR Lambert</v>
      </c>
      <c r="J1084" t="str">
        <v>Canada - Ontario.</v>
      </c>
      <c r="K1084" s="11">
        <v>0</v>
      </c>
    </row>
    <row r="1085" spans="5:11" x14ac:dyDescent="0.35">
      <c r="E1085" s="9" t="str">
        <v>EPSG</v>
      </c>
      <c r="F1085" s="7" t="str">
        <v>3163</v>
      </c>
      <c r="G1085" t="str">
        <v>ProjectedCrs</v>
      </c>
      <c r="H1085" t="str">
        <v>Lambert Conic Conformal (2SP)</v>
      </c>
      <c r="I1085" t="str">
        <v>RGNC91-93 / Lambert New Caledonia</v>
      </c>
      <c r="J1085" t="str">
        <v>New Caledonia - Belep, Grande Terre, Ile des Pins, Loyalty Islands (Lifou, Mare, Ouvea).</v>
      </c>
      <c r="K1085" s="11">
        <v>0</v>
      </c>
    </row>
    <row r="1086" spans="5:11" x14ac:dyDescent="0.35">
      <c r="E1086" s="9" t="str">
        <v>EPSG</v>
      </c>
      <c r="F1086" s="7" t="str">
        <v>3164</v>
      </c>
      <c r="G1086" t="str">
        <v>ProjectedCrs</v>
      </c>
      <c r="H1086" t="str">
        <v>Transverse Mercator</v>
      </c>
      <c r="I1086" t="str">
        <v>ST87 Ouvea / UTM zone 58S</v>
      </c>
      <c r="J1086" t="str">
        <v>New Caledonia - Loyalty Islands - Ouvea.</v>
      </c>
      <c r="K1086" s="11">
        <v>0</v>
      </c>
    </row>
    <row r="1087" spans="5:11" x14ac:dyDescent="0.35">
      <c r="E1087" s="9" t="str">
        <v>EPSG</v>
      </c>
      <c r="F1087" s="7" t="str">
        <v>3165</v>
      </c>
      <c r="G1087" t="str">
        <v>ProjectedCrs</v>
      </c>
      <c r="H1087" t="str">
        <v>Lambert Conic Conformal (2SP)</v>
      </c>
      <c r="I1087" t="str">
        <v>NEA74 Noumea / Noumea Lambert</v>
      </c>
      <c r="J1087" t="str">
        <v>New Caledonia - Grande Terre - Noumea district.</v>
      </c>
      <c r="K1087" s="11">
        <v>0</v>
      </c>
    </row>
    <row r="1088" spans="5:11" x14ac:dyDescent="0.35">
      <c r="E1088" s="9" t="str">
        <v>EPSG</v>
      </c>
      <c r="F1088" s="7" t="str">
        <v>3166</v>
      </c>
      <c r="G1088" t="str">
        <v>ProjectedCrs</v>
      </c>
      <c r="H1088" t="str">
        <v>Lambert Conic Conformal (2SP)</v>
      </c>
      <c r="I1088" t="str">
        <v>NEA74 Noumea / Noumea Lambert 2</v>
      </c>
      <c r="J1088" t="str">
        <v>New Caledonia - Grande Terre - Noumea district.</v>
      </c>
      <c r="K1088" s="11">
        <v>0</v>
      </c>
    </row>
    <row r="1089" spans="5:11" x14ac:dyDescent="0.35">
      <c r="E1089" s="9" t="str">
        <v>EPSG</v>
      </c>
      <c r="F1089" s="7" t="str">
        <v>3167</v>
      </c>
      <c r="G1089" t="str">
        <v>ProjectedCrs</v>
      </c>
      <c r="H1089" t="str">
        <v>Hotine Oblique Mercator (variant A)</v>
      </c>
      <c r="I1089" t="str">
        <v>Kertau (RSO) / RSO Malaya (ch)</v>
      </c>
      <c r="J1089" t="str">
        <v>Malaysia - West Malaysia onshore.</v>
      </c>
      <c r="K1089" s="11">
        <v>0</v>
      </c>
    </row>
    <row r="1090" spans="5:11" x14ac:dyDescent="0.35">
      <c r="E1090" s="9" t="str">
        <v>EPSG</v>
      </c>
      <c r="F1090" s="7" t="str">
        <v>3168</v>
      </c>
      <c r="G1090" t="str">
        <v>ProjectedCrs</v>
      </c>
      <c r="H1090" t="str">
        <v>Hotine Oblique Mercator (variant A)</v>
      </c>
      <c r="I1090" t="str">
        <v>Kertau (RSO) / RSO Malaya (m)</v>
      </c>
      <c r="J1090" t="str">
        <v>Malaysia - West Malaysia onshore.</v>
      </c>
      <c r="K1090" s="11">
        <v>0</v>
      </c>
    </row>
    <row r="1091" spans="5:11" x14ac:dyDescent="0.35">
      <c r="E1091" s="9" t="str">
        <v>EPSG</v>
      </c>
      <c r="F1091" s="7" t="str">
        <v>3169</v>
      </c>
      <c r="G1091" t="str">
        <v>ProjectedCrs</v>
      </c>
      <c r="H1091" t="str">
        <v>Transverse Mercator</v>
      </c>
      <c r="I1091" t="str">
        <v>RGNC91-93 / UTM zone 57S</v>
      </c>
      <c r="J1091" t="str">
        <v>New Caledonia - west of 162°E onshore and offshore.</v>
      </c>
      <c r="K1091" s="11">
        <v>0</v>
      </c>
    </row>
    <row r="1092" spans="5:11" x14ac:dyDescent="0.35">
      <c r="E1092" s="9" t="str">
        <v>EPSG</v>
      </c>
      <c r="F1092" s="7" t="str">
        <v>3170</v>
      </c>
      <c r="G1092" t="str">
        <v>ProjectedCrs</v>
      </c>
      <c r="H1092" t="str">
        <v>Transverse Mercator</v>
      </c>
      <c r="I1092" t="str">
        <v>RGNC91-93 / UTM zone 58S</v>
      </c>
      <c r="J1092" t="str">
        <v>New Caledonia - between 162°E and 168°E onshore and offshore.</v>
      </c>
      <c r="K1092" s="11">
        <v>0</v>
      </c>
    </row>
    <row r="1093" spans="5:11" x14ac:dyDescent="0.35">
      <c r="E1093" s="9" t="str">
        <v>EPSG</v>
      </c>
      <c r="F1093" s="7" t="str">
        <v>3171</v>
      </c>
      <c r="G1093" t="str">
        <v>ProjectedCrs</v>
      </c>
      <c r="H1093" t="str">
        <v>Transverse Mercator</v>
      </c>
      <c r="I1093" t="str">
        <v>RGNC91-93 / UTM zone 59S</v>
      </c>
      <c r="J1093" t="str">
        <v>New Caledonia - east of 168°E onshore and offshore.</v>
      </c>
      <c r="K1093" s="11">
        <v>0</v>
      </c>
    </row>
    <row r="1094" spans="5:11" x14ac:dyDescent="0.35">
      <c r="E1094" s="9" t="str">
        <v>EPSG</v>
      </c>
      <c r="F1094" s="7" t="str">
        <v>3172</v>
      </c>
      <c r="G1094" t="str">
        <v>ProjectedCrs</v>
      </c>
      <c r="H1094" t="str">
        <v>Transverse Mercator</v>
      </c>
      <c r="I1094" t="str">
        <v>IGN53 Mare / UTM zone 59S</v>
      </c>
      <c r="J1094" t="str">
        <v>New Caledonia - Loyalty Islands - Mare - east of 168°E.</v>
      </c>
      <c r="K1094" s="11">
        <v>0</v>
      </c>
    </row>
    <row r="1095" spans="5:11" x14ac:dyDescent="0.35">
      <c r="E1095" s="9" t="str">
        <v>EPSG</v>
      </c>
      <c r="F1095" s="7" t="str">
        <v>3173</v>
      </c>
      <c r="G1095" t="str">
        <v>ProjectedCrs</v>
      </c>
      <c r="H1095" t="str">
        <v>Lambert Conic Conformal (West Orientated)</v>
      </c>
      <c r="I1095" t="str">
        <v>fk89 / Faroe Lambert FK89</v>
      </c>
      <c r="J1095" t="str">
        <v>Faroe Islands - onshore.</v>
      </c>
      <c r="K1095" s="11">
        <v>0</v>
      </c>
    </row>
    <row r="1096" spans="5:11" x14ac:dyDescent="0.35">
      <c r="E1096" s="9" t="str">
        <v>EPSG</v>
      </c>
      <c r="F1096" s="7" t="str">
        <v>3174</v>
      </c>
      <c r="G1096" t="str">
        <v>ProjectedCrs</v>
      </c>
      <c r="H1096" t="str">
        <v>Albers Equal Area</v>
      </c>
      <c r="I1096" t="str">
        <v>NAD83 / Great Lakes Albers</v>
      </c>
      <c r="J1096" t="str">
        <v>Canada and United States (USA) - Great Lakes basin.</v>
      </c>
      <c r="K1096" s="11">
        <v>0</v>
      </c>
    </row>
    <row r="1097" spans="5:11" x14ac:dyDescent="0.35">
      <c r="E1097" s="9" t="str">
        <v>EPSG</v>
      </c>
      <c r="F1097" s="7" t="str">
        <v>3175</v>
      </c>
      <c r="G1097" t="str">
        <v>ProjectedCrs</v>
      </c>
      <c r="H1097" t="str">
        <v>Albers Equal Area</v>
      </c>
      <c r="I1097" t="str">
        <v>NAD83 / Great Lakes and St Lawrence Albers</v>
      </c>
      <c r="J1097" t="str">
        <v>Canada and United States (USA) - Great Lakes basin and St Lawrence Seaway.</v>
      </c>
      <c r="K1097" s="11">
        <v>0</v>
      </c>
    </row>
    <row r="1098" spans="5:11" x14ac:dyDescent="0.35">
      <c r="E1098" s="9" t="str">
        <v>EPSG</v>
      </c>
      <c r="F1098" s="7" t="str">
        <v>3176</v>
      </c>
      <c r="G1098" t="str">
        <v>ProjectedCrs</v>
      </c>
      <c r="H1098" t="str">
        <v>Transverse Mercator</v>
      </c>
      <c r="I1098" t="str">
        <v>Indian 1960 / TM 106 NE</v>
      </c>
      <c r="J1098" t="str">
        <v>Vietnam - offshore - Cuu Long basin and northwestern part of Nam Con Son basin.</v>
      </c>
      <c r="K1098" s="11">
        <v>0</v>
      </c>
    </row>
    <row r="1099" spans="5:11" x14ac:dyDescent="0.35">
      <c r="E1099" s="9" t="str">
        <v>EPSG</v>
      </c>
      <c r="F1099" s="7" t="str">
        <v>3177</v>
      </c>
      <c r="G1099" t="str">
        <v>ProjectedCrs</v>
      </c>
      <c r="H1099" t="str">
        <v>Transverse Mercator</v>
      </c>
      <c r="I1099" t="str">
        <v>LGD2006 / Libya TM</v>
      </c>
      <c r="J1099" t="str">
        <v>Libya - onshore and offshore.</v>
      </c>
      <c r="K1099" s="11">
        <v>0</v>
      </c>
    </row>
    <row r="1100" spans="5:11" x14ac:dyDescent="0.35">
      <c r="E1100" s="9" t="str">
        <v>EPSG</v>
      </c>
      <c r="F1100" s="7" t="str">
        <v>3178</v>
      </c>
      <c r="G1100" t="str">
        <v>ProjectedCrs</v>
      </c>
      <c r="H1100" t="str">
        <v>Transverse Mercator</v>
      </c>
      <c r="I1100" t="str">
        <v>GR96 / UTM zone 18N</v>
      </c>
      <c r="J1100" t="str">
        <v>Greenland - west of 72°W, onshore and offshore.</v>
      </c>
      <c r="K1100" s="11">
        <v>0</v>
      </c>
    </row>
    <row r="1101" spans="5:11" x14ac:dyDescent="0.35">
      <c r="E1101" s="9" t="str">
        <v>EPSG</v>
      </c>
      <c r="F1101" s="7" t="str">
        <v>3179</v>
      </c>
      <c r="G1101" t="str">
        <v>ProjectedCrs</v>
      </c>
      <c r="H1101" t="str">
        <v>Transverse Mercator</v>
      </c>
      <c r="I1101" t="str">
        <v>GR96 / UTM zone 19N</v>
      </c>
      <c r="J1101" t="str">
        <v>Greenland - between 72°W and 66°W, onshore and offshore.</v>
      </c>
      <c r="K1101" s="11">
        <v>0</v>
      </c>
    </row>
    <row r="1102" spans="5:11" x14ac:dyDescent="0.35">
      <c r="E1102" s="9" t="str">
        <v>EPSG</v>
      </c>
      <c r="F1102" s="7" t="str">
        <v>3180</v>
      </c>
      <c r="G1102" t="str">
        <v>ProjectedCrs</v>
      </c>
      <c r="H1102" t="str">
        <v>Transverse Mercator</v>
      </c>
      <c r="I1102" t="str">
        <v>GR96 / UTM zone 20N</v>
      </c>
      <c r="J1102" t="str">
        <v>Greenland - between 66°W and 60°W, onshore and offshore.</v>
      </c>
      <c r="K1102" s="11">
        <v>0</v>
      </c>
    </row>
    <row r="1103" spans="5:11" x14ac:dyDescent="0.35">
      <c r="E1103" s="9" t="str">
        <v>EPSG</v>
      </c>
      <c r="F1103" s="7" t="str">
        <v>3181</v>
      </c>
      <c r="G1103" t="str">
        <v>ProjectedCrs</v>
      </c>
      <c r="H1103" t="str">
        <v>Transverse Mercator</v>
      </c>
      <c r="I1103" t="str">
        <v>GR96 / UTM zone 21N</v>
      </c>
      <c r="J1103" t="str">
        <v>Greenland - between 60°W and 54°W, onshore and offshore south of 84°N.</v>
      </c>
      <c r="K1103" s="11">
        <v>0</v>
      </c>
    </row>
    <row r="1104" spans="5:11" x14ac:dyDescent="0.35">
      <c r="E1104" s="9" t="str">
        <v>EPSG</v>
      </c>
      <c r="F1104" s="7" t="str">
        <v>3182</v>
      </c>
      <c r="G1104" t="str">
        <v>ProjectedCrs</v>
      </c>
      <c r="H1104" t="str">
        <v>Transverse Mercator</v>
      </c>
      <c r="I1104" t="str">
        <v>GR96 / UTM zone 22N</v>
      </c>
      <c r="J1104" t="str">
        <v>Greenland - between 54°W and 48°W, onshore and offshore south of 84°N.</v>
      </c>
      <c r="K1104" s="11">
        <v>0</v>
      </c>
    </row>
    <row r="1105" spans="5:11" x14ac:dyDescent="0.35">
      <c r="E1105" s="9" t="str">
        <v>EPSG</v>
      </c>
      <c r="F1105" s="7" t="str">
        <v>3183</v>
      </c>
      <c r="G1105" t="str">
        <v>ProjectedCrs</v>
      </c>
      <c r="H1105" t="str">
        <v>Transverse Mercator</v>
      </c>
      <c r="I1105" t="str">
        <v>GR96 / UTM zone 23N</v>
      </c>
      <c r="J1105" t="str">
        <v>Greenland - between 48°W and 42°W, onshore and offshore south of 84°N.</v>
      </c>
      <c r="K1105" s="11">
        <v>0</v>
      </c>
    </row>
    <row r="1106" spans="5:11" x14ac:dyDescent="0.35">
      <c r="E1106" s="9" t="str">
        <v>EPSG</v>
      </c>
      <c r="F1106" s="7" t="str">
        <v>3184</v>
      </c>
      <c r="G1106" t="str">
        <v>ProjectedCrs</v>
      </c>
      <c r="H1106" t="str">
        <v>Transverse Mercator</v>
      </c>
      <c r="I1106" t="str">
        <v>GR96 / UTM zone 24N</v>
      </c>
      <c r="J1106" t="str">
        <v>Greenland - between 42°W and 36°W, onshore and offshore south of 84°N.</v>
      </c>
      <c r="K1106" s="11">
        <v>0</v>
      </c>
    </row>
    <row r="1107" spans="5:11" x14ac:dyDescent="0.35">
      <c r="E1107" s="9" t="str">
        <v>EPSG</v>
      </c>
      <c r="F1107" s="7" t="str">
        <v>3185</v>
      </c>
      <c r="G1107" t="str">
        <v>ProjectedCrs</v>
      </c>
      <c r="H1107" t="str">
        <v>Transverse Mercator</v>
      </c>
      <c r="I1107" t="str">
        <v>GR96 / UTM zone 25N</v>
      </c>
      <c r="J1107" t="str">
        <v>Greenland - between 36°W and 30°W, onshore and offshore south of 84°N.</v>
      </c>
      <c r="K1107" s="11">
        <v>0</v>
      </c>
    </row>
    <row r="1108" spans="5:11" x14ac:dyDescent="0.35">
      <c r="E1108" s="9" t="str">
        <v>EPSG</v>
      </c>
      <c r="F1108" s="7" t="str">
        <v>3186</v>
      </c>
      <c r="G1108" t="str">
        <v>ProjectedCrs</v>
      </c>
      <c r="H1108" t="str">
        <v>Transverse Mercator</v>
      </c>
      <c r="I1108" t="str">
        <v>GR96 / UTM zone 26N</v>
      </c>
      <c r="J1108" t="str">
        <v>Greenland - between 30°W and 24°W, onshore and offshore south of 84°N.</v>
      </c>
      <c r="K1108" s="11">
        <v>0</v>
      </c>
    </row>
    <row r="1109" spans="5:11" x14ac:dyDescent="0.35">
      <c r="E1109" s="9" t="str">
        <v>EPSG</v>
      </c>
      <c r="F1109" s="7" t="str">
        <v>3187</v>
      </c>
      <c r="G1109" t="str">
        <v>ProjectedCrs</v>
      </c>
      <c r="H1109" t="str">
        <v>Transverse Mercator</v>
      </c>
      <c r="I1109" t="str">
        <v>GR96 / UTM zone 27N</v>
      </c>
      <c r="J1109" t="str">
        <v>Greenland - between 24°W and 18°W, onshore and offshore south of 84°N.</v>
      </c>
      <c r="K1109" s="11">
        <v>0</v>
      </c>
    </row>
    <row r="1110" spans="5:11" x14ac:dyDescent="0.35">
      <c r="E1110" s="9" t="str">
        <v>EPSG</v>
      </c>
      <c r="F1110" s="7" t="str">
        <v>3188</v>
      </c>
      <c r="G1110" t="str">
        <v>ProjectedCrs</v>
      </c>
      <c r="H1110" t="str">
        <v>Transverse Mercator</v>
      </c>
      <c r="I1110" t="str">
        <v>GR96 / UTM zone 28N</v>
      </c>
      <c r="J1110" t="str">
        <v>Greenland - between 18°W and 12°W, onshore and offshore south of 84°N.</v>
      </c>
      <c r="K1110" s="11">
        <v>0</v>
      </c>
    </row>
    <row r="1111" spans="5:11" x14ac:dyDescent="0.35">
      <c r="E1111" s="9" t="str">
        <v>EPSG</v>
      </c>
      <c r="F1111" s="7" t="str">
        <v>3189</v>
      </c>
      <c r="G1111" t="str">
        <v>ProjectedCrs</v>
      </c>
      <c r="H1111" t="str">
        <v>Transverse Mercator</v>
      </c>
      <c r="I1111" t="str">
        <v>GR96 / UTM zone 29N</v>
      </c>
      <c r="J1111" t="str">
        <v>Greenland - 12°W to 6°W, onshore and offshore south of 84°N.</v>
      </c>
      <c r="K1111" s="11">
        <v>0</v>
      </c>
    </row>
    <row r="1112" spans="5:11" x14ac:dyDescent="0.35">
      <c r="E1112" s="9" t="str">
        <v>EPSG</v>
      </c>
      <c r="F1112" s="7" t="str">
        <v>3190</v>
      </c>
      <c r="G1112" t="str">
        <v>ProjectedCrs</v>
      </c>
      <c r="H1112" t="str">
        <v>Transverse Mercator</v>
      </c>
      <c r="I1112" t="str">
        <v>LGD2006 / Libya TM zone 5</v>
      </c>
      <c r="J1112" t="str">
        <v>Libya - west of 10°E.</v>
      </c>
      <c r="K1112" s="11">
        <v>0</v>
      </c>
    </row>
    <row r="1113" spans="5:11" x14ac:dyDescent="0.35">
      <c r="E1113" s="9" t="str">
        <v>EPSG</v>
      </c>
      <c r="F1113" s="7" t="str">
        <v>3191</v>
      </c>
      <c r="G1113" t="str">
        <v>ProjectedCrs</v>
      </c>
      <c r="H1113" t="str">
        <v>Transverse Mercator</v>
      </c>
      <c r="I1113" t="str">
        <v>LGD2006 / Libya TM zone 6</v>
      </c>
      <c r="J1113" t="str">
        <v>Libya - onshore between 10°E and 12°E.</v>
      </c>
      <c r="K1113" s="11">
        <v>0</v>
      </c>
    </row>
    <row r="1114" spans="5:11" x14ac:dyDescent="0.35">
      <c r="E1114" s="9" t="str">
        <v>EPSG</v>
      </c>
      <c r="F1114" s="7" t="str">
        <v>3192</v>
      </c>
      <c r="G1114" t="str">
        <v>ProjectedCrs</v>
      </c>
      <c r="H1114" t="str">
        <v>Transverse Mercator</v>
      </c>
      <c r="I1114" t="str">
        <v>LGD2006 / Libya TM zone 7</v>
      </c>
      <c r="J1114" t="str">
        <v>Libya - onshore between 12°E and 14°E.</v>
      </c>
      <c r="K1114" s="11">
        <v>0</v>
      </c>
    </row>
    <row r="1115" spans="5:11" x14ac:dyDescent="0.35">
      <c r="E1115" s="9" t="str">
        <v>EPSG</v>
      </c>
      <c r="F1115" s="7" t="str">
        <v>3193</v>
      </c>
      <c r="G1115" t="str">
        <v>ProjectedCrs</v>
      </c>
      <c r="H1115" t="str">
        <v>Transverse Mercator</v>
      </c>
      <c r="I1115" t="str">
        <v>LGD2006 / Libya TM zone 8</v>
      </c>
      <c r="J1115" t="str">
        <v>Libya - onshore between 14°E and 16°E.</v>
      </c>
      <c r="K1115" s="11">
        <v>0</v>
      </c>
    </row>
    <row r="1116" spans="5:11" x14ac:dyDescent="0.35">
      <c r="E1116" s="9" t="str">
        <v>EPSG</v>
      </c>
      <c r="F1116" s="7" t="str">
        <v>3194</v>
      </c>
      <c r="G1116" t="str">
        <v>ProjectedCrs</v>
      </c>
      <c r="H1116" t="str">
        <v>Transverse Mercator</v>
      </c>
      <c r="I1116" t="str">
        <v>LGD2006 / Libya TM zone 9</v>
      </c>
      <c r="J1116" t="str">
        <v>Libya - onshore between 16°E and 18°E.</v>
      </c>
      <c r="K1116" s="11">
        <v>0</v>
      </c>
    </row>
    <row r="1117" spans="5:11" x14ac:dyDescent="0.35">
      <c r="E1117" s="9" t="str">
        <v>EPSG</v>
      </c>
      <c r="F1117" s="7" t="str">
        <v>3195</v>
      </c>
      <c r="G1117" t="str">
        <v>ProjectedCrs</v>
      </c>
      <c r="H1117" t="str">
        <v>Transverse Mercator</v>
      </c>
      <c r="I1117" t="str">
        <v>LGD2006 / Libya TM zone 10</v>
      </c>
      <c r="J1117" t="str">
        <v>Libya - onshore between 18°E and 20°E.</v>
      </c>
      <c r="K1117" s="11">
        <v>0</v>
      </c>
    </row>
    <row r="1118" spans="5:11" x14ac:dyDescent="0.35">
      <c r="E1118" s="9" t="str">
        <v>EPSG</v>
      </c>
      <c r="F1118" s="7" t="str">
        <v>3196</v>
      </c>
      <c r="G1118" t="str">
        <v>ProjectedCrs</v>
      </c>
      <c r="H1118" t="str">
        <v>Transverse Mercator</v>
      </c>
      <c r="I1118" t="str">
        <v>LGD2006 / Libya TM zone 11</v>
      </c>
      <c r="J1118" t="str">
        <v>Libya - onshore between 20°E and 22°E.</v>
      </c>
      <c r="K1118" s="11">
        <v>0</v>
      </c>
    </row>
    <row r="1119" spans="5:11" x14ac:dyDescent="0.35">
      <c r="E1119" s="9" t="str">
        <v>EPSG</v>
      </c>
      <c r="F1119" s="7" t="str">
        <v>3197</v>
      </c>
      <c r="G1119" t="str">
        <v>ProjectedCrs</v>
      </c>
      <c r="H1119" t="str">
        <v>Transverse Mercator</v>
      </c>
      <c r="I1119" t="str">
        <v>LGD2006 / Libya TM zone 12</v>
      </c>
      <c r="J1119" t="str">
        <v>Libya - onshore between 22°E and 24°E.</v>
      </c>
      <c r="K1119" s="11">
        <v>0</v>
      </c>
    </row>
    <row r="1120" spans="5:11" x14ac:dyDescent="0.35">
      <c r="E1120" s="9" t="str">
        <v>EPSG</v>
      </c>
      <c r="F1120" s="7" t="str">
        <v>3198</v>
      </c>
      <c r="G1120" t="str">
        <v>ProjectedCrs</v>
      </c>
      <c r="H1120" t="str">
        <v>Transverse Mercator</v>
      </c>
      <c r="I1120" t="str">
        <v>LGD2006 / Libya TM zone 13</v>
      </c>
      <c r="J1120" t="str">
        <v>Libya - onshore east of 24°E.</v>
      </c>
      <c r="K1120" s="11">
        <v>0</v>
      </c>
    </row>
    <row r="1121" spans="5:11" x14ac:dyDescent="0.35">
      <c r="E1121" s="9" t="str">
        <v>EPSG</v>
      </c>
      <c r="F1121" s="7" t="str">
        <v>3199</v>
      </c>
      <c r="G1121" t="str">
        <v>ProjectedCrs</v>
      </c>
      <c r="H1121" t="str">
        <v>Transverse Mercator</v>
      </c>
      <c r="I1121" t="str">
        <v>LGD2006 / UTM zone 32N</v>
      </c>
      <c r="J1121" t="str">
        <v>Libya - west of 12°E, onshore and offshore.</v>
      </c>
      <c r="K1121" s="11">
        <v>0</v>
      </c>
    </row>
    <row r="1122" spans="5:11" x14ac:dyDescent="0.35">
      <c r="E1122" s="9" t="str">
        <v>EPSG</v>
      </c>
      <c r="F1122" s="7" t="str">
        <v>3200</v>
      </c>
      <c r="G1122" t="str">
        <v>ProjectedCrs</v>
      </c>
      <c r="H1122" t="str">
        <v>Lambert Conic Conformal (1SP)</v>
      </c>
      <c r="I1122" t="str">
        <v>FD58 / Iraq zone</v>
      </c>
      <c r="J1122" t="str">
        <v>Iran - Arwaz area and onshore Gulf coast west of 54°E, Lavan Island, offshore Balal field and South Pars blocks 2 and 3.</v>
      </c>
      <c r="K1122" s="11">
        <v>0</v>
      </c>
    </row>
    <row r="1123" spans="5:11" x14ac:dyDescent="0.35">
      <c r="E1123" s="9" t="str">
        <v>EPSG</v>
      </c>
      <c r="F1123" s="7" t="str">
        <v>3201</v>
      </c>
      <c r="G1123" t="str">
        <v>ProjectedCrs</v>
      </c>
      <c r="H1123" t="str">
        <v>Transverse Mercator</v>
      </c>
      <c r="I1123" t="str">
        <v>LGD2006 / UTM zone 33N</v>
      </c>
      <c r="J1123" t="str">
        <v>Libya - between 12°E and 18°E, onshore and offshore.</v>
      </c>
      <c r="K1123" s="11">
        <v>0</v>
      </c>
    </row>
    <row r="1124" spans="5:11" x14ac:dyDescent="0.35">
      <c r="E1124" s="9" t="str">
        <v>EPSG</v>
      </c>
      <c r="F1124" s="7" t="str">
        <v>3202</v>
      </c>
      <c r="G1124" t="str">
        <v>ProjectedCrs</v>
      </c>
      <c r="H1124" t="str">
        <v>Transverse Mercator</v>
      </c>
      <c r="I1124" t="str">
        <v>LGD2006 / UTM zone 34N</v>
      </c>
      <c r="J1124" t="str">
        <v>Libya - between 18°E and 24°E, onshore and offshore.</v>
      </c>
      <c r="K1124" s="11">
        <v>0</v>
      </c>
    </row>
    <row r="1125" spans="5:11" x14ac:dyDescent="0.35">
      <c r="E1125" s="9" t="str">
        <v>EPSG</v>
      </c>
      <c r="F1125" s="7" t="str">
        <v>3203</v>
      </c>
      <c r="G1125" t="str">
        <v>ProjectedCrs</v>
      </c>
      <c r="H1125" t="str">
        <v>Transverse Mercator</v>
      </c>
      <c r="I1125" t="str">
        <v>LGD2006 / UTM zone 35N</v>
      </c>
      <c r="J1125" t="str">
        <v>Libya - east of 24°E, onshore and offshore.</v>
      </c>
      <c r="K1125" s="11">
        <v>0</v>
      </c>
    </row>
    <row r="1126" spans="5:11" x14ac:dyDescent="0.35">
      <c r="E1126" s="9" t="str">
        <v>EPSG</v>
      </c>
      <c r="F1126" s="7" t="str">
        <v>3204</v>
      </c>
      <c r="G1126" t="str">
        <v>ProjectedCrs</v>
      </c>
      <c r="H1126" t="str">
        <v>Lambert Conic Conformal (2SP)</v>
      </c>
      <c r="I1126" t="str">
        <v>WGS 84 / SCAR IMW SP19-20</v>
      </c>
      <c r="J1126" t="str">
        <v>Antarctica - 60°S to 64°S and 72°W to 60°W.</v>
      </c>
      <c r="K1126" s="11">
        <v>0</v>
      </c>
    </row>
    <row r="1127" spans="5:11" x14ac:dyDescent="0.35">
      <c r="E1127" s="9" t="str">
        <v>EPSG</v>
      </c>
      <c r="F1127" s="7" t="str">
        <v>3205</v>
      </c>
      <c r="G1127" t="str">
        <v>ProjectedCrs</v>
      </c>
      <c r="H1127" t="str">
        <v>Lambert Conic Conformal (2SP)</v>
      </c>
      <c r="I1127" t="str">
        <v>WGS 84 / SCAR IMW SP21-22</v>
      </c>
      <c r="J1127" t="str">
        <v>Antarctica - 60°S to 64°S and 60°W to 48°W.</v>
      </c>
      <c r="K1127" s="11">
        <v>0</v>
      </c>
    </row>
    <row r="1128" spans="5:11" x14ac:dyDescent="0.35">
      <c r="E1128" s="9" t="str">
        <v>EPSG</v>
      </c>
      <c r="F1128" s="7" t="str">
        <v>3206</v>
      </c>
      <c r="G1128" t="str">
        <v>ProjectedCrs</v>
      </c>
      <c r="H1128" t="str">
        <v>Lambert Conic Conformal (2SP)</v>
      </c>
      <c r="I1128" t="str">
        <v>WGS 84 / SCAR IMW SP23-24</v>
      </c>
      <c r="J1128" t="str">
        <v>Antarctica - 60°S to 64°S and 48°W to 36°W.</v>
      </c>
      <c r="K1128" s="11">
        <v>0</v>
      </c>
    </row>
    <row r="1129" spans="5:11" x14ac:dyDescent="0.35">
      <c r="E1129" s="9" t="str">
        <v>EPSG</v>
      </c>
      <c r="F1129" s="7" t="str">
        <v>3207</v>
      </c>
      <c r="G1129" t="str">
        <v>ProjectedCrs</v>
      </c>
      <c r="H1129" t="str">
        <v>Lambert Conic Conformal (2SP)</v>
      </c>
      <c r="I1129" t="str">
        <v>WGS 84 / SCAR IMW SQ01-02</v>
      </c>
      <c r="J1129" t="str">
        <v>Antarctica - 64°S to 68°S and 180°W to 168°W.</v>
      </c>
      <c r="K1129" s="11">
        <v>0</v>
      </c>
    </row>
    <row r="1130" spans="5:11" x14ac:dyDescent="0.35">
      <c r="E1130" s="9" t="str">
        <v>EPSG</v>
      </c>
      <c r="F1130" s="7" t="str">
        <v>3208</v>
      </c>
      <c r="G1130" t="str">
        <v>ProjectedCrs</v>
      </c>
      <c r="H1130" t="str">
        <v>Lambert Conic Conformal (2SP)</v>
      </c>
      <c r="I1130" t="str">
        <v>WGS 84 / SCAR IMW SQ19-20</v>
      </c>
      <c r="J1130" t="str">
        <v>Antarctica - 64°S to 68°S and 72°W to 60°W.</v>
      </c>
      <c r="K1130" s="11">
        <v>0</v>
      </c>
    </row>
    <row r="1131" spans="5:11" x14ac:dyDescent="0.35">
      <c r="E1131" s="9" t="str">
        <v>EPSG</v>
      </c>
      <c r="F1131" s="7" t="str">
        <v>3209</v>
      </c>
      <c r="G1131" t="str">
        <v>ProjectedCrs</v>
      </c>
      <c r="H1131" t="str">
        <v>Lambert Conic Conformal (2SP)</v>
      </c>
      <c r="I1131" t="str">
        <v>WGS 84 / SCAR IMW SQ21-22</v>
      </c>
      <c r="J1131" t="str">
        <v>Antarctica - 64°S to 68°S and 60°W to 48°W.</v>
      </c>
      <c r="K1131" s="11">
        <v>0</v>
      </c>
    </row>
    <row r="1132" spans="5:11" x14ac:dyDescent="0.35">
      <c r="E1132" s="9" t="str">
        <v>EPSG</v>
      </c>
      <c r="F1132" s="7" t="str">
        <v>3210</v>
      </c>
      <c r="G1132" t="str">
        <v>ProjectedCrs</v>
      </c>
      <c r="H1132" t="str">
        <v>Lambert Conic Conformal (2SP)</v>
      </c>
      <c r="I1132" t="str">
        <v>WGS 84 / SCAR IMW SQ37-38</v>
      </c>
      <c r="J1132" t="str">
        <v>Antarctica - 64°S to 68°S and 36°E to 48°E.</v>
      </c>
      <c r="K1132" s="11">
        <v>0</v>
      </c>
    </row>
    <row r="1133" spans="5:11" x14ac:dyDescent="0.35">
      <c r="E1133" s="9" t="str">
        <v>EPSG</v>
      </c>
      <c r="F1133" s="7" t="str">
        <v>3211</v>
      </c>
      <c r="G1133" t="str">
        <v>ProjectedCrs</v>
      </c>
      <c r="H1133" t="str">
        <v>Lambert Conic Conformal (2SP)</v>
      </c>
      <c r="I1133" t="str">
        <v>WGS 84 / SCAR IMW SQ39-40</v>
      </c>
      <c r="J1133" t="str">
        <v>Antarctica - 64°S to 68°S and 48°E to 60°E.</v>
      </c>
      <c r="K1133" s="11">
        <v>0</v>
      </c>
    </row>
    <row r="1134" spans="5:11" x14ac:dyDescent="0.35">
      <c r="E1134" s="9" t="str">
        <v>EPSG</v>
      </c>
      <c r="F1134" s="7" t="str">
        <v>3212</v>
      </c>
      <c r="G1134" t="str">
        <v>ProjectedCrs</v>
      </c>
      <c r="H1134" t="str">
        <v>Lambert Conic Conformal (2SP)</v>
      </c>
      <c r="I1134" t="str">
        <v>WGS 84 / SCAR IMW SQ41-42</v>
      </c>
      <c r="J1134" t="str">
        <v>Antarctica - 64°S to 68°S and 60°E to 72°E.</v>
      </c>
      <c r="K1134" s="11">
        <v>0</v>
      </c>
    </row>
    <row r="1135" spans="5:11" x14ac:dyDescent="0.35">
      <c r="E1135" s="9" t="str">
        <v>EPSG</v>
      </c>
      <c r="F1135" s="7" t="str">
        <v>3213</v>
      </c>
      <c r="G1135" t="str">
        <v>ProjectedCrs</v>
      </c>
      <c r="H1135" t="str">
        <v>Lambert Conic Conformal (2SP)</v>
      </c>
      <c r="I1135" t="str">
        <v>WGS 84 / SCAR IMW SQ43-44</v>
      </c>
      <c r="J1135" t="str">
        <v>Antarctica - 64°S to 68°S and 72°E to 84°E.</v>
      </c>
      <c r="K1135" s="11">
        <v>0</v>
      </c>
    </row>
    <row r="1136" spans="5:11" x14ac:dyDescent="0.35">
      <c r="E1136" s="9" t="str">
        <v>EPSG</v>
      </c>
      <c r="F1136" s="7" t="str">
        <v>3214</v>
      </c>
      <c r="G1136" t="str">
        <v>ProjectedCrs</v>
      </c>
      <c r="H1136" t="str">
        <v>Lambert Conic Conformal (2SP)</v>
      </c>
      <c r="I1136" t="str">
        <v>WGS 84 / SCAR IMW SQ45-46</v>
      </c>
      <c r="J1136" t="str">
        <v>Antarctica - 64°S to 68°S and 84°E to 96°E.</v>
      </c>
      <c r="K1136" s="11">
        <v>0</v>
      </c>
    </row>
    <row r="1137" spans="5:11" x14ac:dyDescent="0.35">
      <c r="E1137" s="9" t="str">
        <v>EPSG</v>
      </c>
      <c r="F1137" s="7" t="str">
        <v>3215</v>
      </c>
      <c r="G1137" t="str">
        <v>ProjectedCrs</v>
      </c>
      <c r="H1137" t="str">
        <v>Lambert Conic Conformal (2SP)</v>
      </c>
      <c r="I1137" t="str">
        <v>WGS 84 / SCAR IMW SQ47-48</v>
      </c>
      <c r="J1137" t="str">
        <v>Antarctica - 64°S to 68°S and 96°E to 108°E.</v>
      </c>
      <c r="K1137" s="11">
        <v>0</v>
      </c>
    </row>
    <row r="1138" spans="5:11" x14ac:dyDescent="0.35">
      <c r="E1138" s="9" t="str">
        <v>EPSG</v>
      </c>
      <c r="F1138" s="7" t="str">
        <v>3216</v>
      </c>
      <c r="G1138" t="str">
        <v>ProjectedCrs</v>
      </c>
      <c r="H1138" t="str">
        <v>Lambert Conic Conformal (2SP)</v>
      </c>
      <c r="I1138" t="str">
        <v>WGS 84 / SCAR IMW SQ49-50</v>
      </c>
      <c r="J1138" t="str">
        <v>Antarctica - 64°S to 68°S and 108°E to 120°E.</v>
      </c>
      <c r="K1138" s="11">
        <v>0</v>
      </c>
    </row>
    <row r="1139" spans="5:11" x14ac:dyDescent="0.35">
      <c r="E1139" s="9" t="str">
        <v>EPSG</v>
      </c>
      <c r="F1139" s="7" t="str">
        <v>3217</v>
      </c>
      <c r="G1139" t="str">
        <v>ProjectedCrs</v>
      </c>
      <c r="H1139" t="str">
        <v>Lambert Conic Conformal (2SP)</v>
      </c>
      <c r="I1139" t="str">
        <v>WGS 84 / SCAR IMW SQ51-52</v>
      </c>
      <c r="J1139" t="str">
        <v>Antarctica - 64°S to 68°S and 120°E to 132°E.</v>
      </c>
      <c r="K1139" s="11">
        <v>0</v>
      </c>
    </row>
    <row r="1140" spans="5:11" x14ac:dyDescent="0.35">
      <c r="E1140" s="9" t="str">
        <v>EPSG</v>
      </c>
      <c r="F1140" s="7" t="str">
        <v>3218</v>
      </c>
      <c r="G1140" t="str">
        <v>ProjectedCrs</v>
      </c>
      <c r="H1140" t="str">
        <v>Lambert Conic Conformal (2SP)</v>
      </c>
      <c r="I1140" t="str">
        <v>WGS 84 / SCAR IMW SQ53-54</v>
      </c>
      <c r="J1140" t="str">
        <v>Antarctica - 64°S to 68°S and 132°E to 144°E.</v>
      </c>
      <c r="K1140" s="11">
        <v>0</v>
      </c>
    </row>
    <row r="1141" spans="5:11" x14ac:dyDescent="0.35">
      <c r="E1141" s="9" t="str">
        <v>EPSG</v>
      </c>
      <c r="F1141" s="7" t="str">
        <v>3219</v>
      </c>
      <c r="G1141" t="str">
        <v>ProjectedCrs</v>
      </c>
      <c r="H1141" t="str">
        <v>Lambert Conic Conformal (2SP)</v>
      </c>
      <c r="I1141" t="str">
        <v>WGS 84 / SCAR IMW SQ55-56</v>
      </c>
      <c r="J1141" t="str">
        <v>Antarctica - 64°S to 68°S and 144°E to 156°E.</v>
      </c>
      <c r="K1141" s="11">
        <v>0</v>
      </c>
    </row>
    <row r="1142" spans="5:11" x14ac:dyDescent="0.35">
      <c r="E1142" s="9" t="str">
        <v>EPSG</v>
      </c>
      <c r="F1142" s="7" t="str">
        <v>3220</v>
      </c>
      <c r="G1142" t="str">
        <v>ProjectedCrs</v>
      </c>
      <c r="H1142" t="str">
        <v>Lambert Conic Conformal (2SP)</v>
      </c>
      <c r="I1142" t="str">
        <v>WGS 84 / SCAR IMW SQ57-58</v>
      </c>
      <c r="J1142" t="str">
        <v>Antarctica - 64°S to 68°S and 156°E to 168°E.</v>
      </c>
      <c r="K1142" s="11">
        <v>0</v>
      </c>
    </row>
    <row r="1143" spans="5:11" x14ac:dyDescent="0.35">
      <c r="E1143" s="9" t="str">
        <v>EPSG</v>
      </c>
      <c r="F1143" s="7" t="str">
        <v>3221</v>
      </c>
      <c r="G1143" t="str">
        <v>ProjectedCrs</v>
      </c>
      <c r="H1143" t="str">
        <v>Lambert Conic Conformal (2SP)</v>
      </c>
      <c r="I1143" t="str">
        <v>WGS 84 / SCAR IMW SR13-14</v>
      </c>
      <c r="J1143" t="str">
        <v>Antarctica - 68°S to 72°S and 108°W to 96°W.</v>
      </c>
      <c r="K1143" s="11">
        <v>0</v>
      </c>
    </row>
    <row r="1144" spans="5:11" x14ac:dyDescent="0.35">
      <c r="E1144" s="9" t="str">
        <v>EPSG</v>
      </c>
      <c r="F1144" s="7" t="str">
        <v>3222</v>
      </c>
      <c r="G1144" t="str">
        <v>ProjectedCrs</v>
      </c>
      <c r="H1144" t="str">
        <v>Lambert Conic Conformal (2SP)</v>
      </c>
      <c r="I1144" t="str">
        <v>WGS 84 / SCAR IMW SR15-16</v>
      </c>
      <c r="J1144" t="str">
        <v>Antarctica - 68°S to 72°S and 96°W to 84°W.</v>
      </c>
      <c r="K1144" s="11">
        <v>0</v>
      </c>
    </row>
    <row r="1145" spans="5:11" x14ac:dyDescent="0.35">
      <c r="E1145" s="9" t="str">
        <v>EPSG</v>
      </c>
      <c r="F1145" s="7" t="str">
        <v>3223</v>
      </c>
      <c r="G1145" t="str">
        <v>ProjectedCrs</v>
      </c>
      <c r="H1145" t="str">
        <v>Lambert Conic Conformal (2SP)</v>
      </c>
      <c r="I1145" t="str">
        <v>WGS 84 / SCAR IMW SR17-18</v>
      </c>
      <c r="J1145" t="str">
        <v>Antarctica - 68°S to 72°S and 84°W to 72°W.</v>
      </c>
      <c r="K1145" s="11">
        <v>0</v>
      </c>
    </row>
    <row r="1146" spans="5:11" x14ac:dyDescent="0.35">
      <c r="E1146" s="9" t="str">
        <v>EPSG</v>
      </c>
      <c r="F1146" s="7" t="str">
        <v>3224</v>
      </c>
      <c r="G1146" t="str">
        <v>ProjectedCrs</v>
      </c>
      <c r="H1146" t="str">
        <v>Lambert Conic Conformal (2SP)</v>
      </c>
      <c r="I1146" t="str">
        <v>WGS 84 / SCAR IMW SR19-20</v>
      </c>
      <c r="J1146" t="str">
        <v>Antarctica - 68°S to 72°S and 72°W to 60°W.</v>
      </c>
      <c r="K1146" s="11">
        <v>0</v>
      </c>
    </row>
    <row r="1147" spans="5:11" x14ac:dyDescent="0.35">
      <c r="E1147" s="9" t="str">
        <v>EPSG</v>
      </c>
      <c r="F1147" s="7" t="str">
        <v>3225</v>
      </c>
      <c r="G1147" t="str">
        <v>ProjectedCrs</v>
      </c>
      <c r="H1147" t="str">
        <v>Lambert Conic Conformal (2SP)</v>
      </c>
      <c r="I1147" t="str">
        <v>WGS 84 / SCAR IMW SR27-28</v>
      </c>
      <c r="J1147" t="str">
        <v>Antarctica - 68°S to 72°S and 24°W to 12°W.</v>
      </c>
      <c r="K1147" s="11">
        <v>0</v>
      </c>
    </row>
    <row r="1148" spans="5:11" x14ac:dyDescent="0.35">
      <c r="E1148" s="9" t="str">
        <v>EPSG</v>
      </c>
      <c r="F1148" s="7" t="str">
        <v>3226</v>
      </c>
      <c r="G1148" t="str">
        <v>ProjectedCrs</v>
      </c>
      <c r="H1148" t="str">
        <v>Lambert Conic Conformal (2SP)</v>
      </c>
      <c r="I1148" t="str">
        <v>WGS 84 / SCAR IMW SR29-30</v>
      </c>
      <c r="J1148" t="str">
        <v>Antarctica - 68°S to 72°S and 12°W to 0°W.</v>
      </c>
      <c r="K1148" s="11">
        <v>0</v>
      </c>
    </row>
    <row r="1149" spans="5:11" x14ac:dyDescent="0.35">
      <c r="E1149" s="9" t="str">
        <v>EPSG</v>
      </c>
      <c r="F1149" s="7" t="str">
        <v>3227</v>
      </c>
      <c r="G1149" t="str">
        <v>ProjectedCrs</v>
      </c>
      <c r="H1149" t="str">
        <v>Lambert Conic Conformal (2SP)</v>
      </c>
      <c r="I1149" t="str">
        <v>WGS 84 / SCAR IMW SR31-32</v>
      </c>
      <c r="J1149" t="str">
        <v>Antarctica - 68°S to 72°S and 0°E to 12°E.</v>
      </c>
      <c r="K1149" s="11">
        <v>0</v>
      </c>
    </row>
    <row r="1150" spans="5:11" x14ac:dyDescent="0.35">
      <c r="E1150" s="9" t="str">
        <v>EPSG</v>
      </c>
      <c r="F1150" s="7" t="str">
        <v>3228</v>
      </c>
      <c r="G1150" t="str">
        <v>ProjectedCrs</v>
      </c>
      <c r="H1150" t="str">
        <v>Lambert Conic Conformal (2SP)</v>
      </c>
      <c r="I1150" t="str">
        <v>WGS 84 / SCAR IMW SR33-34</v>
      </c>
      <c r="J1150" t="str">
        <v>Antarctica - 68°S to 72°S and 12°E to 24°E.</v>
      </c>
      <c r="K1150" s="11">
        <v>0</v>
      </c>
    </row>
    <row r="1151" spans="5:11" x14ac:dyDescent="0.35">
      <c r="E1151" s="9" t="str">
        <v>EPSG</v>
      </c>
      <c r="F1151" s="7" t="str">
        <v>3229</v>
      </c>
      <c r="G1151" t="str">
        <v>ProjectedCrs</v>
      </c>
      <c r="H1151" t="str">
        <v>Lambert Conic Conformal (2SP)</v>
      </c>
      <c r="I1151" t="str">
        <v>WGS 84 / SCAR IMW SR35-36</v>
      </c>
      <c r="J1151" t="str">
        <v>Antarctica - 68°S to 72°S and 24°E to 36°E.</v>
      </c>
      <c r="K1151" s="11">
        <v>0</v>
      </c>
    </row>
    <row r="1152" spans="5:11" x14ac:dyDescent="0.35">
      <c r="E1152" s="9" t="str">
        <v>EPSG</v>
      </c>
      <c r="F1152" s="7" t="str">
        <v>3230</v>
      </c>
      <c r="G1152" t="str">
        <v>ProjectedCrs</v>
      </c>
      <c r="H1152" t="str">
        <v>Lambert Conic Conformal (2SP)</v>
      </c>
      <c r="I1152" t="str">
        <v>WGS 84 / SCAR IMW SR37-38</v>
      </c>
      <c r="J1152" t="str">
        <v>Antarctica - 68°S to 72°S and 36°E to 48°E.</v>
      </c>
      <c r="K1152" s="11">
        <v>0</v>
      </c>
    </row>
    <row r="1153" spans="5:11" x14ac:dyDescent="0.35">
      <c r="E1153" s="9" t="str">
        <v>EPSG</v>
      </c>
      <c r="F1153" s="7" t="str">
        <v>3231</v>
      </c>
      <c r="G1153" t="str">
        <v>ProjectedCrs</v>
      </c>
      <c r="H1153" t="str">
        <v>Lambert Conic Conformal (2SP)</v>
      </c>
      <c r="I1153" t="str">
        <v>WGS 84 / SCAR IMW SR39-40</v>
      </c>
      <c r="J1153" t="str">
        <v>Antarctica - 68°S to 72°S and 48°E to 60°E.</v>
      </c>
      <c r="K1153" s="11">
        <v>0</v>
      </c>
    </row>
    <row r="1154" spans="5:11" x14ac:dyDescent="0.35">
      <c r="E1154" s="9" t="str">
        <v>EPSG</v>
      </c>
      <c r="F1154" s="7" t="str">
        <v>3232</v>
      </c>
      <c r="G1154" t="str">
        <v>ProjectedCrs</v>
      </c>
      <c r="H1154" t="str">
        <v>Lambert Conic Conformal (2SP)</v>
      </c>
      <c r="I1154" t="str">
        <v>WGS 84 / SCAR IMW SR41-42</v>
      </c>
      <c r="J1154" t="str">
        <v>Antarctica - 68°S to 72°S and 60°E to 72°E.</v>
      </c>
      <c r="K1154" s="11">
        <v>0</v>
      </c>
    </row>
    <row r="1155" spans="5:11" x14ac:dyDescent="0.35">
      <c r="E1155" s="9" t="str">
        <v>EPSG</v>
      </c>
      <c r="F1155" s="7" t="str">
        <v>3233</v>
      </c>
      <c r="G1155" t="str">
        <v>ProjectedCrs</v>
      </c>
      <c r="H1155" t="str">
        <v>Lambert Conic Conformal (2SP)</v>
      </c>
      <c r="I1155" t="str">
        <v>WGS 84 / SCAR IMW SR43-44</v>
      </c>
      <c r="J1155" t="str">
        <v>Antarctica - 68°S to 72°S and 72°E to 84°E.</v>
      </c>
      <c r="K1155" s="11">
        <v>0</v>
      </c>
    </row>
    <row r="1156" spans="5:11" x14ac:dyDescent="0.35">
      <c r="E1156" s="9" t="str">
        <v>EPSG</v>
      </c>
      <c r="F1156" s="7" t="str">
        <v>3234</v>
      </c>
      <c r="G1156" t="str">
        <v>ProjectedCrs</v>
      </c>
      <c r="H1156" t="str">
        <v>Lambert Conic Conformal (2SP)</v>
      </c>
      <c r="I1156" t="str">
        <v>WGS 84 / SCAR IMW SR45-46</v>
      </c>
      <c r="J1156" t="str">
        <v>Antarctica - 68°S to 72°S and 84°E to 96°E.</v>
      </c>
      <c r="K1156" s="11">
        <v>0</v>
      </c>
    </row>
    <row r="1157" spans="5:11" x14ac:dyDescent="0.35">
      <c r="E1157" s="9" t="str">
        <v>EPSG</v>
      </c>
      <c r="F1157" s="7" t="str">
        <v>3235</v>
      </c>
      <c r="G1157" t="str">
        <v>ProjectedCrs</v>
      </c>
      <c r="H1157" t="str">
        <v>Lambert Conic Conformal (2SP)</v>
      </c>
      <c r="I1157" t="str">
        <v>WGS 84 / SCAR IMW SR47-48</v>
      </c>
      <c r="J1157" t="str">
        <v>Antarctica - 68°S to 72°S and 96°E to 108°E.</v>
      </c>
      <c r="K1157" s="11">
        <v>0</v>
      </c>
    </row>
    <row r="1158" spans="5:11" x14ac:dyDescent="0.35">
      <c r="E1158" s="9" t="str">
        <v>EPSG</v>
      </c>
      <c r="F1158" s="7" t="str">
        <v>3236</v>
      </c>
      <c r="G1158" t="str">
        <v>ProjectedCrs</v>
      </c>
      <c r="H1158" t="str">
        <v>Lambert Conic Conformal (2SP)</v>
      </c>
      <c r="I1158" t="str">
        <v>WGS 84 / SCAR IMW SR49-50</v>
      </c>
      <c r="J1158" t="str">
        <v>Antarctica - 68°S to 72°S and 108°E to 120°E.</v>
      </c>
      <c r="K1158" s="11">
        <v>0</v>
      </c>
    </row>
    <row r="1159" spans="5:11" x14ac:dyDescent="0.35">
      <c r="E1159" s="9" t="str">
        <v>EPSG</v>
      </c>
      <c r="F1159" s="7" t="str">
        <v>3237</v>
      </c>
      <c r="G1159" t="str">
        <v>ProjectedCrs</v>
      </c>
      <c r="H1159" t="str">
        <v>Lambert Conic Conformal (2SP)</v>
      </c>
      <c r="I1159" t="str">
        <v>WGS 84 / SCAR IMW SR51-52</v>
      </c>
      <c r="J1159" t="str">
        <v>Antarctica - 68°S to 72°S and 120°E to 132°E.</v>
      </c>
      <c r="K1159" s="11">
        <v>0</v>
      </c>
    </row>
    <row r="1160" spans="5:11" x14ac:dyDescent="0.35">
      <c r="E1160" s="9" t="str">
        <v>EPSG</v>
      </c>
      <c r="F1160" s="7" t="str">
        <v>3238</v>
      </c>
      <c r="G1160" t="str">
        <v>ProjectedCrs</v>
      </c>
      <c r="H1160" t="str">
        <v>Lambert Conic Conformal (2SP)</v>
      </c>
      <c r="I1160" t="str">
        <v>WGS 84 / SCAR IMW SR53-54</v>
      </c>
      <c r="J1160" t="str">
        <v>Antarctica - 68°S to 72°S and 132°E to 144°E.</v>
      </c>
      <c r="K1160" s="11">
        <v>0</v>
      </c>
    </row>
    <row r="1161" spans="5:11" x14ac:dyDescent="0.35">
      <c r="E1161" s="9" t="str">
        <v>EPSG</v>
      </c>
      <c r="F1161" s="7" t="str">
        <v>3239</v>
      </c>
      <c r="G1161" t="str">
        <v>ProjectedCrs</v>
      </c>
      <c r="H1161" t="str">
        <v>Lambert Conic Conformal (2SP)</v>
      </c>
      <c r="I1161" t="str">
        <v>WGS 84 / SCAR IMW SR55-56</v>
      </c>
      <c r="J1161" t="str">
        <v>Antarctica - 68°S to 72°S and 144°E to 156°E.</v>
      </c>
      <c r="K1161" s="11">
        <v>0</v>
      </c>
    </row>
    <row r="1162" spans="5:11" x14ac:dyDescent="0.35">
      <c r="E1162" s="9" t="str">
        <v>EPSG</v>
      </c>
      <c r="F1162" s="7" t="str">
        <v>3240</v>
      </c>
      <c r="G1162" t="str">
        <v>ProjectedCrs</v>
      </c>
      <c r="H1162" t="str">
        <v>Lambert Conic Conformal (2SP)</v>
      </c>
      <c r="I1162" t="str">
        <v>WGS 84 / SCAR IMW SR57-58</v>
      </c>
      <c r="J1162" t="str">
        <v>Antarctica - 68°S to 72°S and 156°E to 168°E.</v>
      </c>
      <c r="K1162" s="11">
        <v>0</v>
      </c>
    </row>
    <row r="1163" spans="5:11" x14ac:dyDescent="0.35">
      <c r="E1163" s="9" t="str">
        <v>EPSG</v>
      </c>
      <c r="F1163" s="7" t="str">
        <v>3241</v>
      </c>
      <c r="G1163" t="str">
        <v>ProjectedCrs</v>
      </c>
      <c r="H1163" t="str">
        <v>Lambert Conic Conformal (2SP)</v>
      </c>
      <c r="I1163" t="str">
        <v>WGS 84 / SCAR IMW SR59-60</v>
      </c>
      <c r="J1163" t="str">
        <v>Antarctica - 68°S to 72°S and 168°E to 180°E.</v>
      </c>
      <c r="K1163" s="11">
        <v>0</v>
      </c>
    </row>
    <row r="1164" spans="5:11" x14ac:dyDescent="0.35">
      <c r="E1164" s="9" t="str">
        <v>EPSG</v>
      </c>
      <c r="F1164" s="7" t="str">
        <v>3242</v>
      </c>
      <c r="G1164" t="str">
        <v>ProjectedCrs</v>
      </c>
      <c r="H1164" t="str">
        <v>Lambert Conic Conformal (2SP)</v>
      </c>
      <c r="I1164" t="str">
        <v>WGS 84 / SCAR IMW SS04-06</v>
      </c>
      <c r="J1164" t="str">
        <v>Antarctica - 72°S to 76°S and 162°W to 144°W.</v>
      </c>
      <c r="K1164" s="11">
        <v>0</v>
      </c>
    </row>
    <row r="1165" spans="5:11" x14ac:dyDescent="0.35">
      <c r="E1165" s="9" t="str">
        <v>EPSG</v>
      </c>
      <c r="F1165" s="7" t="str">
        <v>3243</v>
      </c>
      <c r="G1165" t="str">
        <v>ProjectedCrs</v>
      </c>
      <c r="H1165" t="str">
        <v>Lambert Conic Conformal (2SP)</v>
      </c>
      <c r="I1165" t="str">
        <v>WGS 84 / SCAR IMW SS07-09</v>
      </c>
      <c r="J1165" t="str">
        <v>Antarctica - 72°S to 76°S and 144°W to 126°W.</v>
      </c>
      <c r="K1165" s="11">
        <v>0</v>
      </c>
    </row>
    <row r="1166" spans="5:11" x14ac:dyDescent="0.35">
      <c r="E1166" s="9" t="str">
        <v>EPSG</v>
      </c>
      <c r="F1166" s="7" t="str">
        <v>3244</v>
      </c>
      <c r="G1166" t="str">
        <v>ProjectedCrs</v>
      </c>
      <c r="H1166" t="str">
        <v>Lambert Conic Conformal (2SP)</v>
      </c>
      <c r="I1166" t="str">
        <v>WGS 84 / SCAR IMW SS10-12</v>
      </c>
      <c r="J1166" t="str">
        <v>Antarctica - 72°S to 76°S and 126°W to 108°W.</v>
      </c>
      <c r="K1166" s="11">
        <v>0</v>
      </c>
    </row>
    <row r="1167" spans="5:11" x14ac:dyDescent="0.35">
      <c r="E1167" s="9" t="str">
        <v>EPSG</v>
      </c>
      <c r="F1167" s="7" t="str">
        <v>3245</v>
      </c>
      <c r="G1167" t="str">
        <v>ProjectedCrs</v>
      </c>
      <c r="H1167" t="str">
        <v>Lambert Conic Conformal (2SP)</v>
      </c>
      <c r="I1167" t="str">
        <v>WGS 84 / SCAR IMW SS13-15</v>
      </c>
      <c r="J1167" t="str">
        <v>Antarctica - 72°S to 76°S and 108°W to 90°W.</v>
      </c>
      <c r="K1167" s="11">
        <v>0</v>
      </c>
    </row>
    <row r="1168" spans="5:11" x14ac:dyDescent="0.35">
      <c r="E1168" s="9" t="str">
        <v>EPSG</v>
      </c>
      <c r="F1168" s="7" t="str">
        <v>3246</v>
      </c>
      <c r="G1168" t="str">
        <v>ProjectedCrs</v>
      </c>
      <c r="H1168" t="str">
        <v>Lambert Conic Conformal (2SP)</v>
      </c>
      <c r="I1168" t="str">
        <v>WGS 84 / SCAR IMW SS16-18</v>
      </c>
      <c r="J1168" t="str">
        <v>Antarctica - 72°S to 76°S and 90°W to 72°W.</v>
      </c>
      <c r="K1168" s="11">
        <v>0</v>
      </c>
    </row>
    <row r="1169" spans="5:11" x14ac:dyDescent="0.35">
      <c r="E1169" s="9" t="str">
        <v>EPSG</v>
      </c>
      <c r="F1169" s="7" t="str">
        <v>3247</v>
      </c>
      <c r="G1169" t="str">
        <v>ProjectedCrs</v>
      </c>
      <c r="H1169" t="str">
        <v>Lambert Conic Conformal (2SP)</v>
      </c>
      <c r="I1169" t="str">
        <v>WGS 84 / SCAR IMW SS19-21</v>
      </c>
      <c r="J1169" t="str">
        <v>Antarctica - 72°S to 76°S and 72°W to 54°W.</v>
      </c>
      <c r="K1169" s="11">
        <v>0</v>
      </c>
    </row>
    <row r="1170" spans="5:11" x14ac:dyDescent="0.35">
      <c r="E1170" s="9" t="str">
        <v>EPSG</v>
      </c>
      <c r="F1170" s="7" t="str">
        <v>3248</v>
      </c>
      <c r="G1170" t="str">
        <v>ProjectedCrs</v>
      </c>
      <c r="H1170" t="str">
        <v>Lambert Conic Conformal (2SP)</v>
      </c>
      <c r="I1170" t="str">
        <v>WGS 84 / SCAR IMW SS25-27</v>
      </c>
      <c r="J1170" t="str">
        <v>Antarctica - 72°S to 76°S and 36°W to 18°W.</v>
      </c>
      <c r="K1170" s="11">
        <v>0</v>
      </c>
    </row>
    <row r="1171" spans="5:11" x14ac:dyDescent="0.35">
      <c r="E1171" s="9" t="str">
        <v>EPSG</v>
      </c>
      <c r="F1171" s="7" t="str">
        <v>3249</v>
      </c>
      <c r="G1171" t="str">
        <v>ProjectedCrs</v>
      </c>
      <c r="H1171" t="str">
        <v>Lambert Conic Conformal (2SP)</v>
      </c>
      <c r="I1171" t="str">
        <v>WGS 84 / SCAR IMW SS28-30</v>
      </c>
      <c r="J1171" t="str">
        <v>Antarctica - 72°S to 76°S and 18°W to 0°W.</v>
      </c>
      <c r="K1171" s="11">
        <v>0</v>
      </c>
    </row>
    <row r="1172" spans="5:11" x14ac:dyDescent="0.35">
      <c r="E1172" s="9" t="str">
        <v>EPSG</v>
      </c>
      <c r="F1172" s="7" t="str">
        <v>3250</v>
      </c>
      <c r="G1172" t="str">
        <v>ProjectedCrs</v>
      </c>
      <c r="H1172" t="str">
        <v>Lambert Conic Conformal (2SP)</v>
      </c>
      <c r="I1172" t="str">
        <v>WGS 84 / SCAR IMW SS31-33</v>
      </c>
      <c r="J1172" t="str">
        <v>Antarctica - 72°S to 76°S and 0°E to 18°E.</v>
      </c>
      <c r="K1172" s="11">
        <v>0</v>
      </c>
    </row>
    <row r="1173" spans="5:11" x14ac:dyDescent="0.35">
      <c r="E1173" s="9" t="str">
        <v>EPSG</v>
      </c>
      <c r="F1173" s="7" t="str">
        <v>3251</v>
      </c>
      <c r="G1173" t="str">
        <v>ProjectedCrs</v>
      </c>
      <c r="H1173" t="str">
        <v>Lambert Conic Conformal (2SP)</v>
      </c>
      <c r="I1173" t="str">
        <v>WGS 84 / SCAR IMW SS34-36</v>
      </c>
      <c r="J1173" t="str">
        <v>Antarctica - 72°S to 76°S and 18°E to 36°E.</v>
      </c>
      <c r="K1173" s="11">
        <v>0</v>
      </c>
    </row>
    <row r="1174" spans="5:11" x14ac:dyDescent="0.35">
      <c r="E1174" s="9" t="str">
        <v>EPSG</v>
      </c>
      <c r="F1174" s="7" t="str">
        <v>3252</v>
      </c>
      <c r="G1174" t="str">
        <v>ProjectedCrs</v>
      </c>
      <c r="H1174" t="str">
        <v>Lambert Conic Conformal (2SP)</v>
      </c>
      <c r="I1174" t="str">
        <v>WGS 84 / SCAR IMW SS37-39</v>
      </c>
      <c r="J1174" t="str">
        <v>Antarctica - 72°S to 76°S and 36°E to 54°E.</v>
      </c>
      <c r="K1174" s="11">
        <v>0</v>
      </c>
    </row>
    <row r="1175" spans="5:11" x14ac:dyDescent="0.35">
      <c r="E1175" s="9" t="str">
        <v>EPSG</v>
      </c>
      <c r="F1175" s="7" t="str">
        <v>3253</v>
      </c>
      <c r="G1175" t="str">
        <v>ProjectedCrs</v>
      </c>
      <c r="H1175" t="str">
        <v>Lambert Conic Conformal (2SP)</v>
      </c>
      <c r="I1175" t="str">
        <v>WGS 84 / SCAR IMW SS40-42</v>
      </c>
      <c r="J1175" t="str">
        <v>Antarctica - 72°S to 76°S and 54°E to 72°E.</v>
      </c>
      <c r="K1175" s="11">
        <v>0</v>
      </c>
    </row>
    <row r="1176" spans="5:11" x14ac:dyDescent="0.35">
      <c r="E1176" s="9" t="str">
        <v>EPSG</v>
      </c>
      <c r="F1176" s="7" t="str">
        <v>3254</v>
      </c>
      <c r="G1176" t="str">
        <v>ProjectedCrs</v>
      </c>
      <c r="H1176" t="str">
        <v>Lambert Conic Conformal (2SP)</v>
      </c>
      <c r="I1176" t="str">
        <v>WGS 84 / SCAR IMW SS43-45</v>
      </c>
      <c r="J1176" t="str">
        <v>Antarctica - 72°S to 76°S and 72°E to 90°E.</v>
      </c>
      <c r="K1176" s="11">
        <v>0</v>
      </c>
    </row>
    <row r="1177" spans="5:11" x14ac:dyDescent="0.35">
      <c r="E1177" s="9" t="str">
        <v>EPSG</v>
      </c>
      <c r="F1177" s="7" t="str">
        <v>3255</v>
      </c>
      <c r="G1177" t="str">
        <v>ProjectedCrs</v>
      </c>
      <c r="H1177" t="str">
        <v>Lambert Conic Conformal (2SP)</v>
      </c>
      <c r="I1177" t="str">
        <v>WGS 84 / SCAR IMW SS46-48</v>
      </c>
      <c r="J1177" t="str">
        <v>Antarctica - 72°S to 76°S and 90°E to 108°E.</v>
      </c>
      <c r="K1177" s="11">
        <v>0</v>
      </c>
    </row>
    <row r="1178" spans="5:11" x14ac:dyDescent="0.35">
      <c r="E1178" s="9" t="str">
        <v>EPSG</v>
      </c>
      <c r="F1178" s="7" t="str">
        <v>3256</v>
      </c>
      <c r="G1178" t="str">
        <v>ProjectedCrs</v>
      </c>
      <c r="H1178" t="str">
        <v>Lambert Conic Conformal (2SP)</v>
      </c>
      <c r="I1178" t="str">
        <v>WGS 84 / SCAR IMW SS49-51</v>
      </c>
      <c r="J1178" t="str">
        <v>Antarctica - 72°S to 76°S and 108°E to 126°E.</v>
      </c>
      <c r="K1178" s="11">
        <v>0</v>
      </c>
    </row>
    <row r="1179" spans="5:11" x14ac:dyDescent="0.35">
      <c r="E1179" s="9" t="str">
        <v>EPSG</v>
      </c>
      <c r="F1179" s="7" t="str">
        <v>3257</v>
      </c>
      <c r="G1179" t="str">
        <v>ProjectedCrs</v>
      </c>
      <c r="H1179" t="str">
        <v>Lambert Conic Conformal (2SP)</v>
      </c>
      <c r="I1179" t="str">
        <v>WGS 84 / SCAR IMW SS52-54</v>
      </c>
      <c r="J1179" t="str">
        <v>Antarctica - 72°S to 76°S and 126°E to 144°E.</v>
      </c>
      <c r="K1179" s="11">
        <v>0</v>
      </c>
    </row>
    <row r="1180" spans="5:11" x14ac:dyDescent="0.35">
      <c r="E1180" s="9" t="str">
        <v>EPSG</v>
      </c>
      <c r="F1180" s="7" t="str">
        <v>3258</v>
      </c>
      <c r="G1180" t="str">
        <v>ProjectedCrs</v>
      </c>
      <c r="H1180" t="str">
        <v>Lambert Conic Conformal (2SP)</v>
      </c>
      <c r="I1180" t="str">
        <v>WGS 84 / SCAR IMW SS55-57</v>
      </c>
      <c r="J1180" t="str">
        <v>Antarctica - 72°S to 76°S and 144°E to 162°E.</v>
      </c>
      <c r="K1180" s="11">
        <v>0</v>
      </c>
    </row>
    <row r="1181" spans="5:11" x14ac:dyDescent="0.35">
      <c r="E1181" s="9" t="str">
        <v>EPSG</v>
      </c>
      <c r="F1181" s="7" t="str">
        <v>3259</v>
      </c>
      <c r="G1181" t="str">
        <v>ProjectedCrs</v>
      </c>
      <c r="H1181" t="str">
        <v>Lambert Conic Conformal (2SP)</v>
      </c>
      <c r="I1181" t="str">
        <v>WGS 84 / SCAR IMW SS58-60</v>
      </c>
      <c r="J1181" t="str">
        <v>Antarctica - 72°S to 76°S and 162°E to 180°E.</v>
      </c>
      <c r="K1181" s="11">
        <v>0</v>
      </c>
    </row>
    <row r="1182" spans="5:11" x14ac:dyDescent="0.35">
      <c r="E1182" s="9" t="str">
        <v>EPSG</v>
      </c>
      <c r="F1182" s="7" t="str">
        <v>3260</v>
      </c>
      <c r="G1182" t="str">
        <v>ProjectedCrs</v>
      </c>
      <c r="H1182" t="str">
        <v>Lambert Conic Conformal (2SP)</v>
      </c>
      <c r="I1182" t="str">
        <v>WGS 84 / SCAR IMW ST01-04</v>
      </c>
      <c r="J1182" t="str">
        <v>Antarctica - 76°S to 80°S and 180°W to 156°W.</v>
      </c>
      <c r="K1182" s="11">
        <v>0</v>
      </c>
    </row>
    <row r="1183" spans="5:11" x14ac:dyDescent="0.35">
      <c r="E1183" s="9" t="str">
        <v>EPSG</v>
      </c>
      <c r="F1183" s="7" t="str">
        <v>3261</v>
      </c>
      <c r="G1183" t="str">
        <v>ProjectedCrs</v>
      </c>
      <c r="H1183" t="str">
        <v>Lambert Conic Conformal (2SP)</v>
      </c>
      <c r="I1183" t="str">
        <v>WGS 84 / SCAR IMW ST05-08</v>
      </c>
      <c r="J1183" t="str">
        <v>Antarctica - 76°S to 80°S and 156°W to 132°W.</v>
      </c>
      <c r="K1183" s="11">
        <v>0</v>
      </c>
    </row>
    <row r="1184" spans="5:11" x14ac:dyDescent="0.35">
      <c r="E1184" s="9" t="str">
        <v>EPSG</v>
      </c>
      <c r="F1184" s="7" t="str">
        <v>3262</v>
      </c>
      <c r="G1184" t="str">
        <v>ProjectedCrs</v>
      </c>
      <c r="H1184" t="str">
        <v>Lambert Conic Conformal (2SP)</v>
      </c>
      <c r="I1184" t="str">
        <v>WGS 84 / SCAR IMW ST09-12</v>
      </c>
      <c r="J1184" t="str">
        <v>Antarctica - 76°S to 80°S and 132°W to 108°W.</v>
      </c>
      <c r="K1184" s="11">
        <v>0</v>
      </c>
    </row>
    <row r="1185" spans="5:11" x14ac:dyDescent="0.35">
      <c r="E1185" s="9" t="str">
        <v>EPSG</v>
      </c>
      <c r="F1185" s="7" t="str">
        <v>3263</v>
      </c>
      <c r="G1185" t="str">
        <v>ProjectedCrs</v>
      </c>
      <c r="H1185" t="str">
        <v>Lambert Conic Conformal (2SP)</v>
      </c>
      <c r="I1185" t="str">
        <v>WGS 84 / SCAR IMW ST13-16</v>
      </c>
      <c r="J1185" t="str">
        <v>Antarctica - 76°S to 80°S and 108°W to 84°W.</v>
      </c>
      <c r="K1185" s="11">
        <v>0</v>
      </c>
    </row>
    <row r="1186" spans="5:11" x14ac:dyDescent="0.35">
      <c r="E1186" s="9" t="str">
        <v>EPSG</v>
      </c>
      <c r="F1186" s="7" t="str">
        <v>3264</v>
      </c>
      <c r="G1186" t="str">
        <v>ProjectedCrs</v>
      </c>
      <c r="H1186" t="str">
        <v>Lambert Conic Conformal (2SP)</v>
      </c>
      <c r="I1186" t="str">
        <v>WGS 84 / SCAR IMW ST17-20</v>
      </c>
      <c r="J1186" t="str">
        <v>Antarctica - 76°S to 80°S and 84°W to 60°W.</v>
      </c>
      <c r="K1186" s="11">
        <v>0</v>
      </c>
    </row>
    <row r="1187" spans="5:11" x14ac:dyDescent="0.35">
      <c r="E1187" s="9" t="str">
        <v>EPSG</v>
      </c>
      <c r="F1187" s="7" t="str">
        <v>3265</v>
      </c>
      <c r="G1187" t="str">
        <v>ProjectedCrs</v>
      </c>
      <c r="H1187" t="str">
        <v>Lambert Conic Conformal (2SP)</v>
      </c>
      <c r="I1187" t="str">
        <v>WGS 84 / SCAR IMW ST21-24</v>
      </c>
      <c r="J1187" t="str">
        <v>Antarctica - 76°S to 80°S and 60°W to 36°W.</v>
      </c>
      <c r="K1187" s="11">
        <v>0</v>
      </c>
    </row>
    <row r="1188" spans="5:11" x14ac:dyDescent="0.35">
      <c r="E1188" s="9" t="str">
        <v>EPSG</v>
      </c>
      <c r="F1188" s="7" t="str">
        <v>3266</v>
      </c>
      <c r="G1188" t="str">
        <v>ProjectedCrs</v>
      </c>
      <c r="H1188" t="str">
        <v>Lambert Conic Conformal (2SP)</v>
      </c>
      <c r="I1188" t="str">
        <v>WGS 84 / SCAR IMW ST25-28</v>
      </c>
      <c r="J1188" t="str">
        <v>Antarctica - 76°S to 80°S and 36°W to 12°W.</v>
      </c>
      <c r="K1188" s="11">
        <v>0</v>
      </c>
    </row>
    <row r="1189" spans="5:11" x14ac:dyDescent="0.35">
      <c r="E1189" s="9" t="str">
        <v>EPSG</v>
      </c>
      <c r="F1189" s="7" t="str">
        <v>3267</v>
      </c>
      <c r="G1189" t="str">
        <v>ProjectedCrs</v>
      </c>
      <c r="H1189" t="str">
        <v>Lambert Conic Conformal (2SP)</v>
      </c>
      <c r="I1189" t="str">
        <v>WGS 84 / SCAR IMW ST29-32</v>
      </c>
      <c r="J1189" t="str">
        <v>Antarctica - 76°S to 80°S and 12°W to 12°E.</v>
      </c>
      <c r="K1189" s="11">
        <v>0</v>
      </c>
    </row>
    <row r="1190" spans="5:11" x14ac:dyDescent="0.35">
      <c r="E1190" s="9" t="str">
        <v>EPSG</v>
      </c>
      <c r="F1190" s="7" t="str">
        <v>3268</v>
      </c>
      <c r="G1190" t="str">
        <v>ProjectedCrs</v>
      </c>
      <c r="H1190" t="str">
        <v>Lambert Conic Conformal (2SP)</v>
      </c>
      <c r="I1190" t="str">
        <v>WGS 84 / SCAR IMW ST33-36</v>
      </c>
      <c r="J1190" t="str">
        <v>Antarctica - 76°S to 80°S and 12°E to 36°E.</v>
      </c>
      <c r="K1190" s="11">
        <v>0</v>
      </c>
    </row>
    <row r="1191" spans="5:11" x14ac:dyDescent="0.35">
      <c r="E1191" s="9" t="str">
        <v>EPSG</v>
      </c>
      <c r="F1191" s="7" t="str">
        <v>3269</v>
      </c>
      <c r="G1191" t="str">
        <v>ProjectedCrs</v>
      </c>
      <c r="H1191" t="str">
        <v>Lambert Conic Conformal (2SP)</v>
      </c>
      <c r="I1191" t="str">
        <v>WGS 84 / SCAR IMW ST37-40</v>
      </c>
      <c r="J1191" t="str">
        <v>Antarctica - 76°S to 80°S and 36°E to 60°E.</v>
      </c>
      <c r="K1191" s="11">
        <v>0</v>
      </c>
    </row>
    <row r="1192" spans="5:11" x14ac:dyDescent="0.35">
      <c r="E1192" s="9" t="str">
        <v>EPSG</v>
      </c>
      <c r="F1192" s="7" t="str">
        <v>3270</v>
      </c>
      <c r="G1192" t="str">
        <v>ProjectedCrs</v>
      </c>
      <c r="H1192" t="str">
        <v>Lambert Conic Conformal (2SP)</v>
      </c>
      <c r="I1192" t="str">
        <v>WGS 84 / SCAR IMW ST41-44</v>
      </c>
      <c r="J1192" t="str">
        <v>Antarctica - 76°S to 80°S and 60°E to 84°E.</v>
      </c>
      <c r="K1192" s="11">
        <v>0</v>
      </c>
    </row>
    <row r="1193" spans="5:11" x14ac:dyDescent="0.35">
      <c r="E1193" s="9" t="str">
        <v>EPSG</v>
      </c>
      <c r="F1193" s="7" t="str">
        <v>3271</v>
      </c>
      <c r="G1193" t="str">
        <v>ProjectedCrs</v>
      </c>
      <c r="H1193" t="str">
        <v>Lambert Conic Conformal (2SP)</v>
      </c>
      <c r="I1193" t="str">
        <v>WGS 84 / SCAR IMW ST45-48</v>
      </c>
      <c r="J1193" t="str">
        <v>Antarctica - 76°S to 80°S and 84°E to 108°E.</v>
      </c>
      <c r="K1193" s="11">
        <v>0</v>
      </c>
    </row>
    <row r="1194" spans="5:11" x14ac:dyDescent="0.35">
      <c r="E1194" s="9" t="str">
        <v>EPSG</v>
      </c>
      <c r="F1194" s="7" t="str">
        <v>3272</v>
      </c>
      <c r="G1194" t="str">
        <v>ProjectedCrs</v>
      </c>
      <c r="H1194" t="str">
        <v>Lambert Conic Conformal (2SP)</v>
      </c>
      <c r="I1194" t="str">
        <v>WGS 84 / SCAR IMW ST49-52</v>
      </c>
      <c r="J1194" t="str">
        <v>Antarctica - 76°S to 80°S and 108°E to 132°E.</v>
      </c>
      <c r="K1194" s="11">
        <v>0</v>
      </c>
    </row>
    <row r="1195" spans="5:11" x14ac:dyDescent="0.35">
      <c r="E1195" s="9" t="str">
        <v>EPSG</v>
      </c>
      <c r="F1195" s="7" t="str">
        <v>3273</v>
      </c>
      <c r="G1195" t="str">
        <v>ProjectedCrs</v>
      </c>
      <c r="H1195" t="str">
        <v>Lambert Conic Conformal (2SP)</v>
      </c>
      <c r="I1195" t="str">
        <v>WGS 84 / SCAR IMW ST53-56</v>
      </c>
      <c r="J1195" t="str">
        <v>Antarctica - 76°S to 80°S and 132°E to 156°E.</v>
      </c>
      <c r="K1195" s="11">
        <v>0</v>
      </c>
    </row>
    <row r="1196" spans="5:11" x14ac:dyDescent="0.35">
      <c r="E1196" s="9" t="str">
        <v>EPSG</v>
      </c>
      <c r="F1196" s="7" t="str">
        <v>3274</v>
      </c>
      <c r="G1196" t="str">
        <v>ProjectedCrs</v>
      </c>
      <c r="H1196" t="str">
        <v>Lambert Conic Conformal (2SP)</v>
      </c>
      <c r="I1196" t="str">
        <v>WGS 84 / SCAR IMW ST57-60</v>
      </c>
      <c r="J1196" t="str">
        <v>Antarctica - 76°S to 80°S and 156°E to 180°E.</v>
      </c>
      <c r="K1196" s="11">
        <v>0</v>
      </c>
    </row>
    <row r="1197" spans="5:11" x14ac:dyDescent="0.35">
      <c r="E1197" s="9" t="str">
        <v>EPSG</v>
      </c>
      <c r="F1197" s="7" t="str">
        <v>3275</v>
      </c>
      <c r="G1197" t="str">
        <v>ProjectedCrs</v>
      </c>
      <c r="H1197" t="str">
        <v>Polar Stereographic (variant B)</v>
      </c>
      <c r="I1197" t="str">
        <v>WGS 84 / SCAR IMW SU01-05</v>
      </c>
      <c r="J1197" t="str">
        <v>Antarctica - 80°S to 84°S and 180°W to 150°W.</v>
      </c>
      <c r="K1197" s="11">
        <v>0</v>
      </c>
    </row>
    <row r="1198" spans="5:11" x14ac:dyDescent="0.35">
      <c r="E1198" s="9" t="str">
        <v>EPSG</v>
      </c>
      <c r="F1198" s="7" t="str">
        <v>3276</v>
      </c>
      <c r="G1198" t="str">
        <v>ProjectedCrs</v>
      </c>
      <c r="H1198" t="str">
        <v>Polar Stereographic (variant B)</v>
      </c>
      <c r="I1198" t="str">
        <v>WGS 84 / SCAR IMW SU06-10</v>
      </c>
      <c r="J1198" t="str">
        <v>Antarctica - 80°S to 84°S and 150°W to 120°W.</v>
      </c>
      <c r="K1198" s="11">
        <v>0</v>
      </c>
    </row>
    <row r="1199" spans="5:11" x14ac:dyDescent="0.35">
      <c r="E1199" s="9" t="str">
        <v>EPSG</v>
      </c>
      <c r="F1199" s="7" t="str">
        <v>3277</v>
      </c>
      <c r="G1199" t="str">
        <v>ProjectedCrs</v>
      </c>
      <c r="H1199" t="str">
        <v>Polar Stereographic (variant B)</v>
      </c>
      <c r="I1199" t="str">
        <v>WGS 84 / SCAR IMW SU11-15</v>
      </c>
      <c r="J1199" t="str">
        <v>Antarctica - 80°S to 84°S and 120°W to 90°W.</v>
      </c>
      <c r="K1199" s="11">
        <v>0</v>
      </c>
    </row>
    <row r="1200" spans="5:11" x14ac:dyDescent="0.35">
      <c r="E1200" s="9" t="str">
        <v>EPSG</v>
      </c>
      <c r="F1200" s="7" t="str">
        <v>3278</v>
      </c>
      <c r="G1200" t="str">
        <v>ProjectedCrs</v>
      </c>
      <c r="H1200" t="str">
        <v>Polar Stereographic (variant B)</v>
      </c>
      <c r="I1200" t="str">
        <v>WGS 84 / SCAR IMW SU16-20</v>
      </c>
      <c r="J1200" t="str">
        <v>Antarctica - 80°S to 84°S and 90°W to 60°W.</v>
      </c>
      <c r="K1200" s="11">
        <v>0</v>
      </c>
    </row>
    <row r="1201" spans="5:11" x14ac:dyDescent="0.35">
      <c r="E1201" s="9" t="str">
        <v>EPSG</v>
      </c>
      <c r="F1201" s="7" t="str">
        <v>3279</v>
      </c>
      <c r="G1201" t="str">
        <v>ProjectedCrs</v>
      </c>
      <c r="H1201" t="str">
        <v>Polar Stereographic (variant B)</v>
      </c>
      <c r="I1201" t="str">
        <v>WGS 84 / SCAR IMW SU21-25</v>
      </c>
      <c r="J1201" t="str">
        <v>Antarctica - 80°S to 84°S and 60°W to 30°W.</v>
      </c>
      <c r="K1201" s="11">
        <v>0</v>
      </c>
    </row>
    <row r="1202" spans="5:11" x14ac:dyDescent="0.35">
      <c r="E1202" s="9" t="str">
        <v>EPSG</v>
      </c>
      <c r="F1202" s="7" t="str">
        <v>3280</v>
      </c>
      <c r="G1202" t="str">
        <v>ProjectedCrs</v>
      </c>
      <c r="H1202" t="str">
        <v>Polar Stereographic (variant B)</v>
      </c>
      <c r="I1202" t="str">
        <v>WGS 84 / SCAR IMW SU26-30</v>
      </c>
      <c r="J1202" t="str">
        <v>Antarctica - 80°S to 84°S and 30°W to 0°W.</v>
      </c>
      <c r="K1202" s="11">
        <v>0</v>
      </c>
    </row>
    <row r="1203" spans="5:11" x14ac:dyDescent="0.35">
      <c r="E1203" s="9" t="str">
        <v>EPSG</v>
      </c>
      <c r="F1203" s="7" t="str">
        <v>3281</v>
      </c>
      <c r="G1203" t="str">
        <v>ProjectedCrs</v>
      </c>
      <c r="H1203" t="str">
        <v>Polar Stereographic (variant B)</v>
      </c>
      <c r="I1203" t="str">
        <v>WGS 84 / SCAR IMW SU31-35</v>
      </c>
      <c r="J1203" t="str">
        <v>Antarctica - 80°S to 84°S and 0°E to 30°E.</v>
      </c>
      <c r="K1203" s="11">
        <v>0</v>
      </c>
    </row>
    <row r="1204" spans="5:11" x14ac:dyDescent="0.35">
      <c r="E1204" s="9" t="str">
        <v>EPSG</v>
      </c>
      <c r="F1204" s="7" t="str">
        <v>3282</v>
      </c>
      <c r="G1204" t="str">
        <v>ProjectedCrs</v>
      </c>
      <c r="H1204" t="str">
        <v>Polar Stereographic (variant B)</v>
      </c>
      <c r="I1204" t="str">
        <v>WGS 84 / SCAR IMW SU36-40</v>
      </c>
      <c r="J1204" t="str">
        <v>Antarctica - 80°S to 84°S and 30°E to 60°E.</v>
      </c>
      <c r="K1204" s="11">
        <v>0</v>
      </c>
    </row>
    <row r="1205" spans="5:11" x14ac:dyDescent="0.35">
      <c r="E1205" s="9" t="str">
        <v>EPSG</v>
      </c>
      <c r="F1205" s="7" t="str">
        <v>3283</v>
      </c>
      <c r="G1205" t="str">
        <v>ProjectedCrs</v>
      </c>
      <c r="H1205" t="str">
        <v>Polar Stereographic (variant B)</v>
      </c>
      <c r="I1205" t="str">
        <v>WGS 84 / SCAR IMW SU41-45</v>
      </c>
      <c r="J1205" t="str">
        <v>Antarctica - 80°S to 84°S and 60°E to 90°E.</v>
      </c>
      <c r="K1205" s="11">
        <v>0</v>
      </c>
    </row>
    <row r="1206" spans="5:11" x14ac:dyDescent="0.35">
      <c r="E1206" s="9" t="str">
        <v>EPSG</v>
      </c>
      <c r="F1206" s="7" t="str">
        <v>3284</v>
      </c>
      <c r="G1206" t="str">
        <v>ProjectedCrs</v>
      </c>
      <c r="H1206" t="str">
        <v>Polar Stereographic (variant B)</v>
      </c>
      <c r="I1206" t="str">
        <v>WGS 84 / SCAR IMW SU46-50</v>
      </c>
      <c r="J1206" t="str">
        <v>Antarctica - 80°S to 84°S and 90°E to 120°E.</v>
      </c>
      <c r="K1206" s="11">
        <v>0</v>
      </c>
    </row>
    <row r="1207" spans="5:11" x14ac:dyDescent="0.35">
      <c r="E1207" s="9" t="str">
        <v>EPSG</v>
      </c>
      <c r="F1207" s="7" t="str">
        <v>3285</v>
      </c>
      <c r="G1207" t="str">
        <v>ProjectedCrs</v>
      </c>
      <c r="H1207" t="str">
        <v>Polar Stereographic (variant B)</v>
      </c>
      <c r="I1207" t="str">
        <v>WGS 84 / SCAR IMW SU51-55</v>
      </c>
      <c r="J1207" t="str">
        <v>Antarctica - 80°S to 84°S and 120°E to 150°E.</v>
      </c>
      <c r="K1207" s="11">
        <v>0</v>
      </c>
    </row>
    <row r="1208" spans="5:11" x14ac:dyDescent="0.35">
      <c r="E1208" s="9" t="str">
        <v>EPSG</v>
      </c>
      <c r="F1208" s="7" t="str">
        <v>3286</v>
      </c>
      <c r="G1208" t="str">
        <v>ProjectedCrs</v>
      </c>
      <c r="H1208" t="str">
        <v>Polar Stereographic (variant B)</v>
      </c>
      <c r="I1208" t="str">
        <v>WGS 84 / SCAR IMW SU56-60</v>
      </c>
      <c r="J1208" t="str">
        <v>Antarctica - 80°S to 84°S and 150°E to 180°E.</v>
      </c>
      <c r="K1208" s="11">
        <v>0</v>
      </c>
    </row>
    <row r="1209" spans="5:11" x14ac:dyDescent="0.35">
      <c r="E1209" s="9" t="str">
        <v>EPSG</v>
      </c>
      <c r="F1209" s="7" t="str">
        <v>3287</v>
      </c>
      <c r="G1209" t="str">
        <v>ProjectedCrs</v>
      </c>
      <c r="H1209" t="str">
        <v>Polar Stereographic (variant B)</v>
      </c>
      <c r="I1209" t="str">
        <v>WGS 84 / SCAR IMW SV01-10</v>
      </c>
      <c r="J1209" t="str">
        <v>Antarctica - 84°S to 88°S and 180°W to 120°W.</v>
      </c>
      <c r="K1209" s="11">
        <v>0</v>
      </c>
    </row>
    <row r="1210" spans="5:11" x14ac:dyDescent="0.35">
      <c r="E1210" s="9" t="str">
        <v>EPSG</v>
      </c>
      <c r="F1210" s="7" t="str">
        <v>3288</v>
      </c>
      <c r="G1210" t="str">
        <v>ProjectedCrs</v>
      </c>
      <c r="H1210" t="str">
        <v>Polar Stereographic (variant B)</v>
      </c>
      <c r="I1210" t="str">
        <v>WGS 84 / SCAR IMW SV11-20</v>
      </c>
      <c r="J1210" t="str">
        <v>Antarctica - 84°S to 88°S and 120°W to 60°W.</v>
      </c>
      <c r="K1210" s="11">
        <v>0</v>
      </c>
    </row>
    <row r="1211" spans="5:11" x14ac:dyDescent="0.35">
      <c r="E1211" s="9" t="str">
        <v>EPSG</v>
      </c>
      <c r="F1211" s="7" t="str">
        <v>3289</v>
      </c>
      <c r="G1211" t="str">
        <v>ProjectedCrs</v>
      </c>
      <c r="H1211" t="str">
        <v>Polar Stereographic (variant B)</v>
      </c>
      <c r="I1211" t="str">
        <v>WGS 84 / SCAR IMW SV21-30</v>
      </c>
      <c r="J1211" t="str">
        <v>Antarctica - 84°S to 88°S and 60°W to 0°W.</v>
      </c>
      <c r="K1211" s="11">
        <v>0</v>
      </c>
    </row>
    <row r="1212" spans="5:11" x14ac:dyDescent="0.35">
      <c r="E1212" s="9" t="str">
        <v>EPSG</v>
      </c>
      <c r="F1212" s="7" t="str">
        <v>3290</v>
      </c>
      <c r="G1212" t="str">
        <v>ProjectedCrs</v>
      </c>
      <c r="H1212" t="str">
        <v>Polar Stereographic (variant B)</v>
      </c>
      <c r="I1212" t="str">
        <v>WGS 84 / SCAR IMW SV31-40</v>
      </c>
      <c r="J1212" t="str">
        <v>Antarctica - 84°S to 88°S and 0°E to 60°E.</v>
      </c>
      <c r="K1212" s="11">
        <v>0</v>
      </c>
    </row>
    <row r="1213" spans="5:11" x14ac:dyDescent="0.35">
      <c r="E1213" s="9" t="str">
        <v>EPSG</v>
      </c>
      <c r="F1213" s="7" t="str">
        <v>3291</v>
      </c>
      <c r="G1213" t="str">
        <v>ProjectedCrs</v>
      </c>
      <c r="H1213" t="str">
        <v>Polar Stereographic (variant B)</v>
      </c>
      <c r="I1213" t="str">
        <v>WGS 84 / SCAR IMW SV41-50</v>
      </c>
      <c r="J1213" t="str">
        <v>Antarctica - 84°S to 88°S and 60°E to 120°E.</v>
      </c>
      <c r="K1213" s="11">
        <v>0</v>
      </c>
    </row>
    <row r="1214" spans="5:11" x14ac:dyDescent="0.35">
      <c r="E1214" s="9" t="str">
        <v>EPSG</v>
      </c>
      <c r="F1214" s="7" t="str">
        <v>3292</v>
      </c>
      <c r="G1214" t="str">
        <v>ProjectedCrs</v>
      </c>
      <c r="H1214" t="str">
        <v>Polar Stereographic (variant B)</v>
      </c>
      <c r="I1214" t="str">
        <v>WGS 84 / SCAR IMW SV51-60</v>
      </c>
      <c r="J1214" t="str">
        <v>Antarctica - 84°S to 88°S and 120°E to 180°E.</v>
      </c>
      <c r="K1214" s="11">
        <v>0</v>
      </c>
    </row>
    <row r="1215" spans="5:11" x14ac:dyDescent="0.35">
      <c r="E1215" s="9" t="str">
        <v>EPSG</v>
      </c>
      <c r="F1215" s="7" t="str">
        <v>3293</v>
      </c>
      <c r="G1215" t="str">
        <v>ProjectedCrs</v>
      </c>
      <c r="H1215" t="str">
        <v>Polar Stereographic (variant B)</v>
      </c>
      <c r="I1215" t="str">
        <v>WGS 84 / SCAR IMW SW01-60</v>
      </c>
      <c r="J1215" t="str">
        <v>Antarctica - 88°S to 90°S and 180°W to 180°E.</v>
      </c>
      <c r="K1215" s="11">
        <v>0</v>
      </c>
    </row>
    <row r="1216" spans="5:11" x14ac:dyDescent="0.35">
      <c r="E1216" s="9" t="str">
        <v>EPSG</v>
      </c>
      <c r="F1216" s="7" t="str">
        <v>3294</v>
      </c>
      <c r="G1216" t="str">
        <v>ProjectedCrs</v>
      </c>
      <c r="H1216" t="str">
        <v>Lambert Conic Conformal (2SP)</v>
      </c>
      <c r="I1216" t="str">
        <v>WGS 84 / USGS Transantarctic Mountains</v>
      </c>
      <c r="J1216" t="str">
        <v>Antarctica - Transantarctic mountains north of 80°S.</v>
      </c>
      <c r="K1216" s="11">
        <v>0</v>
      </c>
    </row>
    <row r="1217" spans="5:11" x14ac:dyDescent="0.35">
      <c r="E1217" s="9" t="str">
        <v>EPSG</v>
      </c>
      <c r="F1217" s="7" t="str">
        <v>3295</v>
      </c>
      <c r="G1217" t="str">
        <v>ProjectedCrs</v>
      </c>
      <c r="H1217" t="str">
        <v>Modified Azimuthal Equidistant</v>
      </c>
      <c r="I1217" t="str">
        <v>Guam 1963 / Yap Islands</v>
      </c>
      <c r="J1217" t="str">
        <v>Federated States of Micronesia - Yap Islands.</v>
      </c>
      <c r="K1217" s="11">
        <v>0</v>
      </c>
    </row>
    <row r="1218" spans="5:11" x14ac:dyDescent="0.35">
      <c r="E1218" s="9" t="str">
        <v>EPSG</v>
      </c>
      <c r="F1218" s="7" t="str">
        <v>3296</v>
      </c>
      <c r="G1218" t="str">
        <v>ProjectedCrs</v>
      </c>
      <c r="H1218" t="str">
        <v>Transverse Mercator</v>
      </c>
      <c r="I1218" t="str">
        <v>RGPF / UTM zone 5S</v>
      </c>
      <c r="J1218" t="str">
        <v>French Polynesia - west of 150°W onshore and offshore.</v>
      </c>
      <c r="K1218" s="11">
        <v>0</v>
      </c>
    </row>
    <row r="1219" spans="5:11" x14ac:dyDescent="0.35">
      <c r="E1219" s="9" t="str">
        <v>EPSG</v>
      </c>
      <c r="F1219" s="7" t="str">
        <v>3297</v>
      </c>
      <c r="G1219" t="str">
        <v>ProjectedCrs</v>
      </c>
      <c r="H1219" t="str">
        <v>Transverse Mercator</v>
      </c>
      <c r="I1219" t="str">
        <v>RGPF / UTM zone 6S</v>
      </c>
      <c r="J1219" t="str">
        <v>French Polynesia - between 150°W and 144°W onshore and offshore.</v>
      </c>
      <c r="K1219" s="11">
        <v>0</v>
      </c>
    </row>
    <row r="1220" spans="5:11" x14ac:dyDescent="0.35">
      <c r="E1220" s="9" t="str">
        <v>EPSG</v>
      </c>
      <c r="F1220" s="7" t="str">
        <v>3298</v>
      </c>
      <c r="G1220" t="str">
        <v>ProjectedCrs</v>
      </c>
      <c r="H1220" t="str">
        <v>Transverse Mercator</v>
      </c>
      <c r="I1220" t="str">
        <v>RGPF / UTM zone 7S</v>
      </c>
      <c r="J1220" t="str">
        <v>French Polynesia - between 144°W and 138°W onshore and offshore.</v>
      </c>
      <c r="K1220" s="11">
        <v>0</v>
      </c>
    </row>
    <row r="1221" spans="5:11" x14ac:dyDescent="0.35">
      <c r="E1221" s="9" t="str">
        <v>EPSG</v>
      </c>
      <c r="F1221" s="7" t="str">
        <v>3299</v>
      </c>
      <c r="G1221" t="str">
        <v>ProjectedCrs</v>
      </c>
      <c r="H1221" t="str">
        <v>Transverse Mercator</v>
      </c>
      <c r="I1221" t="str">
        <v>RGPF / UTM zone 8S</v>
      </c>
      <c r="J1221" t="str">
        <v>French Polynesia - east of 138°W.</v>
      </c>
      <c r="K1221" s="11">
        <v>0</v>
      </c>
    </row>
    <row r="1222" spans="5:11" x14ac:dyDescent="0.35">
      <c r="E1222" s="9" t="str">
        <v>EPSG</v>
      </c>
      <c r="F1222" s="7" t="str">
        <v>3300</v>
      </c>
      <c r="G1222" t="str">
        <v>ProjectedCrs</v>
      </c>
      <c r="H1222" t="str">
        <v>Lambert Conic Conformal (2SP)</v>
      </c>
      <c r="I1222" t="str">
        <v>Estonian Coordinate System of 1992</v>
      </c>
      <c r="J1222" t="str">
        <v>Estonia - onshore.</v>
      </c>
      <c r="K1222" s="11">
        <v>0</v>
      </c>
    </row>
    <row r="1223" spans="5:11" x14ac:dyDescent="0.35">
      <c r="E1223" s="9" t="str">
        <v>EPSG</v>
      </c>
      <c r="F1223" s="7" t="str">
        <v>3301</v>
      </c>
      <c r="G1223" t="str">
        <v>ProjectedCrs</v>
      </c>
      <c r="H1223" t="str">
        <v>Lambert Conic Conformal (2SP)</v>
      </c>
      <c r="I1223" t="str">
        <v>Estonian Coordinate System of 1997</v>
      </c>
      <c r="J1223" t="str">
        <v>Estonia - onshore and offshore.</v>
      </c>
      <c r="K1223" s="11">
        <v>0</v>
      </c>
    </row>
    <row r="1224" spans="5:11" x14ac:dyDescent="0.35">
      <c r="E1224" s="9" t="str">
        <v>EPSG</v>
      </c>
      <c r="F1224" s="7" t="str">
        <v>3302</v>
      </c>
      <c r="G1224" t="str">
        <v>ProjectedCrs</v>
      </c>
      <c r="H1224" t="str">
        <v>Transverse Mercator</v>
      </c>
      <c r="I1224" t="str">
        <v>IGN63 Hiva Oa / UTM zone 7S</v>
      </c>
      <c r="J1224" t="str">
        <v>French Polynesia - Marquesas Islands - Hiva Oa and Tahuata.</v>
      </c>
      <c r="K1224" s="11">
        <v>0</v>
      </c>
    </row>
    <row r="1225" spans="5:11" x14ac:dyDescent="0.35">
      <c r="E1225" s="9" t="str">
        <v>EPSG</v>
      </c>
      <c r="F1225" s="7" t="str">
        <v>3303</v>
      </c>
      <c r="G1225" t="str">
        <v>ProjectedCrs</v>
      </c>
      <c r="H1225" t="str">
        <v>Transverse Mercator</v>
      </c>
      <c r="I1225" t="str">
        <v>Fatu Iva 72 / UTM zone 7S</v>
      </c>
      <c r="J1225" t="str">
        <v>French Polynesia - Marquesas Islands - Fatu Hiva.</v>
      </c>
      <c r="K1225" s="11">
        <v>0</v>
      </c>
    </row>
    <row r="1226" spans="5:11" x14ac:dyDescent="0.35">
      <c r="E1226" s="9" t="str">
        <v>EPSG</v>
      </c>
      <c r="F1226" s="7" t="str">
        <v>3304</v>
      </c>
      <c r="G1226" t="str">
        <v>ProjectedCrs</v>
      </c>
      <c r="H1226" t="str">
        <v>Transverse Mercator</v>
      </c>
      <c r="I1226" t="str">
        <v>Tahiti 79 / UTM zone 6S</v>
      </c>
      <c r="J1226" t="str">
        <v>French Polynesia - Society Islands - Tahiti.</v>
      </c>
      <c r="K1226" s="11">
        <v>0</v>
      </c>
    </row>
    <row r="1227" spans="5:11" x14ac:dyDescent="0.35">
      <c r="E1227" s="9" t="str">
        <v>EPSG</v>
      </c>
      <c r="F1227" s="7" t="str">
        <v>3305</v>
      </c>
      <c r="G1227" t="str">
        <v>ProjectedCrs</v>
      </c>
      <c r="H1227" t="str">
        <v>Transverse Mercator</v>
      </c>
      <c r="I1227" t="str">
        <v>Moorea 87 / UTM zone 6S</v>
      </c>
      <c r="J1227" t="str">
        <v>French Polynesia - Society Islands - Moorea.</v>
      </c>
      <c r="K1227" s="11">
        <v>0</v>
      </c>
    </row>
    <row r="1228" spans="5:11" x14ac:dyDescent="0.35">
      <c r="E1228" s="9" t="str">
        <v>EPSG</v>
      </c>
      <c r="F1228" s="7" t="str">
        <v>3306</v>
      </c>
      <c r="G1228" t="str">
        <v>ProjectedCrs</v>
      </c>
      <c r="H1228" t="str">
        <v>Transverse Mercator</v>
      </c>
      <c r="I1228" t="str">
        <v>Maupiti 83 / UTM zone 5S</v>
      </c>
      <c r="J1228" t="str">
        <v>French Polynesia - Society Islands - Maupiti.</v>
      </c>
      <c r="K1228" s="11">
        <v>0</v>
      </c>
    </row>
    <row r="1229" spans="5:11" x14ac:dyDescent="0.35">
      <c r="E1229" s="9" t="str">
        <v>EPSG</v>
      </c>
      <c r="F1229" s="7" t="str">
        <v>3307</v>
      </c>
      <c r="G1229" t="str">
        <v>ProjectedCrs</v>
      </c>
      <c r="H1229" t="str">
        <v>Transverse Mercator</v>
      </c>
      <c r="I1229" t="str">
        <v>Nakhl-e Ghanem / UTM zone 39N</v>
      </c>
      <c r="J1229" t="str">
        <v>Iran - Kangan district.</v>
      </c>
      <c r="K1229" s="11">
        <v>0</v>
      </c>
    </row>
    <row r="1230" spans="5:11" x14ac:dyDescent="0.35">
      <c r="E1230" s="9" t="str">
        <v>EPSG</v>
      </c>
      <c r="F1230" s="7" t="str">
        <v>3308</v>
      </c>
      <c r="G1230" t="str">
        <v>ProjectedCrs</v>
      </c>
      <c r="H1230" t="str">
        <v>Lambert Conic Conformal (2SP)</v>
      </c>
      <c r="I1230" t="str">
        <v>GDA94 / NSW Lambert</v>
      </c>
      <c r="J1230" t="str">
        <v>Australia - New South Wales.</v>
      </c>
      <c r="K1230" s="11">
        <v>0</v>
      </c>
    </row>
    <row r="1231" spans="5:11" x14ac:dyDescent="0.35">
      <c r="E1231" s="9" t="str">
        <v>EPSG</v>
      </c>
      <c r="F1231" s="7" t="str">
        <v>3309</v>
      </c>
      <c r="G1231" t="str">
        <v>ProjectedCrs</v>
      </c>
      <c r="H1231" t="str">
        <v>Albers Equal Area</v>
      </c>
      <c r="I1231" t="str">
        <v>NAD27 / California Albers</v>
      </c>
      <c r="J1231" t="str">
        <v>United States (USA) - California.</v>
      </c>
      <c r="K1231" s="11">
        <v>0</v>
      </c>
    </row>
    <row r="1232" spans="5:11" x14ac:dyDescent="0.35">
      <c r="E1232" s="9" t="str">
        <v>EPSG</v>
      </c>
      <c r="F1232" s="7" t="str">
        <v>3310</v>
      </c>
      <c r="G1232" t="str">
        <v>ProjectedCrs</v>
      </c>
      <c r="H1232" t="str">
        <v>Albers Equal Area</v>
      </c>
      <c r="I1232" t="str">
        <v>NAD83 / California Albers</v>
      </c>
      <c r="J1232" t="str">
        <v>United States (USA) - California.</v>
      </c>
      <c r="K1232" s="11">
        <v>0</v>
      </c>
    </row>
    <row r="1233" spans="5:11" x14ac:dyDescent="0.35">
      <c r="E1233" s="9" t="str">
        <v>EPSG</v>
      </c>
      <c r="F1233" s="7" t="str">
        <v>3311</v>
      </c>
      <c r="G1233" t="str">
        <v>ProjectedCrs</v>
      </c>
      <c r="H1233" t="str">
        <v>Albers Equal Area</v>
      </c>
      <c r="I1233" t="str">
        <v>NAD83(HARN) / California Albers</v>
      </c>
      <c r="J1233" t="str">
        <v>United States (USA) - California.</v>
      </c>
      <c r="K1233" s="11">
        <v>0</v>
      </c>
    </row>
    <row r="1234" spans="5:11" x14ac:dyDescent="0.35">
      <c r="E1234" s="9" t="str">
        <v>EPSG</v>
      </c>
      <c r="F1234" s="7" t="str">
        <v>3312</v>
      </c>
      <c r="G1234" t="str">
        <v>ProjectedCrs</v>
      </c>
      <c r="H1234" t="str">
        <v>Transverse Mercator</v>
      </c>
      <c r="I1234" t="str">
        <v>CSG67 / UTM zone 21N</v>
      </c>
      <c r="J1234" t="str">
        <v>French Guiana - coastal area west of 54°W.</v>
      </c>
      <c r="K1234" s="11">
        <v>0</v>
      </c>
    </row>
    <row r="1235" spans="5:11" x14ac:dyDescent="0.35">
      <c r="E1235" s="9" t="str">
        <v>EPSG</v>
      </c>
      <c r="F1235" s="7" t="str">
        <v>3313</v>
      </c>
      <c r="G1235" t="str">
        <v>ProjectedCrs</v>
      </c>
      <c r="H1235" t="str">
        <v>Transverse Mercator</v>
      </c>
      <c r="I1235" t="str">
        <v>RGFG95 / UTM zone 21N</v>
      </c>
      <c r="J1235" t="str">
        <v>French Guiana - west of 54°W.</v>
      </c>
      <c r="K1235" s="11">
        <v>0</v>
      </c>
    </row>
    <row r="1236" spans="5:11" x14ac:dyDescent="0.35">
      <c r="E1236" s="9" t="str">
        <v>EPSG</v>
      </c>
      <c r="F1236" s="7" t="str">
        <v>3316</v>
      </c>
      <c r="G1236" t="str">
        <v>ProjectedCrs</v>
      </c>
      <c r="H1236" t="str">
        <v>Transverse Mercator</v>
      </c>
      <c r="I1236" t="str">
        <v>Kasai 1953 / Congo TM zone 22</v>
      </c>
      <c r="J1236" t="str">
        <v>The Democratic Republic of the Congo (Zaire) - adjacent to 6th parallel south traverse between 21°30'E and 23°E.</v>
      </c>
      <c r="K1236" s="11">
        <v>0</v>
      </c>
    </row>
    <row r="1237" spans="5:11" x14ac:dyDescent="0.35">
      <c r="E1237" s="9" t="str">
        <v>EPSG</v>
      </c>
      <c r="F1237" s="7" t="str">
        <v>3317</v>
      </c>
      <c r="G1237" t="str">
        <v>ProjectedCrs</v>
      </c>
      <c r="H1237" t="str">
        <v>Transverse Mercator</v>
      </c>
      <c r="I1237" t="str">
        <v>Kasai 1953 / Congo TM zone 24</v>
      </c>
      <c r="J1237" t="str">
        <v>The Democratic Republic of the Congo (Zaire) - adjacent to 6th parallel south traverse between 23°E and 25°E.</v>
      </c>
      <c r="K1237" s="11">
        <v>0</v>
      </c>
    </row>
    <row r="1238" spans="5:11" x14ac:dyDescent="0.35">
      <c r="E1238" s="9" t="str">
        <v>EPSG</v>
      </c>
      <c r="F1238" s="7" t="str">
        <v>3318</v>
      </c>
      <c r="G1238" t="str">
        <v>ProjectedCrs</v>
      </c>
      <c r="H1238" t="str">
        <v>Transverse Mercator</v>
      </c>
      <c r="I1238" t="str">
        <v>IGC 1962 / Congo TM zone 12</v>
      </c>
      <c r="J1238" t="str">
        <v>The Democratic Republic of the Congo (Zaire) - onshore west of 13°E.</v>
      </c>
      <c r="K1238" s="11">
        <v>0</v>
      </c>
    </row>
    <row r="1239" spans="5:11" x14ac:dyDescent="0.35">
      <c r="E1239" s="9" t="str">
        <v>EPSG</v>
      </c>
      <c r="F1239" s="7" t="str">
        <v>3319</v>
      </c>
      <c r="G1239" t="str">
        <v>ProjectedCrs</v>
      </c>
      <c r="H1239" t="str">
        <v>Transverse Mercator</v>
      </c>
      <c r="I1239" t="str">
        <v>IGC 1962 / Congo TM zone 14</v>
      </c>
      <c r="J1239" t="str">
        <v>The Democratic Republic of the Congo (Zaire) - between 13°E to 15°E.</v>
      </c>
      <c r="K1239" s="11">
        <v>0</v>
      </c>
    </row>
    <row r="1240" spans="5:11" x14ac:dyDescent="0.35">
      <c r="E1240" s="9" t="str">
        <v>EPSG</v>
      </c>
      <c r="F1240" s="7" t="str">
        <v>3320</v>
      </c>
      <c r="G1240" t="str">
        <v>ProjectedCrs</v>
      </c>
      <c r="H1240" t="str">
        <v>Transverse Mercator</v>
      </c>
      <c r="I1240" t="str">
        <v>IGC 1962 / Congo TM zone 16</v>
      </c>
      <c r="J1240" t="str">
        <v>The Democratic Republic of the Congo (Zaire) - adjacent to 6th parallel south traverse between 15°E and 17°E.</v>
      </c>
      <c r="K1240" s="11">
        <v>0</v>
      </c>
    </row>
    <row r="1241" spans="5:11" x14ac:dyDescent="0.35">
      <c r="E1241" s="9" t="str">
        <v>EPSG</v>
      </c>
      <c r="F1241" s="7" t="str">
        <v>3321</v>
      </c>
      <c r="G1241" t="str">
        <v>ProjectedCrs</v>
      </c>
      <c r="H1241" t="str">
        <v>Transverse Mercator</v>
      </c>
      <c r="I1241" t="str">
        <v>IGC 1962 / Congo TM zone 18</v>
      </c>
      <c r="J1241" t="str">
        <v>The Democratic Republic of the Congo (Zaire) - adjacent to 6th parallel traverse between 17°E and 19°E.</v>
      </c>
      <c r="K1241" s="11">
        <v>0</v>
      </c>
    </row>
    <row r="1242" spans="5:11" x14ac:dyDescent="0.35">
      <c r="E1242" s="9" t="str">
        <v>EPSG</v>
      </c>
      <c r="F1242" s="7" t="str">
        <v>3322</v>
      </c>
      <c r="G1242" t="str">
        <v>ProjectedCrs</v>
      </c>
      <c r="H1242" t="str">
        <v>Transverse Mercator</v>
      </c>
      <c r="I1242" t="str">
        <v>IGC 1962 / Congo TM zone 20</v>
      </c>
      <c r="J1242" t="str">
        <v>The Democratic Republic of the Congo (Zaire) - adjacent to 6th parallel south traverse between 19°E and 21°E.</v>
      </c>
      <c r="K1242" s="11">
        <v>0</v>
      </c>
    </row>
    <row r="1243" spans="5:11" x14ac:dyDescent="0.35">
      <c r="E1243" s="9" t="str">
        <v>EPSG</v>
      </c>
      <c r="F1243" s="7" t="str">
        <v>3323</v>
      </c>
      <c r="G1243" t="str">
        <v>ProjectedCrs</v>
      </c>
      <c r="H1243" t="str">
        <v>Transverse Mercator</v>
      </c>
      <c r="I1243" t="str">
        <v>IGC 1962 / Congo TM zone 22</v>
      </c>
      <c r="J1243" t="str">
        <v>The Democratic Republic of the Congo (Zaire) - adjacent to 6th parallel south traverse between 21°E and 23°E.</v>
      </c>
      <c r="K1243" s="11">
        <v>0</v>
      </c>
    </row>
    <row r="1244" spans="5:11" x14ac:dyDescent="0.35">
      <c r="E1244" s="9" t="str">
        <v>EPSG</v>
      </c>
      <c r="F1244" s="7" t="str">
        <v>3324</v>
      </c>
      <c r="G1244" t="str">
        <v>ProjectedCrs</v>
      </c>
      <c r="H1244" t="str">
        <v>Transverse Mercator</v>
      </c>
      <c r="I1244" t="str">
        <v>IGC 1962 / Congo TM zone 24</v>
      </c>
      <c r="J1244" t="str">
        <v>The Democratic Republic of the Congo (Zaire) - adjacent to 6th parallel south traverse between 23°E and 25°E.</v>
      </c>
      <c r="K1244" s="11">
        <v>0</v>
      </c>
    </row>
    <row r="1245" spans="5:11" x14ac:dyDescent="0.35">
      <c r="E1245" s="9" t="str">
        <v>EPSG</v>
      </c>
      <c r="F1245" s="7" t="str">
        <v>3325</v>
      </c>
      <c r="G1245" t="str">
        <v>ProjectedCrs</v>
      </c>
      <c r="H1245" t="str">
        <v>Transverse Mercator</v>
      </c>
      <c r="I1245" t="str">
        <v>IGC 1962 / Congo TM zone 26</v>
      </c>
      <c r="J1245" t="str">
        <v>The Democratic Republic of the Congo (Zaire) - adjacent to 6th parallel south traverse between 25°E and 27°E.</v>
      </c>
      <c r="K1245" s="11">
        <v>0</v>
      </c>
    </row>
    <row r="1246" spans="5:11" x14ac:dyDescent="0.35">
      <c r="E1246" s="9" t="str">
        <v>EPSG</v>
      </c>
      <c r="F1246" s="7" t="str">
        <v>3326</v>
      </c>
      <c r="G1246" t="str">
        <v>ProjectedCrs</v>
      </c>
      <c r="H1246" t="str">
        <v>Transverse Mercator</v>
      </c>
      <c r="I1246" t="str">
        <v>IGC 1962 / Congo TM zone 28</v>
      </c>
      <c r="J1246" t="str">
        <v>The Democratic Republic of the Congo (Zaire) - adjacent to 6th parallel south traverse between 27°E and 29°E.</v>
      </c>
      <c r="K1246" s="11">
        <v>0</v>
      </c>
    </row>
    <row r="1247" spans="5:11" x14ac:dyDescent="0.35">
      <c r="E1247" s="9" t="str">
        <v>EPSG</v>
      </c>
      <c r="F1247" s="7" t="str">
        <v>3327</v>
      </c>
      <c r="G1247" t="str">
        <v>ProjectedCrs</v>
      </c>
      <c r="H1247" t="str">
        <v>Transverse Mercator</v>
      </c>
      <c r="I1247" t="str">
        <v>IGC 1962 / Congo TM zone 30</v>
      </c>
      <c r="J1247" t="str">
        <v>The Democratic Republic of the Congo (Zaire) - adjacent to 6th parallel south traverse and east of 29°E.</v>
      </c>
      <c r="K1247" s="11">
        <v>0</v>
      </c>
    </row>
    <row r="1248" spans="5:11" x14ac:dyDescent="0.35">
      <c r="E1248" s="9" t="str">
        <v>EPSG</v>
      </c>
      <c r="F1248" s="7" t="str">
        <v>3328</v>
      </c>
      <c r="G1248" t="str">
        <v>ProjectedCrs</v>
      </c>
      <c r="H1248" t="str">
        <v>Oblique Stereographic</v>
      </c>
      <c r="I1248" t="str">
        <v>Pulkovo 1942(58) / GUGiK-80</v>
      </c>
      <c r="J1248" t="str">
        <v>Poland - onshore.</v>
      </c>
      <c r="K1248" s="11">
        <v>0</v>
      </c>
    </row>
    <row r="1249" spans="5:11" x14ac:dyDescent="0.35">
      <c r="E1249" s="9" t="str">
        <v>EPSG</v>
      </c>
      <c r="F1249" s="7" t="str">
        <v>3329</v>
      </c>
      <c r="G1249" t="str">
        <v>ProjectedCrs</v>
      </c>
      <c r="H1249" t="str">
        <v>Transverse Mercator</v>
      </c>
      <c r="I1249" t="str">
        <v>Pulkovo 1942(58) / 3-degree Gauss-Kruger zone 5</v>
      </c>
      <c r="J1249" t="str">
        <v>Czechia - between 13°30'E and 16°30'E. Germany - states of former East Germany onshore - east of 13°30'E - Brandenburg; Mecklenburg-Vorpommern; Sachsen. Hungary and Poland - onshore west of 16°30'E.</v>
      </c>
      <c r="K1249" s="11">
        <v>0</v>
      </c>
    </row>
    <row r="1250" spans="5:11" x14ac:dyDescent="0.35">
      <c r="E1250" s="9" t="str">
        <v>EPSG</v>
      </c>
      <c r="F1250" s="7" t="str">
        <v>3330</v>
      </c>
      <c r="G1250" t="str">
        <v>ProjectedCrs</v>
      </c>
      <c r="H1250" t="str">
        <v>Transverse Mercator</v>
      </c>
      <c r="I1250" t="str">
        <v>Pulkovo 1942(58) / 3-degree Gauss-Kruger zone 6</v>
      </c>
      <c r="J1250" t="str">
        <v>Albania - onshore west of 19°30'E. Czechia - east of 16°30'E. Hungary and Poland - onshore between 16°30'E and 19°30'E. Slovakia - west of 19°30'E.</v>
      </c>
      <c r="K1250" s="11">
        <v>0</v>
      </c>
    </row>
    <row r="1251" spans="5:11" x14ac:dyDescent="0.35">
      <c r="E1251" s="9" t="str">
        <v>EPSG</v>
      </c>
      <c r="F1251" s="7" t="str">
        <v>3331</v>
      </c>
      <c r="G1251" t="str">
        <v>ProjectedCrs</v>
      </c>
      <c r="H1251" t="str">
        <v>Transverse Mercator</v>
      </c>
      <c r="I1251" t="str">
        <v>Pulkovo 1942(58) / 3-degree Gauss-Kruger zone 7</v>
      </c>
      <c r="J1251" t="str">
        <v>Albania - east of 19°30'E. Bulgaria and Romania - west of 22°30'E. Hungary, Poland and Slovakia - between 19°30'E and 22°30'E.</v>
      </c>
      <c r="K1251" s="11">
        <v>0</v>
      </c>
    </row>
    <row r="1252" spans="5:11" x14ac:dyDescent="0.35">
      <c r="E1252" s="9" t="str">
        <v>EPSG</v>
      </c>
      <c r="F1252" s="7" t="str">
        <v>3332</v>
      </c>
      <c r="G1252" t="str">
        <v>ProjectedCrs</v>
      </c>
      <c r="H1252" t="str">
        <v>Transverse Mercator</v>
      </c>
      <c r="I1252" t="str">
        <v>Pulkovo 1942(58) / 3-degree Gauss-Kruger zone 8</v>
      </c>
      <c r="J1252" t="str">
        <v>Bulgaria and Romania - between 22°30'E and 25°30'E. Hungary, Poland and Slovakia - east of 22°30'E.</v>
      </c>
      <c r="K1252" s="11">
        <v>0</v>
      </c>
    </row>
    <row r="1253" spans="5:11" x14ac:dyDescent="0.35">
      <c r="E1253" s="9" t="str">
        <v>EPSG</v>
      </c>
      <c r="F1253" s="7" t="str">
        <v>3333</v>
      </c>
      <c r="G1253" t="str">
        <v>ProjectedCrs</v>
      </c>
      <c r="H1253" t="str">
        <v>Transverse Mercator</v>
      </c>
      <c r="I1253" t="str">
        <v>Pulkovo 1942(58) / Gauss-Kruger zone 3</v>
      </c>
      <c r="J1253" t="str">
        <v>Germany (former DDR) - onshore east of 12°E. Poland - onshore west of 18°E. Czechia, Hungary and Slovakia - west of 18°E.</v>
      </c>
      <c r="K1253" s="11">
        <v>0</v>
      </c>
    </row>
    <row r="1254" spans="5:11" x14ac:dyDescent="0.35">
      <c r="E1254" s="9" t="str">
        <v>EPSG</v>
      </c>
      <c r="F1254" s="7" t="str">
        <v>3334</v>
      </c>
      <c r="G1254" t="str">
        <v>ProjectedCrs</v>
      </c>
      <c r="H1254" t="str">
        <v>Transverse Mercator</v>
      </c>
      <c r="I1254" t="str">
        <v>Pulkovo 1942(58) / Gauss-Kruger zone 4</v>
      </c>
      <c r="J1254" t="str">
        <v>Albania - onshore east of 18°E. Czechia, Hungary and Slovakia - east of 18°E. Poland - onshore between 18°E and 24°E. Bulgaria and Romania - onshore west of 24°E.</v>
      </c>
      <c r="K1254" s="11">
        <v>0</v>
      </c>
    </row>
    <row r="1255" spans="5:11" x14ac:dyDescent="0.35">
      <c r="E1255" s="9" t="str">
        <v>EPSG</v>
      </c>
      <c r="F1255" s="7" t="str">
        <v>3335</v>
      </c>
      <c r="G1255" t="str">
        <v>ProjectedCrs</v>
      </c>
      <c r="H1255" t="str">
        <v>Transverse Mercator</v>
      </c>
      <c r="I1255" t="str">
        <v>Pulkovo 1942(58) / Gauss-Kruger zone 5</v>
      </c>
      <c r="J1255" t="str">
        <v>Bulgaria, Poland and Romania - onshore east of 24°E.</v>
      </c>
      <c r="K1255" s="11">
        <v>0</v>
      </c>
    </row>
    <row r="1256" spans="5:11" x14ac:dyDescent="0.35">
      <c r="E1256" s="9" t="str">
        <v>EPSG</v>
      </c>
      <c r="F1256" s="7" t="str">
        <v>3336</v>
      </c>
      <c r="G1256" t="str">
        <v>ProjectedCrs</v>
      </c>
      <c r="H1256" t="str">
        <v>Transverse Mercator</v>
      </c>
      <c r="I1256" t="str">
        <v>IGN 1962 Kerguelen / UTM zone 42S</v>
      </c>
      <c r="J1256" t="str">
        <v>French Southern Territories - Kerguelen onshore.</v>
      </c>
      <c r="K1256" s="11">
        <v>0</v>
      </c>
    </row>
    <row r="1257" spans="5:11" x14ac:dyDescent="0.35">
      <c r="E1257" s="9" t="str">
        <v>EPSG</v>
      </c>
      <c r="F1257" s="7" t="str">
        <v>3337</v>
      </c>
      <c r="G1257" t="str">
        <v>ProjectedCrs</v>
      </c>
      <c r="H1257" t="str">
        <v>Lambert Conic Conformal (1SP)</v>
      </c>
      <c r="I1257" t="str">
        <v>Le Pouce 1934 / Mauritius Grid</v>
      </c>
      <c r="J1257" t="str">
        <v>Mauritius - mainland onshore.</v>
      </c>
      <c r="K1257" s="11">
        <v>0</v>
      </c>
    </row>
    <row r="1258" spans="5:11" x14ac:dyDescent="0.35">
      <c r="E1258" s="9" t="str">
        <v>EPSG</v>
      </c>
      <c r="F1258" s="7" t="str">
        <v>3338</v>
      </c>
      <c r="G1258" t="str">
        <v>ProjectedCrs</v>
      </c>
      <c r="H1258" t="str">
        <v>Albers Equal Area</v>
      </c>
      <c r="I1258" t="str">
        <v>NAD83 / Alaska Albers</v>
      </c>
      <c r="J1258" t="str">
        <v>United States (USA) - Alaska.</v>
      </c>
      <c r="K1258" s="11">
        <v>0</v>
      </c>
    </row>
    <row r="1259" spans="5:11" x14ac:dyDescent="0.35">
      <c r="E1259" s="9" t="str">
        <v>EPSG</v>
      </c>
      <c r="F1259" s="7" t="str">
        <v>3339</v>
      </c>
      <c r="G1259" t="str">
        <v>ProjectedCrs</v>
      </c>
      <c r="H1259" t="str">
        <v>Transverse Mercator</v>
      </c>
      <c r="I1259" t="str">
        <v>IGCB 1955 / Congo TM zone 12</v>
      </c>
      <c r="J1259" t="str">
        <v>The Democratic Republic of the Congo (Zaire) - onshore west of 13°E.</v>
      </c>
      <c r="K1259" s="11">
        <v>0</v>
      </c>
    </row>
    <row r="1260" spans="5:11" x14ac:dyDescent="0.35">
      <c r="E1260" s="9" t="str">
        <v>EPSG</v>
      </c>
      <c r="F1260" s="7" t="str">
        <v>3340</v>
      </c>
      <c r="G1260" t="str">
        <v>ProjectedCrs</v>
      </c>
      <c r="H1260" t="str">
        <v>Transverse Mercator</v>
      </c>
      <c r="I1260" t="str">
        <v>IGCB 1955 / Congo TM zone 14</v>
      </c>
      <c r="J1260" t="str">
        <v>The Democratic Republic of the Congo (Zaire) - between 13°E to 15°E.</v>
      </c>
      <c r="K1260" s="11">
        <v>0</v>
      </c>
    </row>
    <row r="1261" spans="5:11" x14ac:dyDescent="0.35">
      <c r="E1261" s="9" t="str">
        <v>EPSG</v>
      </c>
      <c r="F1261" s="7" t="str">
        <v>3341</v>
      </c>
      <c r="G1261" t="str">
        <v>ProjectedCrs</v>
      </c>
      <c r="H1261" t="str">
        <v>Transverse Mercator</v>
      </c>
      <c r="I1261" t="str">
        <v>IGCB 1955 / Congo TM zone 16</v>
      </c>
      <c r="J1261" t="str">
        <v>The Democratic Republic of the Congo (Zaire) - Bas Congo east of 15°E.</v>
      </c>
      <c r="K1261" s="11">
        <v>0</v>
      </c>
    </row>
    <row r="1262" spans="5:11" x14ac:dyDescent="0.35">
      <c r="E1262" s="9" t="str">
        <v>EPSG</v>
      </c>
      <c r="F1262" s="7" t="str">
        <v>3342</v>
      </c>
      <c r="G1262" t="str">
        <v>ProjectedCrs</v>
      </c>
      <c r="H1262" t="str">
        <v>Transverse Mercator</v>
      </c>
      <c r="I1262" t="str">
        <v>IGCB 1955 / UTM zone 33S</v>
      </c>
      <c r="J1262" t="str">
        <v>The Democratic Republic of the Congo (Zaire) - Lower Congo (Bas Congo)</v>
      </c>
      <c r="K1262" s="11">
        <v>0</v>
      </c>
    </row>
    <row r="1263" spans="5:11" x14ac:dyDescent="0.35">
      <c r="E1263" s="9" t="str">
        <v>EPSG</v>
      </c>
      <c r="F1263" s="7" t="str">
        <v>3343</v>
      </c>
      <c r="G1263" t="str">
        <v>ProjectedCrs</v>
      </c>
      <c r="H1263" t="str">
        <v>Transverse Mercator</v>
      </c>
      <c r="I1263" t="str">
        <v>Mauritania 1999 / UTM zone 28N</v>
      </c>
      <c r="J1263" t="str">
        <v>Mauritania - 18°W to 12°W, onshore and offshore.</v>
      </c>
      <c r="K1263" s="11">
        <v>0</v>
      </c>
    </row>
    <row r="1264" spans="5:11" x14ac:dyDescent="0.35">
      <c r="E1264" s="9" t="str">
        <v>EPSG</v>
      </c>
      <c r="F1264" s="7" t="str">
        <v>3344</v>
      </c>
      <c r="G1264" t="str">
        <v>ProjectedCrs</v>
      </c>
      <c r="H1264" t="str">
        <v>Transverse Mercator</v>
      </c>
      <c r="I1264" t="str">
        <v>Mauritania 1999 / UTM zone 29N</v>
      </c>
      <c r="J1264" t="str">
        <v>Mauritania - between 12°W and 6°W.</v>
      </c>
      <c r="K1264" s="11">
        <v>0</v>
      </c>
    </row>
    <row r="1265" spans="5:11" x14ac:dyDescent="0.35">
      <c r="E1265" s="9" t="str">
        <v>EPSG</v>
      </c>
      <c r="F1265" s="7" t="str">
        <v>3345</v>
      </c>
      <c r="G1265" t="str">
        <v>ProjectedCrs</v>
      </c>
      <c r="H1265" t="str">
        <v>Transverse Mercator</v>
      </c>
      <c r="I1265" t="str">
        <v>Mauritania 1999 / UTM zone 30N</v>
      </c>
      <c r="J1265" t="str">
        <v>Mauritania - east of 6°W.</v>
      </c>
      <c r="K1265" s="11">
        <v>0</v>
      </c>
    </row>
    <row r="1266" spans="5:11" x14ac:dyDescent="0.35">
      <c r="E1266" s="9" t="str">
        <v>EPSG</v>
      </c>
      <c r="F1266" s="7" t="str">
        <v>3346</v>
      </c>
      <c r="G1266" t="str">
        <v>ProjectedCrs</v>
      </c>
      <c r="H1266" t="str">
        <v>Transverse Mercator</v>
      </c>
      <c r="I1266" t="str">
        <v>LKS94 / Lithuania TM</v>
      </c>
      <c r="J1266" t="str">
        <v>Lithuania - onshore and offshore.</v>
      </c>
      <c r="K1266" s="11">
        <v>0</v>
      </c>
    </row>
    <row r="1267" spans="5:11" x14ac:dyDescent="0.35">
      <c r="E1267" s="9" t="str">
        <v>EPSG</v>
      </c>
      <c r="F1267" s="7" t="str">
        <v>3347</v>
      </c>
      <c r="G1267" t="str">
        <v>ProjectedCrs</v>
      </c>
      <c r="H1267" t="str">
        <v>Lambert Conic Conformal (2SP)</v>
      </c>
      <c r="I1267" t="str">
        <v>NAD83 / Statistics Canada Lambert</v>
      </c>
      <c r="J1267" t="str">
        <v>Canada - onshore and offshore - Alberta; British Columbia; Manitoba; New Brunswick; Newfoundland and Labrador; Northwest Territories; Nova Scotia; Nunavut; Ontario; Prince Edward Island; Quebec; Saskatchewan; Yukon.</v>
      </c>
      <c r="K1267" s="11">
        <v>0</v>
      </c>
    </row>
    <row r="1268" spans="5:11" x14ac:dyDescent="0.35">
      <c r="E1268" s="9" t="str">
        <v>EPSG</v>
      </c>
      <c r="F1268" s="7" t="str">
        <v>3348</v>
      </c>
      <c r="G1268" t="str">
        <v>ProjectedCrs</v>
      </c>
      <c r="H1268" t="str">
        <v>Lambert Conic Conformal (2SP)</v>
      </c>
      <c r="I1268" t="str">
        <v>NAD83(CSRS) / Statistics Canada Lambert</v>
      </c>
      <c r="J1268" t="str">
        <v>Canada - onshore and offshore - Alberta; British Columbia; Manitoba; New Brunswick; Newfoundland and Labrador; Northwest Territories; Nova Scotia; Nunavut; Ontario; Prince Edward Island; Quebec; Saskatchewan; Yukon.</v>
      </c>
      <c r="K1268" s="11">
        <v>0</v>
      </c>
    </row>
    <row r="1269" spans="5:11" x14ac:dyDescent="0.35">
      <c r="E1269" s="9" t="str">
        <v>EPSG</v>
      </c>
      <c r="F1269" s="7" t="str">
        <v>3350</v>
      </c>
      <c r="G1269" t="str">
        <v>ProjectedCrs</v>
      </c>
      <c r="H1269" t="str">
        <v>Transverse Mercator</v>
      </c>
      <c r="I1269" t="str">
        <v>Pulkovo 1942 / CS63 zone C0</v>
      </c>
      <c r="J1269" t="str">
        <v>Estonia, Latvia and Lithuania - onshore west of 23°27'E. Russia - Kaliningrad onshore.</v>
      </c>
      <c r="K1269" s="11">
        <v>0</v>
      </c>
    </row>
    <row r="1270" spans="5:11" x14ac:dyDescent="0.35">
      <c r="E1270" s="9" t="str">
        <v>EPSG</v>
      </c>
      <c r="F1270" s="7" t="str">
        <v>3351</v>
      </c>
      <c r="G1270" t="str">
        <v>ProjectedCrs</v>
      </c>
      <c r="H1270" t="str">
        <v>Transverse Mercator</v>
      </c>
      <c r="I1270" t="str">
        <v>Pulkovo 1942 / CS63 zone C1</v>
      </c>
      <c r="J1270" t="str">
        <v>Estonia, Latvia and Lithuania - onshore between 23°27'E and 26°27'E.</v>
      </c>
      <c r="K1270" s="11">
        <v>0</v>
      </c>
    </row>
    <row r="1271" spans="5:11" x14ac:dyDescent="0.35">
      <c r="E1271" s="9" t="str">
        <v>EPSG</v>
      </c>
      <c r="F1271" s="7" t="str">
        <v>3352</v>
      </c>
      <c r="G1271" t="str">
        <v>ProjectedCrs</v>
      </c>
      <c r="H1271" t="str">
        <v>Transverse Mercator</v>
      </c>
      <c r="I1271" t="str">
        <v>Pulkovo 1942 / CS63 zone C2</v>
      </c>
      <c r="J1271" t="str">
        <v>Estonia, Latvia and Lithuania - onshore east of 26°27'E.</v>
      </c>
      <c r="K1271" s="11">
        <v>0</v>
      </c>
    </row>
    <row r="1272" spans="5:11" x14ac:dyDescent="0.35">
      <c r="E1272" s="9" t="str">
        <v>EPSG</v>
      </c>
      <c r="F1272" s="7" t="str">
        <v>3353</v>
      </c>
      <c r="G1272" t="str">
        <v>ProjectedCrs</v>
      </c>
      <c r="H1272" t="str">
        <v>Transverse Mercator</v>
      </c>
      <c r="I1272" t="str">
        <v>Mhast (onshore) / UTM zone 32S</v>
      </c>
      <c r="J1272" t="str">
        <v>Angola (Cabinda) - onshore and offshore; The Democratic Republic of the Congo (Zaire) - onshore coastal area and offshore.</v>
      </c>
      <c r="K1272" s="11">
        <v>0</v>
      </c>
    </row>
    <row r="1273" spans="5:11" x14ac:dyDescent="0.35">
      <c r="E1273" s="9" t="str">
        <v>EPSG</v>
      </c>
      <c r="F1273" s="7" t="str">
        <v>3354</v>
      </c>
      <c r="G1273" t="str">
        <v>ProjectedCrs</v>
      </c>
      <c r="H1273" t="str">
        <v>Transverse Mercator</v>
      </c>
      <c r="I1273" t="str">
        <v>Mhast (offshore) / UTM zone 32S</v>
      </c>
      <c r="J1273" t="str">
        <v>Angola (Cabinda) - offshore; The Democratic Republic of the Congo (Zaire) - offshore.</v>
      </c>
      <c r="K1273" s="11">
        <v>0</v>
      </c>
    </row>
    <row r="1274" spans="5:11" x14ac:dyDescent="0.35">
      <c r="E1274" s="9" t="str">
        <v>EPSG</v>
      </c>
      <c r="F1274" s="7" t="str">
        <v>3355</v>
      </c>
      <c r="G1274" t="str">
        <v>ProjectedCrs</v>
      </c>
      <c r="H1274" t="str">
        <v>Transverse Mercator</v>
      </c>
      <c r="I1274" t="str">
        <v>Egypt Gulf of Suez S-650 TL / Red Belt</v>
      </c>
      <c r="J1274" t="str">
        <v>Egypt - Gulf of Suez.</v>
      </c>
      <c r="K1274" s="11">
        <v>0</v>
      </c>
    </row>
    <row r="1275" spans="5:11" x14ac:dyDescent="0.35">
      <c r="E1275" s="9" t="str">
        <v>EPSG</v>
      </c>
      <c r="F1275" s="7" t="str">
        <v>3358</v>
      </c>
      <c r="G1275" t="str">
        <v>ProjectedCrs</v>
      </c>
      <c r="H1275" t="str">
        <v>Lambert Conic Conformal (2SP)</v>
      </c>
      <c r="I1275" t="str">
        <v>NAD83(HARN) / North Carolina</v>
      </c>
      <c r="J1275"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1275" s="11">
        <v>0</v>
      </c>
    </row>
    <row r="1276" spans="5:11" x14ac:dyDescent="0.35">
      <c r="E1276" s="9" t="str">
        <v>EPSG</v>
      </c>
      <c r="F1276" s="7" t="str">
        <v>3360</v>
      </c>
      <c r="G1276" t="str">
        <v>ProjectedCrs</v>
      </c>
      <c r="H1276" t="str">
        <v>Lambert Conic Conformal (2SP)</v>
      </c>
      <c r="I1276" t="str">
        <v>NAD83(HARN) / South Carolina</v>
      </c>
      <c r="J1276"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1276" s="11">
        <v>0</v>
      </c>
    </row>
    <row r="1277" spans="5:11" x14ac:dyDescent="0.35">
      <c r="E1277" s="9" t="str">
        <v>EPSG</v>
      </c>
      <c r="F1277" s="7" t="str">
        <v>3361</v>
      </c>
      <c r="G1277" t="str">
        <v>ProjectedCrs</v>
      </c>
      <c r="H1277" t="str">
        <v>Lambert Conic Conformal (2SP)</v>
      </c>
      <c r="I1277" t="str">
        <v>NAD83(HARN) / South Carolina (ft)</v>
      </c>
      <c r="J1277"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1277" s="11">
        <v>0</v>
      </c>
    </row>
    <row r="1278" spans="5:11" x14ac:dyDescent="0.35">
      <c r="E1278" s="9" t="str">
        <v>EPSG</v>
      </c>
      <c r="F1278" s="7" t="str">
        <v>3362</v>
      </c>
      <c r="G1278" t="str">
        <v>ProjectedCrs</v>
      </c>
      <c r="H1278" t="str">
        <v>Lambert Conic Conformal (2SP)</v>
      </c>
      <c r="I1278" t="str">
        <v>NAD83(HARN) / Pennsylvania North</v>
      </c>
      <c r="J1278"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1278" s="11">
        <v>0</v>
      </c>
    </row>
    <row r="1279" spans="5:11" x14ac:dyDescent="0.35">
      <c r="E1279" s="9" t="str">
        <v>EPSG</v>
      </c>
      <c r="F1279" s="7" t="str">
        <v>3363</v>
      </c>
      <c r="G1279" t="str">
        <v>ProjectedCrs</v>
      </c>
      <c r="H1279" t="str">
        <v>Lambert Conic Conformal (2SP)</v>
      </c>
      <c r="I1279" t="str">
        <v>NAD83(HARN) / Pennsylvania North (ftUS)</v>
      </c>
      <c r="J1279"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1279" s="11">
        <v>0</v>
      </c>
    </row>
    <row r="1280" spans="5:11" x14ac:dyDescent="0.35">
      <c r="E1280" s="9" t="str">
        <v>EPSG</v>
      </c>
      <c r="F1280" s="7" t="str">
        <v>3364</v>
      </c>
      <c r="G1280" t="str">
        <v>ProjectedCrs</v>
      </c>
      <c r="H1280" t="str">
        <v>Lambert Conic Conformal (2SP)</v>
      </c>
      <c r="I1280" t="str">
        <v>NAD83(HARN) / Pennsylvania South</v>
      </c>
      <c r="J1280"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1280" s="11">
        <v>0</v>
      </c>
    </row>
    <row r="1281" spans="5:11" x14ac:dyDescent="0.35">
      <c r="E1281" s="9" t="str">
        <v>EPSG</v>
      </c>
      <c r="F1281" s="7" t="str">
        <v>3365</v>
      </c>
      <c r="G1281" t="str">
        <v>ProjectedCrs</v>
      </c>
      <c r="H1281" t="str">
        <v>Lambert Conic Conformal (2SP)</v>
      </c>
      <c r="I1281" t="str">
        <v>NAD83(HARN) / Pennsylvania South (ftUS)</v>
      </c>
      <c r="J1281"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1281" s="11">
        <v>0</v>
      </c>
    </row>
    <row r="1282" spans="5:11" x14ac:dyDescent="0.35">
      <c r="E1282" s="9" t="str">
        <v>EPSG</v>
      </c>
      <c r="F1282" s="7" t="str">
        <v>3367</v>
      </c>
      <c r="G1282" t="str">
        <v>ProjectedCrs</v>
      </c>
      <c r="H1282" t="str">
        <v>Transverse Mercator</v>
      </c>
      <c r="I1282" t="str">
        <v>IGN Astro 1960 / UTM zone 28N</v>
      </c>
      <c r="J1282" t="str">
        <v>Mauritania - onshore west of 12°W.</v>
      </c>
      <c r="K1282" s="11">
        <v>0</v>
      </c>
    </row>
    <row r="1283" spans="5:11" x14ac:dyDescent="0.35">
      <c r="E1283" s="9" t="str">
        <v>EPSG</v>
      </c>
      <c r="F1283" s="7" t="str">
        <v>3368</v>
      </c>
      <c r="G1283" t="str">
        <v>ProjectedCrs</v>
      </c>
      <c r="H1283" t="str">
        <v>Transverse Mercator</v>
      </c>
      <c r="I1283" t="str">
        <v>IGN Astro 1960 / UTM zone 29N</v>
      </c>
      <c r="J1283" t="str">
        <v>Mauritania - between 12°W and 6°W.</v>
      </c>
      <c r="K1283" s="11">
        <v>0</v>
      </c>
    </row>
    <row r="1284" spans="5:11" x14ac:dyDescent="0.35">
      <c r="E1284" s="9" t="str">
        <v>EPSG</v>
      </c>
      <c r="F1284" s="7" t="str">
        <v>3369</v>
      </c>
      <c r="G1284" t="str">
        <v>ProjectedCrs</v>
      </c>
      <c r="H1284" t="str">
        <v>Transverse Mercator</v>
      </c>
      <c r="I1284" t="str">
        <v>IGN Astro 1960 / UTM zone 30N</v>
      </c>
      <c r="J1284" t="str">
        <v>Mauritania - east of 6°W.</v>
      </c>
      <c r="K1284" s="11">
        <v>0</v>
      </c>
    </row>
    <row r="1285" spans="5:11" x14ac:dyDescent="0.35">
      <c r="E1285" s="9" t="str">
        <v>EPSG</v>
      </c>
      <c r="F1285" s="7" t="str">
        <v>3370</v>
      </c>
      <c r="G1285" t="str">
        <v>ProjectedCrs</v>
      </c>
      <c r="H1285" t="str">
        <v>Transverse Mercator</v>
      </c>
      <c r="I1285" t="str">
        <v>NAD27 / UTM zone 59N</v>
      </c>
      <c r="J1285" t="str">
        <v>United States (USA) - west of 174°E. Alaska and offshore continental shelf (OCS).</v>
      </c>
      <c r="K1285" s="11">
        <v>0</v>
      </c>
    </row>
    <row r="1286" spans="5:11" x14ac:dyDescent="0.35">
      <c r="E1286" s="9" t="str">
        <v>EPSG</v>
      </c>
      <c r="F1286" s="7" t="str">
        <v>3371</v>
      </c>
      <c r="G1286" t="str">
        <v>ProjectedCrs</v>
      </c>
      <c r="H1286" t="str">
        <v>Transverse Mercator</v>
      </c>
      <c r="I1286" t="str">
        <v>NAD27 / UTM zone 60N</v>
      </c>
      <c r="J1286" t="str">
        <v>United States (USA) - between 174°E and 180°E - Alaska and offshore continental shelf (OCS).</v>
      </c>
      <c r="K1286" s="11">
        <v>0</v>
      </c>
    </row>
    <row r="1287" spans="5:11" x14ac:dyDescent="0.35">
      <c r="E1287" s="9" t="str">
        <v>EPSG</v>
      </c>
      <c r="F1287" s="7" t="str">
        <v>3372</v>
      </c>
      <c r="G1287" t="str">
        <v>ProjectedCrs</v>
      </c>
      <c r="H1287" t="str">
        <v>Transverse Mercator</v>
      </c>
      <c r="I1287" t="str">
        <v>NAD83 / UTM zone 59N</v>
      </c>
      <c r="J1287" t="str">
        <v>United States (USA) - west of 174°E. Alaska and offshore continental shelf (OCS).</v>
      </c>
      <c r="K1287" s="11">
        <v>0</v>
      </c>
    </row>
    <row r="1288" spans="5:11" x14ac:dyDescent="0.35">
      <c r="E1288" s="9" t="str">
        <v>EPSG</v>
      </c>
      <c r="F1288" s="7" t="str">
        <v>3373</v>
      </c>
      <c r="G1288" t="str">
        <v>ProjectedCrs</v>
      </c>
      <c r="H1288" t="str">
        <v>Transverse Mercator</v>
      </c>
      <c r="I1288" t="str">
        <v>NAD83 / UTM zone 60N</v>
      </c>
      <c r="J1288" t="str">
        <v>United States (USA) - between 174°E and 180°E - Alaska and offshore continental shelf (OCS).</v>
      </c>
      <c r="K1288" s="11">
        <v>0</v>
      </c>
    </row>
    <row r="1289" spans="5:11" x14ac:dyDescent="0.35">
      <c r="E1289" s="9" t="str">
        <v>EPSG</v>
      </c>
      <c r="F1289" s="7" t="str">
        <v>3374</v>
      </c>
      <c r="G1289" t="str">
        <v>ProjectedCrs</v>
      </c>
      <c r="H1289" t="str">
        <v>Transverse Mercator</v>
      </c>
      <c r="I1289" t="str">
        <v>FD54 / UTM zone 29N</v>
      </c>
      <c r="J1289" t="str">
        <v>Faroe Islands - onshore.</v>
      </c>
      <c r="K1289" s="11">
        <v>0</v>
      </c>
    </row>
    <row r="1290" spans="5:11" x14ac:dyDescent="0.35">
      <c r="E1290" s="9" t="str">
        <v>EPSG</v>
      </c>
      <c r="F1290" s="7" t="str">
        <v>3375</v>
      </c>
      <c r="G1290" t="str">
        <v>ProjectedCrs</v>
      </c>
      <c r="H1290" t="str">
        <v>Hotine Oblique Mercator (variant A)</v>
      </c>
      <c r="I1290" t="str">
        <v>GDM2000 / Peninsula RSO</v>
      </c>
      <c r="J1290" t="str">
        <v>Malaysia - West Malaysia onshore and offshore.</v>
      </c>
      <c r="K1290" s="11">
        <v>0</v>
      </c>
    </row>
    <row r="1291" spans="5:11" x14ac:dyDescent="0.35">
      <c r="E1291" s="9" t="str">
        <v>EPSG</v>
      </c>
      <c r="F1291" s="7" t="str">
        <v>3376</v>
      </c>
      <c r="G1291" t="str">
        <v>ProjectedCrs</v>
      </c>
      <c r="H1291" t="str">
        <v>Hotine Oblique Mercator (variant A)</v>
      </c>
      <c r="I1291" t="str">
        <v>GDM2000 / East Malaysia BRSO</v>
      </c>
      <c r="J1291" t="str">
        <v>Malaysia - East Malaysia (Sabah; Sarawak), onshore and offshore.</v>
      </c>
      <c r="K1291" s="11">
        <v>0</v>
      </c>
    </row>
    <row r="1292" spans="5:11" x14ac:dyDescent="0.35">
      <c r="E1292" s="9" t="str">
        <v>EPSG</v>
      </c>
      <c r="F1292" s="7" t="str">
        <v>3377</v>
      </c>
      <c r="G1292" t="str">
        <v>ProjectedCrs</v>
      </c>
      <c r="H1292" t="str">
        <v>Cassini-Soldner</v>
      </c>
      <c r="I1292" t="str">
        <v>GDM2000 / Johor Grid</v>
      </c>
      <c r="J1292" t="str">
        <v>Malaysia - West Malaysia - Johor.</v>
      </c>
      <c r="K1292" s="11">
        <v>0</v>
      </c>
    </row>
    <row r="1293" spans="5:11" x14ac:dyDescent="0.35">
      <c r="E1293" s="9" t="str">
        <v>EPSG</v>
      </c>
      <c r="F1293" s="7" t="str">
        <v>3378</v>
      </c>
      <c r="G1293" t="str">
        <v>ProjectedCrs</v>
      </c>
      <c r="H1293" t="str">
        <v>Cassini-Soldner</v>
      </c>
      <c r="I1293" t="str">
        <v>GDM2000 / Sembilan and Melaka Grid</v>
      </c>
      <c r="J1293" t="str">
        <v>Malaysia - West Malaysia - Negeri Sembilan and Melaka.</v>
      </c>
      <c r="K1293" s="11">
        <v>0</v>
      </c>
    </row>
    <row r="1294" spans="5:11" x14ac:dyDescent="0.35">
      <c r="E1294" s="9" t="str">
        <v>EPSG</v>
      </c>
      <c r="F1294" s="7" t="str">
        <v>3379</v>
      </c>
      <c r="G1294" t="str">
        <v>ProjectedCrs</v>
      </c>
      <c r="H1294" t="str">
        <v>Cassini-Soldner</v>
      </c>
      <c r="I1294" t="str">
        <v>GDM2000 / Pahang Grid</v>
      </c>
      <c r="J1294" t="str">
        <v>Malaysia - West Malaysia - Pahang.</v>
      </c>
      <c r="K1294" s="11">
        <v>0</v>
      </c>
    </row>
    <row r="1295" spans="5:11" x14ac:dyDescent="0.35">
      <c r="E1295" s="9" t="str">
        <v>EPSG</v>
      </c>
      <c r="F1295" s="7" t="str">
        <v>3380</v>
      </c>
      <c r="G1295" t="str">
        <v>ProjectedCrs</v>
      </c>
      <c r="H1295" t="str">
        <v>Cassini-Soldner</v>
      </c>
      <c r="I1295" t="str">
        <v>GDM2000 / Selangor Grid</v>
      </c>
      <c r="J1295" t="str">
        <v>Malaysia - West Malaysia - Selangor.</v>
      </c>
      <c r="K1295" s="11">
        <v>0</v>
      </c>
    </row>
    <row r="1296" spans="5:11" x14ac:dyDescent="0.35">
      <c r="E1296" s="9" t="str">
        <v>EPSG</v>
      </c>
      <c r="F1296" s="7" t="str">
        <v>3381</v>
      </c>
      <c r="G1296" t="str">
        <v>ProjectedCrs</v>
      </c>
      <c r="H1296" t="str">
        <v>Cassini-Soldner</v>
      </c>
      <c r="I1296" t="str">
        <v>GDM2000 / Terengganu Grid</v>
      </c>
      <c r="J1296" t="str">
        <v>Malaysia - West Malaysia - Terengganu.</v>
      </c>
      <c r="K1296" s="11">
        <v>0</v>
      </c>
    </row>
    <row r="1297" spans="5:11" x14ac:dyDescent="0.35">
      <c r="E1297" s="9" t="str">
        <v>EPSG</v>
      </c>
      <c r="F1297" s="7" t="str">
        <v>3382</v>
      </c>
      <c r="G1297" t="str">
        <v>ProjectedCrs</v>
      </c>
      <c r="H1297" t="str">
        <v>Cassini-Soldner</v>
      </c>
      <c r="I1297" t="str">
        <v>GDM2000 / Pinang Grid</v>
      </c>
      <c r="J1297" t="str">
        <v>Malaysia - West Malaysia - Pulau Pinang - Pinang (Penang) Island and Seberang Perai (Province Wellesley).</v>
      </c>
      <c r="K1297" s="11">
        <v>0</v>
      </c>
    </row>
    <row r="1298" spans="5:11" x14ac:dyDescent="0.35">
      <c r="E1298" s="9" t="str">
        <v>EPSG</v>
      </c>
      <c r="F1298" s="7" t="str">
        <v>3383</v>
      </c>
      <c r="G1298" t="str">
        <v>ProjectedCrs</v>
      </c>
      <c r="H1298" t="str">
        <v>Cassini-Soldner</v>
      </c>
      <c r="I1298" t="str">
        <v>GDM2000 / Kedah and Perlis Grid</v>
      </c>
      <c r="J1298" t="str">
        <v>Malaysia - West Malaysia - Kedah and Perlis.</v>
      </c>
      <c r="K1298" s="11">
        <v>0</v>
      </c>
    </row>
    <row r="1299" spans="5:11" x14ac:dyDescent="0.35">
      <c r="E1299" s="9" t="str">
        <v>EPSG</v>
      </c>
      <c r="F1299" s="7" t="str">
        <v>3384</v>
      </c>
      <c r="G1299" t="str">
        <v>ProjectedCrs</v>
      </c>
      <c r="H1299" t="str">
        <v>Cassini-Soldner</v>
      </c>
      <c r="I1299" t="str">
        <v>GDM2000 / Perak Grid</v>
      </c>
      <c r="J1299" t="str">
        <v>Malaysia - West Malaysia - Perak.</v>
      </c>
      <c r="K1299" s="11">
        <v>0</v>
      </c>
    </row>
    <row r="1300" spans="5:11" x14ac:dyDescent="0.35">
      <c r="E1300" s="9" t="str">
        <v>EPSG</v>
      </c>
      <c r="F1300" s="7" t="str">
        <v>3385</v>
      </c>
      <c r="G1300" t="str">
        <v>ProjectedCrs</v>
      </c>
      <c r="H1300" t="str">
        <v>Cassini-Soldner</v>
      </c>
      <c r="I1300" t="str">
        <v>GDM2000 / Kelantan Grid</v>
      </c>
      <c r="J1300" t="str">
        <v>Malaysia - West Malaysia - Kelantan.</v>
      </c>
      <c r="K1300" s="11">
        <v>0</v>
      </c>
    </row>
    <row r="1301" spans="5:11" x14ac:dyDescent="0.35">
      <c r="E1301" s="9" t="str">
        <v>EPSG</v>
      </c>
      <c r="F1301" s="7" t="str">
        <v>3386</v>
      </c>
      <c r="G1301" t="str">
        <v>ProjectedCrs</v>
      </c>
      <c r="H1301" t="str">
        <v>Transverse Mercator</v>
      </c>
      <c r="I1301" t="str">
        <v>KKJ / Finland zone 0</v>
      </c>
      <c r="J1301" t="str">
        <v>Finland - onshore west of 19°30'E.</v>
      </c>
      <c r="K1301" s="11">
        <v>0</v>
      </c>
    </row>
    <row r="1302" spans="5:11" x14ac:dyDescent="0.35">
      <c r="E1302" s="9" t="str">
        <v>EPSG</v>
      </c>
      <c r="F1302" s="7" t="str">
        <v>3387</v>
      </c>
      <c r="G1302" t="str">
        <v>ProjectedCrs</v>
      </c>
      <c r="H1302" t="str">
        <v>Transverse Mercator</v>
      </c>
      <c r="I1302" t="str">
        <v>KKJ / Finland zone 5</v>
      </c>
      <c r="J1302" t="str">
        <v>Finland - east of 31°30'E.</v>
      </c>
      <c r="K1302" s="11">
        <v>0</v>
      </c>
    </row>
    <row r="1303" spans="5:11" x14ac:dyDescent="0.35">
      <c r="E1303" s="9" t="str">
        <v>EPSG</v>
      </c>
      <c r="F1303" s="7" t="str">
        <v>3388</v>
      </c>
      <c r="G1303" t="str">
        <v>ProjectedCrs</v>
      </c>
      <c r="H1303" t="str">
        <v>Mercator (variant B)</v>
      </c>
      <c r="I1303" t="str">
        <v>Pulkovo 1942 / Caspian Sea Mercator</v>
      </c>
      <c r="J1303" t="str">
        <v>Azerbaijan - offshore; Kazakhstan - offshore; Russian Federation - Caspian Sea; Turkmenistan - offshore.</v>
      </c>
      <c r="K1303" s="11">
        <v>0</v>
      </c>
    </row>
    <row r="1304" spans="5:11" x14ac:dyDescent="0.35">
      <c r="E1304" s="9" t="str">
        <v>EPSG</v>
      </c>
      <c r="F1304" s="7" t="str">
        <v>3389</v>
      </c>
      <c r="G1304" t="str">
        <v>ProjectedCrs</v>
      </c>
      <c r="H1304" t="str">
        <v>Transverse Mercator</v>
      </c>
      <c r="I1304" t="str">
        <v>Pulkovo 1942 / 3-degree Gauss-Kruger zone 60</v>
      </c>
      <c r="J1304" t="str">
        <v>Russian Federation - onshore between 178°30'E and 178°30'W.</v>
      </c>
      <c r="K1304" s="11">
        <v>0</v>
      </c>
    </row>
    <row r="1305" spans="5:11" x14ac:dyDescent="0.35">
      <c r="E1305" s="9" t="str">
        <v>EPSG</v>
      </c>
      <c r="F1305" s="7" t="str">
        <v>3390</v>
      </c>
      <c r="G1305" t="str">
        <v>ProjectedCrs</v>
      </c>
      <c r="H1305" t="str">
        <v>Transverse Mercator</v>
      </c>
      <c r="I1305" t="str">
        <v>Pulkovo 1995 / 3-degree Gauss-Kruger zone 60</v>
      </c>
      <c r="J1305" t="str">
        <v>Russian Federation - onshore between 178°30'E and 178°30'W.</v>
      </c>
      <c r="K1305" s="11">
        <v>0</v>
      </c>
    </row>
    <row r="1306" spans="5:11" x14ac:dyDescent="0.35">
      <c r="E1306" s="9" t="str">
        <v>EPSG</v>
      </c>
      <c r="F1306" s="7" t="str">
        <v>3391</v>
      </c>
      <c r="G1306" t="str">
        <v>ProjectedCrs</v>
      </c>
      <c r="H1306" t="str">
        <v>Transverse Mercator</v>
      </c>
      <c r="I1306" t="str">
        <v>Karbala 1979 / UTM zone 37N</v>
      </c>
      <c r="J1306" t="str">
        <v>Iraq - west of 42°E.</v>
      </c>
      <c r="K1306" s="11">
        <v>0</v>
      </c>
    </row>
    <row r="1307" spans="5:11" x14ac:dyDescent="0.35">
      <c r="E1307" s="9" t="str">
        <v>EPSG</v>
      </c>
      <c r="F1307" s="7" t="str">
        <v>3392</v>
      </c>
      <c r="G1307" t="str">
        <v>ProjectedCrs</v>
      </c>
      <c r="H1307" t="str">
        <v>Transverse Mercator</v>
      </c>
      <c r="I1307" t="str">
        <v>Karbala 1979 / UTM zone 38N</v>
      </c>
      <c r="J1307" t="str">
        <v>Iraq - between 42°E and 48°E.</v>
      </c>
      <c r="K1307" s="11">
        <v>0</v>
      </c>
    </row>
    <row r="1308" spans="5:11" x14ac:dyDescent="0.35">
      <c r="E1308" s="9" t="str">
        <v>EPSG</v>
      </c>
      <c r="F1308" s="7" t="str">
        <v>3393</v>
      </c>
      <c r="G1308" t="str">
        <v>ProjectedCrs</v>
      </c>
      <c r="H1308" t="str">
        <v>Transverse Mercator</v>
      </c>
      <c r="I1308" t="str">
        <v>Karbala 1979 / UTM zone 39N</v>
      </c>
      <c r="J1308" t="str">
        <v>Iraq - onshore east of 48°E.</v>
      </c>
      <c r="K1308" s="11">
        <v>0</v>
      </c>
    </row>
    <row r="1309" spans="5:11" x14ac:dyDescent="0.35">
      <c r="E1309" s="9" t="str">
        <v>EPSG</v>
      </c>
      <c r="F1309" s="7" t="str">
        <v>3394</v>
      </c>
      <c r="G1309" t="str">
        <v>ProjectedCrs</v>
      </c>
      <c r="H1309" t="str">
        <v>Lambert Conic Conformal (1SP)</v>
      </c>
      <c r="I1309" t="str">
        <v>Nahrwan 1934 / Iraq zone</v>
      </c>
      <c r="J1309" t="str">
        <v>Iraq - onshore; Iran - onshore northern Gulf coast and west bordering southeast Iraq.</v>
      </c>
      <c r="K1309" s="11">
        <v>0</v>
      </c>
    </row>
    <row r="1310" spans="5:11" x14ac:dyDescent="0.35">
      <c r="E1310" s="9" t="str">
        <v>EPSG</v>
      </c>
      <c r="F1310" s="7" t="str">
        <v>3395</v>
      </c>
      <c r="G1310" t="str">
        <v>ProjectedCrs</v>
      </c>
      <c r="H1310" t="str">
        <v>Mercator (variant A)</v>
      </c>
      <c r="I1310" t="str">
        <v>WGS 84 / World Mercator</v>
      </c>
      <c r="J1310" t="str">
        <v>World between 80°S and 84°N.</v>
      </c>
      <c r="K1310" s="11">
        <v>0</v>
      </c>
    </row>
    <row r="1311" spans="5:11" x14ac:dyDescent="0.35">
      <c r="E1311" s="9" t="str">
        <v>EPSG</v>
      </c>
      <c r="F1311" s="7" t="str">
        <v>3396</v>
      </c>
      <c r="G1311" t="str">
        <v>ProjectedCrs</v>
      </c>
      <c r="H1311" t="str">
        <v>Transverse Mercator</v>
      </c>
      <c r="I1311" t="str">
        <v>PD/83 / 3-degree Gauss-Kruger zone 3</v>
      </c>
      <c r="J1311" t="str">
        <v>Germany - Thuringen - west of 10°30'E.</v>
      </c>
      <c r="K1311" s="11">
        <v>0</v>
      </c>
    </row>
    <row r="1312" spans="5:11" x14ac:dyDescent="0.35">
      <c r="E1312" s="9" t="str">
        <v>EPSG</v>
      </c>
      <c r="F1312" s="7" t="str">
        <v>3397</v>
      </c>
      <c r="G1312" t="str">
        <v>ProjectedCrs</v>
      </c>
      <c r="H1312" t="str">
        <v>Transverse Mercator</v>
      </c>
      <c r="I1312" t="str">
        <v>PD/83 / 3-degree Gauss-Kruger zone 4</v>
      </c>
      <c r="J1312" t="str">
        <v>Germany - Thuringen - east of 10°30'E.</v>
      </c>
      <c r="K1312" s="11">
        <v>0</v>
      </c>
    </row>
    <row r="1313" spans="5:11" x14ac:dyDescent="0.35">
      <c r="E1313" s="9" t="str">
        <v>EPSG</v>
      </c>
      <c r="F1313" s="7" t="str">
        <v>3398</v>
      </c>
      <c r="G1313" t="str">
        <v>ProjectedCrs</v>
      </c>
      <c r="H1313" t="str">
        <v>Transverse Mercator</v>
      </c>
      <c r="I1313" t="str">
        <v>RD/83 / 3-degree Gauss-Kruger zone 4</v>
      </c>
      <c r="J1313" t="str">
        <v>Germany - Sachsen - west of 13°30'E.</v>
      </c>
      <c r="K1313" s="11">
        <v>0</v>
      </c>
    </row>
    <row r="1314" spans="5:11" x14ac:dyDescent="0.35">
      <c r="E1314" s="9" t="str">
        <v>EPSG</v>
      </c>
      <c r="F1314" s="7" t="str">
        <v>3399</v>
      </c>
      <c r="G1314" t="str">
        <v>ProjectedCrs</v>
      </c>
      <c r="H1314" t="str">
        <v>Transverse Mercator</v>
      </c>
      <c r="I1314" t="str">
        <v>RD/83 / 3-degree Gauss-Kruger zone 5</v>
      </c>
      <c r="J1314" t="str">
        <v>Germany - Sachsen - east of 13°30'E.</v>
      </c>
      <c r="K1314" s="11">
        <v>0</v>
      </c>
    </row>
    <row r="1315" spans="5:11" x14ac:dyDescent="0.35">
      <c r="E1315" s="9" t="str">
        <v>EPSG</v>
      </c>
      <c r="F1315" s="7" t="str">
        <v>3400</v>
      </c>
      <c r="G1315" t="str">
        <v>ProjectedCrs</v>
      </c>
      <c r="H1315" t="str">
        <v>Transverse Mercator</v>
      </c>
      <c r="I1315" t="str">
        <v>NAD83 / Alberta 10-TM (Forest)</v>
      </c>
      <c r="J1315" t="str">
        <v>Canada - Alberta.</v>
      </c>
      <c r="K1315" s="11">
        <v>0</v>
      </c>
    </row>
    <row r="1316" spans="5:11" x14ac:dyDescent="0.35">
      <c r="E1316" s="9" t="str">
        <v>EPSG</v>
      </c>
      <c r="F1316" s="7" t="str">
        <v>3401</v>
      </c>
      <c r="G1316" t="str">
        <v>ProjectedCrs</v>
      </c>
      <c r="H1316" t="str">
        <v>Transverse Mercator</v>
      </c>
      <c r="I1316" t="str">
        <v>NAD83 / Alberta 10-TM (Resource)</v>
      </c>
      <c r="J1316" t="str">
        <v>Canada - Alberta.</v>
      </c>
      <c r="K1316" s="11">
        <v>0</v>
      </c>
    </row>
    <row r="1317" spans="5:11" x14ac:dyDescent="0.35">
      <c r="E1317" s="9" t="str">
        <v>EPSG</v>
      </c>
      <c r="F1317" s="7" t="str">
        <v>3402</v>
      </c>
      <c r="G1317" t="str">
        <v>ProjectedCrs</v>
      </c>
      <c r="H1317" t="str">
        <v>Transverse Mercator</v>
      </c>
      <c r="I1317" t="str">
        <v>NAD83(CSRS) / Alberta 10-TM (Forest)</v>
      </c>
      <c r="J1317" t="str">
        <v>Canada - Alberta.</v>
      </c>
      <c r="K1317" s="11">
        <v>0</v>
      </c>
    </row>
    <row r="1318" spans="5:11" x14ac:dyDescent="0.35">
      <c r="E1318" s="9" t="str">
        <v>EPSG</v>
      </c>
      <c r="F1318" s="7" t="str">
        <v>3403</v>
      </c>
      <c r="G1318" t="str">
        <v>ProjectedCrs</v>
      </c>
      <c r="H1318" t="str">
        <v>Transverse Mercator</v>
      </c>
      <c r="I1318" t="str">
        <v>NAD83(CSRS) / Alberta 10-TM (Resource)</v>
      </c>
      <c r="J1318" t="str">
        <v>Canada - Alberta.</v>
      </c>
      <c r="K1318" s="11">
        <v>0</v>
      </c>
    </row>
    <row r="1319" spans="5:11" x14ac:dyDescent="0.35">
      <c r="E1319" s="9" t="str">
        <v>EPSG</v>
      </c>
      <c r="F1319" s="7" t="str">
        <v>3404</v>
      </c>
      <c r="G1319" t="str">
        <v>ProjectedCrs</v>
      </c>
      <c r="H1319" t="str">
        <v>Lambert Conic Conformal (2SP)</v>
      </c>
      <c r="I1319" t="str">
        <v>NAD83(HARN) / North Carolina (ftUS)</v>
      </c>
      <c r="J1319"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1319" s="11">
        <v>0</v>
      </c>
    </row>
    <row r="1320" spans="5:11" x14ac:dyDescent="0.35">
      <c r="E1320" s="9" t="str">
        <v>EPSG</v>
      </c>
      <c r="F1320" s="7" t="str">
        <v>3405</v>
      </c>
      <c r="G1320" t="str">
        <v>ProjectedCrs</v>
      </c>
      <c r="H1320" t="str">
        <v>Transverse Mercator</v>
      </c>
      <c r="I1320" t="str">
        <v>VN-2000 / UTM zone 48N</v>
      </c>
      <c r="J1320" t="str">
        <v>Vietnam - onshore west of 108°E.</v>
      </c>
      <c r="K1320" s="11">
        <v>0</v>
      </c>
    </row>
    <row r="1321" spans="5:11" x14ac:dyDescent="0.35">
      <c r="E1321" s="9" t="str">
        <v>EPSG</v>
      </c>
      <c r="F1321" s="7" t="str">
        <v>3406</v>
      </c>
      <c r="G1321" t="str">
        <v>ProjectedCrs</v>
      </c>
      <c r="H1321" t="str">
        <v>Transverse Mercator</v>
      </c>
      <c r="I1321" t="str">
        <v>VN-2000 / UTM zone 49N</v>
      </c>
      <c r="J1321" t="str">
        <v>Vietnam - onshore east of 108°E.</v>
      </c>
      <c r="K1321" s="11">
        <v>0</v>
      </c>
    </row>
    <row r="1322" spans="5:11" x14ac:dyDescent="0.35">
      <c r="E1322" s="9" t="str">
        <v>EPSG</v>
      </c>
      <c r="F1322" s="7" t="str">
        <v>3407</v>
      </c>
      <c r="G1322" t="str">
        <v>ProjectedCrs</v>
      </c>
      <c r="H1322" t="str">
        <v>Cassini-Soldner</v>
      </c>
      <c r="I1322" t="str">
        <v>Hong Kong 1963 Grid System</v>
      </c>
      <c r="J1322" t="str">
        <v>China - Hong Kong - onshore and offshore.</v>
      </c>
      <c r="K1322" s="11">
        <v>0</v>
      </c>
    </row>
    <row r="1323" spans="5:11" x14ac:dyDescent="0.35">
      <c r="E1323" s="9" t="str">
        <v>EPSG</v>
      </c>
      <c r="F1323" s="7" t="str">
        <v>3408</v>
      </c>
      <c r="G1323" t="str">
        <v>ProjectedCrs</v>
      </c>
      <c r="H1323" t="str">
        <v>Lambert Azimuthal Equal Area (Spherical)</v>
      </c>
      <c r="I1323" t="str">
        <v>NSIDC EASE-Grid North</v>
      </c>
      <c r="J1323" t="str">
        <v>Northern hemisphere.</v>
      </c>
      <c r="K1323" s="11">
        <v>0</v>
      </c>
    </row>
    <row r="1324" spans="5:11" x14ac:dyDescent="0.35">
      <c r="E1324" s="9" t="str">
        <v>EPSG</v>
      </c>
      <c r="F1324" s="7" t="str">
        <v>3409</v>
      </c>
      <c r="G1324" t="str">
        <v>ProjectedCrs</v>
      </c>
      <c r="H1324" t="str">
        <v>Lambert Azimuthal Equal Area (Spherical)</v>
      </c>
      <c r="I1324" t="str">
        <v>NSIDC EASE-Grid South</v>
      </c>
      <c r="J1324" t="str">
        <v>Southern hemisphere.</v>
      </c>
      <c r="K1324" s="11">
        <v>0</v>
      </c>
    </row>
    <row r="1325" spans="5:11" x14ac:dyDescent="0.35">
      <c r="E1325" s="9" t="str">
        <v>EPSG</v>
      </c>
      <c r="F1325" s="7" t="str">
        <v>3410</v>
      </c>
      <c r="G1325" t="str">
        <v>ProjectedCrs</v>
      </c>
      <c r="H1325" t="str">
        <v>Lambert Cylindrical Equal Area (Spherical)</v>
      </c>
      <c r="I1325" t="str">
        <v>NSIDC EASE-Grid Global</v>
      </c>
      <c r="J1325" t="str">
        <v>World between 86°S and 86°N.</v>
      </c>
      <c r="K1325" s="11">
        <v>0</v>
      </c>
    </row>
    <row r="1326" spans="5:11" x14ac:dyDescent="0.35">
      <c r="E1326" s="9" t="str">
        <v>EPSG</v>
      </c>
      <c r="F1326" s="7" t="str">
        <v>3411</v>
      </c>
      <c r="G1326" t="str">
        <v>ProjectedCrs</v>
      </c>
      <c r="H1326" t="str">
        <v>Polar Stereographic (variant B)</v>
      </c>
      <c r="I1326" t="str">
        <v>NSIDC Sea Ice Polar Stereographic North</v>
      </c>
      <c r="J1326" t="str">
        <v>Northern hemisphere - north of 60°N onshore and offshore, including Arctic.</v>
      </c>
      <c r="K1326" s="11">
        <v>0</v>
      </c>
    </row>
    <row r="1327" spans="5:11" x14ac:dyDescent="0.35">
      <c r="E1327" s="9" t="str">
        <v>EPSG</v>
      </c>
      <c r="F1327" s="7" t="str">
        <v>3412</v>
      </c>
      <c r="G1327" t="str">
        <v>ProjectedCrs</v>
      </c>
      <c r="H1327" t="str">
        <v>Polar Stereographic (variant B)</v>
      </c>
      <c r="I1327" t="str">
        <v>NSIDC Sea Ice Polar Stereographic South</v>
      </c>
      <c r="J1327" t="str">
        <v>Southern hemisphere - south of 60°S onshore and offshore - Antarctica.</v>
      </c>
      <c r="K1327" s="11">
        <v>0</v>
      </c>
    </row>
    <row r="1328" spans="5:11" x14ac:dyDescent="0.35">
      <c r="E1328" s="9" t="str">
        <v>EPSG</v>
      </c>
      <c r="F1328" s="7" t="str">
        <v>3413</v>
      </c>
      <c r="G1328" t="str">
        <v>ProjectedCrs</v>
      </c>
      <c r="H1328" t="str">
        <v>Polar Stereographic (variant B)</v>
      </c>
      <c r="I1328" t="str">
        <v>WGS 84 / NSIDC Sea Ice Polar Stereographic North</v>
      </c>
      <c r="J1328" t="str">
        <v>Northern hemisphere - north of 60°N onshore and offshore, including Arctic.</v>
      </c>
      <c r="K1328" s="11">
        <v>0</v>
      </c>
    </row>
    <row r="1329" spans="5:11" x14ac:dyDescent="0.35">
      <c r="E1329" s="9" t="str">
        <v>EPSG</v>
      </c>
      <c r="F1329" s="7" t="str">
        <v>3414</v>
      </c>
      <c r="G1329" t="str">
        <v>ProjectedCrs</v>
      </c>
      <c r="H1329" t="str">
        <v>Transverse Mercator</v>
      </c>
      <c r="I1329" t="str">
        <v>SVY21 / Singapore TM</v>
      </c>
      <c r="J1329" t="str">
        <v>Singapore - onshore and offshore.</v>
      </c>
      <c r="K1329" s="11">
        <v>0</v>
      </c>
    </row>
    <row r="1330" spans="5:11" x14ac:dyDescent="0.35">
      <c r="E1330" s="9" t="str">
        <v>EPSG</v>
      </c>
      <c r="F1330" s="7" t="str">
        <v>3415</v>
      </c>
      <c r="G1330" t="str">
        <v>ProjectedCrs</v>
      </c>
      <c r="H1330" t="str">
        <v>Lambert Conic Conformal (2SP)</v>
      </c>
      <c r="I1330" t="str">
        <v>WGS 72BE / South China Sea Lambert</v>
      </c>
      <c r="J1330" t="str">
        <v>China - offshore South China Sea - Pearl River basin.</v>
      </c>
      <c r="K1330" s="11">
        <v>0</v>
      </c>
    </row>
    <row r="1331" spans="5:11" x14ac:dyDescent="0.35">
      <c r="E1331" s="9" t="str">
        <v>EPSG</v>
      </c>
      <c r="F1331" s="7" t="str">
        <v>3416</v>
      </c>
      <c r="G1331" t="str">
        <v>ProjectedCrs</v>
      </c>
      <c r="H1331" t="str">
        <v>Lambert Conic Conformal (2SP)</v>
      </c>
      <c r="I1331" t="str">
        <v>ETRS89 / Austria Lambert</v>
      </c>
      <c r="J1331" t="str">
        <v>Austria.</v>
      </c>
      <c r="K1331" s="11">
        <v>0</v>
      </c>
    </row>
    <row r="1332" spans="5:11" x14ac:dyDescent="0.35">
      <c r="E1332" s="9" t="str">
        <v>EPSG</v>
      </c>
      <c r="F1332" s="7" t="str">
        <v>3417</v>
      </c>
      <c r="G1332" t="str">
        <v>ProjectedCrs</v>
      </c>
      <c r="H1332" t="str">
        <v>Lambert Conic Conformal (2SP)</v>
      </c>
      <c r="I1332" t="str">
        <v>NAD83 / Iowa North (ftUS)</v>
      </c>
      <c r="J1332"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1332" s="11">
        <v>0</v>
      </c>
    </row>
    <row r="1333" spans="5:11" x14ac:dyDescent="0.35">
      <c r="E1333" s="9" t="str">
        <v>EPSG</v>
      </c>
      <c r="F1333" s="7" t="str">
        <v>3418</v>
      </c>
      <c r="G1333" t="str">
        <v>ProjectedCrs</v>
      </c>
      <c r="H1333" t="str">
        <v>Lambert Conic Conformal (2SP)</v>
      </c>
      <c r="I1333" t="str">
        <v>NAD83 / Iowa South (ftUS)</v>
      </c>
      <c r="J1333"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1333" s="11">
        <v>0</v>
      </c>
    </row>
    <row r="1334" spans="5:11" x14ac:dyDescent="0.35">
      <c r="E1334" s="9" t="str">
        <v>EPSG</v>
      </c>
      <c r="F1334" s="7" t="str">
        <v>3419</v>
      </c>
      <c r="G1334" t="str">
        <v>ProjectedCrs</v>
      </c>
      <c r="H1334" t="str">
        <v>Lambert Conic Conformal (2SP)</v>
      </c>
      <c r="I1334" t="str">
        <v>NAD83 / Kansas North (ftUS)</v>
      </c>
      <c r="J1334"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1334" s="11">
        <v>0</v>
      </c>
    </row>
    <row r="1335" spans="5:11" x14ac:dyDescent="0.35">
      <c r="E1335" s="9" t="str">
        <v>EPSG</v>
      </c>
      <c r="F1335" s="7" t="str">
        <v>3420</v>
      </c>
      <c r="G1335" t="str">
        <v>ProjectedCrs</v>
      </c>
      <c r="H1335" t="str">
        <v>Lambert Conic Conformal (2SP)</v>
      </c>
      <c r="I1335" t="str">
        <v>NAD83 / Kansas South (ftUS)</v>
      </c>
      <c r="J1335"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1335" s="11">
        <v>0</v>
      </c>
    </row>
    <row r="1336" spans="5:11" x14ac:dyDescent="0.35">
      <c r="E1336" s="9" t="str">
        <v>EPSG</v>
      </c>
      <c r="F1336" s="7" t="str">
        <v>3421</v>
      </c>
      <c r="G1336" t="str">
        <v>ProjectedCrs</v>
      </c>
      <c r="H1336" t="str">
        <v>Transverse Mercator</v>
      </c>
      <c r="I1336" t="str">
        <v>NAD83 / Nevada East (ftUS)</v>
      </c>
      <c r="J1336" t="str">
        <v>United States (USA) - Nevada - counties of Clark; Elko; Eureka; Lincoln; White Pine.</v>
      </c>
      <c r="K1336" s="11">
        <v>0</v>
      </c>
    </row>
    <row r="1337" spans="5:11" x14ac:dyDescent="0.35">
      <c r="E1337" s="9" t="str">
        <v>EPSG</v>
      </c>
      <c r="F1337" s="7" t="str">
        <v>3422</v>
      </c>
      <c r="G1337" t="str">
        <v>ProjectedCrs</v>
      </c>
      <c r="H1337" t="str">
        <v>Transverse Mercator</v>
      </c>
      <c r="I1337" t="str">
        <v>NAD83 / Nevada Central (ftUS)</v>
      </c>
      <c r="J1337" t="str">
        <v>United States (USA) - Nevada - counties of Lander; Nye.</v>
      </c>
      <c r="K1337" s="11">
        <v>0</v>
      </c>
    </row>
    <row r="1338" spans="5:11" x14ac:dyDescent="0.35">
      <c r="E1338" s="9" t="str">
        <v>EPSG</v>
      </c>
      <c r="F1338" s="7" t="str">
        <v>3423</v>
      </c>
      <c r="G1338" t="str">
        <v>ProjectedCrs</v>
      </c>
      <c r="H1338" t="str">
        <v>Transverse Mercator</v>
      </c>
      <c r="I1338" t="str">
        <v>NAD83 / Nevada West (ftUS)</v>
      </c>
      <c r="J1338" t="str">
        <v>United States (USA) - Nevada - counties of Churchill; Douglas; Esmeralda; Humboldt; Lyon; Mineral; Pershing; Storey; Washoe.</v>
      </c>
      <c r="K1338" s="11">
        <v>0</v>
      </c>
    </row>
    <row r="1339" spans="5:11" x14ac:dyDescent="0.35">
      <c r="E1339" s="9" t="str">
        <v>EPSG</v>
      </c>
      <c r="F1339" s="7" t="str">
        <v>3424</v>
      </c>
      <c r="G1339" t="str">
        <v>ProjectedCrs</v>
      </c>
      <c r="H1339" t="str">
        <v>Transverse Mercator</v>
      </c>
      <c r="I1339" t="str">
        <v>NAD83 / New Jersey (ftUS)</v>
      </c>
      <c r="J1339" t="str">
        <v>United States (USA) - New Jersey - counties of Atlantic; Bergen; Burlington; Camden; Cape May; Cumberland; Essex; Gloucester; Hudson; Hunterdon; Mercer; Middlesex; Monmouth; Morris; Ocean; Passaic; Salem; Somerset; Sussex; Union; Warren.</v>
      </c>
      <c r="K1339" s="11">
        <v>0</v>
      </c>
    </row>
    <row r="1340" spans="5:11" x14ac:dyDescent="0.35">
      <c r="E1340" s="9" t="str">
        <v>EPSG</v>
      </c>
      <c r="F1340" s="7" t="str">
        <v>3425</v>
      </c>
      <c r="G1340" t="str">
        <v>ProjectedCrs</v>
      </c>
      <c r="H1340" t="str">
        <v>Lambert Conic Conformal (2SP)</v>
      </c>
      <c r="I1340" t="str">
        <v>NAD83(HARN) / Iowa North (ftUS)</v>
      </c>
      <c r="J1340"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1340" s="11">
        <v>0</v>
      </c>
    </row>
    <row r="1341" spans="5:11" x14ac:dyDescent="0.35">
      <c r="E1341" s="9" t="str">
        <v>EPSG</v>
      </c>
      <c r="F1341" s="7" t="str">
        <v>3426</v>
      </c>
      <c r="G1341" t="str">
        <v>ProjectedCrs</v>
      </c>
      <c r="H1341" t="str">
        <v>Lambert Conic Conformal (2SP)</v>
      </c>
      <c r="I1341" t="str">
        <v>NAD83(HARN) / Iowa South (ftUS)</v>
      </c>
      <c r="J1341"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1341" s="11">
        <v>0</v>
      </c>
    </row>
    <row r="1342" spans="5:11" x14ac:dyDescent="0.35">
      <c r="E1342" s="9" t="str">
        <v>EPSG</v>
      </c>
      <c r="F1342" s="7" t="str">
        <v>3427</v>
      </c>
      <c r="G1342" t="str">
        <v>ProjectedCrs</v>
      </c>
      <c r="H1342" t="str">
        <v>Lambert Conic Conformal (2SP)</v>
      </c>
      <c r="I1342" t="str">
        <v>NAD83(HARN) / Kansas North (ftUS)</v>
      </c>
      <c r="J1342"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1342" s="11">
        <v>0</v>
      </c>
    </row>
    <row r="1343" spans="5:11" x14ac:dyDescent="0.35">
      <c r="E1343" s="9" t="str">
        <v>EPSG</v>
      </c>
      <c r="F1343" s="7" t="str">
        <v>3428</v>
      </c>
      <c r="G1343" t="str">
        <v>ProjectedCrs</v>
      </c>
      <c r="H1343" t="str">
        <v>Lambert Conic Conformal (2SP)</v>
      </c>
      <c r="I1343" t="str">
        <v>NAD83(HARN) / Kansas South (ftUS)</v>
      </c>
      <c r="J1343"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1343" s="11">
        <v>0</v>
      </c>
    </row>
    <row r="1344" spans="5:11" x14ac:dyDescent="0.35">
      <c r="E1344" s="9" t="str">
        <v>EPSG</v>
      </c>
      <c r="F1344" s="7" t="str">
        <v>3429</v>
      </c>
      <c r="G1344" t="str">
        <v>ProjectedCrs</v>
      </c>
      <c r="H1344" t="str">
        <v>Transverse Mercator</v>
      </c>
      <c r="I1344" t="str">
        <v>NAD83(HARN) / Nevada East (ftUS)</v>
      </c>
      <c r="J1344" t="str">
        <v>United States (USA) - Nevada - counties of Clark; Elko; Eureka; Lincoln; White Pine.</v>
      </c>
      <c r="K1344" s="11">
        <v>0</v>
      </c>
    </row>
    <row r="1345" spans="5:11" x14ac:dyDescent="0.35">
      <c r="E1345" s="9" t="str">
        <v>EPSG</v>
      </c>
      <c r="F1345" s="7" t="str">
        <v>3430</v>
      </c>
      <c r="G1345" t="str">
        <v>ProjectedCrs</v>
      </c>
      <c r="H1345" t="str">
        <v>Transverse Mercator</v>
      </c>
      <c r="I1345" t="str">
        <v>NAD83(HARN) / Nevada Central (ftUS)</v>
      </c>
      <c r="J1345" t="str">
        <v>United States (USA) - Nevada - counties of Lander; Nye.</v>
      </c>
      <c r="K1345" s="11">
        <v>0</v>
      </c>
    </row>
    <row r="1346" spans="5:11" x14ac:dyDescent="0.35">
      <c r="E1346" s="9" t="str">
        <v>EPSG</v>
      </c>
      <c r="F1346" s="7" t="str">
        <v>3431</v>
      </c>
      <c r="G1346" t="str">
        <v>ProjectedCrs</v>
      </c>
      <c r="H1346" t="str">
        <v>Transverse Mercator</v>
      </c>
      <c r="I1346" t="str">
        <v>NAD83(HARN) / Nevada West (ftUS)</v>
      </c>
      <c r="J1346" t="str">
        <v>United States (USA) - Nevada - counties of Churchill; Douglas; Esmeralda; Humboldt; Lyon; Mineral; Pershing; Storey; Washoe.</v>
      </c>
      <c r="K1346" s="11">
        <v>0</v>
      </c>
    </row>
    <row r="1347" spans="5:11" x14ac:dyDescent="0.35">
      <c r="E1347" s="9" t="str">
        <v>EPSG</v>
      </c>
      <c r="F1347" s="7" t="str">
        <v>3432</v>
      </c>
      <c r="G1347" t="str">
        <v>ProjectedCrs</v>
      </c>
      <c r="H1347" t="str">
        <v>Transverse Mercator</v>
      </c>
      <c r="I1347" t="str">
        <v>NAD83(HARN) / New Jersey (ftUS)</v>
      </c>
      <c r="J1347" t="str">
        <v>United States (USA) - New Jersey - counties of Atlantic; Bergen; Burlington; Camden; Cape May; Cumberland; Essex; Gloucester; Hudson; Hunterdon; Mercer; Middlesex; Monmouth; Morris; Ocean; Passaic; Salem; Somerset; Sussex; Union; Warren.</v>
      </c>
      <c r="K1347" s="11">
        <v>0</v>
      </c>
    </row>
    <row r="1348" spans="5:11" x14ac:dyDescent="0.35">
      <c r="E1348" s="9" t="str">
        <v>EPSG</v>
      </c>
      <c r="F1348" s="7" t="str">
        <v>3433</v>
      </c>
      <c r="G1348" t="str">
        <v>ProjectedCrs</v>
      </c>
      <c r="H1348" t="str">
        <v>Lambert Conic Conformal (2SP)</v>
      </c>
      <c r="I1348" t="str">
        <v>NAD83 / Arkansas North (ftUS)</v>
      </c>
      <c r="J1348"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1348" s="11">
        <v>0</v>
      </c>
    </row>
    <row r="1349" spans="5:11" x14ac:dyDescent="0.35">
      <c r="E1349" s="9" t="str">
        <v>EPSG</v>
      </c>
      <c r="F1349" s="7" t="str">
        <v>3434</v>
      </c>
      <c r="G1349" t="str">
        <v>ProjectedCrs</v>
      </c>
      <c r="H1349" t="str">
        <v>Lambert Conic Conformal (2SP)</v>
      </c>
      <c r="I1349" t="str">
        <v>NAD83 / Arkansas South (ftUS)</v>
      </c>
      <c r="J1349"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1349" s="11">
        <v>0</v>
      </c>
    </row>
    <row r="1350" spans="5:11" x14ac:dyDescent="0.35">
      <c r="E1350" s="9" t="str">
        <v>EPSG</v>
      </c>
      <c r="F1350" s="7" t="str">
        <v>3435</v>
      </c>
      <c r="G1350" t="str">
        <v>ProjectedCrs</v>
      </c>
      <c r="H1350" t="str">
        <v>Transverse Mercator</v>
      </c>
      <c r="I1350" t="str">
        <v>NAD83 / Illinois East (ftUS)</v>
      </c>
      <c r="J1350"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1350" s="11">
        <v>0</v>
      </c>
    </row>
    <row r="1351" spans="5:11" x14ac:dyDescent="0.35">
      <c r="E1351" s="9" t="str">
        <v>EPSG</v>
      </c>
      <c r="F1351" s="7" t="str">
        <v>3436</v>
      </c>
      <c r="G1351" t="str">
        <v>ProjectedCrs</v>
      </c>
      <c r="H1351" t="str">
        <v>Transverse Mercator</v>
      </c>
      <c r="I1351" t="str">
        <v>NAD83 / Illinois West (ftUS)</v>
      </c>
      <c r="J1351"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1351" s="11">
        <v>0</v>
      </c>
    </row>
    <row r="1352" spans="5:11" x14ac:dyDescent="0.35">
      <c r="E1352" s="9" t="str">
        <v>EPSG</v>
      </c>
      <c r="F1352" s="7" t="str">
        <v>3437</v>
      </c>
      <c r="G1352" t="str">
        <v>ProjectedCrs</v>
      </c>
      <c r="H1352" t="str">
        <v>Transverse Mercator</v>
      </c>
      <c r="I1352" t="str">
        <v>NAD83 / New Hampshire (ftUS)</v>
      </c>
      <c r="J1352" t="str">
        <v>United States (USA) - New Hampshire - counties of Belknap; Carroll; Cheshire; Coos; Grafton; Hillsborough; Merrimack; Rockingham; Strafford; Sullivan.</v>
      </c>
      <c r="K1352" s="11">
        <v>0</v>
      </c>
    </row>
    <row r="1353" spans="5:11" x14ac:dyDescent="0.35">
      <c r="E1353" s="9" t="str">
        <v>EPSG</v>
      </c>
      <c r="F1353" s="7" t="str">
        <v>3438</v>
      </c>
      <c r="G1353" t="str">
        <v>ProjectedCrs</v>
      </c>
      <c r="H1353" t="str">
        <v>Transverse Mercator</v>
      </c>
      <c r="I1353" t="str">
        <v>NAD83 / Rhode Island (ftUS)</v>
      </c>
      <c r="J1353" t="str">
        <v>United States (USA) - Rhode Island - counties of Bristol; Kent; Newport; Providence; Washington.</v>
      </c>
      <c r="K1353" s="11">
        <v>0</v>
      </c>
    </row>
    <row r="1354" spans="5:11" x14ac:dyDescent="0.35">
      <c r="E1354" s="9" t="str">
        <v>EPSG</v>
      </c>
      <c r="F1354" s="7" t="str">
        <v>3439</v>
      </c>
      <c r="G1354" t="str">
        <v>ProjectedCrs</v>
      </c>
      <c r="H1354" t="str">
        <v>Transverse Mercator</v>
      </c>
      <c r="I1354" t="str">
        <v>PSD93 / UTM zone 39N</v>
      </c>
      <c r="J1354" t="str">
        <v>Oman - onshore west of 54°E.</v>
      </c>
      <c r="K1354" s="11">
        <v>0</v>
      </c>
    </row>
    <row r="1355" spans="5:11" x14ac:dyDescent="0.35">
      <c r="E1355" s="9" t="str">
        <v>EPSG</v>
      </c>
      <c r="F1355" s="7" t="str">
        <v>3440</v>
      </c>
      <c r="G1355" t="str">
        <v>ProjectedCrs</v>
      </c>
      <c r="H1355" t="str">
        <v>Transverse Mercator</v>
      </c>
      <c r="I1355" t="str">
        <v>PSD93 / UTM zone 40N</v>
      </c>
      <c r="J1355" t="str">
        <v>Oman - onshore east of 54°E. Includes Musandam and the Kuria Muria (Al Hallaniyah) islands.</v>
      </c>
      <c r="K1355" s="11">
        <v>0</v>
      </c>
    </row>
    <row r="1356" spans="5:11" x14ac:dyDescent="0.35">
      <c r="E1356" s="9" t="str">
        <v>EPSG</v>
      </c>
      <c r="F1356" s="7" t="str">
        <v>3441</v>
      </c>
      <c r="G1356" t="str">
        <v>ProjectedCrs</v>
      </c>
      <c r="H1356" t="str">
        <v>Lambert Conic Conformal (2SP)</v>
      </c>
      <c r="I1356" t="str">
        <v>NAD83(HARN) / Arkansas North (ftUS)</v>
      </c>
      <c r="J1356"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1356" s="11">
        <v>0</v>
      </c>
    </row>
    <row r="1357" spans="5:11" x14ac:dyDescent="0.35">
      <c r="E1357" s="9" t="str">
        <v>EPSG</v>
      </c>
      <c r="F1357" s="7" t="str">
        <v>3442</v>
      </c>
      <c r="G1357" t="str">
        <v>ProjectedCrs</v>
      </c>
      <c r="H1357" t="str">
        <v>Lambert Conic Conformal (2SP)</v>
      </c>
      <c r="I1357" t="str">
        <v>NAD83(HARN) / Arkansas South (ftUS)</v>
      </c>
      <c r="J1357"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1357" s="11">
        <v>0</v>
      </c>
    </row>
    <row r="1358" spans="5:11" x14ac:dyDescent="0.35">
      <c r="E1358" s="9" t="str">
        <v>EPSG</v>
      </c>
      <c r="F1358" s="7" t="str">
        <v>3443</v>
      </c>
      <c r="G1358" t="str">
        <v>ProjectedCrs</v>
      </c>
      <c r="H1358" t="str">
        <v>Transverse Mercator</v>
      </c>
      <c r="I1358" t="str">
        <v>NAD83(HARN) / Illinois East (ftUS)</v>
      </c>
      <c r="J1358"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1358" s="11">
        <v>0</v>
      </c>
    </row>
    <row r="1359" spans="5:11" x14ac:dyDescent="0.35">
      <c r="E1359" s="9" t="str">
        <v>EPSG</v>
      </c>
      <c r="F1359" s="7" t="str">
        <v>3444</v>
      </c>
      <c r="G1359" t="str">
        <v>ProjectedCrs</v>
      </c>
      <c r="H1359" t="str">
        <v>Transverse Mercator</v>
      </c>
      <c r="I1359" t="str">
        <v>NAD83(HARN) / Illinois West (ftUS)</v>
      </c>
      <c r="J1359"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1359" s="11">
        <v>0</v>
      </c>
    </row>
    <row r="1360" spans="5:11" x14ac:dyDescent="0.35">
      <c r="E1360" s="9" t="str">
        <v>EPSG</v>
      </c>
      <c r="F1360" s="7" t="str">
        <v>3445</v>
      </c>
      <c r="G1360" t="str">
        <v>ProjectedCrs</v>
      </c>
      <c r="H1360" t="str">
        <v>Transverse Mercator</v>
      </c>
      <c r="I1360" t="str">
        <v>NAD83(HARN) / New Hampshire (ftUS)</v>
      </c>
      <c r="J1360" t="str">
        <v>United States (USA) - New Hampshire - counties of Belknap; Carroll; Cheshire; Coos; Grafton; Hillsborough; Merrimack; Rockingham; Strafford; Sullivan.</v>
      </c>
      <c r="K1360" s="11">
        <v>0</v>
      </c>
    </row>
    <row r="1361" spans="5:11" x14ac:dyDescent="0.35">
      <c r="E1361" s="9" t="str">
        <v>EPSG</v>
      </c>
      <c r="F1361" s="7" t="str">
        <v>3446</v>
      </c>
      <c r="G1361" t="str">
        <v>ProjectedCrs</v>
      </c>
      <c r="H1361" t="str">
        <v>Transverse Mercator</v>
      </c>
      <c r="I1361" t="str">
        <v>NAD83(HARN) / Rhode Island (ftUS)</v>
      </c>
      <c r="J1361" t="str">
        <v>United States (USA) - Rhode Island - counties of Bristol; Kent; Newport; Providence; Washington.</v>
      </c>
      <c r="K1361" s="11">
        <v>0</v>
      </c>
    </row>
    <row r="1362" spans="5:11" x14ac:dyDescent="0.35">
      <c r="E1362" s="9" t="str">
        <v>EPSG</v>
      </c>
      <c r="F1362" s="7" t="str">
        <v>3447</v>
      </c>
      <c r="G1362" t="str">
        <v>ProjectedCrs</v>
      </c>
      <c r="H1362" t="str">
        <v>Lambert Conic Conformal (2SP)</v>
      </c>
      <c r="I1362" t="str">
        <v>ETRS89 / Belgian Lambert 2005</v>
      </c>
      <c r="J1362" t="str">
        <v>Belgium - onshore.</v>
      </c>
      <c r="K1362" s="11">
        <v>0</v>
      </c>
    </row>
    <row r="1363" spans="5:11" x14ac:dyDescent="0.35">
      <c r="E1363" s="9" t="str">
        <v>EPSG</v>
      </c>
      <c r="F1363" s="7" t="str">
        <v>3448</v>
      </c>
      <c r="G1363" t="str">
        <v>ProjectedCrs</v>
      </c>
      <c r="H1363" t="str">
        <v>Lambert Conic Conformal (1SP)</v>
      </c>
      <c r="I1363" t="str">
        <v>JAD2001 / Jamaica Metric Grid</v>
      </c>
      <c r="J1363" t="str">
        <v>Jamaica - onshore.</v>
      </c>
      <c r="K1363" s="11">
        <v>0</v>
      </c>
    </row>
    <row r="1364" spans="5:11" x14ac:dyDescent="0.35">
      <c r="E1364" s="9" t="str">
        <v>EPSG</v>
      </c>
      <c r="F1364" s="7" t="str">
        <v>3449</v>
      </c>
      <c r="G1364" t="str">
        <v>ProjectedCrs</v>
      </c>
      <c r="H1364" t="str">
        <v>Transverse Mercator</v>
      </c>
      <c r="I1364" t="str">
        <v>JAD2001 / UTM zone 17N</v>
      </c>
      <c r="J1364" t="str">
        <v>Jamaica - west of 78°W onshore and offshore.</v>
      </c>
      <c r="K1364" s="11">
        <v>0</v>
      </c>
    </row>
    <row r="1365" spans="5:11" x14ac:dyDescent="0.35">
      <c r="E1365" s="9" t="str">
        <v>EPSG</v>
      </c>
      <c r="F1365" s="7" t="str">
        <v>3450</v>
      </c>
      <c r="G1365" t="str">
        <v>ProjectedCrs</v>
      </c>
      <c r="H1365" t="str">
        <v>Transverse Mercator</v>
      </c>
      <c r="I1365" t="str">
        <v>JAD2001 / UTM zone 18N</v>
      </c>
      <c r="J1365" t="str">
        <v>Jamaica - east of 78°W onshore and offshore.</v>
      </c>
      <c r="K1365" s="11">
        <v>0</v>
      </c>
    </row>
    <row r="1366" spans="5:11" x14ac:dyDescent="0.35">
      <c r="E1366" s="9" t="str">
        <v>EPSG</v>
      </c>
      <c r="F1366" s="7" t="str">
        <v>3451</v>
      </c>
      <c r="G1366" t="str">
        <v>ProjectedCrs</v>
      </c>
      <c r="H1366" t="str">
        <v>Lambert Conic Conformal (2SP)</v>
      </c>
      <c r="I1366" t="str">
        <v>NAD83 / Louisiana North (ftUS)</v>
      </c>
      <c r="J1366"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1366" s="11">
        <v>0</v>
      </c>
    </row>
    <row r="1367" spans="5:11" x14ac:dyDescent="0.35">
      <c r="E1367" s="9" t="str">
        <v>EPSG</v>
      </c>
      <c r="F1367" s="7" t="str">
        <v>3452</v>
      </c>
      <c r="G1367" t="str">
        <v>ProjectedCrs</v>
      </c>
      <c r="H1367" t="str">
        <v>Lambert Conic Conformal (2SP)</v>
      </c>
      <c r="I1367" t="str">
        <v>NAD83 / Louisiana South (ftUS)</v>
      </c>
      <c r="J1367"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1367" s="11">
        <v>0</v>
      </c>
    </row>
    <row r="1368" spans="5:11" x14ac:dyDescent="0.35">
      <c r="E1368" s="9" t="str">
        <v>EPSG</v>
      </c>
      <c r="F1368" s="7" t="str">
        <v>3453</v>
      </c>
      <c r="G1368" t="str">
        <v>ProjectedCrs</v>
      </c>
      <c r="H1368" t="str">
        <v>Lambert Conic Conformal (2SP)</v>
      </c>
      <c r="I1368" t="str">
        <v>NAD83 / Louisiana Offshore (ftUS)</v>
      </c>
      <c r="J1368" t="str">
        <v>United States (USA) - Louisiana.</v>
      </c>
      <c r="K1368" s="11">
        <v>0</v>
      </c>
    </row>
    <row r="1369" spans="5:11" x14ac:dyDescent="0.35">
      <c r="E1369" s="9" t="str">
        <v>EPSG</v>
      </c>
      <c r="F1369" s="7" t="str">
        <v>3455</v>
      </c>
      <c r="G1369" t="str">
        <v>ProjectedCrs</v>
      </c>
      <c r="H1369" t="str">
        <v>Lambert Conic Conformal (2SP)</v>
      </c>
      <c r="I1369" t="str">
        <v>NAD83 / South Dakota South (ftUS)</v>
      </c>
      <c r="J1369"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1369" s="11">
        <v>0</v>
      </c>
    </row>
    <row r="1370" spans="5:11" x14ac:dyDescent="0.35">
      <c r="E1370" s="9" t="str">
        <v>EPSG</v>
      </c>
      <c r="F1370" s="7" t="str">
        <v>3456</v>
      </c>
      <c r="G1370" t="str">
        <v>ProjectedCrs</v>
      </c>
      <c r="H1370" t="str">
        <v>Lambert Conic Conformal (2SP)</v>
      </c>
      <c r="I1370" t="str">
        <v>NAD83(HARN) / Louisiana North (ftUS)</v>
      </c>
      <c r="J1370"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1370" s="11">
        <v>0</v>
      </c>
    </row>
    <row r="1371" spans="5:11" x14ac:dyDescent="0.35">
      <c r="E1371" s="9" t="str">
        <v>EPSG</v>
      </c>
      <c r="F1371" s="7" t="str">
        <v>3457</v>
      </c>
      <c r="G1371" t="str">
        <v>ProjectedCrs</v>
      </c>
      <c r="H1371" t="str">
        <v>Lambert Conic Conformal (2SP)</v>
      </c>
      <c r="I1371" t="str">
        <v>NAD83(HARN) / Louisiana South (ftUS)</v>
      </c>
      <c r="J1371"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1371" s="11">
        <v>0</v>
      </c>
    </row>
    <row r="1372" spans="5:11" x14ac:dyDescent="0.35">
      <c r="E1372" s="9" t="str">
        <v>EPSG</v>
      </c>
      <c r="F1372" s="7" t="str">
        <v>3458</v>
      </c>
      <c r="G1372" t="str">
        <v>ProjectedCrs</v>
      </c>
      <c r="H1372" t="str">
        <v>Lambert Conic Conformal (2SP)</v>
      </c>
      <c r="I1372" t="str">
        <v>NAD83(HARN) / South Dakota North (ftUS)</v>
      </c>
      <c r="J1372" t="str">
        <v>United States (USA) - South Dakota - counties of Beadle; Brookings; Brown; Butte; Campbell; Clark; Codington; Corson; Day; Deuel; Dewey; Edmunds; Faulk; Grant; Hamlin; Hand; Harding; Hyde; Kingsbury; Lawrence; Marshall; McPherson; Meade; Perkins; Potter; Roberts; Spink; Sully; Walworth; Ziebach.</v>
      </c>
      <c r="K1372" s="11">
        <v>0</v>
      </c>
    </row>
    <row r="1373" spans="5:11" x14ac:dyDescent="0.35">
      <c r="E1373" s="9" t="str">
        <v>EPSG</v>
      </c>
      <c r="F1373" s="7" t="str">
        <v>3459</v>
      </c>
      <c r="G1373" t="str">
        <v>ProjectedCrs</v>
      </c>
      <c r="H1373" t="str">
        <v>Lambert Conic Conformal (2SP)</v>
      </c>
      <c r="I1373" t="str">
        <v>NAD83(HARN) / South Dakota South (ftUS)</v>
      </c>
      <c r="J1373"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1373" s="11">
        <v>0</v>
      </c>
    </row>
    <row r="1374" spans="5:11" x14ac:dyDescent="0.35">
      <c r="E1374" s="9" t="str">
        <v>EPSG</v>
      </c>
      <c r="F1374" s="7" t="str">
        <v>3460</v>
      </c>
      <c r="G1374" t="str">
        <v>ProjectedCrs</v>
      </c>
      <c r="H1374" t="str">
        <v>Transverse Mercator</v>
      </c>
      <c r="I1374" t="str">
        <v>Fiji 1986 / Fiji Map Grid</v>
      </c>
      <c r="J1374" t="str">
        <v>Fiji - onshore. Includes Viti Levu, Vanua Levu, Taveuni, the Yasawa Group, the Kadavu Group, the Lau Islands and Rotuma Islands.</v>
      </c>
      <c r="K1374" s="11">
        <v>0</v>
      </c>
    </row>
    <row r="1375" spans="5:11" x14ac:dyDescent="0.35">
      <c r="E1375" s="9" t="str">
        <v>EPSG</v>
      </c>
      <c r="F1375" s="7" t="str">
        <v>3461</v>
      </c>
      <c r="G1375" t="str">
        <v>ProjectedCrs</v>
      </c>
      <c r="H1375" t="str">
        <v>Transverse Mercator</v>
      </c>
      <c r="I1375" t="str">
        <v>Dabola 1981 / UTM zone 28N</v>
      </c>
      <c r="J1375" t="str">
        <v>Guinea - onshore west of 12°W.</v>
      </c>
      <c r="K1375" s="11">
        <v>0</v>
      </c>
    </row>
    <row r="1376" spans="5:11" x14ac:dyDescent="0.35">
      <c r="E1376" s="9" t="str">
        <v>EPSG</v>
      </c>
      <c r="F1376" s="7" t="str">
        <v>3462</v>
      </c>
      <c r="G1376" t="str">
        <v>ProjectedCrs</v>
      </c>
      <c r="H1376" t="str">
        <v>Transverse Mercator</v>
      </c>
      <c r="I1376" t="str">
        <v>Dabola 1981 / UTM zone 29N</v>
      </c>
      <c r="J1376" t="str">
        <v>Guinea - east of 12°W.</v>
      </c>
      <c r="K1376" s="11">
        <v>0</v>
      </c>
    </row>
    <row r="1377" spans="5:11" x14ac:dyDescent="0.35">
      <c r="E1377" s="9" t="str">
        <v>EPSG</v>
      </c>
      <c r="F1377" s="7" t="str">
        <v>3463</v>
      </c>
      <c r="G1377" t="str">
        <v>ProjectedCrs</v>
      </c>
      <c r="H1377" t="str">
        <v>Transverse Mercator</v>
      </c>
      <c r="I1377" t="str">
        <v>NAD83 / Maine CS2000 Central</v>
      </c>
      <c r="J1377" t="str">
        <v>United States (USA) - Maine between approximately 69°40'W and 68°25'W. The area is bounded by the following: Beginning at the point determined by the intersection of the Maine State line and the County Line between Aroostook and Somerset Counties, thence northeasterly along the state line to the intersection of the Fort Kent - Frenchville town line, thence southerly along this town line to the intersection with the New Canada Plantation - T17 R5 WELS town line, thence continuing southerly along town lines to the northeast corner of Penobscot County, thence continuing southerly along the Penobscot County line to the intersection of the Woodville - Mattawamkeag town line (being determined by the Penobscot River), thence along the Penobscot River to the Enfield - Lincoln town line, thence southeasterly along the Enfield - Lincoln town line and the Enfield - Lowell town line to the Passadumkeag - Edinburg town line, thence south-southeasterly along town lines to the intersection of the Hancock County line, thence southerly along the county line to the intersection of the Otis - Mariaville town line, thence southerly along the Otis - Mariaville town line to the Ellsworth city line, thence southerly along the Ellsworth city line to the intersection of the Surry - Trenton town line, thence southerly along the easterly town lines of Surry, Blue Hill, Brooklin, Deer Isle, and Stonington to the Knox County line, thence following the Knox County line to the boundary of the State of Maine as determined by Maritime law, thence following the State boundary westerly to the intersection of the Sagadahoc - Lincoln county line, thence northerly along the easterly boundary of the Maine 2000 West Zone, as defined, to the point of beginning.</v>
      </c>
      <c r="K1377" s="11">
        <v>0</v>
      </c>
    </row>
    <row r="1378" spans="5:11" x14ac:dyDescent="0.35">
      <c r="E1378" s="9" t="str">
        <v>EPSG</v>
      </c>
      <c r="F1378" s="7" t="str">
        <v>3464</v>
      </c>
      <c r="G1378" t="str">
        <v>ProjectedCrs</v>
      </c>
      <c r="H1378" t="str">
        <v>Transverse Mercator</v>
      </c>
      <c r="I1378" t="str">
        <v>NAD83(HARN) / Maine CS2000 Central</v>
      </c>
      <c r="J1378" t="str">
        <v>United States (USA) - Maine between approximately 69°40'W and 68°25'W. The area is bounded by the following: Beginning at the point determined by the intersection of the Maine State line and the County Line between Aroostook and Somerset Counties, thence northeasterly along the state line to the intersection of the Fort Kent - Frenchville town line, thence southerly along this town line to the intersection with the New Canada Plantation - T17 R5 WELS town line, thence continuing southerly along town lines to the northeast corner of Penobscot County, thence continuing southerly along the Penobscot County line to the intersection of the Woodville - Mattawamkeag town line (being determined by the Penobscot River), thence along the Penobscot River to the Enfield - Lincoln town line, thence southeasterly along the Enfield - Lincoln town line and the Enfield - Lowell town line to the Passadumkeag - Edinburg town line, thence south-southeasterly along town lines to the intersection of the Hancock County line, thence southerly along the county line to the intersection of the Otis - Mariaville town line, thence southerly along the Otis - Mariaville town line to the Ellsworth city line, thence southerly along the Ellsworth city line to the intersection of the Surry - Trenton town line, thence southerly along the easterly town lines of Surry, Blue Hill, Brooklin, Deer Isle, and Stonington to the Knox County line, thence following the Knox County line to the boundary of the State of Maine as determined by Maritime law, thence following the State boundary westerly to the intersection of the Sagadahoc - Lincoln county line, thence northerly along the easterly boundary of the Maine 2000 West Zone, as defined, to the point of beginning.</v>
      </c>
      <c r="K1378" s="11">
        <v>0</v>
      </c>
    </row>
    <row r="1379" spans="5:11" x14ac:dyDescent="0.35">
      <c r="E1379" s="9" t="str">
        <v>EPSG</v>
      </c>
      <c r="F1379" s="7" t="str">
        <v>3465</v>
      </c>
      <c r="G1379" t="str">
        <v>ProjectedCrs</v>
      </c>
      <c r="H1379" t="str">
        <v>Transverse Mercator</v>
      </c>
      <c r="I1379" t="str">
        <v>NAD83(NSRS2007) / Alabama East</v>
      </c>
      <c r="J1379"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1379" s="11">
        <v>0</v>
      </c>
    </row>
    <row r="1380" spans="5:11" x14ac:dyDescent="0.35">
      <c r="E1380" s="9" t="str">
        <v>EPSG</v>
      </c>
      <c r="F1380" s="7" t="str">
        <v>3466</v>
      </c>
      <c r="G1380" t="str">
        <v>ProjectedCrs</v>
      </c>
      <c r="H1380" t="str">
        <v>Transverse Mercator</v>
      </c>
      <c r="I1380" t="str">
        <v>NAD83(NSRS2007) / Alabama West</v>
      </c>
      <c r="J1380"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1380" s="11">
        <v>0</v>
      </c>
    </row>
    <row r="1381" spans="5:11" x14ac:dyDescent="0.35">
      <c r="E1381" s="9" t="str">
        <v>EPSG</v>
      </c>
      <c r="F1381" s="7" t="str">
        <v>3467</v>
      </c>
      <c r="G1381" t="str">
        <v>ProjectedCrs</v>
      </c>
      <c r="H1381" t="str">
        <v>Albers Equal Area</v>
      </c>
      <c r="I1381" t="str">
        <v>NAD83(NSRS2007) / Alaska Albers</v>
      </c>
      <c r="J1381" t="str">
        <v>United States (USA) - Alaska.</v>
      </c>
      <c r="K1381" s="11">
        <v>0</v>
      </c>
    </row>
    <row r="1382" spans="5:11" x14ac:dyDescent="0.35">
      <c r="E1382" s="9" t="str">
        <v>EPSG</v>
      </c>
      <c r="F1382" s="7" t="str">
        <v>3468</v>
      </c>
      <c r="G1382" t="str">
        <v>ProjectedCrs</v>
      </c>
      <c r="H1382" t="str">
        <v>Hotine Oblique Mercator (variant A)</v>
      </c>
      <c r="I1382" t="str">
        <v>NAD83(NSRS2007) / Alaska zone 1</v>
      </c>
      <c r="J1382" t="str">
        <v>United States (USA) - Alaska - east of 141°W; i.e. Panhandle.</v>
      </c>
      <c r="K1382" s="11">
        <v>0</v>
      </c>
    </row>
    <row r="1383" spans="5:11" x14ac:dyDescent="0.35">
      <c r="E1383" s="9" t="str">
        <v>EPSG</v>
      </c>
      <c r="F1383" s="7" t="str">
        <v>3469</v>
      </c>
      <c r="G1383" t="str">
        <v>ProjectedCrs</v>
      </c>
      <c r="H1383" t="str">
        <v>Transverse Mercator</v>
      </c>
      <c r="I1383" t="str">
        <v>NAD83(NSRS2007) / Alaska zone 2</v>
      </c>
      <c r="J1383" t="str">
        <v>United States (USA) - Alaska - between 144°W and 141°W, onshore.</v>
      </c>
      <c r="K1383" s="11">
        <v>0</v>
      </c>
    </row>
    <row r="1384" spans="5:11" x14ac:dyDescent="0.35">
      <c r="E1384" s="9" t="str">
        <v>EPSG</v>
      </c>
      <c r="F1384" s="7" t="str">
        <v>3470</v>
      </c>
      <c r="G1384" t="str">
        <v>ProjectedCrs</v>
      </c>
      <c r="H1384" t="str">
        <v>Transverse Mercator</v>
      </c>
      <c r="I1384" t="str">
        <v>NAD83(NSRS2007) / Alaska zone 3</v>
      </c>
      <c r="J1384" t="str">
        <v>United States (USA) - Alaska - between 148°W and 144°W.</v>
      </c>
      <c r="K1384" s="11">
        <v>0</v>
      </c>
    </row>
    <row r="1385" spans="5:11" x14ac:dyDescent="0.35">
      <c r="E1385" s="9" t="str">
        <v>EPSG</v>
      </c>
      <c r="F1385" s="7" t="str">
        <v>3471</v>
      </c>
      <c r="G1385" t="str">
        <v>ProjectedCrs</v>
      </c>
      <c r="H1385" t="str">
        <v>Transverse Mercator</v>
      </c>
      <c r="I1385" t="str">
        <v>NAD83(NSRS2007) / Alaska zone 4</v>
      </c>
      <c r="J1385" t="str">
        <v>United States (USA) - Alaska - between 152°W and 148°W, onshore.</v>
      </c>
      <c r="K1385" s="11">
        <v>0</v>
      </c>
    </row>
    <row r="1386" spans="5:11" x14ac:dyDescent="0.35">
      <c r="E1386" s="9" t="str">
        <v>EPSG</v>
      </c>
      <c r="F1386" s="7" t="str">
        <v>3472</v>
      </c>
      <c r="G1386" t="str">
        <v>ProjectedCrs</v>
      </c>
      <c r="H1386" t="str">
        <v>Transverse Mercator</v>
      </c>
      <c r="I1386" t="str">
        <v>NAD83(NSRS2007) / Alaska zone 5</v>
      </c>
      <c r="J1386" t="str">
        <v>United States (USA) - Alaska - between 156°W and 152°W.</v>
      </c>
      <c r="K1386" s="11">
        <v>0</v>
      </c>
    </row>
    <row r="1387" spans="5:11" x14ac:dyDescent="0.35">
      <c r="E1387" s="9" t="str">
        <v>EPSG</v>
      </c>
      <c r="F1387" s="7" t="str">
        <v>3473</v>
      </c>
      <c r="G1387" t="str">
        <v>ProjectedCrs</v>
      </c>
      <c r="H1387" t="str">
        <v>Transverse Mercator</v>
      </c>
      <c r="I1387" t="str">
        <v>NAD83(NSRS2007) / Alaska zone 6</v>
      </c>
      <c r="J1387" t="str">
        <v>United States (USA) - Alaska - between 160°W and 156°W, onshore.</v>
      </c>
      <c r="K1387" s="11">
        <v>0</v>
      </c>
    </row>
    <row r="1388" spans="5:11" x14ac:dyDescent="0.35">
      <c r="E1388" s="9" t="str">
        <v>EPSG</v>
      </c>
      <c r="F1388" s="7" t="str">
        <v>3474</v>
      </c>
      <c r="G1388" t="str">
        <v>ProjectedCrs</v>
      </c>
      <c r="H1388" t="str">
        <v>Transverse Mercator</v>
      </c>
      <c r="I1388" t="str">
        <v>NAD83(NSRS2007) / Alaska zone 7</v>
      </c>
      <c r="J1388" t="str">
        <v>United States (USA) - Alaska - between 164°W and 160°W, onshore.</v>
      </c>
      <c r="K1388" s="11">
        <v>0</v>
      </c>
    </row>
    <row r="1389" spans="5:11" x14ac:dyDescent="0.35">
      <c r="E1389" s="9" t="str">
        <v>EPSG</v>
      </c>
      <c r="F1389" s="7" t="str">
        <v>3475</v>
      </c>
      <c r="G1389" t="str">
        <v>ProjectedCrs</v>
      </c>
      <c r="H1389" t="str">
        <v>Transverse Mercator</v>
      </c>
      <c r="I1389" t="str">
        <v>NAD83(NSRS2007) / Alaska zone 8</v>
      </c>
      <c r="J1389" t="str">
        <v>United States (USA) - Alaska onshore north of 54°30'N and between 168°W and 164°W.</v>
      </c>
      <c r="K1389" s="11">
        <v>0</v>
      </c>
    </row>
    <row r="1390" spans="5:11" x14ac:dyDescent="0.35">
      <c r="E1390" s="9" t="str">
        <v>EPSG</v>
      </c>
      <c r="F1390" s="7" t="str">
        <v>3476</v>
      </c>
      <c r="G1390" t="str">
        <v>ProjectedCrs</v>
      </c>
      <c r="H1390" t="str">
        <v>Transverse Mercator</v>
      </c>
      <c r="I1390" t="str">
        <v>NAD83(NSRS2007) / Alaska zone 9</v>
      </c>
      <c r="J1390" t="str">
        <v>United States (USA) - Alaska onshore north of 54°30'N and west of 168°W.</v>
      </c>
      <c r="K1390" s="11">
        <v>0</v>
      </c>
    </row>
    <row r="1391" spans="5:11" x14ac:dyDescent="0.35">
      <c r="E1391" s="9" t="str">
        <v>EPSG</v>
      </c>
      <c r="F1391" s="7" t="str">
        <v>3477</v>
      </c>
      <c r="G1391" t="str">
        <v>ProjectedCrs</v>
      </c>
      <c r="H1391" t="str">
        <v>Lambert Conic Conformal (2SP)</v>
      </c>
      <c r="I1391" t="str">
        <v>NAD83(NSRS2007) / Alaska zone 10</v>
      </c>
      <c r="J1391" t="str">
        <v>United States (USA) - Alaska - Aleutian Islands onshore.</v>
      </c>
      <c r="K1391" s="11">
        <v>0</v>
      </c>
    </row>
    <row r="1392" spans="5:11" x14ac:dyDescent="0.35">
      <c r="E1392" s="9" t="str">
        <v>EPSG</v>
      </c>
      <c r="F1392" s="7" t="str">
        <v>3478</v>
      </c>
      <c r="G1392" t="str">
        <v>ProjectedCrs</v>
      </c>
      <c r="H1392" t="str">
        <v>Transverse Mercator</v>
      </c>
      <c r="I1392" t="str">
        <v>NAD83(NSRS2007) / Arizona Central</v>
      </c>
      <c r="J1392" t="str">
        <v>United States (USA) - Arizona - counties Coconino; Maricopa; Pima; Pinal; Santa Cruz; Yavapai.</v>
      </c>
      <c r="K1392" s="11">
        <v>0</v>
      </c>
    </row>
    <row r="1393" spans="5:11" x14ac:dyDescent="0.35">
      <c r="E1393" s="9" t="str">
        <v>EPSG</v>
      </c>
      <c r="F1393" s="7" t="str">
        <v>3479</v>
      </c>
      <c r="G1393" t="str">
        <v>ProjectedCrs</v>
      </c>
      <c r="H1393" t="str">
        <v>Transverse Mercator</v>
      </c>
      <c r="I1393" t="str">
        <v>NAD83(NSRS2007) / Arizona Central (ft)</v>
      </c>
      <c r="J1393" t="str">
        <v>United States (USA) - Arizona - counties Coconino; Maricopa; Pima; Pinal; Santa Cruz; Yavapai.</v>
      </c>
      <c r="K1393" s="11">
        <v>0</v>
      </c>
    </row>
    <row r="1394" spans="5:11" x14ac:dyDescent="0.35">
      <c r="E1394" s="9" t="str">
        <v>EPSG</v>
      </c>
      <c r="F1394" s="7" t="str">
        <v>3480</v>
      </c>
      <c r="G1394" t="str">
        <v>ProjectedCrs</v>
      </c>
      <c r="H1394" t="str">
        <v>Transverse Mercator</v>
      </c>
      <c r="I1394" t="str">
        <v>NAD83(NSRS2007) / Arizona East</v>
      </c>
      <c r="J1394" t="str">
        <v>United States (USA) - Arizona - counties Apache; Cochise; Gila; Graham; Greenlee; Navajo.</v>
      </c>
      <c r="K1394" s="11">
        <v>0</v>
      </c>
    </row>
    <row r="1395" spans="5:11" x14ac:dyDescent="0.35">
      <c r="E1395" s="9" t="str">
        <v>EPSG</v>
      </c>
      <c r="F1395" s="7" t="str">
        <v>3481</v>
      </c>
      <c r="G1395" t="str">
        <v>ProjectedCrs</v>
      </c>
      <c r="H1395" t="str">
        <v>Transverse Mercator</v>
      </c>
      <c r="I1395" t="str">
        <v>NAD83(NSRS2007) / Arizona East (ft)</v>
      </c>
      <c r="J1395" t="str">
        <v>United States (USA) - Arizona - counties Apache; Cochise; Gila; Graham; Greenlee; Navajo.</v>
      </c>
      <c r="K1395" s="11">
        <v>0</v>
      </c>
    </row>
    <row r="1396" spans="5:11" x14ac:dyDescent="0.35">
      <c r="E1396" s="9" t="str">
        <v>EPSG</v>
      </c>
      <c r="F1396" s="7" t="str">
        <v>3482</v>
      </c>
      <c r="G1396" t="str">
        <v>ProjectedCrs</v>
      </c>
      <c r="H1396" t="str">
        <v>Transverse Mercator</v>
      </c>
      <c r="I1396" t="str">
        <v>NAD83(NSRS2007) / Arizona West</v>
      </c>
      <c r="J1396" t="str">
        <v>United States (USA) - Arizona - counties of La Paz; Mohave; Yuma.</v>
      </c>
      <c r="K1396" s="11">
        <v>0</v>
      </c>
    </row>
    <row r="1397" spans="5:11" x14ac:dyDescent="0.35">
      <c r="E1397" s="9" t="str">
        <v>EPSG</v>
      </c>
      <c r="F1397" s="7" t="str">
        <v>3483</v>
      </c>
      <c r="G1397" t="str">
        <v>ProjectedCrs</v>
      </c>
      <c r="H1397" t="str">
        <v>Transverse Mercator</v>
      </c>
      <c r="I1397" t="str">
        <v>NAD83(NSRS2007) / Arizona West (ft)</v>
      </c>
      <c r="J1397" t="str">
        <v>United States (USA) - Arizona - counties of La Paz; Mohave; Yuma.</v>
      </c>
      <c r="K1397" s="11">
        <v>0</v>
      </c>
    </row>
    <row r="1398" spans="5:11" x14ac:dyDescent="0.35">
      <c r="E1398" s="9" t="str">
        <v>EPSG</v>
      </c>
      <c r="F1398" s="7" t="str">
        <v>3484</v>
      </c>
      <c r="G1398" t="str">
        <v>ProjectedCrs</v>
      </c>
      <c r="H1398" t="str">
        <v>Lambert Conic Conformal (2SP)</v>
      </c>
      <c r="I1398" t="str">
        <v>NAD83(NSRS2007) / Arkansas North</v>
      </c>
      <c r="J1398"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1398" s="11">
        <v>0</v>
      </c>
    </row>
    <row r="1399" spans="5:11" x14ac:dyDescent="0.35">
      <c r="E1399" s="9" t="str">
        <v>EPSG</v>
      </c>
      <c r="F1399" s="7" t="str">
        <v>3485</v>
      </c>
      <c r="G1399" t="str">
        <v>ProjectedCrs</v>
      </c>
      <c r="H1399" t="str">
        <v>Lambert Conic Conformal (2SP)</v>
      </c>
      <c r="I1399" t="str">
        <v>NAD83(NSRS2007) / Arkansas North (ftUS)</v>
      </c>
      <c r="J1399"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1399" s="11">
        <v>0</v>
      </c>
    </row>
    <row r="1400" spans="5:11" x14ac:dyDescent="0.35">
      <c r="E1400" s="9" t="str">
        <v>EPSG</v>
      </c>
      <c r="F1400" s="7" t="str">
        <v>3486</v>
      </c>
      <c r="G1400" t="str">
        <v>ProjectedCrs</v>
      </c>
      <c r="H1400" t="str">
        <v>Lambert Conic Conformal (2SP)</v>
      </c>
      <c r="I1400" t="str">
        <v>NAD83(NSRS2007) / Arkansas South</v>
      </c>
      <c r="J1400"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1400" s="11">
        <v>0</v>
      </c>
    </row>
    <row r="1401" spans="5:11" x14ac:dyDescent="0.35">
      <c r="E1401" s="9" t="str">
        <v>EPSG</v>
      </c>
      <c r="F1401" s="7" t="str">
        <v>3487</v>
      </c>
      <c r="G1401" t="str">
        <v>ProjectedCrs</v>
      </c>
      <c r="H1401" t="str">
        <v>Lambert Conic Conformal (2SP)</v>
      </c>
      <c r="I1401" t="str">
        <v>NAD83(NSRS2007) / Arkansas South (ftUS)</v>
      </c>
      <c r="J1401"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1401" s="11">
        <v>0</v>
      </c>
    </row>
    <row r="1402" spans="5:11" x14ac:dyDescent="0.35">
      <c r="E1402" s="9" t="str">
        <v>EPSG</v>
      </c>
      <c r="F1402" s="7" t="str">
        <v>3488</v>
      </c>
      <c r="G1402" t="str">
        <v>ProjectedCrs</v>
      </c>
      <c r="H1402" t="str">
        <v>Albers Equal Area</v>
      </c>
      <c r="I1402" t="str">
        <v>NAD83(NSRS2007) / California Albers</v>
      </c>
      <c r="J1402" t="str">
        <v>United States (USA) - California.</v>
      </c>
      <c r="K1402" s="11">
        <v>0</v>
      </c>
    </row>
    <row r="1403" spans="5:11" x14ac:dyDescent="0.35">
      <c r="E1403" s="9" t="str">
        <v>EPSG</v>
      </c>
      <c r="F1403" s="7" t="str">
        <v>3489</v>
      </c>
      <c r="G1403" t="str">
        <v>ProjectedCrs</v>
      </c>
      <c r="H1403" t="str">
        <v>Lambert Conic Conformal (2SP)</v>
      </c>
      <c r="I1403" t="str">
        <v>NAD83(NSRS2007) / California zone 1</v>
      </c>
      <c r="J1403" t="str">
        <v>United States (USA) - California - counties Del Norte; Humboldt; Lassen; Modoc; Plumas; Shasta; Siskiyou; Tehama; Trinity.</v>
      </c>
      <c r="K1403" s="11">
        <v>0</v>
      </c>
    </row>
    <row r="1404" spans="5:11" x14ac:dyDescent="0.35">
      <c r="E1404" s="9" t="str">
        <v>EPSG</v>
      </c>
      <c r="F1404" s="7" t="str">
        <v>3490</v>
      </c>
      <c r="G1404" t="str">
        <v>ProjectedCrs</v>
      </c>
      <c r="H1404" t="str">
        <v>Lambert Conic Conformal (2SP)</v>
      </c>
      <c r="I1404" t="str">
        <v>NAD83(NSRS2007) / California zone 1 (ftUS)</v>
      </c>
      <c r="J1404" t="str">
        <v>United States (USA) - California - counties Del Norte; Humboldt; Lassen; Modoc; Plumas; Shasta; Siskiyou; Tehama; Trinity.</v>
      </c>
      <c r="K1404" s="11">
        <v>0</v>
      </c>
    </row>
    <row r="1405" spans="5:11" x14ac:dyDescent="0.35">
      <c r="E1405" s="9" t="str">
        <v>EPSG</v>
      </c>
      <c r="F1405" s="7" t="str">
        <v>3491</v>
      </c>
      <c r="G1405" t="str">
        <v>ProjectedCrs</v>
      </c>
      <c r="H1405" t="str">
        <v>Lambert Conic Conformal (2SP)</v>
      </c>
      <c r="I1405" t="str">
        <v>NAD83(NSRS2007) / California zone 2</v>
      </c>
      <c r="J1405" t="str">
        <v>United States (USA) - California - counties of Alpine; Amador; Butte; Colusa; El Dorado; Glenn; Lake; Mendocino; Napa; Nevada; Placer; Sacramento; Sierra; Solano; Sonoma; Sutter; Yolo; Yuba.</v>
      </c>
      <c r="K1405" s="11">
        <v>0</v>
      </c>
    </row>
    <row r="1406" spans="5:11" x14ac:dyDescent="0.35">
      <c r="E1406" s="9" t="str">
        <v>EPSG</v>
      </c>
      <c r="F1406" s="7" t="str">
        <v>3492</v>
      </c>
      <c r="G1406" t="str">
        <v>ProjectedCrs</v>
      </c>
      <c r="H1406" t="str">
        <v>Lambert Conic Conformal (2SP)</v>
      </c>
      <c r="I1406" t="str">
        <v>NAD83(NSRS2007) / California zone 2 (ftUS)</v>
      </c>
      <c r="J1406" t="str">
        <v>United States (USA) - California - counties of Alpine; Amador; Butte; Colusa; El Dorado; Glenn; Lake; Mendocino; Napa; Nevada; Placer; Sacramento; Sierra; Solano; Sonoma; Sutter; Yolo; Yuba.</v>
      </c>
      <c r="K1406" s="11">
        <v>0</v>
      </c>
    </row>
    <row r="1407" spans="5:11" x14ac:dyDescent="0.35">
      <c r="E1407" s="9" t="str">
        <v>EPSG</v>
      </c>
      <c r="F1407" s="7" t="str">
        <v>3493</v>
      </c>
      <c r="G1407" t="str">
        <v>ProjectedCrs</v>
      </c>
      <c r="H1407" t="str">
        <v>Lambert Conic Conformal (2SP)</v>
      </c>
      <c r="I1407" t="str">
        <v>NAD83(NSRS2007) / California zone 3</v>
      </c>
      <c r="J1407" t="str">
        <v>United States (USA) - California - counties Alameda; Calaveras; Contra Costa; Madera; Marin; Mariposa; Merced; Mono; San Francisco; San Joaquin; San Mateo; Santa Clara; Santa Cruz; Stanislaus; Tuolumne.</v>
      </c>
      <c r="K1407" s="11">
        <v>0</v>
      </c>
    </row>
    <row r="1408" spans="5:11" x14ac:dyDescent="0.35">
      <c r="E1408" s="9" t="str">
        <v>EPSG</v>
      </c>
      <c r="F1408" s="7" t="str">
        <v>3494</v>
      </c>
      <c r="G1408" t="str">
        <v>ProjectedCrs</v>
      </c>
      <c r="H1408" t="str">
        <v>Lambert Conic Conformal (2SP)</v>
      </c>
      <c r="I1408" t="str">
        <v>NAD83(NSRS2007) / California zone 3 (ftUS)</v>
      </c>
      <c r="J1408" t="str">
        <v>United States (USA) - California - counties Alameda; Calaveras; Contra Costa; Madera; Marin; Mariposa; Merced; Mono; San Francisco; San Joaquin; San Mateo; Santa Clara; Santa Cruz; Stanislaus; Tuolumne.</v>
      </c>
      <c r="K1408" s="11">
        <v>0</v>
      </c>
    </row>
    <row r="1409" spans="5:11" x14ac:dyDescent="0.35">
      <c r="E1409" s="9" t="str">
        <v>EPSG</v>
      </c>
      <c r="F1409" s="7" t="str">
        <v>3495</v>
      </c>
      <c r="G1409" t="str">
        <v>ProjectedCrs</v>
      </c>
      <c r="H1409" t="str">
        <v>Lambert Conic Conformal (2SP)</v>
      </c>
      <c r="I1409" t="str">
        <v>NAD83(NSRS2007) / California zone 4</v>
      </c>
      <c r="J1409" t="str">
        <v>United States (USA) - California - counties Fresno; Inyo; Kings; Monterey; San Benito; Tulare.</v>
      </c>
      <c r="K1409" s="11">
        <v>0</v>
      </c>
    </row>
    <row r="1410" spans="5:11" x14ac:dyDescent="0.35">
      <c r="E1410" s="9" t="str">
        <v>EPSG</v>
      </c>
      <c r="F1410" s="7" t="str">
        <v>3496</v>
      </c>
      <c r="G1410" t="str">
        <v>ProjectedCrs</v>
      </c>
      <c r="H1410" t="str">
        <v>Lambert Conic Conformal (2SP)</v>
      </c>
      <c r="I1410" t="str">
        <v>NAD83(NSRS2007) / California zone 4 (ftUS)</v>
      </c>
      <c r="J1410" t="str">
        <v>United States (USA) - California - counties Fresno; Inyo; Kings; Monterey; San Benito; Tulare.</v>
      </c>
      <c r="K1410" s="11">
        <v>0</v>
      </c>
    </row>
    <row r="1411" spans="5:11" x14ac:dyDescent="0.35">
      <c r="E1411" s="9" t="str">
        <v>EPSG</v>
      </c>
      <c r="F1411" s="7" t="str">
        <v>3497</v>
      </c>
      <c r="G1411" t="str">
        <v>ProjectedCrs</v>
      </c>
      <c r="H1411" t="str">
        <v>Lambert Conic Conformal (2SP)</v>
      </c>
      <c r="I1411" t="str">
        <v>NAD83(NSRS2007) / California zone 5</v>
      </c>
      <c r="J1411" t="str">
        <v>United States (USA) - California - counties Kern; Los Angeles; San Bernardino; San Luis Obispo; Santa Barbara; Ventura.</v>
      </c>
      <c r="K1411" s="11">
        <v>0</v>
      </c>
    </row>
    <row r="1412" spans="5:11" x14ac:dyDescent="0.35">
      <c r="E1412" s="9" t="str">
        <v>EPSG</v>
      </c>
      <c r="F1412" s="7" t="str">
        <v>3498</v>
      </c>
      <c r="G1412" t="str">
        <v>ProjectedCrs</v>
      </c>
      <c r="H1412" t="str">
        <v>Lambert Conic Conformal (2SP)</v>
      </c>
      <c r="I1412" t="str">
        <v>NAD83(NSRS2007) / California zone 5 (ftUS)</v>
      </c>
      <c r="J1412" t="str">
        <v>United States (USA) - California - counties Kern; Los Angeles; San Bernardino; San Luis Obispo; Santa Barbara; Ventura.</v>
      </c>
      <c r="K1412" s="11">
        <v>0</v>
      </c>
    </row>
    <row r="1413" spans="5:11" x14ac:dyDescent="0.35">
      <c r="E1413" s="9" t="str">
        <v>EPSG</v>
      </c>
      <c r="F1413" s="7" t="str">
        <v>3499</v>
      </c>
      <c r="G1413" t="str">
        <v>ProjectedCrs</v>
      </c>
      <c r="H1413" t="str">
        <v>Lambert Conic Conformal (2SP)</v>
      </c>
      <c r="I1413" t="str">
        <v>NAD83(NSRS2007) / California zone 6</v>
      </c>
      <c r="J1413" t="str">
        <v>United States (USA) - California - counties Imperial; Orange; Riverside; San Diego.</v>
      </c>
      <c r="K1413" s="11">
        <v>0</v>
      </c>
    </row>
    <row r="1414" spans="5:11" x14ac:dyDescent="0.35">
      <c r="E1414" s="9" t="str">
        <v>EPSG</v>
      </c>
      <c r="F1414" s="7" t="str">
        <v>3500</v>
      </c>
      <c r="G1414" t="str">
        <v>ProjectedCrs</v>
      </c>
      <c r="H1414" t="str">
        <v>Lambert Conic Conformal (2SP)</v>
      </c>
      <c r="I1414" t="str">
        <v>NAD83(NSRS2007) / California zone 6 (ftUS)</v>
      </c>
      <c r="J1414" t="str">
        <v>United States (USA) - California - counties Imperial; Orange; Riverside; San Diego.</v>
      </c>
      <c r="K1414" s="11">
        <v>0</v>
      </c>
    </row>
    <row r="1415" spans="5:11" x14ac:dyDescent="0.35">
      <c r="E1415" s="9" t="str">
        <v>EPSG</v>
      </c>
      <c r="F1415" s="7" t="str">
        <v>3501</v>
      </c>
      <c r="G1415" t="str">
        <v>ProjectedCrs</v>
      </c>
      <c r="H1415" t="str">
        <v>Lambert Conic Conformal (2SP)</v>
      </c>
      <c r="I1415" t="str">
        <v>NAD83(NSRS2007) / Colorado Central</v>
      </c>
      <c r="J1415" t="str">
        <v>United States (USA) - Colorado - counties Arapahoe; Chaffee; Cheyenne; Clear Creek; Delta; Denver; Douglas; Eagle; El Paso; Elbert; Fremont; Garfield; Gunnison; Jefferson; Kit Carson; Lake; Lincoln; Mesa; Park; Pitkin; Summit; Teller.</v>
      </c>
      <c r="K1415" s="11">
        <v>0</v>
      </c>
    </row>
    <row r="1416" spans="5:11" x14ac:dyDescent="0.35">
      <c r="E1416" s="9" t="str">
        <v>EPSG</v>
      </c>
      <c r="F1416" s="7" t="str">
        <v>3502</v>
      </c>
      <c r="G1416" t="str">
        <v>ProjectedCrs</v>
      </c>
      <c r="H1416" t="str">
        <v>Lambert Conic Conformal (2SP)</v>
      </c>
      <c r="I1416" t="str">
        <v>NAD83(NSRS2007) / Colorado Central (ftUS)</v>
      </c>
      <c r="J1416" t="str">
        <v>United States (USA) - Colorado - counties Arapahoe; Chaffee; Cheyenne; Clear Creek; Delta; Denver; Douglas; Eagle; El Paso; Elbert; Fremont; Garfield; Gunnison; Jefferson; Kit Carson; Lake; Lincoln; Mesa; Park; Pitkin; Summit; Teller.</v>
      </c>
      <c r="K1416" s="11">
        <v>0</v>
      </c>
    </row>
    <row r="1417" spans="5:11" x14ac:dyDescent="0.35">
      <c r="E1417" s="9" t="str">
        <v>EPSG</v>
      </c>
      <c r="F1417" s="7" t="str">
        <v>3503</v>
      </c>
      <c r="G1417" t="str">
        <v>ProjectedCrs</v>
      </c>
      <c r="H1417" t="str">
        <v>Lambert Conic Conformal (2SP)</v>
      </c>
      <c r="I1417" t="str">
        <v>NAD83(NSRS2007) / Colorado North</v>
      </c>
      <c r="J1417" t="str">
        <v>United States (USA) - Colorado - counties Adams; Boulder; Gilpin; Grand; Jackson; Larimer; Logan; Moffat; Morgan; Phillips; Rio Blanco; Routt; Sedgwick; Washington; Weld; Yuma.</v>
      </c>
      <c r="K1417" s="11">
        <v>0</v>
      </c>
    </row>
    <row r="1418" spans="5:11" x14ac:dyDescent="0.35">
      <c r="E1418" s="9" t="str">
        <v>EPSG</v>
      </c>
      <c r="F1418" s="7" t="str">
        <v>3504</v>
      </c>
      <c r="G1418" t="str">
        <v>ProjectedCrs</v>
      </c>
      <c r="H1418" t="str">
        <v>Lambert Conic Conformal (2SP)</v>
      </c>
      <c r="I1418" t="str">
        <v>NAD83(NSRS2007) / Colorado North (ftUS)</v>
      </c>
      <c r="J1418" t="str">
        <v>United States (USA) - Colorado - counties Adams; Boulder; Gilpin; Grand; Jackson; Larimer; Logan; Moffat; Morgan; Phillips; Rio Blanco; Routt; Sedgwick; Washington; Weld; Yuma.</v>
      </c>
      <c r="K1418" s="11">
        <v>0</v>
      </c>
    </row>
    <row r="1419" spans="5:11" x14ac:dyDescent="0.35">
      <c r="E1419" s="9" t="str">
        <v>EPSG</v>
      </c>
      <c r="F1419" s="7" t="str">
        <v>3505</v>
      </c>
      <c r="G1419" t="str">
        <v>ProjectedCrs</v>
      </c>
      <c r="H1419" t="str">
        <v>Lambert Conic Conformal (2SP)</v>
      </c>
      <c r="I1419" t="str">
        <v>NAD83(NSRS2007) / Colorado South</v>
      </c>
      <c r="J1419" t="str">
        <v>United States (USA) - Colorado - counties Alamosa; Archuleta; Baca; Bent; Conejos; Costilla; Crowley; Custer; Dolores; Hinsdale; Huerfano; Kiowa; La Plata; Las Animas; Mineral; Montezuma; Montrose; Otero; Ouray; Prowers; Pueblo; Rio Grande; Saguache; San Juan; San Miguel.</v>
      </c>
      <c r="K1419" s="11">
        <v>0</v>
      </c>
    </row>
    <row r="1420" spans="5:11" x14ac:dyDescent="0.35">
      <c r="E1420" s="9" t="str">
        <v>EPSG</v>
      </c>
      <c r="F1420" s="7" t="str">
        <v>3506</v>
      </c>
      <c r="G1420" t="str">
        <v>ProjectedCrs</v>
      </c>
      <c r="H1420" t="str">
        <v>Lambert Conic Conformal (2SP)</v>
      </c>
      <c r="I1420" t="str">
        <v>NAD83(NSRS2007) / Colorado South (ftUS)</v>
      </c>
      <c r="J1420" t="str">
        <v>United States (USA) - Colorado - counties Alamosa; Archuleta; Baca; Bent; Conejos; Costilla; Crowley; Custer; Dolores; Hinsdale; Huerfano; Kiowa; La Plata; Las Animas; Mineral; Montezuma; Montrose; Otero; Ouray; Prowers; Pueblo; Rio Grande; Saguache; San Juan; San Miguel.</v>
      </c>
      <c r="K1420" s="11">
        <v>0</v>
      </c>
    </row>
    <row r="1421" spans="5:11" x14ac:dyDescent="0.35">
      <c r="E1421" s="9" t="str">
        <v>EPSG</v>
      </c>
      <c r="F1421" s="7" t="str">
        <v>3507</v>
      </c>
      <c r="G1421" t="str">
        <v>ProjectedCrs</v>
      </c>
      <c r="H1421" t="str">
        <v>Lambert Conic Conformal (2SP)</v>
      </c>
      <c r="I1421" t="str">
        <v>NAD83(NSRS2007) / Connecticut</v>
      </c>
      <c r="J1421" t="str">
        <v>United States (USA) - Connecticut - counties of Fairfield; Hartford; Litchfield; Middlesex; New Haven; New London; Tolland; Windham.</v>
      </c>
      <c r="K1421" s="11">
        <v>0</v>
      </c>
    </row>
    <row r="1422" spans="5:11" x14ac:dyDescent="0.35">
      <c r="E1422" s="9" t="str">
        <v>EPSG</v>
      </c>
      <c r="F1422" s="7" t="str">
        <v>3508</v>
      </c>
      <c r="G1422" t="str">
        <v>ProjectedCrs</v>
      </c>
      <c r="H1422" t="str">
        <v>Lambert Conic Conformal (2SP)</v>
      </c>
      <c r="I1422" t="str">
        <v>NAD83(NSRS2007) / Connecticut (ftUS)</v>
      </c>
      <c r="J1422" t="str">
        <v>United States (USA) - Connecticut - counties of Fairfield; Hartford; Litchfield; Middlesex; New Haven; New London; Tolland; Windham.</v>
      </c>
      <c r="K1422" s="11">
        <v>0</v>
      </c>
    </row>
    <row r="1423" spans="5:11" x14ac:dyDescent="0.35">
      <c r="E1423" s="9" t="str">
        <v>EPSG</v>
      </c>
      <c r="F1423" s="7" t="str">
        <v>3509</v>
      </c>
      <c r="G1423" t="str">
        <v>ProjectedCrs</v>
      </c>
      <c r="H1423" t="str">
        <v>Transverse Mercator</v>
      </c>
      <c r="I1423" t="str">
        <v>NAD83(NSRS2007) / Delaware</v>
      </c>
      <c r="J1423" t="str">
        <v>United States (USA) - Delaware - counties of Kent; New Castle; Sussex.</v>
      </c>
      <c r="K1423" s="11">
        <v>0</v>
      </c>
    </row>
    <row r="1424" spans="5:11" x14ac:dyDescent="0.35">
      <c r="E1424" s="9" t="str">
        <v>EPSG</v>
      </c>
      <c r="F1424" s="7" t="str">
        <v>3510</v>
      </c>
      <c r="G1424" t="str">
        <v>ProjectedCrs</v>
      </c>
      <c r="H1424" t="str">
        <v>Transverse Mercator</v>
      </c>
      <c r="I1424" t="str">
        <v>NAD83(NSRS2007) / Delaware (ftUS)</v>
      </c>
      <c r="J1424" t="str">
        <v>United States (USA) - Delaware - counties of Kent; New Castle; Sussex.</v>
      </c>
      <c r="K1424" s="11">
        <v>0</v>
      </c>
    </row>
    <row r="1425" spans="5:11" x14ac:dyDescent="0.35">
      <c r="E1425" s="9" t="str">
        <v>EPSG</v>
      </c>
      <c r="F1425" s="7" t="str">
        <v>3511</v>
      </c>
      <c r="G1425" t="str">
        <v>ProjectedCrs</v>
      </c>
      <c r="H1425" t="str">
        <v>Transverse Mercator</v>
      </c>
      <c r="I1425" t="str">
        <v>NAD83(NSRS2007) / Florida East</v>
      </c>
      <c r="J1425" t="str">
        <v>United States (USA) - Florida - counties of Brevard; Broward; Clay; Collier; Dade; Duval; Flagler; Glades; Hendry; Highlands; Indian River; Lake; Martin; Monroe; Nassau; Okeechobee; Orange; Osceola; Palm Beach; Putnam; Seminole; St Johns; St Lucie; Volusia.</v>
      </c>
      <c r="K1425" s="11">
        <v>0</v>
      </c>
    </row>
    <row r="1426" spans="5:11" x14ac:dyDescent="0.35">
      <c r="E1426" s="9" t="str">
        <v>EPSG</v>
      </c>
      <c r="F1426" s="7" t="str">
        <v>3512</v>
      </c>
      <c r="G1426" t="str">
        <v>ProjectedCrs</v>
      </c>
      <c r="H1426" t="str">
        <v>Transverse Mercator</v>
      </c>
      <c r="I1426" t="str">
        <v>NAD83(NSRS2007) / Florida East (ftUS)</v>
      </c>
      <c r="J1426" t="str">
        <v>United States (USA) - Florida - counties of Brevard; Broward; Clay; Collier; Dade; Duval; Flagler; Glades; Hendry; Highlands; Indian River; Lake; Martin; Monroe; Nassau; Okeechobee; Orange; Osceola; Palm Beach; Putnam; Seminole; St Johns; St Lucie; Volusia.</v>
      </c>
      <c r="K1426" s="11">
        <v>0</v>
      </c>
    </row>
    <row r="1427" spans="5:11" x14ac:dyDescent="0.35">
      <c r="E1427" s="9" t="str">
        <v>EPSG</v>
      </c>
      <c r="F1427" s="7" t="str">
        <v>3513</v>
      </c>
      <c r="G1427" t="str">
        <v>ProjectedCrs</v>
      </c>
      <c r="H1427" t="str">
        <v>Albers Equal Area</v>
      </c>
      <c r="I1427" t="str">
        <v>NAD83(NSRS2007) / Florida GDL Albers</v>
      </c>
      <c r="J1427" t="str">
        <v>United States (USA) - Florida.</v>
      </c>
      <c r="K1427" s="11">
        <v>0</v>
      </c>
    </row>
    <row r="1428" spans="5:11" x14ac:dyDescent="0.35">
      <c r="E1428" s="9" t="str">
        <v>EPSG</v>
      </c>
      <c r="F1428" s="7" t="str">
        <v>3514</v>
      </c>
      <c r="G1428" t="str">
        <v>ProjectedCrs</v>
      </c>
      <c r="H1428" t="str">
        <v>Lambert Conic Conformal (2SP)</v>
      </c>
      <c r="I1428" t="str">
        <v>NAD83(NSRS2007) / Florida North</v>
      </c>
      <c r="J1428" t="str">
        <v>United States (USA) - Florida - counties of Alachua; Baker; Bay; Bradford; Calhoun; Columbia; Dixie; Escambia; Franklin; Gadsden; Gilchrist; Gulf; Hamilton; Holmes; Jackson; Jefferson; Lafayette; Leon; Liberty; Madison; Okaloosa; Santa Rosa; Suwannee; Taylor; Union; Wakulla; Walton; Washington.</v>
      </c>
      <c r="K1428" s="11">
        <v>0</v>
      </c>
    </row>
    <row r="1429" spans="5:11" x14ac:dyDescent="0.35">
      <c r="E1429" s="9" t="str">
        <v>EPSG</v>
      </c>
      <c r="F1429" s="7" t="str">
        <v>3515</v>
      </c>
      <c r="G1429" t="str">
        <v>ProjectedCrs</v>
      </c>
      <c r="H1429" t="str">
        <v>Lambert Conic Conformal (2SP)</v>
      </c>
      <c r="I1429" t="str">
        <v>NAD83(NSRS2007) / Florida North (ftUS)</v>
      </c>
      <c r="J1429" t="str">
        <v>United States (USA) - Florida - counties of Alachua; Baker; Bay; Bradford; Calhoun; Columbia; Dixie; Escambia; Franklin; Gadsden; Gilchrist; Gulf; Hamilton; Holmes; Jackson; Jefferson; Lafayette; Leon; Liberty; Madison; Okaloosa; Santa Rosa; Suwannee; Taylor; Union; Wakulla; Walton; Washington.</v>
      </c>
      <c r="K1429" s="11">
        <v>0</v>
      </c>
    </row>
    <row r="1430" spans="5:11" x14ac:dyDescent="0.35">
      <c r="E1430" s="9" t="str">
        <v>EPSG</v>
      </c>
      <c r="F1430" s="7" t="str">
        <v>3516</v>
      </c>
      <c r="G1430" t="str">
        <v>ProjectedCrs</v>
      </c>
      <c r="H1430" t="str">
        <v>Transverse Mercator</v>
      </c>
      <c r="I1430" t="str">
        <v>NAD83(NSRS2007) / Florida West</v>
      </c>
      <c r="J1430" t="str">
        <v>United States (USA) - Florida - counties of Charlotte; Citrus; De Soto; Hardee; Hernando; Hillsborough; Lee; Levy; Manatee; Marion; Pasco; Pinellas; Polk; Sarasota; Sumter.</v>
      </c>
      <c r="K1430" s="11">
        <v>0</v>
      </c>
    </row>
    <row r="1431" spans="5:11" x14ac:dyDescent="0.35">
      <c r="E1431" s="9" t="str">
        <v>EPSG</v>
      </c>
      <c r="F1431" s="7" t="str">
        <v>3517</v>
      </c>
      <c r="G1431" t="str">
        <v>ProjectedCrs</v>
      </c>
      <c r="H1431" t="str">
        <v>Transverse Mercator</v>
      </c>
      <c r="I1431" t="str">
        <v>NAD83(NSRS2007) / Florida West (ftUS)</v>
      </c>
      <c r="J1431" t="str">
        <v>United States (USA) - Florida - counties of Charlotte; Citrus; De Soto; Hardee; Hernando; Hillsborough; Lee; Levy; Manatee; Marion; Pasco; Pinellas; Polk; Sarasota; Sumter.</v>
      </c>
      <c r="K1431" s="11">
        <v>0</v>
      </c>
    </row>
    <row r="1432" spans="5:11" x14ac:dyDescent="0.35">
      <c r="E1432" s="9" t="str">
        <v>EPSG</v>
      </c>
      <c r="F1432" s="7" t="str">
        <v>3518</v>
      </c>
      <c r="G1432" t="str">
        <v>ProjectedCrs</v>
      </c>
      <c r="H1432" t="str">
        <v>Transverse Mercator</v>
      </c>
      <c r="I1432" t="str">
        <v>NAD83(NSRS2007) / Georgia East</v>
      </c>
      <c r="J1432"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1432" s="11">
        <v>0</v>
      </c>
    </row>
    <row r="1433" spans="5:11" x14ac:dyDescent="0.35">
      <c r="E1433" s="9" t="str">
        <v>EPSG</v>
      </c>
      <c r="F1433" s="7" t="str">
        <v>3519</v>
      </c>
      <c r="G1433" t="str">
        <v>ProjectedCrs</v>
      </c>
      <c r="H1433" t="str">
        <v>Transverse Mercator</v>
      </c>
      <c r="I1433" t="str">
        <v>NAD83(NSRS2007) / Georgia East (ftUS)</v>
      </c>
      <c r="J1433"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1433" s="11">
        <v>0</v>
      </c>
    </row>
    <row r="1434" spans="5:11" x14ac:dyDescent="0.35">
      <c r="E1434" s="9" t="str">
        <v>EPSG</v>
      </c>
      <c r="F1434" s="7" t="str">
        <v>3520</v>
      </c>
      <c r="G1434" t="str">
        <v>ProjectedCrs</v>
      </c>
      <c r="H1434" t="str">
        <v>Transverse Mercator</v>
      </c>
      <c r="I1434" t="str">
        <v>NAD83(NSRS2007) / Georgia West</v>
      </c>
      <c r="J1434"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1434" s="11">
        <v>0</v>
      </c>
    </row>
    <row r="1435" spans="5:11" x14ac:dyDescent="0.35">
      <c r="E1435" s="9" t="str">
        <v>EPSG</v>
      </c>
      <c r="F1435" s="7" t="str">
        <v>3521</v>
      </c>
      <c r="G1435" t="str">
        <v>ProjectedCrs</v>
      </c>
      <c r="H1435" t="str">
        <v>Transverse Mercator</v>
      </c>
      <c r="I1435" t="str">
        <v>NAD83(NSRS2007) / Georgia West (ftUS)</v>
      </c>
      <c r="J1435"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1435" s="11">
        <v>0</v>
      </c>
    </row>
    <row r="1436" spans="5:11" x14ac:dyDescent="0.35">
      <c r="E1436" s="9" t="str">
        <v>EPSG</v>
      </c>
      <c r="F1436" s="7" t="str">
        <v>3522</v>
      </c>
      <c r="G1436" t="str">
        <v>ProjectedCrs</v>
      </c>
      <c r="H1436" t="str">
        <v>Transverse Mercator</v>
      </c>
      <c r="I1436" t="str">
        <v>NAD83(NSRS2007) / Idaho Central</v>
      </c>
      <c r="J1436" t="str">
        <v>United States (USA) - Idaho - counties of Blaine; Butte; Camas; Cassia; Custer; Gooding; Jerome; Lemhi; Lincoln; Minidoka; Twin Falls.</v>
      </c>
      <c r="K1436" s="11">
        <v>0</v>
      </c>
    </row>
    <row r="1437" spans="5:11" x14ac:dyDescent="0.35">
      <c r="E1437" s="9" t="str">
        <v>EPSG</v>
      </c>
      <c r="F1437" s="7" t="str">
        <v>3523</v>
      </c>
      <c r="G1437" t="str">
        <v>ProjectedCrs</v>
      </c>
      <c r="H1437" t="str">
        <v>Transverse Mercator</v>
      </c>
      <c r="I1437" t="str">
        <v>NAD83(NSRS2007) / Idaho Central (ftUS)</v>
      </c>
      <c r="J1437" t="str">
        <v>United States (USA) - Idaho - counties of Blaine; Butte; Camas; Cassia; Custer; Gooding; Jerome; Lemhi; Lincoln; Minidoka; Twin Falls.</v>
      </c>
      <c r="K1437" s="11">
        <v>0</v>
      </c>
    </row>
    <row r="1438" spans="5:11" x14ac:dyDescent="0.35">
      <c r="E1438" s="9" t="str">
        <v>EPSG</v>
      </c>
      <c r="F1438" s="7" t="str">
        <v>3524</v>
      </c>
      <c r="G1438" t="str">
        <v>ProjectedCrs</v>
      </c>
      <c r="H1438" t="str">
        <v>Transverse Mercator</v>
      </c>
      <c r="I1438" t="str">
        <v>NAD83(NSRS2007) / Idaho East</v>
      </c>
      <c r="J1438" t="str">
        <v>United States (USA) - Idaho - counties of Bannock; Bear Lake; Bingham; Bonneville; Caribou; Clark; Franklin; Fremont; Jefferson; Madison; Oneida; Power; Teton.</v>
      </c>
      <c r="K1438" s="11">
        <v>0</v>
      </c>
    </row>
    <row r="1439" spans="5:11" x14ac:dyDescent="0.35">
      <c r="E1439" s="9" t="str">
        <v>EPSG</v>
      </c>
      <c r="F1439" s="7" t="str">
        <v>3525</v>
      </c>
      <c r="G1439" t="str">
        <v>ProjectedCrs</v>
      </c>
      <c r="H1439" t="str">
        <v>Transverse Mercator</v>
      </c>
      <c r="I1439" t="str">
        <v>NAD83(NSRS2007) / Idaho East (ftUS)</v>
      </c>
      <c r="J1439" t="str">
        <v>United States (USA) - Idaho - counties of Bannock; Bear Lake; Bingham; Bonneville; Caribou; Clark; Franklin; Fremont; Jefferson; Madison; Oneida; Power; Teton.</v>
      </c>
      <c r="K1439" s="11">
        <v>0</v>
      </c>
    </row>
    <row r="1440" spans="5:11" x14ac:dyDescent="0.35">
      <c r="E1440" s="9" t="str">
        <v>EPSG</v>
      </c>
      <c r="F1440" s="7" t="str">
        <v>3526</v>
      </c>
      <c r="G1440" t="str">
        <v>ProjectedCrs</v>
      </c>
      <c r="H1440" t="str">
        <v>Transverse Mercator</v>
      </c>
      <c r="I1440" t="str">
        <v>NAD83(NSRS2007) / Idaho West</v>
      </c>
      <c r="J1440" t="str">
        <v>United States (USA) - Idaho - counties of Ada; Adams; Benewah; Boise; Bonner; Boundary; Canyon; Clearwater; Elmore; Gem; Idaho; Kootenai; Latah; Lewis; Nez Perce; Owyhee; Payette; Shoshone; Valley; Washington.</v>
      </c>
      <c r="K1440" s="11">
        <v>0</v>
      </c>
    </row>
    <row r="1441" spans="5:11" x14ac:dyDescent="0.35">
      <c r="E1441" s="9" t="str">
        <v>EPSG</v>
      </c>
      <c r="F1441" s="7" t="str">
        <v>3527</v>
      </c>
      <c r="G1441" t="str">
        <v>ProjectedCrs</v>
      </c>
      <c r="H1441" t="str">
        <v>Transverse Mercator</v>
      </c>
      <c r="I1441" t="str">
        <v>NAD83(NSRS2007) / Idaho West (ftUS)</v>
      </c>
      <c r="J1441" t="str">
        <v>United States (USA) - Idaho - counties of Ada; Adams; Benewah; Boise; Bonner; Boundary; Canyon; Clearwater; Elmore; Gem; Idaho; Kootenai; Latah; Lewis; Nez Perce; Owyhee; Payette; Shoshone; Valley; Washington.</v>
      </c>
      <c r="K1441" s="11">
        <v>0</v>
      </c>
    </row>
    <row r="1442" spans="5:11" x14ac:dyDescent="0.35">
      <c r="E1442" s="9" t="str">
        <v>EPSG</v>
      </c>
      <c r="F1442" s="7" t="str">
        <v>3528</v>
      </c>
      <c r="G1442" t="str">
        <v>ProjectedCrs</v>
      </c>
      <c r="H1442" t="str">
        <v>Transverse Mercator</v>
      </c>
      <c r="I1442" t="str">
        <v>NAD83(NSRS2007) / Illinois East</v>
      </c>
      <c r="J1442"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1442" s="11">
        <v>0</v>
      </c>
    </row>
    <row r="1443" spans="5:11" x14ac:dyDescent="0.35">
      <c r="E1443" s="9" t="str">
        <v>EPSG</v>
      </c>
      <c r="F1443" s="7" t="str">
        <v>3529</v>
      </c>
      <c r="G1443" t="str">
        <v>ProjectedCrs</v>
      </c>
      <c r="H1443" t="str">
        <v>Transverse Mercator</v>
      </c>
      <c r="I1443" t="str">
        <v>NAD83(NSRS2007) / Illinois East (ftUS)</v>
      </c>
      <c r="J1443"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1443" s="11">
        <v>0</v>
      </c>
    </row>
    <row r="1444" spans="5:11" x14ac:dyDescent="0.35">
      <c r="E1444" s="9" t="str">
        <v>EPSG</v>
      </c>
      <c r="F1444" s="7" t="str">
        <v>3530</v>
      </c>
      <c r="G1444" t="str">
        <v>ProjectedCrs</v>
      </c>
      <c r="H1444" t="str">
        <v>Transverse Mercator</v>
      </c>
      <c r="I1444" t="str">
        <v>NAD83(NSRS2007) / Illinois West</v>
      </c>
      <c r="J1444"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1444" s="11">
        <v>0</v>
      </c>
    </row>
    <row r="1445" spans="5:11" x14ac:dyDescent="0.35">
      <c r="E1445" s="9" t="str">
        <v>EPSG</v>
      </c>
      <c r="F1445" s="7" t="str">
        <v>3531</v>
      </c>
      <c r="G1445" t="str">
        <v>ProjectedCrs</v>
      </c>
      <c r="H1445" t="str">
        <v>Transverse Mercator</v>
      </c>
      <c r="I1445" t="str">
        <v>NAD83(NSRS2007) / Illinois West (ftUS)</v>
      </c>
      <c r="J1445"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1445" s="11">
        <v>0</v>
      </c>
    </row>
    <row r="1446" spans="5:11" x14ac:dyDescent="0.35">
      <c r="E1446" s="9" t="str">
        <v>EPSG</v>
      </c>
      <c r="F1446" s="7" t="str">
        <v>3532</v>
      </c>
      <c r="G1446" t="str">
        <v>ProjectedCrs</v>
      </c>
      <c r="H1446" t="str">
        <v>Transverse Mercator</v>
      </c>
      <c r="I1446" t="str">
        <v>NAD83(NSRS2007) / Indiana East</v>
      </c>
      <c r="J1446"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1446" s="11">
        <v>0</v>
      </c>
    </row>
    <row r="1447" spans="5:11" x14ac:dyDescent="0.35">
      <c r="E1447" s="9" t="str">
        <v>EPSG</v>
      </c>
      <c r="F1447" s="7" t="str">
        <v>3533</v>
      </c>
      <c r="G1447" t="str">
        <v>ProjectedCrs</v>
      </c>
      <c r="H1447" t="str">
        <v>Transverse Mercator</v>
      </c>
      <c r="I1447" t="str">
        <v>NAD83(NSRS2007) / Indiana East (ftUS)</v>
      </c>
      <c r="J1447"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1447" s="11">
        <v>0</v>
      </c>
    </row>
    <row r="1448" spans="5:11" x14ac:dyDescent="0.35">
      <c r="E1448" s="9" t="str">
        <v>EPSG</v>
      </c>
      <c r="F1448" s="7" t="str">
        <v>3534</v>
      </c>
      <c r="G1448" t="str">
        <v>ProjectedCrs</v>
      </c>
      <c r="H1448" t="str">
        <v>Transverse Mercator</v>
      </c>
      <c r="I1448" t="str">
        <v>NAD83(NSRS2007) / Indiana West</v>
      </c>
      <c r="J1448"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1448" s="11">
        <v>0</v>
      </c>
    </row>
    <row r="1449" spans="5:11" x14ac:dyDescent="0.35">
      <c r="E1449" s="9" t="str">
        <v>EPSG</v>
      </c>
      <c r="F1449" s="7" t="str">
        <v>3535</v>
      </c>
      <c r="G1449" t="str">
        <v>ProjectedCrs</v>
      </c>
      <c r="H1449" t="str">
        <v>Transverse Mercator</v>
      </c>
      <c r="I1449" t="str">
        <v>NAD83(NSRS2007) / Indiana West (ftUS)</v>
      </c>
      <c r="J1449"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1449" s="11">
        <v>0</v>
      </c>
    </row>
    <row r="1450" spans="5:11" x14ac:dyDescent="0.35">
      <c r="E1450" s="9" t="str">
        <v>EPSG</v>
      </c>
      <c r="F1450" s="7" t="str">
        <v>3536</v>
      </c>
      <c r="G1450" t="str">
        <v>ProjectedCrs</v>
      </c>
      <c r="H1450" t="str">
        <v>Lambert Conic Conformal (2SP)</v>
      </c>
      <c r="I1450" t="str">
        <v>NAD83(NSRS2007) / Iowa North</v>
      </c>
      <c r="J1450"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1450" s="11">
        <v>0</v>
      </c>
    </row>
    <row r="1451" spans="5:11" x14ac:dyDescent="0.35">
      <c r="E1451" s="9" t="str">
        <v>EPSG</v>
      </c>
      <c r="F1451" s="7" t="str">
        <v>3537</v>
      </c>
      <c r="G1451" t="str">
        <v>ProjectedCrs</v>
      </c>
      <c r="H1451" t="str">
        <v>Lambert Conic Conformal (2SP)</v>
      </c>
      <c r="I1451" t="str">
        <v>NAD83(NSRS2007) / Iowa North (ftUS)</v>
      </c>
      <c r="J1451"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1451" s="11">
        <v>0</v>
      </c>
    </row>
    <row r="1452" spans="5:11" x14ac:dyDescent="0.35">
      <c r="E1452" s="9" t="str">
        <v>EPSG</v>
      </c>
      <c r="F1452" s="7" t="str">
        <v>3538</v>
      </c>
      <c r="G1452" t="str">
        <v>ProjectedCrs</v>
      </c>
      <c r="H1452" t="str">
        <v>Lambert Conic Conformal (2SP)</v>
      </c>
      <c r="I1452" t="str">
        <v>NAD83(NSRS2007) / Iowa South</v>
      </c>
      <c r="J1452"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1452" s="11">
        <v>0</v>
      </c>
    </row>
    <row r="1453" spans="5:11" x14ac:dyDescent="0.35">
      <c r="E1453" s="9" t="str">
        <v>EPSG</v>
      </c>
      <c r="F1453" s="7" t="str">
        <v>3539</v>
      </c>
      <c r="G1453" t="str">
        <v>ProjectedCrs</v>
      </c>
      <c r="H1453" t="str">
        <v>Lambert Conic Conformal (2SP)</v>
      </c>
      <c r="I1453" t="str">
        <v>NAD83(NSRS2007) / Iowa South (ftUS)</v>
      </c>
      <c r="J1453"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1453" s="11">
        <v>0</v>
      </c>
    </row>
    <row r="1454" spans="5:11" x14ac:dyDescent="0.35">
      <c r="E1454" s="9" t="str">
        <v>EPSG</v>
      </c>
      <c r="F1454" s="7" t="str">
        <v>3540</v>
      </c>
      <c r="G1454" t="str">
        <v>ProjectedCrs</v>
      </c>
      <c r="H1454" t="str">
        <v>Lambert Conic Conformal (2SP)</v>
      </c>
      <c r="I1454" t="str">
        <v>NAD83(NSRS2007) / Kansas North</v>
      </c>
      <c r="J1454"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1454" s="11">
        <v>0</v>
      </c>
    </row>
    <row r="1455" spans="5:11" x14ac:dyDescent="0.35">
      <c r="E1455" s="9" t="str">
        <v>EPSG</v>
      </c>
      <c r="F1455" s="7" t="str">
        <v>3541</v>
      </c>
      <c r="G1455" t="str">
        <v>ProjectedCrs</v>
      </c>
      <c r="H1455" t="str">
        <v>Lambert Conic Conformal (2SP)</v>
      </c>
      <c r="I1455" t="str">
        <v>NAD83(NSRS2007) / Kansas North (ftUS)</v>
      </c>
      <c r="J1455"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1455" s="11">
        <v>0</v>
      </c>
    </row>
    <row r="1456" spans="5:11" x14ac:dyDescent="0.35">
      <c r="E1456" s="9" t="str">
        <v>EPSG</v>
      </c>
      <c r="F1456" s="7" t="str">
        <v>3542</v>
      </c>
      <c r="G1456" t="str">
        <v>ProjectedCrs</v>
      </c>
      <c r="H1456" t="str">
        <v>Lambert Conic Conformal (2SP)</v>
      </c>
      <c r="I1456" t="str">
        <v>NAD83(NSRS2007) / Kansas South</v>
      </c>
      <c r="J1456"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1456" s="11">
        <v>0</v>
      </c>
    </row>
    <row r="1457" spans="5:11" x14ac:dyDescent="0.35">
      <c r="E1457" s="9" t="str">
        <v>EPSG</v>
      </c>
      <c r="F1457" s="7" t="str">
        <v>3543</v>
      </c>
      <c r="G1457" t="str">
        <v>ProjectedCrs</v>
      </c>
      <c r="H1457" t="str">
        <v>Lambert Conic Conformal (2SP)</v>
      </c>
      <c r="I1457" t="str">
        <v>NAD83(NSRS2007) / Kansas South (ftUS)</v>
      </c>
      <c r="J1457"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1457" s="11">
        <v>0</v>
      </c>
    </row>
    <row r="1458" spans="5:11" x14ac:dyDescent="0.35">
      <c r="E1458" s="9" t="str">
        <v>EPSG</v>
      </c>
      <c r="F1458" s="7" t="str">
        <v>3544</v>
      </c>
      <c r="G1458" t="str">
        <v>ProjectedCrs</v>
      </c>
      <c r="H1458" t="str">
        <v>Lambert Conic Conformal (2SP)</v>
      </c>
      <c r="I1458" t="str">
        <v>NAD83(NSRS2007) / Kentucky North</v>
      </c>
      <c r="J1458"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1458" s="11">
        <v>0</v>
      </c>
    </row>
    <row r="1459" spans="5:11" x14ac:dyDescent="0.35">
      <c r="E1459" s="9" t="str">
        <v>EPSG</v>
      </c>
      <c r="F1459" s="7" t="str">
        <v>3545</v>
      </c>
      <c r="G1459" t="str">
        <v>ProjectedCrs</v>
      </c>
      <c r="H1459" t="str">
        <v>Lambert Conic Conformal (2SP)</v>
      </c>
      <c r="I1459" t="str">
        <v>NAD83(NSRS2007) / Kentucky North (ftUS)</v>
      </c>
      <c r="J1459"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1459" s="11">
        <v>0</v>
      </c>
    </row>
    <row r="1460" spans="5:11" x14ac:dyDescent="0.35">
      <c r="E1460" s="9" t="str">
        <v>EPSG</v>
      </c>
      <c r="F1460" s="7" t="str">
        <v>3546</v>
      </c>
      <c r="G1460" t="str">
        <v>ProjectedCrs</v>
      </c>
      <c r="H1460" t="str">
        <v>Lambert Conic Conformal (2SP)</v>
      </c>
      <c r="I1460" t="str">
        <v>NAD83(NSRS2007) / Kentucky Single Zone</v>
      </c>
      <c r="J1460" t="str">
        <v>United States (USA) - Kentucky.</v>
      </c>
      <c r="K1460" s="11">
        <v>0</v>
      </c>
    </row>
    <row r="1461" spans="5:11" x14ac:dyDescent="0.35">
      <c r="E1461" s="9" t="str">
        <v>EPSG</v>
      </c>
      <c r="F1461" s="7" t="str">
        <v>3547</v>
      </c>
      <c r="G1461" t="str">
        <v>ProjectedCrs</v>
      </c>
      <c r="H1461" t="str">
        <v>Lambert Conic Conformal (2SP)</v>
      </c>
      <c r="I1461" t="str">
        <v>NAD83(NSRS2007) / Kentucky Single Zone (ftUS)</v>
      </c>
      <c r="J1461" t="str">
        <v>United States (USA) - Kentucky.</v>
      </c>
      <c r="K1461" s="11">
        <v>0</v>
      </c>
    </row>
    <row r="1462" spans="5:11" x14ac:dyDescent="0.35">
      <c r="E1462" s="9" t="str">
        <v>EPSG</v>
      </c>
      <c r="F1462" s="7" t="str">
        <v>3548</v>
      </c>
      <c r="G1462" t="str">
        <v>ProjectedCrs</v>
      </c>
      <c r="H1462" t="str">
        <v>Lambert Conic Conformal (2SP)</v>
      </c>
      <c r="I1462" t="str">
        <v>NAD83(NSRS2007) / Kentucky South</v>
      </c>
      <c r="J1462"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1462" s="11">
        <v>0</v>
      </c>
    </row>
    <row r="1463" spans="5:11" x14ac:dyDescent="0.35">
      <c r="E1463" s="9" t="str">
        <v>EPSG</v>
      </c>
      <c r="F1463" s="7" t="str">
        <v>3549</v>
      </c>
      <c r="G1463" t="str">
        <v>ProjectedCrs</v>
      </c>
      <c r="H1463" t="str">
        <v>Lambert Conic Conformal (2SP)</v>
      </c>
      <c r="I1463" t="str">
        <v>NAD83(NSRS2007) / Kentucky South (ftUS)</v>
      </c>
      <c r="J1463"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1463" s="11">
        <v>0</v>
      </c>
    </row>
    <row r="1464" spans="5:11" x14ac:dyDescent="0.35">
      <c r="E1464" s="9" t="str">
        <v>EPSG</v>
      </c>
      <c r="F1464" s="7" t="str">
        <v>3550</v>
      </c>
      <c r="G1464" t="str">
        <v>ProjectedCrs</v>
      </c>
      <c r="H1464" t="str">
        <v>Lambert Conic Conformal (2SP)</v>
      </c>
      <c r="I1464" t="str">
        <v>NAD83(NSRS2007) / Louisiana North</v>
      </c>
      <c r="J1464"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1464" s="11">
        <v>0</v>
      </c>
    </row>
    <row r="1465" spans="5:11" x14ac:dyDescent="0.35">
      <c r="E1465" s="9" t="str">
        <v>EPSG</v>
      </c>
      <c r="F1465" s="7" t="str">
        <v>3551</v>
      </c>
      <c r="G1465" t="str">
        <v>ProjectedCrs</v>
      </c>
      <c r="H1465" t="str">
        <v>Lambert Conic Conformal (2SP)</v>
      </c>
      <c r="I1465" t="str">
        <v>NAD83(NSRS2007) / Louisiana North (ftUS)</v>
      </c>
      <c r="J1465"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1465" s="11">
        <v>0</v>
      </c>
    </row>
    <row r="1466" spans="5:11" x14ac:dyDescent="0.35">
      <c r="E1466" s="9" t="str">
        <v>EPSG</v>
      </c>
      <c r="F1466" s="7" t="str">
        <v>3552</v>
      </c>
      <c r="G1466" t="str">
        <v>ProjectedCrs</v>
      </c>
      <c r="H1466" t="str">
        <v>Lambert Conic Conformal (2SP)</v>
      </c>
      <c r="I1466" t="str">
        <v>NAD83(NSRS2007) / Louisiana South</v>
      </c>
      <c r="J1466"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1466" s="11">
        <v>0</v>
      </c>
    </row>
    <row r="1467" spans="5:11" x14ac:dyDescent="0.35">
      <c r="E1467" s="9" t="str">
        <v>EPSG</v>
      </c>
      <c r="F1467" s="7" t="str">
        <v>3553</v>
      </c>
      <c r="G1467" t="str">
        <v>ProjectedCrs</v>
      </c>
      <c r="H1467" t="str">
        <v>Lambert Conic Conformal (2SP)</v>
      </c>
      <c r="I1467" t="str">
        <v>NAD83(NSRS2007) / Louisiana South (ftUS)</v>
      </c>
      <c r="J1467"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1467" s="11">
        <v>0</v>
      </c>
    </row>
    <row r="1468" spans="5:11" x14ac:dyDescent="0.35">
      <c r="E1468" s="9" t="str">
        <v>EPSG</v>
      </c>
      <c r="F1468" s="7" t="str">
        <v>3554</v>
      </c>
      <c r="G1468" t="str">
        <v>ProjectedCrs</v>
      </c>
      <c r="H1468" t="str">
        <v>Transverse Mercator</v>
      </c>
      <c r="I1468" t="str">
        <v>NAD83(NSRS2007) / Maine CS2000 Central</v>
      </c>
      <c r="J1468" t="str">
        <v>United States (USA) - Maine between approximately 69°40'W and 68°25'W. The area is bounded by the following: Beginning at the point determined by the intersection of the Maine State line and the County Line between Aroostook and Somerset Counties, thence northeasterly along the state line to the intersection of the Fort Kent - Frenchville town line, thence southerly along this town line to the intersection with the New Canada Plantation - T17 R5 WELS town line, thence continuing southerly along town lines to the northeast corner of Penobscot County, thence continuing southerly along the Penobscot County line to the intersection of the Woodville - Mattawamkeag town line (being determined by the Penobscot River), thence along the Penobscot River to the Enfield - Lincoln town line, thence southeasterly along the Enfield - Lincoln town line and the Enfield - Lowell town line to the Passadumkeag - Edinburg town line, thence south-southeasterly along town lines to the intersection of the Hancock County line, thence southerly along the county line to the intersection of the Otis - Mariaville town line, thence southerly along the Otis - Mariaville town line to the Ellsworth city line, thence southerly along the Ellsworth city line to the intersection of the Surry - Trenton town line, thence southerly along the easterly town lines of Surry, Blue Hill, Brooklin, Deer Isle, and Stonington to the Knox County line, thence following the Knox County line to the boundary of the State of Maine as determined by Maritime law, thence following the State boundary westerly to the intersection of the Sagadahoc - Lincoln county line, thence northerly along the easterly boundary of the Maine 2000 West Zone, as defined, to the point of beginning.</v>
      </c>
      <c r="K1468" s="11">
        <v>0</v>
      </c>
    </row>
    <row r="1469" spans="5:11" x14ac:dyDescent="0.35">
      <c r="E1469" s="9" t="str">
        <v>EPSG</v>
      </c>
      <c r="F1469" s="7" t="str">
        <v>3555</v>
      </c>
      <c r="G1469" t="str">
        <v>ProjectedCrs</v>
      </c>
      <c r="H1469" t="str">
        <v>Transverse Mercator</v>
      </c>
      <c r="I1469" t="str">
        <v>NAD83(NSRS2007) / Maine CS2000 East</v>
      </c>
      <c r="J1469" t="str">
        <v>United States (USA) - Maine east of approximately 68°25'W. The area is bounded by the following: Beginning at the point determined by the intersection of the Maine State line and the Fort Kent - Frenchville town line, thence continuing easterly and then southerly along the state line to the boundary of the State of Maine as determined by Maritime law, thence following the State boundary westerly to the intersection of the Knox and Hancock County line, thence northerly along the easterly boundary of the Maine 2000 Central Zone, as defined, to the point of beginning.</v>
      </c>
      <c r="K1469" s="11">
        <v>0</v>
      </c>
    </row>
    <row r="1470" spans="5:11" x14ac:dyDescent="0.35">
      <c r="E1470" s="9" t="str">
        <v>EPSG</v>
      </c>
      <c r="F1470" s="7" t="str">
        <v>3556</v>
      </c>
      <c r="G1470" t="str">
        <v>ProjectedCrs</v>
      </c>
      <c r="H1470" t="str">
        <v>Transverse Mercator</v>
      </c>
      <c r="I1470" t="str">
        <v>NAD83(NSRS2007) / Maine CS2000 West</v>
      </c>
      <c r="J1470" t="str">
        <v>United States (USA) - Maine west of approximately 69°40'W. The area is bounded by the following: Beginning at the point determined by the intersection of the Maine State line and the County Line between Aroostook and Somerset Counties, thence following the Somerset County line Easterly to the Northwest corner of the Somerset and Piscataquis county line, thence Southerly along this county line to the northeast corner of the Athens town line, thence westerly along the town line between Brighton Plantation and Athens to the westerly corner of Athens, and continuing southerly to the southwest corner of the town of Athens where it meets the Cornville town line, thence westerly along the Cornville - Solon town line to the intersection of the Cornville - Madison town line, thence southerly and westerly following the Madison town line to the intersection of the Norridgewock - Skowhegan town line, thence southerly along the Skowhegan town line to the Fairfield town line, thence easterly along the Fairfield town line to the Clinton town line (being determined by the Kennebec River), thence southerly along the Kennebec River to the Augusta city line, thence easterly along the city line to the Windsor town line, thence southerly along the Augusta - Windsor town line to the northwest corner of the Lincoln County line, thence southerly along the westerly Lincoln county line to the boundary of the State of Maine as determined by Maritime law, thence following the State boundary on the westerly side of the state to the point of beginning.</v>
      </c>
      <c r="K1470" s="11">
        <v>0</v>
      </c>
    </row>
    <row r="1471" spans="5:11" x14ac:dyDescent="0.35">
      <c r="E1471" s="9" t="str">
        <v>EPSG</v>
      </c>
      <c r="F1471" s="7" t="str">
        <v>3557</v>
      </c>
      <c r="G1471" t="str">
        <v>ProjectedCrs</v>
      </c>
      <c r="H1471" t="str">
        <v>Transverse Mercator</v>
      </c>
      <c r="I1471" t="str">
        <v>NAD83(NSRS2007) / Maine East</v>
      </c>
      <c r="J1471" t="str">
        <v>United States (USA) - Maine - counties of Aroostook; Hancock; Knox; Penobscot; Piscataquis; Waldo; Washington.</v>
      </c>
      <c r="K1471" s="11">
        <v>0</v>
      </c>
    </row>
    <row r="1472" spans="5:11" x14ac:dyDescent="0.35">
      <c r="E1472" s="9" t="str">
        <v>EPSG</v>
      </c>
      <c r="F1472" s="7" t="str">
        <v>3558</v>
      </c>
      <c r="G1472" t="str">
        <v>ProjectedCrs</v>
      </c>
      <c r="H1472" t="str">
        <v>Transverse Mercator</v>
      </c>
      <c r="I1472" t="str">
        <v>NAD83(NSRS2007) / Maine West</v>
      </c>
      <c r="J1472" t="str">
        <v>United States (USA) - Maine - counties of Androscoggin; Cumberland; Franklin; Kennebec; Lincoln; Oxford; Sagadahoc; Somerset; York.</v>
      </c>
      <c r="K1472" s="11">
        <v>0</v>
      </c>
    </row>
    <row r="1473" spans="5:11" x14ac:dyDescent="0.35">
      <c r="E1473" s="9" t="str">
        <v>EPSG</v>
      </c>
      <c r="F1473" s="7" t="str">
        <v>3559</v>
      </c>
      <c r="G1473" t="str">
        <v>ProjectedCrs</v>
      </c>
      <c r="H1473" t="str">
        <v>Lambert Conic Conformal (2SP)</v>
      </c>
      <c r="I1473" t="str">
        <v>NAD83(NSRS2007) / Maryland</v>
      </c>
      <c r="J1473" t="str">
        <v>United States (USA) - Maryland - counties of Allegany; Anne Arundel; Baltimore; Calvert; Caroline; Carroll; Cecil; Charles; Dorchester; Frederick; Garrett; Harford; Howard; Kent; Montgomery; Prince Georges; Queen Annes; Somerset; St Marys; Talbot; Washington; Wicomico; Worcester.</v>
      </c>
      <c r="K1473" s="11">
        <v>0</v>
      </c>
    </row>
    <row r="1474" spans="5:11" x14ac:dyDescent="0.35">
      <c r="E1474" s="9" t="str">
        <v>EPSG</v>
      </c>
      <c r="F1474" s="7" t="str">
        <v>3560</v>
      </c>
      <c r="G1474" t="str">
        <v>ProjectedCrs</v>
      </c>
      <c r="H1474" t="str">
        <v>Lambert Conic Conformal (2SP)</v>
      </c>
      <c r="I1474" t="str">
        <v>NAD83 / Utah North (ftUS)</v>
      </c>
      <c r="J1474" t="str">
        <v>United States (USA) - Utah - counties of Box Elder; Cache; Daggett; Davis; Morgan; Rich; Summit; Weber.</v>
      </c>
      <c r="K1474" s="11">
        <v>0</v>
      </c>
    </row>
    <row r="1475" spans="5:11" x14ac:dyDescent="0.35">
      <c r="E1475" s="9" t="str">
        <v>EPSG</v>
      </c>
      <c r="F1475" s="7" t="str">
        <v>3561</v>
      </c>
      <c r="G1475" t="str">
        <v>ProjectedCrs</v>
      </c>
      <c r="H1475" t="str">
        <v>Transverse Mercator</v>
      </c>
      <c r="I1475" t="str">
        <v>Old Hawaiian / Hawaii zone 1</v>
      </c>
      <c r="J1475" t="str">
        <v>United States (USA) - Hawaii - island of Hawaii - onshore.</v>
      </c>
      <c r="K1475" s="11">
        <v>0</v>
      </c>
    </row>
    <row r="1476" spans="5:11" x14ac:dyDescent="0.35">
      <c r="E1476" s="9" t="str">
        <v>EPSG</v>
      </c>
      <c r="F1476" s="7" t="str">
        <v>3562</v>
      </c>
      <c r="G1476" t="str">
        <v>ProjectedCrs</v>
      </c>
      <c r="H1476" t="str">
        <v>Transverse Mercator</v>
      </c>
      <c r="I1476" t="str">
        <v>Old Hawaiian / Hawaii zone 2</v>
      </c>
      <c r="J1476" t="str">
        <v>United States (USA) - Hawaii - Maui; Kahoolawe; Lanai; Molokai - onshore.</v>
      </c>
      <c r="K1476" s="11">
        <v>0</v>
      </c>
    </row>
    <row r="1477" spans="5:11" x14ac:dyDescent="0.35">
      <c r="E1477" s="9" t="str">
        <v>EPSG</v>
      </c>
      <c r="F1477" s="7" t="str">
        <v>3563</v>
      </c>
      <c r="G1477" t="str">
        <v>ProjectedCrs</v>
      </c>
      <c r="H1477" t="str">
        <v>Transverse Mercator</v>
      </c>
      <c r="I1477" t="str">
        <v>Old Hawaiian / Hawaii zone 3</v>
      </c>
      <c r="J1477" t="str">
        <v>United States (USA) - Hawaii - Oahu - onshore.</v>
      </c>
      <c r="K1477" s="11">
        <v>0</v>
      </c>
    </row>
    <row r="1478" spans="5:11" x14ac:dyDescent="0.35">
      <c r="E1478" s="9" t="str">
        <v>EPSG</v>
      </c>
      <c r="F1478" s="7" t="str">
        <v>3564</v>
      </c>
      <c r="G1478" t="str">
        <v>ProjectedCrs</v>
      </c>
      <c r="H1478" t="str">
        <v>Transverse Mercator</v>
      </c>
      <c r="I1478" t="str">
        <v>Old Hawaiian / Hawaii zone 4</v>
      </c>
      <c r="J1478" t="str">
        <v>United States (USA) - Hawaii - Kauai - onshore.</v>
      </c>
      <c r="K1478" s="11">
        <v>0</v>
      </c>
    </row>
    <row r="1479" spans="5:11" x14ac:dyDescent="0.35">
      <c r="E1479" s="9" t="str">
        <v>EPSG</v>
      </c>
      <c r="F1479" s="7" t="str">
        <v>3565</v>
      </c>
      <c r="G1479" t="str">
        <v>ProjectedCrs</v>
      </c>
      <c r="H1479" t="str">
        <v>Transverse Mercator</v>
      </c>
      <c r="I1479" t="str">
        <v>Old Hawaiian / Hawaii zone 5</v>
      </c>
      <c r="J1479" t="str">
        <v>United States (USA) - Hawaii - Niihau - onshore.</v>
      </c>
      <c r="K1479" s="11">
        <v>0</v>
      </c>
    </row>
    <row r="1480" spans="5:11" x14ac:dyDescent="0.35">
      <c r="E1480" s="9" t="str">
        <v>EPSG</v>
      </c>
      <c r="F1480" s="7" t="str">
        <v>3566</v>
      </c>
      <c r="G1480" t="str">
        <v>ProjectedCrs</v>
      </c>
      <c r="H1480" t="str">
        <v>Lambert Conic Conformal (2SP)</v>
      </c>
      <c r="I1480" t="str">
        <v>NAD83 / Utah Central (ftUS)</v>
      </c>
      <c r="J1480" t="str">
        <v>United States (USA) - Utah - counties of Carbon; Duchesne; Emery; Grand; Juab; Millard; Salt Lake; Sanpete; Sevier; Tooele; Uintah; Utah; Wasatch.</v>
      </c>
      <c r="K1480" s="11">
        <v>0</v>
      </c>
    </row>
    <row r="1481" spans="5:11" x14ac:dyDescent="0.35">
      <c r="E1481" s="9" t="str">
        <v>EPSG</v>
      </c>
      <c r="F1481" s="7" t="str">
        <v>3567</v>
      </c>
      <c r="G1481" t="str">
        <v>ProjectedCrs</v>
      </c>
      <c r="H1481" t="str">
        <v>Lambert Conic Conformal (2SP)</v>
      </c>
      <c r="I1481" t="str">
        <v>NAD83 / Utah South (ftUS)</v>
      </c>
      <c r="J1481" t="str">
        <v>United States (USA) - Utah - counties of Beaver; Garfield; Iron; Kane; Piute; San Juan; Washington; Wayne.</v>
      </c>
      <c r="K1481" s="11">
        <v>0</v>
      </c>
    </row>
    <row r="1482" spans="5:11" x14ac:dyDescent="0.35">
      <c r="E1482" s="9" t="str">
        <v>EPSG</v>
      </c>
      <c r="F1482" s="7" t="str">
        <v>3568</v>
      </c>
      <c r="G1482" t="str">
        <v>ProjectedCrs</v>
      </c>
      <c r="H1482" t="str">
        <v>Lambert Conic Conformal (2SP)</v>
      </c>
      <c r="I1482" t="str">
        <v>NAD83(HARN) / Utah North (ftUS)</v>
      </c>
      <c r="J1482" t="str">
        <v>United States (USA) - Utah - counties of Box Elder; Cache; Daggett; Davis; Morgan; Rich; Summit; Weber.</v>
      </c>
      <c r="K1482" s="11">
        <v>0</v>
      </c>
    </row>
    <row r="1483" spans="5:11" x14ac:dyDescent="0.35">
      <c r="E1483" s="9" t="str">
        <v>EPSG</v>
      </c>
      <c r="F1483" s="7" t="str">
        <v>3569</v>
      </c>
      <c r="G1483" t="str">
        <v>ProjectedCrs</v>
      </c>
      <c r="H1483" t="str">
        <v>Lambert Conic Conformal (2SP)</v>
      </c>
      <c r="I1483" t="str">
        <v>NAD83(HARN) / Utah Central (ftUS)</v>
      </c>
      <c r="J1483" t="str">
        <v>United States (USA) - Utah - counties of Carbon; Duchesne; Emery; Grand; Juab; Millard; Salt Lake; Sanpete; Sevier; Tooele; Uintah; Utah; Wasatch.</v>
      </c>
      <c r="K1483" s="11">
        <v>0</v>
      </c>
    </row>
    <row r="1484" spans="5:11" x14ac:dyDescent="0.35">
      <c r="E1484" s="9" t="str">
        <v>EPSG</v>
      </c>
      <c r="F1484" s="7" t="str">
        <v>3570</v>
      </c>
      <c r="G1484" t="str">
        <v>ProjectedCrs</v>
      </c>
      <c r="H1484" t="str">
        <v>Lambert Conic Conformal (2SP)</v>
      </c>
      <c r="I1484" t="str">
        <v>NAD83(HARN) / Utah South (ftUS)</v>
      </c>
      <c r="J1484" t="str">
        <v>United States (USA) - Utah - counties of Beaver; Garfield; Iron; Kane; Piute; San Juan; Washington; Wayne.</v>
      </c>
      <c r="K1484" s="11">
        <v>0</v>
      </c>
    </row>
    <row r="1485" spans="5:11" x14ac:dyDescent="0.35">
      <c r="E1485" s="9" t="str">
        <v>EPSG</v>
      </c>
      <c r="F1485" s="7" t="str">
        <v>3571</v>
      </c>
      <c r="G1485" t="str">
        <v>ProjectedCrs</v>
      </c>
      <c r="H1485" t="str">
        <v>Lambert Azimuthal Equal Area</v>
      </c>
      <c r="I1485" t="str">
        <v>WGS 84 / North Pole LAEA Bering Sea</v>
      </c>
      <c r="J1485" t="str">
        <v>Northern hemisphere - north of 45°N, including Arctic.</v>
      </c>
      <c r="K1485" s="11">
        <v>0</v>
      </c>
    </row>
    <row r="1486" spans="5:11" x14ac:dyDescent="0.35">
      <c r="E1486" s="9" t="str">
        <v>EPSG</v>
      </c>
      <c r="F1486" s="7" t="str">
        <v>3572</v>
      </c>
      <c r="G1486" t="str">
        <v>ProjectedCrs</v>
      </c>
      <c r="H1486" t="str">
        <v>Lambert Azimuthal Equal Area</v>
      </c>
      <c r="I1486" t="str">
        <v>WGS 84 / North Pole LAEA Alaska</v>
      </c>
      <c r="J1486" t="str">
        <v>Northern hemisphere - north of 45°N, including Arctic.</v>
      </c>
      <c r="K1486" s="11">
        <v>0</v>
      </c>
    </row>
    <row r="1487" spans="5:11" x14ac:dyDescent="0.35">
      <c r="E1487" s="9" t="str">
        <v>EPSG</v>
      </c>
      <c r="F1487" s="7" t="str">
        <v>3573</v>
      </c>
      <c r="G1487" t="str">
        <v>ProjectedCrs</v>
      </c>
      <c r="H1487" t="str">
        <v>Lambert Azimuthal Equal Area</v>
      </c>
      <c r="I1487" t="str">
        <v>WGS 84 / North Pole LAEA Canada</v>
      </c>
      <c r="J1487" t="str">
        <v>Northern hemisphere - north of 45°N, including Arctic.</v>
      </c>
      <c r="K1487" s="11">
        <v>0</v>
      </c>
    </row>
    <row r="1488" spans="5:11" x14ac:dyDescent="0.35">
      <c r="E1488" s="9" t="str">
        <v>EPSG</v>
      </c>
      <c r="F1488" s="7" t="str">
        <v>3574</v>
      </c>
      <c r="G1488" t="str">
        <v>ProjectedCrs</v>
      </c>
      <c r="H1488" t="str">
        <v>Lambert Azimuthal Equal Area</v>
      </c>
      <c r="I1488" t="str">
        <v>WGS 84 / North Pole LAEA Atlantic</v>
      </c>
      <c r="J1488" t="str">
        <v>Northern hemisphere - north of 45°N, including Arctic.</v>
      </c>
      <c r="K1488" s="11">
        <v>0</v>
      </c>
    </row>
    <row r="1489" spans="5:11" x14ac:dyDescent="0.35">
      <c r="E1489" s="9" t="str">
        <v>EPSG</v>
      </c>
      <c r="F1489" s="7" t="str">
        <v>3575</v>
      </c>
      <c r="G1489" t="str">
        <v>ProjectedCrs</v>
      </c>
      <c r="H1489" t="str">
        <v>Lambert Azimuthal Equal Area</v>
      </c>
      <c r="I1489" t="str">
        <v>WGS 84 / North Pole LAEA Europe</v>
      </c>
      <c r="J1489" t="str">
        <v>Northern hemisphere - north of 45°N, including Arctic.</v>
      </c>
      <c r="K1489" s="11">
        <v>0</v>
      </c>
    </row>
    <row r="1490" spans="5:11" x14ac:dyDescent="0.35">
      <c r="E1490" s="9" t="str">
        <v>EPSG</v>
      </c>
      <c r="F1490" s="7" t="str">
        <v>3576</v>
      </c>
      <c r="G1490" t="str">
        <v>ProjectedCrs</v>
      </c>
      <c r="H1490" t="str">
        <v>Lambert Azimuthal Equal Area</v>
      </c>
      <c r="I1490" t="str">
        <v>WGS 84 / North Pole LAEA Russia</v>
      </c>
      <c r="J1490" t="str">
        <v>Northern hemisphere - north of 45°N, including Arctic.</v>
      </c>
      <c r="K1490" s="11">
        <v>0</v>
      </c>
    </row>
    <row r="1491" spans="5:11" x14ac:dyDescent="0.35">
      <c r="E1491" s="9" t="str">
        <v>EPSG</v>
      </c>
      <c r="F1491" s="7" t="str">
        <v>3577</v>
      </c>
      <c r="G1491" t="str">
        <v>ProjectedCrs</v>
      </c>
      <c r="H1491" t="str">
        <v>Albers Equal Area</v>
      </c>
      <c r="I1491" t="str">
        <v>GDA94 / Australian Albers</v>
      </c>
      <c r="J1491" t="str">
        <v>Australia - Australian Capital Territory; New South Wales; Northern Territory; Queensland; South Australia; Tasmania; Western Australia; Victoria.</v>
      </c>
      <c r="K1491" s="11">
        <v>0</v>
      </c>
    </row>
    <row r="1492" spans="5:11" x14ac:dyDescent="0.35">
      <c r="E1492" s="9" t="str">
        <v>EPSG</v>
      </c>
      <c r="F1492" s="7" t="str">
        <v>3578</v>
      </c>
      <c r="G1492" t="str">
        <v>ProjectedCrs</v>
      </c>
      <c r="H1492" t="str">
        <v>Albers Equal Area</v>
      </c>
      <c r="I1492" t="str">
        <v>NAD83 / Yukon Albers</v>
      </c>
      <c r="J1492" t="str">
        <v>Canada - Yukon.</v>
      </c>
      <c r="K1492" s="11">
        <v>0</v>
      </c>
    </row>
    <row r="1493" spans="5:11" x14ac:dyDescent="0.35">
      <c r="E1493" s="9" t="str">
        <v>EPSG</v>
      </c>
      <c r="F1493" s="7" t="str">
        <v>3579</v>
      </c>
      <c r="G1493" t="str">
        <v>ProjectedCrs</v>
      </c>
      <c r="H1493" t="str">
        <v>Albers Equal Area</v>
      </c>
      <c r="I1493" t="str">
        <v>NAD83(CSRS) / Yukon Albers</v>
      </c>
      <c r="J1493" t="str">
        <v>Canada - Yukon.</v>
      </c>
      <c r="K1493" s="11">
        <v>0</v>
      </c>
    </row>
    <row r="1494" spans="5:11" x14ac:dyDescent="0.35">
      <c r="E1494" s="9" t="str">
        <v>EPSG</v>
      </c>
      <c r="F1494" s="7" t="str">
        <v>3580</v>
      </c>
      <c r="G1494" t="str">
        <v>ProjectedCrs</v>
      </c>
      <c r="H1494" t="str">
        <v>Lambert Conic Conformal (2SP)</v>
      </c>
      <c r="I1494" t="str">
        <v>NAD83 / NWT Lambert</v>
      </c>
      <c r="J1494" t="str">
        <v>Canada - Northwest Territories onshore.</v>
      </c>
      <c r="K1494" s="11">
        <v>0</v>
      </c>
    </row>
    <row r="1495" spans="5:11" x14ac:dyDescent="0.35">
      <c r="E1495" s="9" t="str">
        <v>EPSG</v>
      </c>
      <c r="F1495" s="7" t="str">
        <v>3581</v>
      </c>
      <c r="G1495" t="str">
        <v>ProjectedCrs</v>
      </c>
      <c r="H1495" t="str">
        <v>Lambert Conic Conformal (2SP)</v>
      </c>
      <c r="I1495" t="str">
        <v>NAD83(CSRS) / NWT Lambert</v>
      </c>
      <c r="J1495" t="str">
        <v>Canada - Northwest Territories onshore.</v>
      </c>
      <c r="K1495" s="11">
        <v>0</v>
      </c>
    </row>
    <row r="1496" spans="5:11" x14ac:dyDescent="0.35">
      <c r="E1496" s="9" t="str">
        <v>EPSG</v>
      </c>
      <c r="F1496" s="7" t="str">
        <v>3582</v>
      </c>
      <c r="G1496" t="str">
        <v>ProjectedCrs</v>
      </c>
      <c r="H1496" t="str">
        <v>Lambert Conic Conformal (2SP)</v>
      </c>
      <c r="I1496" t="str">
        <v>NAD83(NSRS2007) / Maryland (ftUS)</v>
      </c>
      <c r="J1496" t="str">
        <v>United States (USA) - Maryland - counties of Allegany; Anne Arundel; Baltimore; Calvert; Caroline; Carroll; Cecil; Charles; Dorchester; Frederick; Garrett; Harford; Howard; Kent; Montgomery; Prince Georges; Queen Annes; Somerset; St Marys; Talbot; Washington; Wicomico; Worcester.</v>
      </c>
      <c r="K1496" s="11">
        <v>0</v>
      </c>
    </row>
    <row r="1497" spans="5:11" x14ac:dyDescent="0.35">
      <c r="E1497" s="9" t="str">
        <v>EPSG</v>
      </c>
      <c r="F1497" s="7" t="str">
        <v>3583</v>
      </c>
      <c r="G1497" t="str">
        <v>ProjectedCrs</v>
      </c>
      <c r="H1497" t="str">
        <v>Lambert Conic Conformal (2SP)</v>
      </c>
      <c r="I1497" t="str">
        <v>NAD83(NSRS2007) / Massachusetts Island</v>
      </c>
      <c r="J1497" t="str">
        <v>United States (USA) - Massachusetts offshore - counties of Dukes; Nantucket.</v>
      </c>
      <c r="K1497" s="11">
        <v>0</v>
      </c>
    </row>
    <row r="1498" spans="5:11" x14ac:dyDescent="0.35">
      <c r="E1498" s="9" t="str">
        <v>EPSG</v>
      </c>
      <c r="F1498" s="7" t="str">
        <v>3584</v>
      </c>
      <c r="G1498" t="str">
        <v>ProjectedCrs</v>
      </c>
      <c r="H1498" t="str">
        <v>Lambert Conic Conformal (2SP)</v>
      </c>
      <c r="I1498" t="str">
        <v>NAD83(NSRS2007) / Massachusetts Island (ftUS)</v>
      </c>
      <c r="J1498" t="str">
        <v>United States (USA) - Massachusetts offshore - counties of Dukes; Nantucket.</v>
      </c>
      <c r="K1498" s="11">
        <v>0</v>
      </c>
    </row>
    <row r="1499" spans="5:11" x14ac:dyDescent="0.35">
      <c r="E1499" s="9" t="str">
        <v>EPSG</v>
      </c>
      <c r="F1499" s="7" t="str">
        <v>3585</v>
      </c>
      <c r="G1499" t="str">
        <v>ProjectedCrs</v>
      </c>
      <c r="H1499" t="str">
        <v>Lambert Conic Conformal (2SP)</v>
      </c>
      <c r="I1499" t="str">
        <v>NAD83(NSRS2007) / Massachusetts Mainland</v>
      </c>
      <c r="J1499" t="str">
        <v>United States (USA) - Massachusetts onshore - counties of Barnstable; Berkshire; Bristol; Essex; Franklin; Hampden; Hampshire; Middlesex; Norfolk; Plymouth; Suffolk; Worcester.</v>
      </c>
      <c r="K1499" s="11">
        <v>0</v>
      </c>
    </row>
    <row r="1500" spans="5:11" x14ac:dyDescent="0.35">
      <c r="E1500" s="9" t="str">
        <v>EPSG</v>
      </c>
      <c r="F1500" s="7" t="str">
        <v>3586</v>
      </c>
      <c r="G1500" t="str">
        <v>ProjectedCrs</v>
      </c>
      <c r="H1500" t="str">
        <v>Lambert Conic Conformal (2SP)</v>
      </c>
      <c r="I1500" t="str">
        <v>NAD83(NSRS2007) / Massachusetts Mainland (ftUS)</v>
      </c>
      <c r="J1500" t="str">
        <v>United States (USA) - Massachusetts onshore - counties of Barnstable; Berkshire; Bristol; Essex; Franklin; Hampden; Hampshire; Middlesex; Norfolk; Plymouth; Suffolk; Worcester.</v>
      </c>
      <c r="K1500" s="11">
        <v>0</v>
      </c>
    </row>
    <row r="1501" spans="5:11" x14ac:dyDescent="0.35">
      <c r="E1501" s="9" t="str">
        <v>EPSG</v>
      </c>
      <c r="F1501" s="7" t="str">
        <v>3587</v>
      </c>
      <c r="G1501" t="str">
        <v>ProjectedCrs</v>
      </c>
      <c r="H1501" t="str">
        <v>Lambert Conic Conformal (2SP)</v>
      </c>
      <c r="I1501" t="str">
        <v>NAD83(NSRS2007) / Michigan Central</v>
      </c>
      <c r="J1501"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1501" s="11">
        <v>0</v>
      </c>
    </row>
    <row r="1502" spans="5:11" x14ac:dyDescent="0.35">
      <c r="E1502" s="9" t="str">
        <v>EPSG</v>
      </c>
      <c r="F1502" s="7" t="str">
        <v>3588</v>
      </c>
      <c r="G1502" t="str">
        <v>ProjectedCrs</v>
      </c>
      <c r="H1502" t="str">
        <v>Lambert Conic Conformal (2SP)</v>
      </c>
      <c r="I1502" t="str">
        <v>NAD83(NSRS2007) / Michigan Central (ft)</v>
      </c>
      <c r="J1502"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1502" s="11">
        <v>0</v>
      </c>
    </row>
    <row r="1503" spans="5:11" x14ac:dyDescent="0.35">
      <c r="E1503" s="9" t="str">
        <v>EPSG</v>
      </c>
      <c r="F1503" s="7" t="str">
        <v>3589</v>
      </c>
      <c r="G1503" t="str">
        <v>ProjectedCrs</v>
      </c>
      <c r="H1503" t="str">
        <v>Lambert Conic Conformal (2SP)</v>
      </c>
      <c r="I1503" t="str">
        <v>NAD83(NSRS2007) / Michigan North</v>
      </c>
      <c r="J1503" t="str">
        <v>United States (USA) - Michigan north of approximately 45°45'N - counties of Alger; Baraga; Chippewa; Delta; Dickinson; Gogebic; Houghton; Iron; Keweenaw; Luce; Mackinac; Marquette; Menominee; Ontonagon; Schoolcraft.</v>
      </c>
      <c r="K1503" s="11">
        <v>0</v>
      </c>
    </row>
    <row r="1504" spans="5:11" x14ac:dyDescent="0.35">
      <c r="E1504" s="9" t="str">
        <v>EPSG</v>
      </c>
      <c r="F1504" s="7" t="str">
        <v>3590</v>
      </c>
      <c r="G1504" t="str">
        <v>ProjectedCrs</v>
      </c>
      <c r="H1504" t="str">
        <v>Lambert Conic Conformal (2SP)</v>
      </c>
      <c r="I1504" t="str">
        <v>NAD83(NSRS2007) / Michigan North (ft)</v>
      </c>
      <c r="J1504" t="str">
        <v>United States (USA) - Michigan north of approximately 45°45'N - counties of Alger; Baraga; Chippewa; Delta; Dickinson; Gogebic; Houghton; Iron; Keweenaw; Luce; Mackinac; Marquette; Menominee; Ontonagon; Schoolcraft.</v>
      </c>
      <c r="K1504" s="11">
        <v>0</v>
      </c>
    </row>
    <row r="1505" spans="5:11" x14ac:dyDescent="0.35">
      <c r="E1505" s="9" t="str">
        <v>EPSG</v>
      </c>
      <c r="F1505" s="7" t="str">
        <v>3591</v>
      </c>
      <c r="G1505" t="str">
        <v>ProjectedCrs</v>
      </c>
      <c r="H1505" t="str">
        <v>Hotine Oblique Mercator (variant A)</v>
      </c>
      <c r="I1505" t="str">
        <v>NAD83(NSRS2007) / Michigan Oblique Mercator</v>
      </c>
      <c r="J1505" t="str">
        <v>United States (USA) - Michigan.</v>
      </c>
      <c r="K1505" s="11">
        <v>0</v>
      </c>
    </row>
    <row r="1506" spans="5:11" x14ac:dyDescent="0.35">
      <c r="E1506" s="9" t="str">
        <v>EPSG</v>
      </c>
      <c r="F1506" s="7" t="str">
        <v>3592</v>
      </c>
      <c r="G1506" t="str">
        <v>ProjectedCrs</v>
      </c>
      <c r="H1506" t="str">
        <v>Lambert Conic Conformal (2SP)</v>
      </c>
      <c r="I1506" t="str">
        <v>NAD83(NSRS2007) / Michigan South</v>
      </c>
      <c r="J1506"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1506" s="11">
        <v>0</v>
      </c>
    </row>
    <row r="1507" spans="5:11" x14ac:dyDescent="0.35">
      <c r="E1507" s="9" t="str">
        <v>EPSG</v>
      </c>
      <c r="F1507" s="7" t="str">
        <v>3593</v>
      </c>
      <c r="G1507" t="str">
        <v>ProjectedCrs</v>
      </c>
      <c r="H1507" t="str">
        <v>Lambert Conic Conformal (2SP)</v>
      </c>
      <c r="I1507" t="str">
        <v>NAD83(NSRS2007) / Michigan South (ft)</v>
      </c>
      <c r="J1507"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1507" s="11">
        <v>0</v>
      </c>
    </row>
    <row r="1508" spans="5:11" x14ac:dyDescent="0.35">
      <c r="E1508" s="9" t="str">
        <v>EPSG</v>
      </c>
      <c r="F1508" s="7" t="str">
        <v>3594</v>
      </c>
      <c r="G1508" t="str">
        <v>ProjectedCrs</v>
      </c>
      <c r="H1508" t="str">
        <v>Lambert Conic Conformal (2SP)</v>
      </c>
      <c r="I1508" t="str">
        <v>NAD83(NSRS2007) / Minnesota Central</v>
      </c>
      <c r="J1508" t="str">
        <v>United States (USA) - Minnesota - counties of Aitkin; Becker; Benton; Carlton; Cass; Chisago; Clay; Crow Wing; Douglas; Grant; Hubbard; Isanti; Kanabec; Mille Lacs; Morrison; Otter Tail; Pine; Pope; Stearns; Stevens; Todd; Traverse; Wadena; Wilkin.</v>
      </c>
      <c r="K1508" s="11">
        <v>0</v>
      </c>
    </row>
    <row r="1509" spans="5:11" x14ac:dyDescent="0.35">
      <c r="E1509" s="9" t="str">
        <v>EPSG</v>
      </c>
      <c r="F1509" s="7" t="str">
        <v>3595</v>
      </c>
      <c r="G1509" t="str">
        <v>ProjectedCrs</v>
      </c>
      <c r="H1509" t="str">
        <v>Lambert Conic Conformal (2SP)</v>
      </c>
      <c r="I1509" t="str">
        <v>NAD83(NSRS2007) / Minnesota North</v>
      </c>
      <c r="J1509" t="str">
        <v>United States (USA) - Minnesota - counties of Beltrami; Clearwater; Cook; Itasca; Kittson; Koochiching; Lake; Lake of the Woods; Mahnomen; Marshall; Norman; Pennington; Polk; Red Lake; Roseau; St Louis.</v>
      </c>
      <c r="K1509" s="11">
        <v>0</v>
      </c>
    </row>
    <row r="1510" spans="5:11" x14ac:dyDescent="0.35">
      <c r="E1510" s="9" t="str">
        <v>EPSG</v>
      </c>
      <c r="F1510" s="7" t="str">
        <v>3596</v>
      </c>
      <c r="G1510" t="str">
        <v>ProjectedCrs</v>
      </c>
      <c r="H1510" t="str">
        <v>Lambert Conic Conformal (2SP)</v>
      </c>
      <c r="I1510" t="str">
        <v>NAD83(NSRS2007) / Minnesota South</v>
      </c>
      <c r="J1510"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1510" s="11">
        <v>0</v>
      </c>
    </row>
    <row r="1511" spans="5:11" x14ac:dyDescent="0.35">
      <c r="E1511" s="9" t="str">
        <v>EPSG</v>
      </c>
      <c r="F1511" s="7" t="str">
        <v>3597</v>
      </c>
      <c r="G1511" t="str">
        <v>ProjectedCrs</v>
      </c>
      <c r="H1511" t="str">
        <v>Transverse Mercator</v>
      </c>
      <c r="I1511" t="str">
        <v>NAD83(NSRS2007) / Mississippi East</v>
      </c>
      <c r="J1511"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1511" s="11">
        <v>0</v>
      </c>
    </row>
    <row r="1512" spans="5:11" x14ac:dyDescent="0.35">
      <c r="E1512" s="9" t="str">
        <v>EPSG</v>
      </c>
      <c r="F1512" s="7" t="str">
        <v>3598</v>
      </c>
      <c r="G1512" t="str">
        <v>ProjectedCrs</v>
      </c>
      <c r="H1512" t="str">
        <v>Transverse Mercator</v>
      </c>
      <c r="I1512" t="str">
        <v>NAD83(NSRS2007) / Mississippi East (ftUS)</v>
      </c>
      <c r="J1512"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1512" s="11">
        <v>0</v>
      </c>
    </row>
    <row r="1513" spans="5:11" x14ac:dyDescent="0.35">
      <c r="E1513" s="9" t="str">
        <v>EPSG</v>
      </c>
      <c r="F1513" s="7" t="str">
        <v>3599</v>
      </c>
      <c r="G1513" t="str">
        <v>ProjectedCrs</v>
      </c>
      <c r="H1513" t="str">
        <v>Transverse Mercator</v>
      </c>
      <c r="I1513" t="str">
        <v>NAD83(NSRS2007) / Mississippi West</v>
      </c>
      <c r="J1513"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1513" s="11">
        <v>0</v>
      </c>
    </row>
    <row r="1514" spans="5:11" x14ac:dyDescent="0.35">
      <c r="E1514" s="9" t="str">
        <v>EPSG</v>
      </c>
      <c r="F1514" s="7" t="str">
        <v>3600</v>
      </c>
      <c r="G1514" t="str">
        <v>ProjectedCrs</v>
      </c>
      <c r="H1514" t="str">
        <v>Transverse Mercator</v>
      </c>
      <c r="I1514" t="str">
        <v>NAD83(NSRS2007) / Mississippi West (ftUS)</v>
      </c>
      <c r="J1514"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1514" s="11">
        <v>0</v>
      </c>
    </row>
    <row r="1515" spans="5:11" x14ac:dyDescent="0.35">
      <c r="E1515" s="9" t="str">
        <v>EPSG</v>
      </c>
      <c r="F1515" s="7" t="str">
        <v>3601</v>
      </c>
      <c r="G1515" t="str">
        <v>ProjectedCrs</v>
      </c>
      <c r="H1515" t="str">
        <v>Transverse Mercator</v>
      </c>
      <c r="I1515" t="str">
        <v>NAD83(NSRS2007) / Missouri Central</v>
      </c>
      <c r="J1515" t="str">
        <v>United States (USA) - Missouri - counties of Adair; Audrain; Benton; Boone; Callaway; Camden; Carroll; Chariton; Christian; Cole; Cooper; Dallas; Douglas; Greene; Grundy; Hickory; Howard; Howell; Knox; Laclede; Linn; Livingston; Macon; Maries; Mercer; Miller; Moniteau; Monroe; Morgan; Osage; Ozark; Pettis; Phelps; Polk; Pulaski; Putnam; Randolph; Saline; Schuyler; Scotland; Shelby; Stone; Sullivan; Taney; Texas; Webster; Wright.</v>
      </c>
      <c r="K1515" s="11">
        <v>0</v>
      </c>
    </row>
    <row r="1516" spans="5:11" x14ac:dyDescent="0.35">
      <c r="E1516" s="9" t="str">
        <v>EPSG</v>
      </c>
      <c r="F1516" s="7" t="str">
        <v>3602</v>
      </c>
      <c r="G1516" t="str">
        <v>ProjectedCrs</v>
      </c>
      <c r="H1516" t="str">
        <v>Transverse Mercator</v>
      </c>
      <c r="I1516" t="str">
        <v>NAD83(NSRS2007) / Missouri East</v>
      </c>
      <c r="J1516" t="str">
        <v>United States (USA) - Missouri - counties of Bollinger; Butler; Cape Girardeau; Carter; Clark; Crawford; Dent; Dunklin; Franklin; Gasconade; Iron; Jefferson; Lewis; Lincoln; Madison; Marion; Mississippi; Montgomery; New Madrid; Oregon; Pemiscot; Perry; Pike; Ralls; Reynolds; Ripley; Scott; Shannon; St Charles; St Francois; St Louis; Ste. Genevieve; Stoddard; Warren; Washington; Wayne.</v>
      </c>
      <c r="K1516" s="11">
        <v>0</v>
      </c>
    </row>
    <row r="1517" spans="5:11" x14ac:dyDescent="0.35">
      <c r="E1517" s="9" t="str">
        <v>EPSG</v>
      </c>
      <c r="F1517" s="7" t="str">
        <v>3603</v>
      </c>
      <c r="G1517" t="str">
        <v>ProjectedCrs</v>
      </c>
      <c r="H1517" t="str">
        <v>Transverse Mercator</v>
      </c>
      <c r="I1517" t="str">
        <v>NAD83(NSRS2007) / Missouri West</v>
      </c>
      <c r="J1517" t="str">
        <v>United States (USA) - Missouri - counties of Andrew; Atchison; Barry; Barton; Bates; Buchanan; Caldwell; Cass; Cedar; Clay; Clinton; Dade; Daviess; De Kalb; Gentry; Harrison; Henry; Holt; Jackson; Jasper; Johnson; Lafayette; Lawrence; McDonald; Newton; Nodaway; Platte; Ray; St Clair; Vernon; Worth.</v>
      </c>
      <c r="K1517" s="11">
        <v>0</v>
      </c>
    </row>
    <row r="1518" spans="5:11" x14ac:dyDescent="0.35">
      <c r="E1518" s="9" t="str">
        <v>EPSG</v>
      </c>
      <c r="F1518" s="7" t="str">
        <v>3604</v>
      </c>
      <c r="G1518" t="str">
        <v>ProjectedCrs</v>
      </c>
      <c r="H1518" t="str">
        <v>Lambert Conic Conformal (2SP)</v>
      </c>
      <c r="I1518" t="str">
        <v>NAD83(NSRS2007) / Montana</v>
      </c>
      <c r="J1518"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1518" s="11">
        <v>0</v>
      </c>
    </row>
    <row r="1519" spans="5:11" x14ac:dyDescent="0.35">
      <c r="E1519" s="9" t="str">
        <v>EPSG</v>
      </c>
      <c r="F1519" s="7" t="str">
        <v>3605</v>
      </c>
      <c r="G1519" t="str">
        <v>ProjectedCrs</v>
      </c>
      <c r="H1519" t="str">
        <v>Lambert Conic Conformal (2SP)</v>
      </c>
      <c r="I1519" t="str">
        <v>NAD83(NSRS2007) / Montana (ft)</v>
      </c>
      <c r="J1519"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1519" s="11">
        <v>0</v>
      </c>
    </row>
    <row r="1520" spans="5:11" x14ac:dyDescent="0.35">
      <c r="E1520" s="9" t="str">
        <v>EPSG</v>
      </c>
      <c r="F1520" s="7" t="str">
        <v>3606</v>
      </c>
      <c r="G1520" t="str">
        <v>ProjectedCrs</v>
      </c>
      <c r="H1520" t="str">
        <v>Lambert Conic Conformal (2SP)</v>
      </c>
      <c r="I1520" t="str">
        <v>NAD83(NSRS2007) / Nebraska</v>
      </c>
      <c r="J1520"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1520" s="11">
        <v>0</v>
      </c>
    </row>
    <row r="1521" spans="5:11" x14ac:dyDescent="0.35">
      <c r="E1521" s="9" t="str">
        <v>EPSG</v>
      </c>
      <c r="F1521" s="7" t="str">
        <v>3607</v>
      </c>
      <c r="G1521" t="str">
        <v>ProjectedCrs</v>
      </c>
      <c r="H1521" t="str">
        <v>Transverse Mercator</v>
      </c>
      <c r="I1521" t="str">
        <v>NAD83(NSRS2007) / Nevada Central</v>
      </c>
      <c r="J1521" t="str">
        <v>United States (USA) - Nevada - counties of Lander; Nye.</v>
      </c>
      <c r="K1521" s="11">
        <v>0</v>
      </c>
    </row>
    <row r="1522" spans="5:11" x14ac:dyDescent="0.35">
      <c r="E1522" s="9" t="str">
        <v>EPSG</v>
      </c>
      <c r="F1522" s="7" t="str">
        <v>3608</v>
      </c>
      <c r="G1522" t="str">
        <v>ProjectedCrs</v>
      </c>
      <c r="H1522" t="str">
        <v>Transverse Mercator</v>
      </c>
      <c r="I1522" t="str">
        <v>NAD83(NSRS2007) / Nevada Central (ftUS)</v>
      </c>
      <c r="J1522" t="str">
        <v>United States (USA) - Nevada - counties of Lander; Nye.</v>
      </c>
      <c r="K1522" s="11">
        <v>0</v>
      </c>
    </row>
    <row r="1523" spans="5:11" x14ac:dyDescent="0.35">
      <c r="E1523" s="9" t="str">
        <v>EPSG</v>
      </c>
      <c r="F1523" s="7" t="str">
        <v>3609</v>
      </c>
      <c r="G1523" t="str">
        <v>ProjectedCrs</v>
      </c>
      <c r="H1523" t="str">
        <v>Transverse Mercator</v>
      </c>
      <c r="I1523" t="str">
        <v>NAD83(NSRS2007) / Nevada East</v>
      </c>
      <c r="J1523" t="str">
        <v>United States (USA) - Nevada - counties of Clark; Elko; Eureka; Lincoln; White Pine.</v>
      </c>
      <c r="K1523" s="11">
        <v>0</v>
      </c>
    </row>
    <row r="1524" spans="5:11" x14ac:dyDescent="0.35">
      <c r="E1524" s="9" t="str">
        <v>EPSG</v>
      </c>
      <c r="F1524" s="7" t="str">
        <v>3610</v>
      </c>
      <c r="G1524" t="str">
        <v>ProjectedCrs</v>
      </c>
      <c r="H1524" t="str">
        <v>Transverse Mercator</v>
      </c>
      <c r="I1524" t="str">
        <v>NAD83(NSRS2007) / Nevada East (ftUS)</v>
      </c>
      <c r="J1524" t="str">
        <v>United States (USA) - Nevada - counties of Clark; Elko; Eureka; Lincoln; White Pine.</v>
      </c>
      <c r="K1524" s="11">
        <v>0</v>
      </c>
    </row>
    <row r="1525" spans="5:11" x14ac:dyDescent="0.35">
      <c r="E1525" s="9" t="str">
        <v>EPSG</v>
      </c>
      <c r="F1525" s="7" t="str">
        <v>3611</v>
      </c>
      <c r="G1525" t="str">
        <v>ProjectedCrs</v>
      </c>
      <c r="H1525" t="str">
        <v>Transverse Mercator</v>
      </c>
      <c r="I1525" t="str">
        <v>NAD83(NSRS2007) / Nevada West</v>
      </c>
      <c r="J1525" t="str">
        <v>United States (USA) - Nevada - counties of Churchill; Douglas; Esmeralda; Humboldt; Lyon; Mineral; Pershing; Storey; Washoe.</v>
      </c>
      <c r="K1525" s="11">
        <v>0</v>
      </c>
    </row>
    <row r="1526" spans="5:11" x14ac:dyDescent="0.35">
      <c r="E1526" s="9" t="str">
        <v>EPSG</v>
      </c>
      <c r="F1526" s="7" t="str">
        <v>3612</v>
      </c>
      <c r="G1526" t="str">
        <v>ProjectedCrs</v>
      </c>
      <c r="H1526" t="str">
        <v>Transverse Mercator</v>
      </c>
      <c r="I1526" t="str">
        <v>NAD83(NSRS2007) / Nevada West (ftUS)</v>
      </c>
      <c r="J1526" t="str">
        <v>United States (USA) - Nevada - counties of Churchill; Douglas; Esmeralda; Humboldt; Lyon; Mineral; Pershing; Storey; Washoe.</v>
      </c>
      <c r="K1526" s="11">
        <v>0</v>
      </c>
    </row>
    <row r="1527" spans="5:11" x14ac:dyDescent="0.35">
      <c r="E1527" s="9" t="str">
        <v>EPSG</v>
      </c>
      <c r="F1527" s="7" t="str">
        <v>3613</v>
      </c>
      <c r="G1527" t="str">
        <v>ProjectedCrs</v>
      </c>
      <c r="H1527" t="str">
        <v>Transverse Mercator</v>
      </c>
      <c r="I1527" t="str">
        <v>NAD83(NSRS2007) / New Hampshire</v>
      </c>
      <c r="J1527" t="str">
        <v>United States (USA) - New Hampshire - counties of Belknap; Carroll; Cheshire; Coos; Grafton; Hillsborough; Merrimack; Rockingham; Strafford; Sullivan.</v>
      </c>
      <c r="K1527" s="11">
        <v>0</v>
      </c>
    </row>
    <row r="1528" spans="5:11" x14ac:dyDescent="0.35">
      <c r="E1528" s="9" t="str">
        <v>EPSG</v>
      </c>
      <c r="F1528" s="7" t="str">
        <v>3614</v>
      </c>
      <c r="G1528" t="str">
        <v>ProjectedCrs</v>
      </c>
      <c r="H1528" t="str">
        <v>Transverse Mercator</v>
      </c>
      <c r="I1528" t="str">
        <v>NAD83(NSRS2007) / New Hampshire (ftUS)</v>
      </c>
      <c r="J1528" t="str">
        <v>United States (USA) - New Hampshire - counties of Belknap; Carroll; Cheshire; Coos; Grafton; Hillsborough; Merrimack; Rockingham; Strafford; Sullivan.</v>
      </c>
      <c r="K1528" s="11">
        <v>0</v>
      </c>
    </row>
    <row r="1529" spans="5:11" x14ac:dyDescent="0.35">
      <c r="E1529" s="9" t="str">
        <v>EPSG</v>
      </c>
      <c r="F1529" s="7" t="str">
        <v>3615</v>
      </c>
      <c r="G1529" t="str">
        <v>ProjectedCrs</v>
      </c>
      <c r="H1529" t="str">
        <v>Transverse Mercator</v>
      </c>
      <c r="I1529" t="str">
        <v>NAD83(NSRS2007) / New Jersey</v>
      </c>
      <c r="J1529" t="str">
        <v>United States (USA) - New Jersey - counties of Atlantic; Bergen; Burlington; Camden; Cape May; Cumberland; Essex; Gloucester; Hudson; Hunterdon; Mercer; Middlesex; Monmouth; Morris; Ocean; Passaic; Salem; Somerset; Sussex; Union; Warren.</v>
      </c>
      <c r="K1529" s="11">
        <v>0</v>
      </c>
    </row>
    <row r="1530" spans="5:11" x14ac:dyDescent="0.35">
      <c r="E1530" s="9" t="str">
        <v>EPSG</v>
      </c>
      <c r="F1530" s="7" t="str">
        <v>3616</v>
      </c>
      <c r="G1530" t="str">
        <v>ProjectedCrs</v>
      </c>
      <c r="H1530" t="str">
        <v>Transverse Mercator</v>
      </c>
      <c r="I1530" t="str">
        <v>NAD83(NSRS2007) / New Jersey (ftUS)</v>
      </c>
      <c r="J1530" t="str">
        <v>United States (USA) - New Jersey - counties of Atlantic; Bergen; Burlington; Camden; Cape May; Cumberland; Essex; Gloucester; Hudson; Hunterdon; Mercer; Middlesex; Monmouth; Morris; Ocean; Passaic; Salem; Somerset; Sussex; Union; Warren.</v>
      </c>
      <c r="K1530" s="11">
        <v>0</v>
      </c>
    </row>
    <row r="1531" spans="5:11" x14ac:dyDescent="0.35">
      <c r="E1531" s="9" t="str">
        <v>EPSG</v>
      </c>
      <c r="F1531" s="7" t="str">
        <v>3617</v>
      </c>
      <c r="G1531" t="str">
        <v>ProjectedCrs</v>
      </c>
      <c r="H1531" t="str">
        <v>Transverse Mercator</v>
      </c>
      <c r="I1531" t="str">
        <v>NAD83(NSRS2007) / New Mexico Central</v>
      </c>
      <c r="J1531" t="str">
        <v>United States (USA) - New Mexico - counties of Bernalillo; Dona Ana; Lincoln; Los Alamos; Otero; Rio Arriba; Sandoval; Santa Fe; Socorro; Taos; Torrance; Valencia.</v>
      </c>
      <c r="K1531" s="11">
        <v>0</v>
      </c>
    </row>
    <row r="1532" spans="5:11" x14ac:dyDescent="0.35">
      <c r="E1532" s="9" t="str">
        <v>EPSG</v>
      </c>
      <c r="F1532" s="7" t="str">
        <v>3618</v>
      </c>
      <c r="G1532" t="str">
        <v>ProjectedCrs</v>
      </c>
      <c r="H1532" t="str">
        <v>Transverse Mercator</v>
      </c>
      <c r="I1532" t="str">
        <v>NAD83(NSRS2007) / New Mexico Central (ftUS)</v>
      </c>
      <c r="J1532" t="str">
        <v>United States (USA) - New Mexico - counties of Bernalillo; Dona Ana; Lincoln; Los Alamos; Otero; Rio Arriba; Sandoval; Santa Fe; Socorro; Taos; Torrance; Valencia.</v>
      </c>
      <c r="K1532" s="11">
        <v>0</v>
      </c>
    </row>
    <row r="1533" spans="5:11" x14ac:dyDescent="0.35">
      <c r="E1533" s="9" t="str">
        <v>EPSG</v>
      </c>
      <c r="F1533" s="7" t="str">
        <v>3619</v>
      </c>
      <c r="G1533" t="str">
        <v>ProjectedCrs</v>
      </c>
      <c r="H1533" t="str">
        <v>Transverse Mercator</v>
      </c>
      <c r="I1533" t="str">
        <v>NAD83(NSRS2007) / New Mexico East</v>
      </c>
      <c r="J1533" t="str">
        <v>United States (USA) - New Mexico - counties of Chaves; Colfax; Curry; De Baca; Eddy; Guadalupe; Harding; Lea; Mora; Quay; Roosevelt; San Miguel; Union.</v>
      </c>
      <c r="K1533" s="11">
        <v>0</v>
      </c>
    </row>
    <row r="1534" spans="5:11" x14ac:dyDescent="0.35">
      <c r="E1534" s="9" t="str">
        <v>EPSG</v>
      </c>
      <c r="F1534" s="7" t="str">
        <v>3620</v>
      </c>
      <c r="G1534" t="str">
        <v>ProjectedCrs</v>
      </c>
      <c r="H1534" t="str">
        <v>Transverse Mercator</v>
      </c>
      <c r="I1534" t="str">
        <v>NAD83(NSRS2007) / New Mexico East (ftUS)</v>
      </c>
      <c r="J1534" t="str">
        <v>United States (USA) - New Mexico - counties of Chaves; Colfax; Curry; De Baca; Eddy; Guadalupe; Harding; Lea; Mora; Quay; Roosevelt; San Miguel; Union.</v>
      </c>
      <c r="K1534" s="11">
        <v>0</v>
      </c>
    </row>
    <row r="1535" spans="5:11" x14ac:dyDescent="0.35">
      <c r="E1535" s="9" t="str">
        <v>EPSG</v>
      </c>
      <c r="F1535" s="7" t="str">
        <v>3621</v>
      </c>
      <c r="G1535" t="str">
        <v>ProjectedCrs</v>
      </c>
      <c r="H1535" t="str">
        <v>Transverse Mercator</v>
      </c>
      <c r="I1535" t="str">
        <v>NAD83(NSRS2007) / New Mexico West</v>
      </c>
      <c r="J1535" t="str">
        <v>United States (USA) - New Mexico - counties of Catron; Cibola; Grant; Hidalgo; Luna; McKinley; San Juan; Sierra.</v>
      </c>
      <c r="K1535" s="11">
        <v>0</v>
      </c>
    </row>
    <row r="1536" spans="5:11" x14ac:dyDescent="0.35">
      <c r="E1536" s="9" t="str">
        <v>EPSG</v>
      </c>
      <c r="F1536" s="7" t="str">
        <v>3622</v>
      </c>
      <c r="G1536" t="str">
        <v>ProjectedCrs</v>
      </c>
      <c r="H1536" t="str">
        <v>Transverse Mercator</v>
      </c>
      <c r="I1536" t="str">
        <v>NAD83(NSRS2007) / New Mexico West (ftUS)</v>
      </c>
      <c r="J1536" t="str">
        <v>United States (USA) - New Mexico - counties of Catron; Cibola; Grant; Hidalgo; Luna; McKinley; San Juan; Sierra.</v>
      </c>
      <c r="K1536" s="11">
        <v>0</v>
      </c>
    </row>
    <row r="1537" spans="5:11" x14ac:dyDescent="0.35">
      <c r="E1537" s="9" t="str">
        <v>EPSG</v>
      </c>
      <c r="F1537" s="7" t="str">
        <v>3623</v>
      </c>
      <c r="G1537" t="str">
        <v>ProjectedCrs</v>
      </c>
      <c r="H1537" t="str">
        <v>Transverse Mercator</v>
      </c>
      <c r="I1537" t="str">
        <v>NAD83(NSRS2007) / New York Central</v>
      </c>
      <c r="J1537" t="str">
        <v>United States (USA) - New York - counties of Broome; Cayuga; Chemung; Chenango; Cortland; Jefferson; Lewis; Madison; Oneida; Onondaga; Ontario; Oswego; Schuyler; Seneca; Steuben; Tioga; Tompkins; Wayne; Yates.</v>
      </c>
      <c r="K1537" s="11">
        <v>0</v>
      </c>
    </row>
    <row r="1538" spans="5:11" x14ac:dyDescent="0.35">
      <c r="E1538" s="9" t="str">
        <v>EPSG</v>
      </c>
      <c r="F1538" s="7" t="str">
        <v>3624</v>
      </c>
      <c r="G1538" t="str">
        <v>ProjectedCrs</v>
      </c>
      <c r="H1538" t="str">
        <v>Transverse Mercator</v>
      </c>
      <c r="I1538" t="str">
        <v>NAD83(NSRS2007) / New York Central (ftUS)</v>
      </c>
      <c r="J1538" t="str">
        <v>United States (USA) - New York - counties of Broome; Cayuga; Chemung; Chenango; Cortland; Jefferson; Lewis; Madison; Oneida; Onondaga; Ontario; Oswego; Schuyler; Seneca; Steuben; Tioga; Tompkins; Wayne; Yates.</v>
      </c>
      <c r="K1538" s="11">
        <v>0</v>
      </c>
    </row>
    <row r="1539" spans="5:11" x14ac:dyDescent="0.35">
      <c r="E1539" s="9" t="str">
        <v>EPSG</v>
      </c>
      <c r="F1539" s="7" t="str">
        <v>3625</v>
      </c>
      <c r="G1539" t="str">
        <v>ProjectedCrs</v>
      </c>
      <c r="H1539" t="str">
        <v>Transverse Mercator</v>
      </c>
      <c r="I1539" t="str">
        <v>NAD83(NSRS2007) / New York East</v>
      </c>
      <c r="J1539"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1539" s="11">
        <v>0</v>
      </c>
    </row>
    <row r="1540" spans="5:11" x14ac:dyDescent="0.35">
      <c r="E1540" s="9" t="str">
        <v>EPSG</v>
      </c>
      <c r="F1540" s="7" t="str">
        <v>3626</v>
      </c>
      <c r="G1540" t="str">
        <v>ProjectedCrs</v>
      </c>
      <c r="H1540" t="str">
        <v>Transverse Mercator</v>
      </c>
      <c r="I1540" t="str">
        <v>NAD83(NSRS2007) / New York East (ftUS)</v>
      </c>
      <c r="J1540"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1540" s="11">
        <v>0</v>
      </c>
    </row>
    <row r="1541" spans="5:11" x14ac:dyDescent="0.35">
      <c r="E1541" s="9" t="str">
        <v>EPSG</v>
      </c>
      <c r="F1541" s="7" t="str">
        <v>3627</v>
      </c>
      <c r="G1541" t="str">
        <v>ProjectedCrs</v>
      </c>
      <c r="H1541" t="str">
        <v>Lambert Conic Conformal (2SP)</v>
      </c>
      <c r="I1541" t="str">
        <v>NAD83(NSRS2007) / New York Long Island</v>
      </c>
      <c r="J1541" t="str">
        <v>United States (USA) - New York - counties of Bronx; Kings; Nassau; New York; Queens; Richmond; Suffolk.</v>
      </c>
      <c r="K1541" s="11">
        <v>0</v>
      </c>
    </row>
    <row r="1542" spans="5:11" x14ac:dyDescent="0.35">
      <c r="E1542" s="9" t="str">
        <v>EPSG</v>
      </c>
      <c r="F1542" s="7" t="str">
        <v>3628</v>
      </c>
      <c r="G1542" t="str">
        <v>ProjectedCrs</v>
      </c>
      <c r="H1542" t="str">
        <v>Lambert Conic Conformal (2SP)</v>
      </c>
      <c r="I1542" t="str">
        <v>NAD83(NSRS2007) / New York Long Island (ftUS)</v>
      </c>
      <c r="J1542" t="str">
        <v>United States (USA) - New York - counties of Bronx; Kings; Nassau; New York; Queens; Richmond; Suffolk.</v>
      </c>
      <c r="K1542" s="11">
        <v>0</v>
      </c>
    </row>
    <row r="1543" spans="5:11" x14ac:dyDescent="0.35">
      <c r="E1543" s="9" t="str">
        <v>EPSG</v>
      </c>
      <c r="F1543" s="7" t="str">
        <v>3629</v>
      </c>
      <c r="G1543" t="str">
        <v>ProjectedCrs</v>
      </c>
      <c r="H1543" t="str">
        <v>Transverse Mercator</v>
      </c>
      <c r="I1543" t="str">
        <v>NAD83(NSRS2007) / New York West</v>
      </c>
      <c r="J1543" t="str">
        <v>United States (USA) - New York - counties of Allegany; Cattaraugus; Chautauqua; Erie; Genesee; Livingston; Monroe; Niagara; Orleans; Wyoming.</v>
      </c>
      <c r="K1543" s="11">
        <v>0</v>
      </c>
    </row>
    <row r="1544" spans="5:11" x14ac:dyDescent="0.35">
      <c r="E1544" s="9" t="str">
        <v>EPSG</v>
      </c>
      <c r="F1544" s="7" t="str">
        <v>3630</v>
      </c>
      <c r="G1544" t="str">
        <v>ProjectedCrs</v>
      </c>
      <c r="H1544" t="str">
        <v>Transverse Mercator</v>
      </c>
      <c r="I1544" t="str">
        <v>NAD83(NSRS2007) / New York West (ftUS)</v>
      </c>
      <c r="J1544" t="str">
        <v>United States (USA) - New York - counties of Allegany; Cattaraugus; Chautauqua; Erie; Genesee; Livingston; Monroe; Niagara; Orleans; Wyoming.</v>
      </c>
      <c r="K1544" s="11">
        <v>0</v>
      </c>
    </row>
    <row r="1545" spans="5:11" x14ac:dyDescent="0.35">
      <c r="E1545" s="9" t="str">
        <v>EPSG</v>
      </c>
      <c r="F1545" s="7" t="str">
        <v>3631</v>
      </c>
      <c r="G1545" t="str">
        <v>ProjectedCrs</v>
      </c>
      <c r="H1545" t="str">
        <v>Lambert Conic Conformal (2SP)</v>
      </c>
      <c r="I1545" t="str">
        <v>NAD83(NSRS2007) / North Carolina</v>
      </c>
      <c r="J1545"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1545" s="11">
        <v>0</v>
      </c>
    </row>
    <row r="1546" spans="5:11" x14ac:dyDescent="0.35">
      <c r="E1546" s="9" t="str">
        <v>EPSG</v>
      </c>
      <c r="F1546" s="7" t="str">
        <v>3632</v>
      </c>
      <c r="G1546" t="str">
        <v>ProjectedCrs</v>
      </c>
      <c r="H1546" t="str">
        <v>Lambert Conic Conformal (2SP)</v>
      </c>
      <c r="I1546" t="str">
        <v>NAD83(NSRS2007) / North Carolina (ftUS)</v>
      </c>
      <c r="J1546"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1546" s="11">
        <v>0</v>
      </c>
    </row>
    <row r="1547" spans="5:11" x14ac:dyDescent="0.35">
      <c r="E1547" s="9" t="str">
        <v>EPSG</v>
      </c>
      <c r="F1547" s="7" t="str">
        <v>3633</v>
      </c>
      <c r="G1547" t="str">
        <v>ProjectedCrs</v>
      </c>
      <c r="H1547" t="str">
        <v>Lambert Conic Conformal (2SP)</v>
      </c>
      <c r="I1547" t="str">
        <v>NAD83(NSRS2007) / North Dakota North</v>
      </c>
      <c r="J1547" t="str">
        <v>United States (USA) - North Dakota - counties of Benson; Bottineau; Burke; Cavalier; Divide; Eddy; Foster; Grand Forks; Griggs; McHenry; McKenzie; McLean; Mountrial; Nelson; Pembina; Pierce; Ramsey; Renville; Rolette; Sheridan; Steele; Towner; Traill; Walsh; Ward; Wells; Williams.</v>
      </c>
      <c r="K1547" s="11">
        <v>0</v>
      </c>
    </row>
    <row r="1548" spans="5:11" x14ac:dyDescent="0.35">
      <c r="E1548" s="9" t="str">
        <v>EPSG</v>
      </c>
      <c r="F1548" s="7" t="str">
        <v>3634</v>
      </c>
      <c r="G1548" t="str">
        <v>ProjectedCrs</v>
      </c>
      <c r="H1548" t="str">
        <v>Lambert Conic Conformal (2SP)</v>
      </c>
      <c r="I1548" t="str">
        <v>NAD83(NSRS2007) / North Dakota North (ft)</v>
      </c>
      <c r="J1548" t="str">
        <v>United States (USA) - North Dakota - counties of Benson; Bottineau; Burke; Cavalier; Divide; Eddy; Foster; Grand Forks; Griggs; McHenry; McKenzie; McLean; Mountrial; Nelson; Pembina; Pierce; Ramsey; Renville; Rolette; Sheridan; Steele; Towner; Traill; Walsh; Ward; Wells; Williams.</v>
      </c>
      <c r="K1548" s="11">
        <v>0</v>
      </c>
    </row>
    <row r="1549" spans="5:11" x14ac:dyDescent="0.35">
      <c r="E1549" s="9" t="str">
        <v>EPSG</v>
      </c>
      <c r="F1549" s="7" t="str">
        <v>3635</v>
      </c>
      <c r="G1549" t="str">
        <v>ProjectedCrs</v>
      </c>
      <c r="H1549" t="str">
        <v>Lambert Conic Conformal (2SP)</v>
      </c>
      <c r="I1549" t="str">
        <v>NAD83(NSRS2007) / North Dakota South</v>
      </c>
      <c r="J1549" t="str">
        <v>United States (USA) - North Dakota - counties of Adams; Barnes; Billings; Bowman; Burleigh; Cass; Dickey; Dunn; Emmons; Golden Valley; Grant; Hettinger; Kidder; La Moure; Logan; McIntosh; Mercer; Morton; Oliver; Ransom; Richland; Sargent; Sioux; Slope; Stark; Stutsman.</v>
      </c>
      <c r="K1549" s="11">
        <v>0</v>
      </c>
    </row>
    <row r="1550" spans="5:11" x14ac:dyDescent="0.35">
      <c r="E1550" s="9" t="str">
        <v>EPSG</v>
      </c>
      <c r="F1550" s="7" t="str">
        <v>3636</v>
      </c>
      <c r="G1550" t="str">
        <v>ProjectedCrs</v>
      </c>
      <c r="H1550" t="str">
        <v>Lambert Conic Conformal (2SP)</v>
      </c>
      <c r="I1550" t="str">
        <v>NAD83(NSRS2007) / North Dakota South (ft)</v>
      </c>
      <c r="J1550" t="str">
        <v>United States (USA) - North Dakota - counties of Adams; Barnes; Billings; Bowman; Burleigh; Cass; Dickey; Dunn; Emmons; Golden Valley; Grant; Hettinger; Kidder; La Moure; Logan; McIntosh; Mercer; Morton; Oliver; Ransom; Richland; Sargent; Sioux; Slope; Stark; Stutsman.</v>
      </c>
      <c r="K1550" s="11">
        <v>0</v>
      </c>
    </row>
    <row r="1551" spans="5:11" x14ac:dyDescent="0.35">
      <c r="E1551" s="9" t="str">
        <v>EPSG</v>
      </c>
      <c r="F1551" s="7" t="str">
        <v>3637</v>
      </c>
      <c r="G1551" t="str">
        <v>ProjectedCrs</v>
      </c>
      <c r="H1551" t="str">
        <v>Lambert Conic Conformal (2SP)</v>
      </c>
      <c r="I1551" t="str">
        <v>NAD83(NSRS2007) / Ohio North</v>
      </c>
      <c r="J1551"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1551" s="11">
        <v>0</v>
      </c>
    </row>
    <row r="1552" spans="5:11" x14ac:dyDescent="0.35">
      <c r="E1552" s="9" t="str">
        <v>EPSG</v>
      </c>
      <c r="F1552" s="7" t="str">
        <v>3638</v>
      </c>
      <c r="G1552" t="str">
        <v>ProjectedCrs</v>
      </c>
      <c r="H1552" t="str">
        <v>Lambert Conic Conformal (2SP)</v>
      </c>
      <c r="I1552" t="str">
        <v>NAD83(NSRS2007) / Ohio South</v>
      </c>
      <c r="J1552"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1552" s="11">
        <v>0</v>
      </c>
    </row>
    <row r="1553" spans="5:11" x14ac:dyDescent="0.35">
      <c r="E1553" s="9" t="str">
        <v>EPSG</v>
      </c>
      <c r="F1553" s="7" t="str">
        <v>3639</v>
      </c>
      <c r="G1553" t="str">
        <v>ProjectedCrs</v>
      </c>
      <c r="H1553" t="str">
        <v>Lambert Conic Conformal (2SP)</v>
      </c>
      <c r="I1553" t="str">
        <v>NAD83(NSRS2007) / Oklahoma North</v>
      </c>
      <c r="J1553"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1553" s="11">
        <v>0</v>
      </c>
    </row>
    <row r="1554" spans="5:11" x14ac:dyDescent="0.35">
      <c r="E1554" s="9" t="str">
        <v>EPSG</v>
      </c>
      <c r="F1554" s="7" t="str">
        <v>3640</v>
      </c>
      <c r="G1554" t="str">
        <v>ProjectedCrs</v>
      </c>
      <c r="H1554" t="str">
        <v>Lambert Conic Conformal (2SP)</v>
      </c>
      <c r="I1554" t="str">
        <v>NAD83(NSRS2007) / Oklahoma North (ftUS)</v>
      </c>
      <c r="J1554"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1554" s="11">
        <v>0</v>
      </c>
    </row>
    <row r="1555" spans="5:11" x14ac:dyDescent="0.35">
      <c r="E1555" s="9" t="str">
        <v>EPSG</v>
      </c>
      <c r="F1555" s="7" t="str">
        <v>3641</v>
      </c>
      <c r="G1555" t="str">
        <v>ProjectedCrs</v>
      </c>
      <c r="H1555" t="str">
        <v>Lambert Conic Conformal (2SP)</v>
      </c>
      <c r="I1555" t="str">
        <v>NAD83(NSRS2007) / Oklahoma South</v>
      </c>
      <c r="J1555"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1555" s="11">
        <v>0</v>
      </c>
    </row>
    <row r="1556" spans="5:11" x14ac:dyDescent="0.35">
      <c r="E1556" s="9" t="str">
        <v>EPSG</v>
      </c>
      <c r="F1556" s="7" t="str">
        <v>3642</v>
      </c>
      <c r="G1556" t="str">
        <v>ProjectedCrs</v>
      </c>
      <c r="H1556" t="str">
        <v>Lambert Conic Conformal (2SP)</v>
      </c>
      <c r="I1556" t="str">
        <v>NAD83(NSRS2007) / Oklahoma South (ftUS)</v>
      </c>
      <c r="J1556"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1556" s="11">
        <v>0</v>
      </c>
    </row>
    <row r="1557" spans="5:11" x14ac:dyDescent="0.35">
      <c r="E1557" s="9" t="str">
        <v>EPSG</v>
      </c>
      <c r="F1557" s="7" t="str">
        <v>3643</v>
      </c>
      <c r="G1557" t="str">
        <v>ProjectedCrs</v>
      </c>
      <c r="H1557" t="str">
        <v>Lambert Conic Conformal (2SP)</v>
      </c>
      <c r="I1557" t="str">
        <v>NAD83(NSRS2007) / Oregon LCC (m)</v>
      </c>
      <c r="J1557" t="str">
        <v>United States (USA) - Oregon.</v>
      </c>
      <c r="K1557" s="11">
        <v>0</v>
      </c>
    </row>
    <row r="1558" spans="5:11" x14ac:dyDescent="0.35">
      <c r="E1558" s="9" t="str">
        <v>EPSG</v>
      </c>
      <c r="F1558" s="7" t="str">
        <v>3644</v>
      </c>
      <c r="G1558" t="str">
        <v>ProjectedCrs</v>
      </c>
      <c r="H1558" t="str">
        <v>Lambert Conic Conformal (2SP)</v>
      </c>
      <c r="I1558" t="str">
        <v>NAD83(NSRS2007) / Oregon GIC Lambert (ft)</v>
      </c>
      <c r="J1558" t="str">
        <v>United States (USA) - Oregon.</v>
      </c>
      <c r="K1558" s="11">
        <v>0</v>
      </c>
    </row>
    <row r="1559" spans="5:11" x14ac:dyDescent="0.35">
      <c r="E1559" s="9" t="str">
        <v>EPSG</v>
      </c>
      <c r="F1559" s="7" t="str">
        <v>3645</v>
      </c>
      <c r="G1559" t="str">
        <v>ProjectedCrs</v>
      </c>
      <c r="H1559" t="str">
        <v>Lambert Conic Conformal (2SP)</v>
      </c>
      <c r="I1559" t="str">
        <v>NAD83(NSRS2007) / Oregon North</v>
      </c>
      <c r="J1559" t="str">
        <v>United States (USA) - Oregon - counties of Baker; Benton; Clackamas; Clatsop; Columbia; Gilliam; Grant; Hood River; Jefferson; Lincoln; Linn; Marion; Morrow; Multnomah; Polk; Sherman; Tillamook; Umatilla; Union; Wallowa; Wasco; Washington; Wheeler; Yamhill.</v>
      </c>
      <c r="K1559" s="11">
        <v>0</v>
      </c>
    </row>
    <row r="1560" spans="5:11" x14ac:dyDescent="0.35">
      <c r="E1560" s="9" t="str">
        <v>EPSG</v>
      </c>
      <c r="F1560" s="7" t="str">
        <v>3646</v>
      </c>
      <c r="G1560" t="str">
        <v>ProjectedCrs</v>
      </c>
      <c r="H1560" t="str">
        <v>Lambert Conic Conformal (2SP)</v>
      </c>
      <c r="I1560" t="str">
        <v>NAD83(NSRS2007) / Oregon North (ft)</v>
      </c>
      <c r="J1560" t="str">
        <v>United States (USA) - Oregon - counties of Baker; Benton; Clackamas; Clatsop; Columbia; Gilliam; Grant; Hood River; Jefferson; Lincoln; Linn; Marion; Morrow; Multnomah; Polk; Sherman; Tillamook; Umatilla; Union; Wallowa; Wasco; Washington; Wheeler; Yamhill.</v>
      </c>
      <c r="K1560" s="11">
        <v>0</v>
      </c>
    </row>
    <row r="1561" spans="5:11" x14ac:dyDescent="0.35">
      <c r="E1561" s="9" t="str">
        <v>EPSG</v>
      </c>
      <c r="F1561" s="7" t="str">
        <v>3647</v>
      </c>
      <c r="G1561" t="str">
        <v>ProjectedCrs</v>
      </c>
      <c r="H1561" t="str">
        <v>Lambert Conic Conformal (2SP)</v>
      </c>
      <c r="I1561" t="str">
        <v>NAD83(NSRS2007) / Oregon South</v>
      </c>
      <c r="J1561" t="str">
        <v>United States (USA) - Oregon - counties of Coos; Crook; Curry; Deschutes; Douglas; Harney; Jackson; Josephine; Klamath; Lake; Lane; Malheur.</v>
      </c>
      <c r="K1561" s="11">
        <v>0</v>
      </c>
    </row>
    <row r="1562" spans="5:11" x14ac:dyDescent="0.35">
      <c r="E1562" s="9" t="str">
        <v>EPSG</v>
      </c>
      <c r="F1562" s="7" t="str">
        <v>3648</v>
      </c>
      <c r="G1562" t="str">
        <v>ProjectedCrs</v>
      </c>
      <c r="H1562" t="str">
        <v>Lambert Conic Conformal (2SP)</v>
      </c>
      <c r="I1562" t="str">
        <v>NAD83(NSRS2007) / Oregon South (ft)</v>
      </c>
      <c r="J1562" t="str">
        <v>United States (USA) - Oregon - counties of Coos; Crook; Curry; Deschutes; Douglas; Harney; Jackson; Josephine; Klamath; Lake; Lane; Malheur.</v>
      </c>
      <c r="K1562" s="11">
        <v>0</v>
      </c>
    </row>
    <row r="1563" spans="5:11" x14ac:dyDescent="0.35">
      <c r="E1563" s="9" t="str">
        <v>EPSG</v>
      </c>
      <c r="F1563" s="7" t="str">
        <v>3649</v>
      </c>
      <c r="G1563" t="str">
        <v>ProjectedCrs</v>
      </c>
      <c r="H1563" t="str">
        <v>Lambert Conic Conformal (2SP)</v>
      </c>
      <c r="I1563" t="str">
        <v>NAD83(NSRS2007) / Pennsylvania North</v>
      </c>
      <c r="J1563"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1563" s="11">
        <v>0</v>
      </c>
    </row>
    <row r="1564" spans="5:11" x14ac:dyDescent="0.35">
      <c r="E1564" s="9" t="str">
        <v>EPSG</v>
      </c>
      <c r="F1564" s="7" t="str">
        <v>3650</v>
      </c>
      <c r="G1564" t="str">
        <v>ProjectedCrs</v>
      </c>
      <c r="H1564" t="str">
        <v>Lambert Conic Conformal (2SP)</v>
      </c>
      <c r="I1564" t="str">
        <v>NAD83(NSRS2007) / Pennsylvania North (ftUS)</v>
      </c>
      <c r="J1564"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1564" s="11">
        <v>0</v>
      </c>
    </row>
    <row r="1565" spans="5:11" x14ac:dyDescent="0.35">
      <c r="E1565" s="9" t="str">
        <v>EPSG</v>
      </c>
      <c r="F1565" s="7" t="str">
        <v>3651</v>
      </c>
      <c r="G1565" t="str">
        <v>ProjectedCrs</v>
      </c>
      <c r="H1565" t="str">
        <v>Lambert Conic Conformal (2SP)</v>
      </c>
      <c r="I1565" t="str">
        <v>NAD83(NSRS2007) / Pennsylvania South</v>
      </c>
      <c r="J1565"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1565" s="11">
        <v>0</v>
      </c>
    </row>
    <row r="1566" spans="5:11" x14ac:dyDescent="0.35">
      <c r="E1566" s="9" t="str">
        <v>EPSG</v>
      </c>
      <c r="F1566" s="7" t="str">
        <v>3652</v>
      </c>
      <c r="G1566" t="str">
        <v>ProjectedCrs</v>
      </c>
      <c r="H1566" t="str">
        <v>Lambert Conic Conformal (2SP)</v>
      </c>
      <c r="I1566" t="str">
        <v>NAD83(NSRS2007) / Pennsylvania South (ftUS)</v>
      </c>
      <c r="J1566"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1566" s="11">
        <v>0</v>
      </c>
    </row>
    <row r="1567" spans="5:11" x14ac:dyDescent="0.35">
      <c r="E1567" s="9" t="str">
        <v>EPSG</v>
      </c>
      <c r="F1567" s="7" t="str">
        <v>3653</v>
      </c>
      <c r="G1567" t="str">
        <v>ProjectedCrs</v>
      </c>
      <c r="H1567" t="str">
        <v>Transverse Mercator</v>
      </c>
      <c r="I1567" t="str">
        <v>NAD83(NSRS2007) / Rhode Island</v>
      </c>
      <c r="J1567" t="str">
        <v>United States (USA) - Rhode Island - counties of Bristol; Kent; Newport; Providence; Washington.</v>
      </c>
      <c r="K1567" s="11">
        <v>0</v>
      </c>
    </row>
    <row r="1568" spans="5:11" x14ac:dyDescent="0.35">
      <c r="E1568" s="9" t="str">
        <v>EPSG</v>
      </c>
      <c r="F1568" s="7" t="str">
        <v>3654</v>
      </c>
      <c r="G1568" t="str">
        <v>ProjectedCrs</v>
      </c>
      <c r="H1568" t="str">
        <v>Transverse Mercator</v>
      </c>
      <c r="I1568" t="str">
        <v>NAD83(NSRS2007) / Rhode Island (ftUS)</v>
      </c>
      <c r="J1568" t="str">
        <v>United States (USA) - Rhode Island - counties of Bristol; Kent; Newport; Providence; Washington.</v>
      </c>
      <c r="K1568" s="11">
        <v>0</v>
      </c>
    </row>
    <row r="1569" spans="5:11" x14ac:dyDescent="0.35">
      <c r="E1569" s="9" t="str">
        <v>EPSG</v>
      </c>
      <c r="F1569" s="7" t="str">
        <v>3655</v>
      </c>
      <c r="G1569" t="str">
        <v>ProjectedCrs</v>
      </c>
      <c r="H1569" t="str">
        <v>Lambert Conic Conformal (2SP)</v>
      </c>
      <c r="I1569" t="str">
        <v>NAD83(NSRS2007) / South Carolina</v>
      </c>
      <c r="J1569"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1569" s="11">
        <v>0</v>
      </c>
    </row>
    <row r="1570" spans="5:11" x14ac:dyDescent="0.35">
      <c r="E1570" s="9" t="str">
        <v>EPSG</v>
      </c>
      <c r="F1570" s="7" t="str">
        <v>3656</v>
      </c>
      <c r="G1570" t="str">
        <v>ProjectedCrs</v>
      </c>
      <c r="H1570" t="str">
        <v>Lambert Conic Conformal (2SP)</v>
      </c>
      <c r="I1570" t="str">
        <v>NAD83(NSRS2007) / South Carolina (ft)</v>
      </c>
      <c r="J1570"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1570" s="11">
        <v>0</v>
      </c>
    </row>
    <row r="1571" spans="5:11" x14ac:dyDescent="0.35">
      <c r="E1571" s="9" t="str">
        <v>EPSG</v>
      </c>
      <c r="F1571" s="7" t="str">
        <v>3657</v>
      </c>
      <c r="G1571" t="str">
        <v>ProjectedCrs</v>
      </c>
      <c r="H1571" t="str">
        <v>Lambert Conic Conformal (2SP)</v>
      </c>
      <c r="I1571" t="str">
        <v>NAD83(NSRS2007) / South Dakota North</v>
      </c>
      <c r="J1571" t="str">
        <v>United States (USA) - South Dakota - counties of Beadle; Brookings; Brown; Butte; Campbell; Clark; Codington; Corson; Day; Deuel; Dewey; Edmunds; Faulk; Grant; Hamlin; Hand; Harding; Hyde; Kingsbury; Lawrence; Marshall; McPherson; Meade; Perkins; Potter; Roberts; Spink; Sully; Walworth; Ziebach.</v>
      </c>
      <c r="K1571" s="11">
        <v>0</v>
      </c>
    </row>
    <row r="1572" spans="5:11" x14ac:dyDescent="0.35">
      <c r="E1572" s="9" t="str">
        <v>EPSG</v>
      </c>
      <c r="F1572" s="7" t="str">
        <v>3658</v>
      </c>
      <c r="G1572" t="str">
        <v>ProjectedCrs</v>
      </c>
      <c r="H1572" t="str">
        <v>Lambert Conic Conformal (2SP)</v>
      </c>
      <c r="I1572" t="str">
        <v>NAD83(NSRS2007) / South Dakota North (ftUS)</v>
      </c>
      <c r="J1572" t="str">
        <v>United States (USA) - South Dakota - counties of Beadle; Brookings; Brown; Butte; Campbell; Clark; Codington; Corson; Day; Deuel; Dewey; Edmunds; Faulk; Grant; Hamlin; Hand; Harding; Hyde; Kingsbury; Lawrence; Marshall; McPherson; Meade; Perkins; Potter; Roberts; Spink; Sully; Walworth; Ziebach.</v>
      </c>
      <c r="K1572" s="11">
        <v>0</v>
      </c>
    </row>
    <row r="1573" spans="5:11" x14ac:dyDescent="0.35">
      <c r="E1573" s="9" t="str">
        <v>EPSG</v>
      </c>
      <c r="F1573" s="7" t="str">
        <v>3659</v>
      </c>
      <c r="G1573" t="str">
        <v>ProjectedCrs</v>
      </c>
      <c r="H1573" t="str">
        <v>Lambert Conic Conformal (2SP)</v>
      </c>
      <c r="I1573" t="str">
        <v>NAD83(NSRS2007) / South Dakota South</v>
      </c>
      <c r="J1573"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1573" s="11">
        <v>0</v>
      </c>
    </row>
    <row r="1574" spans="5:11" x14ac:dyDescent="0.35">
      <c r="E1574" s="9" t="str">
        <v>EPSG</v>
      </c>
      <c r="F1574" s="7" t="str">
        <v>3660</v>
      </c>
      <c r="G1574" t="str">
        <v>ProjectedCrs</v>
      </c>
      <c r="H1574" t="str">
        <v>Lambert Conic Conformal (2SP)</v>
      </c>
      <c r="I1574" t="str">
        <v>NAD83(NSRS2007) / South Dakota South (ftUS)</v>
      </c>
      <c r="J1574"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1574" s="11">
        <v>0</v>
      </c>
    </row>
    <row r="1575" spans="5:11" x14ac:dyDescent="0.35">
      <c r="E1575" s="9" t="str">
        <v>EPSG</v>
      </c>
      <c r="F1575" s="7" t="str">
        <v>3661</v>
      </c>
      <c r="G1575" t="str">
        <v>ProjectedCrs</v>
      </c>
      <c r="H1575" t="str">
        <v>Lambert Conic Conformal (2SP)</v>
      </c>
      <c r="I1575" t="str">
        <v>NAD83(NSRS2007) / Tennessee</v>
      </c>
      <c r="J1575"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1575" s="11">
        <v>0</v>
      </c>
    </row>
    <row r="1576" spans="5:11" x14ac:dyDescent="0.35">
      <c r="E1576" s="9" t="str">
        <v>EPSG</v>
      </c>
      <c r="F1576" s="7" t="str">
        <v>3662</v>
      </c>
      <c r="G1576" t="str">
        <v>ProjectedCrs</v>
      </c>
      <c r="H1576" t="str">
        <v>Lambert Conic Conformal (2SP)</v>
      </c>
      <c r="I1576" t="str">
        <v>NAD83(NSRS2007) / Tennessee (ftUS)</v>
      </c>
      <c r="J1576"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1576" s="11">
        <v>0</v>
      </c>
    </row>
    <row r="1577" spans="5:11" x14ac:dyDescent="0.35">
      <c r="E1577" s="9" t="str">
        <v>EPSG</v>
      </c>
      <c r="F1577" s="7" t="str">
        <v>3663</v>
      </c>
      <c r="G1577" t="str">
        <v>ProjectedCrs</v>
      </c>
      <c r="H1577" t="str">
        <v>Lambert Conic Conformal (2SP)</v>
      </c>
      <c r="I1577" t="str">
        <v>NAD83(NSRS2007) / Texas Central</v>
      </c>
      <c r="J1577"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1577" s="11">
        <v>0</v>
      </c>
    </row>
    <row r="1578" spans="5:11" x14ac:dyDescent="0.35">
      <c r="E1578" s="9" t="str">
        <v>EPSG</v>
      </c>
      <c r="F1578" s="7" t="str">
        <v>3664</v>
      </c>
      <c r="G1578" t="str">
        <v>ProjectedCrs</v>
      </c>
      <c r="H1578" t="str">
        <v>Lambert Conic Conformal (2SP)</v>
      </c>
      <c r="I1578" t="str">
        <v>NAD83(NSRS2007) / Texas Central (ftUS)</v>
      </c>
      <c r="J1578"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1578" s="11">
        <v>0</v>
      </c>
    </row>
    <row r="1579" spans="5:11" x14ac:dyDescent="0.35">
      <c r="E1579" s="9" t="str">
        <v>EPSG</v>
      </c>
      <c r="F1579" s="7" t="str">
        <v>3665</v>
      </c>
      <c r="G1579" t="str">
        <v>ProjectedCrs</v>
      </c>
      <c r="H1579" t="str">
        <v>Albers Equal Area</v>
      </c>
      <c r="I1579" t="str">
        <v>NAD83(NSRS2007) / Texas Centric Albers Equal Area</v>
      </c>
      <c r="J1579" t="str">
        <v>United States (USA) - Texas.</v>
      </c>
      <c r="K1579" s="11">
        <v>0</v>
      </c>
    </row>
    <row r="1580" spans="5:11" x14ac:dyDescent="0.35">
      <c r="E1580" s="9" t="str">
        <v>EPSG</v>
      </c>
      <c r="F1580" s="7" t="str">
        <v>3666</v>
      </c>
      <c r="G1580" t="str">
        <v>ProjectedCrs</v>
      </c>
      <c r="H1580" t="str">
        <v>Lambert Conic Conformal (2SP)</v>
      </c>
      <c r="I1580" t="str">
        <v>NAD83(NSRS2007) / Texas Centric Lambert Conformal</v>
      </c>
      <c r="J1580" t="str">
        <v>United States (USA) - Texas.</v>
      </c>
      <c r="K1580" s="11">
        <v>0</v>
      </c>
    </row>
    <row r="1581" spans="5:11" x14ac:dyDescent="0.35">
      <c r="E1581" s="9" t="str">
        <v>EPSG</v>
      </c>
      <c r="F1581" s="7" t="str">
        <v>3667</v>
      </c>
      <c r="G1581" t="str">
        <v>ProjectedCrs</v>
      </c>
      <c r="H1581" t="str">
        <v>Lambert Conic Conformal (2SP)</v>
      </c>
      <c r="I1581" t="str">
        <v>NAD83(NSRS2007) / Texas North</v>
      </c>
      <c r="J1581" t="str">
        <v>United States (USA) - Texas - counties of: Armstrong; Briscoe; Carson; Castro; Childress; Collingsworth; Dallam; Deaf Smith; Donley; Gray; Hall; Hansford; Hartley; Hemphill; Hutchinson; Lipscomb; Moore; Ochiltree; Oldham; Parmer; Potter; Randall; Roberts; Sherman; Swisher; Wheeler.</v>
      </c>
      <c r="K1581" s="11">
        <v>0</v>
      </c>
    </row>
    <row r="1582" spans="5:11" x14ac:dyDescent="0.35">
      <c r="E1582" s="9" t="str">
        <v>EPSG</v>
      </c>
      <c r="F1582" s="7" t="str">
        <v>3668</v>
      </c>
      <c r="G1582" t="str">
        <v>ProjectedCrs</v>
      </c>
      <c r="H1582" t="str">
        <v>Lambert Conic Conformal (2SP)</v>
      </c>
      <c r="I1582" t="str">
        <v>NAD83(NSRS2007) / Texas North (ftUS)</v>
      </c>
      <c r="J1582" t="str">
        <v>United States (USA) - Texas - counties of: Armstrong; Briscoe; Carson; Castro; Childress; Collingsworth; Dallam; Deaf Smith; Donley; Gray; Hall; Hansford; Hartley; Hemphill; Hutchinson; Lipscomb; Moore; Ochiltree; Oldham; Parmer; Potter; Randall; Roberts; Sherman; Swisher; Wheeler.</v>
      </c>
      <c r="K1582" s="11">
        <v>0</v>
      </c>
    </row>
    <row r="1583" spans="5:11" x14ac:dyDescent="0.35">
      <c r="E1583" s="9" t="str">
        <v>EPSG</v>
      </c>
      <c r="F1583" s="7" t="str">
        <v>3669</v>
      </c>
      <c r="G1583" t="str">
        <v>ProjectedCrs</v>
      </c>
      <c r="H1583" t="str">
        <v>Lambert Conic Conformal (2SP)</v>
      </c>
      <c r="I1583" t="str">
        <v>NAD83(NSRS2007) / Texas North Central</v>
      </c>
      <c r="J1583"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1583" s="11">
        <v>0</v>
      </c>
    </row>
    <row r="1584" spans="5:11" x14ac:dyDescent="0.35">
      <c r="E1584" s="9" t="str">
        <v>EPSG</v>
      </c>
      <c r="F1584" s="7" t="str">
        <v>3670</v>
      </c>
      <c r="G1584" t="str">
        <v>ProjectedCrs</v>
      </c>
      <c r="H1584" t="str">
        <v>Lambert Conic Conformal (2SP)</v>
      </c>
      <c r="I1584" t="str">
        <v>NAD83(NSRS2007) / Texas North Central (ftUS)</v>
      </c>
      <c r="J1584"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1584" s="11">
        <v>0</v>
      </c>
    </row>
    <row r="1585" spans="5:11" x14ac:dyDescent="0.35">
      <c r="E1585" s="9" t="str">
        <v>EPSG</v>
      </c>
      <c r="F1585" s="7" t="str">
        <v>3671</v>
      </c>
      <c r="G1585" t="str">
        <v>ProjectedCrs</v>
      </c>
      <c r="H1585" t="str">
        <v>Lambert Conic Conformal (2SP)</v>
      </c>
      <c r="I1585" t="str">
        <v>NAD83(NSRS2007) / Texas South</v>
      </c>
      <c r="J1585" t="str">
        <v>United States (USA) - Texas - counties of Brooks; Cameron; Duval; Hidalgo; Jim Hogg; Jim Wells; Kenedy; Kleberg; Nueces; San Patricio; Starr; Webb; Willacy; Zapata.</v>
      </c>
      <c r="K1585" s="11">
        <v>0</v>
      </c>
    </row>
    <row r="1586" spans="5:11" x14ac:dyDescent="0.35">
      <c r="E1586" s="9" t="str">
        <v>EPSG</v>
      </c>
      <c r="F1586" s="7" t="str">
        <v>3672</v>
      </c>
      <c r="G1586" t="str">
        <v>ProjectedCrs</v>
      </c>
      <c r="H1586" t="str">
        <v>Lambert Conic Conformal (2SP)</v>
      </c>
      <c r="I1586" t="str">
        <v>NAD83(NSRS2007) / Texas South (ftUS)</v>
      </c>
      <c r="J1586" t="str">
        <v>United States (USA) - Texas - counties of Brooks; Cameron; Duval; Hidalgo; Jim Hogg; Jim Wells; Kenedy; Kleberg; Nueces; San Patricio; Starr; Webb; Willacy; Zapata.</v>
      </c>
      <c r="K1586" s="11">
        <v>0</v>
      </c>
    </row>
    <row r="1587" spans="5:11" x14ac:dyDescent="0.35">
      <c r="E1587" s="9" t="str">
        <v>EPSG</v>
      </c>
      <c r="F1587" s="7" t="str">
        <v>3673</v>
      </c>
      <c r="G1587" t="str">
        <v>ProjectedCrs</v>
      </c>
      <c r="H1587" t="str">
        <v>Lambert Conic Conformal (2SP)</v>
      </c>
      <c r="I1587" t="str">
        <v>NAD83(NSRS2007) / Texas South Central</v>
      </c>
      <c r="J1587"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1587" s="11">
        <v>0</v>
      </c>
    </row>
    <row r="1588" spans="5:11" x14ac:dyDescent="0.35">
      <c r="E1588" s="9" t="str">
        <v>EPSG</v>
      </c>
      <c r="F1588" s="7" t="str">
        <v>3674</v>
      </c>
      <c r="G1588" t="str">
        <v>ProjectedCrs</v>
      </c>
      <c r="H1588" t="str">
        <v>Lambert Conic Conformal (2SP)</v>
      </c>
      <c r="I1588" t="str">
        <v>NAD83(NSRS2007) / Texas South Central (ftUS)</v>
      </c>
      <c r="J1588"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1588" s="11">
        <v>0</v>
      </c>
    </row>
    <row r="1589" spans="5:11" x14ac:dyDescent="0.35">
      <c r="E1589" s="9" t="str">
        <v>EPSG</v>
      </c>
      <c r="F1589" s="7" t="str">
        <v>3675</v>
      </c>
      <c r="G1589" t="str">
        <v>ProjectedCrs</v>
      </c>
      <c r="H1589" t="str">
        <v>Lambert Conic Conformal (2SP)</v>
      </c>
      <c r="I1589" t="str">
        <v>NAD83(NSRS2007) / Utah Central</v>
      </c>
      <c r="J1589" t="str">
        <v>United States (USA) - Utah - counties of Carbon; Duchesne; Emery; Grand; Juab; Millard; Salt Lake; Sanpete; Sevier; Tooele; Uintah; Utah; Wasatch.</v>
      </c>
      <c r="K1589" s="11">
        <v>0</v>
      </c>
    </row>
    <row r="1590" spans="5:11" x14ac:dyDescent="0.35">
      <c r="E1590" s="9" t="str">
        <v>EPSG</v>
      </c>
      <c r="F1590" s="7" t="str">
        <v>3676</v>
      </c>
      <c r="G1590" t="str">
        <v>ProjectedCrs</v>
      </c>
      <c r="H1590" t="str">
        <v>Lambert Conic Conformal (2SP)</v>
      </c>
      <c r="I1590" t="str">
        <v>NAD83(NSRS2007) / Utah Central (ft)</v>
      </c>
      <c r="J1590" t="str">
        <v>United States (USA) - Utah - counties of Carbon; Duchesne; Emery; Grand; Juab; Millard; Salt Lake; Sanpete; Sevier; Tooele; Uintah; Utah; Wasatch.</v>
      </c>
      <c r="K1590" s="11">
        <v>0</v>
      </c>
    </row>
    <row r="1591" spans="5:11" x14ac:dyDescent="0.35">
      <c r="E1591" s="9" t="str">
        <v>EPSG</v>
      </c>
      <c r="F1591" s="7" t="str">
        <v>3677</v>
      </c>
      <c r="G1591" t="str">
        <v>ProjectedCrs</v>
      </c>
      <c r="H1591" t="str">
        <v>Lambert Conic Conformal (2SP)</v>
      </c>
      <c r="I1591" t="str">
        <v>NAD83(NSRS2007) / Utah Central (ftUS)</v>
      </c>
      <c r="J1591" t="str">
        <v>United States (USA) - Utah - counties of Carbon; Duchesne; Emery; Grand; Juab; Millard; Salt Lake; Sanpete; Sevier; Tooele; Uintah; Utah; Wasatch.</v>
      </c>
      <c r="K1591" s="11">
        <v>0</v>
      </c>
    </row>
    <row r="1592" spans="5:11" x14ac:dyDescent="0.35">
      <c r="E1592" s="9" t="str">
        <v>EPSG</v>
      </c>
      <c r="F1592" s="7" t="str">
        <v>3678</v>
      </c>
      <c r="G1592" t="str">
        <v>ProjectedCrs</v>
      </c>
      <c r="H1592" t="str">
        <v>Lambert Conic Conformal (2SP)</v>
      </c>
      <c r="I1592" t="str">
        <v>NAD83(NSRS2007) / Utah North</v>
      </c>
      <c r="J1592" t="str">
        <v>United States (USA) - Utah - counties of Box Elder; Cache; Daggett; Davis; Morgan; Rich; Summit; Weber.</v>
      </c>
      <c r="K1592" s="11">
        <v>0</v>
      </c>
    </row>
    <row r="1593" spans="5:11" x14ac:dyDescent="0.35">
      <c r="E1593" s="9" t="str">
        <v>EPSG</v>
      </c>
      <c r="F1593" s="7" t="str">
        <v>3679</v>
      </c>
      <c r="G1593" t="str">
        <v>ProjectedCrs</v>
      </c>
      <c r="H1593" t="str">
        <v>Lambert Conic Conformal (2SP)</v>
      </c>
      <c r="I1593" t="str">
        <v>NAD83(NSRS2007) / Utah North (ft)</v>
      </c>
      <c r="J1593" t="str">
        <v>United States (USA) - Utah - counties of Box Elder; Cache; Daggett; Davis; Morgan; Rich; Summit; Weber.</v>
      </c>
      <c r="K1593" s="11">
        <v>0</v>
      </c>
    </row>
    <row r="1594" spans="5:11" x14ac:dyDescent="0.35">
      <c r="E1594" s="9" t="str">
        <v>EPSG</v>
      </c>
      <c r="F1594" s="7" t="str">
        <v>3680</v>
      </c>
      <c r="G1594" t="str">
        <v>ProjectedCrs</v>
      </c>
      <c r="H1594" t="str">
        <v>Lambert Conic Conformal (2SP)</v>
      </c>
      <c r="I1594" t="str">
        <v>NAD83(NSRS2007) / Utah North (ftUS)</v>
      </c>
      <c r="J1594" t="str">
        <v>United States (USA) - Utah - counties of Box Elder; Cache; Daggett; Davis; Morgan; Rich; Summit; Weber.</v>
      </c>
      <c r="K1594" s="11">
        <v>0</v>
      </c>
    </row>
    <row r="1595" spans="5:11" x14ac:dyDescent="0.35">
      <c r="E1595" s="9" t="str">
        <v>EPSG</v>
      </c>
      <c r="F1595" s="7" t="str">
        <v>3681</v>
      </c>
      <c r="G1595" t="str">
        <v>ProjectedCrs</v>
      </c>
      <c r="H1595" t="str">
        <v>Lambert Conic Conformal (2SP)</v>
      </c>
      <c r="I1595" t="str">
        <v>NAD83(NSRS2007) / Utah South</v>
      </c>
      <c r="J1595" t="str">
        <v>United States (USA) - Utah - counties of Beaver; Garfield; Iron; Kane; Piute; San Juan; Washington; Wayne.</v>
      </c>
      <c r="K1595" s="11">
        <v>0</v>
      </c>
    </row>
    <row r="1596" spans="5:11" x14ac:dyDescent="0.35">
      <c r="E1596" s="9" t="str">
        <v>EPSG</v>
      </c>
      <c r="F1596" s="7" t="str">
        <v>3682</v>
      </c>
      <c r="G1596" t="str">
        <v>ProjectedCrs</v>
      </c>
      <c r="H1596" t="str">
        <v>Lambert Conic Conformal (2SP)</v>
      </c>
      <c r="I1596" t="str">
        <v>NAD83(NSRS2007) / Utah South (ft)</v>
      </c>
      <c r="J1596" t="str">
        <v>United States (USA) - Utah - counties of Beaver; Garfield; Iron; Kane; Piute; San Juan; Washington; Wayne.</v>
      </c>
      <c r="K1596" s="11">
        <v>0</v>
      </c>
    </row>
    <row r="1597" spans="5:11" x14ac:dyDescent="0.35">
      <c r="E1597" s="9" t="str">
        <v>EPSG</v>
      </c>
      <c r="F1597" s="7" t="str">
        <v>3683</v>
      </c>
      <c r="G1597" t="str">
        <v>ProjectedCrs</v>
      </c>
      <c r="H1597" t="str">
        <v>Lambert Conic Conformal (2SP)</v>
      </c>
      <c r="I1597" t="str">
        <v>NAD83(NSRS2007) / Utah South (ftUS)</v>
      </c>
      <c r="J1597" t="str">
        <v>United States (USA) - Utah - counties of Beaver; Garfield; Iron; Kane; Piute; San Juan; Washington; Wayne.</v>
      </c>
      <c r="K1597" s="11">
        <v>0</v>
      </c>
    </row>
    <row r="1598" spans="5:11" x14ac:dyDescent="0.35">
      <c r="E1598" s="9" t="str">
        <v>EPSG</v>
      </c>
      <c r="F1598" s="7" t="str">
        <v>3684</v>
      </c>
      <c r="G1598" t="str">
        <v>ProjectedCrs</v>
      </c>
      <c r="H1598" t="str">
        <v>Transverse Mercator</v>
      </c>
      <c r="I1598" t="str">
        <v>NAD83(NSRS2007) / Vermont</v>
      </c>
      <c r="J1598" t="str">
        <v>United States (USA) - Vermont - counties of Addison; Bennington; Caledonia; Chittenden; Essex; Franklin; Grand Isle; Lamoille; Orange; Orleans; Rutland; Washington; Windham; Windsor.</v>
      </c>
      <c r="K1598" s="11">
        <v>0</v>
      </c>
    </row>
    <row r="1599" spans="5:11" x14ac:dyDescent="0.35">
      <c r="E1599" s="9" t="str">
        <v>EPSG</v>
      </c>
      <c r="F1599" s="7" t="str">
        <v>3685</v>
      </c>
      <c r="G1599" t="str">
        <v>ProjectedCrs</v>
      </c>
      <c r="H1599" t="str">
        <v>Lambert Conic Conformal (2SP)</v>
      </c>
      <c r="I1599" t="str">
        <v>NAD83(NSRS2007) / Virginia North</v>
      </c>
      <c r="J1599" t="str">
        <v>United States (USA) - Virginia - counties of Arlington; Augusta; Bath; Caroline; Clarke; Culpeper; Fairfax; Fauquier; Frederick; Greene; Highland; King George; Loudoun; Madison; Orange; Page; Prince William; Rappahannock; Rockingham; Shenandoah; Spotsylvania; Stafford; Warren; Westmoreland.</v>
      </c>
      <c r="K1599" s="11">
        <v>0</v>
      </c>
    </row>
    <row r="1600" spans="5:11" x14ac:dyDescent="0.35">
      <c r="E1600" s="9" t="str">
        <v>EPSG</v>
      </c>
      <c r="F1600" s="7" t="str">
        <v>3686</v>
      </c>
      <c r="G1600" t="str">
        <v>ProjectedCrs</v>
      </c>
      <c r="H1600" t="str">
        <v>Lambert Conic Conformal (2SP)</v>
      </c>
      <c r="I1600" t="str">
        <v>NAD83(NSRS2007) / Virginia North (ftUS)</v>
      </c>
      <c r="J1600" t="str">
        <v>United States (USA) - Virginia - counties of Arlington; Augusta; Bath; Caroline; Clarke; Culpeper; Fairfax; Fauquier; Frederick; Greene; Highland; King George; Loudoun; Madison; Orange; Page; Prince William; Rappahannock; Rockingham; Shenandoah; Spotsylvania; Stafford; Warren; Westmoreland.</v>
      </c>
      <c r="K1600" s="11">
        <v>0</v>
      </c>
    </row>
    <row r="1601" spans="5:11" x14ac:dyDescent="0.35">
      <c r="E1601" s="9" t="str">
        <v>EPSG</v>
      </c>
      <c r="F1601" s="7" t="str">
        <v>3687</v>
      </c>
      <c r="G1601" t="str">
        <v>ProjectedCrs</v>
      </c>
      <c r="H1601" t="str">
        <v>Lambert Conic Conformal (2SP)</v>
      </c>
      <c r="I1601" t="str">
        <v>NAD83(NSRS2007) / Virginia South</v>
      </c>
      <c r="J1601"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1601" s="11">
        <v>0</v>
      </c>
    </row>
    <row r="1602" spans="5:11" x14ac:dyDescent="0.35">
      <c r="E1602" s="9" t="str">
        <v>EPSG</v>
      </c>
      <c r="F1602" s="7" t="str">
        <v>3688</v>
      </c>
      <c r="G1602" t="str">
        <v>ProjectedCrs</v>
      </c>
      <c r="H1602" t="str">
        <v>Lambert Conic Conformal (2SP)</v>
      </c>
      <c r="I1602" t="str">
        <v>NAD83(NSRS2007) / Virginia South (ftUS)</v>
      </c>
      <c r="J1602"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1602" s="11">
        <v>0</v>
      </c>
    </row>
    <row r="1603" spans="5:11" x14ac:dyDescent="0.35">
      <c r="E1603" s="9" t="str">
        <v>EPSG</v>
      </c>
      <c r="F1603" s="7" t="str">
        <v>3689</v>
      </c>
      <c r="G1603" t="str">
        <v>ProjectedCrs</v>
      </c>
      <c r="H1603" t="str">
        <v>Lambert Conic Conformal (2SP)</v>
      </c>
      <c r="I1603" t="str">
        <v>NAD83(NSRS2007) / Washington North</v>
      </c>
      <c r="J1603" t="str">
        <v>United States (USA) - Washington - counties of Chelan; Clallam; Douglas; Ferry; Grant north of approximately 47°30'N; Island; Jefferson; King; Kitsap; Lincoln; Okanogan; Pend Oreille; San Juan; Skagit; Snohomish; Spokane; Stevens; Whatcom.</v>
      </c>
      <c r="K1603" s="11">
        <v>0</v>
      </c>
    </row>
    <row r="1604" spans="5:11" x14ac:dyDescent="0.35">
      <c r="E1604" s="9" t="str">
        <v>EPSG</v>
      </c>
      <c r="F1604" s="7" t="str">
        <v>3690</v>
      </c>
      <c r="G1604" t="str">
        <v>ProjectedCrs</v>
      </c>
      <c r="H1604" t="str">
        <v>Lambert Conic Conformal (2SP)</v>
      </c>
      <c r="I1604" t="str">
        <v>NAD83(NSRS2007) / Washington North (ftUS)</v>
      </c>
      <c r="J1604" t="str">
        <v>United States (USA) - Washington - counties of Chelan; Clallam; Douglas; Ferry; Grant north of approximately 47°30'N; Island; Jefferson; King; Kitsap; Lincoln; Okanogan; Pend Oreille; San Juan; Skagit; Snohomish; Spokane; Stevens; Whatcom.</v>
      </c>
      <c r="K1604" s="11">
        <v>0</v>
      </c>
    </row>
    <row r="1605" spans="5:11" x14ac:dyDescent="0.35">
      <c r="E1605" s="9" t="str">
        <v>EPSG</v>
      </c>
      <c r="F1605" s="7" t="str">
        <v>3691</v>
      </c>
      <c r="G1605" t="str">
        <v>ProjectedCrs</v>
      </c>
      <c r="H1605" t="str">
        <v>Lambert Conic Conformal (2SP)</v>
      </c>
      <c r="I1605" t="str">
        <v>NAD83(NSRS2007) / Washington South</v>
      </c>
      <c r="J1605" t="str">
        <v>United States (USA) - Washington - counties of Adams; Asotin; Benton; Clark; Columbia; Cowlitz; Franklin; Garfield; Grant south of approximately 47°30'N; Grays Harbor; Kittitas; Klickitat; Lewis; Mason; Pacific; Pierce; Skamania; Thurston; Wahkiakum; Walla Walla; Whitman; Yakima.</v>
      </c>
      <c r="K1605" s="11">
        <v>0</v>
      </c>
    </row>
    <row r="1606" spans="5:11" x14ac:dyDescent="0.35">
      <c r="E1606" s="9" t="str">
        <v>EPSG</v>
      </c>
      <c r="F1606" s="7" t="str">
        <v>3692</v>
      </c>
      <c r="G1606" t="str">
        <v>ProjectedCrs</v>
      </c>
      <c r="H1606" t="str">
        <v>Lambert Conic Conformal (2SP)</v>
      </c>
      <c r="I1606" t="str">
        <v>NAD83(NSRS2007) / Washington South (ftUS)</v>
      </c>
      <c r="J1606" t="str">
        <v>United States (USA) - Washington - counties of Adams; Asotin; Benton; Clark; Columbia; Cowlitz; Franklin; Garfield; Grant south of approximately 47°30'N; Grays Harbor; Kittitas; Klickitat; Lewis; Mason; Pacific; Pierce; Skamania; Thurston; Wahkiakum; Walla Walla; Whitman; Yakima.</v>
      </c>
      <c r="K1606" s="11">
        <v>0</v>
      </c>
    </row>
    <row r="1607" spans="5:11" x14ac:dyDescent="0.35">
      <c r="E1607" s="9" t="str">
        <v>EPSG</v>
      </c>
      <c r="F1607" s="7" t="str">
        <v>3693</v>
      </c>
      <c r="G1607" t="str">
        <v>ProjectedCrs</v>
      </c>
      <c r="H1607" t="str">
        <v>Lambert Conic Conformal (2SP)</v>
      </c>
      <c r="I1607" t="str">
        <v>NAD83(NSRS2007) / West Virginia North</v>
      </c>
      <c r="J1607" t="str">
        <v>United States (USA) - West Virginia - counties of Barbour; Berkeley; Brooke; Doddridge; Grant; Hampshire; Hancock; Hardy; Harrison; Jefferson; Marion; Marshall; Mineral; Monongalia; Morgan; Ohio; Pleasants; Preston; Ritchie; Taylor; Tucker; Tyler; Wetzel; Wirt; Wood.</v>
      </c>
      <c r="K1607" s="11">
        <v>0</v>
      </c>
    </row>
    <row r="1608" spans="5:11" x14ac:dyDescent="0.35">
      <c r="E1608" s="9" t="str">
        <v>EPSG</v>
      </c>
      <c r="F1608" s="7" t="str">
        <v>3694</v>
      </c>
      <c r="G1608" t="str">
        <v>ProjectedCrs</v>
      </c>
      <c r="H1608" t="str">
        <v>Lambert Conic Conformal (2SP)</v>
      </c>
      <c r="I1608" t="str">
        <v>NAD83(NSRS2007) / West Virginia South</v>
      </c>
      <c r="J1608"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1608" s="11">
        <v>0</v>
      </c>
    </row>
    <row r="1609" spans="5:11" x14ac:dyDescent="0.35">
      <c r="E1609" s="9" t="str">
        <v>EPSG</v>
      </c>
      <c r="F1609" s="7" t="str">
        <v>3695</v>
      </c>
      <c r="G1609" t="str">
        <v>ProjectedCrs</v>
      </c>
      <c r="H1609" t="str">
        <v>Lambert Conic Conformal (2SP)</v>
      </c>
      <c r="I1609" t="str">
        <v>NAD83(NSRS2007) / Wisconsin Central</v>
      </c>
      <c r="J1609" t="str">
        <v>United States (USA) - Wisconsin - counties of Barron; Brown; Buffalo; Chippewa; Clark; Door; Dunn; Eau Claire; Jackson; Kewaunee; Langlade; Lincoln; Marathon; Marinette; Menominee; Oconto; Outagamie; Pepin; Pierce; Polk; Portage; Rusk; Shawano; St Croix; Taylor; Trempealeau; Waupaca; Wood.</v>
      </c>
      <c r="K1609" s="11">
        <v>0</v>
      </c>
    </row>
    <row r="1610" spans="5:11" x14ac:dyDescent="0.35">
      <c r="E1610" s="9" t="str">
        <v>EPSG</v>
      </c>
      <c r="F1610" s="7" t="str">
        <v>3696</v>
      </c>
      <c r="G1610" t="str">
        <v>ProjectedCrs</v>
      </c>
      <c r="H1610" t="str">
        <v>Lambert Conic Conformal (2SP)</v>
      </c>
      <c r="I1610" t="str">
        <v>NAD83(NSRS2007) / Wisconsin Central (ftUS)</v>
      </c>
      <c r="J1610" t="str">
        <v>United States (USA) - Wisconsin - counties of Barron; Brown; Buffalo; Chippewa; Clark; Door; Dunn; Eau Claire; Jackson; Kewaunee; Langlade; Lincoln; Marathon; Marinette; Menominee; Oconto; Outagamie; Pepin; Pierce; Polk; Portage; Rusk; Shawano; St Croix; Taylor; Trempealeau; Waupaca; Wood.</v>
      </c>
      <c r="K1610" s="11">
        <v>0</v>
      </c>
    </row>
    <row r="1611" spans="5:11" x14ac:dyDescent="0.35">
      <c r="E1611" s="9" t="str">
        <v>EPSG</v>
      </c>
      <c r="F1611" s="7" t="str">
        <v>3697</v>
      </c>
      <c r="G1611" t="str">
        <v>ProjectedCrs</v>
      </c>
      <c r="H1611" t="str">
        <v>Lambert Conic Conformal (2SP)</v>
      </c>
      <c r="I1611" t="str">
        <v>NAD83(NSRS2007) / Wisconsin North</v>
      </c>
      <c r="J1611" t="str">
        <v>United States (USA) - Wisconsin - counties of Ashland; Bayfield; Burnett; Douglas; Florence; Forest; Iron; Oneida; Price; Sawyer; Vilas; Washburn.</v>
      </c>
      <c r="K1611" s="11">
        <v>0</v>
      </c>
    </row>
    <row r="1612" spans="5:11" x14ac:dyDescent="0.35">
      <c r="E1612" s="9" t="str">
        <v>EPSG</v>
      </c>
      <c r="F1612" s="7" t="str">
        <v>3698</v>
      </c>
      <c r="G1612" t="str">
        <v>ProjectedCrs</v>
      </c>
      <c r="H1612" t="str">
        <v>Lambert Conic Conformal (2SP)</v>
      </c>
      <c r="I1612" t="str">
        <v>NAD83(NSRS2007) / Wisconsin North (ftUS)</v>
      </c>
      <c r="J1612" t="str">
        <v>United States (USA) - Wisconsin - counties of Ashland; Bayfield; Burnett; Douglas; Florence; Forest; Iron; Oneida; Price; Sawyer; Vilas; Washburn.</v>
      </c>
      <c r="K1612" s="11">
        <v>0</v>
      </c>
    </row>
    <row r="1613" spans="5:11" x14ac:dyDescent="0.35">
      <c r="E1613" s="9" t="str">
        <v>EPSG</v>
      </c>
      <c r="F1613" s="7" t="str">
        <v>3699</v>
      </c>
      <c r="G1613" t="str">
        <v>ProjectedCrs</v>
      </c>
      <c r="H1613" t="str">
        <v>Lambert Conic Conformal (2SP)</v>
      </c>
      <c r="I1613" t="str">
        <v>NAD83(NSRS2007) / Wisconsin South</v>
      </c>
      <c r="J1613"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1613" s="11">
        <v>0</v>
      </c>
    </row>
    <row r="1614" spans="5:11" x14ac:dyDescent="0.35">
      <c r="E1614" s="9" t="str">
        <v>EPSG</v>
      </c>
      <c r="F1614" s="7" t="str">
        <v>3700</v>
      </c>
      <c r="G1614" t="str">
        <v>ProjectedCrs</v>
      </c>
      <c r="H1614" t="str">
        <v>Lambert Conic Conformal (2SP)</v>
      </c>
      <c r="I1614" t="str">
        <v>NAD83(NSRS2007) / Wisconsin South (ftUS)</v>
      </c>
      <c r="J1614"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1614" s="11">
        <v>0</v>
      </c>
    </row>
    <row r="1615" spans="5:11" x14ac:dyDescent="0.35">
      <c r="E1615" s="9" t="str">
        <v>EPSG</v>
      </c>
      <c r="F1615" s="7" t="str">
        <v>3701</v>
      </c>
      <c r="G1615" t="str">
        <v>ProjectedCrs</v>
      </c>
      <c r="H1615" t="str">
        <v>Transverse Mercator</v>
      </c>
      <c r="I1615" t="str">
        <v>NAD83(NSRS2007) / Wisconsin Transverse Mercator</v>
      </c>
      <c r="J1615" t="str">
        <v>United States (USA) - Wisconsin.</v>
      </c>
      <c r="K1615" s="11">
        <v>0</v>
      </c>
    </row>
    <row r="1616" spans="5:11" x14ac:dyDescent="0.35">
      <c r="E1616" s="9" t="str">
        <v>EPSG</v>
      </c>
      <c r="F1616" s="7" t="str">
        <v>3702</v>
      </c>
      <c r="G1616" t="str">
        <v>ProjectedCrs</v>
      </c>
      <c r="H1616" t="str">
        <v>Transverse Mercator</v>
      </c>
      <c r="I1616" t="str">
        <v>NAD83(NSRS2007) / Wyoming East</v>
      </c>
      <c r="J1616" t="str">
        <v>United States (USA) - Wyoming - counties of Albany; Campbell; Converse; Crook; Goshen; Laramie; Niobrara; Platte; Weston.</v>
      </c>
      <c r="K1616" s="11">
        <v>0</v>
      </c>
    </row>
    <row r="1617" spans="5:11" x14ac:dyDescent="0.35">
      <c r="E1617" s="9" t="str">
        <v>EPSG</v>
      </c>
      <c r="F1617" s="7" t="str">
        <v>3703</v>
      </c>
      <c r="G1617" t="str">
        <v>ProjectedCrs</v>
      </c>
      <c r="H1617" t="str">
        <v>Transverse Mercator</v>
      </c>
      <c r="I1617" t="str">
        <v>NAD83(NSRS2007) / Wyoming East Central</v>
      </c>
      <c r="J1617" t="str">
        <v>United States (USA) - Wyoming - counties of Big Horn; Carbon; Johnson; Natrona; Sheridan; Washakie.</v>
      </c>
      <c r="K1617" s="11">
        <v>0</v>
      </c>
    </row>
    <row r="1618" spans="5:11" x14ac:dyDescent="0.35">
      <c r="E1618" s="9" t="str">
        <v>EPSG</v>
      </c>
      <c r="F1618" s="7" t="str">
        <v>3704</v>
      </c>
      <c r="G1618" t="str">
        <v>ProjectedCrs</v>
      </c>
      <c r="H1618" t="str">
        <v>Transverse Mercator</v>
      </c>
      <c r="I1618" t="str">
        <v>NAD83(NSRS2007) / Wyoming West Central</v>
      </c>
      <c r="J1618" t="str">
        <v>United States (USA) - Wyoming - counties of Fremont; Hot Springs; Park; Sweetwater.</v>
      </c>
      <c r="K1618" s="11">
        <v>0</v>
      </c>
    </row>
    <row r="1619" spans="5:11" x14ac:dyDescent="0.35">
      <c r="E1619" s="9" t="str">
        <v>EPSG</v>
      </c>
      <c r="F1619" s="7" t="str">
        <v>3705</v>
      </c>
      <c r="G1619" t="str">
        <v>ProjectedCrs</v>
      </c>
      <c r="H1619" t="str">
        <v>Transverse Mercator</v>
      </c>
      <c r="I1619" t="str">
        <v>NAD83(NSRS2007) / Wyoming West</v>
      </c>
      <c r="J1619" t="str">
        <v>United States (USA) - Wyoming - counties of Lincoln; Sublette; Teton; Uinta.</v>
      </c>
      <c r="K1619" s="11">
        <v>0</v>
      </c>
    </row>
    <row r="1620" spans="5:11" x14ac:dyDescent="0.35">
      <c r="E1620" s="9" t="str">
        <v>EPSG</v>
      </c>
      <c r="F1620" s="7" t="str">
        <v>3706</v>
      </c>
      <c r="G1620" t="str">
        <v>ProjectedCrs</v>
      </c>
      <c r="H1620" t="str">
        <v>Transverse Mercator</v>
      </c>
      <c r="I1620" t="str">
        <v>NAD83(NSRS2007) / UTM zone 59N</v>
      </c>
      <c r="J1620" t="str">
        <v>United States (USA) - west of 174°E. Alaska and offshore continental shelf (OCS).</v>
      </c>
      <c r="K1620" s="11">
        <v>0</v>
      </c>
    </row>
    <row r="1621" spans="5:11" x14ac:dyDescent="0.35">
      <c r="E1621" s="9" t="str">
        <v>EPSG</v>
      </c>
      <c r="F1621" s="7" t="str">
        <v>3707</v>
      </c>
      <c r="G1621" t="str">
        <v>ProjectedCrs</v>
      </c>
      <c r="H1621" t="str">
        <v>Transverse Mercator</v>
      </c>
      <c r="I1621" t="str">
        <v>NAD83(NSRS2007) / UTM zone 60N</v>
      </c>
      <c r="J1621" t="str">
        <v>United States (USA) - between 174°E and 180°E - Alaska and offshore continental shelf (OCS).</v>
      </c>
      <c r="K1621" s="11">
        <v>0</v>
      </c>
    </row>
    <row r="1622" spans="5:11" x14ac:dyDescent="0.35">
      <c r="E1622" s="9" t="str">
        <v>EPSG</v>
      </c>
      <c r="F1622" s="7" t="str">
        <v>3708</v>
      </c>
      <c r="G1622" t="str">
        <v>ProjectedCrs</v>
      </c>
      <c r="H1622" t="str">
        <v>Transverse Mercator</v>
      </c>
      <c r="I1622" t="str">
        <v>NAD83(NSRS2007) / UTM zone 1N</v>
      </c>
      <c r="J1622" t="str">
        <v>United States (USA) - between 180°W and 174°W - Alaska and offshore continental shelf (OCS).</v>
      </c>
      <c r="K1622" s="11">
        <v>0</v>
      </c>
    </row>
    <row r="1623" spans="5:11" x14ac:dyDescent="0.35">
      <c r="E1623" s="9" t="str">
        <v>EPSG</v>
      </c>
      <c r="F1623" s="7" t="str">
        <v>3709</v>
      </c>
      <c r="G1623" t="str">
        <v>ProjectedCrs</v>
      </c>
      <c r="H1623" t="str">
        <v>Transverse Mercator</v>
      </c>
      <c r="I1623" t="str">
        <v>NAD83(NSRS2007) / UTM zone 2N</v>
      </c>
      <c r="J1623" t="str">
        <v>United States (USA) - between 174°W and 168°W - Alaska and offshore continental shelf (OCS).</v>
      </c>
      <c r="K1623" s="11">
        <v>0</v>
      </c>
    </row>
    <row r="1624" spans="5:11" x14ac:dyDescent="0.35">
      <c r="E1624" s="9" t="str">
        <v>EPSG</v>
      </c>
      <c r="F1624" s="7" t="str">
        <v>3710</v>
      </c>
      <c r="G1624" t="str">
        <v>ProjectedCrs</v>
      </c>
      <c r="H1624" t="str">
        <v>Transverse Mercator</v>
      </c>
      <c r="I1624" t="str">
        <v>NAD83(NSRS2007) / UTM zone 3N</v>
      </c>
      <c r="J1624" t="str">
        <v>United States (USA) - between 168°W and 162°W - Alaska and offshore continental shelf (OCS).</v>
      </c>
      <c r="K1624" s="11">
        <v>0</v>
      </c>
    </row>
    <row r="1625" spans="5:11" x14ac:dyDescent="0.35">
      <c r="E1625" s="9" t="str">
        <v>EPSG</v>
      </c>
      <c r="F1625" s="7" t="str">
        <v>3711</v>
      </c>
      <c r="G1625" t="str">
        <v>ProjectedCrs</v>
      </c>
      <c r="H1625" t="str">
        <v>Transverse Mercator</v>
      </c>
      <c r="I1625" t="str">
        <v>NAD83(NSRS2007) / UTM zone 4N</v>
      </c>
      <c r="J1625" t="str">
        <v>United States (USA) - between 162°W and 156°W - Alaska and offshore continental shelf (OCS).</v>
      </c>
      <c r="K1625" s="11">
        <v>0</v>
      </c>
    </row>
    <row r="1626" spans="5:11" x14ac:dyDescent="0.35">
      <c r="E1626" s="9" t="str">
        <v>EPSG</v>
      </c>
      <c r="F1626" s="7" t="str">
        <v>3712</v>
      </c>
      <c r="G1626" t="str">
        <v>ProjectedCrs</v>
      </c>
      <c r="H1626" t="str">
        <v>Transverse Mercator</v>
      </c>
      <c r="I1626" t="str">
        <v>NAD83(NSRS2007) / UTM zone 5N</v>
      </c>
      <c r="J1626" t="str">
        <v>United States (USA) - between 156°W and 150°W - Alaska and offshore continental shelf (OCS).</v>
      </c>
      <c r="K1626" s="11">
        <v>0</v>
      </c>
    </row>
    <row r="1627" spans="5:11" x14ac:dyDescent="0.35">
      <c r="E1627" s="9" t="str">
        <v>EPSG</v>
      </c>
      <c r="F1627" s="7" t="str">
        <v>3713</v>
      </c>
      <c r="G1627" t="str">
        <v>ProjectedCrs</v>
      </c>
      <c r="H1627" t="str">
        <v>Transverse Mercator</v>
      </c>
      <c r="I1627" t="str">
        <v>NAD83(NSRS2007) / UTM zone 6N</v>
      </c>
      <c r="J1627" t="str">
        <v>United States (USA) - between 150°W and 144°W - Alaska and offshore continental shelf (OCS).</v>
      </c>
      <c r="K1627" s="11">
        <v>0</v>
      </c>
    </row>
    <row r="1628" spans="5:11" x14ac:dyDescent="0.35">
      <c r="E1628" s="9" t="str">
        <v>EPSG</v>
      </c>
      <c r="F1628" s="7" t="str">
        <v>3714</v>
      </c>
      <c r="G1628" t="str">
        <v>ProjectedCrs</v>
      </c>
      <c r="H1628" t="str">
        <v>Transverse Mercator</v>
      </c>
      <c r="I1628" t="str">
        <v>NAD83(NSRS2007) / UTM zone 7N</v>
      </c>
      <c r="J1628" t="str">
        <v>United States (USA) - between 144°W and 138°W onshore and offshore - Alaska.</v>
      </c>
      <c r="K1628" s="11">
        <v>0</v>
      </c>
    </row>
    <row r="1629" spans="5:11" x14ac:dyDescent="0.35">
      <c r="E1629" s="9" t="str">
        <v>EPSG</v>
      </c>
      <c r="F1629" s="7" t="str">
        <v>3715</v>
      </c>
      <c r="G1629" t="str">
        <v>ProjectedCrs</v>
      </c>
      <c r="H1629" t="str">
        <v>Transverse Mercator</v>
      </c>
      <c r="I1629" t="str">
        <v>NAD83(NSRS2007) / UTM zone 8N</v>
      </c>
      <c r="J1629" t="str">
        <v>United States (USA) - between 138°W and 132°W onshore and offshore - Alaska.</v>
      </c>
      <c r="K1629" s="11">
        <v>0</v>
      </c>
    </row>
    <row r="1630" spans="5:11" x14ac:dyDescent="0.35">
      <c r="E1630" s="9" t="str">
        <v>EPSG</v>
      </c>
      <c r="F1630" s="7" t="str">
        <v>3716</v>
      </c>
      <c r="G1630" t="str">
        <v>ProjectedCrs</v>
      </c>
      <c r="H1630" t="str">
        <v>Transverse Mercator</v>
      </c>
      <c r="I1630" t="str">
        <v>NAD83(NSRS2007) / UTM zone 9N</v>
      </c>
      <c r="J1630" t="str">
        <v>United States (USA) - between 132°W and 126°W onshore and offshore - Alaska.</v>
      </c>
      <c r="K1630" s="11">
        <v>0</v>
      </c>
    </row>
    <row r="1631" spans="5:11" x14ac:dyDescent="0.35">
      <c r="E1631" s="9" t="str">
        <v>EPSG</v>
      </c>
      <c r="F1631" s="7" t="str">
        <v>3717</v>
      </c>
      <c r="G1631" t="str">
        <v>ProjectedCrs</v>
      </c>
      <c r="H1631" t="str">
        <v>Transverse Mercator</v>
      </c>
      <c r="I1631" t="str">
        <v>NAD83(NSRS2007) / UTM zone 10N</v>
      </c>
      <c r="J1631" t="str">
        <v>United States (USA) - between 126°W and 120°W onshore and offshore - California; Oregon; Washington.</v>
      </c>
      <c r="K1631" s="11">
        <v>0</v>
      </c>
    </row>
    <row r="1632" spans="5:11" x14ac:dyDescent="0.35">
      <c r="E1632" s="9" t="str">
        <v>EPSG</v>
      </c>
      <c r="F1632" s="7" t="str">
        <v>3718</v>
      </c>
      <c r="G1632" t="str">
        <v>ProjectedCrs</v>
      </c>
      <c r="H1632" t="str">
        <v>Transverse Mercator</v>
      </c>
      <c r="I1632" t="str">
        <v>NAD83(NSRS2007) / UTM zone 11N</v>
      </c>
      <c r="J1632" t="str">
        <v>United States (USA) - between 120°W and 114°W onshore and offshore - California, Idaho, Nevada, Oregon, Washington.</v>
      </c>
      <c r="K1632" s="11">
        <v>0</v>
      </c>
    </row>
    <row r="1633" spans="5:11" x14ac:dyDescent="0.35">
      <c r="E1633" s="9" t="str">
        <v>EPSG</v>
      </c>
      <c r="F1633" s="7" t="str">
        <v>3719</v>
      </c>
      <c r="G1633" t="str">
        <v>ProjectedCrs</v>
      </c>
      <c r="H1633" t="str">
        <v>Transverse Mercator</v>
      </c>
      <c r="I1633" t="str">
        <v>NAD83(NSRS2007) / UTM zone 12N</v>
      </c>
      <c r="J1633" t="str">
        <v>United States (USA) - between 114°W and 108°W - Arizona; Colorado; Idaho; Montana; New Mexico; Utah; Wyoming.</v>
      </c>
      <c r="K1633" s="11">
        <v>0</v>
      </c>
    </row>
    <row r="1634" spans="5:11" x14ac:dyDescent="0.35">
      <c r="E1634" s="9" t="str">
        <v>EPSG</v>
      </c>
      <c r="F1634" s="7" t="str">
        <v>3720</v>
      </c>
      <c r="G1634" t="str">
        <v>ProjectedCrs</v>
      </c>
      <c r="H1634" t="str">
        <v>Transverse Mercator</v>
      </c>
      <c r="I1634" t="str">
        <v>NAD83(NSRS2007) / UTM zone 13N</v>
      </c>
      <c r="J1634" t="str">
        <v>United States (USA) - between 108°W and 102°W - Colorado; Montana; Nebraska; New Mexico; North Dakota; Oklahoma; South Dakota; Texas; Wyoming.</v>
      </c>
      <c r="K1634" s="11">
        <v>0</v>
      </c>
    </row>
    <row r="1635" spans="5:11" x14ac:dyDescent="0.35">
      <c r="E1635" s="9" t="str">
        <v>EPSG</v>
      </c>
      <c r="F1635" s="7" t="str">
        <v>3721</v>
      </c>
      <c r="G1635" t="str">
        <v>ProjectedCrs</v>
      </c>
      <c r="H1635" t="str">
        <v>Transverse Mercator</v>
      </c>
      <c r="I1635" t="str">
        <v>NAD83(NSRS2007) / UTM zone 14N</v>
      </c>
      <c r="J1635" t="str">
        <v>United States (USA) - between 102°W and 96°W onshore and offshore - Iowa; Kansas; Minnesota; Nebraska; North Dakota; Oklahoma; South Dakota; Texas.</v>
      </c>
      <c r="K1635" s="11">
        <v>0</v>
      </c>
    </row>
    <row r="1636" spans="5:11" x14ac:dyDescent="0.35">
      <c r="E1636" s="9" t="str">
        <v>EPSG</v>
      </c>
      <c r="F1636" s="7" t="str">
        <v>3722</v>
      </c>
      <c r="G1636" t="str">
        <v>ProjectedCrs</v>
      </c>
      <c r="H1636" t="str">
        <v>Transverse Mercator</v>
      </c>
      <c r="I1636" t="str">
        <v>NAD83(NSRS2007) / UTM zone 15N</v>
      </c>
      <c r="J1636" t="str">
        <v>United States (USA) - between 96°W and 90°W onshore and offshore - Arkansas; Illinois; Iowa; Kansas; Louisiana; Michigan; Minnesota; Mississippi; Missouri; Nebraska; Oklahoma; Tennessee; Texas; Wisconsin.</v>
      </c>
      <c r="K1636" s="11">
        <v>0</v>
      </c>
    </row>
    <row r="1637" spans="5:11" x14ac:dyDescent="0.35">
      <c r="E1637" s="9" t="str">
        <v>EPSG</v>
      </c>
      <c r="F1637" s="7" t="str">
        <v>3723</v>
      </c>
      <c r="G1637" t="str">
        <v>ProjectedCrs</v>
      </c>
      <c r="H1637" t="str">
        <v>Transverse Mercator</v>
      </c>
      <c r="I1637" t="str">
        <v>NAD83(NSRS2007) / UTM zone 16N</v>
      </c>
      <c r="J1637" t="str">
        <v>United States (USA) - between 90°W and 84°W onshore and offshore - Alabama; Arkansas; Florida; Georgia; Indiana; Illinois; Kentucky; Louisiana; Michigan; Minnesota; Mississippi; Missouri; North Carolina; Ohio; Tennessee; Wisconsin.</v>
      </c>
      <c r="K1637" s="11">
        <v>0</v>
      </c>
    </row>
    <row r="1638" spans="5:11" x14ac:dyDescent="0.35">
      <c r="E1638" s="9" t="str">
        <v>EPSG</v>
      </c>
      <c r="F1638" s="7" t="str">
        <v>3724</v>
      </c>
      <c r="G1638" t="str">
        <v>ProjectedCrs</v>
      </c>
      <c r="H1638" t="str">
        <v>Transverse Mercator</v>
      </c>
      <c r="I1638" t="str">
        <v>NAD83(NSRS2007) / UTM zone 17N</v>
      </c>
      <c r="J1638" t="str">
        <v>United States (USA) - between 84°W and 78°W onshore and offshore - Florida; Georgia; Kentucky; Maryland; Michigan; New York; North Carolina; Ohio; Pennsylvania; South Carolina; Tennessee; Virginia; West Virginia.</v>
      </c>
      <c r="K1638" s="11">
        <v>0</v>
      </c>
    </row>
    <row r="1639" spans="5:11" x14ac:dyDescent="0.35">
      <c r="E1639" s="9" t="str">
        <v>EPSG</v>
      </c>
      <c r="F1639" s="7" t="str">
        <v>3725</v>
      </c>
      <c r="G1639" t="str">
        <v>ProjectedCrs</v>
      </c>
      <c r="H1639" t="str">
        <v>Transverse Mercator</v>
      </c>
      <c r="I1639" t="str">
        <v>NAD83(NSRS2007) / UTM zone 18N</v>
      </c>
      <c r="J1639" t="str">
        <v>United States (USA) - between 78°W and 72°W onshore and offshore - Connecticut; Delaware; Maryland; Massachusetts; New Hampshire; New Jersey; New York; North Carolina; Pennsylvania; Virginia; Vermont.</v>
      </c>
      <c r="K1639" s="11">
        <v>0</v>
      </c>
    </row>
    <row r="1640" spans="5:11" x14ac:dyDescent="0.35">
      <c r="E1640" s="9" t="str">
        <v>EPSG</v>
      </c>
      <c r="F1640" s="7" t="str">
        <v>3726</v>
      </c>
      <c r="G1640" t="str">
        <v>ProjectedCrs</v>
      </c>
      <c r="H1640" t="str">
        <v>Transverse Mercator</v>
      </c>
      <c r="I1640" t="str">
        <v>NAD83(NSRS2007) / UTM zone 19N</v>
      </c>
      <c r="J1640" t="str">
        <v>United States (USA) - between 72°W and 66°W onshore and offshore - Connecticut; Maine; Massachusetts; New Hampshire; New York (Long Island); Rhode Island; Vermont.</v>
      </c>
      <c r="K1640" s="11">
        <v>0</v>
      </c>
    </row>
    <row r="1641" spans="5:11" x14ac:dyDescent="0.35">
      <c r="E1641" s="9" t="str">
        <v>EPSG</v>
      </c>
      <c r="F1641" s="7" t="str">
        <v>3727</v>
      </c>
      <c r="G1641" t="str">
        <v>ProjectedCrs</v>
      </c>
      <c r="H1641" t="str">
        <v>Transverse Mercator</v>
      </c>
      <c r="I1641" t="str">
        <v>Reunion 1947 / TM Reunion</v>
      </c>
      <c r="J1641" t="str">
        <v>Reunion - onshore.</v>
      </c>
      <c r="K1641" s="11">
        <v>0</v>
      </c>
    </row>
    <row r="1642" spans="5:11" x14ac:dyDescent="0.35">
      <c r="E1642" s="9" t="str">
        <v>EPSG</v>
      </c>
      <c r="F1642" s="7" t="str">
        <v>3728</v>
      </c>
      <c r="G1642" t="str">
        <v>ProjectedCrs</v>
      </c>
      <c r="H1642" t="str">
        <v>Lambert Conic Conformal (2SP)</v>
      </c>
      <c r="I1642" t="str">
        <v>NAD83(NSRS2007) / Ohio North (ftUS)</v>
      </c>
      <c r="J1642"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1642" s="11">
        <v>0</v>
      </c>
    </row>
    <row r="1643" spans="5:11" x14ac:dyDescent="0.35">
      <c r="E1643" s="9" t="str">
        <v>EPSG</v>
      </c>
      <c r="F1643" s="7" t="str">
        <v>3729</v>
      </c>
      <c r="G1643" t="str">
        <v>ProjectedCrs</v>
      </c>
      <c r="H1643" t="str">
        <v>Lambert Conic Conformal (2SP)</v>
      </c>
      <c r="I1643" t="str">
        <v>NAD83(NSRS2007) / Ohio South (ftUS)</v>
      </c>
      <c r="J1643"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1643" s="11">
        <v>0</v>
      </c>
    </row>
    <row r="1644" spans="5:11" x14ac:dyDescent="0.35">
      <c r="E1644" s="9" t="str">
        <v>EPSG</v>
      </c>
      <c r="F1644" s="7" t="str">
        <v>3730</v>
      </c>
      <c r="G1644" t="str">
        <v>ProjectedCrs</v>
      </c>
      <c r="H1644" t="str">
        <v>Transverse Mercator</v>
      </c>
      <c r="I1644" t="str">
        <v>NAD83(NSRS2007) / Wyoming East (ftUS)</v>
      </c>
      <c r="J1644" t="str">
        <v>United States (USA) - Wyoming - counties of Albany; Campbell; Converse; Crook; Goshen; Laramie; Niobrara; Platte; Weston.</v>
      </c>
      <c r="K1644" s="11">
        <v>0</v>
      </c>
    </row>
    <row r="1645" spans="5:11" x14ac:dyDescent="0.35">
      <c r="E1645" s="9" t="str">
        <v>EPSG</v>
      </c>
      <c r="F1645" s="7" t="str">
        <v>3731</v>
      </c>
      <c r="G1645" t="str">
        <v>ProjectedCrs</v>
      </c>
      <c r="H1645" t="str">
        <v>Transverse Mercator</v>
      </c>
      <c r="I1645" t="str">
        <v>NAD83(NSRS2007) / Wyoming East Central (ftUS)</v>
      </c>
      <c r="J1645" t="str">
        <v>United States (USA) - Wyoming - counties of Big Horn; Carbon; Johnson; Natrona; Sheridan; Washakie.</v>
      </c>
      <c r="K1645" s="11">
        <v>0</v>
      </c>
    </row>
    <row r="1646" spans="5:11" x14ac:dyDescent="0.35">
      <c r="E1646" s="9" t="str">
        <v>EPSG</v>
      </c>
      <c r="F1646" s="7" t="str">
        <v>3732</v>
      </c>
      <c r="G1646" t="str">
        <v>ProjectedCrs</v>
      </c>
      <c r="H1646" t="str">
        <v>Transverse Mercator</v>
      </c>
      <c r="I1646" t="str">
        <v>NAD83(NSRS2007) / Wyoming West Central (ftUS)</v>
      </c>
      <c r="J1646" t="str">
        <v>United States (USA) - Wyoming - counties of Fremont; Hot Springs; Park; Sweetwater.</v>
      </c>
      <c r="K1646" s="11">
        <v>0</v>
      </c>
    </row>
    <row r="1647" spans="5:11" x14ac:dyDescent="0.35">
      <c r="E1647" s="9" t="str">
        <v>EPSG</v>
      </c>
      <c r="F1647" s="7" t="str">
        <v>3733</v>
      </c>
      <c r="G1647" t="str">
        <v>ProjectedCrs</v>
      </c>
      <c r="H1647" t="str">
        <v>Transverse Mercator</v>
      </c>
      <c r="I1647" t="str">
        <v>NAD83(NSRS2007) / Wyoming West (ftUS)</v>
      </c>
      <c r="J1647" t="str">
        <v>United States (USA) - Wyoming - counties of Lincoln; Sublette; Teton; Uinta.</v>
      </c>
      <c r="K1647" s="11">
        <v>0</v>
      </c>
    </row>
    <row r="1648" spans="5:11" x14ac:dyDescent="0.35">
      <c r="E1648" s="9" t="str">
        <v>EPSG</v>
      </c>
      <c r="F1648" s="7" t="str">
        <v>3734</v>
      </c>
      <c r="G1648" t="str">
        <v>ProjectedCrs</v>
      </c>
      <c r="H1648" t="str">
        <v>Lambert Conic Conformal (2SP)</v>
      </c>
      <c r="I1648" t="str">
        <v>NAD83 / Ohio North (ftUS)</v>
      </c>
      <c r="J1648"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1648" s="11">
        <v>0</v>
      </c>
    </row>
    <row r="1649" spans="5:11" x14ac:dyDescent="0.35">
      <c r="E1649" s="9" t="str">
        <v>EPSG</v>
      </c>
      <c r="F1649" s="7" t="str">
        <v>3735</v>
      </c>
      <c r="G1649" t="str">
        <v>ProjectedCrs</v>
      </c>
      <c r="H1649" t="str">
        <v>Lambert Conic Conformal (2SP)</v>
      </c>
      <c r="I1649" t="str">
        <v>NAD83 / Ohio South (ftUS)</v>
      </c>
      <c r="J1649"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1649" s="11">
        <v>0</v>
      </c>
    </row>
    <row r="1650" spans="5:11" x14ac:dyDescent="0.35">
      <c r="E1650" s="9" t="str">
        <v>EPSG</v>
      </c>
      <c r="F1650" s="7" t="str">
        <v>3736</v>
      </c>
      <c r="G1650" t="str">
        <v>ProjectedCrs</v>
      </c>
      <c r="H1650" t="str">
        <v>Transverse Mercator</v>
      </c>
      <c r="I1650" t="str">
        <v>NAD83 / Wyoming East (ftUS)</v>
      </c>
      <c r="J1650" t="str">
        <v>United States (USA) - Wyoming - counties of Albany; Campbell; Converse; Crook; Goshen; Laramie; Niobrara; Platte; Weston.</v>
      </c>
      <c r="K1650" s="11">
        <v>0</v>
      </c>
    </row>
    <row r="1651" spans="5:11" x14ac:dyDescent="0.35">
      <c r="E1651" s="9" t="str">
        <v>EPSG</v>
      </c>
      <c r="F1651" s="7" t="str">
        <v>3737</v>
      </c>
      <c r="G1651" t="str">
        <v>ProjectedCrs</v>
      </c>
      <c r="H1651" t="str">
        <v>Transverse Mercator</v>
      </c>
      <c r="I1651" t="str">
        <v>NAD83 / Wyoming East Central (ftUS)</v>
      </c>
      <c r="J1651" t="str">
        <v>United States (USA) - Wyoming - counties of Big Horn; Carbon; Johnson; Natrona; Sheridan; Washakie.</v>
      </c>
      <c r="K1651" s="11">
        <v>0</v>
      </c>
    </row>
    <row r="1652" spans="5:11" x14ac:dyDescent="0.35">
      <c r="E1652" s="9" t="str">
        <v>EPSG</v>
      </c>
      <c r="F1652" s="7" t="str">
        <v>3738</v>
      </c>
      <c r="G1652" t="str">
        <v>ProjectedCrs</v>
      </c>
      <c r="H1652" t="str">
        <v>Transverse Mercator</v>
      </c>
      <c r="I1652" t="str">
        <v>NAD83 / Wyoming West Central (ftUS)</v>
      </c>
      <c r="J1652" t="str">
        <v>United States (USA) - Wyoming - counties of Fremont; Hot Springs; Park; Sweetwater.</v>
      </c>
      <c r="K1652" s="11">
        <v>0</v>
      </c>
    </row>
    <row r="1653" spans="5:11" x14ac:dyDescent="0.35">
      <c r="E1653" s="9" t="str">
        <v>EPSG</v>
      </c>
      <c r="F1653" s="7" t="str">
        <v>3739</v>
      </c>
      <c r="G1653" t="str">
        <v>ProjectedCrs</v>
      </c>
      <c r="H1653" t="str">
        <v>Transverse Mercator</v>
      </c>
      <c r="I1653" t="str">
        <v>NAD83 / Wyoming West (ftUS)</v>
      </c>
      <c r="J1653" t="str">
        <v>United States (USA) - Wyoming - counties of Lincoln; Sublette; Teton; Uinta.</v>
      </c>
      <c r="K1653" s="11">
        <v>0</v>
      </c>
    </row>
    <row r="1654" spans="5:11" x14ac:dyDescent="0.35">
      <c r="E1654" s="9" t="str">
        <v>EPSG</v>
      </c>
      <c r="F1654" s="7" t="str">
        <v>3740</v>
      </c>
      <c r="G1654" t="str">
        <v>ProjectedCrs</v>
      </c>
      <c r="H1654" t="str">
        <v>Transverse Mercator</v>
      </c>
      <c r="I1654" t="str">
        <v>NAD83(HARN) / UTM zone 10N</v>
      </c>
      <c r="J1654" t="str">
        <v>United States (USA) - between 126°W and 120°W - onshore - California; Oregon; Washington.</v>
      </c>
      <c r="K1654" s="11">
        <v>0</v>
      </c>
    </row>
    <row r="1655" spans="5:11" x14ac:dyDescent="0.35">
      <c r="E1655" s="9" t="str">
        <v>EPSG</v>
      </c>
      <c r="F1655" s="7" t="str">
        <v>3741</v>
      </c>
      <c r="G1655" t="str">
        <v>ProjectedCrs</v>
      </c>
      <c r="H1655" t="str">
        <v>Transverse Mercator</v>
      </c>
      <c r="I1655" t="str">
        <v>NAD83(HARN) / UTM zone 11N</v>
      </c>
      <c r="J1655" t="str">
        <v>United States (USA) - between 120°W and 114°W - onshore - Arizona; California; Idaho; Montana; Nevada; Oregon; Utah; Washington.</v>
      </c>
      <c r="K1655" s="11">
        <v>0</v>
      </c>
    </row>
    <row r="1656" spans="5:11" x14ac:dyDescent="0.35">
      <c r="E1656" s="9" t="str">
        <v>EPSG</v>
      </c>
      <c r="F1656" s="7" t="str">
        <v>3742</v>
      </c>
      <c r="G1656" t="str">
        <v>ProjectedCrs</v>
      </c>
      <c r="H1656" t="str">
        <v>Transverse Mercator</v>
      </c>
      <c r="I1656" t="str">
        <v>NAD83(HARN) / UTM zone 12N</v>
      </c>
      <c r="J1656" t="str">
        <v>United States (USA) - between 114°W and 108°W - Arizona; Colorado; Idaho; Montana; New Mexico; Utah; Wyoming.</v>
      </c>
      <c r="K1656" s="11">
        <v>0</v>
      </c>
    </row>
    <row r="1657" spans="5:11" x14ac:dyDescent="0.35">
      <c r="E1657" s="9" t="str">
        <v>EPSG</v>
      </c>
      <c r="F1657" s="7" t="str">
        <v>3743</v>
      </c>
      <c r="G1657" t="str">
        <v>ProjectedCrs</v>
      </c>
      <c r="H1657" t="str">
        <v>Transverse Mercator</v>
      </c>
      <c r="I1657" t="str">
        <v>NAD83(HARN) / UTM zone 13N</v>
      </c>
      <c r="J1657" t="str">
        <v>United States (USA) - between 108°W and 102°W - Colorado; Montana; Nebraska; New Mexico; North Dakota; Oklahoma; South Dakota; Texas; Wyoming.</v>
      </c>
      <c r="K1657" s="11">
        <v>0</v>
      </c>
    </row>
    <row r="1658" spans="5:11" x14ac:dyDescent="0.35">
      <c r="E1658" s="9" t="str">
        <v>EPSG</v>
      </c>
      <c r="F1658" s="7" t="str">
        <v>3744</v>
      </c>
      <c r="G1658" t="str">
        <v>ProjectedCrs</v>
      </c>
      <c r="H1658" t="str">
        <v>Transverse Mercator</v>
      </c>
      <c r="I1658" t="str">
        <v>NAD83(HARN) / UTM zone 14N</v>
      </c>
      <c r="J1658" t="str">
        <v>United States (USA) - between 102°W and 96°W - onshore - Iowa; Kansas; Minnesota; Nebraska; North Dakota; Oklahoma; South Dakota; Texas.</v>
      </c>
      <c r="K1658" s="11">
        <v>0</v>
      </c>
    </row>
    <row r="1659" spans="5:11" x14ac:dyDescent="0.35">
      <c r="E1659" s="9" t="str">
        <v>EPSG</v>
      </c>
      <c r="F1659" s="7" t="str">
        <v>3745</v>
      </c>
      <c r="G1659" t="str">
        <v>ProjectedCrs</v>
      </c>
      <c r="H1659" t="str">
        <v>Transverse Mercator</v>
      </c>
      <c r="I1659" t="str">
        <v>NAD83(HARN) / UTM zone 15N</v>
      </c>
      <c r="J1659" t="str">
        <v>United States (USA) - between 96°W and 90°W - onshore - Arkansas; Illinois; Iowa; Kansas; Louisiana; Michigan; Minnesota; Mississippi; Missouri; Nebraska; Oklahoma; Tennessee; Texas; Wisconsin.</v>
      </c>
      <c r="K1659" s="11">
        <v>0</v>
      </c>
    </row>
    <row r="1660" spans="5:11" x14ac:dyDescent="0.35">
      <c r="E1660" s="9" t="str">
        <v>EPSG</v>
      </c>
      <c r="F1660" s="7" t="str">
        <v>3746</v>
      </c>
      <c r="G1660" t="str">
        <v>ProjectedCrs</v>
      </c>
      <c r="H1660" t="str">
        <v>Transverse Mercator</v>
      </c>
      <c r="I1660" t="str">
        <v>NAD83(HARN) / UTM zone 16N</v>
      </c>
      <c r="J1660" t="str">
        <v>United States (USA) - between 90°W and 84°W - onshore - Alabama; Arkansas; Florida; Georgia; Indiana; Illinois; Kentucky; Louisiana; Michigan; Minnesota; Mississippi; Missouri; North Carolina; Ohio; Tennessee; Wisconsin.</v>
      </c>
      <c r="K1660" s="11">
        <v>0</v>
      </c>
    </row>
    <row r="1661" spans="5:11" x14ac:dyDescent="0.35">
      <c r="E1661" s="9" t="str">
        <v>EPSG</v>
      </c>
      <c r="F1661" s="7" t="str">
        <v>3747</v>
      </c>
      <c r="G1661" t="str">
        <v>ProjectedCrs</v>
      </c>
      <c r="H1661" t="str">
        <v>Transverse Mercator</v>
      </c>
      <c r="I1661" t="str">
        <v>NAD83(HARN) / UTM zone 17N</v>
      </c>
      <c r="J1661" t="str">
        <v>United States (USA) - between 84°W and 78°W - onshore - Florida; Georgia; Maryland; Michigan; New York; North Carolina; Ohio; Pennsylvania; South Carolina; Tennessee; Virginia; West Virginia.</v>
      </c>
      <c r="K1661" s="11">
        <v>0</v>
      </c>
    </row>
    <row r="1662" spans="5:11" x14ac:dyDescent="0.35">
      <c r="E1662" s="9" t="str">
        <v>EPSG</v>
      </c>
      <c r="F1662" s="7" t="str">
        <v>3748</v>
      </c>
      <c r="G1662" t="str">
        <v>ProjectedCrs</v>
      </c>
      <c r="H1662" t="str">
        <v>Transverse Mercator</v>
      </c>
      <c r="I1662" t="str">
        <v>NAD83(HARN) / UTM zone 18N</v>
      </c>
      <c r="J1662" t="str">
        <v>United States (USA) - between 78°W and 72°W - onshore - Connecticut; Delaware; Maryland; Massachusetts; New Hampshire; New Jersey; New York; North Carolina; Pennsylvania; Virginia; Vermont.</v>
      </c>
      <c r="K1662" s="11">
        <v>0</v>
      </c>
    </row>
    <row r="1663" spans="5:11" x14ac:dyDescent="0.35">
      <c r="E1663" s="9" t="str">
        <v>EPSG</v>
      </c>
      <c r="F1663" s="7" t="str">
        <v>3749</v>
      </c>
      <c r="G1663" t="str">
        <v>ProjectedCrs</v>
      </c>
      <c r="H1663" t="str">
        <v>Transverse Mercator</v>
      </c>
      <c r="I1663" t="str">
        <v>NAD83(HARN) / UTM zone 19N</v>
      </c>
      <c r="J1663" t="str">
        <v>United States (USA) - between 72°W and 66°W - onshore - Connecticut; Maine; Massachusetts; New Hampshire; New York (Long Island); Rhode Island; Vermont.</v>
      </c>
      <c r="K1663" s="11">
        <v>0</v>
      </c>
    </row>
    <row r="1664" spans="5:11" x14ac:dyDescent="0.35">
      <c r="E1664" s="9" t="str">
        <v>EPSG</v>
      </c>
      <c r="F1664" s="7" t="str">
        <v>3750</v>
      </c>
      <c r="G1664" t="str">
        <v>ProjectedCrs</v>
      </c>
      <c r="H1664" t="str">
        <v>Transverse Mercator</v>
      </c>
      <c r="I1664" t="str">
        <v>NAD83(HARN) / UTM zone 4N</v>
      </c>
      <c r="J1664" t="str">
        <v>United States (USA) - between 162°W and 156°W onshore - Hawaii.</v>
      </c>
      <c r="K1664" s="11">
        <v>0</v>
      </c>
    </row>
    <row r="1665" spans="5:11" x14ac:dyDescent="0.35">
      <c r="E1665" s="9" t="str">
        <v>EPSG</v>
      </c>
      <c r="F1665" s="7" t="str">
        <v>3751</v>
      </c>
      <c r="G1665" t="str">
        <v>ProjectedCrs</v>
      </c>
      <c r="H1665" t="str">
        <v>Transverse Mercator</v>
      </c>
      <c r="I1665" t="str">
        <v>NAD83(HARN) / UTM zone 5N</v>
      </c>
      <c r="J1665" t="str">
        <v>United States (USA) - between 156°W and 150°W onshore - Hawaii.</v>
      </c>
      <c r="K1665" s="11">
        <v>0</v>
      </c>
    </row>
    <row r="1666" spans="5:11" x14ac:dyDescent="0.35">
      <c r="E1666" s="9" t="str">
        <v>EPSG</v>
      </c>
      <c r="F1666" s="7" t="str">
        <v>3753</v>
      </c>
      <c r="G1666" t="str">
        <v>ProjectedCrs</v>
      </c>
      <c r="H1666" t="str">
        <v>Lambert Conic Conformal (2SP)</v>
      </c>
      <c r="I1666" t="str">
        <v>NAD83(HARN) / Ohio North (ftUS)</v>
      </c>
      <c r="J1666"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1666" s="11">
        <v>0</v>
      </c>
    </row>
    <row r="1667" spans="5:11" x14ac:dyDescent="0.35">
      <c r="E1667" s="9" t="str">
        <v>EPSG</v>
      </c>
      <c r="F1667" s="7" t="str">
        <v>3754</v>
      </c>
      <c r="G1667" t="str">
        <v>ProjectedCrs</v>
      </c>
      <c r="H1667" t="str">
        <v>Lambert Conic Conformal (2SP)</v>
      </c>
      <c r="I1667" t="str">
        <v>NAD83(HARN) / Ohio South (ftUS)</v>
      </c>
      <c r="J1667"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1667" s="11">
        <v>0</v>
      </c>
    </row>
    <row r="1668" spans="5:11" x14ac:dyDescent="0.35">
      <c r="E1668" s="9" t="str">
        <v>EPSG</v>
      </c>
      <c r="F1668" s="7" t="str">
        <v>3755</v>
      </c>
      <c r="G1668" t="str">
        <v>ProjectedCrs</v>
      </c>
      <c r="H1668" t="str">
        <v>Transverse Mercator</v>
      </c>
      <c r="I1668" t="str">
        <v>NAD83(HARN) / Wyoming East (ftUS)</v>
      </c>
      <c r="J1668" t="str">
        <v>United States (USA) - Wyoming - counties of Albany; Campbell; Converse; Crook; Goshen; Laramie; Niobrara; Platte; Weston.</v>
      </c>
      <c r="K1668" s="11">
        <v>0</v>
      </c>
    </row>
    <row r="1669" spans="5:11" x14ac:dyDescent="0.35">
      <c r="E1669" s="9" t="str">
        <v>EPSG</v>
      </c>
      <c r="F1669" s="7" t="str">
        <v>3756</v>
      </c>
      <c r="G1669" t="str">
        <v>ProjectedCrs</v>
      </c>
      <c r="H1669" t="str">
        <v>Transverse Mercator</v>
      </c>
      <c r="I1669" t="str">
        <v>NAD83(HARN) / Wyoming East Central (ftUS)</v>
      </c>
      <c r="J1669" t="str">
        <v>United States (USA) - Wyoming - counties of Big Horn; Carbon; Johnson; Natrona; Sheridan; Washakie.</v>
      </c>
      <c r="K1669" s="11">
        <v>0</v>
      </c>
    </row>
    <row r="1670" spans="5:11" x14ac:dyDescent="0.35">
      <c r="E1670" s="9" t="str">
        <v>EPSG</v>
      </c>
      <c r="F1670" s="7" t="str">
        <v>3757</v>
      </c>
      <c r="G1670" t="str">
        <v>ProjectedCrs</v>
      </c>
      <c r="H1670" t="str">
        <v>Transverse Mercator</v>
      </c>
      <c r="I1670" t="str">
        <v>NAD83(HARN) / Wyoming West Central (ftUS)</v>
      </c>
      <c r="J1670" t="str">
        <v>United States (USA) - Wyoming - counties of Fremont; Hot Springs; Park; Sweetwater.</v>
      </c>
      <c r="K1670" s="11">
        <v>0</v>
      </c>
    </row>
    <row r="1671" spans="5:11" x14ac:dyDescent="0.35">
      <c r="E1671" s="9" t="str">
        <v>EPSG</v>
      </c>
      <c r="F1671" s="7" t="str">
        <v>3758</v>
      </c>
      <c r="G1671" t="str">
        <v>ProjectedCrs</v>
      </c>
      <c r="H1671" t="str">
        <v>Transverse Mercator</v>
      </c>
      <c r="I1671" t="str">
        <v>NAD83(HARN) / Wyoming West (ftUS)</v>
      </c>
      <c r="J1671" t="str">
        <v>United States (USA) - Wyoming - counties of Lincoln; Sublette; Teton; Uinta.</v>
      </c>
      <c r="K1671" s="11">
        <v>0</v>
      </c>
    </row>
    <row r="1672" spans="5:11" x14ac:dyDescent="0.35">
      <c r="E1672" s="9" t="str">
        <v>EPSG</v>
      </c>
      <c r="F1672" s="7" t="str">
        <v>3759</v>
      </c>
      <c r="G1672" t="str">
        <v>ProjectedCrs</v>
      </c>
      <c r="H1672" t="str">
        <v>Transverse Mercator</v>
      </c>
      <c r="I1672" t="str">
        <v>NAD83 / Hawaii zone 3 (ftUS)</v>
      </c>
      <c r="J1672" t="str">
        <v>United States (USA) - Hawaii - Oahu - onshore.</v>
      </c>
      <c r="K1672" s="11">
        <v>0</v>
      </c>
    </row>
    <row r="1673" spans="5:11" x14ac:dyDescent="0.35">
      <c r="E1673" s="9" t="str">
        <v>EPSG</v>
      </c>
      <c r="F1673" s="7" t="str">
        <v>3760</v>
      </c>
      <c r="G1673" t="str">
        <v>ProjectedCrs</v>
      </c>
      <c r="H1673" t="str">
        <v>Transverse Mercator</v>
      </c>
      <c r="I1673" t="str">
        <v>NAD83(HARN) / Hawaii zone 3 (ftUS)</v>
      </c>
      <c r="J1673" t="str">
        <v>United States (USA) - Hawaii - Oahu - onshore.</v>
      </c>
      <c r="K1673" s="11">
        <v>0</v>
      </c>
    </row>
    <row r="1674" spans="5:11" x14ac:dyDescent="0.35">
      <c r="E1674" s="9" t="str">
        <v>EPSG</v>
      </c>
      <c r="F1674" s="7" t="str">
        <v>3761</v>
      </c>
      <c r="G1674" t="str">
        <v>ProjectedCrs</v>
      </c>
      <c r="H1674" t="str">
        <v>Transverse Mercator</v>
      </c>
      <c r="I1674" t="str">
        <v>NAD83(CSRS) / UTM zone 22N</v>
      </c>
      <c r="J1674" t="str">
        <v>Canada between 54°W and 48°W onshore and offshore - Newfoundland and Labrador.</v>
      </c>
      <c r="K1674" s="11">
        <v>0</v>
      </c>
    </row>
    <row r="1675" spans="5:11" x14ac:dyDescent="0.35">
      <c r="E1675" s="9" t="str">
        <v>EPSG</v>
      </c>
      <c r="F1675" s="7" t="str">
        <v>3762</v>
      </c>
      <c r="G1675" t="str">
        <v>ProjectedCrs</v>
      </c>
      <c r="H1675" t="str">
        <v>Lambert Conic Conformal (2SP)</v>
      </c>
      <c r="I1675" t="str">
        <v>WGS 84 / South Georgia Lambert</v>
      </c>
      <c r="J1675" t="str">
        <v>South Georgia and the South Sandwich Islands - South Georgia onshore.</v>
      </c>
      <c r="K1675" s="11">
        <v>0</v>
      </c>
    </row>
    <row r="1676" spans="5:11" x14ac:dyDescent="0.35">
      <c r="E1676" s="9" t="str">
        <v>EPSG</v>
      </c>
      <c r="F1676" s="7" t="str">
        <v>3763</v>
      </c>
      <c r="G1676" t="str">
        <v>ProjectedCrs</v>
      </c>
      <c r="H1676" t="str">
        <v>Transverse Mercator</v>
      </c>
      <c r="I1676" t="str">
        <v>ETRS89 / Portugal TM06</v>
      </c>
      <c r="J1676" t="str">
        <v>Portugal - mainland - onshore.</v>
      </c>
      <c r="K1676" s="11">
        <v>0</v>
      </c>
    </row>
    <row r="1677" spans="5:11" x14ac:dyDescent="0.35">
      <c r="E1677" s="9" t="str">
        <v>EPSG</v>
      </c>
      <c r="F1677" s="7" t="str">
        <v>3764</v>
      </c>
      <c r="G1677" t="str">
        <v>ProjectedCrs</v>
      </c>
      <c r="H1677" t="str">
        <v>Transverse Mercator</v>
      </c>
      <c r="I1677" t="str">
        <v>NZGD2000 / Chatham Island Circuit 2000</v>
      </c>
      <c r="J1677" t="str">
        <v>New Zealand - Chatham Islands group - onshore.</v>
      </c>
      <c r="K1677" s="11">
        <v>0</v>
      </c>
    </row>
    <row r="1678" spans="5:11" x14ac:dyDescent="0.35">
      <c r="E1678" s="9" t="str">
        <v>EPSG</v>
      </c>
      <c r="F1678" s="7" t="str">
        <v>3765</v>
      </c>
      <c r="G1678" t="str">
        <v>ProjectedCrs</v>
      </c>
      <c r="H1678" t="str">
        <v>Transverse Mercator</v>
      </c>
      <c r="I1678" t="str">
        <v>HTRS96 / Croatia TM</v>
      </c>
      <c r="J1678" t="str">
        <v>Croatia - onshore.</v>
      </c>
      <c r="K1678" s="11">
        <v>0</v>
      </c>
    </row>
    <row r="1679" spans="5:11" x14ac:dyDescent="0.35">
      <c r="E1679" s="9" t="str">
        <v>EPSG</v>
      </c>
      <c r="F1679" s="7" t="str">
        <v>3766</v>
      </c>
      <c r="G1679" t="str">
        <v>ProjectedCrs</v>
      </c>
      <c r="H1679" t="str">
        <v>Lambert Conic Conformal (2SP)</v>
      </c>
      <c r="I1679" t="str">
        <v>HTRS96 / Croatia LCC</v>
      </c>
      <c r="J1679" t="str">
        <v>Croatia - onshore and offshore.</v>
      </c>
      <c r="K1679" s="11">
        <v>0</v>
      </c>
    </row>
    <row r="1680" spans="5:11" x14ac:dyDescent="0.35">
      <c r="E1680" s="9" t="str">
        <v>EPSG</v>
      </c>
      <c r="F1680" s="7" t="str">
        <v>3767</v>
      </c>
      <c r="G1680" t="str">
        <v>ProjectedCrs</v>
      </c>
      <c r="H1680" t="str">
        <v>Transverse Mercator</v>
      </c>
      <c r="I1680" t="str">
        <v>HTRS96 / UTM zone 33N</v>
      </c>
      <c r="J1680" t="str">
        <v>Croatia - west of 18°E, onshore and offshore.</v>
      </c>
      <c r="K1680" s="11">
        <v>0</v>
      </c>
    </row>
    <row r="1681" spans="5:11" x14ac:dyDescent="0.35">
      <c r="E1681" s="9" t="str">
        <v>EPSG</v>
      </c>
      <c r="F1681" s="7" t="str">
        <v>3768</v>
      </c>
      <c r="G1681" t="str">
        <v>ProjectedCrs</v>
      </c>
      <c r="H1681" t="str">
        <v>Transverse Mercator</v>
      </c>
      <c r="I1681" t="str">
        <v>HTRS96 / UTM zone 34N</v>
      </c>
      <c r="J1681" t="str">
        <v>Croatia - east of 18°E, onshore and offshore.</v>
      </c>
      <c r="K1681" s="11">
        <v>0</v>
      </c>
    </row>
    <row r="1682" spans="5:11" x14ac:dyDescent="0.35">
      <c r="E1682" s="9" t="str">
        <v>EPSG</v>
      </c>
      <c r="F1682" s="7" t="str">
        <v>3769</v>
      </c>
      <c r="G1682" t="str">
        <v>ProjectedCrs</v>
      </c>
      <c r="H1682" t="str">
        <v>Transverse Mercator</v>
      </c>
      <c r="I1682" t="str">
        <v>Bermuda 1957 / UTM zone 20N</v>
      </c>
      <c r="J1682" t="str">
        <v>Bermuda - onshore.</v>
      </c>
      <c r="K1682" s="11">
        <v>0</v>
      </c>
    </row>
    <row r="1683" spans="5:11" x14ac:dyDescent="0.35">
      <c r="E1683" s="9" t="str">
        <v>EPSG</v>
      </c>
      <c r="F1683" s="7" t="str">
        <v>3770</v>
      </c>
      <c r="G1683" t="str">
        <v>ProjectedCrs</v>
      </c>
      <c r="H1683" t="str">
        <v>Transverse Mercator</v>
      </c>
      <c r="I1683" t="str">
        <v>BDA2000 / Bermuda 2000 National Grid</v>
      </c>
      <c r="J1683" t="str">
        <v>Bermuda - onshore and offshore.</v>
      </c>
      <c r="K1683" s="11">
        <v>0</v>
      </c>
    </row>
    <row r="1684" spans="5:11" x14ac:dyDescent="0.35">
      <c r="E1684" s="9" t="str">
        <v>EPSG</v>
      </c>
      <c r="F1684" s="7" t="str">
        <v>3771</v>
      </c>
      <c r="G1684" t="str">
        <v>ProjectedCrs</v>
      </c>
      <c r="H1684" t="str">
        <v>Transverse Mercator</v>
      </c>
      <c r="I1684" t="str">
        <v>NAD27 / Alberta 3TM ref merid 111 W</v>
      </c>
      <c r="J1684" t="str">
        <v>Canada - Alberta - east of 112°30'W.</v>
      </c>
      <c r="K1684" s="11">
        <v>0</v>
      </c>
    </row>
    <row r="1685" spans="5:11" x14ac:dyDescent="0.35">
      <c r="E1685" s="9" t="str">
        <v>EPSG</v>
      </c>
      <c r="F1685" s="7" t="str">
        <v>3772</v>
      </c>
      <c r="G1685" t="str">
        <v>ProjectedCrs</v>
      </c>
      <c r="H1685" t="str">
        <v>Transverse Mercator</v>
      </c>
      <c r="I1685" t="str">
        <v>NAD27 / Alberta 3TM ref merid 114 W</v>
      </c>
      <c r="J1685" t="str">
        <v>Canada - Alberta - between 115°30'W and 112°30'W.</v>
      </c>
      <c r="K1685" s="11">
        <v>0</v>
      </c>
    </row>
    <row r="1686" spans="5:11" x14ac:dyDescent="0.35">
      <c r="E1686" s="9" t="str">
        <v>EPSG</v>
      </c>
      <c r="F1686" s="7" t="str">
        <v>3773</v>
      </c>
      <c r="G1686" t="str">
        <v>ProjectedCrs</v>
      </c>
      <c r="H1686" t="str">
        <v>Transverse Mercator</v>
      </c>
      <c r="I1686" t="str">
        <v>NAD27 / Alberta 3TM ref merid 117 W</v>
      </c>
      <c r="J1686" t="str">
        <v>Canada - Alberta - between 118°30'W and 115°30' W.</v>
      </c>
      <c r="K1686" s="11">
        <v>0</v>
      </c>
    </row>
    <row r="1687" spans="5:11" x14ac:dyDescent="0.35">
      <c r="E1687" s="9" t="str">
        <v>EPSG</v>
      </c>
      <c r="F1687" s="7" t="str">
        <v>3775</v>
      </c>
      <c r="G1687" t="str">
        <v>ProjectedCrs</v>
      </c>
      <c r="H1687" t="str">
        <v>Transverse Mercator</v>
      </c>
      <c r="I1687" t="str">
        <v>NAD83 / Alberta 3TM ref merid 111 W</v>
      </c>
      <c r="J1687" t="str">
        <v>Canada - Alberta - east of 112°30'W.</v>
      </c>
      <c r="K1687" s="11">
        <v>0</v>
      </c>
    </row>
    <row r="1688" spans="5:11" x14ac:dyDescent="0.35">
      <c r="E1688" s="9" t="str">
        <v>EPSG</v>
      </c>
      <c r="F1688" s="7" t="str">
        <v>3776</v>
      </c>
      <c r="G1688" t="str">
        <v>ProjectedCrs</v>
      </c>
      <c r="H1688" t="str">
        <v>Transverse Mercator</v>
      </c>
      <c r="I1688" t="str">
        <v>NAD83 / Alberta 3TM ref merid 114 W</v>
      </c>
      <c r="J1688" t="str">
        <v>Canada - Alberta - between 115°30'W and 112°30'W.</v>
      </c>
      <c r="K1688" s="11">
        <v>0</v>
      </c>
    </row>
    <row r="1689" spans="5:11" x14ac:dyDescent="0.35">
      <c r="E1689" s="9" t="str">
        <v>EPSG</v>
      </c>
      <c r="F1689" s="7" t="str">
        <v>3777</v>
      </c>
      <c r="G1689" t="str">
        <v>ProjectedCrs</v>
      </c>
      <c r="H1689" t="str">
        <v>Transverse Mercator</v>
      </c>
      <c r="I1689" t="str">
        <v>NAD83 / Alberta 3TM ref merid 117 W</v>
      </c>
      <c r="J1689" t="str">
        <v>Canada - Alberta - between 118°30'W and 115°30' W.</v>
      </c>
      <c r="K1689" s="11">
        <v>0</v>
      </c>
    </row>
    <row r="1690" spans="5:11" x14ac:dyDescent="0.35">
      <c r="E1690" s="9" t="str">
        <v>EPSG</v>
      </c>
      <c r="F1690" s="7" t="str">
        <v>3779</v>
      </c>
      <c r="G1690" t="str">
        <v>ProjectedCrs</v>
      </c>
      <c r="H1690" t="str">
        <v>Transverse Mercator</v>
      </c>
      <c r="I1690" t="str">
        <v>NAD83(CSRS) / Alberta 3TM ref merid 111 W</v>
      </c>
      <c r="J1690" t="str">
        <v>Canada - Alberta - east of 112°30'W.</v>
      </c>
      <c r="K1690" s="11">
        <v>0</v>
      </c>
    </row>
    <row r="1691" spans="5:11" x14ac:dyDescent="0.35">
      <c r="E1691" s="9" t="str">
        <v>EPSG</v>
      </c>
      <c r="F1691" s="7" t="str">
        <v>3780</v>
      </c>
      <c r="G1691" t="str">
        <v>ProjectedCrs</v>
      </c>
      <c r="H1691" t="str">
        <v>Transverse Mercator</v>
      </c>
      <c r="I1691" t="str">
        <v>NAD83(CSRS) / Alberta 3TM ref merid 114 W</v>
      </c>
      <c r="J1691" t="str">
        <v>Canada - Alberta - between 115°30'W and 112°30'W.</v>
      </c>
      <c r="K1691" s="11">
        <v>0</v>
      </c>
    </row>
    <row r="1692" spans="5:11" x14ac:dyDescent="0.35">
      <c r="E1692" s="9" t="str">
        <v>EPSG</v>
      </c>
      <c r="F1692" s="7" t="str">
        <v>3781</v>
      </c>
      <c r="G1692" t="str">
        <v>ProjectedCrs</v>
      </c>
      <c r="H1692" t="str">
        <v>Transverse Mercator</v>
      </c>
      <c r="I1692" t="str">
        <v>NAD83(CSRS) / Alberta 3TM ref merid 117 W</v>
      </c>
      <c r="J1692" t="str">
        <v>Canada - Alberta - between 118°30'W and 115°30' W.</v>
      </c>
      <c r="K1692" s="11">
        <v>0</v>
      </c>
    </row>
    <row r="1693" spans="5:11" x14ac:dyDescent="0.35">
      <c r="E1693" s="9" t="str">
        <v>EPSG</v>
      </c>
      <c r="F1693" s="7" t="str">
        <v>3783</v>
      </c>
      <c r="G1693" t="str">
        <v>ProjectedCrs</v>
      </c>
      <c r="H1693" t="str">
        <v>Transverse Mercator</v>
      </c>
      <c r="I1693" t="str">
        <v>Pitcairn 2006 / Pitcairn TM 2006</v>
      </c>
      <c r="J1693" t="str">
        <v>Pitcairn - Pitcairn Island.</v>
      </c>
      <c r="K1693" s="11">
        <v>0</v>
      </c>
    </row>
    <row r="1694" spans="5:11" x14ac:dyDescent="0.35">
      <c r="E1694" s="9" t="str">
        <v>EPSG</v>
      </c>
      <c r="F1694" s="7" t="str">
        <v>3784</v>
      </c>
      <c r="G1694" t="str">
        <v>ProjectedCrs</v>
      </c>
      <c r="H1694" t="str">
        <v>Transverse Mercator</v>
      </c>
      <c r="I1694" t="str">
        <v>Pitcairn 1967 / UTM zone 9S</v>
      </c>
      <c r="J1694" t="str">
        <v>Pitcairn - Pitcairn Island.</v>
      </c>
      <c r="K1694" s="11">
        <v>0</v>
      </c>
    </row>
    <row r="1695" spans="5:11" x14ac:dyDescent="0.35">
      <c r="E1695" s="9" t="str">
        <v>EPSG</v>
      </c>
      <c r="F1695" s="7" t="str">
        <v>3788</v>
      </c>
      <c r="G1695" t="str">
        <v>ProjectedCrs</v>
      </c>
      <c r="H1695" t="str">
        <v>Transverse Mercator</v>
      </c>
      <c r="I1695" t="str">
        <v>NZGD2000 / Auckland Islands TM 2000</v>
      </c>
      <c r="J1695" t="str">
        <v>New Zealand - Snares Island, Auckland Island - onshore.</v>
      </c>
      <c r="K1695" s="11">
        <v>0</v>
      </c>
    </row>
    <row r="1696" spans="5:11" x14ac:dyDescent="0.35">
      <c r="E1696" s="9" t="str">
        <v>EPSG</v>
      </c>
      <c r="F1696" s="7" t="str">
        <v>3789</v>
      </c>
      <c r="G1696" t="str">
        <v>ProjectedCrs</v>
      </c>
      <c r="H1696" t="str">
        <v>Transverse Mercator</v>
      </c>
      <c r="I1696" t="str">
        <v>NZGD2000 / Campbell Island TM 2000</v>
      </c>
      <c r="J1696" t="str">
        <v>New Zealand - Campbell Island.</v>
      </c>
      <c r="K1696" s="11">
        <v>0</v>
      </c>
    </row>
    <row r="1697" spans="5:11" x14ac:dyDescent="0.35">
      <c r="E1697" s="9" t="str">
        <v>EPSG</v>
      </c>
      <c r="F1697" s="7" t="str">
        <v>3790</v>
      </c>
      <c r="G1697" t="str">
        <v>ProjectedCrs</v>
      </c>
      <c r="H1697" t="str">
        <v>Transverse Mercator</v>
      </c>
      <c r="I1697" t="str">
        <v>NZGD2000 / Antipodes Islands TM 2000</v>
      </c>
      <c r="J1697" t="str">
        <v>New Zealand - Antipodes Island, Bounty Islands.</v>
      </c>
      <c r="K1697" s="11">
        <v>0</v>
      </c>
    </row>
    <row r="1698" spans="5:11" x14ac:dyDescent="0.35">
      <c r="E1698" s="9" t="str">
        <v>EPSG</v>
      </c>
      <c r="F1698" s="7" t="str">
        <v>3791</v>
      </c>
      <c r="G1698" t="str">
        <v>ProjectedCrs</v>
      </c>
      <c r="H1698" t="str">
        <v>Transverse Mercator</v>
      </c>
      <c r="I1698" t="str">
        <v>NZGD2000 / Raoul Island TM 2000</v>
      </c>
      <c r="J1698" t="str">
        <v>New Zealand - Raoul Island, Kermadec Islands.</v>
      </c>
      <c r="K1698" s="11">
        <v>0</v>
      </c>
    </row>
    <row r="1699" spans="5:11" x14ac:dyDescent="0.35">
      <c r="E1699" s="9" t="str">
        <v>EPSG</v>
      </c>
      <c r="F1699" s="7" t="str">
        <v>3793</v>
      </c>
      <c r="G1699" t="str">
        <v>ProjectedCrs</v>
      </c>
      <c r="H1699" t="str">
        <v>Transverse Mercator</v>
      </c>
      <c r="I1699" t="str">
        <v>NZGD2000 / Chatham Islands TM 2000</v>
      </c>
      <c r="J1699" t="str">
        <v>New Zealand - Chatham Islands group - onshore.</v>
      </c>
      <c r="K1699" s="11">
        <v>0</v>
      </c>
    </row>
    <row r="1700" spans="5:11" x14ac:dyDescent="0.35">
      <c r="E1700" s="9" t="str">
        <v>EPSG</v>
      </c>
      <c r="F1700" s="7" t="str">
        <v>3794</v>
      </c>
      <c r="G1700" t="str">
        <v>ProjectedCrs</v>
      </c>
      <c r="H1700" t="str">
        <v>Transverse Mercator</v>
      </c>
      <c r="I1700" t="str">
        <v>Slovenia 1996 / Slovene National Grid</v>
      </c>
      <c r="J1700" t="str">
        <v>Slovenia - onshore and offshore.</v>
      </c>
      <c r="K1700" s="11">
        <v>0</v>
      </c>
    </row>
    <row r="1701" spans="5:11" x14ac:dyDescent="0.35">
      <c r="E1701" s="9" t="str">
        <v>EPSG</v>
      </c>
      <c r="F1701" s="7" t="str">
        <v>3795</v>
      </c>
      <c r="G1701" t="str">
        <v>ProjectedCrs</v>
      </c>
      <c r="H1701" t="str">
        <v>Lambert Conic Conformal (2SP)</v>
      </c>
      <c r="I1701" t="str">
        <v>NAD27 / Cuba Norte</v>
      </c>
      <c r="J1701" t="str">
        <v>Cuba - onshore north of 21°30'N but also including all of Isla de la Juventud.</v>
      </c>
      <c r="K1701" s="11">
        <v>0</v>
      </c>
    </row>
    <row r="1702" spans="5:11" x14ac:dyDescent="0.35">
      <c r="E1702" s="9" t="str">
        <v>EPSG</v>
      </c>
      <c r="F1702" s="7" t="str">
        <v>3796</v>
      </c>
      <c r="G1702" t="str">
        <v>ProjectedCrs</v>
      </c>
      <c r="H1702" t="str">
        <v>Lambert Conic Conformal (2SP)</v>
      </c>
      <c r="I1702" t="str">
        <v>NAD27 / Cuba Sur</v>
      </c>
      <c r="J1702" t="str">
        <v>Cuba - onshore south of 21°30'N and east of 80°W .</v>
      </c>
      <c r="K1702" s="11">
        <v>0</v>
      </c>
    </row>
    <row r="1703" spans="5:11" x14ac:dyDescent="0.35">
      <c r="E1703" s="9" t="str">
        <v>EPSG</v>
      </c>
      <c r="F1703" s="7" t="str">
        <v>3797</v>
      </c>
      <c r="G1703" t="str">
        <v>ProjectedCrs</v>
      </c>
      <c r="H1703" t="str">
        <v>Lambert Conic Conformal (2SP)</v>
      </c>
      <c r="I1703" t="str">
        <v>NAD27 / MTQ Lambert</v>
      </c>
      <c r="J1703" t="str">
        <v>Canada - Quebec.</v>
      </c>
      <c r="K1703" s="11">
        <v>0</v>
      </c>
    </row>
    <row r="1704" spans="5:11" x14ac:dyDescent="0.35">
      <c r="E1704" s="9" t="str">
        <v>EPSG</v>
      </c>
      <c r="F1704" s="7" t="str">
        <v>3798</v>
      </c>
      <c r="G1704" t="str">
        <v>ProjectedCrs</v>
      </c>
      <c r="H1704" t="str">
        <v>Lambert Conic Conformal (2SP)</v>
      </c>
      <c r="I1704" t="str">
        <v>NAD83 / MTQ Lambert</v>
      </c>
      <c r="J1704" t="str">
        <v>Canada - Quebec.</v>
      </c>
      <c r="K1704" s="11">
        <v>0</v>
      </c>
    </row>
    <row r="1705" spans="5:11" x14ac:dyDescent="0.35">
      <c r="E1705" s="9" t="str">
        <v>EPSG</v>
      </c>
      <c r="F1705" s="7" t="str">
        <v>3799</v>
      </c>
      <c r="G1705" t="str">
        <v>ProjectedCrs</v>
      </c>
      <c r="H1705" t="str">
        <v>Lambert Conic Conformal (2SP)</v>
      </c>
      <c r="I1705" t="str">
        <v>NAD83(CSRS) / MTQ Lambert</v>
      </c>
      <c r="J1705" t="str">
        <v>Canada - Quebec.</v>
      </c>
      <c r="K1705" s="11">
        <v>0</v>
      </c>
    </row>
    <row r="1706" spans="5:11" x14ac:dyDescent="0.35">
      <c r="E1706" s="9" t="str">
        <v>EPSG</v>
      </c>
      <c r="F1706" s="7" t="str">
        <v>3800</v>
      </c>
      <c r="G1706" t="str">
        <v>ProjectedCrs</v>
      </c>
      <c r="H1706" t="str">
        <v>Transverse Mercator</v>
      </c>
      <c r="I1706" t="str">
        <v>NAD27 / Alberta 3TM ref merid 120 W</v>
      </c>
      <c r="J1706" t="str">
        <v>Canada - Alberta - west of 118°30' W.</v>
      </c>
      <c r="K1706" s="11">
        <v>0</v>
      </c>
    </row>
    <row r="1707" spans="5:11" x14ac:dyDescent="0.35">
      <c r="E1707" s="9" t="str">
        <v>EPSG</v>
      </c>
      <c r="F1707" s="7" t="str">
        <v>3801</v>
      </c>
      <c r="G1707" t="str">
        <v>ProjectedCrs</v>
      </c>
      <c r="H1707" t="str">
        <v>Transverse Mercator</v>
      </c>
      <c r="I1707" t="str">
        <v>NAD83 / Alberta 3TM ref merid 120 W</v>
      </c>
      <c r="J1707" t="str">
        <v>Canada - Alberta - west of 118°30' W.</v>
      </c>
      <c r="K1707" s="11">
        <v>0</v>
      </c>
    </row>
    <row r="1708" spans="5:11" x14ac:dyDescent="0.35">
      <c r="E1708" s="9" t="str">
        <v>EPSG</v>
      </c>
      <c r="F1708" s="7" t="str">
        <v>3802</v>
      </c>
      <c r="G1708" t="str">
        <v>ProjectedCrs</v>
      </c>
      <c r="H1708" t="str">
        <v>Transverse Mercator</v>
      </c>
      <c r="I1708" t="str">
        <v>NAD83(CSRS) / Alberta 3TM ref merid 120 W</v>
      </c>
      <c r="J1708" t="str">
        <v>Canada - Alberta - west of 118°30' W.</v>
      </c>
      <c r="K1708" s="11">
        <v>0</v>
      </c>
    </row>
    <row r="1709" spans="5:11" x14ac:dyDescent="0.35">
      <c r="E1709" s="9" t="str">
        <v>EPSG</v>
      </c>
      <c r="F1709" s="7" t="str">
        <v>3812</v>
      </c>
      <c r="G1709" t="str">
        <v>ProjectedCrs</v>
      </c>
      <c r="H1709" t="str">
        <v>Lambert Conic Conformal (2SP)</v>
      </c>
      <c r="I1709" t="str">
        <v>ETRS89 / Belgian Lambert 2008</v>
      </c>
      <c r="J1709" t="str">
        <v>Belgium - onshore.</v>
      </c>
      <c r="K1709" s="11">
        <v>0</v>
      </c>
    </row>
    <row r="1710" spans="5:11" x14ac:dyDescent="0.35">
      <c r="E1710" s="9" t="str">
        <v>EPSG</v>
      </c>
      <c r="F1710" s="7" t="str">
        <v>3814</v>
      </c>
      <c r="G1710" t="str">
        <v>ProjectedCrs</v>
      </c>
      <c r="H1710" t="str">
        <v>Transverse Mercator</v>
      </c>
      <c r="I1710" t="str">
        <v>NAD83 / Mississippi TM</v>
      </c>
      <c r="J1710" t="str">
        <v>United States (USA) - Mississippi.</v>
      </c>
      <c r="K1710" s="11">
        <v>0</v>
      </c>
    </row>
    <row r="1711" spans="5:11" x14ac:dyDescent="0.35">
      <c r="E1711" s="9" t="str">
        <v>EPSG</v>
      </c>
      <c r="F1711" s="7" t="str">
        <v>3815</v>
      </c>
      <c r="G1711" t="str">
        <v>ProjectedCrs</v>
      </c>
      <c r="H1711" t="str">
        <v>Transverse Mercator</v>
      </c>
      <c r="I1711" t="str">
        <v>NAD83(HARN) / Mississippi TM</v>
      </c>
      <c r="J1711" t="str">
        <v>United States (USA) - Mississippi.</v>
      </c>
      <c r="K1711" s="11">
        <v>0</v>
      </c>
    </row>
    <row r="1712" spans="5:11" x14ac:dyDescent="0.35">
      <c r="E1712" s="9" t="str">
        <v>EPSG</v>
      </c>
      <c r="F1712" s="7" t="str">
        <v>3816</v>
      </c>
      <c r="G1712" t="str">
        <v>ProjectedCrs</v>
      </c>
      <c r="H1712" t="str">
        <v>Transverse Mercator</v>
      </c>
      <c r="I1712" t="str">
        <v>NAD83(NSRS2007) / Mississippi TM</v>
      </c>
      <c r="J1712" t="str">
        <v>United States (USA) - Mississippi.</v>
      </c>
      <c r="K1712" s="11">
        <v>0</v>
      </c>
    </row>
    <row r="1713" spans="5:11" x14ac:dyDescent="0.35">
      <c r="E1713" s="9" t="str">
        <v>EPSG</v>
      </c>
      <c r="F1713" s="7" t="str">
        <v>3819</v>
      </c>
      <c r="G1713" t="str">
        <v>Geographic2DCrs</v>
      </c>
      <c r="H1713" t="str">
        <v>&lt;undefined&gt;</v>
      </c>
      <c r="I1713" t="str">
        <v>HD1909</v>
      </c>
      <c r="J1713" t="str">
        <v>Hungary.</v>
      </c>
      <c r="K1713" s="11">
        <v>0</v>
      </c>
    </row>
    <row r="1714" spans="5:11" x14ac:dyDescent="0.35">
      <c r="E1714" s="9" t="str">
        <v>EPSG</v>
      </c>
      <c r="F1714" s="7" t="str">
        <v>3821</v>
      </c>
      <c r="G1714" t="str">
        <v>Geographic2DCrs</v>
      </c>
      <c r="H1714" t="str">
        <v>&lt;undefined&gt;</v>
      </c>
      <c r="I1714" t="str">
        <v>TWD67</v>
      </c>
      <c r="J1714" t="str">
        <v>Taiwan, Republic of China - onshore - Taiwan Island, Penghu (Pescadores) Islands.</v>
      </c>
      <c r="K1714" s="11">
        <v>0</v>
      </c>
    </row>
    <row r="1715" spans="5:11" x14ac:dyDescent="0.35">
      <c r="E1715" s="9" t="str">
        <v>EPSG</v>
      </c>
      <c r="F1715" s="7" t="str">
        <v>3822</v>
      </c>
      <c r="G1715" t="str">
        <v>GeocentricCrs</v>
      </c>
      <c r="H1715" t="str">
        <v>&lt;undefined&gt;</v>
      </c>
      <c r="I1715" t="str">
        <v>TWD97</v>
      </c>
      <c r="J1715" t="str">
        <v>Taiwan, Republic of China - onshore and offshore - Taiwan Island, Penghu (Pescadores) Islands.</v>
      </c>
      <c r="K1715" s="11">
        <v>0</v>
      </c>
    </row>
    <row r="1716" spans="5:11" x14ac:dyDescent="0.35">
      <c r="E1716" s="9" t="str">
        <v>EPSG</v>
      </c>
      <c r="F1716" s="7" t="str">
        <v>3823</v>
      </c>
      <c r="G1716" t="str">
        <v>Geographic3DCrs</v>
      </c>
      <c r="H1716" t="str">
        <v>&lt;undefined&gt;</v>
      </c>
      <c r="I1716" t="str">
        <v>TWD97</v>
      </c>
      <c r="J1716" t="str">
        <v>Taiwan, Republic of China - onshore and offshore - Taiwan Island, Penghu (Pescadores) Islands.</v>
      </c>
      <c r="K1716" s="11">
        <v>0</v>
      </c>
    </row>
    <row r="1717" spans="5:11" x14ac:dyDescent="0.35">
      <c r="E1717" s="9" t="str">
        <v>EPSG</v>
      </c>
      <c r="F1717" s="7" t="str">
        <v>3824</v>
      </c>
      <c r="G1717" t="str">
        <v>Geographic2DCrs</v>
      </c>
      <c r="H1717" t="str">
        <v>&lt;undefined&gt;</v>
      </c>
      <c r="I1717" t="str">
        <v>TWD97</v>
      </c>
      <c r="J1717" t="str">
        <v>Taiwan, Republic of China - onshore and offshore - Taiwan Island, Penghu (Pescadores) Islands.</v>
      </c>
      <c r="K1717" s="11">
        <v>0</v>
      </c>
    </row>
    <row r="1718" spans="5:11" x14ac:dyDescent="0.35">
      <c r="E1718" s="9" t="str">
        <v>EPSG</v>
      </c>
      <c r="F1718" s="7" t="str">
        <v>3825</v>
      </c>
      <c r="G1718" t="str">
        <v>ProjectedCrs</v>
      </c>
      <c r="H1718" t="str">
        <v>Transverse Mercator</v>
      </c>
      <c r="I1718" t="str">
        <v>TWD97 / TM2 zone 119</v>
      </c>
      <c r="J1718" t="str">
        <v>Taiwan, Republic of China - between 118°E and 120°E, onshore and offshore - Penghu (Pescadores) Islands.</v>
      </c>
      <c r="K1718" s="11">
        <v>0</v>
      </c>
    </row>
    <row r="1719" spans="5:11" x14ac:dyDescent="0.35">
      <c r="E1719" s="9" t="str">
        <v>EPSG</v>
      </c>
      <c r="F1719" s="7" t="str">
        <v>3826</v>
      </c>
      <c r="G1719" t="str">
        <v>ProjectedCrs</v>
      </c>
      <c r="H1719" t="str">
        <v>Transverse Mercator</v>
      </c>
      <c r="I1719" t="str">
        <v>TWD97 / TM2 zone 121</v>
      </c>
      <c r="J1719" t="str">
        <v>Taiwan, Republic of China - between 120°E and 122°E, onshore and offshore - Taiwan Island.</v>
      </c>
      <c r="K1719" s="11">
        <v>0</v>
      </c>
    </row>
    <row r="1720" spans="5:11" x14ac:dyDescent="0.35">
      <c r="E1720" s="9" t="str">
        <v>EPSG</v>
      </c>
      <c r="F1720" s="7" t="str">
        <v>3827</v>
      </c>
      <c r="G1720" t="str">
        <v>ProjectedCrs</v>
      </c>
      <c r="H1720" t="str">
        <v>Transverse Mercator</v>
      </c>
      <c r="I1720" t="str">
        <v>TWD67 / TM2 zone 119</v>
      </c>
      <c r="J1720" t="str">
        <v>Taiwan, Republic of China - onshore - Penghu (Pescadores) Islands.</v>
      </c>
      <c r="K1720" s="11">
        <v>0</v>
      </c>
    </row>
    <row r="1721" spans="5:11" x14ac:dyDescent="0.35">
      <c r="E1721" s="9" t="str">
        <v>EPSG</v>
      </c>
      <c r="F1721" s="7" t="str">
        <v>3828</v>
      </c>
      <c r="G1721" t="str">
        <v>ProjectedCrs</v>
      </c>
      <c r="H1721" t="str">
        <v>Transverse Mercator</v>
      </c>
      <c r="I1721" t="str">
        <v>TWD67 / TM2 zone 121</v>
      </c>
      <c r="J1721" t="str">
        <v>Taiwan, Republic of China - onshore - Taiwan Island.</v>
      </c>
      <c r="K1721" s="11">
        <v>0</v>
      </c>
    </row>
    <row r="1722" spans="5:11" x14ac:dyDescent="0.35">
      <c r="E1722" s="9" t="str">
        <v>EPSG</v>
      </c>
      <c r="F1722" s="7" t="str">
        <v>3829</v>
      </c>
      <c r="G1722" t="str">
        <v>ProjectedCrs</v>
      </c>
      <c r="H1722" t="str">
        <v>Transverse Mercator</v>
      </c>
      <c r="I1722" t="str">
        <v>Hu Tzu Shan 1950 / UTM zone 51N</v>
      </c>
      <c r="J1722" t="str">
        <v>Taiwan, Republic of China - onshore - Taiwan Island, Penghu (Pescadores) Islands.</v>
      </c>
      <c r="K1722" s="11">
        <v>0</v>
      </c>
    </row>
    <row r="1723" spans="5:11" x14ac:dyDescent="0.35">
      <c r="E1723" s="9" t="str">
        <v>EPSG</v>
      </c>
      <c r="F1723" s="7" t="str">
        <v>3832</v>
      </c>
      <c r="G1723" t="str">
        <v>ProjectedCrs</v>
      </c>
      <c r="H1723" t="str">
        <v>Mercator (variant A)</v>
      </c>
      <c r="I1723" t="str">
        <v>WGS 84 / PDC Mercator</v>
      </c>
      <c r="J1723" t="str">
        <v>Pacific Ocean - American Samoa, Antarctica, Australia, Brunei Darussalam, Cambodia, Canada, Chile, China, China - Hong Kong, China - Macao, Cook Islands, Ecuador, Fiji, French Polynesia, Guam, Indonesia, Japan, Kiribati, Democratic People's Republic of Korea (North Korea), Republic of Korea (South Korea), Malaysia, Marshall Islands, Federated States of Micronesia, Nauru, New Caledonia, New Zealand, Niue, Norfolk Island, Northern Mariana Islands, Palau, Panama, Papua New Guinea (PNG), Peru, Philippines, Pitcairn, Russian Federation, Samoa, Singapore, Solomon Islands, Taiwan, Thailand, Tokelau, Tonga, Tuvalu, United States (USA), United States Minor Outlying Islands, Vanuatu, Venezuela, Vietnam, Wallis and Futuna.</v>
      </c>
      <c r="K1723" s="11">
        <v>0</v>
      </c>
    </row>
    <row r="1724" spans="5:11" x14ac:dyDescent="0.35">
      <c r="E1724" s="9" t="str">
        <v>EPSG</v>
      </c>
      <c r="F1724" s="7" t="str">
        <v>3833</v>
      </c>
      <c r="G1724" t="str">
        <v>ProjectedCrs</v>
      </c>
      <c r="H1724" t="str">
        <v>Transverse Mercator</v>
      </c>
      <c r="I1724" t="str">
        <v>Pulkovo 1942(58) / Gauss-Kruger zone 2</v>
      </c>
      <c r="J1724" t="str">
        <v>Germany - states of former East Germany - west of 12°E.</v>
      </c>
      <c r="K1724" s="11">
        <v>0</v>
      </c>
    </row>
    <row r="1725" spans="5:11" x14ac:dyDescent="0.35">
      <c r="E1725" s="9" t="str">
        <v>EPSG</v>
      </c>
      <c r="F1725" s="7" t="str">
        <v>3834</v>
      </c>
      <c r="G1725" t="str">
        <v>ProjectedCrs</v>
      </c>
      <c r="H1725" t="str">
        <v>Transverse Mercator</v>
      </c>
      <c r="I1725" t="str">
        <v>Pulkovo 1942(83) / Gauss-Kruger zone 2</v>
      </c>
      <c r="J1725" t="str">
        <v>Germany - states of former East Germany - west of 12°E.</v>
      </c>
      <c r="K1725" s="11">
        <v>0</v>
      </c>
    </row>
    <row r="1726" spans="5:11" x14ac:dyDescent="0.35">
      <c r="E1726" s="9" t="str">
        <v>EPSG</v>
      </c>
      <c r="F1726" s="7" t="str">
        <v>3835</v>
      </c>
      <c r="G1726" t="str">
        <v>ProjectedCrs</v>
      </c>
      <c r="H1726" t="str">
        <v>Transverse Mercator</v>
      </c>
      <c r="I1726" t="str">
        <v>Pulkovo 1942(83) / Gauss-Kruger zone 3</v>
      </c>
      <c r="J1726" t="str">
        <v>Germany (former DDR) - onshore east of 12°E. Czechia, Hungary and Slovakia - west of 18°E.</v>
      </c>
      <c r="K1726" s="11">
        <v>0</v>
      </c>
    </row>
    <row r="1727" spans="5:11" x14ac:dyDescent="0.35">
      <c r="E1727" s="9" t="str">
        <v>EPSG</v>
      </c>
      <c r="F1727" s="7" t="str">
        <v>3836</v>
      </c>
      <c r="G1727" t="str">
        <v>ProjectedCrs</v>
      </c>
      <c r="H1727" t="str">
        <v>Transverse Mercator</v>
      </c>
      <c r="I1727" t="str">
        <v>Pulkovo 1942(83) / Gauss-Kruger zone 4</v>
      </c>
      <c r="J1727" t="str">
        <v>Czechia, Hungary and Slovakia - east of 18°E.</v>
      </c>
      <c r="K1727" s="11">
        <v>0</v>
      </c>
    </row>
    <row r="1728" spans="5:11" x14ac:dyDescent="0.35">
      <c r="E1728" s="9" t="str">
        <v>EPSG</v>
      </c>
      <c r="F1728" s="7" t="str">
        <v>3837</v>
      </c>
      <c r="G1728" t="str">
        <v>ProjectedCrs</v>
      </c>
      <c r="H1728" t="str">
        <v>Transverse Mercator</v>
      </c>
      <c r="I1728" t="str">
        <v>Pulkovo 1942(58) / 3-degree Gauss-Kruger zone 3</v>
      </c>
      <c r="J1728" t="str">
        <v>Germany - states of former East Germany - west of 10°30'E - Thuringen.</v>
      </c>
      <c r="K1728" s="11">
        <v>0</v>
      </c>
    </row>
    <row r="1729" spans="5:11" x14ac:dyDescent="0.35">
      <c r="E1729" s="9" t="str">
        <v>EPSG</v>
      </c>
      <c r="F1729" s="7" t="str">
        <v>3838</v>
      </c>
      <c r="G1729" t="str">
        <v>ProjectedCrs</v>
      </c>
      <c r="H1729" t="str">
        <v>Transverse Mercator</v>
      </c>
      <c r="I1729" t="str">
        <v>Pulkovo 1942(58) / 3-degree Gauss-Kruger zone 4</v>
      </c>
      <c r="J1729" t="str">
        <v>Czechia - west of 13°30'E. Germany - states of former East Germany onshore - between 10°30'E and 13°30'E - Brandenburg; Mecklenburg-Vorpommern; Sachsen; Sachsen-Anhalt; Thuringen.</v>
      </c>
      <c r="K1729" s="11">
        <v>0</v>
      </c>
    </row>
    <row r="1730" spans="5:11" x14ac:dyDescent="0.35">
      <c r="E1730" s="9" t="str">
        <v>EPSG</v>
      </c>
      <c r="F1730" s="7" t="str">
        <v>3839</v>
      </c>
      <c r="G1730" t="str">
        <v>ProjectedCrs</v>
      </c>
      <c r="H1730" t="str">
        <v>Transverse Mercator</v>
      </c>
      <c r="I1730" t="str">
        <v>Pulkovo 1942(58) / 3-degree Gauss-Kruger zone 9</v>
      </c>
      <c r="J1730" t="str">
        <v>Bulgaria and Romania - onshore between 25°30'E and 28°30'E.</v>
      </c>
      <c r="K1730" s="11">
        <v>0</v>
      </c>
    </row>
    <row r="1731" spans="5:11" x14ac:dyDescent="0.35">
      <c r="E1731" s="9" t="str">
        <v>EPSG</v>
      </c>
      <c r="F1731" s="7" t="str">
        <v>3840</v>
      </c>
      <c r="G1731" t="str">
        <v>ProjectedCrs</v>
      </c>
      <c r="H1731" t="str">
        <v>Transverse Mercator</v>
      </c>
      <c r="I1731" t="str">
        <v>Pulkovo 1942(58) / 3-degree Gauss-Kruger zone 10</v>
      </c>
      <c r="J1731" t="str">
        <v>Bulgaria and Romania - onshore east of 28°30'E.</v>
      </c>
      <c r="K1731" s="11">
        <v>0</v>
      </c>
    </row>
    <row r="1732" spans="5:11" x14ac:dyDescent="0.35">
      <c r="E1732" s="9" t="str">
        <v>EPSG</v>
      </c>
      <c r="F1732" s="7" t="str">
        <v>3841</v>
      </c>
      <c r="G1732" t="str">
        <v>ProjectedCrs</v>
      </c>
      <c r="H1732" t="str">
        <v>Transverse Mercator</v>
      </c>
      <c r="I1732" t="str">
        <v>Pulkovo 1942(83) / 3-degree Gauss-Kruger zone 6</v>
      </c>
      <c r="J1732" t="str">
        <v>Czechia - east of 16°30'E. Hungary - between 16°30'E and 19°30'E. Slovakia - west of 19°30'E.</v>
      </c>
      <c r="K1732" s="11">
        <v>0</v>
      </c>
    </row>
    <row r="1733" spans="5:11" x14ac:dyDescent="0.35">
      <c r="E1733" s="9" t="str">
        <v>EPSG</v>
      </c>
      <c r="F1733" s="7" t="str">
        <v>3844</v>
      </c>
      <c r="G1733" t="str">
        <v>ProjectedCrs</v>
      </c>
      <c r="H1733" t="str">
        <v>Oblique Stereographic</v>
      </c>
      <c r="I1733" t="str">
        <v>Pulkovo 1942(58) / Stereo70</v>
      </c>
      <c r="J1733" t="str">
        <v>Romania - onshore and offshore.</v>
      </c>
      <c r="K1733" s="11">
        <v>0</v>
      </c>
    </row>
    <row r="1734" spans="5:11" x14ac:dyDescent="0.35">
      <c r="E1734" s="9" t="str">
        <v>EPSG</v>
      </c>
      <c r="F1734" s="7" t="str">
        <v>3845</v>
      </c>
      <c r="G1734" t="str">
        <v>ProjectedCrs</v>
      </c>
      <c r="H1734" t="str">
        <v>Transverse Mercator</v>
      </c>
      <c r="I1734" t="str">
        <v>SWEREF99 / RT90 7.5 gon V emulation</v>
      </c>
      <c r="J1734" t="str">
        <v>Sweden - communes west of approximately 12°26'E. See information source for map.</v>
      </c>
      <c r="K1734" s="11">
        <v>0</v>
      </c>
    </row>
    <row r="1735" spans="5:11" x14ac:dyDescent="0.35">
      <c r="E1735" s="9" t="str">
        <v>EPSG</v>
      </c>
      <c r="F1735" s="7" t="str">
        <v>3846</v>
      </c>
      <c r="G1735" t="str">
        <v>ProjectedCrs</v>
      </c>
      <c r="H1735" t="str">
        <v>Transverse Mercator</v>
      </c>
      <c r="I1735" t="str">
        <v>SWEREF99 / RT90 5 gon V emulation</v>
      </c>
      <c r="J1735" t="str">
        <v>Sweden - communes between approximately 12°26'E and 14°40'E. See information source for map.</v>
      </c>
      <c r="K1735" s="11">
        <v>0</v>
      </c>
    </row>
    <row r="1736" spans="5:11" x14ac:dyDescent="0.35">
      <c r="E1736" s="9" t="str">
        <v>EPSG</v>
      </c>
      <c r="F1736" s="7" t="str">
        <v>3847</v>
      </c>
      <c r="G1736" t="str">
        <v>ProjectedCrs</v>
      </c>
      <c r="H1736" t="str">
        <v>Transverse Mercator</v>
      </c>
      <c r="I1736" t="str">
        <v>SWEREF99 / RT90 2.5 gon V emulation</v>
      </c>
      <c r="J1736" t="str">
        <v>Sweden - communes between approximately 14°40'E and 16°55'E. See information source for map.</v>
      </c>
      <c r="K1736" s="11">
        <v>0</v>
      </c>
    </row>
    <row r="1737" spans="5:11" x14ac:dyDescent="0.35">
      <c r="E1737" s="9" t="str">
        <v>EPSG</v>
      </c>
      <c r="F1737" s="7" t="str">
        <v>3848</v>
      </c>
      <c r="G1737" t="str">
        <v>ProjectedCrs</v>
      </c>
      <c r="H1737" t="str">
        <v>Transverse Mercator</v>
      </c>
      <c r="I1737" t="str">
        <v>SWEREF99 / RT90 0 gon emulation</v>
      </c>
      <c r="J1737" t="str">
        <v>Sweden - communes between approximately 16°55'E and 19°10'E; Gotland. See information source for map.</v>
      </c>
      <c r="K1737" s="11">
        <v>0</v>
      </c>
    </row>
    <row r="1738" spans="5:11" x14ac:dyDescent="0.35">
      <c r="E1738" s="9" t="str">
        <v>EPSG</v>
      </c>
      <c r="F1738" s="7" t="str">
        <v>3849</v>
      </c>
      <c r="G1738" t="str">
        <v>ProjectedCrs</v>
      </c>
      <c r="H1738" t="str">
        <v>Transverse Mercator</v>
      </c>
      <c r="I1738" t="str">
        <v>SWEREF99 / RT90 2.5 gon O emulation</v>
      </c>
      <c r="J1738" t="str">
        <v>Sweden - communes between approximately 19°10'E and 21°25'E. See information source for map.</v>
      </c>
      <c r="K1738" s="11">
        <v>0</v>
      </c>
    </row>
    <row r="1739" spans="5:11" x14ac:dyDescent="0.35">
      <c r="E1739" s="9" t="str">
        <v>EPSG</v>
      </c>
      <c r="F1739" s="7" t="str">
        <v>3850</v>
      </c>
      <c r="G1739" t="str">
        <v>ProjectedCrs</v>
      </c>
      <c r="H1739" t="str">
        <v>Transverse Mercator</v>
      </c>
      <c r="I1739" t="str">
        <v>SWEREF99 / RT90 5 gon O emulation</v>
      </c>
      <c r="J1739" t="str">
        <v>Sweden - east of approximately 21°26'E. See information source for map.</v>
      </c>
      <c r="K1739" s="11">
        <v>0</v>
      </c>
    </row>
    <row r="1740" spans="5:11" x14ac:dyDescent="0.35">
      <c r="E1740" s="9" t="str">
        <v>EPSG</v>
      </c>
      <c r="F1740" s="7" t="str">
        <v>3851</v>
      </c>
      <c r="G1740" t="str">
        <v>ProjectedCrs</v>
      </c>
      <c r="H1740" t="str">
        <v>Lambert Conic Conformal (2SP)</v>
      </c>
      <c r="I1740" t="str">
        <v>NZGD2000 / NZCS2000</v>
      </c>
      <c r="J1740" t="str">
        <v>New Zealand - offshore.</v>
      </c>
      <c r="K1740" s="11">
        <v>0</v>
      </c>
    </row>
    <row r="1741" spans="5:11" x14ac:dyDescent="0.35">
      <c r="E1741" s="9" t="str">
        <v>EPSG</v>
      </c>
      <c r="F1741" s="7" t="str">
        <v>3852</v>
      </c>
      <c r="G1741" t="str">
        <v>ProjectedCrs</v>
      </c>
      <c r="H1741" t="str">
        <v>Lambert Conic Conformal (2SP)</v>
      </c>
      <c r="I1741" t="str">
        <v>RSRGD2000 / DGLC2000</v>
      </c>
      <c r="J1741" t="str">
        <v>Antarctica - Darwin Glacier region.</v>
      </c>
      <c r="K1741" s="11">
        <v>0</v>
      </c>
    </row>
    <row r="1742" spans="5:11" x14ac:dyDescent="0.35">
      <c r="E1742" s="9" t="str">
        <v>EPSG</v>
      </c>
      <c r="F1742" s="7" t="str">
        <v>3854</v>
      </c>
      <c r="G1742" t="str">
        <v>ProjectedCrs</v>
      </c>
      <c r="H1742" t="str">
        <v>Transverse Mercator</v>
      </c>
      <c r="I1742" t="str">
        <v>County ST74</v>
      </c>
      <c r="J1742" t="str">
        <v>Sweden - Stockholm county. Municipalities of Botkyrka, Danderyd, Ekerö, Haninge, Huddinge, Järfälla, Lidingö, Nacka, Nynäshamn, Salem, Sigtuna, Sollentuna, Solna, Stockholm and Sundbyberg.</v>
      </c>
      <c r="K1742" s="11">
        <v>0</v>
      </c>
    </row>
    <row r="1743" spans="5:11" x14ac:dyDescent="0.35">
      <c r="E1743" s="9" t="str">
        <v>EPSG</v>
      </c>
      <c r="F1743" s="7" t="str">
        <v>3855</v>
      </c>
      <c r="G1743" t="str">
        <v>VerticalCrs</v>
      </c>
      <c r="H1743" t="str">
        <v>&lt;undefined&gt;</v>
      </c>
      <c r="I1743" t="str">
        <v>EGM2008 height</v>
      </c>
      <c r="J1743" t="str">
        <v>World.</v>
      </c>
      <c r="K1743" s="11">
        <v>0</v>
      </c>
    </row>
    <row r="1744" spans="5:11" x14ac:dyDescent="0.35">
      <c r="E1744" s="9" t="str">
        <v>EPSG</v>
      </c>
      <c r="F1744" s="7" t="str">
        <v>3857</v>
      </c>
      <c r="G1744" t="str">
        <v>ProjectedCrs</v>
      </c>
      <c r="H1744" t="str">
        <v>Popular Visualisation Pseudo Mercator</v>
      </c>
      <c r="I1744" t="str">
        <v>WGS 84 / Pseudo-Mercator</v>
      </c>
      <c r="J1744" t="str">
        <v>World between 85.06°S and 85.06°N.</v>
      </c>
      <c r="K1744" s="11">
        <v>0</v>
      </c>
    </row>
    <row r="1745" spans="5:11" x14ac:dyDescent="0.35">
      <c r="E1745" s="9" t="str">
        <v>EPSG</v>
      </c>
      <c r="F1745" s="7" t="str">
        <v>3873</v>
      </c>
      <c r="G1745" t="str">
        <v>ProjectedCrs</v>
      </c>
      <c r="H1745" t="str">
        <v>Transverse Mercator</v>
      </c>
      <c r="I1745" t="str">
        <v>ETRS89 / GK19FIN</v>
      </c>
      <c r="J1745" t="str">
        <v>Finland - nominally onshore west of 19°30'E but may be used in adjacent areas to east if a municipality chooses to use one zone over its whole extent.</v>
      </c>
      <c r="K1745" s="11">
        <v>0</v>
      </c>
    </row>
    <row r="1746" spans="5:11" x14ac:dyDescent="0.35">
      <c r="E1746" s="9" t="str">
        <v>EPSG</v>
      </c>
      <c r="F1746" s="7" t="str">
        <v>3874</v>
      </c>
      <c r="G1746" t="str">
        <v>ProjectedCrs</v>
      </c>
      <c r="H1746" t="str">
        <v>Transverse Mercator</v>
      </c>
      <c r="I1746" t="str">
        <v>ETRS89 / GK20FIN</v>
      </c>
      <c r="J1746" t="str">
        <v>Finland - nominally onshore between 19°30'E and 20°30'E but may be used in adjacent areas if a municipality chooses to use one zone over its whole extent.</v>
      </c>
      <c r="K1746" s="11">
        <v>0</v>
      </c>
    </row>
    <row r="1747" spans="5:11" x14ac:dyDescent="0.35">
      <c r="E1747" s="9" t="str">
        <v>EPSG</v>
      </c>
      <c r="F1747" s="7" t="str">
        <v>3875</v>
      </c>
      <c r="G1747" t="str">
        <v>ProjectedCrs</v>
      </c>
      <c r="H1747" t="str">
        <v>Transverse Mercator</v>
      </c>
      <c r="I1747" t="str">
        <v>ETRS89 / GK21FIN</v>
      </c>
      <c r="J1747" t="str">
        <v>Finland - nominally onshore between 20°30'E and 21°30'E but may be used in adjacent areas if a municipality chooses to use one zone over its whole extent.</v>
      </c>
      <c r="K1747" s="11">
        <v>0</v>
      </c>
    </row>
    <row r="1748" spans="5:11" x14ac:dyDescent="0.35">
      <c r="E1748" s="9" t="str">
        <v>EPSG</v>
      </c>
      <c r="F1748" s="7" t="str">
        <v>3876</v>
      </c>
      <c r="G1748" t="str">
        <v>ProjectedCrs</v>
      </c>
      <c r="H1748" t="str">
        <v>Transverse Mercator</v>
      </c>
      <c r="I1748" t="str">
        <v>ETRS89 / GK22FIN</v>
      </c>
      <c r="J1748" t="str">
        <v>Finland - nominally onshore between 21°30'E and 22°30'E but may be used in adjacent areas if a municipality chooses to use one zone over its whole extent.</v>
      </c>
      <c r="K1748" s="11">
        <v>0</v>
      </c>
    </row>
    <row r="1749" spans="5:11" x14ac:dyDescent="0.35">
      <c r="E1749" s="9" t="str">
        <v>EPSG</v>
      </c>
      <c r="F1749" s="7" t="str">
        <v>3877</v>
      </c>
      <c r="G1749" t="str">
        <v>ProjectedCrs</v>
      </c>
      <c r="H1749" t="str">
        <v>Transverse Mercator</v>
      </c>
      <c r="I1749" t="str">
        <v>ETRS89 / GK23FIN</v>
      </c>
      <c r="J1749" t="str">
        <v>Finland - nominally onshore between 22°30'E and 23°30'E but may be used in adjacent areas if a municipality chooses to use one zone over its whole extent.</v>
      </c>
      <c r="K1749" s="11">
        <v>0</v>
      </c>
    </row>
    <row r="1750" spans="5:11" x14ac:dyDescent="0.35">
      <c r="E1750" s="9" t="str">
        <v>EPSG</v>
      </c>
      <c r="F1750" s="7" t="str">
        <v>3878</v>
      </c>
      <c r="G1750" t="str">
        <v>ProjectedCrs</v>
      </c>
      <c r="H1750" t="str">
        <v>Transverse Mercator</v>
      </c>
      <c r="I1750" t="str">
        <v>ETRS89 / GK24FIN</v>
      </c>
      <c r="J1750" t="str">
        <v>Finland - nominally onshore between 23°30'E and 24°30'E but may be used in adjacent areas if a municipality chooses to use one zone over its whole extent.</v>
      </c>
      <c r="K1750" s="11">
        <v>0</v>
      </c>
    </row>
    <row r="1751" spans="5:11" x14ac:dyDescent="0.35">
      <c r="E1751" s="9" t="str">
        <v>EPSG</v>
      </c>
      <c r="F1751" s="7" t="str">
        <v>3879</v>
      </c>
      <c r="G1751" t="str">
        <v>ProjectedCrs</v>
      </c>
      <c r="H1751" t="str">
        <v>Transverse Mercator</v>
      </c>
      <c r="I1751" t="str">
        <v>ETRS89 / GK25FIN</v>
      </c>
      <c r="J1751" t="str">
        <v>Finland - nominally onshore between 24°30'E and 25°30'E but may be used in adjacent areas if a municipality chooses to use one zone over its whole extent.</v>
      </c>
      <c r="K1751" s="11">
        <v>0</v>
      </c>
    </row>
    <row r="1752" spans="5:11" x14ac:dyDescent="0.35">
      <c r="E1752" s="9" t="str">
        <v>EPSG</v>
      </c>
      <c r="F1752" s="7" t="str">
        <v>3880</v>
      </c>
      <c r="G1752" t="str">
        <v>ProjectedCrs</v>
      </c>
      <c r="H1752" t="str">
        <v>Transverse Mercator</v>
      </c>
      <c r="I1752" t="str">
        <v>ETRS89 / GK26FIN</v>
      </c>
      <c r="J1752" t="str">
        <v>Finland - nominally onshore between 25°30'E and 26°30'E but may be used in adjacent areas if a municipality chooses to use one zone over its whole extent.</v>
      </c>
      <c r="K1752" s="11">
        <v>0</v>
      </c>
    </row>
    <row r="1753" spans="5:11" x14ac:dyDescent="0.35">
      <c r="E1753" s="9" t="str">
        <v>EPSG</v>
      </c>
      <c r="F1753" s="7" t="str">
        <v>3881</v>
      </c>
      <c r="G1753" t="str">
        <v>ProjectedCrs</v>
      </c>
      <c r="H1753" t="str">
        <v>Transverse Mercator</v>
      </c>
      <c r="I1753" t="str">
        <v>ETRS89 / GK27FIN</v>
      </c>
      <c r="J1753" t="str">
        <v>Finland - nominally onshore between 26°30'E and 27°30'E but may be used in adjacent areas if a municipality chooses to use one zone over its whole extent.</v>
      </c>
      <c r="K1753" s="11">
        <v>0</v>
      </c>
    </row>
    <row r="1754" spans="5:11" x14ac:dyDescent="0.35">
      <c r="E1754" s="9" t="str">
        <v>EPSG</v>
      </c>
      <c r="F1754" s="7" t="str">
        <v>3882</v>
      </c>
      <c r="G1754" t="str">
        <v>ProjectedCrs</v>
      </c>
      <c r="H1754" t="str">
        <v>Transverse Mercator</v>
      </c>
      <c r="I1754" t="str">
        <v>ETRS89 / GK28FIN</v>
      </c>
      <c r="J1754" t="str">
        <v>Finland - nominally onshore between 27°30'E and 28°30'E but may be used in adjacent areas if a municipality chooses to use one zone over its whole extent.</v>
      </c>
      <c r="K1754" s="11">
        <v>0</v>
      </c>
    </row>
    <row r="1755" spans="5:11" x14ac:dyDescent="0.35">
      <c r="E1755" s="9" t="str">
        <v>EPSG</v>
      </c>
      <c r="F1755" s="7" t="str">
        <v>3883</v>
      </c>
      <c r="G1755" t="str">
        <v>ProjectedCrs</v>
      </c>
      <c r="H1755" t="str">
        <v>Transverse Mercator</v>
      </c>
      <c r="I1755" t="str">
        <v>ETRS89 / GK29FIN</v>
      </c>
      <c r="J1755" t="str">
        <v>Finland - nominally between 28°30'E and 29°30'E but may be used in adjacent areas if a municipality chooses to use one zone over its whole extent.</v>
      </c>
      <c r="K1755" s="11">
        <v>0</v>
      </c>
    </row>
    <row r="1756" spans="5:11" x14ac:dyDescent="0.35">
      <c r="E1756" s="9" t="str">
        <v>EPSG</v>
      </c>
      <c r="F1756" s="7" t="str">
        <v>3884</v>
      </c>
      <c r="G1756" t="str">
        <v>ProjectedCrs</v>
      </c>
      <c r="H1756" t="str">
        <v>Transverse Mercator</v>
      </c>
      <c r="I1756" t="str">
        <v>ETRS89 / GK30FIN</v>
      </c>
      <c r="J1756" t="str">
        <v>Finland - nominally between 29°30'E and 30°30'E but may be used in adjacent areas if a municipality chooses to use one zone over its whole extent.</v>
      </c>
      <c r="K1756" s="11">
        <v>0</v>
      </c>
    </row>
    <row r="1757" spans="5:11" x14ac:dyDescent="0.35">
      <c r="E1757" s="9" t="str">
        <v>EPSG</v>
      </c>
      <c r="F1757" s="7" t="str">
        <v>3885</v>
      </c>
      <c r="G1757" t="str">
        <v>ProjectedCrs</v>
      </c>
      <c r="H1757" t="str">
        <v>Transverse Mercator</v>
      </c>
      <c r="I1757" t="str">
        <v>ETRS89 / GK31FIN</v>
      </c>
      <c r="J1757" t="str">
        <v>Finland - nominally east of 30°30'E but may be used in adjacent areas to west if a municipality chooses to use one zone over its whole extent.</v>
      </c>
      <c r="K1757" s="11">
        <v>0</v>
      </c>
    </row>
    <row r="1758" spans="5:11" x14ac:dyDescent="0.35">
      <c r="E1758" s="9" t="str">
        <v>EPSG</v>
      </c>
      <c r="F1758" s="7" t="str">
        <v>3886</v>
      </c>
      <c r="G1758" t="str">
        <v>VerticalCrs</v>
      </c>
      <c r="H1758" t="str">
        <v>&lt;undefined&gt;</v>
      </c>
      <c r="I1758" t="str">
        <v>Fao 1979 height</v>
      </c>
      <c r="J1758" t="str">
        <v>Iraq - onshore.</v>
      </c>
      <c r="K1758" s="11">
        <v>0</v>
      </c>
    </row>
    <row r="1759" spans="5:11" x14ac:dyDescent="0.35">
      <c r="E1759" s="9" t="str">
        <v>EPSG</v>
      </c>
      <c r="F1759" s="7" t="str">
        <v>3887</v>
      </c>
      <c r="G1759" t="str">
        <v>GeocentricCrs</v>
      </c>
      <c r="H1759" t="str">
        <v>&lt;undefined&gt;</v>
      </c>
      <c r="I1759" t="str">
        <v>IGRS</v>
      </c>
      <c r="J1759" t="str">
        <v>Iraq - onshore and offshore.</v>
      </c>
      <c r="K1759" s="11">
        <v>0</v>
      </c>
    </row>
    <row r="1760" spans="5:11" x14ac:dyDescent="0.35">
      <c r="E1760" s="9" t="str">
        <v>EPSG</v>
      </c>
      <c r="F1760" s="7" t="str">
        <v>3888</v>
      </c>
      <c r="G1760" t="str">
        <v>Geographic3DCrs</v>
      </c>
      <c r="H1760" t="str">
        <v>&lt;undefined&gt;</v>
      </c>
      <c r="I1760" t="str">
        <v>IGRS</v>
      </c>
      <c r="J1760" t="str">
        <v>Iraq - onshore and offshore.</v>
      </c>
      <c r="K1760" s="11">
        <v>0</v>
      </c>
    </row>
    <row r="1761" spans="5:11" x14ac:dyDescent="0.35">
      <c r="E1761" s="9" t="str">
        <v>EPSG</v>
      </c>
      <c r="F1761" s="7" t="str">
        <v>3889</v>
      </c>
      <c r="G1761" t="str">
        <v>Geographic2DCrs</v>
      </c>
      <c r="H1761" t="str">
        <v>&lt;undefined&gt;</v>
      </c>
      <c r="I1761" t="str">
        <v>IGRS</v>
      </c>
      <c r="J1761" t="str">
        <v>Iraq - onshore and offshore.</v>
      </c>
      <c r="K1761" s="11">
        <v>0</v>
      </c>
    </row>
    <row r="1762" spans="5:11" x14ac:dyDescent="0.35">
      <c r="E1762" s="9" t="str">
        <v>EPSG</v>
      </c>
      <c r="F1762" s="7" t="str">
        <v>3890</v>
      </c>
      <c r="G1762" t="str">
        <v>ProjectedCrs</v>
      </c>
      <c r="H1762" t="str">
        <v>Transverse Mercator</v>
      </c>
      <c r="I1762" t="str">
        <v>IGRS / UTM zone 37N</v>
      </c>
      <c r="J1762" t="str">
        <v>Iraq - west of 42°E.</v>
      </c>
      <c r="K1762" s="11">
        <v>0</v>
      </c>
    </row>
    <row r="1763" spans="5:11" x14ac:dyDescent="0.35">
      <c r="E1763" s="9" t="str">
        <v>EPSG</v>
      </c>
      <c r="F1763" s="7" t="str">
        <v>3891</v>
      </c>
      <c r="G1763" t="str">
        <v>ProjectedCrs</v>
      </c>
      <c r="H1763" t="str">
        <v>Transverse Mercator</v>
      </c>
      <c r="I1763" t="str">
        <v>IGRS / UTM zone 38N</v>
      </c>
      <c r="J1763" t="str">
        <v>Iraq - between 42°E and 48°E.</v>
      </c>
      <c r="K1763" s="11">
        <v>0</v>
      </c>
    </row>
    <row r="1764" spans="5:11" x14ac:dyDescent="0.35">
      <c r="E1764" s="9" t="str">
        <v>EPSG</v>
      </c>
      <c r="F1764" s="7" t="str">
        <v>3892</v>
      </c>
      <c r="G1764" t="str">
        <v>ProjectedCrs</v>
      </c>
      <c r="H1764" t="str">
        <v>Transverse Mercator</v>
      </c>
      <c r="I1764" t="str">
        <v>IGRS / UTM zone 39N</v>
      </c>
      <c r="J1764" t="str">
        <v>Iraq - east of 48°E, onshore and offshore.</v>
      </c>
      <c r="K1764" s="11">
        <v>0</v>
      </c>
    </row>
    <row r="1765" spans="5:11" x14ac:dyDescent="0.35">
      <c r="E1765" s="9" t="str">
        <v>EPSG</v>
      </c>
      <c r="F1765" s="7" t="str">
        <v>3893</v>
      </c>
      <c r="G1765" t="str">
        <v>ProjectedCrs</v>
      </c>
      <c r="H1765" t="str">
        <v>Transverse Mercator</v>
      </c>
      <c r="I1765" t="str">
        <v>ED50 / Iraq National Grid</v>
      </c>
      <c r="J1765" t="str">
        <v>Iraq - onshore.</v>
      </c>
      <c r="K1765" s="11">
        <v>0</v>
      </c>
    </row>
    <row r="1766" spans="5:11" x14ac:dyDescent="0.35">
      <c r="E1766" s="9" t="str">
        <v>EPSG</v>
      </c>
      <c r="F1766" s="7" t="str">
        <v>3900</v>
      </c>
      <c r="G1766" t="str">
        <v>VerticalCrs</v>
      </c>
      <c r="H1766" t="str">
        <v>&lt;undefined&gt;</v>
      </c>
      <c r="I1766" t="str">
        <v>N2000 height</v>
      </c>
      <c r="J1766" t="str">
        <v>Finland - onshore.</v>
      </c>
      <c r="K1766" s="11">
        <v>0</v>
      </c>
    </row>
    <row r="1767" spans="5:11" x14ac:dyDescent="0.35">
      <c r="E1767" s="9" t="str">
        <v>EPSG</v>
      </c>
      <c r="F1767" s="7" t="str">
        <v>3901</v>
      </c>
      <c r="G1767" t="str">
        <v>CompoundCrs</v>
      </c>
      <c r="H1767" t="str">
        <v>&lt;undefined&gt;</v>
      </c>
      <c r="I1767" t="str">
        <v>KKJ / Finland Uniform Coordinate System + N60 height</v>
      </c>
      <c r="J1767" t="str">
        <v>Finland - onshore.</v>
      </c>
      <c r="K1767" s="11">
        <v>0</v>
      </c>
    </row>
    <row r="1768" spans="5:11" x14ac:dyDescent="0.35">
      <c r="E1768" s="9" t="str">
        <v>EPSG</v>
      </c>
      <c r="F1768" s="7" t="str">
        <v>3902</v>
      </c>
      <c r="G1768" t="str">
        <v>CompoundCrs</v>
      </c>
      <c r="H1768" t="str">
        <v>&lt;undefined&gt;</v>
      </c>
      <c r="I1768" t="str">
        <v>ETRS89 / TM35FIN(N,E) + N60 height</v>
      </c>
      <c r="J1768" t="str">
        <v>Finland - onshore.</v>
      </c>
      <c r="K1768" s="11">
        <v>0</v>
      </c>
    </row>
    <row r="1769" spans="5:11" x14ac:dyDescent="0.35">
      <c r="E1769" s="9" t="str">
        <v>EPSG</v>
      </c>
      <c r="F1769" s="7" t="str">
        <v>3903</v>
      </c>
      <c r="G1769" t="str">
        <v>CompoundCrs</v>
      </c>
      <c r="H1769" t="str">
        <v>&lt;undefined&gt;</v>
      </c>
      <c r="I1769" t="str">
        <v>ETRS89 / TM35FIN(N,E) + N2000 height</v>
      </c>
      <c r="J1769" t="str">
        <v>Finland - onshore.</v>
      </c>
      <c r="K1769" s="11">
        <v>0</v>
      </c>
    </row>
    <row r="1770" spans="5:11" x14ac:dyDescent="0.35">
      <c r="E1770" s="9" t="str">
        <v>EPSG</v>
      </c>
      <c r="F1770" s="7" t="str">
        <v>3906</v>
      </c>
      <c r="G1770" t="str">
        <v>Geographic2DCrs</v>
      </c>
      <c r="H1770" t="str">
        <v>&lt;undefined&gt;</v>
      </c>
      <c r="I1770" t="str">
        <v>MGI 1901</v>
      </c>
      <c r="J1770" t="str">
        <v>Bosnia and Herzegovina; Croatia - onshore; Kosovo; Montenegro - onshore; North Macedonia; Serbia; Slovenia - onshore.</v>
      </c>
      <c r="K1770" s="11">
        <v>0</v>
      </c>
    </row>
    <row r="1771" spans="5:11" x14ac:dyDescent="0.35">
      <c r="E1771" s="9" t="str">
        <v>EPSG</v>
      </c>
      <c r="F1771" s="7" t="str">
        <v>3912</v>
      </c>
      <c r="G1771" t="str">
        <v>ProjectedCrs</v>
      </c>
      <c r="H1771" t="str">
        <v>Transverse Mercator</v>
      </c>
      <c r="I1771" t="str">
        <v>MGI 1901 / Slovene National Grid</v>
      </c>
      <c r="J1771" t="str">
        <v>Slovenia - onshore and offshore.</v>
      </c>
      <c r="K1771" s="11">
        <v>0</v>
      </c>
    </row>
    <row r="1772" spans="5:11" x14ac:dyDescent="0.35">
      <c r="E1772" s="9" t="str">
        <v>EPSG</v>
      </c>
      <c r="F1772" s="7" t="str">
        <v>3920</v>
      </c>
      <c r="G1772" t="str">
        <v>ProjectedCrs</v>
      </c>
      <c r="H1772" t="str">
        <v>Transverse Mercator</v>
      </c>
      <c r="I1772" t="str">
        <v>Puerto Rico / UTM zone 20N</v>
      </c>
      <c r="J1772" t="str">
        <v>British Virgin Islands - onshore - Anegada, Jost Van Dyke, Tortola, and Virgin Gorda.</v>
      </c>
      <c r="K1772" s="11">
        <v>0</v>
      </c>
    </row>
    <row r="1773" spans="5:11" x14ac:dyDescent="0.35">
      <c r="E1773" s="9" t="str">
        <v>EPSG</v>
      </c>
      <c r="F1773" s="7" t="str">
        <v>3942</v>
      </c>
      <c r="G1773" t="str">
        <v>ProjectedCrs</v>
      </c>
      <c r="H1773" t="str">
        <v>Lambert Conic Conformal (2SP)</v>
      </c>
      <c r="I1773" t="str">
        <v>RGF93 v1 / CC42</v>
      </c>
      <c r="J1773" t="str">
        <v>France onshore - mainland south of 43°N and Corsica.</v>
      </c>
      <c r="K1773" s="11">
        <v>0</v>
      </c>
    </row>
    <row r="1774" spans="5:11" x14ac:dyDescent="0.35">
      <c r="E1774" s="9" t="str">
        <v>EPSG</v>
      </c>
      <c r="F1774" s="7" t="str">
        <v>3943</v>
      </c>
      <c r="G1774" t="str">
        <v>ProjectedCrs</v>
      </c>
      <c r="H1774" t="str">
        <v>Lambert Conic Conformal (2SP)</v>
      </c>
      <c r="I1774" t="str">
        <v>RGF93 v1 / CC43</v>
      </c>
      <c r="J1774" t="str">
        <v>France - mainland onshore south of 44°N.</v>
      </c>
      <c r="K1774" s="11">
        <v>0</v>
      </c>
    </row>
    <row r="1775" spans="5:11" x14ac:dyDescent="0.35">
      <c r="E1775" s="9" t="str">
        <v>EPSG</v>
      </c>
      <c r="F1775" s="7" t="str">
        <v>3944</v>
      </c>
      <c r="G1775" t="str">
        <v>ProjectedCrs</v>
      </c>
      <c r="H1775" t="str">
        <v>Lambert Conic Conformal (2SP)</v>
      </c>
      <c r="I1775" t="str">
        <v>RGF93 v1 / CC44</v>
      </c>
      <c r="J1775" t="str">
        <v>France - mainland onshore between 43°N and 45°N.</v>
      </c>
      <c r="K1775" s="11">
        <v>0</v>
      </c>
    </row>
    <row r="1776" spans="5:11" x14ac:dyDescent="0.35">
      <c r="E1776" s="9" t="str">
        <v>EPSG</v>
      </c>
      <c r="F1776" s="7" t="str">
        <v>3945</v>
      </c>
      <c r="G1776" t="str">
        <v>ProjectedCrs</v>
      </c>
      <c r="H1776" t="str">
        <v>Lambert Conic Conformal (2SP)</v>
      </c>
      <c r="I1776" t="str">
        <v>RGF93 v1 / CC45</v>
      </c>
      <c r="J1776" t="str">
        <v>France - mainland onshore between 44°N and 46°N.</v>
      </c>
      <c r="K1776" s="11">
        <v>0</v>
      </c>
    </row>
    <row r="1777" spans="5:11" x14ac:dyDescent="0.35">
      <c r="E1777" s="9" t="str">
        <v>EPSG</v>
      </c>
      <c r="F1777" s="7" t="str">
        <v>3946</v>
      </c>
      <c r="G1777" t="str">
        <v>ProjectedCrs</v>
      </c>
      <c r="H1777" t="str">
        <v>Lambert Conic Conformal (2SP)</v>
      </c>
      <c r="I1777" t="str">
        <v>RGF93 v1 / CC46</v>
      </c>
      <c r="J1777" t="str">
        <v>France - mainland onshore between 45°N and 47°N.</v>
      </c>
      <c r="K1777" s="11">
        <v>0</v>
      </c>
    </row>
    <row r="1778" spans="5:11" x14ac:dyDescent="0.35">
      <c r="E1778" s="9" t="str">
        <v>EPSG</v>
      </c>
      <c r="F1778" s="7" t="str">
        <v>3947</v>
      </c>
      <c r="G1778" t="str">
        <v>ProjectedCrs</v>
      </c>
      <c r="H1778" t="str">
        <v>Lambert Conic Conformal (2SP)</v>
      </c>
      <c r="I1778" t="str">
        <v>RGF93 v1 / CC47</v>
      </c>
      <c r="J1778" t="str">
        <v>France - mainland onshore between 46°N and 48°N.</v>
      </c>
      <c r="K1778" s="11">
        <v>0</v>
      </c>
    </row>
    <row r="1779" spans="5:11" x14ac:dyDescent="0.35">
      <c r="E1779" s="9" t="str">
        <v>EPSG</v>
      </c>
      <c r="F1779" s="7" t="str">
        <v>3948</v>
      </c>
      <c r="G1779" t="str">
        <v>ProjectedCrs</v>
      </c>
      <c r="H1779" t="str">
        <v>Lambert Conic Conformal (2SP)</v>
      </c>
      <c r="I1779" t="str">
        <v>RGF93 v1 / CC48</v>
      </c>
      <c r="J1779" t="str">
        <v>France - mainland onshore between 47°N and 49°N.</v>
      </c>
      <c r="K1779" s="11">
        <v>0</v>
      </c>
    </row>
    <row r="1780" spans="5:11" x14ac:dyDescent="0.35">
      <c r="E1780" s="9" t="str">
        <v>EPSG</v>
      </c>
      <c r="F1780" s="7" t="str">
        <v>3949</v>
      </c>
      <c r="G1780" t="str">
        <v>ProjectedCrs</v>
      </c>
      <c r="H1780" t="str">
        <v>Lambert Conic Conformal (2SP)</v>
      </c>
      <c r="I1780" t="str">
        <v>RGF93 v1 / CC49</v>
      </c>
      <c r="J1780" t="str">
        <v>France - mainland onshore between 48°N and 50°N.</v>
      </c>
      <c r="K1780" s="11">
        <v>0</v>
      </c>
    </row>
    <row r="1781" spans="5:11" x14ac:dyDescent="0.35">
      <c r="E1781" s="9" t="str">
        <v>EPSG</v>
      </c>
      <c r="F1781" s="7" t="str">
        <v>3950</v>
      </c>
      <c r="G1781" t="str">
        <v>ProjectedCrs</v>
      </c>
      <c r="H1781" t="str">
        <v>Lambert Conic Conformal (2SP)</v>
      </c>
      <c r="I1781" t="str">
        <v>RGF93 v1 / CC50</v>
      </c>
      <c r="J1781" t="str">
        <v>France - mainland onshore north of 49°N.</v>
      </c>
      <c r="K1781" s="11">
        <v>0</v>
      </c>
    </row>
    <row r="1782" spans="5:11" x14ac:dyDescent="0.35">
      <c r="E1782" s="9" t="str">
        <v>EPSG</v>
      </c>
      <c r="F1782" s="7" t="str">
        <v>3968</v>
      </c>
      <c r="G1782" t="str">
        <v>ProjectedCrs</v>
      </c>
      <c r="H1782" t="str">
        <v>Lambert Conic Conformal (2SP)</v>
      </c>
      <c r="I1782" t="str">
        <v>NAD83 / Virginia Lambert</v>
      </c>
      <c r="J1782" t="str">
        <v>United States (USA) - Virginia.</v>
      </c>
      <c r="K1782" s="11">
        <v>0</v>
      </c>
    </row>
    <row r="1783" spans="5:11" x14ac:dyDescent="0.35">
      <c r="E1783" s="9" t="str">
        <v>EPSG</v>
      </c>
      <c r="F1783" s="7" t="str">
        <v>3969</v>
      </c>
      <c r="G1783" t="str">
        <v>ProjectedCrs</v>
      </c>
      <c r="H1783" t="str">
        <v>Lambert Conic Conformal (2SP)</v>
      </c>
      <c r="I1783" t="str">
        <v>NAD83(HARN) / Virginia Lambert</v>
      </c>
      <c r="J1783" t="str">
        <v>United States (USA) - Virginia.</v>
      </c>
      <c r="K1783" s="11">
        <v>0</v>
      </c>
    </row>
    <row r="1784" spans="5:11" x14ac:dyDescent="0.35">
      <c r="E1784" s="9" t="str">
        <v>EPSG</v>
      </c>
      <c r="F1784" s="7" t="str">
        <v>3970</v>
      </c>
      <c r="G1784" t="str">
        <v>ProjectedCrs</v>
      </c>
      <c r="H1784" t="str">
        <v>Lambert Conic Conformal (2SP)</v>
      </c>
      <c r="I1784" t="str">
        <v>NAD83(NSRS2007) / Virginia Lambert</v>
      </c>
      <c r="J1784" t="str">
        <v>United States (USA) - Virginia.</v>
      </c>
      <c r="K1784" s="11">
        <v>0</v>
      </c>
    </row>
    <row r="1785" spans="5:11" x14ac:dyDescent="0.35">
      <c r="E1785" s="9" t="str">
        <v>EPSG</v>
      </c>
      <c r="F1785" s="7" t="str">
        <v>3976</v>
      </c>
      <c r="G1785" t="str">
        <v>ProjectedCrs</v>
      </c>
      <c r="H1785" t="str">
        <v>Polar Stereographic (variant B)</v>
      </c>
      <c r="I1785" t="str">
        <v>WGS 84 / NSIDC Sea Ice Polar Stereographic South</v>
      </c>
      <c r="J1785" t="str">
        <v>Southern hemisphere - south of 60°S onshore and offshore - Antarctica.</v>
      </c>
      <c r="K1785" s="11">
        <v>0</v>
      </c>
    </row>
    <row r="1786" spans="5:11" x14ac:dyDescent="0.35">
      <c r="E1786" s="9" t="str">
        <v>EPSG</v>
      </c>
      <c r="F1786" s="7" t="str">
        <v>3978</v>
      </c>
      <c r="G1786" t="str">
        <v>ProjectedCrs</v>
      </c>
      <c r="H1786" t="str">
        <v>Lambert Conic Conformal (2SP)</v>
      </c>
      <c r="I1786" t="str">
        <v>NAD83 / Canada Atlas Lambert</v>
      </c>
      <c r="J1786" t="str">
        <v>Canada - onshore and offshore - Alberta; British Columbia; Manitoba; New Brunswick; Newfoundland and Labrador; Northwest Territories; Nova Scotia; Nunavut; Ontario; Prince Edward Island; Quebec; Saskatchewan; Yukon.</v>
      </c>
      <c r="K1786" s="11">
        <v>0</v>
      </c>
    </row>
    <row r="1787" spans="5:11" x14ac:dyDescent="0.35">
      <c r="E1787" s="9" t="str">
        <v>EPSG</v>
      </c>
      <c r="F1787" s="7" t="str">
        <v>3979</v>
      </c>
      <c r="G1787" t="str">
        <v>ProjectedCrs</v>
      </c>
      <c r="H1787" t="str">
        <v>Lambert Conic Conformal (2SP)</v>
      </c>
      <c r="I1787" t="str">
        <v>NAD83(CSRS) / Canada Atlas Lambert</v>
      </c>
      <c r="J1787" t="str">
        <v>Canada - onshore and offshore - Alberta; British Columbia; Manitoba; New Brunswick; Newfoundland and Labrador; Northwest Territories; Nova Scotia; Nunavut; Ontario; Prince Edward Island; Quebec; Saskatchewan; Yukon.</v>
      </c>
      <c r="K1787" s="11">
        <v>0</v>
      </c>
    </row>
    <row r="1788" spans="5:11" x14ac:dyDescent="0.35">
      <c r="E1788" s="9" t="str">
        <v>EPSG</v>
      </c>
      <c r="F1788" s="7" t="str">
        <v>3986</v>
      </c>
      <c r="G1788" t="str">
        <v>ProjectedCrs</v>
      </c>
      <c r="H1788" t="str">
        <v>Transverse Mercator</v>
      </c>
      <c r="I1788" t="str">
        <v>Katanga 1955 / Katanga Gauss zone A</v>
      </c>
      <c r="J1788" t="str">
        <v>The Democratic Republic of the Congo (Zaire) - Katanga east of 28°30'E.</v>
      </c>
      <c r="K1788" s="11">
        <v>0</v>
      </c>
    </row>
    <row r="1789" spans="5:11" x14ac:dyDescent="0.35">
      <c r="E1789" s="9" t="str">
        <v>EPSG</v>
      </c>
      <c r="F1789" s="7" t="str">
        <v>3987</v>
      </c>
      <c r="G1789" t="str">
        <v>ProjectedCrs</v>
      </c>
      <c r="H1789" t="str">
        <v>Transverse Mercator</v>
      </c>
      <c r="I1789" t="str">
        <v>Katanga 1955 / Katanga Gauss zone B</v>
      </c>
      <c r="J1789" t="str">
        <v>The Democratic Republic of the Congo (Zaire) - Katanga between 26°30'E and 29°30'E.</v>
      </c>
      <c r="K1789" s="11">
        <v>0</v>
      </c>
    </row>
    <row r="1790" spans="5:11" x14ac:dyDescent="0.35">
      <c r="E1790" s="9" t="str">
        <v>EPSG</v>
      </c>
      <c r="F1790" s="7" t="str">
        <v>3988</v>
      </c>
      <c r="G1790" t="str">
        <v>ProjectedCrs</v>
      </c>
      <c r="H1790" t="str">
        <v>Transverse Mercator</v>
      </c>
      <c r="I1790" t="str">
        <v>Katanga 1955 / Katanga Gauss zone C</v>
      </c>
      <c r="J1790" t="str">
        <v>The Democratic Republic of the Congo (Zaire) - Katanga between 24°30'E and 27°30'E.</v>
      </c>
      <c r="K1790" s="11">
        <v>0</v>
      </c>
    </row>
    <row r="1791" spans="5:11" x14ac:dyDescent="0.35">
      <c r="E1791" s="9" t="str">
        <v>EPSG</v>
      </c>
      <c r="F1791" s="7" t="str">
        <v>3989</v>
      </c>
      <c r="G1791" t="str">
        <v>ProjectedCrs</v>
      </c>
      <c r="H1791" t="str">
        <v>Transverse Mercator</v>
      </c>
      <c r="I1791" t="str">
        <v>Katanga 1955 / Katanga Gauss zone D</v>
      </c>
      <c r="J1791" t="str">
        <v>The Democratic Republic of the Congo (Zaire) - Katanga west of 25°30'E.</v>
      </c>
      <c r="K1791" s="11">
        <v>0</v>
      </c>
    </row>
    <row r="1792" spans="5:11" x14ac:dyDescent="0.35">
      <c r="E1792" s="9" t="str">
        <v>EPSG</v>
      </c>
      <c r="F1792" s="7" t="str">
        <v>3991</v>
      </c>
      <c r="G1792" t="str">
        <v>ProjectedCrs</v>
      </c>
      <c r="H1792" t="str">
        <v>Lambert Conic Conformal (2SP)</v>
      </c>
      <c r="I1792" t="str">
        <v>Puerto Rico State Plane CS of 1927</v>
      </c>
      <c r="J1792" t="str">
        <v>Puerto Rico - onshore.</v>
      </c>
      <c r="K1792" s="11">
        <v>0</v>
      </c>
    </row>
    <row r="1793" spans="5:11" x14ac:dyDescent="0.35">
      <c r="E1793" s="9" t="str">
        <v>EPSG</v>
      </c>
      <c r="F1793" s="7" t="str">
        <v>3992</v>
      </c>
      <c r="G1793" t="str">
        <v>ProjectedCrs</v>
      </c>
      <c r="H1793" t="str">
        <v>Lambert Conic Conformal (2SP)</v>
      </c>
      <c r="I1793" t="str">
        <v>Puerto Rico / St. Croix</v>
      </c>
      <c r="J1793" t="str">
        <v>US Virgin Islands - onshore - St Croix, St John, and St Thomas.</v>
      </c>
      <c r="K1793" s="11">
        <v>0</v>
      </c>
    </row>
    <row r="1794" spans="5:11" x14ac:dyDescent="0.35">
      <c r="E1794" s="9" t="str">
        <v>EPSG</v>
      </c>
      <c r="F1794" s="7" t="str">
        <v>3993</v>
      </c>
      <c r="G1794" t="str">
        <v>ProjectedCrs</v>
      </c>
      <c r="H1794" t="str">
        <v>Guam Projection</v>
      </c>
      <c r="I1794" t="str">
        <v>Guam 1963 / Guam SPCS</v>
      </c>
      <c r="J1794" t="str">
        <v>Guam - onshore.</v>
      </c>
      <c r="K1794" s="11">
        <v>0</v>
      </c>
    </row>
    <row r="1795" spans="5:11" x14ac:dyDescent="0.35">
      <c r="E1795" s="9" t="str">
        <v>EPSG</v>
      </c>
      <c r="F1795" s="7" t="str">
        <v>3994</v>
      </c>
      <c r="G1795" t="str">
        <v>ProjectedCrs</v>
      </c>
      <c r="H1795" t="str">
        <v>Mercator (variant B)</v>
      </c>
      <c r="I1795" t="str">
        <v>WGS 84 / Mercator 41</v>
      </c>
      <c r="J1795" t="str">
        <v>Southwestern Pacific Ocean and Southern Ocean areas surrounding New Zealand.</v>
      </c>
      <c r="K1795" s="11">
        <v>0</v>
      </c>
    </row>
    <row r="1796" spans="5:11" x14ac:dyDescent="0.35">
      <c r="E1796" s="9" t="str">
        <v>EPSG</v>
      </c>
      <c r="F1796" s="7" t="str">
        <v>3995</v>
      </c>
      <c r="G1796" t="str">
        <v>ProjectedCrs</v>
      </c>
      <c r="H1796" t="str">
        <v>Polar Stereographic (variant B)</v>
      </c>
      <c r="I1796" t="str">
        <v>WGS 84 / Arctic Polar Stereographic</v>
      </c>
      <c r="J1796" t="str">
        <v>Northern hemisphere - north of 60°N onshore and offshore, including Arctic.</v>
      </c>
      <c r="K1796" s="11">
        <v>0</v>
      </c>
    </row>
    <row r="1797" spans="5:11" x14ac:dyDescent="0.35">
      <c r="E1797" s="9" t="str">
        <v>EPSG</v>
      </c>
      <c r="F1797" s="7" t="str">
        <v>3996</v>
      </c>
      <c r="G1797" t="str">
        <v>ProjectedCrs</v>
      </c>
      <c r="H1797" t="str">
        <v>Polar Stereographic (variant B)</v>
      </c>
      <c r="I1797" t="str">
        <v>WGS 84 / IBCAO Polar Stereographic</v>
      </c>
      <c r="J1797" t="str">
        <v>Northern hemisphere - north of 60°N onshore and offshore, including Arctic.</v>
      </c>
      <c r="K1797" s="11">
        <v>0</v>
      </c>
    </row>
    <row r="1798" spans="5:11" x14ac:dyDescent="0.35">
      <c r="E1798" s="9" t="str">
        <v>EPSG</v>
      </c>
      <c r="F1798" s="7" t="str">
        <v>3997</v>
      </c>
      <c r="G1798" t="str">
        <v>ProjectedCrs</v>
      </c>
      <c r="H1798" t="str">
        <v>Transverse Mercator</v>
      </c>
      <c r="I1798" t="str">
        <v>WGS 84 / Dubai Local TM</v>
      </c>
      <c r="J1798" t="str">
        <v>United Arab Emirates (UAE) - Dubai municipality.</v>
      </c>
      <c r="K1798" s="11">
        <v>0</v>
      </c>
    </row>
    <row r="1799" spans="5:11" x14ac:dyDescent="0.35">
      <c r="E1799" s="9" t="str">
        <v>EPSG</v>
      </c>
      <c r="F1799" s="7" t="str">
        <v>4000</v>
      </c>
      <c r="G1799" t="str">
        <v>GeocentricCrs</v>
      </c>
      <c r="H1799" t="str">
        <v>&lt;undefined&gt;</v>
      </c>
      <c r="I1799" t="str">
        <v>MOLDREF99</v>
      </c>
      <c r="J1799" t="str">
        <v>Moldova.</v>
      </c>
      <c r="K1799" s="11">
        <v>0</v>
      </c>
    </row>
    <row r="1800" spans="5:11" x14ac:dyDescent="0.35">
      <c r="E1800" s="9" t="str">
        <v>EPSG</v>
      </c>
      <c r="F1800" s="7" t="str">
        <v>4017</v>
      </c>
      <c r="G1800" t="str">
        <v>Geographic3DCrs</v>
      </c>
      <c r="H1800" t="str">
        <v>&lt;undefined&gt;</v>
      </c>
      <c r="I1800" t="str">
        <v>MOLDREF99</v>
      </c>
      <c r="J1800" t="str">
        <v>Moldova.</v>
      </c>
      <c r="K1800" s="11">
        <v>0</v>
      </c>
    </row>
    <row r="1801" spans="5:11" x14ac:dyDescent="0.35">
      <c r="E1801" s="9" t="str">
        <v>EPSG</v>
      </c>
      <c r="F1801" s="7" t="str">
        <v>4023</v>
      </c>
      <c r="G1801" t="str">
        <v>Geographic2DCrs</v>
      </c>
      <c r="H1801" t="str">
        <v>&lt;undefined&gt;</v>
      </c>
      <c r="I1801" t="str">
        <v>MOLDREF99</v>
      </c>
      <c r="J1801" t="str">
        <v>Moldova.</v>
      </c>
      <c r="K1801" s="11">
        <v>0</v>
      </c>
    </row>
    <row r="1802" spans="5:11" x14ac:dyDescent="0.35">
      <c r="E1802" s="9" t="str">
        <v>EPSG</v>
      </c>
      <c r="F1802" s="7" t="str">
        <v>4026</v>
      </c>
      <c r="G1802" t="str">
        <v>ProjectedCrs</v>
      </c>
      <c r="H1802" t="str">
        <v>Transverse Mercator</v>
      </c>
      <c r="I1802" t="str">
        <v>MOLDREF99 / Moldova TM</v>
      </c>
      <c r="J1802" t="str">
        <v>Moldova.</v>
      </c>
      <c r="K1802" s="11">
        <v>0</v>
      </c>
    </row>
    <row r="1803" spans="5:11" x14ac:dyDescent="0.35">
      <c r="E1803" s="9" t="str">
        <v>EPSG</v>
      </c>
      <c r="F1803" s="7" t="str">
        <v>4037</v>
      </c>
      <c r="G1803" t="str">
        <v>ProjectedCrs</v>
      </c>
      <c r="H1803" t="str">
        <v>Transverse Mercator</v>
      </c>
      <c r="I1803" t="str">
        <v>WGS 84 / TMzn35N</v>
      </c>
      <c r="J1803" t="str">
        <v>Moldova - west of 30°E.</v>
      </c>
      <c r="K1803" s="11">
        <v>0</v>
      </c>
    </row>
    <row r="1804" spans="5:11" x14ac:dyDescent="0.35">
      <c r="E1804" s="9" t="str">
        <v>EPSG</v>
      </c>
      <c r="F1804" s="7" t="str">
        <v>4038</v>
      </c>
      <c r="G1804" t="str">
        <v>ProjectedCrs</v>
      </c>
      <c r="H1804" t="str">
        <v>Transverse Mercator</v>
      </c>
      <c r="I1804" t="str">
        <v>WGS 84 / TMzn36N</v>
      </c>
      <c r="J1804" t="str">
        <v>Moldova - east of 30°E.</v>
      </c>
      <c r="K1804" s="11">
        <v>0</v>
      </c>
    </row>
    <row r="1805" spans="5:11" x14ac:dyDescent="0.35">
      <c r="E1805" s="9" t="str">
        <v>EPSG</v>
      </c>
      <c r="F1805" s="7" t="str">
        <v>4039</v>
      </c>
      <c r="G1805" t="str">
        <v>GeocentricCrs</v>
      </c>
      <c r="H1805" t="str">
        <v>&lt;undefined&gt;</v>
      </c>
      <c r="I1805" t="str">
        <v>RGRDC 2005</v>
      </c>
      <c r="J1805" t="str">
        <v>The Democratic Republic of the Congo (Zaire) - south of a line through Bandundu, Seke and Pweto - onshore and offshore.</v>
      </c>
      <c r="K1805" s="11">
        <v>0</v>
      </c>
    </row>
    <row r="1806" spans="5:11" x14ac:dyDescent="0.35">
      <c r="E1806" s="9" t="str">
        <v>EPSG</v>
      </c>
      <c r="F1806" s="7" t="str">
        <v>4040</v>
      </c>
      <c r="G1806" t="str">
        <v>Geographic3DCrs</v>
      </c>
      <c r="H1806" t="str">
        <v>&lt;undefined&gt;</v>
      </c>
      <c r="I1806" t="str">
        <v>RGRDC 2005</v>
      </c>
      <c r="J1806" t="str">
        <v>The Democratic Republic of the Congo (Zaire) - south of a line through Bandundu, Seke and Pweto - onshore and offshore.</v>
      </c>
      <c r="K1806" s="11">
        <v>0</v>
      </c>
    </row>
    <row r="1807" spans="5:11" x14ac:dyDescent="0.35">
      <c r="E1807" s="9" t="str">
        <v>EPSG</v>
      </c>
      <c r="F1807" s="7" t="str">
        <v>4046</v>
      </c>
      <c r="G1807" t="str">
        <v>Geographic2DCrs</v>
      </c>
      <c r="H1807" t="str">
        <v>&lt;undefined&gt;</v>
      </c>
      <c r="I1807" t="str">
        <v>RGRDC 2005</v>
      </c>
      <c r="J1807" t="str">
        <v>The Democratic Republic of the Congo (Zaire) - south of a line through Bandundu, Seke and Pweto - onshore and offshore.</v>
      </c>
      <c r="K1807" s="11">
        <v>0</v>
      </c>
    </row>
    <row r="1808" spans="5:11" x14ac:dyDescent="0.35">
      <c r="E1808" s="9" t="str">
        <v>EPSG</v>
      </c>
      <c r="F1808" s="7" t="str">
        <v>4048</v>
      </c>
      <c r="G1808" t="str">
        <v>ProjectedCrs</v>
      </c>
      <c r="H1808" t="str">
        <v>Transverse Mercator</v>
      </c>
      <c r="I1808" t="str">
        <v>RGRDC 2005 / Congo TM zone 12</v>
      </c>
      <c r="J1808" t="str">
        <v>The Democratic Republic of the Congo (Zaire) - west of 13°E onshore and offshore.</v>
      </c>
      <c r="K1808" s="11">
        <v>0</v>
      </c>
    </row>
    <row r="1809" spans="5:11" x14ac:dyDescent="0.35">
      <c r="E1809" s="9" t="str">
        <v>EPSG</v>
      </c>
      <c r="F1809" s="7" t="str">
        <v>4049</v>
      </c>
      <c r="G1809" t="str">
        <v>ProjectedCrs</v>
      </c>
      <c r="H1809" t="str">
        <v>Transverse Mercator</v>
      </c>
      <c r="I1809" t="str">
        <v>RGRDC 2005 / Congo TM zone 14</v>
      </c>
      <c r="J1809" t="str">
        <v>The Democratic Republic of the Congo (Zaire) - between 13°E to 15°E.</v>
      </c>
      <c r="K1809" s="11">
        <v>0</v>
      </c>
    </row>
    <row r="1810" spans="5:11" x14ac:dyDescent="0.35">
      <c r="E1810" s="9" t="str">
        <v>EPSG</v>
      </c>
      <c r="F1810" s="7" t="str">
        <v>4050</v>
      </c>
      <c r="G1810" t="str">
        <v>ProjectedCrs</v>
      </c>
      <c r="H1810" t="str">
        <v>Transverse Mercator</v>
      </c>
      <c r="I1810" t="str">
        <v>RGRDC 2005 / Congo TM zone 16</v>
      </c>
      <c r="J1810" t="str">
        <v>The Democratic Republic of the Congo (Zaire) - south of a line through Bandundu, Seke and Pweto and between 15°E and 17°E.</v>
      </c>
      <c r="K1810" s="11">
        <v>0</v>
      </c>
    </row>
    <row r="1811" spans="5:11" x14ac:dyDescent="0.35">
      <c r="E1811" s="9" t="str">
        <v>EPSG</v>
      </c>
      <c r="F1811" s="7" t="str">
        <v>4051</v>
      </c>
      <c r="G1811" t="str">
        <v>ProjectedCrs</v>
      </c>
      <c r="H1811" t="str">
        <v>Transverse Mercator</v>
      </c>
      <c r="I1811" t="str">
        <v>RGRDC 2005 / Congo TM zone 18</v>
      </c>
      <c r="J1811" t="str">
        <v>The Democratic Republic of the Congo (Zaire) - south of a line through Bandundu, Seke and Pweto and between 17°E and 19°E.</v>
      </c>
      <c r="K1811" s="11">
        <v>0</v>
      </c>
    </row>
    <row r="1812" spans="5:11" x14ac:dyDescent="0.35">
      <c r="E1812" s="9" t="str">
        <v>EPSG</v>
      </c>
      <c r="F1812" s="7" t="str">
        <v>4056</v>
      </c>
      <c r="G1812" t="str">
        <v>ProjectedCrs</v>
      </c>
      <c r="H1812" t="str">
        <v>Transverse Mercator</v>
      </c>
      <c r="I1812" t="str">
        <v>RGRDC 2005 / Congo TM zone 20</v>
      </c>
      <c r="J1812" t="str">
        <v>The Democratic Republic of the Congo (Zaire) - south of a line through Bandundu, Seke and Pweto and between 19°E and 21°E.</v>
      </c>
      <c r="K1812" s="11">
        <v>0</v>
      </c>
    </row>
    <row r="1813" spans="5:11" x14ac:dyDescent="0.35">
      <c r="E1813" s="9" t="str">
        <v>EPSG</v>
      </c>
      <c r="F1813" s="7" t="str">
        <v>4057</v>
      </c>
      <c r="G1813" t="str">
        <v>ProjectedCrs</v>
      </c>
      <c r="H1813" t="str">
        <v>Transverse Mercator</v>
      </c>
      <c r="I1813" t="str">
        <v>RGRDC 2005 / Congo TM zone 22</v>
      </c>
      <c r="J1813" t="str">
        <v>The Democratic Republic of the Congo (Zaire) - south of a line through Bandundu, Seke and Pweto and between 21°E and 23°E.</v>
      </c>
      <c r="K1813" s="11">
        <v>0</v>
      </c>
    </row>
    <row r="1814" spans="5:11" x14ac:dyDescent="0.35">
      <c r="E1814" s="9" t="str">
        <v>EPSG</v>
      </c>
      <c r="F1814" s="7" t="str">
        <v>4058</v>
      </c>
      <c r="G1814" t="str">
        <v>ProjectedCrs</v>
      </c>
      <c r="H1814" t="str">
        <v>Transverse Mercator</v>
      </c>
      <c r="I1814" t="str">
        <v>RGRDC 2005 / Congo TM zone 24</v>
      </c>
      <c r="J1814" t="str">
        <v>The Democratic Republic of the Congo (Zaire) - south of a line through Bandundu, Seke and Pweto and between 23°E and 25°E.</v>
      </c>
      <c r="K1814" s="11">
        <v>0</v>
      </c>
    </row>
    <row r="1815" spans="5:11" x14ac:dyDescent="0.35">
      <c r="E1815" s="9" t="str">
        <v>EPSG</v>
      </c>
      <c r="F1815" s="7" t="str">
        <v>4059</v>
      </c>
      <c r="G1815" t="str">
        <v>ProjectedCrs</v>
      </c>
      <c r="H1815" t="str">
        <v>Transverse Mercator</v>
      </c>
      <c r="I1815" t="str">
        <v>RGRDC 2005 / Congo TM zone 26</v>
      </c>
      <c r="J1815" t="str">
        <v>The Democratic Republic of the Congo (Zaire) - south of a line through Bandundu, Seke and Pweto and between 25°E and 27°E.</v>
      </c>
      <c r="K1815" s="11">
        <v>0</v>
      </c>
    </row>
    <row r="1816" spans="5:11" x14ac:dyDescent="0.35">
      <c r="E1816" s="9" t="str">
        <v>EPSG</v>
      </c>
      <c r="F1816" s="7" t="str">
        <v>4060</v>
      </c>
      <c r="G1816" t="str">
        <v>ProjectedCrs</v>
      </c>
      <c r="H1816" t="str">
        <v>Transverse Mercator</v>
      </c>
      <c r="I1816" t="str">
        <v>RGRDC 2005 / Congo TM zone 28</v>
      </c>
      <c r="J1816" t="str">
        <v>The Democratic Republic of the Congo (Zaire) - south of a line through Bandundu, Seke and Pweto and between 27°E and 29°E.</v>
      </c>
      <c r="K1816" s="11">
        <v>0</v>
      </c>
    </row>
    <row r="1817" spans="5:11" x14ac:dyDescent="0.35">
      <c r="E1817" s="9" t="str">
        <v>EPSG</v>
      </c>
      <c r="F1817" s="7" t="str">
        <v>4061</v>
      </c>
      <c r="G1817" t="str">
        <v>ProjectedCrs</v>
      </c>
      <c r="H1817" t="str">
        <v>Transverse Mercator</v>
      </c>
      <c r="I1817" t="str">
        <v>RGRDC 2005 / UTM zone 33S</v>
      </c>
      <c r="J1817" t="str">
        <v>The Democratic Republic of the Congo (Zaire) - onshore and offshore south of a line through Bandundu, Seke and Pweto and between 12°E and 18°E.</v>
      </c>
      <c r="K1817" s="11">
        <v>0</v>
      </c>
    </row>
    <row r="1818" spans="5:11" x14ac:dyDescent="0.35">
      <c r="E1818" s="9" t="str">
        <v>EPSG</v>
      </c>
      <c r="F1818" s="7" t="str">
        <v>4062</v>
      </c>
      <c r="G1818" t="str">
        <v>ProjectedCrs</v>
      </c>
      <c r="H1818" t="str">
        <v>Transverse Mercator</v>
      </c>
      <c r="I1818" t="str">
        <v>RGRDC 2005 / UTM zone 34S</v>
      </c>
      <c r="J1818" t="str">
        <v>The Democratic Republic of the Congo (Zaire) - south of a line through Bandundu, Seke and Pweto and between 18°E and 24°E.</v>
      </c>
      <c r="K1818" s="11">
        <v>0</v>
      </c>
    </row>
    <row r="1819" spans="5:11" x14ac:dyDescent="0.35">
      <c r="E1819" s="9" t="str">
        <v>EPSG</v>
      </c>
      <c r="F1819" s="7" t="str">
        <v>4063</v>
      </c>
      <c r="G1819" t="str">
        <v>ProjectedCrs</v>
      </c>
      <c r="H1819" t="str">
        <v>Transverse Mercator</v>
      </c>
      <c r="I1819" t="str">
        <v>RGRDC 2005 / UTM zone 35S</v>
      </c>
      <c r="J1819" t="str">
        <v>The Democratic Republic of the Congo (Zaire) - south of a line through Bandundu, Seke and Pweto and east of 24°E.</v>
      </c>
      <c r="K1819" s="11">
        <v>0</v>
      </c>
    </row>
    <row r="1820" spans="5:11" x14ac:dyDescent="0.35">
      <c r="E1820" s="9" t="str">
        <v>EPSG</v>
      </c>
      <c r="F1820" s="7" t="str">
        <v>4071</v>
      </c>
      <c r="G1820" t="str">
        <v>ProjectedCrs</v>
      </c>
      <c r="H1820" t="str">
        <v>Transverse Mercator</v>
      </c>
      <c r="I1820" t="str">
        <v>Chua / UTM zone 23S</v>
      </c>
      <c r="J1820" t="str">
        <v>Brazil - Distrito Federal.</v>
      </c>
      <c r="K1820" s="11">
        <v>0</v>
      </c>
    </row>
    <row r="1821" spans="5:11" x14ac:dyDescent="0.35">
      <c r="E1821" s="9" t="str">
        <v>EPSG</v>
      </c>
      <c r="F1821" s="7" t="str">
        <v>4073</v>
      </c>
      <c r="G1821" t="str">
        <v>GeocentricCrs</v>
      </c>
      <c r="H1821" t="str">
        <v>&lt;undefined&gt;</v>
      </c>
      <c r="I1821" t="str">
        <v>SREF98</v>
      </c>
      <c r="J1821" t="str">
        <v>Serbia including Vojvodina.</v>
      </c>
      <c r="K1821" s="11">
        <v>0</v>
      </c>
    </row>
    <row r="1822" spans="5:11" x14ac:dyDescent="0.35">
      <c r="E1822" s="9" t="str">
        <v>EPSG</v>
      </c>
      <c r="F1822" s="7" t="str">
        <v>4074</v>
      </c>
      <c r="G1822" t="str">
        <v>Geographic3DCrs</v>
      </c>
      <c r="H1822" t="str">
        <v>&lt;undefined&gt;</v>
      </c>
      <c r="I1822" t="str">
        <v>SREF98</v>
      </c>
      <c r="J1822" t="str">
        <v>Serbia including Vojvodina.</v>
      </c>
      <c r="K1822" s="11">
        <v>0</v>
      </c>
    </row>
    <row r="1823" spans="5:11" x14ac:dyDescent="0.35">
      <c r="E1823" s="9" t="str">
        <v>EPSG</v>
      </c>
      <c r="F1823" s="7" t="str">
        <v>4075</v>
      </c>
      <c r="G1823" t="str">
        <v>Geographic2DCrs</v>
      </c>
      <c r="H1823" t="str">
        <v>&lt;undefined&gt;</v>
      </c>
      <c r="I1823" t="str">
        <v>SREF98</v>
      </c>
      <c r="J1823" t="str">
        <v>Serbia including Vojvodina.</v>
      </c>
      <c r="K1823" s="11">
        <v>0</v>
      </c>
    </row>
    <row r="1824" spans="5:11" x14ac:dyDescent="0.35">
      <c r="E1824" s="9" t="str">
        <v>EPSG</v>
      </c>
      <c r="F1824" s="7" t="str">
        <v>4079</v>
      </c>
      <c r="G1824" t="str">
        <v>GeocentricCrs</v>
      </c>
      <c r="H1824" t="str">
        <v>&lt;undefined&gt;</v>
      </c>
      <c r="I1824" t="str">
        <v>REGCAN95</v>
      </c>
      <c r="J1824" t="str">
        <v>Spain - Canary Islands onshore and offshore.</v>
      </c>
      <c r="K1824" s="11">
        <v>0</v>
      </c>
    </row>
    <row r="1825" spans="5:11" x14ac:dyDescent="0.35">
      <c r="E1825" s="9" t="str">
        <v>EPSG</v>
      </c>
      <c r="F1825" s="7" t="str">
        <v>4080</v>
      </c>
      <c r="G1825" t="str">
        <v>Geographic3DCrs</v>
      </c>
      <c r="H1825" t="str">
        <v>&lt;undefined&gt;</v>
      </c>
      <c r="I1825" t="str">
        <v>REGCAN95</v>
      </c>
      <c r="J1825" t="str">
        <v>Spain - Canary Islands onshore and offshore.</v>
      </c>
      <c r="K1825" s="11">
        <v>0</v>
      </c>
    </row>
    <row r="1826" spans="5:11" x14ac:dyDescent="0.35">
      <c r="E1826" s="9" t="str">
        <v>EPSG</v>
      </c>
      <c r="F1826" s="7" t="str">
        <v>4081</v>
      </c>
      <c r="G1826" t="str">
        <v>Geographic2DCrs</v>
      </c>
      <c r="H1826" t="str">
        <v>&lt;undefined&gt;</v>
      </c>
      <c r="I1826" t="str">
        <v>REGCAN95</v>
      </c>
      <c r="J1826" t="str">
        <v>Spain - Canary Islands onshore and offshore.</v>
      </c>
      <c r="K1826" s="11">
        <v>0</v>
      </c>
    </row>
    <row r="1827" spans="5:11" x14ac:dyDescent="0.35">
      <c r="E1827" s="9" t="str">
        <v>EPSG</v>
      </c>
      <c r="F1827" s="7" t="str">
        <v>4082</v>
      </c>
      <c r="G1827" t="str">
        <v>ProjectedCrs</v>
      </c>
      <c r="H1827" t="str">
        <v>Transverse Mercator</v>
      </c>
      <c r="I1827" t="str">
        <v>REGCAN95 / UTM zone 27N</v>
      </c>
      <c r="J1827" t="str">
        <v>Spain - Canary Islands - west of 18°W, onshore and offshore.</v>
      </c>
      <c r="K1827" s="11">
        <v>0</v>
      </c>
    </row>
    <row r="1828" spans="5:11" x14ac:dyDescent="0.35">
      <c r="E1828" s="9" t="str">
        <v>EPSG</v>
      </c>
      <c r="F1828" s="7" t="str">
        <v>4083</v>
      </c>
      <c r="G1828" t="str">
        <v>ProjectedCrs</v>
      </c>
      <c r="H1828" t="str">
        <v>Transverse Mercator</v>
      </c>
      <c r="I1828" t="str">
        <v>REGCAN95 / UTM zone 28N</v>
      </c>
      <c r="J1828" t="str">
        <v>Spain - Canary Islands - east of 18°W, onshore and offshore.</v>
      </c>
      <c r="K1828" s="11">
        <v>0</v>
      </c>
    </row>
    <row r="1829" spans="5:11" x14ac:dyDescent="0.35">
      <c r="E1829" s="9" t="str">
        <v>EPSG</v>
      </c>
      <c r="F1829" s="7" t="str">
        <v>4087</v>
      </c>
      <c r="G1829" t="str">
        <v>ProjectedCrs</v>
      </c>
      <c r="H1829" t="str">
        <v>Equidistant Cylindrical</v>
      </c>
      <c r="I1829" t="str">
        <v>WGS 84 / World Equidistant Cylindrical</v>
      </c>
      <c r="J1829" t="str">
        <v>World.</v>
      </c>
      <c r="K1829" s="11">
        <v>0</v>
      </c>
    </row>
    <row r="1830" spans="5:11" x14ac:dyDescent="0.35">
      <c r="E1830" s="9" t="str">
        <v>EPSG</v>
      </c>
      <c r="F1830" s="7" t="str">
        <v>4093</v>
      </c>
      <c r="G1830" t="str">
        <v>ProjectedCrs</v>
      </c>
      <c r="H1830" t="str">
        <v>Transverse Mercator</v>
      </c>
      <c r="I1830" t="str">
        <v>ETRS89 / DKTM1</v>
      </c>
      <c r="J1830" t="str">
        <v>Denmark - Jutland onshore west of 10°E.</v>
      </c>
      <c r="K1830" s="11">
        <v>0</v>
      </c>
    </row>
    <row r="1831" spans="5:11" x14ac:dyDescent="0.35">
      <c r="E1831" s="9" t="str">
        <v>EPSG</v>
      </c>
      <c r="F1831" s="7" t="str">
        <v>4094</v>
      </c>
      <c r="G1831" t="str">
        <v>ProjectedCrs</v>
      </c>
      <c r="H1831" t="str">
        <v>Transverse Mercator</v>
      </c>
      <c r="I1831" t="str">
        <v>ETRS89 / DKTM2</v>
      </c>
      <c r="J1831" t="str">
        <v>Denmark - onshore - Jutland east of 9°E and Funen.</v>
      </c>
      <c r="K1831" s="11">
        <v>0</v>
      </c>
    </row>
    <row r="1832" spans="5:11" x14ac:dyDescent="0.35">
      <c r="E1832" s="9" t="str">
        <v>EPSG</v>
      </c>
      <c r="F1832" s="7" t="str">
        <v>4095</v>
      </c>
      <c r="G1832" t="str">
        <v>ProjectedCrs</v>
      </c>
      <c r="H1832" t="str">
        <v>Transverse Mercator</v>
      </c>
      <c r="I1832" t="str">
        <v>ETRS89 / DKTM3</v>
      </c>
      <c r="J1832" t="str">
        <v>Denmark - Zealand and Lolland (onshore).</v>
      </c>
      <c r="K1832" s="11">
        <v>0</v>
      </c>
    </row>
    <row r="1833" spans="5:11" x14ac:dyDescent="0.35">
      <c r="E1833" s="9" t="str">
        <v>EPSG</v>
      </c>
      <c r="F1833" s="7" t="str">
        <v>4096</v>
      </c>
      <c r="G1833" t="str">
        <v>ProjectedCrs</v>
      </c>
      <c r="H1833" t="str">
        <v>Transverse Mercator</v>
      </c>
      <c r="I1833" t="str">
        <v>ETRS89 / DKTM4</v>
      </c>
      <c r="J1833" t="str">
        <v>Denmark - Bornholm onshore.</v>
      </c>
      <c r="K1833" s="11">
        <v>0</v>
      </c>
    </row>
    <row r="1834" spans="5:11" x14ac:dyDescent="0.35">
      <c r="E1834" s="9" t="str">
        <v>EPSG</v>
      </c>
      <c r="F1834" s="7" t="str">
        <v>4097</v>
      </c>
      <c r="G1834" t="str">
        <v>CompoundCrs</v>
      </c>
      <c r="H1834" t="str">
        <v>&lt;undefined&gt;</v>
      </c>
      <c r="I1834" t="str">
        <v>ETRS89 / DKTM1 + DVR90 height</v>
      </c>
      <c r="J1834" t="str">
        <v>Denmark - Jutland onshore west of 10°E.</v>
      </c>
      <c r="K1834" s="11">
        <v>0</v>
      </c>
    </row>
    <row r="1835" spans="5:11" x14ac:dyDescent="0.35">
      <c r="E1835" s="9" t="str">
        <v>EPSG</v>
      </c>
      <c r="F1835" s="7" t="str">
        <v>4098</v>
      </c>
      <c r="G1835" t="str">
        <v>CompoundCrs</v>
      </c>
      <c r="H1835" t="str">
        <v>&lt;undefined&gt;</v>
      </c>
      <c r="I1835" t="str">
        <v>ETRS89 / DKTM2 + DVR90 height</v>
      </c>
      <c r="J1835" t="str">
        <v>Denmark - onshore - Jutland east of 9°E and Funen.</v>
      </c>
      <c r="K1835" s="11">
        <v>0</v>
      </c>
    </row>
    <row r="1836" spans="5:11" x14ac:dyDescent="0.35">
      <c r="E1836" s="9" t="str">
        <v>EPSG</v>
      </c>
      <c r="F1836" s="7" t="str">
        <v>4099</v>
      </c>
      <c r="G1836" t="str">
        <v>CompoundCrs</v>
      </c>
      <c r="H1836" t="str">
        <v>&lt;undefined&gt;</v>
      </c>
      <c r="I1836" t="str">
        <v>ETRS89 / DKTM3 + DVR90 height</v>
      </c>
      <c r="J1836" t="str">
        <v>Denmark - Zealand and Lolland (onshore).</v>
      </c>
      <c r="K1836" s="11">
        <v>0</v>
      </c>
    </row>
    <row r="1837" spans="5:11" x14ac:dyDescent="0.35">
      <c r="E1837" s="9" t="str">
        <v>EPSG</v>
      </c>
      <c r="F1837" s="7" t="str">
        <v>4100</v>
      </c>
      <c r="G1837" t="str">
        <v>CompoundCrs</v>
      </c>
      <c r="H1837" t="str">
        <v>&lt;undefined&gt;</v>
      </c>
      <c r="I1837" t="str">
        <v>ETRS89 / DKTM4 + DVR90 height</v>
      </c>
      <c r="J1837" t="str">
        <v>Denmark - Bornholm onshore.</v>
      </c>
      <c r="K1837" s="11">
        <v>0</v>
      </c>
    </row>
    <row r="1838" spans="5:11" x14ac:dyDescent="0.35">
      <c r="E1838" s="9" t="str">
        <v>EPSG</v>
      </c>
      <c r="F1838" s="7" t="str">
        <v>4120</v>
      </c>
      <c r="G1838" t="str">
        <v>Geographic2DCrs</v>
      </c>
      <c r="H1838" t="str">
        <v>&lt;undefined&gt;</v>
      </c>
      <c r="I1838" t="str">
        <v>Greek</v>
      </c>
      <c r="J1838" t="str">
        <v>Greece - onshore.</v>
      </c>
      <c r="K1838" s="11">
        <v>0</v>
      </c>
    </row>
    <row r="1839" spans="5:11" x14ac:dyDescent="0.35">
      <c r="E1839" s="9" t="str">
        <v>EPSG</v>
      </c>
      <c r="F1839" s="7" t="str">
        <v>4121</v>
      </c>
      <c r="G1839" t="str">
        <v>Geographic2DCrs</v>
      </c>
      <c r="H1839" t="str">
        <v>&lt;undefined&gt;</v>
      </c>
      <c r="I1839" t="str">
        <v>GGRS87</v>
      </c>
      <c r="J1839" t="str">
        <v>Greece - onshore.</v>
      </c>
      <c r="K1839" s="11">
        <v>0</v>
      </c>
    </row>
    <row r="1840" spans="5:11" x14ac:dyDescent="0.35">
      <c r="E1840" s="9" t="str">
        <v>EPSG</v>
      </c>
      <c r="F1840" s="7" t="str">
        <v>4122</v>
      </c>
      <c r="G1840" t="str">
        <v>Geographic2DCrs</v>
      </c>
      <c r="H1840" t="str">
        <v>&lt;undefined&gt;</v>
      </c>
      <c r="I1840" t="str">
        <v>ATS77</v>
      </c>
      <c r="J1840" t="str">
        <v>Canada - New Brunswick; Nova Scotia; Prince Edward Island.</v>
      </c>
      <c r="K1840" s="11">
        <v>0</v>
      </c>
    </row>
    <row r="1841" spans="5:11" x14ac:dyDescent="0.35">
      <c r="E1841" s="9" t="str">
        <v>EPSG</v>
      </c>
      <c r="F1841" s="7" t="str">
        <v>4123</v>
      </c>
      <c r="G1841" t="str">
        <v>Geographic2DCrs</v>
      </c>
      <c r="H1841" t="str">
        <v>&lt;undefined&gt;</v>
      </c>
      <c r="I1841" t="str">
        <v>KKJ</v>
      </c>
      <c r="J1841" t="str">
        <v>Finland - onshore.</v>
      </c>
      <c r="K1841" s="11">
        <v>0</v>
      </c>
    </row>
    <row r="1842" spans="5:11" x14ac:dyDescent="0.35">
      <c r="E1842" s="9" t="str">
        <v>EPSG</v>
      </c>
      <c r="F1842" s="7" t="str">
        <v>4124</v>
      </c>
      <c r="G1842" t="str">
        <v>Geographic2DCrs</v>
      </c>
      <c r="H1842" t="str">
        <v>&lt;undefined&gt;</v>
      </c>
      <c r="I1842" t="str">
        <v>RT90</v>
      </c>
      <c r="J1842" t="str">
        <v>Sweden - onshore and offshore.</v>
      </c>
      <c r="K1842" s="11">
        <v>0</v>
      </c>
    </row>
    <row r="1843" spans="5:11" x14ac:dyDescent="0.35">
      <c r="E1843" s="9" t="str">
        <v>EPSG</v>
      </c>
      <c r="F1843" s="7" t="str">
        <v>4127</v>
      </c>
      <c r="G1843" t="str">
        <v>Geographic2DCrs</v>
      </c>
      <c r="H1843" t="str">
        <v>&lt;undefined&gt;</v>
      </c>
      <c r="I1843" t="str">
        <v>Tete</v>
      </c>
      <c r="J1843" t="str">
        <v>Mozambique - onshore.</v>
      </c>
      <c r="K1843" s="11">
        <v>0</v>
      </c>
    </row>
    <row r="1844" spans="5:11" x14ac:dyDescent="0.35">
      <c r="E1844" s="9" t="str">
        <v>EPSG</v>
      </c>
      <c r="F1844" s="7" t="str">
        <v>4128</v>
      </c>
      <c r="G1844" t="str">
        <v>Geographic2DCrs</v>
      </c>
      <c r="H1844" t="str">
        <v>&lt;undefined&gt;</v>
      </c>
      <c r="I1844" t="str">
        <v>Madzansua</v>
      </c>
      <c r="J1844" t="str">
        <v>Mozambique - west - Tete province.</v>
      </c>
      <c r="K1844" s="11">
        <v>0</v>
      </c>
    </row>
    <row r="1845" spans="5:11" x14ac:dyDescent="0.35">
      <c r="E1845" s="9" t="str">
        <v>EPSG</v>
      </c>
      <c r="F1845" s="7" t="str">
        <v>4129</v>
      </c>
      <c r="G1845" t="str">
        <v>Geographic2DCrs</v>
      </c>
      <c r="H1845" t="str">
        <v>&lt;undefined&gt;</v>
      </c>
      <c r="I1845" t="str">
        <v>Observatario</v>
      </c>
      <c r="J1845" t="str">
        <v>Mozambique - south.</v>
      </c>
      <c r="K1845" s="11">
        <v>0</v>
      </c>
    </row>
    <row r="1846" spans="5:11" x14ac:dyDescent="0.35">
      <c r="E1846" s="9" t="str">
        <v>EPSG</v>
      </c>
      <c r="F1846" s="7" t="str">
        <v>4130</v>
      </c>
      <c r="G1846" t="str">
        <v>Geographic2DCrs</v>
      </c>
      <c r="H1846" t="str">
        <v>&lt;undefined&gt;</v>
      </c>
      <c r="I1846" t="str">
        <v>Moznet</v>
      </c>
      <c r="J1846" t="str">
        <v>Mozambique - onshore and offshore.</v>
      </c>
      <c r="K1846" s="11">
        <v>0</v>
      </c>
    </row>
    <row r="1847" spans="5:11" x14ac:dyDescent="0.35">
      <c r="E1847" s="9" t="str">
        <v>EPSG</v>
      </c>
      <c r="F1847" s="7" t="str">
        <v>4131</v>
      </c>
      <c r="G1847" t="str">
        <v>Geographic2DCrs</v>
      </c>
      <c r="H1847" t="str">
        <v>&lt;undefined&gt;</v>
      </c>
      <c r="I1847" t="str">
        <v>Indian 1960</v>
      </c>
      <c r="J1847" t="str">
        <v>Cambodia - onshore; Vietnam - onshore and offshore Cuu Long basin.</v>
      </c>
      <c r="K1847" s="11">
        <v>0</v>
      </c>
    </row>
    <row r="1848" spans="5:11" x14ac:dyDescent="0.35">
      <c r="E1848" s="9" t="str">
        <v>EPSG</v>
      </c>
      <c r="F1848" s="7" t="str">
        <v>4132</v>
      </c>
      <c r="G1848" t="str">
        <v>Geographic2DCrs</v>
      </c>
      <c r="H1848" t="str">
        <v>&lt;undefined&gt;</v>
      </c>
      <c r="I1848" t="str">
        <v>FD58</v>
      </c>
      <c r="J1848" t="str">
        <v>Iran - Arwaz area and onshore Gulf coast west of 54°E, Lavan Island, offshore Balal field and South Pars blocks 2 and 3.</v>
      </c>
      <c r="K1848" s="11">
        <v>0</v>
      </c>
    </row>
    <row r="1849" spans="5:11" x14ac:dyDescent="0.35">
      <c r="E1849" s="9" t="str">
        <v>EPSG</v>
      </c>
      <c r="F1849" s="7" t="str">
        <v>4133</v>
      </c>
      <c r="G1849" t="str">
        <v>Geographic2DCrs</v>
      </c>
      <c r="H1849" t="str">
        <v>&lt;undefined&gt;</v>
      </c>
      <c r="I1849" t="str">
        <v>EST92</v>
      </c>
      <c r="J1849" t="str">
        <v>Estonia - onshore.</v>
      </c>
      <c r="K1849" s="11">
        <v>0</v>
      </c>
    </row>
    <row r="1850" spans="5:11" x14ac:dyDescent="0.35">
      <c r="E1850" s="9" t="str">
        <v>EPSG</v>
      </c>
      <c r="F1850" s="7" t="str">
        <v>4134</v>
      </c>
      <c r="G1850" t="str">
        <v>Geographic2DCrs</v>
      </c>
      <c r="H1850" t="str">
        <v>&lt;undefined&gt;</v>
      </c>
      <c r="I1850" t="str">
        <v>PSD93</v>
      </c>
      <c r="J1850" t="str">
        <v>Oman - onshore. Includes Musandam and the Kuria Muria (Al Hallaniyah) islands.</v>
      </c>
      <c r="K1850" s="11">
        <v>0</v>
      </c>
    </row>
    <row r="1851" spans="5:11" x14ac:dyDescent="0.35">
      <c r="E1851" s="9" t="str">
        <v>EPSG</v>
      </c>
      <c r="F1851" s="7" t="str">
        <v>4135</v>
      </c>
      <c r="G1851" t="str">
        <v>Geographic2DCrs</v>
      </c>
      <c r="H1851" t="str">
        <v>&lt;undefined&gt;</v>
      </c>
      <c r="I1851" t="str">
        <v>Old Hawaiian</v>
      </c>
      <c r="J1851" t="str">
        <v>United States (USA) - Hawaii - main islands onshore.</v>
      </c>
      <c r="K1851" s="11">
        <v>0</v>
      </c>
    </row>
    <row r="1852" spans="5:11" x14ac:dyDescent="0.35">
      <c r="E1852" s="9" t="str">
        <v>EPSG</v>
      </c>
      <c r="F1852" s="7" t="str">
        <v>4136</v>
      </c>
      <c r="G1852" t="str">
        <v>Geographic2DCrs</v>
      </c>
      <c r="H1852" t="str">
        <v>&lt;undefined&gt;</v>
      </c>
      <c r="I1852" t="str">
        <v>St. Lawrence Island</v>
      </c>
      <c r="J1852" t="str">
        <v>United States (USA) - Alaska - St Lawrence Island.</v>
      </c>
      <c r="K1852" s="11">
        <v>0</v>
      </c>
    </row>
    <row r="1853" spans="5:11" x14ac:dyDescent="0.35">
      <c r="E1853" s="9" t="str">
        <v>EPSG</v>
      </c>
      <c r="F1853" s="7" t="str">
        <v>4137</v>
      </c>
      <c r="G1853" t="str">
        <v>Geographic2DCrs</v>
      </c>
      <c r="H1853" t="str">
        <v>&lt;undefined&gt;</v>
      </c>
      <c r="I1853" t="str">
        <v>St. Paul Island</v>
      </c>
      <c r="J1853" t="str">
        <v>United States (USA) - Alaska - Pribilof Islands - St Paul Island.</v>
      </c>
      <c r="K1853" s="11">
        <v>0</v>
      </c>
    </row>
    <row r="1854" spans="5:11" x14ac:dyDescent="0.35">
      <c r="E1854" s="9" t="str">
        <v>EPSG</v>
      </c>
      <c r="F1854" s="7" t="str">
        <v>4138</v>
      </c>
      <c r="G1854" t="str">
        <v>Geographic2DCrs</v>
      </c>
      <c r="H1854" t="str">
        <v>&lt;undefined&gt;</v>
      </c>
      <c r="I1854" t="str">
        <v>St. George Island</v>
      </c>
      <c r="J1854" t="str">
        <v>United States (USA) - Alaska - Pribilof Islands - St George Island.</v>
      </c>
      <c r="K1854" s="11">
        <v>0</v>
      </c>
    </row>
    <row r="1855" spans="5:11" x14ac:dyDescent="0.35">
      <c r="E1855" s="9" t="str">
        <v>EPSG</v>
      </c>
      <c r="F1855" s="7" t="str">
        <v>4139</v>
      </c>
      <c r="G1855" t="str">
        <v>Geographic2DCrs</v>
      </c>
      <c r="H1855" t="str">
        <v>&lt;undefined&gt;</v>
      </c>
      <c r="I1855" t="str">
        <v>Puerto Rico</v>
      </c>
      <c r="J1855" t="str">
        <v>Puerto Rico, US Virgin Islands and British Virgin Islands - onshore.</v>
      </c>
      <c r="K1855" s="11">
        <v>0</v>
      </c>
    </row>
    <row r="1856" spans="5:11" x14ac:dyDescent="0.35">
      <c r="E1856" s="9" t="str">
        <v>EPSG</v>
      </c>
      <c r="F1856" s="7" t="str">
        <v>4141</v>
      </c>
      <c r="G1856" t="str">
        <v>Geographic2DCrs</v>
      </c>
      <c r="H1856" t="str">
        <v>&lt;undefined&gt;</v>
      </c>
      <c r="I1856" t="str">
        <v>Israel 1993</v>
      </c>
      <c r="J1856" t="str">
        <v>Israel - onshore; Palestine Territory - onshore.</v>
      </c>
      <c r="K1856" s="11">
        <v>0</v>
      </c>
    </row>
    <row r="1857" spans="5:11" x14ac:dyDescent="0.35">
      <c r="E1857" s="9" t="str">
        <v>EPSG</v>
      </c>
      <c r="F1857" s="7" t="str">
        <v>4142</v>
      </c>
      <c r="G1857" t="str">
        <v>Geographic2DCrs</v>
      </c>
      <c r="H1857" t="str">
        <v>&lt;undefined&gt;</v>
      </c>
      <c r="I1857" t="str">
        <v>Locodjo 1965</v>
      </c>
      <c r="J1857" t="str">
        <v>Côte d'Ivoire (Ivory Coast) - onshore and offshore.</v>
      </c>
      <c r="K1857" s="11">
        <v>0</v>
      </c>
    </row>
    <row r="1858" spans="5:11" x14ac:dyDescent="0.35">
      <c r="E1858" s="9" t="str">
        <v>EPSG</v>
      </c>
      <c r="F1858" s="7" t="str">
        <v>4143</v>
      </c>
      <c r="G1858" t="str">
        <v>Geographic2DCrs</v>
      </c>
      <c r="H1858" t="str">
        <v>&lt;undefined&gt;</v>
      </c>
      <c r="I1858" t="str">
        <v>Abidjan 1987</v>
      </c>
      <c r="J1858" t="str">
        <v>Côte d'Ivoire (Ivory Coast) - onshore and offshore.</v>
      </c>
      <c r="K1858" s="11">
        <v>0</v>
      </c>
    </row>
    <row r="1859" spans="5:11" x14ac:dyDescent="0.35">
      <c r="E1859" s="9" t="str">
        <v>EPSG</v>
      </c>
      <c r="F1859" s="7" t="str">
        <v>4144</v>
      </c>
      <c r="G1859" t="str">
        <v>Geographic2DCrs</v>
      </c>
      <c r="H1859" t="str">
        <v>&lt;undefined&gt;</v>
      </c>
      <c r="I1859" t="str">
        <v>Kalianpur 1937</v>
      </c>
      <c r="J1859" t="str">
        <v>Bangladesh - onshore; India - mainland onshore; Myanmar - onshore and Moattama area offshore; Pakistan - onshore.</v>
      </c>
      <c r="K1859" s="11">
        <v>0</v>
      </c>
    </row>
    <row r="1860" spans="5:11" x14ac:dyDescent="0.35">
      <c r="E1860" s="9" t="str">
        <v>EPSG</v>
      </c>
      <c r="F1860" s="7" t="str">
        <v>4145</v>
      </c>
      <c r="G1860" t="str">
        <v>Geographic2DCrs</v>
      </c>
      <c r="H1860" t="str">
        <v>&lt;undefined&gt;</v>
      </c>
      <c r="I1860" t="str">
        <v>Kalianpur 1962</v>
      </c>
      <c r="J1860" t="str">
        <v>Pakistan - onshore and offshore.</v>
      </c>
      <c r="K1860" s="11">
        <v>0</v>
      </c>
    </row>
    <row r="1861" spans="5:11" x14ac:dyDescent="0.35">
      <c r="E1861" s="9" t="str">
        <v>EPSG</v>
      </c>
      <c r="F1861" s="7" t="str">
        <v>4146</v>
      </c>
      <c r="G1861" t="str">
        <v>Geographic2DCrs</v>
      </c>
      <c r="H1861" t="str">
        <v>&lt;undefined&gt;</v>
      </c>
      <c r="I1861" t="str">
        <v>Kalianpur 1975</v>
      </c>
      <c r="J1861" t="str">
        <v>India - mainland onshore.</v>
      </c>
      <c r="K1861" s="11">
        <v>0</v>
      </c>
    </row>
    <row r="1862" spans="5:11" x14ac:dyDescent="0.35">
      <c r="E1862" s="9" t="str">
        <v>EPSG</v>
      </c>
      <c r="F1862" s="7" t="str">
        <v>4147</v>
      </c>
      <c r="G1862" t="str">
        <v>Geographic2DCrs</v>
      </c>
      <c r="H1862" t="str">
        <v>&lt;undefined&gt;</v>
      </c>
      <c r="I1862" t="str">
        <v>Hanoi 1972</v>
      </c>
      <c r="J1862" t="str">
        <v>Vietnam - onshore.</v>
      </c>
      <c r="K1862" s="11">
        <v>0</v>
      </c>
    </row>
    <row r="1863" spans="5:11" x14ac:dyDescent="0.35">
      <c r="E1863" s="9" t="str">
        <v>EPSG</v>
      </c>
      <c r="F1863" s="7" t="str">
        <v>4148</v>
      </c>
      <c r="G1863" t="str">
        <v>Geographic2DCrs</v>
      </c>
      <c r="H1863" t="str">
        <v>&lt;undefined&gt;</v>
      </c>
      <c r="I1863" t="str">
        <v>Hartebeesthoek94</v>
      </c>
      <c r="J1863" t="str">
        <v>Eswatini (Swaziland); Lesotho; South Africa - onshore and offshore.</v>
      </c>
      <c r="K1863" s="11">
        <v>0</v>
      </c>
    </row>
    <row r="1864" spans="5:11" x14ac:dyDescent="0.35">
      <c r="E1864" s="9" t="str">
        <v>EPSG</v>
      </c>
      <c r="F1864" s="7" t="str">
        <v>4149</v>
      </c>
      <c r="G1864" t="str">
        <v>Geographic2DCrs</v>
      </c>
      <c r="H1864" t="str">
        <v>&lt;undefined&gt;</v>
      </c>
      <c r="I1864" t="str">
        <v>CH1903</v>
      </c>
      <c r="J1864" t="str">
        <v>Liechtenstein; Switzerland.</v>
      </c>
      <c r="K1864" s="11">
        <v>0</v>
      </c>
    </row>
    <row r="1865" spans="5:11" x14ac:dyDescent="0.35">
      <c r="E1865" s="9" t="str">
        <v>EPSG</v>
      </c>
      <c r="F1865" s="7" t="str">
        <v>4150</v>
      </c>
      <c r="G1865" t="str">
        <v>Geographic2DCrs</v>
      </c>
      <c r="H1865" t="str">
        <v>&lt;undefined&gt;</v>
      </c>
      <c r="I1865" t="str">
        <v>CH1903+</v>
      </c>
      <c r="J1865" t="str">
        <v>Liechtenstein; Switzerland.</v>
      </c>
      <c r="K1865" s="11">
        <v>0</v>
      </c>
    </row>
    <row r="1866" spans="5:11" x14ac:dyDescent="0.35">
      <c r="E1866" s="9" t="str">
        <v>EPSG</v>
      </c>
      <c r="F1866" s="7" t="str">
        <v>4151</v>
      </c>
      <c r="G1866" t="str">
        <v>Geographic2DCrs</v>
      </c>
      <c r="H1866" t="str">
        <v>&lt;undefined&gt;</v>
      </c>
      <c r="I1866" t="str">
        <v>CHTRS95</v>
      </c>
      <c r="J1866" t="str">
        <v>Liechtenstein; Switzerland.</v>
      </c>
      <c r="K1866" s="11">
        <v>0</v>
      </c>
    </row>
    <row r="1867" spans="5:11" x14ac:dyDescent="0.35">
      <c r="E1867" s="9" t="str">
        <v>EPSG</v>
      </c>
      <c r="F1867" s="7" t="str">
        <v>4152</v>
      </c>
      <c r="G1867" t="str">
        <v>Geographic2DCrs</v>
      </c>
      <c r="H1867" t="str">
        <v>&lt;undefined&gt;</v>
      </c>
      <c r="I1867" t="str">
        <v>NAD83(HARN)</v>
      </c>
      <c r="J1867" t="str">
        <v>American Samoa - onshore - Tutuila, Aunu'u, Ofu, Olesega, Ta'u and Rose islands. Guam - onshore. Northern Mariana Islands - onshore. Puerto Rico - onshore. United States (USA) - onshore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offshore Gulf of Mexico continental shelf (GoM OCS). US Virgin Islands - onshore.</v>
      </c>
      <c r="K1867" s="11">
        <v>0</v>
      </c>
    </row>
    <row r="1868" spans="5:11" x14ac:dyDescent="0.35">
      <c r="E1868" s="9" t="str">
        <v>EPSG</v>
      </c>
      <c r="F1868" s="7" t="str">
        <v>4153</v>
      </c>
      <c r="G1868" t="str">
        <v>Geographic2DCrs</v>
      </c>
      <c r="H1868" t="str">
        <v>&lt;undefined&gt;</v>
      </c>
      <c r="I1868" t="str">
        <v>Rassadiran</v>
      </c>
      <c r="J1868" t="str">
        <v>Iran - Taheri refinery site.</v>
      </c>
      <c r="K1868" s="11">
        <v>0</v>
      </c>
    </row>
    <row r="1869" spans="5:11" x14ac:dyDescent="0.35">
      <c r="E1869" s="9" t="str">
        <v>EPSG</v>
      </c>
      <c r="F1869" s="7" t="str">
        <v>4154</v>
      </c>
      <c r="G1869" t="str">
        <v>Geographic2DCrs</v>
      </c>
      <c r="H1869" t="str">
        <v>&lt;undefined&gt;</v>
      </c>
      <c r="I1869" t="str">
        <v>ED50(ED77)</v>
      </c>
      <c r="J1869" t="str">
        <v>Iran - onshore and offshore.</v>
      </c>
      <c r="K1869" s="11">
        <v>0</v>
      </c>
    </row>
    <row r="1870" spans="5:11" x14ac:dyDescent="0.35">
      <c r="E1870" s="9" t="str">
        <v>EPSG</v>
      </c>
      <c r="F1870" s="7" t="str">
        <v>4155</v>
      </c>
      <c r="G1870" t="str">
        <v>Geographic2DCrs</v>
      </c>
      <c r="H1870" t="str">
        <v>&lt;undefined&gt;</v>
      </c>
      <c r="I1870" t="str">
        <v>Dabola 1981</v>
      </c>
      <c r="J1870" t="str">
        <v>Guinea - onshore.</v>
      </c>
      <c r="K1870" s="11">
        <v>0</v>
      </c>
    </row>
    <row r="1871" spans="5:11" x14ac:dyDescent="0.35">
      <c r="E1871" s="9" t="str">
        <v>EPSG</v>
      </c>
      <c r="F1871" s="7" t="str">
        <v>4156</v>
      </c>
      <c r="G1871" t="str">
        <v>Geographic2DCrs</v>
      </c>
      <c r="H1871" t="str">
        <v>&lt;undefined&gt;</v>
      </c>
      <c r="I1871" t="str">
        <v>S-JTSK</v>
      </c>
      <c r="J1871" t="str">
        <v>Czechia; Slovakia.</v>
      </c>
      <c r="K1871" s="11">
        <v>0</v>
      </c>
    </row>
    <row r="1872" spans="5:11" x14ac:dyDescent="0.35">
      <c r="E1872" s="9" t="str">
        <v>EPSG</v>
      </c>
      <c r="F1872" s="7" t="str">
        <v>4157</v>
      </c>
      <c r="G1872" t="str">
        <v>Geographic2DCrs</v>
      </c>
      <c r="H1872" t="str">
        <v>&lt;undefined&gt;</v>
      </c>
      <c r="I1872" t="str">
        <v>Mount Dillon</v>
      </c>
      <c r="J1872" t="str">
        <v>Trinidad and Tobago - Tobago - onshore.</v>
      </c>
      <c r="K1872" s="11">
        <v>0</v>
      </c>
    </row>
    <row r="1873" spans="5:11" x14ac:dyDescent="0.35">
      <c r="E1873" s="9" t="str">
        <v>EPSG</v>
      </c>
      <c r="F1873" s="7" t="str">
        <v>4158</v>
      </c>
      <c r="G1873" t="str">
        <v>Geographic2DCrs</v>
      </c>
      <c r="H1873" t="str">
        <v>&lt;undefined&gt;</v>
      </c>
      <c r="I1873" t="str">
        <v>Naparima 1955</v>
      </c>
      <c r="J1873" t="str">
        <v>Trinidad and Tobago - Trinidad - onshore.</v>
      </c>
      <c r="K1873" s="11">
        <v>0</v>
      </c>
    </row>
    <row r="1874" spans="5:11" x14ac:dyDescent="0.35">
      <c r="E1874" s="9" t="str">
        <v>EPSG</v>
      </c>
      <c r="F1874" s="7" t="str">
        <v>4159</v>
      </c>
      <c r="G1874" t="str">
        <v>Geographic2DCrs</v>
      </c>
      <c r="H1874" t="str">
        <v>&lt;undefined&gt;</v>
      </c>
      <c r="I1874" t="str">
        <v>ELD79</v>
      </c>
      <c r="J1874" t="str">
        <v>Libya - onshore and offshore.</v>
      </c>
      <c r="K1874" s="11">
        <v>0</v>
      </c>
    </row>
    <row r="1875" spans="5:11" x14ac:dyDescent="0.35">
      <c r="E1875" s="9" t="str">
        <v>EPSG</v>
      </c>
      <c r="F1875" s="7" t="str">
        <v>4160</v>
      </c>
      <c r="G1875" t="str">
        <v>Geographic2DCrs</v>
      </c>
      <c r="H1875" t="str">
        <v>&lt;undefined&gt;</v>
      </c>
      <c r="I1875" t="str">
        <v>Chos Malal 1914</v>
      </c>
      <c r="J1875" t="str">
        <v>Argentina - Mendoza province, Neuquen province, western La Pampa province and western Rio Negro province.</v>
      </c>
      <c r="K1875" s="11">
        <v>0</v>
      </c>
    </row>
    <row r="1876" spans="5:11" x14ac:dyDescent="0.35">
      <c r="E1876" s="9" t="str">
        <v>EPSG</v>
      </c>
      <c r="F1876" s="7" t="str">
        <v>4161</v>
      </c>
      <c r="G1876" t="str">
        <v>Geographic2DCrs</v>
      </c>
      <c r="H1876" t="str">
        <v>&lt;undefined&gt;</v>
      </c>
      <c r="I1876" t="str">
        <v>Pampa del Castillo</v>
      </c>
      <c r="J1876" t="str">
        <v>Argentina - Chibut province south of approximately 42°30'S and Santa Cruz province north of approximately 50°20'S.</v>
      </c>
      <c r="K1876" s="11">
        <v>0</v>
      </c>
    </row>
    <row r="1877" spans="5:11" x14ac:dyDescent="0.35">
      <c r="E1877" s="9" t="str">
        <v>EPSG</v>
      </c>
      <c r="F1877" s="7" t="str">
        <v>4162</v>
      </c>
      <c r="G1877" t="str">
        <v>Geographic2DCrs</v>
      </c>
      <c r="H1877" t="str">
        <v>&lt;undefined&gt;</v>
      </c>
      <c r="I1877" t="str">
        <v>Korean 1985</v>
      </c>
      <c r="J1877" t="str">
        <v>Republic of Korea (South Korea) - onshore.</v>
      </c>
      <c r="K1877" s="11">
        <v>0</v>
      </c>
    </row>
    <row r="1878" spans="5:11" x14ac:dyDescent="0.35">
      <c r="E1878" s="9" t="str">
        <v>EPSG</v>
      </c>
      <c r="F1878" s="7" t="str">
        <v>4163</v>
      </c>
      <c r="G1878" t="str">
        <v>Geographic2DCrs</v>
      </c>
      <c r="H1878" t="str">
        <v>&lt;undefined&gt;</v>
      </c>
      <c r="I1878" t="str">
        <v>Yemen NGN96</v>
      </c>
      <c r="J1878" t="str">
        <v>Yemen - onshore and offshore.</v>
      </c>
      <c r="K1878" s="11">
        <v>0</v>
      </c>
    </row>
    <row r="1879" spans="5:11" x14ac:dyDescent="0.35">
      <c r="E1879" s="9" t="str">
        <v>EPSG</v>
      </c>
      <c r="F1879" s="7" t="str">
        <v>4164</v>
      </c>
      <c r="G1879" t="str">
        <v>Geographic2DCrs</v>
      </c>
      <c r="H1879" t="str">
        <v>&lt;undefined&gt;</v>
      </c>
      <c r="I1879" t="str">
        <v>South Yemen</v>
      </c>
      <c r="J1879" t="str">
        <v>Yemen - South Yemen onshore mainland.</v>
      </c>
      <c r="K1879" s="11">
        <v>0</v>
      </c>
    </row>
    <row r="1880" spans="5:11" x14ac:dyDescent="0.35">
      <c r="E1880" s="9" t="str">
        <v>EPSG</v>
      </c>
      <c r="F1880" s="7" t="str">
        <v>4165</v>
      </c>
      <c r="G1880" t="str">
        <v>Geographic2DCrs</v>
      </c>
      <c r="H1880" t="str">
        <v>&lt;undefined&gt;</v>
      </c>
      <c r="I1880" t="str">
        <v>Bissau</v>
      </c>
      <c r="J1880" t="str">
        <v>Guinea-Bissau - onshore.</v>
      </c>
      <c r="K1880" s="11">
        <v>0</v>
      </c>
    </row>
    <row r="1881" spans="5:11" x14ac:dyDescent="0.35">
      <c r="E1881" s="9" t="str">
        <v>EPSG</v>
      </c>
      <c r="F1881" s="7" t="str">
        <v>4166</v>
      </c>
      <c r="G1881" t="str">
        <v>Geographic2DCrs</v>
      </c>
      <c r="H1881" t="str">
        <v>&lt;undefined&gt;</v>
      </c>
      <c r="I1881" t="str">
        <v>Korean 1995</v>
      </c>
      <c r="J1881" t="str">
        <v>Republic of Korea (South Korea) - onshore.</v>
      </c>
      <c r="K1881" s="11">
        <v>0</v>
      </c>
    </row>
    <row r="1882" spans="5:11" x14ac:dyDescent="0.35">
      <c r="E1882" s="9" t="str">
        <v>EPSG</v>
      </c>
      <c r="F1882" s="7" t="str">
        <v>4167</v>
      </c>
      <c r="G1882" t="str">
        <v>Geographic2DCrs</v>
      </c>
      <c r="H1882" t="str">
        <v>&lt;undefined&gt;</v>
      </c>
      <c r="I1882" t="str">
        <v>NZGD2000</v>
      </c>
      <c r="J1882" t="str">
        <v>New Zealand - onshore and offshore. Includes Antipodes Islands, Auckland Islands, Bounty Islands, Chatham Islands, Cambell Island, Kermadec Islands, Raoul Island and Snares Islands.</v>
      </c>
      <c r="K1882" s="11">
        <v>0</v>
      </c>
    </row>
    <row r="1883" spans="5:11" x14ac:dyDescent="0.35">
      <c r="E1883" s="9" t="str">
        <v>EPSG</v>
      </c>
      <c r="F1883" s="7" t="str">
        <v>4168</v>
      </c>
      <c r="G1883" t="str">
        <v>Geographic2DCrs</v>
      </c>
      <c r="H1883" t="str">
        <v>&lt;undefined&gt;</v>
      </c>
      <c r="I1883" t="str">
        <v>Accra</v>
      </c>
      <c r="J1883" t="str">
        <v>Ghana - onshore and offshore.</v>
      </c>
      <c r="K1883" s="11">
        <v>0</v>
      </c>
    </row>
    <row r="1884" spans="5:11" x14ac:dyDescent="0.35">
      <c r="E1884" s="9" t="str">
        <v>EPSG</v>
      </c>
      <c r="F1884" s="7" t="str">
        <v>4169</v>
      </c>
      <c r="G1884" t="str">
        <v>Geographic2DCrs</v>
      </c>
      <c r="H1884" t="str">
        <v>&lt;undefined&gt;</v>
      </c>
      <c r="I1884" t="str">
        <v>American Samoa 1962</v>
      </c>
      <c r="J1884" t="str">
        <v>American Samoa - Tutuila, Aunu'u, Ofu, Olesega and Ta'u islands.</v>
      </c>
      <c r="K1884" s="11">
        <v>0</v>
      </c>
    </row>
    <row r="1885" spans="5:11" x14ac:dyDescent="0.35">
      <c r="E1885" s="9" t="str">
        <v>EPSG</v>
      </c>
      <c r="F1885" s="7" t="str">
        <v>4170</v>
      </c>
      <c r="G1885" t="str">
        <v>Geographic2DCrs</v>
      </c>
      <c r="H1885" t="str">
        <v>&lt;undefined&gt;</v>
      </c>
      <c r="I1885" t="str">
        <v>SIRGAS 1995</v>
      </c>
      <c r="J1885" t="str">
        <v>South America - onshore and offshore. Ecuador (mainland and Galapagos) - onshore and offshore.</v>
      </c>
      <c r="K1885" s="11">
        <v>0</v>
      </c>
    </row>
    <row r="1886" spans="5:11" x14ac:dyDescent="0.35">
      <c r="E1886" s="9" t="str">
        <v>EPSG</v>
      </c>
      <c r="F1886" s="7" t="str">
        <v>4171</v>
      </c>
      <c r="G1886" t="str">
        <v>Geographic2DCrs</v>
      </c>
      <c r="H1886" t="str">
        <v>&lt;undefined&gt;</v>
      </c>
      <c r="I1886" t="str">
        <v>RGF93 v1</v>
      </c>
      <c r="J1886" t="str">
        <v>France - onshore and offshore, mainland and Corsica (France métropolitaine including Corsica).</v>
      </c>
      <c r="K1886" s="11">
        <v>0</v>
      </c>
    </row>
    <row r="1887" spans="5:11" x14ac:dyDescent="0.35">
      <c r="E1887" s="9" t="str">
        <v>EPSG</v>
      </c>
      <c r="F1887" s="7" t="str">
        <v>4173</v>
      </c>
      <c r="G1887" t="str">
        <v>Geographic2DCrs</v>
      </c>
      <c r="H1887" t="str">
        <v>&lt;undefined&gt;</v>
      </c>
      <c r="I1887" t="str">
        <v>IRENET95</v>
      </c>
      <c r="J1887" t="str">
        <v>Ireland - onshore. United Kingdom (UK) - Northern Ireland (Ulster) - onshore.</v>
      </c>
      <c r="K1887" s="11">
        <v>0</v>
      </c>
    </row>
    <row r="1888" spans="5:11" x14ac:dyDescent="0.35">
      <c r="E1888" s="9" t="str">
        <v>EPSG</v>
      </c>
      <c r="F1888" s="7" t="str">
        <v>4174</v>
      </c>
      <c r="G1888" t="str">
        <v>Geographic2DCrs</v>
      </c>
      <c r="H1888" t="str">
        <v>&lt;undefined&gt;</v>
      </c>
      <c r="I1888" t="str">
        <v>Sierra Leone 1924</v>
      </c>
      <c r="J1888" t="str">
        <v>Sierra Leone - Freetown Peninsula.</v>
      </c>
      <c r="K1888" s="11">
        <v>0</v>
      </c>
    </row>
    <row r="1889" spans="5:11" x14ac:dyDescent="0.35">
      <c r="E1889" s="9" t="str">
        <v>EPSG</v>
      </c>
      <c r="F1889" s="7" t="str">
        <v>4175</v>
      </c>
      <c r="G1889" t="str">
        <v>Geographic2DCrs</v>
      </c>
      <c r="H1889" t="str">
        <v>&lt;undefined&gt;</v>
      </c>
      <c r="I1889" t="str">
        <v>Sierra Leone 1968</v>
      </c>
      <c r="J1889" t="str">
        <v>Sierra Leone - onshore.</v>
      </c>
      <c r="K1889" s="11">
        <v>0</v>
      </c>
    </row>
    <row r="1890" spans="5:11" x14ac:dyDescent="0.35">
      <c r="E1890" s="9" t="str">
        <v>EPSG</v>
      </c>
      <c r="F1890" s="7" t="str">
        <v>4176</v>
      </c>
      <c r="G1890" t="str">
        <v>Geographic2DCrs</v>
      </c>
      <c r="H1890" t="str">
        <v>&lt;undefined&gt;</v>
      </c>
      <c r="I1890" t="str">
        <v>Australian Antarctic</v>
      </c>
      <c r="J1890" t="str">
        <v>Antarctica between 45°E and 136°E and between 142°E and 160°E - Australian sector.</v>
      </c>
      <c r="K1890" s="11">
        <v>0</v>
      </c>
    </row>
    <row r="1891" spans="5:11" x14ac:dyDescent="0.35">
      <c r="E1891" s="9" t="str">
        <v>EPSG</v>
      </c>
      <c r="F1891" s="7" t="str">
        <v>4178</v>
      </c>
      <c r="G1891" t="str">
        <v>Geographic2DCrs</v>
      </c>
      <c r="H1891" t="str">
        <v>&lt;undefined&gt;</v>
      </c>
      <c r="I1891" t="str">
        <v>Pulkovo 1942(83)</v>
      </c>
      <c r="J1891" t="str">
        <v>Onshore Bulgaria, Czechia, Germany (former DDR), Hungary and Slovakia.</v>
      </c>
      <c r="K1891" s="11">
        <v>0</v>
      </c>
    </row>
    <row r="1892" spans="5:11" x14ac:dyDescent="0.35">
      <c r="E1892" s="9" t="str">
        <v>EPSG</v>
      </c>
      <c r="F1892" s="7" t="str">
        <v>4179</v>
      </c>
      <c r="G1892" t="str">
        <v>Geographic2DCrs</v>
      </c>
      <c r="H1892" t="str">
        <v>&lt;undefined&gt;</v>
      </c>
      <c r="I1892" t="str">
        <v>Pulkovo 1942(58)</v>
      </c>
      <c r="J1892" t="str">
        <v>Onshore: Bulgaria, Czechia, Germany (former DDR), Hungary, Poland and Slovakia. Onshore and offshore: Albania and Romania.</v>
      </c>
      <c r="K1892" s="11">
        <v>0</v>
      </c>
    </row>
    <row r="1893" spans="5:11" x14ac:dyDescent="0.35">
      <c r="E1893" s="9" t="str">
        <v>EPSG</v>
      </c>
      <c r="F1893" s="7" t="str">
        <v>4180</v>
      </c>
      <c r="G1893" t="str">
        <v>Geographic2DCrs</v>
      </c>
      <c r="H1893" t="str">
        <v>&lt;undefined&gt;</v>
      </c>
      <c r="I1893" t="str">
        <v>EST97</v>
      </c>
      <c r="J1893" t="str">
        <v>Estonia - onshore and offshore.</v>
      </c>
      <c r="K1893" s="11">
        <v>0</v>
      </c>
    </row>
    <row r="1894" spans="5:11" x14ac:dyDescent="0.35">
      <c r="E1894" s="9" t="str">
        <v>EPSG</v>
      </c>
      <c r="F1894" s="7" t="str">
        <v>4181</v>
      </c>
      <c r="G1894" t="str">
        <v>Geographic2DCrs</v>
      </c>
      <c r="H1894" t="str">
        <v>&lt;undefined&gt;</v>
      </c>
      <c r="I1894" t="str">
        <v>LUREF</v>
      </c>
      <c r="J1894" t="str">
        <v>Luxembourg.</v>
      </c>
      <c r="K1894" s="11">
        <v>0</v>
      </c>
    </row>
    <row r="1895" spans="5:11" x14ac:dyDescent="0.35">
      <c r="E1895" s="9" t="str">
        <v>EPSG</v>
      </c>
      <c r="F1895" s="7" t="str">
        <v>4182</v>
      </c>
      <c r="G1895" t="str">
        <v>Geographic2DCrs</v>
      </c>
      <c r="H1895" t="str">
        <v>&lt;undefined&gt;</v>
      </c>
      <c r="I1895" t="str">
        <v>Azores Occidental 1939</v>
      </c>
      <c r="J1895" t="str">
        <v>Portugal - western Azores onshore - Flores, Corvo.</v>
      </c>
      <c r="K1895" s="11">
        <v>0</v>
      </c>
    </row>
    <row r="1896" spans="5:11" x14ac:dyDescent="0.35">
      <c r="E1896" s="9" t="str">
        <v>EPSG</v>
      </c>
      <c r="F1896" s="7" t="str">
        <v>4183</v>
      </c>
      <c r="G1896" t="str">
        <v>Geographic2DCrs</v>
      </c>
      <c r="H1896" t="str">
        <v>&lt;undefined&gt;</v>
      </c>
      <c r="I1896" t="str">
        <v>Azores Central 1948</v>
      </c>
      <c r="J1896" t="str">
        <v>Portugal - central Azores onshore - Faial, Graciosa, Pico, Sao Jorge, Terceira.</v>
      </c>
      <c r="K1896" s="11">
        <v>0</v>
      </c>
    </row>
    <row r="1897" spans="5:11" x14ac:dyDescent="0.35">
      <c r="E1897" s="9" t="str">
        <v>EPSG</v>
      </c>
      <c r="F1897" s="7" t="str">
        <v>4184</v>
      </c>
      <c r="G1897" t="str">
        <v>Geographic2DCrs</v>
      </c>
      <c r="H1897" t="str">
        <v>&lt;undefined&gt;</v>
      </c>
      <c r="I1897" t="str">
        <v>Azores Oriental 1940</v>
      </c>
      <c r="J1897" t="str">
        <v>Portugal - eastern Azores onshore - Sao Miguel, Santa Maria, Formigas.</v>
      </c>
      <c r="K1897" s="11">
        <v>0</v>
      </c>
    </row>
    <row r="1898" spans="5:11" x14ac:dyDescent="0.35">
      <c r="E1898" s="9" t="str">
        <v>EPSG</v>
      </c>
      <c r="F1898" s="7" t="str">
        <v>4188</v>
      </c>
      <c r="G1898" t="str">
        <v>Geographic2DCrs</v>
      </c>
      <c r="H1898" t="str">
        <v>&lt;undefined&gt;</v>
      </c>
      <c r="I1898" t="str">
        <v>OSNI 1952</v>
      </c>
      <c r="J1898" t="str">
        <v>United Kingdom (UK) - Northern Ireland (Ulster) - onshore.</v>
      </c>
      <c r="K1898" s="11">
        <v>0</v>
      </c>
    </row>
    <row r="1899" spans="5:11" x14ac:dyDescent="0.35">
      <c r="E1899" s="9" t="str">
        <v>EPSG</v>
      </c>
      <c r="F1899" s="7" t="str">
        <v>4189</v>
      </c>
      <c r="G1899" t="str">
        <v>Geographic2DCrs</v>
      </c>
      <c r="H1899" t="str">
        <v>&lt;undefined&gt;</v>
      </c>
      <c r="I1899" t="str">
        <v>REGVEN</v>
      </c>
      <c r="J1899" t="str">
        <v>Venezuela - onshore and offshore.</v>
      </c>
      <c r="K1899" s="11">
        <v>0</v>
      </c>
    </row>
    <row r="1900" spans="5:11" x14ac:dyDescent="0.35">
      <c r="E1900" s="9" t="str">
        <v>EPSG</v>
      </c>
      <c r="F1900" s="7" t="str">
        <v>4190</v>
      </c>
      <c r="G1900" t="str">
        <v>Geographic2DCrs</v>
      </c>
      <c r="H1900" t="str">
        <v>&lt;undefined&gt;</v>
      </c>
      <c r="I1900" t="str">
        <v>POSGAR 98</v>
      </c>
      <c r="J1900" t="str">
        <v>Argentina - onshore and offshore.</v>
      </c>
      <c r="K1900" s="11">
        <v>0</v>
      </c>
    </row>
    <row r="1901" spans="5:11" x14ac:dyDescent="0.35">
      <c r="E1901" s="9" t="str">
        <v>EPSG</v>
      </c>
      <c r="F1901" s="7" t="str">
        <v>4191</v>
      </c>
      <c r="G1901" t="str">
        <v>Geographic2DCrs</v>
      </c>
      <c r="H1901" t="str">
        <v>&lt;undefined&gt;</v>
      </c>
      <c r="I1901" t="str">
        <v>Albanian 1987</v>
      </c>
      <c r="J1901" t="str">
        <v>Albania - onshore.</v>
      </c>
      <c r="K1901" s="11">
        <v>0</v>
      </c>
    </row>
    <row r="1902" spans="5:11" x14ac:dyDescent="0.35">
      <c r="E1902" s="9" t="str">
        <v>EPSG</v>
      </c>
      <c r="F1902" s="7" t="str">
        <v>4192</v>
      </c>
      <c r="G1902" t="str">
        <v>Geographic2DCrs</v>
      </c>
      <c r="H1902" t="str">
        <v>&lt;undefined&gt;</v>
      </c>
      <c r="I1902" t="str">
        <v>Douala 1948</v>
      </c>
      <c r="J1902" t="str">
        <v>Cameroon - coastal area.</v>
      </c>
      <c r="K1902" s="11">
        <v>0</v>
      </c>
    </row>
    <row r="1903" spans="5:11" x14ac:dyDescent="0.35">
      <c r="E1903" s="9" t="str">
        <v>EPSG</v>
      </c>
      <c r="F1903" s="7" t="str">
        <v>4193</v>
      </c>
      <c r="G1903" t="str">
        <v>Geographic2DCrs</v>
      </c>
      <c r="H1903" t="str">
        <v>&lt;undefined&gt;</v>
      </c>
      <c r="I1903" t="str">
        <v>Manoca 1962</v>
      </c>
      <c r="J1903" t="str">
        <v>Cameroon - coastal area.</v>
      </c>
      <c r="K1903" s="11">
        <v>0</v>
      </c>
    </row>
    <row r="1904" spans="5:11" x14ac:dyDescent="0.35">
      <c r="E1904" s="9" t="str">
        <v>EPSG</v>
      </c>
      <c r="F1904" s="7" t="str">
        <v>4194</v>
      </c>
      <c r="G1904" t="str">
        <v>Geographic2DCrs</v>
      </c>
      <c r="H1904" t="str">
        <v>&lt;undefined&gt;</v>
      </c>
      <c r="I1904" t="str">
        <v>Qornoq 1927</v>
      </c>
      <c r="J1904" t="str">
        <v>Greenland - west coast onshore.</v>
      </c>
      <c r="K1904" s="11">
        <v>0</v>
      </c>
    </row>
    <row r="1905" spans="5:11" x14ac:dyDescent="0.35">
      <c r="E1905" s="9" t="str">
        <v>EPSG</v>
      </c>
      <c r="F1905" s="7" t="str">
        <v>4195</v>
      </c>
      <c r="G1905" t="str">
        <v>Geographic2DCrs</v>
      </c>
      <c r="H1905" t="str">
        <v>&lt;undefined&gt;</v>
      </c>
      <c r="I1905" t="str">
        <v>Scoresbysund 1952</v>
      </c>
      <c r="J1905" t="str">
        <v>Greenland - Scoresbysund area onshore.</v>
      </c>
      <c r="K1905" s="11">
        <v>0</v>
      </c>
    </row>
    <row r="1906" spans="5:11" x14ac:dyDescent="0.35">
      <c r="E1906" s="9" t="str">
        <v>EPSG</v>
      </c>
      <c r="F1906" s="7" t="str">
        <v>4196</v>
      </c>
      <c r="G1906" t="str">
        <v>Geographic2DCrs</v>
      </c>
      <c r="H1906" t="str">
        <v>&lt;undefined&gt;</v>
      </c>
      <c r="I1906" t="str">
        <v>Ammassalik 1958</v>
      </c>
      <c r="J1906" t="str">
        <v>Greenland - Ammassalik area onshore.</v>
      </c>
      <c r="K1906" s="11">
        <v>0</v>
      </c>
    </row>
    <row r="1907" spans="5:11" x14ac:dyDescent="0.35">
      <c r="E1907" s="9" t="str">
        <v>EPSG</v>
      </c>
      <c r="F1907" s="7" t="str">
        <v>4197</v>
      </c>
      <c r="G1907" t="str">
        <v>Geographic2DCrs</v>
      </c>
      <c r="H1907" t="str">
        <v>&lt;undefined&gt;</v>
      </c>
      <c r="I1907" t="str">
        <v>Garoua</v>
      </c>
      <c r="J1907" t="str">
        <v>Cameroon - Garoua area.</v>
      </c>
      <c r="K1907" s="11">
        <v>0</v>
      </c>
    </row>
    <row r="1908" spans="5:11" x14ac:dyDescent="0.35">
      <c r="E1908" s="9" t="str">
        <v>EPSG</v>
      </c>
      <c r="F1908" s="7" t="str">
        <v>4198</v>
      </c>
      <c r="G1908" t="str">
        <v>Geographic2DCrs</v>
      </c>
      <c r="H1908" t="str">
        <v>&lt;undefined&gt;</v>
      </c>
      <c r="I1908" t="str">
        <v>Kousseri</v>
      </c>
      <c r="J1908" t="str">
        <v>Cameroon - N'Djamena area.</v>
      </c>
      <c r="K1908" s="11">
        <v>0</v>
      </c>
    </row>
    <row r="1909" spans="5:11" x14ac:dyDescent="0.35">
      <c r="E1909" s="9" t="str">
        <v>EPSG</v>
      </c>
      <c r="F1909" s="7" t="str">
        <v>4199</v>
      </c>
      <c r="G1909" t="str">
        <v>Geographic2DCrs</v>
      </c>
      <c r="H1909" t="str">
        <v>&lt;undefined&gt;</v>
      </c>
      <c r="I1909" t="str">
        <v>Egypt 1930</v>
      </c>
      <c r="J1909" t="str">
        <v>Egypt - onshore.</v>
      </c>
      <c r="K1909" s="11">
        <v>0</v>
      </c>
    </row>
    <row r="1910" spans="5:11" x14ac:dyDescent="0.35">
      <c r="E1910" s="9" t="str">
        <v>EPSG</v>
      </c>
      <c r="F1910" s="7" t="str">
        <v>4200</v>
      </c>
      <c r="G1910" t="str">
        <v>Geographic2DCrs</v>
      </c>
      <c r="H1910" t="str">
        <v>&lt;undefined&gt;</v>
      </c>
      <c r="I1910" t="str">
        <v>Pulkovo 1995</v>
      </c>
      <c r="J1910" t="str">
        <v>Russian Federation - onshore and offshore.</v>
      </c>
      <c r="K1910" s="11">
        <v>0</v>
      </c>
    </row>
    <row r="1911" spans="5:11" x14ac:dyDescent="0.35">
      <c r="E1911" s="9" t="str">
        <v>EPSG</v>
      </c>
      <c r="F1911" s="7" t="str">
        <v>4201</v>
      </c>
      <c r="G1911" t="str">
        <v>Geographic2DCrs</v>
      </c>
      <c r="H1911" t="str">
        <v>&lt;undefined&gt;</v>
      </c>
      <c r="I1911" t="str">
        <v>Adindan</v>
      </c>
      <c r="J1911" t="str">
        <v>Eritrea; Ethiopia; South Sudan; Sudan.</v>
      </c>
      <c r="K1911" s="11">
        <v>0</v>
      </c>
    </row>
    <row r="1912" spans="5:11" x14ac:dyDescent="0.35">
      <c r="E1912" s="9" t="str">
        <v>EPSG</v>
      </c>
      <c r="F1912" s="7" t="str">
        <v>4202</v>
      </c>
      <c r="G1912" t="str">
        <v>Geographic2DCrs</v>
      </c>
      <c r="H1912" t="str">
        <v>&lt;undefined&gt;</v>
      </c>
      <c r="I1912" t="str">
        <v>AGD66</v>
      </c>
      <c r="J1912" t="str">
        <v>Australia - onshore and offshore. Papua New Guinea - onshore.</v>
      </c>
      <c r="K1912" s="11">
        <v>0</v>
      </c>
    </row>
    <row r="1913" spans="5:11" x14ac:dyDescent="0.35">
      <c r="E1913" s="9" t="str">
        <v>EPSG</v>
      </c>
      <c r="F1913" s="7" t="str">
        <v>4203</v>
      </c>
      <c r="G1913" t="str">
        <v>Geographic2DCrs</v>
      </c>
      <c r="H1913" t="str">
        <v>&lt;undefined&gt;</v>
      </c>
      <c r="I1913" t="str">
        <v>AGD84</v>
      </c>
      <c r="J1913" t="str">
        <v>Australia - Queensland, South Australia, Western Australia, federal areas offshore west of 129°E.</v>
      </c>
      <c r="K1913" s="11">
        <v>0</v>
      </c>
    </row>
    <row r="1914" spans="5:11" x14ac:dyDescent="0.35">
      <c r="E1914" s="9" t="str">
        <v>EPSG</v>
      </c>
      <c r="F1914" s="7" t="str">
        <v>4204</v>
      </c>
      <c r="G1914" t="str">
        <v>Geographic2DCrs</v>
      </c>
      <c r="H1914" t="str">
        <v>&lt;undefined&gt;</v>
      </c>
      <c r="I1914" t="str">
        <v>Ain el Abd</v>
      </c>
      <c r="J1914" t="str">
        <v>Bahrain, Kuwait and Saudi Arabia - onshore.</v>
      </c>
      <c r="K1914" s="11">
        <v>0</v>
      </c>
    </row>
    <row r="1915" spans="5:11" x14ac:dyDescent="0.35">
      <c r="E1915" s="9" t="str">
        <v>EPSG</v>
      </c>
      <c r="F1915" s="7" t="str">
        <v>4205</v>
      </c>
      <c r="G1915" t="str">
        <v>Geographic2DCrs</v>
      </c>
      <c r="H1915" t="str">
        <v>&lt;undefined&gt;</v>
      </c>
      <c r="I1915" t="str">
        <v>Afgooye</v>
      </c>
      <c r="J1915" t="str">
        <v>Somalia - onshore.</v>
      </c>
      <c r="K1915" s="11">
        <v>0</v>
      </c>
    </row>
    <row r="1916" spans="5:11" x14ac:dyDescent="0.35">
      <c r="E1916" s="9" t="str">
        <v>EPSG</v>
      </c>
      <c r="F1916" s="7" t="str">
        <v>4206</v>
      </c>
      <c r="G1916" t="str">
        <v>Geographic2DCrs</v>
      </c>
      <c r="H1916" t="str">
        <v>&lt;undefined&gt;</v>
      </c>
      <c r="I1916" t="str">
        <v>Agadez</v>
      </c>
      <c r="J1916" t="str">
        <v>Niger.</v>
      </c>
      <c r="K1916" s="11">
        <v>0</v>
      </c>
    </row>
    <row r="1917" spans="5:11" x14ac:dyDescent="0.35">
      <c r="E1917" s="9" t="str">
        <v>EPSG</v>
      </c>
      <c r="F1917" s="7" t="str">
        <v>4207</v>
      </c>
      <c r="G1917" t="str">
        <v>Geographic2DCrs</v>
      </c>
      <c r="H1917" t="str">
        <v>&lt;undefined&gt;</v>
      </c>
      <c r="I1917" t="str">
        <v>Lisbon</v>
      </c>
      <c r="J1917" t="str">
        <v>Portugal - mainland - onshore.</v>
      </c>
      <c r="K1917" s="11">
        <v>0</v>
      </c>
    </row>
    <row r="1918" spans="5:11" x14ac:dyDescent="0.35">
      <c r="E1918" s="9" t="str">
        <v>EPSG</v>
      </c>
      <c r="F1918" s="7" t="str">
        <v>4208</v>
      </c>
      <c r="G1918" t="str">
        <v>Geographic2DCrs</v>
      </c>
      <c r="H1918" t="str">
        <v>&lt;undefined&gt;</v>
      </c>
      <c r="I1918" t="str">
        <v>Aratu</v>
      </c>
      <c r="J1918" t="str">
        <v>Brazil - offshore south and east of a line intersecting the coast at 2°55'S; onshore Tucano basin.</v>
      </c>
      <c r="K1918" s="11">
        <v>0</v>
      </c>
    </row>
    <row r="1919" spans="5:11" x14ac:dyDescent="0.35">
      <c r="E1919" s="9" t="str">
        <v>EPSG</v>
      </c>
      <c r="F1919" s="7" t="str">
        <v>4209</v>
      </c>
      <c r="G1919" t="str">
        <v>Geographic2DCrs</v>
      </c>
      <c r="H1919" t="str">
        <v>&lt;undefined&gt;</v>
      </c>
      <c r="I1919" t="str">
        <v>Arc 1950</v>
      </c>
      <c r="J1919" t="str">
        <v>Botswana; Malawi; Zambia; Zimbabwe.</v>
      </c>
      <c r="K1919" s="11">
        <v>0</v>
      </c>
    </row>
    <row r="1920" spans="5:11" x14ac:dyDescent="0.35">
      <c r="E1920" s="9" t="str">
        <v>EPSG</v>
      </c>
      <c r="F1920" s="7" t="str">
        <v>4210</v>
      </c>
      <c r="G1920" t="str">
        <v>Geographic2DCrs</v>
      </c>
      <c r="H1920" t="str">
        <v>&lt;undefined&gt;</v>
      </c>
      <c r="I1920" t="str">
        <v>Arc 1960</v>
      </c>
      <c r="J1920" t="str">
        <v>Burundi, Kenya, Rwanda, Tanzania and Uganda.</v>
      </c>
      <c r="K1920" s="11">
        <v>0</v>
      </c>
    </row>
    <row r="1921" spans="5:11" x14ac:dyDescent="0.35">
      <c r="E1921" s="9" t="str">
        <v>EPSG</v>
      </c>
      <c r="F1921" s="7" t="str">
        <v>4211</v>
      </c>
      <c r="G1921" t="str">
        <v>Geographic2DCrs</v>
      </c>
      <c r="H1921" t="str">
        <v>&lt;undefined&gt;</v>
      </c>
      <c r="I1921" t="str">
        <v>Batavia</v>
      </c>
      <c r="J1921" t="str">
        <v>Indonesia - Bali, Java and western Sumatra onshore, offshore southern Java Sea, Madura Strait and western Bali Sea.</v>
      </c>
      <c r="K1921" s="11">
        <v>0</v>
      </c>
    </row>
    <row r="1922" spans="5:11" x14ac:dyDescent="0.35">
      <c r="E1922" s="9" t="str">
        <v>EPSG</v>
      </c>
      <c r="F1922" s="7" t="str">
        <v>4212</v>
      </c>
      <c r="G1922" t="str">
        <v>Geographic2DCrs</v>
      </c>
      <c r="H1922" t="str">
        <v>&lt;undefined&gt;</v>
      </c>
      <c r="I1922" t="str">
        <v>Barbados 1938</v>
      </c>
      <c r="J1922" t="str">
        <v>Barbados - onshore.</v>
      </c>
      <c r="K1922" s="11">
        <v>0</v>
      </c>
    </row>
    <row r="1923" spans="5:11" x14ac:dyDescent="0.35">
      <c r="E1923" s="9" t="str">
        <v>EPSG</v>
      </c>
      <c r="F1923" s="7" t="str">
        <v>4213</v>
      </c>
      <c r="G1923" t="str">
        <v>Geographic2DCrs</v>
      </c>
      <c r="H1923" t="str">
        <v>&lt;undefined&gt;</v>
      </c>
      <c r="I1923" t="str">
        <v>Beduaram</v>
      </c>
      <c r="J1923" t="str">
        <v>Niger - southeast</v>
      </c>
      <c r="K1923" s="11">
        <v>0</v>
      </c>
    </row>
    <row r="1924" spans="5:11" x14ac:dyDescent="0.35">
      <c r="E1924" s="9" t="str">
        <v>EPSG</v>
      </c>
      <c r="F1924" s="7" t="str">
        <v>4214</v>
      </c>
      <c r="G1924" t="str">
        <v>Geographic2DCrs</v>
      </c>
      <c r="H1924" t="str">
        <v>&lt;undefined&gt;</v>
      </c>
      <c r="I1924" t="str">
        <v>Beijing 1954</v>
      </c>
      <c r="J1924" t="str">
        <v>China - onshore and offshore.</v>
      </c>
      <c r="K1924" s="11">
        <v>0</v>
      </c>
    </row>
    <row r="1925" spans="5:11" x14ac:dyDescent="0.35">
      <c r="E1925" s="9" t="str">
        <v>EPSG</v>
      </c>
      <c r="F1925" s="7" t="str">
        <v>4215</v>
      </c>
      <c r="G1925" t="str">
        <v>Geographic2DCrs</v>
      </c>
      <c r="H1925" t="str">
        <v>&lt;undefined&gt;</v>
      </c>
      <c r="I1925" t="str">
        <v>BD50</v>
      </c>
      <c r="J1925" t="str">
        <v>Belgium - onshore.</v>
      </c>
      <c r="K1925" s="11">
        <v>0</v>
      </c>
    </row>
    <row r="1926" spans="5:11" x14ac:dyDescent="0.35">
      <c r="E1926" s="9" t="str">
        <v>EPSG</v>
      </c>
      <c r="F1926" s="7" t="str">
        <v>4216</v>
      </c>
      <c r="G1926" t="str">
        <v>Geographic2DCrs</v>
      </c>
      <c r="H1926" t="str">
        <v>&lt;undefined&gt;</v>
      </c>
      <c r="I1926" t="str">
        <v>Bermuda 1957</v>
      </c>
      <c r="J1926" t="str">
        <v>Bermuda - onshore.</v>
      </c>
      <c r="K1926" s="11">
        <v>0</v>
      </c>
    </row>
    <row r="1927" spans="5:11" x14ac:dyDescent="0.35">
      <c r="E1927" s="9" t="str">
        <v>EPSG</v>
      </c>
      <c r="F1927" s="7" t="str">
        <v>4217</v>
      </c>
      <c r="G1927" t="str">
        <v>ProjectedCrs</v>
      </c>
      <c r="H1927" t="str">
        <v>Transverse Mercator</v>
      </c>
      <c r="I1927" t="str">
        <v>NAD83 / BLM 59N (ftUS)</v>
      </c>
      <c r="J1927" t="str">
        <v>United States (USA) - west of 174°E. Alaska and offshore continental shelf (OCS).</v>
      </c>
      <c r="K1927" s="11">
        <v>0</v>
      </c>
    </row>
    <row r="1928" spans="5:11" x14ac:dyDescent="0.35">
      <c r="E1928" s="9" t="str">
        <v>EPSG</v>
      </c>
      <c r="F1928" s="7" t="str">
        <v>4218</v>
      </c>
      <c r="G1928" t="str">
        <v>Geographic2DCrs</v>
      </c>
      <c r="H1928" t="str">
        <v>&lt;undefined&gt;</v>
      </c>
      <c r="I1928" t="str">
        <v>Bogota 1975</v>
      </c>
      <c r="J1928" t="str">
        <v>Colombia - mainland and offshore Caribbean.</v>
      </c>
      <c r="K1928" s="11">
        <v>0</v>
      </c>
    </row>
    <row r="1929" spans="5:11" x14ac:dyDescent="0.35">
      <c r="E1929" s="9" t="str">
        <v>EPSG</v>
      </c>
      <c r="F1929" s="7" t="str">
        <v>4219</v>
      </c>
      <c r="G1929" t="str">
        <v>Geographic2DCrs</v>
      </c>
      <c r="H1929" t="str">
        <v>&lt;undefined&gt;</v>
      </c>
      <c r="I1929" t="str">
        <v>Bukit Rimpah</v>
      </c>
      <c r="J1929" t="str">
        <v>Indonesia - Banga and Belitung Islands.</v>
      </c>
      <c r="K1929" s="11">
        <v>0</v>
      </c>
    </row>
    <row r="1930" spans="5:11" x14ac:dyDescent="0.35">
      <c r="E1930" s="9" t="str">
        <v>EPSG</v>
      </c>
      <c r="F1930" s="7" t="str">
        <v>4220</v>
      </c>
      <c r="G1930" t="str">
        <v>Geographic2DCrs</v>
      </c>
      <c r="H1930" t="str">
        <v>&lt;undefined&gt;</v>
      </c>
      <c r="I1930" t="str">
        <v>Camacupa 1948</v>
      </c>
      <c r="J1930" t="str">
        <v>Angola - Angola proper - onshore and offshore.</v>
      </c>
      <c r="K1930" s="11">
        <v>0</v>
      </c>
    </row>
    <row r="1931" spans="5:11" x14ac:dyDescent="0.35">
      <c r="E1931" s="9" t="str">
        <v>EPSG</v>
      </c>
      <c r="F1931" s="7" t="str">
        <v>4221</v>
      </c>
      <c r="G1931" t="str">
        <v>Geographic2DCrs</v>
      </c>
      <c r="H1931" t="str">
        <v>&lt;undefined&gt;</v>
      </c>
      <c r="I1931" t="str">
        <v>Campo Inchauspe</v>
      </c>
      <c r="J1931" t="str">
        <v>Argentina - mainland onshore and Atlantic offshore Tierra del Fuego.</v>
      </c>
      <c r="K1931" s="11">
        <v>0</v>
      </c>
    </row>
    <row r="1932" spans="5:11" x14ac:dyDescent="0.35">
      <c r="E1932" s="9" t="str">
        <v>EPSG</v>
      </c>
      <c r="F1932" s="7" t="str">
        <v>4222</v>
      </c>
      <c r="G1932" t="str">
        <v>Geographic2DCrs</v>
      </c>
      <c r="H1932" t="str">
        <v>&lt;undefined&gt;</v>
      </c>
      <c r="I1932" t="str">
        <v>Cape</v>
      </c>
      <c r="J1932" t="str">
        <v>Botswana; Eswatini (Swaziland); Lesotho; South Africa - mainland.</v>
      </c>
      <c r="K1932" s="11">
        <v>0</v>
      </c>
    </row>
    <row r="1933" spans="5:11" x14ac:dyDescent="0.35">
      <c r="E1933" s="9" t="str">
        <v>EPSG</v>
      </c>
      <c r="F1933" s="7" t="str">
        <v>4223</v>
      </c>
      <c r="G1933" t="str">
        <v>Geographic2DCrs</v>
      </c>
      <c r="H1933" t="str">
        <v>&lt;undefined&gt;</v>
      </c>
      <c r="I1933" t="str">
        <v>Carthage</v>
      </c>
      <c r="J1933" t="str">
        <v>Tunisia - onshore and offshore.</v>
      </c>
      <c r="K1933" s="11">
        <v>0</v>
      </c>
    </row>
    <row r="1934" spans="5:11" x14ac:dyDescent="0.35">
      <c r="E1934" s="9" t="str">
        <v>EPSG</v>
      </c>
      <c r="F1934" s="7" t="str">
        <v>4224</v>
      </c>
      <c r="G1934" t="str">
        <v>Geographic2DCrs</v>
      </c>
      <c r="H1934" t="str">
        <v>&lt;undefined&gt;</v>
      </c>
      <c r="I1934" t="str">
        <v>Chua</v>
      </c>
      <c r="J1934" t="str">
        <v>Brazil - south of 18°S and west of 54°W, plus Distrito Federal. Paraguay - north.</v>
      </c>
      <c r="K1934" s="11">
        <v>0</v>
      </c>
    </row>
    <row r="1935" spans="5:11" x14ac:dyDescent="0.35">
      <c r="E1935" s="9" t="str">
        <v>EPSG</v>
      </c>
      <c r="F1935" s="7" t="str">
        <v>4225</v>
      </c>
      <c r="G1935" t="str">
        <v>Geographic2DCrs</v>
      </c>
      <c r="H1935" t="str">
        <v>&lt;undefined&gt;</v>
      </c>
      <c r="I1935" t="str">
        <v>Corrego Alegre 1970-72</v>
      </c>
      <c r="J1935" t="str">
        <v>Brazil - onshore - west of 54°W and south of 18°S; also south of 15°S between 54°W and 42°W; also east of 42°W.</v>
      </c>
      <c r="K1935" s="11">
        <v>0</v>
      </c>
    </row>
    <row r="1936" spans="5:11" x14ac:dyDescent="0.35">
      <c r="E1936" s="9" t="str">
        <v>EPSG</v>
      </c>
      <c r="F1936" s="7" t="str">
        <v>4227</v>
      </c>
      <c r="G1936" t="str">
        <v>Geographic2DCrs</v>
      </c>
      <c r="H1936" t="str">
        <v>&lt;undefined&gt;</v>
      </c>
      <c r="I1936" t="str">
        <v>Deir ez Zor</v>
      </c>
      <c r="J1936" t="str">
        <v>Lebanon - onshore. Syrian Arab Republic - onshore.</v>
      </c>
      <c r="K1936" s="11">
        <v>0</v>
      </c>
    </row>
    <row r="1937" spans="5:11" x14ac:dyDescent="0.35">
      <c r="E1937" s="9" t="str">
        <v>EPSG</v>
      </c>
      <c r="F1937" s="7" t="str">
        <v>4229</v>
      </c>
      <c r="G1937" t="str">
        <v>Geographic2DCrs</v>
      </c>
      <c r="H1937" t="str">
        <v>&lt;undefined&gt;</v>
      </c>
      <c r="I1937" t="str">
        <v>Egypt 1907</v>
      </c>
      <c r="J1937" t="str">
        <v>Egypt - onshore and offshore.</v>
      </c>
      <c r="K1937" s="11">
        <v>0</v>
      </c>
    </row>
    <row r="1938" spans="5:11" x14ac:dyDescent="0.35">
      <c r="E1938" s="9" t="str">
        <v>EPSG</v>
      </c>
      <c r="F1938" s="7" t="str">
        <v>4230</v>
      </c>
      <c r="G1938" t="str">
        <v>Geographic2DCrs</v>
      </c>
      <c r="H1938" t="str">
        <v>&lt;undefined&gt;</v>
      </c>
      <c r="I1938" t="str">
        <v>ED50</v>
      </c>
      <c r="J1938" t="str">
        <v>Europe - west: Andorra; Cyprus; Denmark - onshore and offshore; Faroe Islands - onshore; France - offshore; Germany - offshore North Sea; Gibraltar; Greece - offshore; Israel - offshore; Italy including San Marino and Vatican City State; Ireland offshore; Malta; Netherlands - offshore; North Sea; Norway including Svalbard - onshore and offshore; Portugal - mainland - offshore; Spain - onshore; Türkiye (Turkey) - onshore and offshore; United Kingdom - UKCS offshore east of 6°W including Channel Islands (Guernsey and Jersey). Egypt - Western Desert; Iraq - onshore; Jordan.</v>
      </c>
      <c r="K1938" s="11">
        <v>0</v>
      </c>
    </row>
    <row r="1939" spans="5:11" x14ac:dyDescent="0.35">
      <c r="E1939" s="9" t="str">
        <v>EPSG</v>
      </c>
      <c r="F1939" s="7" t="str">
        <v>4231</v>
      </c>
      <c r="G1939" t="str">
        <v>Geographic2DCrs</v>
      </c>
      <c r="H1939" t="str">
        <v>&lt;undefined&gt;</v>
      </c>
      <c r="I1939" t="str">
        <v>ED87</v>
      </c>
      <c r="J1939" t="str">
        <v>Europe - west.</v>
      </c>
      <c r="K1939" s="11">
        <v>0</v>
      </c>
    </row>
    <row r="1940" spans="5:11" x14ac:dyDescent="0.35">
      <c r="E1940" s="9" t="str">
        <v>EPSG</v>
      </c>
      <c r="F1940" s="7" t="str">
        <v>4232</v>
      </c>
      <c r="G1940" t="str">
        <v>Geographic2DCrs</v>
      </c>
      <c r="H1940" t="str">
        <v>&lt;undefined&gt;</v>
      </c>
      <c r="I1940" t="str">
        <v>Fahud</v>
      </c>
      <c r="J1940" t="str">
        <v>Oman - mainland onshore.</v>
      </c>
      <c r="K1940" s="11">
        <v>0</v>
      </c>
    </row>
    <row r="1941" spans="5:11" x14ac:dyDescent="0.35">
      <c r="E1941" s="9" t="str">
        <v>EPSG</v>
      </c>
      <c r="F1941" s="7" t="str">
        <v>4236</v>
      </c>
      <c r="G1941" t="str">
        <v>Geographic2DCrs</v>
      </c>
      <c r="H1941" t="str">
        <v>&lt;undefined&gt;</v>
      </c>
      <c r="I1941" t="str">
        <v>Hu Tzu Shan 1950</v>
      </c>
      <c r="J1941" t="str">
        <v>Taiwan, Republic of China - onshore - Taiwan Island, Penghu (Pescadores) Islands.</v>
      </c>
      <c r="K1941" s="11">
        <v>0</v>
      </c>
    </row>
    <row r="1942" spans="5:11" x14ac:dyDescent="0.35">
      <c r="E1942" s="9" t="str">
        <v>EPSG</v>
      </c>
      <c r="F1942" s="7" t="str">
        <v>4237</v>
      </c>
      <c r="G1942" t="str">
        <v>Geographic2DCrs</v>
      </c>
      <c r="H1942" t="str">
        <v>&lt;undefined&gt;</v>
      </c>
      <c r="I1942" t="str">
        <v>HD72</v>
      </c>
      <c r="J1942" t="str">
        <v>Hungary.</v>
      </c>
      <c r="K1942" s="11">
        <v>0</v>
      </c>
    </row>
    <row r="1943" spans="5:11" x14ac:dyDescent="0.35">
      <c r="E1943" s="9" t="str">
        <v>EPSG</v>
      </c>
      <c r="F1943" s="7" t="str">
        <v>4238</v>
      </c>
      <c r="G1943" t="str">
        <v>Geographic2DCrs</v>
      </c>
      <c r="H1943" t="str">
        <v>&lt;undefined&gt;</v>
      </c>
      <c r="I1943" t="str">
        <v>ID74</v>
      </c>
      <c r="J1943" t="str">
        <v>Indonesia - onshore.</v>
      </c>
      <c r="K1943" s="11">
        <v>0</v>
      </c>
    </row>
    <row r="1944" spans="5:11" x14ac:dyDescent="0.35">
      <c r="E1944" s="9" t="str">
        <v>EPSG</v>
      </c>
      <c r="F1944" s="7" t="str">
        <v>4239</v>
      </c>
      <c r="G1944" t="str">
        <v>Geographic2DCrs</v>
      </c>
      <c r="H1944" t="str">
        <v>&lt;undefined&gt;</v>
      </c>
      <c r="I1944" t="str">
        <v>Indian 1954</v>
      </c>
      <c r="J1944" t="str">
        <v>Myanmar (Burma) - onshore; Thailand - onshore.</v>
      </c>
      <c r="K1944" s="11">
        <v>0</v>
      </c>
    </row>
    <row r="1945" spans="5:11" x14ac:dyDescent="0.35">
      <c r="E1945" s="9" t="str">
        <v>EPSG</v>
      </c>
      <c r="F1945" s="7" t="str">
        <v>4240</v>
      </c>
      <c r="G1945" t="str">
        <v>Geographic2DCrs</v>
      </c>
      <c r="H1945" t="str">
        <v>&lt;undefined&gt;</v>
      </c>
      <c r="I1945" t="str">
        <v>Indian 1975</v>
      </c>
      <c r="J1945" t="str">
        <v>Thailand - onshore plus offshore Gulf of Thailand.</v>
      </c>
      <c r="K1945" s="11">
        <v>0</v>
      </c>
    </row>
    <row r="1946" spans="5:11" x14ac:dyDescent="0.35">
      <c r="E1946" s="9" t="str">
        <v>EPSG</v>
      </c>
      <c r="F1946" s="7" t="str">
        <v>4241</v>
      </c>
      <c r="G1946" t="str">
        <v>Geographic2DCrs</v>
      </c>
      <c r="H1946" t="str">
        <v>&lt;undefined&gt;</v>
      </c>
      <c r="I1946" t="str">
        <v>Jamaica 1875</v>
      </c>
      <c r="J1946" t="str">
        <v>Jamaica - onshore.</v>
      </c>
      <c r="K1946" s="11">
        <v>0</v>
      </c>
    </row>
    <row r="1947" spans="5:11" x14ac:dyDescent="0.35">
      <c r="E1947" s="9" t="str">
        <v>EPSG</v>
      </c>
      <c r="F1947" s="7" t="str">
        <v>4242</v>
      </c>
      <c r="G1947" t="str">
        <v>Geographic2DCrs</v>
      </c>
      <c r="H1947" t="str">
        <v>&lt;undefined&gt;</v>
      </c>
      <c r="I1947" t="str">
        <v>JAD69</v>
      </c>
      <c r="J1947" t="str">
        <v>Jamaica - onshore.</v>
      </c>
      <c r="K1947" s="11">
        <v>0</v>
      </c>
    </row>
    <row r="1948" spans="5:11" x14ac:dyDescent="0.35">
      <c r="E1948" s="9" t="str">
        <v>EPSG</v>
      </c>
      <c r="F1948" s="7" t="str">
        <v>4243</v>
      </c>
      <c r="G1948" t="str">
        <v>Geographic2DCrs</v>
      </c>
      <c r="H1948" t="str">
        <v>&lt;undefined&gt;</v>
      </c>
      <c r="I1948" t="str">
        <v>Kalianpur 1880</v>
      </c>
      <c r="J1948" t="str">
        <v>Bangladesh - onshore; India - mainland onshore; Myanmar (Burma) - onshore; Pakistan - onshore.</v>
      </c>
      <c r="K1948" s="11">
        <v>0</v>
      </c>
    </row>
    <row r="1949" spans="5:11" x14ac:dyDescent="0.35">
      <c r="E1949" s="9" t="str">
        <v>EPSG</v>
      </c>
      <c r="F1949" s="7" t="str">
        <v>4244</v>
      </c>
      <c r="G1949" t="str">
        <v>Geographic2DCrs</v>
      </c>
      <c r="H1949" t="str">
        <v>&lt;undefined&gt;</v>
      </c>
      <c r="I1949" t="str">
        <v>Kandawala</v>
      </c>
      <c r="J1949" t="str">
        <v>Sri Lanka - onshore.</v>
      </c>
      <c r="K1949" s="11">
        <v>0</v>
      </c>
    </row>
    <row r="1950" spans="5:11" x14ac:dyDescent="0.35">
      <c r="E1950" s="9" t="str">
        <v>EPSG</v>
      </c>
      <c r="F1950" s="7" t="str">
        <v>4245</v>
      </c>
      <c r="G1950" t="str">
        <v>Geographic2DCrs</v>
      </c>
      <c r="H1950" t="str">
        <v>&lt;undefined&gt;</v>
      </c>
      <c r="I1950" t="str">
        <v>Kertau 1968</v>
      </c>
      <c r="J1950" t="str">
        <v>Malaysia - West Malaysia onshore and offshore east coast; Singapore - onshore and offshore.</v>
      </c>
      <c r="K1950" s="11">
        <v>0</v>
      </c>
    </row>
    <row r="1951" spans="5:11" x14ac:dyDescent="0.35">
      <c r="E1951" s="9" t="str">
        <v>EPSG</v>
      </c>
      <c r="F1951" s="7" t="str">
        <v>4246</v>
      </c>
      <c r="G1951" t="str">
        <v>Geographic2DCrs</v>
      </c>
      <c r="H1951" t="str">
        <v>&lt;undefined&gt;</v>
      </c>
      <c r="I1951" t="str">
        <v>KOC</v>
      </c>
      <c r="J1951" t="str">
        <v>Kuwait - onshore.</v>
      </c>
      <c r="K1951" s="11">
        <v>0</v>
      </c>
    </row>
    <row r="1952" spans="5:11" x14ac:dyDescent="0.35">
      <c r="E1952" s="9" t="str">
        <v>EPSG</v>
      </c>
      <c r="F1952" s="7" t="str">
        <v>4247</v>
      </c>
      <c r="G1952" t="str">
        <v>Geographic2DCrs</v>
      </c>
      <c r="H1952" t="str">
        <v>&lt;undefined&gt;</v>
      </c>
      <c r="I1952" t="str">
        <v>La Canoa</v>
      </c>
      <c r="J1952" t="str">
        <v>Venezuela - onshore.</v>
      </c>
      <c r="K1952" s="11">
        <v>0</v>
      </c>
    </row>
    <row r="1953" spans="5:11" x14ac:dyDescent="0.35">
      <c r="E1953" s="9" t="str">
        <v>EPSG</v>
      </c>
      <c r="F1953" s="7" t="str">
        <v>4248</v>
      </c>
      <c r="G1953" t="str">
        <v>Geographic2DCrs</v>
      </c>
      <c r="H1953" t="str">
        <v>&lt;undefined&gt;</v>
      </c>
      <c r="I1953" t="str">
        <v>PSAD56</v>
      </c>
      <c r="J1953" t="str">
        <v>Aruba - onshore; Bolivia; Bonaire - onshore; Brazil - offshore - Amazon Cone shelf; Chile - onshore north of 43°30'S; Curacao - onshore; Ecuador - mainland onshore; Guyana - onshore; Peru - onshore; Venezuela - onshore.</v>
      </c>
      <c r="K1953" s="11">
        <v>0</v>
      </c>
    </row>
    <row r="1954" spans="5:11" x14ac:dyDescent="0.35">
      <c r="E1954" s="9" t="str">
        <v>EPSG</v>
      </c>
      <c r="F1954" s="7" t="str">
        <v>4249</v>
      </c>
      <c r="G1954" t="str">
        <v>Geographic2DCrs</v>
      </c>
      <c r="H1954" t="str">
        <v>&lt;undefined&gt;</v>
      </c>
      <c r="I1954" t="str">
        <v>Lake</v>
      </c>
      <c r="J1954" t="str">
        <v>Venezuela - Lake Maracaibo area, onshore and offshore in lake.</v>
      </c>
      <c r="K1954" s="11">
        <v>0</v>
      </c>
    </row>
    <row r="1955" spans="5:11" x14ac:dyDescent="0.35">
      <c r="E1955" s="9" t="str">
        <v>EPSG</v>
      </c>
      <c r="F1955" s="7" t="str">
        <v>4250</v>
      </c>
      <c r="G1955" t="str">
        <v>Geographic2DCrs</v>
      </c>
      <c r="H1955" t="str">
        <v>&lt;undefined&gt;</v>
      </c>
      <c r="I1955" t="str">
        <v>Leigon</v>
      </c>
      <c r="J1955" t="str">
        <v>Ghana - onshore and offshore.</v>
      </c>
      <c r="K1955" s="11">
        <v>0</v>
      </c>
    </row>
    <row r="1956" spans="5:11" x14ac:dyDescent="0.35">
      <c r="E1956" s="9" t="str">
        <v>EPSG</v>
      </c>
      <c r="F1956" s="7" t="str">
        <v>4251</v>
      </c>
      <c r="G1956" t="str">
        <v>Geographic2DCrs</v>
      </c>
      <c r="H1956" t="str">
        <v>&lt;undefined&gt;</v>
      </c>
      <c r="I1956" t="str">
        <v>Liberia 1964</v>
      </c>
      <c r="J1956" t="str">
        <v>Liberia - onshore.</v>
      </c>
      <c r="K1956" s="11">
        <v>0</v>
      </c>
    </row>
    <row r="1957" spans="5:11" x14ac:dyDescent="0.35">
      <c r="E1957" s="9" t="str">
        <v>EPSG</v>
      </c>
      <c r="F1957" s="7" t="str">
        <v>4252</v>
      </c>
      <c r="G1957" t="str">
        <v>Geographic2DCrs</v>
      </c>
      <c r="H1957" t="str">
        <v>&lt;undefined&gt;</v>
      </c>
      <c r="I1957" t="str">
        <v>Lome</v>
      </c>
      <c r="J1957" t="str">
        <v>Togo - onshore and offshore.</v>
      </c>
      <c r="K1957" s="11">
        <v>0</v>
      </c>
    </row>
    <row r="1958" spans="5:11" x14ac:dyDescent="0.35">
      <c r="E1958" s="9" t="str">
        <v>EPSG</v>
      </c>
      <c r="F1958" s="7" t="str">
        <v>4253</v>
      </c>
      <c r="G1958" t="str">
        <v>Geographic2DCrs</v>
      </c>
      <c r="H1958" t="str">
        <v>&lt;undefined&gt;</v>
      </c>
      <c r="I1958" t="str">
        <v>Luzon 1911</v>
      </c>
      <c r="J1958" t="str">
        <v>Philippines - onshore.</v>
      </c>
      <c r="K1958" s="11">
        <v>0</v>
      </c>
    </row>
    <row r="1959" spans="5:11" x14ac:dyDescent="0.35">
      <c r="E1959" s="9" t="str">
        <v>EPSG</v>
      </c>
      <c r="F1959" s="7" t="str">
        <v>4254</v>
      </c>
      <c r="G1959" t="str">
        <v>Geographic2DCrs</v>
      </c>
      <c r="H1959" t="str">
        <v>&lt;undefined&gt;</v>
      </c>
      <c r="I1959" t="str">
        <v>Hito XVIII 1963</v>
      </c>
      <c r="J1959" t="str">
        <v>Chile - Tierra del Fuego, onshore; Argentina - Tierra del Fuego, onshore and offshore Atlantic west of 66°W.</v>
      </c>
      <c r="K1959" s="11">
        <v>0</v>
      </c>
    </row>
    <row r="1960" spans="5:11" x14ac:dyDescent="0.35">
      <c r="E1960" s="9" t="str">
        <v>EPSG</v>
      </c>
      <c r="F1960" s="7" t="str">
        <v>4255</v>
      </c>
      <c r="G1960" t="str">
        <v>Geographic2DCrs</v>
      </c>
      <c r="H1960" t="str">
        <v>&lt;undefined&gt;</v>
      </c>
      <c r="I1960" t="str">
        <v>Herat North</v>
      </c>
      <c r="J1960" t="str">
        <v>Afghanistan.</v>
      </c>
      <c r="K1960" s="11">
        <v>0</v>
      </c>
    </row>
    <row r="1961" spans="5:11" x14ac:dyDescent="0.35">
      <c r="E1961" s="9" t="str">
        <v>EPSG</v>
      </c>
      <c r="F1961" s="7" t="str">
        <v>4256</v>
      </c>
      <c r="G1961" t="str">
        <v>Geographic2DCrs</v>
      </c>
      <c r="H1961" t="str">
        <v>&lt;undefined&gt;</v>
      </c>
      <c r="I1961" t="str">
        <v>Mahe 1971</v>
      </c>
      <c r="J1961" t="str">
        <v>Seychelles - Mahe Island.</v>
      </c>
      <c r="K1961" s="11">
        <v>0</v>
      </c>
    </row>
    <row r="1962" spans="5:11" x14ac:dyDescent="0.35">
      <c r="E1962" s="9" t="str">
        <v>EPSG</v>
      </c>
      <c r="F1962" s="7" t="str">
        <v>4257</v>
      </c>
      <c r="G1962" t="str">
        <v>Geographic2DCrs</v>
      </c>
      <c r="H1962" t="str">
        <v>&lt;undefined&gt;</v>
      </c>
      <c r="I1962" t="str">
        <v>Makassar</v>
      </c>
      <c r="J1962" t="str">
        <v>Indonesia - south west Sulawesi.</v>
      </c>
      <c r="K1962" s="11">
        <v>0</v>
      </c>
    </row>
    <row r="1963" spans="5:11" x14ac:dyDescent="0.35">
      <c r="E1963" s="9" t="str">
        <v>EPSG</v>
      </c>
      <c r="F1963" s="7" t="str">
        <v>4258</v>
      </c>
      <c r="G1963" t="str">
        <v>Geographic2DCrs</v>
      </c>
      <c r="H1963" t="str">
        <v>&lt;undefined&gt;</v>
      </c>
      <c r="I1963" t="str">
        <v>ETRS89</v>
      </c>
      <c r="J1963" t="str">
        <v>Europe - onshore and offshore: Albania; Andorra; Austria; Belgium; Bosnia and Herzegovina; Bulgaria; Croatia; Czechia; Denmark; Estonia; Faroe Islands; Finland; France; Germany; Gibraltar; Greece; Hungary; Ireland; Italy; Kosovo; Latvia; Liechtenstein; Lithuania; Luxembourg; Malta; Moldova; Monaco; Montenegro; Netherlands; North Macedonia; Norway including Svalbard and Jan Mayen; Poland; Portugal - mainland; Romania; San Marino; Serbia; Slovakia; Slovenia; Spain - mainland and Balearic islands; Sweden; Switzerland; United Kingdom (UK) including Channel Islands and Isle of Man; Vatican City State.</v>
      </c>
      <c r="K1963" s="11">
        <v>0</v>
      </c>
    </row>
    <row r="1964" spans="5:11" x14ac:dyDescent="0.35">
      <c r="E1964" s="9" t="str">
        <v>EPSG</v>
      </c>
      <c r="F1964" s="7" t="str">
        <v>4259</v>
      </c>
      <c r="G1964" t="str">
        <v>Geographic2DCrs</v>
      </c>
      <c r="H1964" t="str">
        <v>&lt;undefined&gt;</v>
      </c>
      <c r="I1964" t="str">
        <v>Malongo 1987</v>
      </c>
      <c r="J1964" t="str">
        <v>Angola (Cabinda) - offshore; The Democratic Republic of the Congo (Zaire) - offshore.</v>
      </c>
      <c r="K1964" s="11">
        <v>0</v>
      </c>
    </row>
    <row r="1965" spans="5:11" x14ac:dyDescent="0.35">
      <c r="E1965" s="9" t="str">
        <v>EPSG</v>
      </c>
      <c r="F1965" s="7" t="str">
        <v>4261</v>
      </c>
      <c r="G1965" t="str">
        <v>Geographic2DCrs</v>
      </c>
      <c r="H1965" t="str">
        <v>&lt;undefined&gt;</v>
      </c>
      <c r="I1965" t="str">
        <v>Merchich</v>
      </c>
      <c r="J1965" t="str">
        <v>Africa - Morocco and Western Sahara - onshore.</v>
      </c>
      <c r="K1965" s="11">
        <v>0</v>
      </c>
    </row>
    <row r="1966" spans="5:11" x14ac:dyDescent="0.35">
      <c r="E1966" s="9" t="str">
        <v>EPSG</v>
      </c>
      <c r="F1966" s="7" t="str">
        <v>4262</v>
      </c>
      <c r="G1966" t="str">
        <v>Geographic2DCrs</v>
      </c>
      <c r="H1966" t="str">
        <v>&lt;undefined&gt;</v>
      </c>
      <c r="I1966" t="str">
        <v>Massawa</v>
      </c>
      <c r="J1966" t="str">
        <v>Eritrea - onshore and offshore.</v>
      </c>
      <c r="K1966" s="11">
        <v>0</v>
      </c>
    </row>
    <row r="1967" spans="5:11" x14ac:dyDescent="0.35">
      <c r="E1967" s="9" t="str">
        <v>EPSG</v>
      </c>
      <c r="F1967" s="7" t="str">
        <v>4263</v>
      </c>
      <c r="G1967" t="str">
        <v>Geographic2DCrs</v>
      </c>
      <c r="H1967" t="str">
        <v>&lt;undefined&gt;</v>
      </c>
      <c r="I1967" t="str">
        <v>Minna</v>
      </c>
      <c r="J1967" t="str">
        <v>Nigeria - onshore and offshore.</v>
      </c>
      <c r="K1967" s="11">
        <v>0</v>
      </c>
    </row>
    <row r="1968" spans="5:11" x14ac:dyDescent="0.35">
      <c r="E1968" s="9" t="str">
        <v>EPSG</v>
      </c>
      <c r="F1968" s="7" t="str">
        <v>4265</v>
      </c>
      <c r="G1968" t="str">
        <v>Geographic2DCrs</v>
      </c>
      <c r="H1968" t="str">
        <v>&lt;undefined&gt;</v>
      </c>
      <c r="I1968" t="str">
        <v>Monte Mario</v>
      </c>
      <c r="J1968" t="str">
        <v>Italy - onshore and offshore; San Marino, Vatican City State.</v>
      </c>
      <c r="K1968" s="11">
        <v>0</v>
      </c>
    </row>
    <row r="1969" spans="5:11" x14ac:dyDescent="0.35">
      <c r="E1969" s="9" t="str">
        <v>EPSG</v>
      </c>
      <c r="F1969" s="7" t="str">
        <v>4266</v>
      </c>
      <c r="G1969" t="str">
        <v>Geographic2DCrs</v>
      </c>
      <c r="H1969" t="str">
        <v>&lt;undefined&gt;</v>
      </c>
      <c r="I1969" t="str">
        <v>M'poraloko</v>
      </c>
      <c r="J1969" t="str">
        <v>Gabon - onshore and offshore.</v>
      </c>
      <c r="K1969" s="11">
        <v>0</v>
      </c>
    </row>
    <row r="1970" spans="5:11" x14ac:dyDescent="0.35">
      <c r="E1970" s="9" t="str">
        <v>EPSG</v>
      </c>
      <c r="F1970" s="7" t="str">
        <v>4267</v>
      </c>
      <c r="G1970" t="str">
        <v>Geographic2DCrs</v>
      </c>
      <c r="H1970" t="str">
        <v>&lt;undefined&gt;</v>
      </c>
      <c r="I1970" t="str">
        <v>NAD27</v>
      </c>
      <c r="J1970" t="str">
        <v>North and central America: Antigua and Barbuda - onshore. Bahamas - onshore plus offshore over internal continental shelf only. Belize - onshore. British Virgin Islands - onshore. Canada onshore - Alberta, British Columbia, Manitoba, New Brunswick, Newfoundland and Labrador, Northwest Territories, Nova Scotia, Nunavut, Ontario, Prince Edward Island, Quebec, Saskatchewan and Yukon - plus offshore east coast. Cuba - onshore and offshore. El Salvador - onshore. Guatemala - onshore. Honduras - onshore. Panama - onshore. Puerto Rico - onshore. Mexico - onshore plus offshore east coast. Nicaragua - onshore.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 plus offshore . US Virgin Islands - onshore.</v>
      </c>
      <c r="K1970" s="11">
        <v>0</v>
      </c>
    </row>
    <row r="1971" spans="5:11" x14ac:dyDescent="0.35">
      <c r="E1971" s="9" t="str">
        <v>EPSG</v>
      </c>
      <c r="F1971" s="7" t="str">
        <v>4269</v>
      </c>
      <c r="G1971" t="str">
        <v>Geographic2DCrs</v>
      </c>
      <c r="H1971" t="str">
        <v>&lt;undefined&gt;</v>
      </c>
      <c r="I1971" t="str">
        <v>NAD83</v>
      </c>
      <c r="J1971" t="str">
        <v>North America - onshore and offshore: Canada - Alberta; British Columbia; Manitoba; New Brunswick; Newfoundland and Labrador; Northwest Territories; Nova Scotia; Nunavut; Ontario; Prince Edward Island; Quebec; Saskatchewan; Yukon. Puerto Rico. United States (USA) -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British Virgin Islands.</v>
      </c>
      <c r="K1971" s="11">
        <v>0</v>
      </c>
    </row>
    <row r="1972" spans="5:11" x14ac:dyDescent="0.35">
      <c r="E1972" s="9" t="str">
        <v>EPSG</v>
      </c>
      <c r="F1972" s="7" t="str">
        <v>4270</v>
      </c>
      <c r="G1972" t="str">
        <v>Geographic2DCrs</v>
      </c>
      <c r="H1972" t="str">
        <v>&lt;undefined&gt;</v>
      </c>
      <c r="I1972" t="str">
        <v>Nahrwan 1967</v>
      </c>
      <c r="J1972" t="str">
        <v>Arabian Gulf; Qatar - offshore; United Arab Emirates (UAE) - Abu Dhabi; Dubai; Sharjah; Ajman; Fujairah; Ras Al Kaimah; Umm Al Qaiwain - onshore and offshore.</v>
      </c>
      <c r="K1972" s="11">
        <v>0</v>
      </c>
    </row>
    <row r="1973" spans="5:11" x14ac:dyDescent="0.35">
      <c r="E1973" s="9" t="str">
        <v>EPSG</v>
      </c>
      <c r="F1973" s="7" t="str">
        <v>4271</v>
      </c>
      <c r="G1973" t="str">
        <v>Geographic2DCrs</v>
      </c>
      <c r="H1973" t="str">
        <v>&lt;undefined&gt;</v>
      </c>
      <c r="I1973" t="str">
        <v>Naparima 1972</v>
      </c>
      <c r="J1973" t="str">
        <v>Trinidad and Tobago - Tobago - onshore.</v>
      </c>
      <c r="K1973" s="11">
        <v>0</v>
      </c>
    </row>
    <row r="1974" spans="5:11" x14ac:dyDescent="0.35">
      <c r="E1974" s="9" t="str">
        <v>EPSG</v>
      </c>
      <c r="F1974" s="7" t="str">
        <v>4272</v>
      </c>
      <c r="G1974" t="str">
        <v>Geographic2DCrs</v>
      </c>
      <c r="H1974" t="str">
        <v>&lt;undefined&gt;</v>
      </c>
      <c r="I1974" t="str">
        <v>NZGD49</v>
      </c>
      <c r="J1974" t="str">
        <v>New Zealand - North Island, South Island, Stewart Island - onshore and nearshore.</v>
      </c>
      <c r="K1974" s="11">
        <v>0</v>
      </c>
    </row>
    <row r="1975" spans="5:11" x14ac:dyDescent="0.35">
      <c r="E1975" s="9" t="str">
        <v>EPSG</v>
      </c>
      <c r="F1975" s="7" t="str">
        <v>4273</v>
      </c>
      <c r="G1975" t="str">
        <v>Geographic2DCrs</v>
      </c>
      <c r="H1975" t="str">
        <v>&lt;undefined&gt;</v>
      </c>
      <c r="I1975" t="str">
        <v>NGO 1948</v>
      </c>
      <c r="J1975" t="str">
        <v>Norway - onshore.</v>
      </c>
      <c r="K1975" s="11">
        <v>0</v>
      </c>
    </row>
    <row r="1976" spans="5:11" x14ac:dyDescent="0.35">
      <c r="E1976" s="9" t="str">
        <v>EPSG</v>
      </c>
      <c r="F1976" s="7" t="str">
        <v>4274</v>
      </c>
      <c r="G1976" t="str">
        <v>Geographic2DCrs</v>
      </c>
      <c r="H1976" t="str">
        <v>&lt;undefined&gt;</v>
      </c>
      <c r="I1976" t="str">
        <v>Datum 73</v>
      </c>
      <c r="J1976" t="str">
        <v>Portugal - mainland - onshore.</v>
      </c>
      <c r="K1976" s="11">
        <v>0</v>
      </c>
    </row>
    <row r="1977" spans="5:11" x14ac:dyDescent="0.35">
      <c r="E1977" s="9" t="str">
        <v>EPSG</v>
      </c>
      <c r="F1977" s="7" t="str">
        <v>4275</v>
      </c>
      <c r="G1977" t="str">
        <v>Geographic2DCrs</v>
      </c>
      <c r="H1977" t="str">
        <v>&lt;undefined&gt;</v>
      </c>
      <c r="I1977" t="str">
        <v>NTF</v>
      </c>
      <c r="J1977" t="str">
        <v>France - onshore - mainland and Corsica.</v>
      </c>
      <c r="K1977" s="11">
        <v>0</v>
      </c>
    </row>
    <row r="1978" spans="5:11" x14ac:dyDescent="0.35">
      <c r="E1978" s="9" t="str">
        <v>EPSG</v>
      </c>
      <c r="F1978" s="7" t="str">
        <v>4276</v>
      </c>
      <c r="G1978" t="str">
        <v>Geographic2DCrs</v>
      </c>
      <c r="H1978" t="str">
        <v>&lt;undefined&gt;</v>
      </c>
      <c r="I1978" t="str">
        <v>NSWC 9Z-2</v>
      </c>
      <c r="J1978" t="str">
        <v>World.</v>
      </c>
      <c r="K1978" s="11">
        <v>0</v>
      </c>
    </row>
    <row r="1979" spans="5:11" x14ac:dyDescent="0.35">
      <c r="E1979" s="9" t="str">
        <v>EPSG</v>
      </c>
      <c r="F1979" s="7" t="str">
        <v>4277</v>
      </c>
      <c r="G1979" t="str">
        <v>Geographic2DCrs</v>
      </c>
      <c r="H1979" t="str">
        <v>&lt;undefined&gt;</v>
      </c>
      <c r="I1979" t="str">
        <v>OSGB36</v>
      </c>
      <c r="J1979" t="str">
        <v>United Kingdom (UK) - offshore to boundary of UKCS within 49°45'N to 61°N and 9°W to 2°E; onshore Great Britain (England, Wales and Scotland). Isle of Man onshore.</v>
      </c>
      <c r="K1979" s="11">
        <v>0</v>
      </c>
    </row>
    <row r="1980" spans="5:11" x14ac:dyDescent="0.35">
      <c r="E1980" s="9" t="str">
        <v>EPSG</v>
      </c>
      <c r="F1980" s="7" t="str">
        <v>4278</v>
      </c>
      <c r="G1980" t="str">
        <v>Geographic2DCrs</v>
      </c>
      <c r="H1980" t="str">
        <v>&lt;undefined&gt;</v>
      </c>
      <c r="I1980" t="str">
        <v>OSGB70</v>
      </c>
      <c r="J1980" t="str">
        <v>United Kingdom (UK) - Great Britain - England and Wales onshore, Scotland onshore and Western Isles nearshore including Sea of the Hebrides and The Minch; Isle of Man onshore.</v>
      </c>
      <c r="K1980" s="11">
        <v>0</v>
      </c>
    </row>
    <row r="1981" spans="5:11" x14ac:dyDescent="0.35">
      <c r="E1981" s="9" t="str">
        <v>EPSG</v>
      </c>
      <c r="F1981" s="7" t="str">
        <v>4279</v>
      </c>
      <c r="G1981" t="str">
        <v>Geographic2DCrs</v>
      </c>
      <c r="H1981" t="str">
        <v>&lt;undefined&gt;</v>
      </c>
      <c r="I1981" t="str">
        <v>OS(SN)80</v>
      </c>
      <c r="J1981" t="str">
        <v>Ireland - onshore. United Kingdom (UK) - onshore - England; Scotland; Wales; Northern Ireland. Isle of Man.</v>
      </c>
      <c r="K1981" s="11">
        <v>0</v>
      </c>
    </row>
    <row r="1982" spans="5:11" x14ac:dyDescent="0.35">
      <c r="E1982" s="9" t="str">
        <v>EPSG</v>
      </c>
      <c r="F1982" s="7" t="str">
        <v>4281</v>
      </c>
      <c r="G1982" t="str">
        <v>Geographic2DCrs</v>
      </c>
      <c r="H1982" t="str">
        <v>&lt;undefined&gt;</v>
      </c>
      <c r="I1982" t="str">
        <v>Palestine 1923</v>
      </c>
      <c r="J1982" t="str">
        <v>Israel - onshore; Jordan; Palestine Territory - onshore.</v>
      </c>
      <c r="K1982" s="11">
        <v>0</v>
      </c>
    </row>
    <row r="1983" spans="5:11" x14ac:dyDescent="0.35">
      <c r="E1983" s="9" t="str">
        <v>EPSG</v>
      </c>
      <c r="F1983" s="7" t="str">
        <v>4282</v>
      </c>
      <c r="G1983" t="str">
        <v>Geographic2DCrs</v>
      </c>
      <c r="H1983" t="str">
        <v>&lt;undefined&gt;</v>
      </c>
      <c r="I1983" t="str">
        <v>Pointe Noire</v>
      </c>
      <c r="J1983" t="str">
        <v>Congo - onshore and offshore.</v>
      </c>
      <c r="K1983" s="11">
        <v>0</v>
      </c>
    </row>
    <row r="1984" spans="5:11" x14ac:dyDescent="0.35">
      <c r="E1984" s="9" t="str">
        <v>EPSG</v>
      </c>
      <c r="F1984" s="7" t="str">
        <v>4283</v>
      </c>
      <c r="G1984" t="str">
        <v>Geographic2DCrs</v>
      </c>
      <c r="H1984" t="str">
        <v>&lt;undefined&gt;</v>
      </c>
      <c r="I1984" t="str">
        <v>GDA94</v>
      </c>
      <c r="J1984" t="str">
        <v>Australia including Lord Howe Island, Macquarie Island, Ashmore and Cartier Islands, Christmas Island, Cocos (Keeling) Islands, Norfolk Island. All onshore and offshore.</v>
      </c>
      <c r="K1984" s="11">
        <v>0</v>
      </c>
    </row>
    <row r="1985" spans="5:11" x14ac:dyDescent="0.35">
      <c r="E1985" s="9" t="str">
        <v>EPSG</v>
      </c>
      <c r="F1985" s="7" t="str">
        <v>4284</v>
      </c>
      <c r="G1985" t="str">
        <v>Geographic2DCrs</v>
      </c>
      <c r="H1985" t="str">
        <v>&lt;undefined&gt;</v>
      </c>
      <c r="I1985" t="str">
        <v>Pulkovo 1942</v>
      </c>
      <c r="J1985" t="str">
        <v>Armenia; Azerbaijan; Belarus; Estonia - onshore; Georgia - onshore; Kazakhstan; Kyrgyzstan; Latvia - onshore; Lithuania - onshore; Moldova; Russian Federation - onshore; Tajikistan; Turkmenistan; Ukraine - onshore; Uzbekistan.</v>
      </c>
      <c r="K1985" s="11">
        <v>0</v>
      </c>
    </row>
    <row r="1986" spans="5:11" x14ac:dyDescent="0.35">
      <c r="E1986" s="9" t="str">
        <v>EPSG</v>
      </c>
      <c r="F1986" s="7" t="str">
        <v>4285</v>
      </c>
      <c r="G1986" t="str">
        <v>Geographic2DCrs</v>
      </c>
      <c r="H1986" t="str">
        <v>&lt;undefined&gt;</v>
      </c>
      <c r="I1986" t="str">
        <v>Qatar 1974</v>
      </c>
      <c r="J1986" t="str">
        <v>Qatar - onshore and offshore.</v>
      </c>
      <c r="K1986" s="11">
        <v>0</v>
      </c>
    </row>
    <row r="1987" spans="5:11" x14ac:dyDescent="0.35">
      <c r="E1987" s="9" t="str">
        <v>EPSG</v>
      </c>
      <c r="F1987" s="7" t="str">
        <v>4286</v>
      </c>
      <c r="G1987" t="str">
        <v>Geographic2DCrs</v>
      </c>
      <c r="H1987" t="str">
        <v>&lt;undefined&gt;</v>
      </c>
      <c r="I1987" t="str">
        <v>Qatar 1948</v>
      </c>
      <c r="J1987" t="str">
        <v>Qatar - onshore.</v>
      </c>
      <c r="K1987" s="11">
        <v>0</v>
      </c>
    </row>
    <row r="1988" spans="5:11" x14ac:dyDescent="0.35">
      <c r="E1988" s="9" t="str">
        <v>EPSG</v>
      </c>
      <c r="F1988" s="7" t="str">
        <v>4288</v>
      </c>
      <c r="G1988" t="str">
        <v>Geographic2DCrs</v>
      </c>
      <c r="H1988" t="str">
        <v>&lt;undefined&gt;</v>
      </c>
      <c r="I1988" t="str">
        <v>Loma Quintana</v>
      </c>
      <c r="J1988" t="str">
        <v>Venezuela - onshore north of approximately 7°45'N.</v>
      </c>
      <c r="K1988" s="11">
        <v>0</v>
      </c>
    </row>
    <row r="1989" spans="5:11" x14ac:dyDescent="0.35">
      <c r="E1989" s="9" t="str">
        <v>EPSG</v>
      </c>
      <c r="F1989" s="7" t="str">
        <v>4289</v>
      </c>
      <c r="G1989" t="str">
        <v>Geographic2DCrs</v>
      </c>
      <c r="H1989" t="str">
        <v>&lt;undefined&gt;</v>
      </c>
      <c r="I1989" t="str">
        <v>Amersfoort</v>
      </c>
      <c r="J1989" t="str">
        <v>Netherlands - onshore, including Waddenzee, Dutch Wadden Islands and 12-mile offshore coastal zone.</v>
      </c>
      <c r="K1989" s="11">
        <v>0</v>
      </c>
    </row>
    <row r="1990" spans="5:11" x14ac:dyDescent="0.35">
      <c r="E1990" s="9" t="str">
        <v>EPSG</v>
      </c>
      <c r="F1990" s="7" t="str">
        <v>4292</v>
      </c>
      <c r="G1990" t="str">
        <v>Geographic2DCrs</v>
      </c>
      <c r="H1990" t="str">
        <v>&lt;undefined&gt;</v>
      </c>
      <c r="I1990" t="str">
        <v>Sapper Hill 1943</v>
      </c>
      <c r="J1990" t="str">
        <v>Falkland Islands (Malvinas) - onshore.</v>
      </c>
      <c r="K1990" s="11">
        <v>0</v>
      </c>
    </row>
    <row r="1991" spans="5:11" x14ac:dyDescent="0.35">
      <c r="E1991" s="9" t="str">
        <v>EPSG</v>
      </c>
      <c r="F1991" s="7" t="str">
        <v>4293</v>
      </c>
      <c r="G1991" t="str">
        <v>Geographic2DCrs</v>
      </c>
      <c r="H1991" t="str">
        <v>&lt;undefined&gt;</v>
      </c>
      <c r="I1991" t="str">
        <v>Schwarzeck</v>
      </c>
      <c r="J1991" t="str">
        <v>Namibia - onshore and offshore.</v>
      </c>
      <c r="K1991" s="11">
        <v>0</v>
      </c>
    </row>
    <row r="1992" spans="5:11" x14ac:dyDescent="0.35">
      <c r="E1992" s="9" t="str">
        <v>EPSG</v>
      </c>
      <c r="F1992" s="7" t="str">
        <v>4295</v>
      </c>
      <c r="G1992" t="str">
        <v>Geographic2DCrs</v>
      </c>
      <c r="H1992" t="str">
        <v>&lt;undefined&gt;</v>
      </c>
      <c r="I1992" t="str">
        <v>Serindung</v>
      </c>
      <c r="J1992" t="str">
        <v>Indonesia - west Kalimantan - onshore coastal area.</v>
      </c>
      <c r="K1992" s="11">
        <v>0</v>
      </c>
    </row>
    <row r="1993" spans="5:11" x14ac:dyDescent="0.35">
      <c r="E1993" s="9" t="str">
        <v>EPSG</v>
      </c>
      <c r="F1993" s="7" t="str">
        <v>4297</v>
      </c>
      <c r="G1993" t="str">
        <v>Geographic2DCrs</v>
      </c>
      <c r="H1993" t="str">
        <v>&lt;undefined&gt;</v>
      </c>
      <c r="I1993" t="str">
        <v>Tananarive</v>
      </c>
      <c r="J1993" t="str">
        <v>Madagascar - onshore and nearshore.</v>
      </c>
      <c r="K1993" s="11">
        <v>0</v>
      </c>
    </row>
    <row r="1994" spans="5:11" x14ac:dyDescent="0.35">
      <c r="E1994" s="9" t="str">
        <v>EPSG</v>
      </c>
      <c r="F1994" s="7" t="str">
        <v>4298</v>
      </c>
      <c r="G1994" t="str">
        <v>Geographic2DCrs</v>
      </c>
      <c r="H1994" t="str">
        <v>&lt;undefined&gt;</v>
      </c>
      <c r="I1994" t="str">
        <v>Timbalai 1948</v>
      </c>
      <c r="J1994" t="str">
        <v>Brunei - onshore and offshore; Malaysia - East Malaysia (Sabah; Sarawak) - onshore and offshore.</v>
      </c>
      <c r="K1994" s="11">
        <v>0</v>
      </c>
    </row>
    <row r="1995" spans="5:11" x14ac:dyDescent="0.35">
      <c r="E1995" s="9" t="str">
        <v>EPSG</v>
      </c>
      <c r="F1995" s="7" t="str">
        <v>4299</v>
      </c>
      <c r="G1995" t="str">
        <v>Geographic2DCrs</v>
      </c>
      <c r="H1995" t="str">
        <v>&lt;undefined&gt;</v>
      </c>
      <c r="I1995" t="str">
        <v>TM65</v>
      </c>
      <c r="J1995" t="str">
        <v>Ireland - onshore. United Kingdom (UK) - Northern Ireland (Ulster) - onshore.</v>
      </c>
      <c r="K1995" s="11">
        <v>0</v>
      </c>
    </row>
    <row r="1996" spans="5:11" x14ac:dyDescent="0.35">
      <c r="E1996" s="9" t="str">
        <v>EPSG</v>
      </c>
      <c r="F1996" s="7" t="str">
        <v>4300</v>
      </c>
      <c r="G1996" t="str">
        <v>Geographic2DCrs</v>
      </c>
      <c r="H1996" t="str">
        <v>&lt;undefined&gt;</v>
      </c>
      <c r="I1996" t="str">
        <v>TM75</v>
      </c>
      <c r="J1996" t="str">
        <v>Ireland - onshore. United Kingdom (UK) - Northern Ireland (Ulster) - onshore.</v>
      </c>
      <c r="K1996" s="11">
        <v>0</v>
      </c>
    </row>
    <row r="1997" spans="5:11" x14ac:dyDescent="0.35">
      <c r="E1997" s="9" t="str">
        <v>EPSG</v>
      </c>
      <c r="F1997" s="7" t="str">
        <v>4301</v>
      </c>
      <c r="G1997" t="str">
        <v>Geographic2DCrs</v>
      </c>
      <c r="H1997" t="str">
        <v>&lt;undefined&gt;</v>
      </c>
      <c r="I1997" t="str">
        <v>Tokyo</v>
      </c>
      <c r="J1997" t="str">
        <v>Japan - onshore; North Korea - onshore; South Korea - onshore.</v>
      </c>
      <c r="K1997" s="11">
        <v>0</v>
      </c>
    </row>
    <row r="1998" spans="5:11" x14ac:dyDescent="0.35">
      <c r="E1998" s="9" t="str">
        <v>EPSG</v>
      </c>
      <c r="F1998" s="7" t="str">
        <v>4302</v>
      </c>
      <c r="G1998" t="str">
        <v>Geographic2DCrs</v>
      </c>
      <c r="H1998" t="str">
        <v>&lt;undefined&gt;</v>
      </c>
      <c r="I1998" t="str">
        <v>Trinidad 1903</v>
      </c>
      <c r="J1998" t="str">
        <v>Trinidad and Tobago - Trinidad - onshore and offshore.</v>
      </c>
      <c r="K1998" s="11">
        <v>0</v>
      </c>
    </row>
    <row r="1999" spans="5:11" x14ac:dyDescent="0.35">
      <c r="E1999" s="9" t="str">
        <v>EPSG</v>
      </c>
      <c r="F1999" s="7" t="str">
        <v>4303</v>
      </c>
      <c r="G1999" t="str">
        <v>Geographic2DCrs</v>
      </c>
      <c r="H1999" t="str">
        <v>&lt;undefined&gt;</v>
      </c>
      <c r="I1999" t="str">
        <v>TC(1948)</v>
      </c>
      <c r="J1999" t="str">
        <v>United Arab Emirates (UAE) - Abu Dhabi onshore and Dubai onshore.</v>
      </c>
      <c r="K1999" s="11">
        <v>0</v>
      </c>
    </row>
    <row r="2000" spans="5:11" x14ac:dyDescent="0.35">
      <c r="E2000" s="9" t="str">
        <v>EPSG</v>
      </c>
      <c r="F2000" s="7" t="str">
        <v>4304</v>
      </c>
      <c r="G2000" t="str">
        <v>Geographic2DCrs</v>
      </c>
      <c r="H2000" t="str">
        <v>&lt;undefined&gt;</v>
      </c>
      <c r="I2000" t="str">
        <v>Voirol 1875</v>
      </c>
      <c r="J2000" t="str">
        <v>Algeria - onshore north of 32°N.</v>
      </c>
      <c r="K2000" s="11">
        <v>0</v>
      </c>
    </row>
    <row r="2001" spans="5:11" x14ac:dyDescent="0.35">
      <c r="E2001" s="9" t="str">
        <v>EPSG</v>
      </c>
      <c r="F2001" s="7" t="str">
        <v>4306</v>
      </c>
      <c r="G2001" t="str">
        <v>Geographic2DCrs</v>
      </c>
      <c r="H2001" t="str">
        <v>&lt;undefined&gt;</v>
      </c>
      <c r="I2001" t="str">
        <v>Bern 1938</v>
      </c>
      <c r="J2001" t="str">
        <v>Liechtenstein; Switzerland.</v>
      </c>
      <c r="K2001" s="11">
        <v>0</v>
      </c>
    </row>
    <row r="2002" spans="5:11" x14ac:dyDescent="0.35">
      <c r="E2002" s="9" t="str">
        <v>EPSG</v>
      </c>
      <c r="F2002" s="7" t="str">
        <v>4307</v>
      </c>
      <c r="G2002" t="str">
        <v>Geographic2DCrs</v>
      </c>
      <c r="H2002" t="str">
        <v>&lt;undefined&gt;</v>
      </c>
      <c r="I2002" t="str">
        <v>Nord Sahara 1959</v>
      </c>
      <c r="J2002" t="str">
        <v>Algeria - onshore and offshore.</v>
      </c>
      <c r="K2002" s="11">
        <v>0</v>
      </c>
    </row>
    <row r="2003" spans="5:11" x14ac:dyDescent="0.35">
      <c r="E2003" s="9" t="str">
        <v>EPSG</v>
      </c>
      <c r="F2003" s="7" t="str">
        <v>4308</v>
      </c>
      <c r="G2003" t="str">
        <v>Geographic2DCrs</v>
      </c>
      <c r="H2003" t="str">
        <v>&lt;undefined&gt;</v>
      </c>
      <c r="I2003" t="str">
        <v>RT38</v>
      </c>
      <c r="J2003" t="str">
        <v>Sweden - onshore.</v>
      </c>
      <c r="K2003" s="11">
        <v>0</v>
      </c>
    </row>
    <row r="2004" spans="5:11" x14ac:dyDescent="0.35">
      <c r="E2004" s="9" t="str">
        <v>EPSG</v>
      </c>
      <c r="F2004" s="7" t="str">
        <v>4309</v>
      </c>
      <c r="G2004" t="str">
        <v>Geographic2DCrs</v>
      </c>
      <c r="H2004" t="str">
        <v>&lt;undefined&gt;</v>
      </c>
      <c r="I2004" t="str">
        <v>Yacare</v>
      </c>
      <c r="J2004" t="str">
        <v>Uruguay - onshore.</v>
      </c>
      <c r="K2004" s="11">
        <v>0</v>
      </c>
    </row>
    <row r="2005" spans="5:11" x14ac:dyDescent="0.35">
      <c r="E2005" s="9" t="str">
        <v>EPSG</v>
      </c>
      <c r="F2005" s="7" t="str">
        <v>4310</v>
      </c>
      <c r="G2005" t="str">
        <v>Geographic2DCrs</v>
      </c>
      <c r="H2005" t="str">
        <v>&lt;undefined&gt;</v>
      </c>
      <c r="I2005" t="str">
        <v>Yoff</v>
      </c>
      <c r="J2005" t="str">
        <v>Senegal - onshore and offshore.</v>
      </c>
      <c r="K2005" s="11">
        <v>0</v>
      </c>
    </row>
    <row r="2006" spans="5:11" x14ac:dyDescent="0.35">
      <c r="E2006" s="9" t="str">
        <v>EPSG</v>
      </c>
      <c r="F2006" s="7" t="str">
        <v>4311</v>
      </c>
      <c r="G2006" t="str">
        <v>Geographic2DCrs</v>
      </c>
      <c r="H2006" t="str">
        <v>&lt;undefined&gt;</v>
      </c>
      <c r="I2006" t="str">
        <v>Zanderij</v>
      </c>
      <c r="J2006" t="str">
        <v>Suriname - onshore and offshore.</v>
      </c>
      <c r="K2006" s="11">
        <v>0</v>
      </c>
    </row>
    <row r="2007" spans="5:11" x14ac:dyDescent="0.35">
      <c r="E2007" s="9" t="str">
        <v>EPSG</v>
      </c>
      <c r="F2007" s="7" t="str">
        <v>4312</v>
      </c>
      <c r="G2007" t="str">
        <v>Geographic2DCrs</v>
      </c>
      <c r="H2007" t="str">
        <v>&lt;undefined&gt;</v>
      </c>
      <c r="I2007" t="str">
        <v>MGI</v>
      </c>
      <c r="J2007" t="str">
        <v>Austria.</v>
      </c>
      <c r="K2007" s="11">
        <v>0</v>
      </c>
    </row>
    <row r="2008" spans="5:11" x14ac:dyDescent="0.35">
      <c r="E2008" s="9" t="str">
        <v>EPSG</v>
      </c>
      <c r="F2008" s="7" t="str">
        <v>4313</v>
      </c>
      <c r="G2008" t="str">
        <v>Geographic2DCrs</v>
      </c>
      <c r="H2008" t="str">
        <v>&lt;undefined&gt;</v>
      </c>
      <c r="I2008" t="str">
        <v>BD72</v>
      </c>
      <c r="J2008" t="str">
        <v>Belgium - onshore.</v>
      </c>
      <c r="K2008" s="11">
        <v>0</v>
      </c>
    </row>
    <row r="2009" spans="5:11" x14ac:dyDescent="0.35">
      <c r="E2009" s="9" t="str">
        <v>EPSG</v>
      </c>
      <c r="F2009" s="7" t="str">
        <v>4314</v>
      </c>
      <c r="G2009" t="str">
        <v>Geographic2DCrs</v>
      </c>
      <c r="H2009" t="str">
        <v>&lt;undefined&gt;</v>
      </c>
      <c r="I2009" t="str">
        <v>DHDN</v>
      </c>
      <c r="J2009" t="str">
        <v>Germany - states of former West Germany onshore - Baden-Wurtemberg, Bayern, Bremen, Hamburg, Hessen, Niedersachsen, Nordrhein-Westfalen, Rheinland-Pfalz, Saarland, Schleswig-Holstein.</v>
      </c>
      <c r="K2009" s="11">
        <v>0</v>
      </c>
    </row>
    <row r="2010" spans="5:11" x14ac:dyDescent="0.35">
      <c r="E2010" s="9" t="str">
        <v>EPSG</v>
      </c>
      <c r="F2010" s="7" t="str">
        <v>4315</v>
      </c>
      <c r="G2010" t="str">
        <v>Geographic2DCrs</v>
      </c>
      <c r="H2010" t="str">
        <v>&lt;undefined&gt;</v>
      </c>
      <c r="I2010" t="str">
        <v>Conakry 1905</v>
      </c>
      <c r="J2010" t="str">
        <v>Guinea - onshore.</v>
      </c>
      <c r="K2010" s="11">
        <v>0</v>
      </c>
    </row>
    <row r="2011" spans="5:11" x14ac:dyDescent="0.35">
      <c r="E2011" s="9" t="str">
        <v>EPSG</v>
      </c>
      <c r="F2011" s="7" t="str">
        <v>4316</v>
      </c>
      <c r="G2011" t="str">
        <v>Geographic2DCrs</v>
      </c>
      <c r="H2011" t="str">
        <v>&lt;undefined&gt;</v>
      </c>
      <c r="I2011" t="str">
        <v>Dealul Piscului 1930</v>
      </c>
      <c r="J2011" t="str">
        <v>Romania - onshore.</v>
      </c>
      <c r="K2011" s="11">
        <v>0</v>
      </c>
    </row>
    <row r="2012" spans="5:11" x14ac:dyDescent="0.35">
      <c r="E2012" s="9" t="str">
        <v>EPSG</v>
      </c>
      <c r="F2012" s="7" t="str">
        <v>4318</v>
      </c>
      <c r="G2012" t="str">
        <v>Geographic2DCrs</v>
      </c>
      <c r="H2012" t="str">
        <v>&lt;undefined&gt;</v>
      </c>
      <c r="I2012" t="str">
        <v>NGN</v>
      </c>
      <c r="J2012" t="str">
        <v>Kuwait - onshore.</v>
      </c>
      <c r="K2012" s="11">
        <v>0</v>
      </c>
    </row>
    <row r="2013" spans="5:11" x14ac:dyDescent="0.35">
      <c r="E2013" s="9" t="str">
        <v>EPSG</v>
      </c>
      <c r="F2013" s="7" t="str">
        <v>4319</v>
      </c>
      <c r="G2013" t="str">
        <v>Geographic2DCrs</v>
      </c>
      <c r="H2013" t="str">
        <v>&lt;undefined&gt;</v>
      </c>
      <c r="I2013" t="str">
        <v>KUDAMS</v>
      </c>
      <c r="J2013" t="str">
        <v>Kuwait - Kuwait City.</v>
      </c>
      <c r="K2013" s="11">
        <v>0</v>
      </c>
    </row>
    <row r="2014" spans="5:11" x14ac:dyDescent="0.35">
      <c r="E2014" s="9" t="str">
        <v>EPSG</v>
      </c>
      <c r="F2014" s="7" t="str">
        <v>4322</v>
      </c>
      <c r="G2014" t="str">
        <v>Geographic2DCrs</v>
      </c>
      <c r="H2014" t="str">
        <v>&lt;undefined&gt;</v>
      </c>
      <c r="I2014" t="str">
        <v>WGS 72</v>
      </c>
      <c r="J2014" t="str">
        <v>World.</v>
      </c>
      <c r="K2014" s="11">
        <v>0</v>
      </c>
    </row>
    <row r="2015" spans="5:11" x14ac:dyDescent="0.35">
      <c r="E2015" s="9" t="str">
        <v>EPSG</v>
      </c>
      <c r="F2015" s="7" t="str">
        <v>4324</v>
      </c>
      <c r="G2015" t="str">
        <v>Geographic2DCrs</v>
      </c>
      <c r="H2015" t="str">
        <v>&lt;undefined&gt;</v>
      </c>
      <c r="I2015" t="str">
        <v>WGS 72BE</v>
      </c>
      <c r="J2015" t="str">
        <v>World.</v>
      </c>
      <c r="K2015" s="11">
        <v>0</v>
      </c>
    </row>
    <row r="2016" spans="5:11" x14ac:dyDescent="0.35">
      <c r="E2016" s="9" t="str">
        <v>EPSG</v>
      </c>
      <c r="F2016" s="7" t="str">
        <v>4326</v>
      </c>
      <c r="G2016" t="str">
        <v>Geographic2DCrs</v>
      </c>
      <c r="H2016" t="str">
        <v>&lt;undefined&gt;</v>
      </c>
      <c r="I2016" t="str">
        <v>WGS 84</v>
      </c>
      <c r="J2016" t="str">
        <v>World: Afghanistan, Albania, Algeria, American Samoa, Andorra, Angola, Anguilla, Antarctica, Antigua and Barbuda, Argentina, Armenia, Aruba, Australia, Austria, Azerbaijan, Bahamas, Bahrain, Bangladesh, Barbados, Belgium, Belgium, Belize, Benin, Bermuda, Bhutan, Bolivia, Bonaire, Saint Eustasius and Saba, Bosnia and Herzegovina, Botswana, Bouvet Island, Brazil, British Indian Ocean Territory, British Virgin Islands, Brunei Darussalam, Bulgaria, Burkina Faso, Burundi, Cambodia, Cameroon, Canada, Cape Verde, Cayman Islands, Central African Republic, Chad, Chile, China, Christmas Island, Cocos (Keeling) Islands, Comoros, Congo, Cook Islands, Costa Rica, Côte d'Ivoire (Ivory Coast), Croatia, Cuba, Curacao, Cyprus, Czechia, Denmark, Djibouti, Dominica, Dominican Republic, East Timor, Ecuador, Egypt, El Salvador, Equatorial Guinea, Eritrea, Estonia, Eswatini (Swaziland),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China - Hong Kong, Hungary, Iceland, India, Indonesia, Islamic Republic of Iran, Iraq, Ireland, Israel, Italy, Jamaica, Japan, Jordan, Kazakhstan, Kenya, Kiribati, Democratic People's Republic of Korea (North Korea), Republic of Korea (South Korea), Kosovo, Kuwait, Kyrgyzstan, Lao People's Democratic Republic (Laos), Latvia, Lebanon, Lesotho, Liberia, Libyan Arab Jamahiriya, Liechtenstein, Lithuania, Luxembourg, China - Macao, Madagascar, Malawi, Malaysia, Maldives, Mali, Malta, Marshall Islands, Martinique, Mauritania, Mauritius, Mayotte, Mexico, Federated States of Micronesia, Monaco, Mongolia, Montenegro, Montserrat, Morocco, Mozambique, Myanmar (Burma), Namibia, Nauru, Nepal, Netherlands, New Caledonia, New Zealand, Nicaragua, Niger, Nigeria, Niue, Norfolk Island, North Macedonia, Northern Mariana Islands, Norway, Oman, Pakistan, Palau, Panama, Papua New Guinea (PNG), Paraguay, Peru, Philippines, Pitcairn, Poland, Portugal, Puerto Rico, Qatar, Reunion, Romania, Russian Federation, Rwanda, St Barthelemy, St Kitts and Nevis, St Helena, Ascension and Tristan da Cunha, St Lucia, St Martin, St Pierre and Miquelon, Saint Vincent and the Grenadines, Samoa, San Marino, Sao Tome and Principe, Saudi Arabia, Senegal, Serbia, Seychelles, Sierra Leone, Singapore, Slovakia (Slovak Republic), Slovenia, St Maarten, Solomon Islands, Somalia, South Africa, South Georgia and the South Sandwich Islands, South Sudan, Spain, Sri Lanka, Sudan, Suriname, Svalbard and Jan Mayen, Sweden, Switzerland, Syrian Arab Republic, Taiwan, Tajikistan, United Republic of Tanzania, Thailand, The Democratic Republic of the Congo (Zaire), Togo, Tokelau, Tonga, Trinidad and Tobago, Tunisia, Türkiye (Turkey), Turkmenistan, Turks and Caicos Islands, Tuvalu, Uganda, Ukraine, United Arab Emirates (UAE), United Kingdom (UK), United States (USA), United States Minor Outlying Islands, Uruguay, Uzbekistan, Vanuatu, Venezuela, Vietnam, US Virgin Islands, Wallis and Futuna, Western Sahara, Yemen, Zambia, Zimbabwe.</v>
      </c>
      <c r="K2016" s="11">
        <v>0</v>
      </c>
    </row>
    <row r="2017" spans="5:11" x14ac:dyDescent="0.35">
      <c r="E2017" s="9" t="str">
        <v>EPSG</v>
      </c>
      <c r="F2017" s="7" t="str">
        <v>4390</v>
      </c>
      <c r="G2017" t="str">
        <v>ProjectedCrs</v>
      </c>
      <c r="H2017" t="str">
        <v>Cassini-Soldner</v>
      </c>
      <c r="I2017" t="str">
        <v>Kertau 1968 / Johor Grid</v>
      </c>
      <c r="J2017" t="str">
        <v>Malaysia - West Malaysia - Johor.</v>
      </c>
      <c r="K2017" s="11">
        <v>0</v>
      </c>
    </row>
    <row r="2018" spans="5:11" x14ac:dyDescent="0.35">
      <c r="E2018" s="9" t="str">
        <v>EPSG</v>
      </c>
      <c r="F2018" s="7" t="str">
        <v>4391</v>
      </c>
      <c r="G2018" t="str">
        <v>ProjectedCrs</v>
      </c>
      <c r="H2018" t="str">
        <v>Cassini-Soldner</v>
      </c>
      <c r="I2018" t="str">
        <v>Kertau 1968 / Sembilan and Melaka Grid</v>
      </c>
      <c r="J2018" t="str">
        <v>Malaysia - West Malaysia - Negeri Sembilan and Melaka.</v>
      </c>
      <c r="K2018" s="11">
        <v>0</v>
      </c>
    </row>
    <row r="2019" spans="5:11" x14ac:dyDescent="0.35">
      <c r="E2019" s="9" t="str">
        <v>EPSG</v>
      </c>
      <c r="F2019" s="7" t="str">
        <v>4392</v>
      </c>
      <c r="G2019" t="str">
        <v>ProjectedCrs</v>
      </c>
      <c r="H2019" t="str">
        <v>Cassini-Soldner</v>
      </c>
      <c r="I2019" t="str">
        <v>Kertau 1968 / Pahang Grid</v>
      </c>
      <c r="J2019" t="str">
        <v>Malaysia - West Malaysia - Pahang.</v>
      </c>
      <c r="K2019" s="11">
        <v>0</v>
      </c>
    </row>
    <row r="2020" spans="5:11" x14ac:dyDescent="0.35">
      <c r="E2020" s="9" t="str">
        <v>EPSG</v>
      </c>
      <c r="F2020" s="7" t="str">
        <v>4393</v>
      </c>
      <c r="G2020" t="str">
        <v>ProjectedCrs</v>
      </c>
      <c r="H2020" t="str">
        <v>Cassini-Soldner</v>
      </c>
      <c r="I2020" t="str">
        <v>Kertau 1968 / Selangor Grid</v>
      </c>
      <c r="J2020" t="str">
        <v>Malaysia - West Malaysia - Selangor.</v>
      </c>
      <c r="K2020" s="11">
        <v>0</v>
      </c>
    </row>
    <row r="2021" spans="5:11" x14ac:dyDescent="0.35">
      <c r="E2021" s="9" t="str">
        <v>EPSG</v>
      </c>
      <c r="F2021" s="7" t="str">
        <v>4394</v>
      </c>
      <c r="G2021" t="str">
        <v>ProjectedCrs</v>
      </c>
      <c r="H2021" t="str">
        <v>Cassini-Soldner</v>
      </c>
      <c r="I2021" t="str">
        <v>Kertau 1968 / Terengganu Grid</v>
      </c>
      <c r="J2021" t="str">
        <v>Malaysia - West Malaysia - Terengganu.</v>
      </c>
      <c r="K2021" s="11">
        <v>0</v>
      </c>
    </row>
    <row r="2022" spans="5:11" x14ac:dyDescent="0.35">
      <c r="E2022" s="9" t="str">
        <v>EPSG</v>
      </c>
      <c r="F2022" s="7" t="str">
        <v>4395</v>
      </c>
      <c r="G2022" t="str">
        <v>ProjectedCrs</v>
      </c>
      <c r="H2022" t="str">
        <v>Cassini-Soldner</v>
      </c>
      <c r="I2022" t="str">
        <v>Kertau 1968 / Pinang Grid</v>
      </c>
      <c r="J2022" t="str">
        <v>Malaysia - West Malaysia - Pulau Pinang - Pinang (Penang) Island and Seberang Perai (Province Wellesley).</v>
      </c>
      <c r="K2022" s="11">
        <v>0</v>
      </c>
    </row>
    <row r="2023" spans="5:11" x14ac:dyDescent="0.35">
      <c r="E2023" s="9" t="str">
        <v>EPSG</v>
      </c>
      <c r="F2023" s="7" t="str">
        <v>4396</v>
      </c>
      <c r="G2023" t="str">
        <v>ProjectedCrs</v>
      </c>
      <c r="H2023" t="str">
        <v>Cassini-Soldner</v>
      </c>
      <c r="I2023" t="str">
        <v>Kertau 1968 / Kedah and Perlis Grid</v>
      </c>
      <c r="J2023" t="str">
        <v>Malaysia - West Malaysia - Kedah and Perlis.</v>
      </c>
      <c r="K2023" s="11">
        <v>0</v>
      </c>
    </row>
    <row r="2024" spans="5:11" x14ac:dyDescent="0.35">
      <c r="E2024" s="9" t="str">
        <v>EPSG</v>
      </c>
      <c r="F2024" s="7" t="str">
        <v>4397</v>
      </c>
      <c r="G2024" t="str">
        <v>ProjectedCrs</v>
      </c>
      <c r="H2024" t="str">
        <v>Cassini-Soldner</v>
      </c>
      <c r="I2024" t="str">
        <v>Kertau 1968 / Perak Revised Grid</v>
      </c>
      <c r="J2024" t="str">
        <v>Malaysia - West Malaysia - Perak.</v>
      </c>
      <c r="K2024" s="11">
        <v>0</v>
      </c>
    </row>
    <row r="2025" spans="5:11" x14ac:dyDescent="0.35">
      <c r="E2025" s="9" t="str">
        <v>EPSG</v>
      </c>
      <c r="F2025" s="7" t="str">
        <v>4398</v>
      </c>
      <c r="G2025" t="str">
        <v>ProjectedCrs</v>
      </c>
      <c r="H2025" t="str">
        <v>Cassini-Soldner</v>
      </c>
      <c r="I2025" t="str">
        <v>Kertau 1968 / Kelantan Grid</v>
      </c>
      <c r="J2025" t="str">
        <v>Malaysia - West Malaysia - Kelantan.</v>
      </c>
      <c r="K2025" s="11">
        <v>0</v>
      </c>
    </row>
    <row r="2026" spans="5:11" x14ac:dyDescent="0.35">
      <c r="E2026" s="9" t="str">
        <v>EPSG</v>
      </c>
      <c r="F2026" s="7" t="str">
        <v>4399</v>
      </c>
      <c r="G2026" t="str">
        <v>ProjectedCrs</v>
      </c>
      <c r="H2026" t="str">
        <v>Transverse Mercator</v>
      </c>
      <c r="I2026" t="str">
        <v>NAD27 / BLM 59N (ftUS)</v>
      </c>
      <c r="J2026" t="str">
        <v>United States (USA) - west of 174°E. Alaska and offshore continental shelf (OCS).</v>
      </c>
      <c r="K2026" s="11">
        <v>0</v>
      </c>
    </row>
    <row r="2027" spans="5:11" x14ac:dyDescent="0.35">
      <c r="E2027" s="9" t="str">
        <v>EPSG</v>
      </c>
      <c r="F2027" s="7" t="str">
        <v>4400</v>
      </c>
      <c r="G2027" t="str">
        <v>ProjectedCrs</v>
      </c>
      <c r="H2027" t="str">
        <v>Transverse Mercator</v>
      </c>
      <c r="I2027" t="str">
        <v>NAD27 / BLM 60N (ftUS)</v>
      </c>
      <c r="J2027" t="str">
        <v>United States (USA) - between 174°E and 180°E - Alaska and offshore continental shelf (OCS).</v>
      </c>
      <c r="K2027" s="11">
        <v>0</v>
      </c>
    </row>
    <row r="2028" spans="5:11" x14ac:dyDescent="0.35">
      <c r="E2028" s="9" t="str">
        <v>EPSG</v>
      </c>
      <c r="F2028" s="7" t="str">
        <v>4401</v>
      </c>
      <c r="G2028" t="str">
        <v>ProjectedCrs</v>
      </c>
      <c r="H2028" t="str">
        <v>Transverse Mercator</v>
      </c>
      <c r="I2028" t="str">
        <v>NAD27 / BLM 1N (ftUS)</v>
      </c>
      <c r="J2028" t="str">
        <v>United States (USA) - between 180°W and 174°W - Alaska and offshore continental shelf (OCS).</v>
      </c>
      <c r="K2028" s="11">
        <v>0</v>
      </c>
    </row>
    <row r="2029" spans="5:11" x14ac:dyDescent="0.35">
      <c r="E2029" s="9" t="str">
        <v>EPSG</v>
      </c>
      <c r="F2029" s="7" t="str">
        <v>4402</v>
      </c>
      <c r="G2029" t="str">
        <v>ProjectedCrs</v>
      </c>
      <c r="H2029" t="str">
        <v>Transverse Mercator</v>
      </c>
      <c r="I2029" t="str">
        <v>NAD27 / BLM 2N (ftUS)</v>
      </c>
      <c r="J2029" t="str">
        <v>United States (USA) - between 174°W and 168°W - Alaska and offshore continental shelf (OCS).</v>
      </c>
      <c r="K2029" s="11">
        <v>0</v>
      </c>
    </row>
    <row r="2030" spans="5:11" x14ac:dyDescent="0.35">
      <c r="E2030" s="9" t="str">
        <v>EPSG</v>
      </c>
      <c r="F2030" s="7" t="str">
        <v>4403</v>
      </c>
      <c r="G2030" t="str">
        <v>ProjectedCrs</v>
      </c>
      <c r="H2030" t="str">
        <v>Transverse Mercator</v>
      </c>
      <c r="I2030" t="str">
        <v>NAD27 / BLM 3N (ftUS)</v>
      </c>
      <c r="J2030" t="str">
        <v>United States (USA) - between 168°W and 162°W - Alaska and offshore continental shelf (OCS).</v>
      </c>
      <c r="K2030" s="11">
        <v>0</v>
      </c>
    </row>
    <row r="2031" spans="5:11" x14ac:dyDescent="0.35">
      <c r="E2031" s="9" t="str">
        <v>EPSG</v>
      </c>
      <c r="F2031" s="7" t="str">
        <v>4404</v>
      </c>
      <c r="G2031" t="str">
        <v>ProjectedCrs</v>
      </c>
      <c r="H2031" t="str">
        <v>Transverse Mercator</v>
      </c>
      <c r="I2031" t="str">
        <v>NAD27 / BLM 4N (ftUS)</v>
      </c>
      <c r="J2031" t="str">
        <v>United States (USA) - between 162°W and 156°W - Alaska and offshore continental shelf (OCS).</v>
      </c>
      <c r="K2031" s="11">
        <v>0</v>
      </c>
    </row>
    <row r="2032" spans="5:11" x14ac:dyDescent="0.35">
      <c r="E2032" s="9" t="str">
        <v>EPSG</v>
      </c>
      <c r="F2032" s="7" t="str">
        <v>4405</v>
      </c>
      <c r="G2032" t="str">
        <v>ProjectedCrs</v>
      </c>
      <c r="H2032" t="str">
        <v>Transverse Mercator</v>
      </c>
      <c r="I2032" t="str">
        <v>NAD27 / BLM 5N (ftUS)</v>
      </c>
      <c r="J2032" t="str">
        <v>United States (USA) - between 156°W and 150°W - Alaska and offshore continental shelf (OCS).</v>
      </c>
      <c r="K2032" s="11">
        <v>0</v>
      </c>
    </row>
    <row r="2033" spans="5:11" x14ac:dyDescent="0.35">
      <c r="E2033" s="9" t="str">
        <v>EPSG</v>
      </c>
      <c r="F2033" s="7" t="str">
        <v>4406</v>
      </c>
      <c r="G2033" t="str">
        <v>ProjectedCrs</v>
      </c>
      <c r="H2033" t="str">
        <v>Transverse Mercator</v>
      </c>
      <c r="I2033" t="str">
        <v>NAD27 / BLM 6N (ftUS)</v>
      </c>
      <c r="J2033" t="str">
        <v>United States (USA) - between 150°W and 144°W - Alaska and offshore continental shelf (OCS).</v>
      </c>
      <c r="K2033" s="11">
        <v>0</v>
      </c>
    </row>
    <row r="2034" spans="5:11" x14ac:dyDescent="0.35">
      <c r="E2034" s="9" t="str">
        <v>EPSG</v>
      </c>
      <c r="F2034" s="7" t="str">
        <v>4407</v>
      </c>
      <c r="G2034" t="str">
        <v>ProjectedCrs</v>
      </c>
      <c r="H2034" t="str">
        <v>Transverse Mercator</v>
      </c>
      <c r="I2034" t="str">
        <v>NAD27 / BLM 7N (ftUS)</v>
      </c>
      <c r="J2034" t="str">
        <v>United States (USA) - between 144°W and 138°W onshore and offshore - Alaska.</v>
      </c>
      <c r="K2034" s="11">
        <v>0</v>
      </c>
    </row>
    <row r="2035" spans="5:11" x14ac:dyDescent="0.35">
      <c r="E2035" s="9" t="str">
        <v>EPSG</v>
      </c>
      <c r="F2035" s="7" t="str">
        <v>4408</v>
      </c>
      <c r="G2035" t="str">
        <v>ProjectedCrs</v>
      </c>
      <c r="H2035" t="str">
        <v>Transverse Mercator</v>
      </c>
      <c r="I2035" t="str">
        <v>NAD27 / BLM 8N (ftUS)</v>
      </c>
      <c r="J2035" t="str">
        <v>United States (USA) - between 138°W and 132°W onshore and offshore - Alaska.</v>
      </c>
      <c r="K2035" s="11">
        <v>0</v>
      </c>
    </row>
    <row r="2036" spans="5:11" x14ac:dyDescent="0.35">
      <c r="E2036" s="9" t="str">
        <v>EPSG</v>
      </c>
      <c r="F2036" s="7" t="str">
        <v>4409</v>
      </c>
      <c r="G2036" t="str">
        <v>ProjectedCrs</v>
      </c>
      <c r="H2036" t="str">
        <v>Transverse Mercator</v>
      </c>
      <c r="I2036" t="str">
        <v>NAD27 / BLM 9N (ftUS)</v>
      </c>
      <c r="J2036" t="str">
        <v>United States (USA) - between 132°W and 126°W onshore and offshore - Alaska.</v>
      </c>
      <c r="K2036" s="11">
        <v>0</v>
      </c>
    </row>
    <row r="2037" spans="5:11" x14ac:dyDescent="0.35">
      <c r="E2037" s="9" t="str">
        <v>EPSG</v>
      </c>
      <c r="F2037" s="7" t="str">
        <v>4410</v>
      </c>
      <c r="G2037" t="str">
        <v>ProjectedCrs</v>
      </c>
      <c r="H2037" t="str">
        <v>Transverse Mercator</v>
      </c>
      <c r="I2037" t="str">
        <v>NAD27 / BLM 10N (ftUS)</v>
      </c>
      <c r="J2037" t="str">
        <v>United States (USA) - between 126°W and 120°W onshore and offshore - California; Oregon; Washington.</v>
      </c>
      <c r="K2037" s="11">
        <v>0</v>
      </c>
    </row>
    <row r="2038" spans="5:11" x14ac:dyDescent="0.35">
      <c r="E2038" s="9" t="str">
        <v>EPSG</v>
      </c>
      <c r="F2038" s="7" t="str">
        <v>4411</v>
      </c>
      <c r="G2038" t="str">
        <v>ProjectedCrs</v>
      </c>
      <c r="H2038" t="str">
        <v>Transverse Mercator</v>
      </c>
      <c r="I2038" t="str">
        <v>NAD27 / BLM 11N (ftUS)</v>
      </c>
      <c r="J2038" t="str">
        <v>United States (USA) - between 120°W and 114°W onshore and offshore - California, Idaho, Nevada, Oregon, Washington.</v>
      </c>
      <c r="K2038" s="11">
        <v>0</v>
      </c>
    </row>
    <row r="2039" spans="5:11" x14ac:dyDescent="0.35">
      <c r="E2039" s="9" t="str">
        <v>EPSG</v>
      </c>
      <c r="F2039" s="7" t="str">
        <v>4412</v>
      </c>
      <c r="G2039" t="str">
        <v>ProjectedCrs</v>
      </c>
      <c r="H2039" t="str">
        <v>Transverse Mercator</v>
      </c>
      <c r="I2039" t="str">
        <v>NAD27 / BLM 12N (ftUS)</v>
      </c>
      <c r="J2039" t="str">
        <v>United States (USA) - between 114°W and 108°W - Arizona; Colorado; Idaho; Montana; New Mexico; Utah; Wyoming.</v>
      </c>
      <c r="K2039" s="11">
        <v>0</v>
      </c>
    </row>
    <row r="2040" spans="5:11" x14ac:dyDescent="0.35">
      <c r="E2040" s="9" t="str">
        <v>EPSG</v>
      </c>
      <c r="F2040" s="7" t="str">
        <v>4413</v>
      </c>
      <c r="G2040" t="str">
        <v>ProjectedCrs</v>
      </c>
      <c r="H2040" t="str">
        <v>Transverse Mercator</v>
      </c>
      <c r="I2040" t="str">
        <v>NAD27 / BLM 13N (ftUS)</v>
      </c>
      <c r="J2040" t="str">
        <v>United States (USA) - between 108°W and 102°W - Colorado; Montana; Nebraska; New Mexico; North Dakota; Oklahoma; South Dakota; Texas; Wyoming.</v>
      </c>
      <c r="K2040" s="11">
        <v>0</v>
      </c>
    </row>
    <row r="2041" spans="5:11" x14ac:dyDescent="0.35">
      <c r="E2041" s="9" t="str">
        <v>EPSG</v>
      </c>
      <c r="F2041" s="7" t="str">
        <v>4414</v>
      </c>
      <c r="G2041" t="str">
        <v>ProjectedCrs</v>
      </c>
      <c r="H2041" t="str">
        <v>Transverse Mercator</v>
      </c>
      <c r="I2041" t="str">
        <v>NAD83(HARN) / Guam Map Grid</v>
      </c>
      <c r="J2041" t="str">
        <v>Guam - onshore.</v>
      </c>
      <c r="K2041" s="11">
        <v>0</v>
      </c>
    </row>
    <row r="2042" spans="5:11" x14ac:dyDescent="0.35">
      <c r="E2042" s="9" t="str">
        <v>EPSG</v>
      </c>
      <c r="F2042" s="7" t="str">
        <v>4415</v>
      </c>
      <c r="G2042" t="str">
        <v>ProjectedCrs</v>
      </c>
      <c r="H2042" t="str">
        <v>Lambert Conic Conformal (2SP)</v>
      </c>
      <c r="I2042" t="str">
        <v>Katanga 1955 / Katanga Lambert</v>
      </c>
      <c r="J2042" t="str">
        <v>The Democratic Republic of the Congo (Zaire) - Katanga.</v>
      </c>
      <c r="K2042" s="11">
        <v>0</v>
      </c>
    </row>
    <row r="2043" spans="5:11" x14ac:dyDescent="0.35">
      <c r="E2043" s="9" t="str">
        <v>EPSG</v>
      </c>
      <c r="F2043" s="7" t="str">
        <v>4417</v>
      </c>
      <c r="G2043" t="str">
        <v>ProjectedCrs</v>
      </c>
      <c r="H2043" t="str">
        <v>Transverse Mercator</v>
      </c>
      <c r="I2043" t="str">
        <v>Pulkovo 1942(83) / 3-degree Gauss-Kruger zone 7</v>
      </c>
      <c r="J2043" t="str">
        <v>Hungary and Slovakia - between 19°30'E and 22°30'E.</v>
      </c>
      <c r="K2043" s="11">
        <v>0</v>
      </c>
    </row>
    <row r="2044" spans="5:11" x14ac:dyDescent="0.35">
      <c r="E2044" s="9" t="str">
        <v>EPSG</v>
      </c>
      <c r="F2044" s="7" t="str">
        <v>4418</v>
      </c>
      <c r="G2044" t="str">
        <v>ProjectedCrs</v>
      </c>
      <c r="H2044" t="str">
        <v>Transverse Mercator</v>
      </c>
      <c r="I2044" t="str">
        <v>NAD27 / BLM 18N (ftUS)</v>
      </c>
      <c r="J2044" t="str">
        <v>United States (USA) - between 78°W and 72°W onshore and offshore - Connecticut; Delaware; Maryland; Massachusetts; New Hampshire; New Jersey; New York; North Carolina; Pennsylvania; Virginia; Vermont.</v>
      </c>
      <c r="K2044" s="11">
        <v>0</v>
      </c>
    </row>
    <row r="2045" spans="5:11" x14ac:dyDescent="0.35">
      <c r="E2045" s="9" t="str">
        <v>EPSG</v>
      </c>
      <c r="F2045" s="7" t="str">
        <v>4419</v>
      </c>
      <c r="G2045" t="str">
        <v>ProjectedCrs</v>
      </c>
      <c r="H2045" t="str">
        <v>Transverse Mercator</v>
      </c>
      <c r="I2045" t="str">
        <v>NAD27 / BLM 19N (ftUS)</v>
      </c>
      <c r="J2045" t="str">
        <v>United States (USA) - between 72°W and 66°W onshore and offshore - Connecticut; Maine; Massachusetts; New Hampshire; New York (Long Island); Rhode Island; Vermont.</v>
      </c>
      <c r="K2045" s="11">
        <v>0</v>
      </c>
    </row>
    <row r="2046" spans="5:11" x14ac:dyDescent="0.35">
      <c r="E2046" s="9" t="str">
        <v>EPSG</v>
      </c>
      <c r="F2046" s="7" t="str">
        <v>4420</v>
      </c>
      <c r="G2046" t="str">
        <v>ProjectedCrs</v>
      </c>
      <c r="H2046" t="str">
        <v>Transverse Mercator</v>
      </c>
      <c r="I2046" t="str">
        <v>NAD83 / BLM 60N (ftUS)</v>
      </c>
      <c r="J2046" t="str">
        <v>United States (USA) - between 174°E and 180°E - Alaska and offshore continental shelf (OCS).</v>
      </c>
      <c r="K2046" s="11">
        <v>0</v>
      </c>
    </row>
    <row r="2047" spans="5:11" x14ac:dyDescent="0.35">
      <c r="E2047" s="9" t="str">
        <v>EPSG</v>
      </c>
      <c r="F2047" s="7" t="str">
        <v>4421</v>
      </c>
      <c r="G2047" t="str">
        <v>ProjectedCrs</v>
      </c>
      <c r="H2047" t="str">
        <v>Transverse Mercator</v>
      </c>
      <c r="I2047" t="str">
        <v>NAD83 / BLM 1N (ftUS)</v>
      </c>
      <c r="J2047" t="str">
        <v>United States (USA) - between 180°W and 174°W - Alaska and offshore continental shelf (OCS).</v>
      </c>
      <c r="K2047" s="11">
        <v>0</v>
      </c>
    </row>
    <row r="2048" spans="5:11" x14ac:dyDescent="0.35">
      <c r="E2048" s="9" t="str">
        <v>EPSG</v>
      </c>
      <c r="F2048" s="7" t="str">
        <v>4422</v>
      </c>
      <c r="G2048" t="str">
        <v>ProjectedCrs</v>
      </c>
      <c r="H2048" t="str">
        <v>Transverse Mercator</v>
      </c>
      <c r="I2048" t="str">
        <v>NAD83 / BLM 2N (ftUS)</v>
      </c>
      <c r="J2048" t="str">
        <v>United States (USA) - between 174°W and 168°W - Alaska and offshore continental shelf (OCS).</v>
      </c>
      <c r="K2048" s="11">
        <v>0</v>
      </c>
    </row>
    <row r="2049" spans="5:11" x14ac:dyDescent="0.35">
      <c r="E2049" s="9" t="str">
        <v>EPSG</v>
      </c>
      <c r="F2049" s="7" t="str">
        <v>4423</v>
      </c>
      <c r="G2049" t="str">
        <v>ProjectedCrs</v>
      </c>
      <c r="H2049" t="str">
        <v>Transverse Mercator</v>
      </c>
      <c r="I2049" t="str">
        <v>NAD83 / BLM 3N (ftUS)</v>
      </c>
      <c r="J2049" t="str">
        <v>United States (USA) - between 168°W and 162°W - Alaska and offshore continental shelf (OCS).</v>
      </c>
      <c r="K2049" s="11">
        <v>0</v>
      </c>
    </row>
    <row r="2050" spans="5:11" x14ac:dyDescent="0.35">
      <c r="E2050" s="9" t="str">
        <v>EPSG</v>
      </c>
      <c r="F2050" s="7" t="str">
        <v>4424</v>
      </c>
      <c r="G2050" t="str">
        <v>ProjectedCrs</v>
      </c>
      <c r="H2050" t="str">
        <v>Transverse Mercator</v>
      </c>
      <c r="I2050" t="str">
        <v>NAD83 / BLM 4N (ftUS)</v>
      </c>
      <c r="J2050" t="str">
        <v>United States (USA) - between 162°W and 156°W - Alaska and offshore continental shelf (OCS).</v>
      </c>
      <c r="K2050" s="11">
        <v>0</v>
      </c>
    </row>
    <row r="2051" spans="5:11" x14ac:dyDescent="0.35">
      <c r="E2051" s="9" t="str">
        <v>EPSG</v>
      </c>
      <c r="F2051" s="7" t="str">
        <v>4425</v>
      </c>
      <c r="G2051" t="str">
        <v>ProjectedCrs</v>
      </c>
      <c r="H2051" t="str">
        <v>Transverse Mercator</v>
      </c>
      <c r="I2051" t="str">
        <v>NAD83 / BLM 5N (ftUS)</v>
      </c>
      <c r="J2051" t="str">
        <v>United States (USA) - between 156°W and 150°W - Alaska and offshore continental shelf (OCS).</v>
      </c>
      <c r="K2051" s="11">
        <v>0</v>
      </c>
    </row>
    <row r="2052" spans="5:11" x14ac:dyDescent="0.35">
      <c r="E2052" s="9" t="str">
        <v>EPSG</v>
      </c>
      <c r="F2052" s="7" t="str">
        <v>4426</v>
      </c>
      <c r="G2052" t="str">
        <v>ProjectedCrs</v>
      </c>
      <c r="H2052" t="str">
        <v>Transverse Mercator</v>
      </c>
      <c r="I2052" t="str">
        <v>NAD83 / BLM 6N (ftUS)</v>
      </c>
      <c r="J2052" t="str">
        <v>United States (USA) - between 150°W and 144°W - Alaska and offshore continental shelf (OCS).</v>
      </c>
      <c r="K2052" s="11">
        <v>0</v>
      </c>
    </row>
    <row r="2053" spans="5:11" x14ac:dyDescent="0.35">
      <c r="E2053" s="9" t="str">
        <v>EPSG</v>
      </c>
      <c r="F2053" s="7" t="str">
        <v>4427</v>
      </c>
      <c r="G2053" t="str">
        <v>ProjectedCrs</v>
      </c>
      <c r="H2053" t="str">
        <v>Transverse Mercator</v>
      </c>
      <c r="I2053" t="str">
        <v>NAD83 / BLM 7N (ftUS)</v>
      </c>
      <c r="J2053" t="str">
        <v>United States (USA) - between 144°W and 138°W onshore and offshore - Alaska.</v>
      </c>
      <c r="K2053" s="11">
        <v>0</v>
      </c>
    </row>
    <row r="2054" spans="5:11" x14ac:dyDescent="0.35">
      <c r="E2054" s="9" t="str">
        <v>EPSG</v>
      </c>
      <c r="F2054" s="7" t="str">
        <v>4428</v>
      </c>
      <c r="G2054" t="str">
        <v>ProjectedCrs</v>
      </c>
      <c r="H2054" t="str">
        <v>Transverse Mercator</v>
      </c>
      <c r="I2054" t="str">
        <v>NAD83 / BLM 8N (ftUS)</v>
      </c>
      <c r="J2054" t="str">
        <v>United States (USA) - between 138°W and 132°W onshore and offshore - Alaska.</v>
      </c>
      <c r="K2054" s="11">
        <v>0</v>
      </c>
    </row>
    <row r="2055" spans="5:11" x14ac:dyDescent="0.35">
      <c r="E2055" s="9" t="str">
        <v>EPSG</v>
      </c>
      <c r="F2055" s="7" t="str">
        <v>4429</v>
      </c>
      <c r="G2055" t="str">
        <v>ProjectedCrs</v>
      </c>
      <c r="H2055" t="str">
        <v>Transverse Mercator</v>
      </c>
      <c r="I2055" t="str">
        <v>NAD83 / BLM 9N (ftUS)</v>
      </c>
      <c r="J2055" t="str">
        <v>United States (USA) - between 132°W and 126°W onshore and offshore - Alaska.</v>
      </c>
      <c r="K2055" s="11">
        <v>0</v>
      </c>
    </row>
    <row r="2056" spans="5:11" x14ac:dyDescent="0.35">
      <c r="E2056" s="9" t="str">
        <v>EPSG</v>
      </c>
      <c r="F2056" s="7" t="str">
        <v>4430</v>
      </c>
      <c r="G2056" t="str">
        <v>ProjectedCrs</v>
      </c>
      <c r="H2056" t="str">
        <v>Transverse Mercator</v>
      </c>
      <c r="I2056" t="str">
        <v>NAD83 / BLM 10N (ftUS)</v>
      </c>
      <c r="J2056" t="str">
        <v>United States (USA) - between 126°W and 120°W onshore and offshore - California; Oregon; Washington.</v>
      </c>
      <c r="K2056" s="11">
        <v>0</v>
      </c>
    </row>
    <row r="2057" spans="5:11" x14ac:dyDescent="0.35">
      <c r="E2057" s="9" t="str">
        <v>EPSG</v>
      </c>
      <c r="F2057" s="7" t="str">
        <v>4431</v>
      </c>
      <c r="G2057" t="str">
        <v>ProjectedCrs</v>
      </c>
      <c r="H2057" t="str">
        <v>Transverse Mercator</v>
      </c>
      <c r="I2057" t="str">
        <v>NAD83 / BLM 11N (ftUS)</v>
      </c>
      <c r="J2057" t="str">
        <v>United States (USA) - between 120°W and 114°W onshore and offshore - California, Idaho, Nevada, Oregon, Washington.</v>
      </c>
      <c r="K2057" s="11">
        <v>0</v>
      </c>
    </row>
    <row r="2058" spans="5:11" x14ac:dyDescent="0.35">
      <c r="E2058" s="9" t="str">
        <v>EPSG</v>
      </c>
      <c r="F2058" s="7" t="str">
        <v>4432</v>
      </c>
      <c r="G2058" t="str">
        <v>ProjectedCrs</v>
      </c>
      <c r="H2058" t="str">
        <v>Transverse Mercator</v>
      </c>
      <c r="I2058" t="str">
        <v>NAD83 / BLM 12N (ftUS)</v>
      </c>
      <c r="J2058" t="str">
        <v>United States (USA) - between 114°W and 108°W - Arizona; Colorado; Idaho; Montana; New Mexico; Utah; Wyoming.</v>
      </c>
      <c r="K2058" s="11">
        <v>0</v>
      </c>
    </row>
    <row r="2059" spans="5:11" x14ac:dyDescent="0.35">
      <c r="E2059" s="9" t="str">
        <v>EPSG</v>
      </c>
      <c r="F2059" s="7" t="str">
        <v>4433</v>
      </c>
      <c r="G2059" t="str">
        <v>ProjectedCrs</v>
      </c>
      <c r="H2059" t="str">
        <v>Transverse Mercator</v>
      </c>
      <c r="I2059" t="str">
        <v>NAD83 / BLM 13N (ftUS)</v>
      </c>
      <c r="J2059" t="str">
        <v>United States (USA) - between 108°W and 102°W - Colorado; Montana; Nebraska; New Mexico; North Dakota; Oklahoma; South Dakota; Texas; Wyoming.</v>
      </c>
      <c r="K2059" s="11">
        <v>0</v>
      </c>
    </row>
    <row r="2060" spans="5:11" x14ac:dyDescent="0.35">
      <c r="E2060" s="9" t="str">
        <v>EPSG</v>
      </c>
      <c r="F2060" s="7" t="str">
        <v>4434</v>
      </c>
      <c r="G2060" t="str">
        <v>ProjectedCrs</v>
      </c>
      <c r="H2060" t="str">
        <v>Transverse Mercator</v>
      </c>
      <c r="I2060" t="str">
        <v>Pulkovo 1942(83) / 3-degree Gauss-Kruger zone 8</v>
      </c>
      <c r="J2060" t="str">
        <v>Hungary and Slovakia - east of 22°30'E.</v>
      </c>
      <c r="K2060" s="11">
        <v>0</v>
      </c>
    </row>
    <row r="2061" spans="5:11" x14ac:dyDescent="0.35">
      <c r="E2061" s="9" t="str">
        <v>EPSG</v>
      </c>
      <c r="F2061" s="7" t="str">
        <v>4437</v>
      </c>
      <c r="G2061" t="str">
        <v>ProjectedCrs</v>
      </c>
      <c r="H2061" t="str">
        <v>Lambert Conic Conformal (2SP)</v>
      </c>
      <c r="I2061" t="str">
        <v>NAD83(NSRS2007) / Puerto Rico and Virgin Is.</v>
      </c>
      <c r="J2061" t="str">
        <v>Puerto Rico and US Virgin Islands - onshore.</v>
      </c>
      <c r="K2061" s="11">
        <v>0</v>
      </c>
    </row>
    <row r="2062" spans="5:11" x14ac:dyDescent="0.35">
      <c r="E2062" s="9" t="str">
        <v>EPSG</v>
      </c>
      <c r="F2062" s="7" t="str">
        <v>4438</v>
      </c>
      <c r="G2062" t="str">
        <v>ProjectedCrs</v>
      </c>
      <c r="H2062" t="str">
        <v>Transverse Mercator</v>
      </c>
      <c r="I2062" t="str">
        <v>NAD83 / BLM 18N (ftUS)</v>
      </c>
      <c r="J2062" t="str">
        <v>United States (USA) - between 78°W and 72°W onshore and offshore - Connecticut; Delaware; Maryland; Massachusetts; New Hampshire; New Jersey; New York; North Carolina; Pennsylvania; Virginia; Vermont.</v>
      </c>
      <c r="K2062" s="11">
        <v>0</v>
      </c>
    </row>
    <row r="2063" spans="5:11" x14ac:dyDescent="0.35">
      <c r="E2063" s="9" t="str">
        <v>EPSG</v>
      </c>
      <c r="F2063" s="7" t="str">
        <v>4439</v>
      </c>
      <c r="G2063" t="str">
        <v>ProjectedCrs</v>
      </c>
      <c r="H2063" t="str">
        <v>Transverse Mercator</v>
      </c>
      <c r="I2063" t="str">
        <v>NAD83 / BLM 19N (ftUS)</v>
      </c>
      <c r="J2063" t="str">
        <v>United States (USA) - between 72°W and 66°W onshore and offshore - Connecticut; Maine; Massachusetts; New Hampshire; New York (Long Island); Rhode Island; Vermont.</v>
      </c>
      <c r="K2063" s="11">
        <v>0</v>
      </c>
    </row>
    <row r="2064" spans="5:11" x14ac:dyDescent="0.35">
      <c r="E2064" s="9" t="str">
        <v>EPSG</v>
      </c>
      <c r="F2064" s="7" t="str">
        <v>4440</v>
      </c>
      <c r="G2064" t="str">
        <v>VerticalCrs</v>
      </c>
      <c r="H2064" t="str">
        <v>&lt;undefined&gt;</v>
      </c>
      <c r="I2064" t="str">
        <v>NZVD2009 height</v>
      </c>
      <c r="J2064" t="str">
        <v>New Zealand - onshore and offshore. Includes Antipodes Islands, Auckland Islands, Bounty Islands, Chatham Islands, Cambell Island, Kermadec Islands, Raoul Island and Snares Islands.</v>
      </c>
      <c r="K2064" s="11">
        <v>0</v>
      </c>
    </row>
    <row r="2065" spans="5:11" x14ac:dyDescent="0.35">
      <c r="E2065" s="9" t="str">
        <v>EPSG</v>
      </c>
      <c r="F2065" s="7" t="str">
        <v>4455</v>
      </c>
      <c r="G2065" t="str">
        <v>ProjectedCrs</v>
      </c>
      <c r="H2065" t="str">
        <v>Lambert Conic Conformal (2SP)</v>
      </c>
      <c r="I2065" t="str">
        <v>NAD27 / Pennsylvania South</v>
      </c>
      <c r="J2065"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2065" s="11">
        <v>0</v>
      </c>
    </row>
    <row r="2066" spans="5:11" x14ac:dyDescent="0.35">
      <c r="E2066" s="9" t="str">
        <v>EPSG</v>
      </c>
      <c r="F2066" s="7" t="str">
        <v>4456</v>
      </c>
      <c r="G2066" t="str">
        <v>ProjectedCrs</v>
      </c>
      <c r="H2066" t="str">
        <v>Lambert Conic Conformal (2SP)</v>
      </c>
      <c r="I2066" t="str">
        <v>NAD27 / New York Long Island</v>
      </c>
      <c r="J2066" t="str">
        <v>United States (USA) - New York - counties of Bronx; Kings; Nassau; New York; Queens; Richmond; Suffolk.</v>
      </c>
      <c r="K2066" s="11">
        <v>0</v>
      </c>
    </row>
    <row r="2067" spans="5:11" x14ac:dyDescent="0.35">
      <c r="E2067" s="9" t="str">
        <v>EPSG</v>
      </c>
      <c r="F2067" s="7" t="str">
        <v>4457</v>
      </c>
      <c r="G2067" t="str">
        <v>ProjectedCrs</v>
      </c>
      <c r="H2067" t="str">
        <v>Lambert Conic Conformal (2SP)</v>
      </c>
      <c r="I2067" t="str">
        <v>NAD83 / South Dakota North (ftUS)</v>
      </c>
      <c r="J2067" t="str">
        <v>United States (USA) - South Dakota - counties of Beadle; Brookings; Brown; Butte; Campbell; Clark; Codington; Corson; Day; Deuel; Dewey; Edmunds; Faulk; Grant; Hamlin; Hand; Harding; Hyde; Kingsbury; Lawrence; Marshall; McPherson; Meade; Perkins; Potter; Roberts; Spink; Sully; Walworth; Ziebach.</v>
      </c>
      <c r="K2067" s="11">
        <v>0</v>
      </c>
    </row>
    <row r="2068" spans="5:11" x14ac:dyDescent="0.35">
      <c r="E2068" s="9" t="str">
        <v>EPSG</v>
      </c>
      <c r="F2068" s="7" t="str">
        <v>4458</v>
      </c>
      <c r="G2068" t="str">
        <v>VerticalCrs</v>
      </c>
      <c r="H2068" t="str">
        <v>&lt;undefined&gt;</v>
      </c>
      <c r="I2068" t="str">
        <v>Dunedin-Bluff 1960 height</v>
      </c>
      <c r="J2068" t="str">
        <v>New Zealand - South Island - Dunedin-Bluff vertical CRS area.</v>
      </c>
      <c r="K2068" s="11">
        <v>0</v>
      </c>
    </row>
    <row r="2069" spans="5:11" x14ac:dyDescent="0.35">
      <c r="E2069" s="9" t="str">
        <v>EPSG</v>
      </c>
      <c r="F2069" s="7" t="str">
        <v>4462</v>
      </c>
      <c r="G2069" t="str">
        <v>ProjectedCrs</v>
      </c>
      <c r="H2069" t="str">
        <v>Lambert Conic Conformal (2SP)</v>
      </c>
      <c r="I2069" t="str">
        <v>WGS 84 / Australian Centre for Remote Sensing Lambert</v>
      </c>
      <c r="J2069" t="str">
        <v>Australia - Australian Capital Territory; New South Wales; Northern Territory; Queensland; South Australia; Tasmania; Western Australia; Victoria.</v>
      </c>
      <c r="K2069" s="11">
        <v>0</v>
      </c>
    </row>
    <row r="2070" spans="5:11" x14ac:dyDescent="0.35">
      <c r="E2070" s="9" t="str">
        <v>EPSG</v>
      </c>
      <c r="F2070" s="7" t="str">
        <v>4463</v>
      </c>
      <c r="G2070" t="str">
        <v>Geographic2DCrs</v>
      </c>
      <c r="H2070" t="str">
        <v>&lt;undefined&gt;</v>
      </c>
      <c r="I2070" t="str">
        <v>RGSPM06</v>
      </c>
      <c r="J2070" t="str">
        <v>St Pierre and Miquelon - onshore and offshore.</v>
      </c>
      <c r="K2070" s="11">
        <v>0</v>
      </c>
    </row>
    <row r="2071" spans="5:11" x14ac:dyDescent="0.35">
      <c r="E2071" s="9" t="str">
        <v>EPSG</v>
      </c>
      <c r="F2071" s="7" t="str">
        <v>4465</v>
      </c>
      <c r="G2071" t="str">
        <v>GeocentricCrs</v>
      </c>
      <c r="H2071" t="str">
        <v>&lt;undefined&gt;</v>
      </c>
      <c r="I2071" t="str">
        <v>RGSPM06</v>
      </c>
      <c r="J2071" t="str">
        <v>St Pierre and Miquelon - onshore and offshore.</v>
      </c>
      <c r="K2071" s="11">
        <v>0</v>
      </c>
    </row>
    <row r="2072" spans="5:11" x14ac:dyDescent="0.35">
      <c r="E2072" s="9" t="str">
        <v>EPSG</v>
      </c>
      <c r="F2072" s="7" t="str">
        <v>4466</v>
      </c>
      <c r="G2072" t="str">
        <v>Geographic3DCrs</v>
      </c>
      <c r="H2072" t="str">
        <v>&lt;undefined&gt;</v>
      </c>
      <c r="I2072" t="str">
        <v>RGSPM06</v>
      </c>
      <c r="J2072" t="str">
        <v>St Pierre and Miquelon - onshore and offshore.</v>
      </c>
      <c r="K2072" s="11">
        <v>0</v>
      </c>
    </row>
    <row r="2073" spans="5:11" x14ac:dyDescent="0.35">
      <c r="E2073" s="9" t="str">
        <v>EPSG</v>
      </c>
      <c r="F2073" s="7" t="str">
        <v>4467</v>
      </c>
      <c r="G2073" t="str">
        <v>ProjectedCrs</v>
      </c>
      <c r="H2073" t="str">
        <v>Transverse Mercator</v>
      </c>
      <c r="I2073" t="str">
        <v>RGSPM06 / UTM zone 21N</v>
      </c>
      <c r="J2073" t="str">
        <v>St Pierre and Miquelon - onshore and offshore.</v>
      </c>
      <c r="K2073" s="11">
        <v>0</v>
      </c>
    </row>
    <row r="2074" spans="5:11" x14ac:dyDescent="0.35">
      <c r="E2074" s="9" t="str">
        <v>EPSG</v>
      </c>
      <c r="F2074" s="7" t="str">
        <v>4468</v>
      </c>
      <c r="G2074" t="str">
        <v>GeocentricCrs</v>
      </c>
      <c r="H2074" t="str">
        <v>&lt;undefined&gt;</v>
      </c>
      <c r="I2074" t="str">
        <v>RGM04</v>
      </c>
      <c r="J2074" t="str">
        <v>Mayotte - onshore and offshore.</v>
      </c>
      <c r="K2074" s="11">
        <v>0</v>
      </c>
    </row>
    <row r="2075" spans="5:11" x14ac:dyDescent="0.35">
      <c r="E2075" s="9" t="str">
        <v>EPSG</v>
      </c>
      <c r="F2075" s="7" t="str">
        <v>4469</v>
      </c>
      <c r="G2075" t="str">
        <v>Geographic3DCrs</v>
      </c>
      <c r="H2075" t="str">
        <v>&lt;undefined&gt;</v>
      </c>
      <c r="I2075" t="str">
        <v>RGM04</v>
      </c>
      <c r="J2075" t="str">
        <v>Mayotte - onshore and offshore.</v>
      </c>
      <c r="K2075" s="11">
        <v>0</v>
      </c>
    </row>
    <row r="2076" spans="5:11" x14ac:dyDescent="0.35">
      <c r="E2076" s="9" t="str">
        <v>EPSG</v>
      </c>
      <c r="F2076" s="7" t="str">
        <v>4470</v>
      </c>
      <c r="G2076" t="str">
        <v>Geographic2DCrs</v>
      </c>
      <c r="H2076" t="str">
        <v>&lt;undefined&gt;</v>
      </c>
      <c r="I2076" t="str">
        <v>RGM04</v>
      </c>
      <c r="J2076" t="str">
        <v>Mayotte - onshore and offshore.</v>
      </c>
      <c r="K2076" s="11">
        <v>0</v>
      </c>
    </row>
    <row r="2077" spans="5:11" x14ac:dyDescent="0.35">
      <c r="E2077" s="9" t="str">
        <v>EPSG</v>
      </c>
      <c r="F2077" s="7" t="str">
        <v>4471</v>
      </c>
      <c r="G2077" t="str">
        <v>ProjectedCrs</v>
      </c>
      <c r="H2077" t="str">
        <v>Transverse Mercator</v>
      </c>
      <c r="I2077" t="str">
        <v>RGM04 / UTM zone 38S</v>
      </c>
      <c r="J2077" t="str">
        <v>Mayotte - onshore and offshore.</v>
      </c>
      <c r="K2077" s="11">
        <v>0</v>
      </c>
    </row>
    <row r="2078" spans="5:11" x14ac:dyDescent="0.35">
      <c r="E2078" s="9" t="str">
        <v>EPSG</v>
      </c>
      <c r="F2078" s="7" t="str">
        <v>4472</v>
      </c>
      <c r="G2078" t="str">
        <v>Geographic3DCrs</v>
      </c>
      <c r="H2078" t="str">
        <v>&lt;undefined&gt;</v>
      </c>
      <c r="I2078" t="str">
        <v>Cadastre 1997</v>
      </c>
      <c r="J2078" t="str">
        <v>Mayotte - onshore.</v>
      </c>
      <c r="K2078" s="11">
        <v>0</v>
      </c>
    </row>
    <row r="2079" spans="5:11" x14ac:dyDescent="0.35">
      <c r="E2079" s="9" t="str">
        <v>EPSG</v>
      </c>
      <c r="F2079" s="7" t="str">
        <v>4473</v>
      </c>
      <c r="G2079" t="str">
        <v>GeocentricCrs</v>
      </c>
      <c r="H2079" t="str">
        <v>&lt;undefined&gt;</v>
      </c>
      <c r="I2079" t="str">
        <v>Cadastre 1997</v>
      </c>
      <c r="J2079" t="str">
        <v>Mayotte - onshore.</v>
      </c>
      <c r="K2079" s="11">
        <v>0</v>
      </c>
    </row>
    <row r="2080" spans="5:11" x14ac:dyDescent="0.35">
      <c r="E2080" s="9" t="str">
        <v>EPSG</v>
      </c>
      <c r="F2080" s="7" t="str">
        <v>4475</v>
      </c>
      <c r="G2080" t="str">
        <v>Geographic2DCrs</v>
      </c>
      <c r="H2080" t="str">
        <v>&lt;undefined&gt;</v>
      </c>
      <c r="I2080" t="str">
        <v>Cadastre 1997</v>
      </c>
      <c r="J2080" t="str">
        <v>Mayotte - onshore.</v>
      </c>
      <c r="K2080" s="11">
        <v>0</v>
      </c>
    </row>
    <row r="2081" spans="5:11" x14ac:dyDescent="0.35">
      <c r="E2081" s="9" t="str">
        <v>EPSG</v>
      </c>
      <c r="F2081" s="7" t="str">
        <v>4479</v>
      </c>
      <c r="G2081" t="str">
        <v>GeocentricCrs</v>
      </c>
      <c r="H2081" t="str">
        <v>&lt;undefined&gt;</v>
      </c>
      <c r="I2081" t="str">
        <v>China Geodetic Coordinate System 2000</v>
      </c>
      <c r="J2081" t="str">
        <v>China - onshore and offshore.</v>
      </c>
      <c r="K2081" s="11">
        <v>0</v>
      </c>
    </row>
    <row r="2082" spans="5:11" x14ac:dyDescent="0.35">
      <c r="E2082" s="9" t="str">
        <v>EPSG</v>
      </c>
      <c r="F2082" s="7" t="str">
        <v>4480</v>
      </c>
      <c r="G2082" t="str">
        <v>Geographic3DCrs</v>
      </c>
      <c r="H2082" t="str">
        <v>&lt;undefined&gt;</v>
      </c>
      <c r="I2082" t="str">
        <v>China Geodetic Coordinate System 2000</v>
      </c>
      <c r="J2082" t="str">
        <v>China - onshore and offshore.</v>
      </c>
      <c r="K2082" s="11">
        <v>0</v>
      </c>
    </row>
    <row r="2083" spans="5:11" x14ac:dyDescent="0.35">
      <c r="E2083" s="9" t="str">
        <v>EPSG</v>
      </c>
      <c r="F2083" s="7" t="str">
        <v>4481</v>
      </c>
      <c r="G2083" t="str">
        <v>GeocentricCrs</v>
      </c>
      <c r="H2083" t="str">
        <v>&lt;undefined&gt;</v>
      </c>
      <c r="I2083" t="str">
        <v>Mexico ITRF92</v>
      </c>
      <c r="J2083" t="str">
        <v>Mexico - onshore and offshore.</v>
      </c>
      <c r="K2083" s="11">
        <v>0</v>
      </c>
    </row>
    <row r="2084" spans="5:11" x14ac:dyDescent="0.35">
      <c r="E2084" s="9" t="str">
        <v>EPSG</v>
      </c>
      <c r="F2084" s="7" t="str">
        <v>4482</v>
      </c>
      <c r="G2084" t="str">
        <v>Geographic3DCrs</v>
      </c>
      <c r="H2084" t="str">
        <v>&lt;undefined&gt;</v>
      </c>
      <c r="I2084" t="str">
        <v>Mexico ITRF92</v>
      </c>
      <c r="J2084" t="str">
        <v>Mexico - onshore and offshore.</v>
      </c>
      <c r="K2084" s="11">
        <v>0</v>
      </c>
    </row>
    <row r="2085" spans="5:11" x14ac:dyDescent="0.35">
      <c r="E2085" s="9" t="str">
        <v>EPSG</v>
      </c>
      <c r="F2085" s="7" t="str">
        <v>4483</v>
      </c>
      <c r="G2085" t="str">
        <v>Geographic2DCrs</v>
      </c>
      <c r="H2085" t="str">
        <v>&lt;undefined&gt;</v>
      </c>
      <c r="I2085" t="str">
        <v>Mexico ITRF92</v>
      </c>
      <c r="J2085" t="str">
        <v>Mexico - onshore and offshore.</v>
      </c>
      <c r="K2085" s="11">
        <v>0</v>
      </c>
    </row>
    <row r="2086" spans="5:11" x14ac:dyDescent="0.35">
      <c r="E2086" s="9" t="str">
        <v>EPSG</v>
      </c>
      <c r="F2086" s="7" t="str">
        <v>4484</v>
      </c>
      <c r="G2086" t="str">
        <v>ProjectedCrs</v>
      </c>
      <c r="H2086" t="str">
        <v>Transverse Mercator</v>
      </c>
      <c r="I2086" t="str">
        <v>Mexico ITRF92 / UTM zone 11N</v>
      </c>
      <c r="J2086" t="str">
        <v>Mexico west of 114°W, onshore and offshore.</v>
      </c>
      <c r="K2086" s="11">
        <v>0</v>
      </c>
    </row>
    <row r="2087" spans="5:11" x14ac:dyDescent="0.35">
      <c r="E2087" s="9" t="str">
        <v>EPSG</v>
      </c>
      <c r="F2087" s="7" t="str">
        <v>4485</v>
      </c>
      <c r="G2087" t="str">
        <v>ProjectedCrs</v>
      </c>
      <c r="H2087" t="str">
        <v>Transverse Mercator</v>
      </c>
      <c r="I2087" t="str">
        <v>Mexico ITRF92 / UTM zone 12N</v>
      </c>
      <c r="J2087" t="str">
        <v>Mexico between 114°W and 108°W, onshore and offshore.</v>
      </c>
      <c r="K2087" s="11">
        <v>0</v>
      </c>
    </row>
    <row r="2088" spans="5:11" x14ac:dyDescent="0.35">
      <c r="E2088" s="9" t="str">
        <v>EPSG</v>
      </c>
      <c r="F2088" s="7" t="str">
        <v>4486</v>
      </c>
      <c r="G2088" t="str">
        <v>ProjectedCrs</v>
      </c>
      <c r="H2088" t="str">
        <v>Transverse Mercator</v>
      </c>
      <c r="I2088" t="str">
        <v>Mexico ITRF92 / UTM zone 13N</v>
      </c>
      <c r="J2088" t="str">
        <v>Mexico between 108°W and 102°W, onshore and offshore.</v>
      </c>
      <c r="K2088" s="11">
        <v>0</v>
      </c>
    </row>
    <row r="2089" spans="5:11" x14ac:dyDescent="0.35">
      <c r="E2089" s="9" t="str">
        <v>EPSG</v>
      </c>
      <c r="F2089" s="7" t="str">
        <v>4487</v>
      </c>
      <c r="G2089" t="str">
        <v>ProjectedCrs</v>
      </c>
      <c r="H2089" t="str">
        <v>Transverse Mercator</v>
      </c>
      <c r="I2089" t="str">
        <v>Mexico ITRF92 / UTM zone 14N</v>
      </c>
      <c r="J2089" t="str">
        <v>Mexico between 102°W and 96°W, onshore and offshore.</v>
      </c>
      <c r="K2089" s="11">
        <v>0</v>
      </c>
    </row>
    <row r="2090" spans="5:11" x14ac:dyDescent="0.35">
      <c r="E2090" s="9" t="str">
        <v>EPSG</v>
      </c>
      <c r="F2090" s="7" t="str">
        <v>4488</v>
      </c>
      <c r="G2090" t="str">
        <v>ProjectedCrs</v>
      </c>
      <c r="H2090" t="str">
        <v>Transverse Mercator</v>
      </c>
      <c r="I2090" t="str">
        <v>Mexico ITRF92 / UTM zone 15N</v>
      </c>
      <c r="J2090" t="str">
        <v>Mexico between 96°W and 90°W, onshore and offshore.</v>
      </c>
      <c r="K2090" s="11">
        <v>0</v>
      </c>
    </row>
    <row r="2091" spans="5:11" x14ac:dyDescent="0.35">
      <c r="E2091" s="9" t="str">
        <v>EPSG</v>
      </c>
      <c r="F2091" s="7" t="str">
        <v>4489</v>
      </c>
      <c r="G2091" t="str">
        <v>ProjectedCrs</v>
      </c>
      <c r="H2091" t="str">
        <v>Transverse Mercator</v>
      </c>
      <c r="I2091" t="str">
        <v>Mexico ITRF92 / UTM zone 16N</v>
      </c>
      <c r="J2091" t="str">
        <v>Mexico east of 90°W, onshore and offshore.</v>
      </c>
      <c r="K2091" s="11">
        <v>0</v>
      </c>
    </row>
    <row r="2092" spans="5:11" x14ac:dyDescent="0.35">
      <c r="E2092" s="9" t="str">
        <v>EPSG</v>
      </c>
      <c r="F2092" s="7" t="str">
        <v>4490</v>
      </c>
      <c r="G2092" t="str">
        <v>Geographic2DCrs</v>
      </c>
      <c r="H2092" t="str">
        <v>&lt;undefined&gt;</v>
      </c>
      <c r="I2092" t="str">
        <v>China Geodetic Coordinate System 2000</v>
      </c>
      <c r="J2092" t="str">
        <v>China - onshore and offshore.</v>
      </c>
      <c r="K2092" s="11">
        <v>0</v>
      </c>
    </row>
    <row r="2093" spans="5:11" x14ac:dyDescent="0.35">
      <c r="E2093" s="9" t="str">
        <v>EPSG</v>
      </c>
      <c r="F2093" s="7" t="str">
        <v>4491</v>
      </c>
      <c r="G2093" t="str">
        <v>ProjectedCrs</v>
      </c>
      <c r="H2093" t="str">
        <v>Transverse Mercator</v>
      </c>
      <c r="I2093" t="str">
        <v>CGCS2000 / Gauss-Kruger zone 13</v>
      </c>
      <c r="J2093" t="str">
        <v>China - west of 78°E.</v>
      </c>
      <c r="K2093" s="11">
        <v>0</v>
      </c>
    </row>
    <row r="2094" spans="5:11" x14ac:dyDescent="0.35">
      <c r="E2094" s="9" t="str">
        <v>EPSG</v>
      </c>
      <c r="F2094" s="7" t="str">
        <v>4492</v>
      </c>
      <c r="G2094" t="str">
        <v>ProjectedCrs</v>
      </c>
      <c r="H2094" t="str">
        <v>Transverse Mercator</v>
      </c>
      <c r="I2094" t="str">
        <v>CGCS2000 / Gauss-Kruger zone 14</v>
      </c>
      <c r="J2094" t="str">
        <v>China - between 78°E and 84°E.</v>
      </c>
      <c r="K2094" s="11">
        <v>0</v>
      </c>
    </row>
    <row r="2095" spans="5:11" x14ac:dyDescent="0.35">
      <c r="E2095" s="9" t="str">
        <v>EPSG</v>
      </c>
      <c r="F2095" s="7" t="str">
        <v>4493</v>
      </c>
      <c r="G2095" t="str">
        <v>ProjectedCrs</v>
      </c>
      <c r="H2095" t="str">
        <v>Transverse Mercator</v>
      </c>
      <c r="I2095" t="str">
        <v>CGCS2000 / Gauss-Kruger zone 15</v>
      </c>
      <c r="J2095" t="str">
        <v>China - between 84°E and 90°E.</v>
      </c>
      <c r="K2095" s="11">
        <v>0</v>
      </c>
    </row>
    <row r="2096" spans="5:11" x14ac:dyDescent="0.35">
      <c r="E2096" s="9" t="str">
        <v>EPSG</v>
      </c>
      <c r="F2096" s="7" t="str">
        <v>4494</v>
      </c>
      <c r="G2096" t="str">
        <v>ProjectedCrs</v>
      </c>
      <c r="H2096" t="str">
        <v>Transverse Mercator</v>
      </c>
      <c r="I2096" t="str">
        <v>CGCS2000 / Gauss-Kruger zone 16</v>
      </c>
      <c r="J2096" t="str">
        <v>China - between 90°E and 96°E.</v>
      </c>
      <c r="K2096" s="11">
        <v>0</v>
      </c>
    </row>
    <row r="2097" spans="5:11" x14ac:dyDescent="0.35">
      <c r="E2097" s="9" t="str">
        <v>EPSG</v>
      </c>
      <c r="F2097" s="7" t="str">
        <v>4495</v>
      </c>
      <c r="G2097" t="str">
        <v>ProjectedCrs</v>
      </c>
      <c r="H2097" t="str">
        <v>Transverse Mercator</v>
      </c>
      <c r="I2097" t="str">
        <v>CGCS2000 / Gauss-Kruger zone 17</v>
      </c>
      <c r="J2097" t="str">
        <v>China - between 96°E and 102°E.</v>
      </c>
      <c r="K2097" s="11">
        <v>0</v>
      </c>
    </row>
    <row r="2098" spans="5:11" x14ac:dyDescent="0.35">
      <c r="E2098" s="9" t="str">
        <v>EPSG</v>
      </c>
      <c r="F2098" s="7" t="str">
        <v>4496</v>
      </c>
      <c r="G2098" t="str">
        <v>ProjectedCrs</v>
      </c>
      <c r="H2098" t="str">
        <v>Transverse Mercator</v>
      </c>
      <c r="I2098" t="str">
        <v>CGCS2000 / Gauss-Kruger zone 18</v>
      </c>
      <c r="J2098" t="str">
        <v>China - onshore and offshore between 102°E and 108°E.</v>
      </c>
      <c r="K2098" s="11">
        <v>0</v>
      </c>
    </row>
    <row r="2099" spans="5:11" x14ac:dyDescent="0.35">
      <c r="E2099" s="9" t="str">
        <v>EPSG</v>
      </c>
      <c r="F2099" s="7" t="str">
        <v>4497</v>
      </c>
      <c r="G2099" t="str">
        <v>ProjectedCrs</v>
      </c>
      <c r="H2099" t="str">
        <v>Transverse Mercator</v>
      </c>
      <c r="I2099" t="str">
        <v>CGCS2000 / Gauss-Kruger zone 19</v>
      </c>
      <c r="J2099" t="str">
        <v>China - onshore and offshore between 108°E and 114°E.</v>
      </c>
      <c r="K2099" s="11">
        <v>0</v>
      </c>
    </row>
    <row r="2100" spans="5:11" x14ac:dyDescent="0.35">
      <c r="E2100" s="9" t="str">
        <v>EPSG</v>
      </c>
      <c r="F2100" s="7" t="str">
        <v>4498</v>
      </c>
      <c r="G2100" t="str">
        <v>ProjectedCrs</v>
      </c>
      <c r="H2100" t="str">
        <v>Transverse Mercator</v>
      </c>
      <c r="I2100" t="str">
        <v>CGCS2000 / Gauss-Kruger zone 20</v>
      </c>
      <c r="J2100" t="str">
        <v>China - onshore and offshore between 114°E and 120°E.</v>
      </c>
      <c r="K2100" s="11">
        <v>0</v>
      </c>
    </row>
    <row r="2101" spans="5:11" x14ac:dyDescent="0.35">
      <c r="E2101" s="9" t="str">
        <v>EPSG</v>
      </c>
      <c r="F2101" s="7" t="str">
        <v>4499</v>
      </c>
      <c r="G2101" t="str">
        <v>ProjectedCrs</v>
      </c>
      <c r="H2101" t="str">
        <v>Transverse Mercator</v>
      </c>
      <c r="I2101" t="str">
        <v>CGCS2000 / Gauss-Kruger zone 21</v>
      </c>
      <c r="J2101" t="str">
        <v>China - onshore and offshore between 120°E and 126°E.</v>
      </c>
      <c r="K2101" s="11">
        <v>0</v>
      </c>
    </row>
    <row r="2102" spans="5:11" x14ac:dyDescent="0.35">
      <c r="E2102" s="9" t="str">
        <v>EPSG</v>
      </c>
      <c r="F2102" s="7" t="str">
        <v>4500</v>
      </c>
      <c r="G2102" t="str">
        <v>ProjectedCrs</v>
      </c>
      <c r="H2102" t="str">
        <v>Transverse Mercator</v>
      </c>
      <c r="I2102" t="str">
        <v>CGCS2000 / Gauss-Kruger zone 22</v>
      </c>
      <c r="J2102" t="str">
        <v>China - onshore and offshore between 126°E and 132°E.</v>
      </c>
      <c r="K2102" s="11">
        <v>0</v>
      </c>
    </row>
    <row r="2103" spans="5:11" x14ac:dyDescent="0.35">
      <c r="E2103" s="9" t="str">
        <v>EPSG</v>
      </c>
      <c r="F2103" s="7" t="str">
        <v>4501</v>
      </c>
      <c r="G2103" t="str">
        <v>ProjectedCrs</v>
      </c>
      <c r="H2103" t="str">
        <v>Transverse Mercator</v>
      </c>
      <c r="I2103" t="str">
        <v>CGCS2000 / Gauss-Kruger zone 23</v>
      </c>
      <c r="J2103" t="str">
        <v>China - east of 132°E.</v>
      </c>
      <c r="K2103" s="11">
        <v>0</v>
      </c>
    </row>
    <row r="2104" spans="5:11" x14ac:dyDescent="0.35">
      <c r="E2104" s="9" t="str">
        <v>EPSG</v>
      </c>
      <c r="F2104" s="7" t="str">
        <v>4502</v>
      </c>
      <c r="G2104" t="str">
        <v>ProjectedCrs</v>
      </c>
      <c r="H2104" t="str">
        <v>Transverse Mercator</v>
      </c>
      <c r="I2104" t="str">
        <v>CGCS2000 / Gauss-Kruger CM 75E</v>
      </c>
      <c r="J2104" t="str">
        <v>China - west of 78°E.</v>
      </c>
      <c r="K2104" s="11">
        <v>0</v>
      </c>
    </row>
    <row r="2105" spans="5:11" x14ac:dyDescent="0.35">
      <c r="E2105" s="9" t="str">
        <v>EPSG</v>
      </c>
      <c r="F2105" s="7" t="str">
        <v>4503</v>
      </c>
      <c r="G2105" t="str">
        <v>ProjectedCrs</v>
      </c>
      <c r="H2105" t="str">
        <v>Transverse Mercator</v>
      </c>
      <c r="I2105" t="str">
        <v>CGCS2000 / Gauss-Kruger CM 81E</v>
      </c>
      <c r="J2105" t="str">
        <v>China - between 78°E and 84°E.</v>
      </c>
      <c r="K2105" s="11">
        <v>0</v>
      </c>
    </row>
    <row r="2106" spans="5:11" x14ac:dyDescent="0.35">
      <c r="E2106" s="9" t="str">
        <v>EPSG</v>
      </c>
      <c r="F2106" s="7" t="str">
        <v>4504</v>
      </c>
      <c r="G2106" t="str">
        <v>ProjectedCrs</v>
      </c>
      <c r="H2106" t="str">
        <v>Transverse Mercator</v>
      </c>
      <c r="I2106" t="str">
        <v>CGCS2000 / Gauss-Kruger CM 87E</v>
      </c>
      <c r="J2106" t="str">
        <v>China - between 84°E and 90°E.</v>
      </c>
      <c r="K2106" s="11">
        <v>0</v>
      </c>
    </row>
    <row r="2107" spans="5:11" x14ac:dyDescent="0.35">
      <c r="E2107" s="9" t="str">
        <v>EPSG</v>
      </c>
      <c r="F2107" s="7" t="str">
        <v>4505</v>
      </c>
      <c r="G2107" t="str">
        <v>ProjectedCrs</v>
      </c>
      <c r="H2107" t="str">
        <v>Transverse Mercator</v>
      </c>
      <c r="I2107" t="str">
        <v>CGCS2000 / Gauss-Kruger CM 93E</v>
      </c>
      <c r="J2107" t="str">
        <v>China - between 90°E and 96°E.</v>
      </c>
      <c r="K2107" s="11">
        <v>0</v>
      </c>
    </row>
    <row r="2108" spans="5:11" x14ac:dyDescent="0.35">
      <c r="E2108" s="9" t="str">
        <v>EPSG</v>
      </c>
      <c r="F2108" s="7" t="str">
        <v>4506</v>
      </c>
      <c r="G2108" t="str">
        <v>ProjectedCrs</v>
      </c>
      <c r="H2108" t="str">
        <v>Transverse Mercator</v>
      </c>
      <c r="I2108" t="str">
        <v>CGCS2000 / Gauss-Kruger CM 99E</v>
      </c>
      <c r="J2108" t="str">
        <v>China - between 96°E and 102°E.</v>
      </c>
      <c r="K2108" s="11">
        <v>0</v>
      </c>
    </row>
    <row r="2109" spans="5:11" x14ac:dyDescent="0.35">
      <c r="E2109" s="9" t="str">
        <v>EPSG</v>
      </c>
      <c r="F2109" s="7" t="str">
        <v>4507</v>
      </c>
      <c r="G2109" t="str">
        <v>ProjectedCrs</v>
      </c>
      <c r="H2109" t="str">
        <v>Transverse Mercator</v>
      </c>
      <c r="I2109" t="str">
        <v>CGCS2000 / Gauss-Kruger CM 105E</v>
      </c>
      <c r="J2109" t="str">
        <v>China - onshore and offshore between 102°E and 108°E.</v>
      </c>
      <c r="K2109" s="11">
        <v>0</v>
      </c>
    </row>
    <row r="2110" spans="5:11" x14ac:dyDescent="0.35">
      <c r="E2110" s="9" t="str">
        <v>EPSG</v>
      </c>
      <c r="F2110" s="7" t="str">
        <v>4508</v>
      </c>
      <c r="G2110" t="str">
        <v>ProjectedCrs</v>
      </c>
      <c r="H2110" t="str">
        <v>Transverse Mercator</v>
      </c>
      <c r="I2110" t="str">
        <v>CGCS2000 / Gauss-Kruger CM 111E</v>
      </c>
      <c r="J2110" t="str">
        <v>China - onshore and offshore between 108°E and 114°E.</v>
      </c>
      <c r="K2110" s="11">
        <v>0</v>
      </c>
    </row>
    <row r="2111" spans="5:11" x14ac:dyDescent="0.35">
      <c r="E2111" s="9" t="str">
        <v>EPSG</v>
      </c>
      <c r="F2111" s="7" t="str">
        <v>4509</v>
      </c>
      <c r="G2111" t="str">
        <v>ProjectedCrs</v>
      </c>
      <c r="H2111" t="str">
        <v>Transverse Mercator</v>
      </c>
      <c r="I2111" t="str">
        <v>CGCS2000 / Gauss-Kruger CM 117E</v>
      </c>
      <c r="J2111" t="str">
        <v>China - onshore and offshore between 114°E and 120°E.</v>
      </c>
      <c r="K2111" s="11">
        <v>0</v>
      </c>
    </row>
    <row r="2112" spans="5:11" x14ac:dyDescent="0.35">
      <c r="E2112" s="9" t="str">
        <v>EPSG</v>
      </c>
      <c r="F2112" s="7" t="str">
        <v>4510</v>
      </c>
      <c r="G2112" t="str">
        <v>ProjectedCrs</v>
      </c>
      <c r="H2112" t="str">
        <v>Transverse Mercator</v>
      </c>
      <c r="I2112" t="str">
        <v>CGCS2000 / Gauss-Kruger CM 123E</v>
      </c>
      <c r="J2112" t="str">
        <v>China - onshore and offshore between 120°E and 126°E.</v>
      </c>
      <c r="K2112" s="11">
        <v>0</v>
      </c>
    </row>
    <row r="2113" spans="5:11" x14ac:dyDescent="0.35">
      <c r="E2113" s="9" t="str">
        <v>EPSG</v>
      </c>
      <c r="F2113" s="7" t="str">
        <v>4511</v>
      </c>
      <c r="G2113" t="str">
        <v>ProjectedCrs</v>
      </c>
      <c r="H2113" t="str">
        <v>Transverse Mercator</v>
      </c>
      <c r="I2113" t="str">
        <v>CGCS2000 / Gauss-Kruger CM 129E</v>
      </c>
      <c r="J2113" t="str">
        <v>China - onshore and offshore between 126°E and 132°E.</v>
      </c>
      <c r="K2113" s="11">
        <v>0</v>
      </c>
    </row>
    <row r="2114" spans="5:11" x14ac:dyDescent="0.35">
      <c r="E2114" s="9" t="str">
        <v>EPSG</v>
      </c>
      <c r="F2114" s="7" t="str">
        <v>4512</v>
      </c>
      <c r="G2114" t="str">
        <v>ProjectedCrs</v>
      </c>
      <c r="H2114" t="str">
        <v>Transverse Mercator</v>
      </c>
      <c r="I2114" t="str">
        <v>CGCS2000 / Gauss-Kruger CM 135E</v>
      </c>
      <c r="J2114" t="str">
        <v>China - east of 132°E.</v>
      </c>
      <c r="K2114" s="11">
        <v>0</v>
      </c>
    </row>
    <row r="2115" spans="5:11" x14ac:dyDescent="0.35">
      <c r="E2115" s="9" t="str">
        <v>EPSG</v>
      </c>
      <c r="F2115" s="7" t="str">
        <v>4513</v>
      </c>
      <c r="G2115" t="str">
        <v>ProjectedCrs</v>
      </c>
      <c r="H2115" t="str">
        <v>Transverse Mercator</v>
      </c>
      <c r="I2115" t="str">
        <v>CGCS2000 / 3-degree Gauss-Kruger zone 25</v>
      </c>
      <c r="J2115" t="str">
        <v>China - west of 76°30'E.</v>
      </c>
      <c r="K2115" s="11">
        <v>0</v>
      </c>
    </row>
    <row r="2116" spans="5:11" x14ac:dyDescent="0.35">
      <c r="E2116" s="9" t="str">
        <v>EPSG</v>
      </c>
      <c r="F2116" s="7" t="str">
        <v>4514</v>
      </c>
      <c r="G2116" t="str">
        <v>ProjectedCrs</v>
      </c>
      <c r="H2116" t="str">
        <v>Transverse Mercator</v>
      </c>
      <c r="I2116" t="str">
        <v>CGCS2000 / 3-degree Gauss-Kruger zone 26</v>
      </c>
      <c r="J2116" t="str">
        <v>China - between 76°30'E and 79°30'E.</v>
      </c>
      <c r="K2116" s="11">
        <v>0</v>
      </c>
    </row>
    <row r="2117" spans="5:11" x14ac:dyDescent="0.35">
      <c r="E2117" s="9" t="str">
        <v>EPSG</v>
      </c>
      <c r="F2117" s="7" t="str">
        <v>4515</v>
      </c>
      <c r="G2117" t="str">
        <v>ProjectedCrs</v>
      </c>
      <c r="H2117" t="str">
        <v>Transverse Mercator</v>
      </c>
      <c r="I2117" t="str">
        <v>CGCS2000 / 3-degree Gauss-Kruger zone 27</v>
      </c>
      <c r="J2117" t="str">
        <v>China - between 79°30'E and 82°30'E.</v>
      </c>
      <c r="K2117" s="11">
        <v>0</v>
      </c>
    </row>
    <row r="2118" spans="5:11" x14ac:dyDescent="0.35">
      <c r="E2118" s="9" t="str">
        <v>EPSG</v>
      </c>
      <c r="F2118" s="7" t="str">
        <v>4516</v>
      </c>
      <c r="G2118" t="str">
        <v>ProjectedCrs</v>
      </c>
      <c r="H2118" t="str">
        <v>Transverse Mercator</v>
      </c>
      <c r="I2118" t="str">
        <v>CGCS2000 / 3-degree Gauss-Kruger zone 28</v>
      </c>
      <c r="J2118" t="str">
        <v>China - between 82°30'E and 85°30'E.</v>
      </c>
      <c r="K2118" s="11">
        <v>0</v>
      </c>
    </row>
    <row r="2119" spans="5:11" x14ac:dyDescent="0.35">
      <c r="E2119" s="9" t="str">
        <v>EPSG</v>
      </c>
      <c r="F2119" s="7" t="str">
        <v>4517</v>
      </c>
      <c r="G2119" t="str">
        <v>ProjectedCrs</v>
      </c>
      <c r="H2119" t="str">
        <v>Transverse Mercator</v>
      </c>
      <c r="I2119" t="str">
        <v>CGCS2000 / 3-degree Gauss-Kruger zone 29</v>
      </c>
      <c r="J2119" t="str">
        <v>China - between 85°30'E and 88°30'E.</v>
      </c>
      <c r="K2119" s="11">
        <v>0</v>
      </c>
    </row>
    <row r="2120" spans="5:11" x14ac:dyDescent="0.35">
      <c r="E2120" s="9" t="str">
        <v>EPSG</v>
      </c>
      <c r="F2120" s="7" t="str">
        <v>4518</v>
      </c>
      <c r="G2120" t="str">
        <v>ProjectedCrs</v>
      </c>
      <c r="H2120" t="str">
        <v>Transverse Mercator</v>
      </c>
      <c r="I2120" t="str">
        <v>CGCS2000 / 3-degree Gauss-Kruger zone 30</v>
      </c>
      <c r="J2120" t="str">
        <v>China - between 88°30'E and 91°30'E.</v>
      </c>
      <c r="K2120" s="11">
        <v>0</v>
      </c>
    </row>
    <row r="2121" spans="5:11" x14ac:dyDescent="0.35">
      <c r="E2121" s="9" t="str">
        <v>EPSG</v>
      </c>
      <c r="F2121" s="7" t="str">
        <v>4519</v>
      </c>
      <c r="G2121" t="str">
        <v>ProjectedCrs</v>
      </c>
      <c r="H2121" t="str">
        <v>Transverse Mercator</v>
      </c>
      <c r="I2121" t="str">
        <v>CGCS2000 / 3-degree Gauss-Kruger zone 31</v>
      </c>
      <c r="J2121" t="str">
        <v>China - between 91°30'E and 94°30'E.</v>
      </c>
      <c r="K2121" s="11">
        <v>0</v>
      </c>
    </row>
    <row r="2122" spans="5:11" x14ac:dyDescent="0.35">
      <c r="E2122" s="9" t="str">
        <v>EPSG</v>
      </c>
      <c r="F2122" s="7" t="str">
        <v>4520</v>
      </c>
      <c r="G2122" t="str">
        <v>ProjectedCrs</v>
      </c>
      <c r="H2122" t="str">
        <v>Transverse Mercator</v>
      </c>
      <c r="I2122" t="str">
        <v>CGCS2000 / 3-degree Gauss-Kruger zone 32</v>
      </c>
      <c r="J2122" t="str">
        <v>China - between 94°30'E and 97°30'E.</v>
      </c>
      <c r="K2122" s="11">
        <v>0</v>
      </c>
    </row>
    <row r="2123" spans="5:11" x14ac:dyDescent="0.35">
      <c r="E2123" s="9" t="str">
        <v>EPSG</v>
      </c>
      <c r="F2123" s="7" t="str">
        <v>4521</v>
      </c>
      <c r="G2123" t="str">
        <v>ProjectedCrs</v>
      </c>
      <c r="H2123" t="str">
        <v>Transverse Mercator</v>
      </c>
      <c r="I2123" t="str">
        <v>CGCS2000 / 3-degree Gauss-Kruger zone 33</v>
      </c>
      <c r="J2123" t="str">
        <v>China - between 97°30'E and 100°30'E.</v>
      </c>
      <c r="K2123" s="11">
        <v>0</v>
      </c>
    </row>
    <row r="2124" spans="5:11" x14ac:dyDescent="0.35">
      <c r="E2124" s="9" t="str">
        <v>EPSG</v>
      </c>
      <c r="F2124" s="7" t="str">
        <v>4522</v>
      </c>
      <c r="G2124" t="str">
        <v>ProjectedCrs</v>
      </c>
      <c r="H2124" t="str">
        <v>Transverse Mercator</v>
      </c>
      <c r="I2124" t="str">
        <v>CGCS2000 / 3-degree Gauss-Kruger zone 34</v>
      </c>
      <c r="J2124" t="str">
        <v>China - between 100°30'E and 103°30'E.</v>
      </c>
      <c r="K2124" s="11">
        <v>0</v>
      </c>
    </row>
    <row r="2125" spans="5:11" x14ac:dyDescent="0.35">
      <c r="E2125" s="9" t="str">
        <v>EPSG</v>
      </c>
      <c r="F2125" s="7" t="str">
        <v>4523</v>
      </c>
      <c r="G2125" t="str">
        <v>ProjectedCrs</v>
      </c>
      <c r="H2125" t="str">
        <v>Transverse Mercator</v>
      </c>
      <c r="I2125" t="str">
        <v>CGCS2000 / 3-degree Gauss-Kruger zone 35</v>
      </c>
      <c r="J2125" t="str">
        <v>China - between 103°30'E and 106°30'E.</v>
      </c>
      <c r="K2125" s="11">
        <v>0</v>
      </c>
    </row>
    <row r="2126" spans="5:11" x14ac:dyDescent="0.35">
      <c r="E2126" s="9" t="str">
        <v>EPSG</v>
      </c>
      <c r="F2126" s="7" t="str">
        <v>4524</v>
      </c>
      <c r="G2126" t="str">
        <v>ProjectedCrs</v>
      </c>
      <c r="H2126" t="str">
        <v>Transverse Mercator</v>
      </c>
      <c r="I2126" t="str">
        <v>CGCS2000 / 3-degree Gauss-Kruger zone 36</v>
      </c>
      <c r="J2126" t="str">
        <v>China - onshore between 106°30'E and 109°30'E.</v>
      </c>
      <c r="K2126" s="11">
        <v>0</v>
      </c>
    </row>
    <row r="2127" spans="5:11" x14ac:dyDescent="0.35">
      <c r="E2127" s="9" t="str">
        <v>EPSG</v>
      </c>
      <c r="F2127" s="7" t="str">
        <v>4525</v>
      </c>
      <c r="G2127" t="str">
        <v>ProjectedCrs</v>
      </c>
      <c r="H2127" t="str">
        <v>Transverse Mercator</v>
      </c>
      <c r="I2127" t="str">
        <v>CGCS2000 / 3-degree Gauss-Kruger zone 37</v>
      </c>
      <c r="J2127" t="str">
        <v>China - onshore between 109°30'E and 112°30'E.</v>
      </c>
      <c r="K2127" s="11">
        <v>0</v>
      </c>
    </row>
    <row r="2128" spans="5:11" x14ac:dyDescent="0.35">
      <c r="E2128" s="9" t="str">
        <v>EPSG</v>
      </c>
      <c r="F2128" s="7" t="str">
        <v>4526</v>
      </c>
      <c r="G2128" t="str">
        <v>ProjectedCrs</v>
      </c>
      <c r="H2128" t="str">
        <v>Transverse Mercator</v>
      </c>
      <c r="I2128" t="str">
        <v>CGCS2000 / 3-degree Gauss-Kruger zone 38</v>
      </c>
      <c r="J2128" t="str">
        <v>China - onshore between 112°30'E and 115°30'E.</v>
      </c>
      <c r="K2128" s="11">
        <v>0</v>
      </c>
    </row>
    <row r="2129" spans="5:11" x14ac:dyDescent="0.35">
      <c r="E2129" s="9" t="str">
        <v>EPSG</v>
      </c>
      <c r="F2129" s="7" t="str">
        <v>4527</v>
      </c>
      <c r="G2129" t="str">
        <v>ProjectedCrs</v>
      </c>
      <c r="H2129" t="str">
        <v>Transverse Mercator</v>
      </c>
      <c r="I2129" t="str">
        <v>CGCS2000 / 3-degree Gauss-Kruger zone 39</v>
      </c>
      <c r="J2129" t="str">
        <v>China - onshore between 115°30'E and 118°30'E.</v>
      </c>
      <c r="K2129" s="11">
        <v>0</v>
      </c>
    </row>
    <row r="2130" spans="5:11" x14ac:dyDescent="0.35">
      <c r="E2130" s="9" t="str">
        <v>EPSG</v>
      </c>
      <c r="F2130" s="7" t="str">
        <v>4528</v>
      </c>
      <c r="G2130" t="str">
        <v>ProjectedCrs</v>
      </c>
      <c r="H2130" t="str">
        <v>Transverse Mercator</v>
      </c>
      <c r="I2130" t="str">
        <v>CGCS2000 / 3-degree Gauss-Kruger zone 40</v>
      </c>
      <c r="J2130" t="str">
        <v>China - onshore between 118°30'E and 121°30'E.</v>
      </c>
      <c r="K2130" s="11">
        <v>0</v>
      </c>
    </row>
    <row r="2131" spans="5:11" x14ac:dyDescent="0.35">
      <c r="E2131" s="9" t="str">
        <v>EPSG</v>
      </c>
      <c r="F2131" s="7" t="str">
        <v>4529</v>
      </c>
      <c r="G2131" t="str">
        <v>ProjectedCrs</v>
      </c>
      <c r="H2131" t="str">
        <v>Transverse Mercator</v>
      </c>
      <c r="I2131" t="str">
        <v>CGCS2000 / 3-degree Gauss-Kruger zone 41</v>
      </c>
      <c r="J2131" t="str">
        <v>China - onshore between 121°30'E and 124°30'E.</v>
      </c>
      <c r="K2131" s="11">
        <v>0</v>
      </c>
    </row>
    <row r="2132" spans="5:11" x14ac:dyDescent="0.35">
      <c r="E2132" s="9" t="str">
        <v>EPSG</v>
      </c>
      <c r="F2132" s="7" t="str">
        <v>4530</v>
      </c>
      <c r="G2132" t="str">
        <v>ProjectedCrs</v>
      </c>
      <c r="H2132" t="str">
        <v>Transverse Mercator</v>
      </c>
      <c r="I2132" t="str">
        <v>CGCS2000 / 3-degree Gauss-Kruger zone 42</v>
      </c>
      <c r="J2132" t="str">
        <v>China - onshore between 124°30'E and 127°30'E.</v>
      </c>
      <c r="K2132" s="11">
        <v>0</v>
      </c>
    </row>
    <row r="2133" spans="5:11" x14ac:dyDescent="0.35">
      <c r="E2133" s="9" t="str">
        <v>EPSG</v>
      </c>
      <c r="F2133" s="7" t="str">
        <v>4531</v>
      </c>
      <c r="G2133" t="str">
        <v>ProjectedCrs</v>
      </c>
      <c r="H2133" t="str">
        <v>Transverse Mercator</v>
      </c>
      <c r="I2133" t="str">
        <v>CGCS2000 / 3-degree Gauss-Kruger zone 43</v>
      </c>
      <c r="J2133" t="str">
        <v>China - between 127°30'E and 130°30'E.</v>
      </c>
      <c r="K2133" s="11">
        <v>0</v>
      </c>
    </row>
    <row r="2134" spans="5:11" x14ac:dyDescent="0.35">
      <c r="E2134" s="9" t="str">
        <v>EPSG</v>
      </c>
      <c r="F2134" s="7" t="str">
        <v>4532</v>
      </c>
      <c r="G2134" t="str">
        <v>ProjectedCrs</v>
      </c>
      <c r="H2134" t="str">
        <v>Transverse Mercator</v>
      </c>
      <c r="I2134" t="str">
        <v>CGCS2000 / 3-degree Gauss-Kruger zone 44</v>
      </c>
      <c r="J2134" t="str">
        <v>China - between 130°30'E and 133°30'E.</v>
      </c>
      <c r="K2134" s="11">
        <v>0</v>
      </c>
    </row>
    <row r="2135" spans="5:11" x14ac:dyDescent="0.35">
      <c r="E2135" s="9" t="str">
        <v>EPSG</v>
      </c>
      <c r="F2135" s="7" t="str">
        <v>4533</v>
      </c>
      <c r="G2135" t="str">
        <v>ProjectedCrs</v>
      </c>
      <c r="H2135" t="str">
        <v>Transverse Mercator</v>
      </c>
      <c r="I2135" t="str">
        <v>CGCS2000 / 3-degree Gauss-Kruger zone 45</v>
      </c>
      <c r="J2135" t="str">
        <v>China - east of 133°30'E.</v>
      </c>
      <c r="K2135" s="11">
        <v>0</v>
      </c>
    </row>
    <row r="2136" spans="5:11" x14ac:dyDescent="0.35">
      <c r="E2136" s="9" t="str">
        <v>EPSG</v>
      </c>
      <c r="F2136" s="7" t="str">
        <v>4534</v>
      </c>
      <c r="G2136" t="str">
        <v>ProjectedCrs</v>
      </c>
      <c r="H2136" t="str">
        <v>Transverse Mercator</v>
      </c>
      <c r="I2136" t="str">
        <v>CGCS2000 / 3-degree Gauss-Kruger CM 75E</v>
      </c>
      <c r="J2136" t="str">
        <v>China - west of 76°30'E.</v>
      </c>
      <c r="K2136" s="11">
        <v>0</v>
      </c>
    </row>
    <row r="2137" spans="5:11" x14ac:dyDescent="0.35">
      <c r="E2137" s="9" t="str">
        <v>EPSG</v>
      </c>
      <c r="F2137" s="7" t="str">
        <v>4535</v>
      </c>
      <c r="G2137" t="str">
        <v>ProjectedCrs</v>
      </c>
      <c r="H2137" t="str">
        <v>Transverse Mercator</v>
      </c>
      <c r="I2137" t="str">
        <v>CGCS2000 / 3-degree Gauss-Kruger CM 78E</v>
      </c>
      <c r="J2137" t="str">
        <v>China - between 76°30'E and 79°30'E.</v>
      </c>
      <c r="K2137" s="11">
        <v>0</v>
      </c>
    </row>
    <row r="2138" spans="5:11" x14ac:dyDescent="0.35">
      <c r="E2138" s="9" t="str">
        <v>EPSG</v>
      </c>
      <c r="F2138" s="7" t="str">
        <v>4536</v>
      </c>
      <c r="G2138" t="str">
        <v>ProjectedCrs</v>
      </c>
      <c r="H2138" t="str">
        <v>Transverse Mercator</v>
      </c>
      <c r="I2138" t="str">
        <v>CGCS2000 / 3-degree Gauss-Kruger CM 81E</v>
      </c>
      <c r="J2138" t="str">
        <v>China - between 79°30'E and 82°30'E.</v>
      </c>
      <c r="K2138" s="11">
        <v>0</v>
      </c>
    </row>
    <row r="2139" spans="5:11" x14ac:dyDescent="0.35">
      <c r="E2139" s="9" t="str">
        <v>EPSG</v>
      </c>
      <c r="F2139" s="7" t="str">
        <v>4537</v>
      </c>
      <c r="G2139" t="str">
        <v>ProjectedCrs</v>
      </c>
      <c r="H2139" t="str">
        <v>Transverse Mercator</v>
      </c>
      <c r="I2139" t="str">
        <v>CGCS2000 / 3-degree Gauss-Kruger CM 84E</v>
      </c>
      <c r="J2139" t="str">
        <v>China - between 82°30'E and 85°30'E.</v>
      </c>
      <c r="K2139" s="11">
        <v>0</v>
      </c>
    </row>
    <row r="2140" spans="5:11" x14ac:dyDescent="0.35">
      <c r="E2140" s="9" t="str">
        <v>EPSG</v>
      </c>
      <c r="F2140" s="7" t="str">
        <v>4538</v>
      </c>
      <c r="G2140" t="str">
        <v>ProjectedCrs</v>
      </c>
      <c r="H2140" t="str">
        <v>Transverse Mercator</v>
      </c>
      <c r="I2140" t="str">
        <v>CGCS2000 / 3-degree Gauss-Kruger CM 87E</v>
      </c>
      <c r="J2140" t="str">
        <v>China - between 85°30'E and 88°30'E.</v>
      </c>
      <c r="K2140" s="11">
        <v>0</v>
      </c>
    </row>
    <row r="2141" spans="5:11" x14ac:dyDescent="0.35">
      <c r="E2141" s="9" t="str">
        <v>EPSG</v>
      </c>
      <c r="F2141" s="7" t="str">
        <v>4539</v>
      </c>
      <c r="G2141" t="str">
        <v>ProjectedCrs</v>
      </c>
      <c r="H2141" t="str">
        <v>Transverse Mercator</v>
      </c>
      <c r="I2141" t="str">
        <v>CGCS2000 / 3-degree Gauss-Kruger CM 90E</v>
      </c>
      <c r="J2141" t="str">
        <v>China - between 88°30'E and 91°30'E.</v>
      </c>
      <c r="K2141" s="11">
        <v>0</v>
      </c>
    </row>
    <row r="2142" spans="5:11" x14ac:dyDescent="0.35">
      <c r="E2142" s="9" t="str">
        <v>EPSG</v>
      </c>
      <c r="F2142" s="7" t="str">
        <v>4540</v>
      </c>
      <c r="G2142" t="str">
        <v>ProjectedCrs</v>
      </c>
      <c r="H2142" t="str">
        <v>Transverse Mercator</v>
      </c>
      <c r="I2142" t="str">
        <v>CGCS2000 / 3-degree Gauss-Kruger CM 93E</v>
      </c>
      <c r="J2142" t="str">
        <v>China - between 91°30'E and 94°30'E.</v>
      </c>
      <c r="K2142" s="11">
        <v>0</v>
      </c>
    </row>
    <row r="2143" spans="5:11" x14ac:dyDescent="0.35">
      <c r="E2143" s="9" t="str">
        <v>EPSG</v>
      </c>
      <c r="F2143" s="7" t="str">
        <v>4541</v>
      </c>
      <c r="G2143" t="str">
        <v>ProjectedCrs</v>
      </c>
      <c r="H2143" t="str">
        <v>Transverse Mercator</v>
      </c>
      <c r="I2143" t="str">
        <v>CGCS2000 / 3-degree Gauss-Kruger CM 96E</v>
      </c>
      <c r="J2143" t="str">
        <v>China - between 94°30'E and 97°30'E.</v>
      </c>
      <c r="K2143" s="11">
        <v>0</v>
      </c>
    </row>
    <row r="2144" spans="5:11" x14ac:dyDescent="0.35">
      <c r="E2144" s="9" t="str">
        <v>EPSG</v>
      </c>
      <c r="F2144" s="7" t="str">
        <v>4542</v>
      </c>
      <c r="G2144" t="str">
        <v>ProjectedCrs</v>
      </c>
      <c r="H2144" t="str">
        <v>Transverse Mercator</v>
      </c>
      <c r="I2144" t="str">
        <v>CGCS2000 / 3-degree Gauss-Kruger CM 99E</v>
      </c>
      <c r="J2144" t="str">
        <v>China - between 97°30'E and 100°30'E.</v>
      </c>
      <c r="K2144" s="11">
        <v>0</v>
      </c>
    </row>
    <row r="2145" spans="5:11" x14ac:dyDescent="0.35">
      <c r="E2145" s="9" t="str">
        <v>EPSG</v>
      </c>
      <c r="F2145" s="7" t="str">
        <v>4543</v>
      </c>
      <c r="G2145" t="str">
        <v>ProjectedCrs</v>
      </c>
      <c r="H2145" t="str">
        <v>Transverse Mercator</v>
      </c>
      <c r="I2145" t="str">
        <v>CGCS2000 / 3-degree Gauss-Kruger CM 102E</v>
      </c>
      <c r="J2145" t="str">
        <v>China - between 100°30'E and 103°30'E.</v>
      </c>
      <c r="K2145" s="11">
        <v>0</v>
      </c>
    </row>
    <row r="2146" spans="5:11" x14ac:dyDescent="0.35">
      <c r="E2146" s="9" t="str">
        <v>EPSG</v>
      </c>
      <c r="F2146" s="7" t="str">
        <v>4544</v>
      </c>
      <c r="G2146" t="str">
        <v>ProjectedCrs</v>
      </c>
      <c r="H2146" t="str">
        <v>Transverse Mercator</v>
      </c>
      <c r="I2146" t="str">
        <v>CGCS2000 / 3-degree Gauss-Kruger CM 105E</v>
      </c>
      <c r="J2146" t="str">
        <v>China - between 103°30'E and 106°30'E.</v>
      </c>
      <c r="K2146" s="11">
        <v>0</v>
      </c>
    </row>
    <row r="2147" spans="5:11" x14ac:dyDescent="0.35">
      <c r="E2147" s="9" t="str">
        <v>EPSG</v>
      </c>
      <c r="F2147" s="7" t="str">
        <v>4545</v>
      </c>
      <c r="G2147" t="str">
        <v>ProjectedCrs</v>
      </c>
      <c r="H2147" t="str">
        <v>Transverse Mercator</v>
      </c>
      <c r="I2147" t="str">
        <v>CGCS2000 / 3-degree Gauss-Kruger CM 108E</v>
      </c>
      <c r="J2147" t="str">
        <v>China - onshore between 106°30'E and 109°30'E.</v>
      </c>
      <c r="K2147" s="11">
        <v>0</v>
      </c>
    </row>
    <row r="2148" spans="5:11" x14ac:dyDescent="0.35">
      <c r="E2148" s="9" t="str">
        <v>EPSG</v>
      </c>
      <c r="F2148" s="7" t="str">
        <v>4546</v>
      </c>
      <c r="G2148" t="str">
        <v>ProjectedCrs</v>
      </c>
      <c r="H2148" t="str">
        <v>Transverse Mercator</v>
      </c>
      <c r="I2148" t="str">
        <v>CGCS2000 / 3-degree Gauss-Kruger CM 111E</v>
      </c>
      <c r="J2148" t="str">
        <v>China - onshore between 109°30'E and 112°30'E.</v>
      </c>
      <c r="K2148" s="11">
        <v>0</v>
      </c>
    </row>
    <row r="2149" spans="5:11" x14ac:dyDescent="0.35">
      <c r="E2149" s="9" t="str">
        <v>EPSG</v>
      </c>
      <c r="F2149" s="7" t="str">
        <v>4547</v>
      </c>
      <c r="G2149" t="str">
        <v>ProjectedCrs</v>
      </c>
      <c r="H2149" t="str">
        <v>Transverse Mercator</v>
      </c>
      <c r="I2149" t="str">
        <v>CGCS2000 / 3-degree Gauss-Kruger CM 114E</v>
      </c>
      <c r="J2149" t="str">
        <v>China - onshore between 112°30'E and 115°30'E.</v>
      </c>
      <c r="K2149" s="11">
        <v>0</v>
      </c>
    </row>
    <row r="2150" spans="5:11" x14ac:dyDescent="0.35">
      <c r="E2150" s="9" t="str">
        <v>EPSG</v>
      </c>
      <c r="F2150" s="7" t="str">
        <v>4548</v>
      </c>
      <c r="G2150" t="str">
        <v>ProjectedCrs</v>
      </c>
      <c r="H2150" t="str">
        <v>Transverse Mercator</v>
      </c>
      <c r="I2150" t="str">
        <v>CGCS2000 / 3-degree Gauss-Kruger CM 117E</v>
      </c>
      <c r="J2150" t="str">
        <v>China - onshore between 115°30'E and 118°30'E.</v>
      </c>
      <c r="K2150" s="11">
        <v>0</v>
      </c>
    </row>
    <row r="2151" spans="5:11" x14ac:dyDescent="0.35">
      <c r="E2151" s="9" t="str">
        <v>EPSG</v>
      </c>
      <c r="F2151" s="7" t="str">
        <v>4549</v>
      </c>
      <c r="G2151" t="str">
        <v>ProjectedCrs</v>
      </c>
      <c r="H2151" t="str">
        <v>Transverse Mercator</v>
      </c>
      <c r="I2151" t="str">
        <v>CGCS2000 / 3-degree Gauss-Kruger CM 120E</v>
      </c>
      <c r="J2151" t="str">
        <v>China - onshore between 118°30'E and 121°30'E.</v>
      </c>
      <c r="K2151" s="11">
        <v>0</v>
      </c>
    </row>
    <row r="2152" spans="5:11" x14ac:dyDescent="0.35">
      <c r="E2152" s="9" t="str">
        <v>EPSG</v>
      </c>
      <c r="F2152" s="7" t="str">
        <v>4550</v>
      </c>
      <c r="G2152" t="str">
        <v>ProjectedCrs</v>
      </c>
      <c r="H2152" t="str">
        <v>Transverse Mercator</v>
      </c>
      <c r="I2152" t="str">
        <v>CGCS2000 / 3-degree Gauss-Kruger CM 123E</v>
      </c>
      <c r="J2152" t="str">
        <v>China - onshore between 121°30'E and 124°30'E.</v>
      </c>
      <c r="K2152" s="11">
        <v>0</v>
      </c>
    </row>
    <row r="2153" spans="5:11" x14ac:dyDescent="0.35">
      <c r="E2153" s="9" t="str">
        <v>EPSG</v>
      </c>
      <c r="F2153" s="7" t="str">
        <v>4551</v>
      </c>
      <c r="G2153" t="str">
        <v>ProjectedCrs</v>
      </c>
      <c r="H2153" t="str">
        <v>Transverse Mercator</v>
      </c>
      <c r="I2153" t="str">
        <v>CGCS2000 / 3-degree Gauss-Kruger CM 126E</v>
      </c>
      <c r="J2153" t="str">
        <v>China - onshore between 124°30'E and 127°30'E.</v>
      </c>
      <c r="K2153" s="11">
        <v>0</v>
      </c>
    </row>
    <row r="2154" spans="5:11" x14ac:dyDescent="0.35">
      <c r="E2154" s="9" t="str">
        <v>EPSG</v>
      </c>
      <c r="F2154" s="7" t="str">
        <v>4552</v>
      </c>
      <c r="G2154" t="str">
        <v>ProjectedCrs</v>
      </c>
      <c r="H2154" t="str">
        <v>Transverse Mercator</v>
      </c>
      <c r="I2154" t="str">
        <v>CGCS2000 / 3-degree Gauss-Kruger CM 129E</v>
      </c>
      <c r="J2154" t="str">
        <v>China - between 127°30'E and 130°30'E.</v>
      </c>
      <c r="K2154" s="11">
        <v>0</v>
      </c>
    </row>
    <row r="2155" spans="5:11" x14ac:dyDescent="0.35">
      <c r="E2155" s="9" t="str">
        <v>EPSG</v>
      </c>
      <c r="F2155" s="7" t="str">
        <v>4553</v>
      </c>
      <c r="G2155" t="str">
        <v>ProjectedCrs</v>
      </c>
      <c r="H2155" t="str">
        <v>Transverse Mercator</v>
      </c>
      <c r="I2155" t="str">
        <v>CGCS2000 / 3-degree Gauss-Kruger CM 132E</v>
      </c>
      <c r="J2155" t="str">
        <v>China - between 130°30'E and 133°30'E.</v>
      </c>
      <c r="K2155" s="11">
        <v>0</v>
      </c>
    </row>
    <row r="2156" spans="5:11" x14ac:dyDescent="0.35">
      <c r="E2156" s="9" t="str">
        <v>EPSG</v>
      </c>
      <c r="F2156" s="7" t="str">
        <v>4554</v>
      </c>
      <c r="G2156" t="str">
        <v>ProjectedCrs</v>
      </c>
      <c r="H2156" t="str">
        <v>Transverse Mercator</v>
      </c>
      <c r="I2156" t="str">
        <v>CGCS2000 / 3-degree Gauss-Kruger CM 135E</v>
      </c>
      <c r="J2156" t="str">
        <v>China - east of 133°30'E.</v>
      </c>
      <c r="K2156" s="11">
        <v>0</v>
      </c>
    </row>
    <row r="2157" spans="5:11" x14ac:dyDescent="0.35">
      <c r="E2157" s="9" t="str">
        <v>EPSG</v>
      </c>
      <c r="F2157" s="7" t="str">
        <v>4555</v>
      </c>
      <c r="G2157" t="str">
        <v>Geographic2DCrs</v>
      </c>
      <c r="H2157" t="str">
        <v>&lt;undefined&gt;</v>
      </c>
      <c r="I2157" t="str">
        <v>New Beijing</v>
      </c>
      <c r="J2157" t="str">
        <v>China - onshore.</v>
      </c>
      <c r="K2157" s="11">
        <v>0</v>
      </c>
    </row>
    <row r="2158" spans="5:11" x14ac:dyDescent="0.35">
      <c r="E2158" s="9" t="str">
        <v>EPSG</v>
      </c>
      <c r="F2158" s="7" t="str">
        <v>4556</v>
      </c>
      <c r="G2158" t="str">
        <v>GeocentricCrs</v>
      </c>
      <c r="H2158" t="str">
        <v>&lt;undefined&gt;</v>
      </c>
      <c r="I2158" t="str">
        <v>RRAF 1991</v>
      </c>
      <c r="J2158" t="str">
        <v>French Antilles onshore and offshore - Guadeloupe (including Grande Terre, Basse Terre, Marie Galante, Les Saintes, Iles de la Petite Terre, La Desirade); Martinique; St Barthélemy; St Martin.</v>
      </c>
      <c r="K2158" s="11">
        <v>0</v>
      </c>
    </row>
    <row r="2159" spans="5:11" x14ac:dyDescent="0.35">
      <c r="E2159" s="9" t="str">
        <v>EPSG</v>
      </c>
      <c r="F2159" s="7" t="str">
        <v>4557</v>
      </c>
      <c r="G2159" t="str">
        <v>Geographic3DCrs</v>
      </c>
      <c r="H2159" t="str">
        <v>&lt;undefined&gt;</v>
      </c>
      <c r="I2159" t="str">
        <v>RRAF 1991</v>
      </c>
      <c r="J2159" t="str">
        <v>French Antilles onshore and offshore - Guadeloupe (including Grande Terre, Basse Terre, Marie Galante, Les Saintes, Iles de la Petite Terre, La Desirade); Martinique; St Barthélemy; St Martin.</v>
      </c>
      <c r="K2159" s="11">
        <v>0</v>
      </c>
    </row>
    <row r="2160" spans="5:11" x14ac:dyDescent="0.35">
      <c r="E2160" s="9" t="str">
        <v>EPSG</v>
      </c>
      <c r="F2160" s="7" t="str">
        <v>4558</v>
      </c>
      <c r="G2160" t="str">
        <v>Geographic2DCrs</v>
      </c>
      <c r="H2160" t="str">
        <v>&lt;undefined&gt;</v>
      </c>
      <c r="I2160" t="str">
        <v>RRAF 1991</v>
      </c>
      <c r="J2160" t="str">
        <v>French Antilles onshore and offshore - Guadeloupe (including Grande Terre, Basse Terre, Marie Galante, Les Saintes, Iles de la Petite Terre, La Desirade); Martinique; St Barthélemy; St Martin.</v>
      </c>
      <c r="K2160" s="11">
        <v>0</v>
      </c>
    </row>
    <row r="2161" spans="5:11" x14ac:dyDescent="0.35">
      <c r="E2161" s="9" t="str">
        <v>EPSG</v>
      </c>
      <c r="F2161" s="7" t="str">
        <v>4559</v>
      </c>
      <c r="G2161" t="str">
        <v>ProjectedCrs</v>
      </c>
      <c r="H2161" t="str">
        <v>Transverse Mercator</v>
      </c>
      <c r="I2161" t="str">
        <v>RRAF 1991 / UTM zone 20N</v>
      </c>
      <c r="J2161" t="str">
        <v>French Antilles onshore and offshore west of 60°W - Guadeloupe (including Grande Terre, Basse Terre, Marie Galante, Les Saintes, Iles de la Petite Terre, La Desirade); Martinique; St Barthélemy; northern St Martin.</v>
      </c>
      <c r="K2161" s="11">
        <v>0</v>
      </c>
    </row>
    <row r="2162" spans="5:11" x14ac:dyDescent="0.35">
      <c r="E2162" s="9" t="str">
        <v>EPSG</v>
      </c>
      <c r="F2162" s="7" t="str">
        <v>4568</v>
      </c>
      <c r="G2162" t="str">
        <v>ProjectedCrs</v>
      </c>
      <c r="H2162" t="str">
        <v>Transverse Mercator</v>
      </c>
      <c r="I2162" t="str">
        <v>New Beijing / Gauss-Kruger zone 13</v>
      </c>
      <c r="J2162" t="str">
        <v>China - west of 78°E.</v>
      </c>
      <c r="K2162" s="11">
        <v>0</v>
      </c>
    </row>
    <row r="2163" spans="5:11" x14ac:dyDescent="0.35">
      <c r="E2163" s="9" t="str">
        <v>EPSG</v>
      </c>
      <c r="F2163" s="7" t="str">
        <v>4569</v>
      </c>
      <c r="G2163" t="str">
        <v>ProjectedCrs</v>
      </c>
      <c r="H2163" t="str">
        <v>Transverse Mercator</v>
      </c>
      <c r="I2163" t="str">
        <v>New Beijing / Gauss-Kruger zone 14</v>
      </c>
      <c r="J2163" t="str">
        <v>China - between 78°E and 84°E.</v>
      </c>
      <c r="K2163" s="11">
        <v>0</v>
      </c>
    </row>
    <row r="2164" spans="5:11" x14ac:dyDescent="0.35">
      <c r="E2164" s="9" t="str">
        <v>EPSG</v>
      </c>
      <c r="F2164" s="7" t="str">
        <v>4570</v>
      </c>
      <c r="G2164" t="str">
        <v>ProjectedCrs</v>
      </c>
      <c r="H2164" t="str">
        <v>Transverse Mercator</v>
      </c>
      <c r="I2164" t="str">
        <v>New Beijing / Gauss-Kruger zone 15</v>
      </c>
      <c r="J2164" t="str">
        <v>China - between 84°E and 90°E.</v>
      </c>
      <c r="K2164" s="11">
        <v>0</v>
      </c>
    </row>
    <row r="2165" spans="5:11" x14ac:dyDescent="0.35">
      <c r="E2165" s="9" t="str">
        <v>EPSG</v>
      </c>
      <c r="F2165" s="7" t="str">
        <v>4571</v>
      </c>
      <c r="G2165" t="str">
        <v>ProjectedCrs</v>
      </c>
      <c r="H2165" t="str">
        <v>Transverse Mercator</v>
      </c>
      <c r="I2165" t="str">
        <v>New Beijing / Gauss-Kruger zone 16</v>
      </c>
      <c r="J2165" t="str">
        <v>China - between 90°E and 96°E.</v>
      </c>
      <c r="K2165" s="11">
        <v>0</v>
      </c>
    </row>
    <row r="2166" spans="5:11" x14ac:dyDescent="0.35">
      <c r="E2166" s="9" t="str">
        <v>EPSG</v>
      </c>
      <c r="F2166" s="7" t="str">
        <v>4572</v>
      </c>
      <c r="G2166" t="str">
        <v>ProjectedCrs</v>
      </c>
      <c r="H2166" t="str">
        <v>Transverse Mercator</v>
      </c>
      <c r="I2166" t="str">
        <v>New Beijing / Gauss-Kruger zone 17</v>
      </c>
      <c r="J2166" t="str">
        <v>China - between 96°E and 102°E.</v>
      </c>
      <c r="K2166" s="11">
        <v>0</v>
      </c>
    </row>
    <row r="2167" spans="5:11" x14ac:dyDescent="0.35">
      <c r="E2167" s="9" t="str">
        <v>EPSG</v>
      </c>
      <c r="F2167" s="7" t="str">
        <v>4573</v>
      </c>
      <c r="G2167" t="str">
        <v>ProjectedCrs</v>
      </c>
      <c r="H2167" t="str">
        <v>Transverse Mercator</v>
      </c>
      <c r="I2167" t="str">
        <v>New Beijing / Gauss-Kruger zone 18</v>
      </c>
      <c r="J2167" t="str">
        <v>China - onshore between 102°E and 108°E.</v>
      </c>
      <c r="K2167" s="11">
        <v>0</v>
      </c>
    </row>
    <row r="2168" spans="5:11" x14ac:dyDescent="0.35">
      <c r="E2168" s="9" t="str">
        <v>EPSG</v>
      </c>
      <c r="F2168" s="7" t="str">
        <v>4574</v>
      </c>
      <c r="G2168" t="str">
        <v>ProjectedCrs</v>
      </c>
      <c r="H2168" t="str">
        <v>Transverse Mercator</v>
      </c>
      <c r="I2168" t="str">
        <v>New Beijing / Gauss-Kruger zone 19</v>
      </c>
      <c r="J2168" t="str">
        <v>China - onshore between 108°E and 114°E.</v>
      </c>
      <c r="K2168" s="11">
        <v>0</v>
      </c>
    </row>
    <row r="2169" spans="5:11" x14ac:dyDescent="0.35">
      <c r="E2169" s="9" t="str">
        <v>EPSG</v>
      </c>
      <c r="F2169" s="7" t="str">
        <v>4575</v>
      </c>
      <c r="G2169" t="str">
        <v>ProjectedCrs</v>
      </c>
      <c r="H2169" t="str">
        <v>Transverse Mercator</v>
      </c>
      <c r="I2169" t="str">
        <v>New Beijing / Gauss-Kruger zone 20</v>
      </c>
      <c r="J2169" t="str">
        <v>China - onshore between 114°E and 120°E.</v>
      </c>
      <c r="K2169" s="11">
        <v>0</v>
      </c>
    </row>
    <row r="2170" spans="5:11" x14ac:dyDescent="0.35">
      <c r="E2170" s="9" t="str">
        <v>EPSG</v>
      </c>
      <c r="F2170" s="7" t="str">
        <v>4576</v>
      </c>
      <c r="G2170" t="str">
        <v>ProjectedCrs</v>
      </c>
      <c r="H2170" t="str">
        <v>Transverse Mercator</v>
      </c>
      <c r="I2170" t="str">
        <v>New Beijing / Gauss-Kruger zone 21</v>
      </c>
      <c r="J2170" t="str">
        <v>China - onshore between 120°E and 126°E.</v>
      </c>
      <c r="K2170" s="11">
        <v>0</v>
      </c>
    </row>
    <row r="2171" spans="5:11" x14ac:dyDescent="0.35">
      <c r="E2171" s="9" t="str">
        <v>EPSG</v>
      </c>
      <c r="F2171" s="7" t="str">
        <v>4577</v>
      </c>
      <c r="G2171" t="str">
        <v>ProjectedCrs</v>
      </c>
      <c r="H2171" t="str">
        <v>Transverse Mercator</v>
      </c>
      <c r="I2171" t="str">
        <v>New Beijing / Gauss-Kruger zone 22</v>
      </c>
      <c r="J2171" t="str">
        <v>China - onshore between 126°E and 132°E.</v>
      </c>
      <c r="K2171" s="11">
        <v>0</v>
      </c>
    </row>
    <row r="2172" spans="5:11" x14ac:dyDescent="0.35">
      <c r="E2172" s="9" t="str">
        <v>EPSG</v>
      </c>
      <c r="F2172" s="7" t="str">
        <v>4578</v>
      </c>
      <c r="G2172" t="str">
        <v>ProjectedCrs</v>
      </c>
      <c r="H2172" t="str">
        <v>Transverse Mercator</v>
      </c>
      <c r="I2172" t="str">
        <v>New Beijing / Gauss-Kruger zone 23</v>
      </c>
      <c r="J2172" t="str">
        <v>China - east of 132°E.</v>
      </c>
      <c r="K2172" s="11">
        <v>0</v>
      </c>
    </row>
    <row r="2173" spans="5:11" x14ac:dyDescent="0.35">
      <c r="E2173" s="9" t="str">
        <v>EPSG</v>
      </c>
      <c r="F2173" s="7" t="str">
        <v>4579</v>
      </c>
      <c r="G2173" t="str">
        <v>ProjectedCrs</v>
      </c>
      <c r="H2173" t="str">
        <v>Transverse Mercator</v>
      </c>
      <c r="I2173" t="str">
        <v>New Beijing / Gauss-Kruger CM 75E</v>
      </c>
      <c r="J2173" t="str">
        <v>China - west of 78°E.</v>
      </c>
      <c r="K2173" s="11">
        <v>0</v>
      </c>
    </row>
    <row r="2174" spans="5:11" x14ac:dyDescent="0.35">
      <c r="E2174" s="9" t="str">
        <v>EPSG</v>
      </c>
      <c r="F2174" s="7" t="str">
        <v>4580</v>
      </c>
      <c r="G2174" t="str">
        <v>ProjectedCrs</v>
      </c>
      <c r="H2174" t="str">
        <v>Transverse Mercator</v>
      </c>
      <c r="I2174" t="str">
        <v>New Beijing / Gauss-Kruger CM 81E</v>
      </c>
      <c r="J2174" t="str">
        <v>China - between 78°E and 84°E.</v>
      </c>
      <c r="K2174" s="11">
        <v>0</v>
      </c>
    </row>
    <row r="2175" spans="5:11" x14ac:dyDescent="0.35">
      <c r="E2175" s="9" t="str">
        <v>EPSG</v>
      </c>
      <c r="F2175" s="7" t="str">
        <v>4581</v>
      </c>
      <c r="G2175" t="str">
        <v>ProjectedCrs</v>
      </c>
      <c r="H2175" t="str">
        <v>Transverse Mercator</v>
      </c>
      <c r="I2175" t="str">
        <v>New Beijing / Gauss-Kruger CM 87E</v>
      </c>
      <c r="J2175" t="str">
        <v>China - between 84°E and 90°E.</v>
      </c>
      <c r="K2175" s="11">
        <v>0</v>
      </c>
    </row>
    <row r="2176" spans="5:11" x14ac:dyDescent="0.35">
      <c r="E2176" s="9" t="str">
        <v>EPSG</v>
      </c>
      <c r="F2176" s="7" t="str">
        <v>4582</v>
      </c>
      <c r="G2176" t="str">
        <v>ProjectedCrs</v>
      </c>
      <c r="H2176" t="str">
        <v>Transverse Mercator</v>
      </c>
      <c r="I2176" t="str">
        <v>New Beijing / Gauss-Kruger CM 93E</v>
      </c>
      <c r="J2176" t="str">
        <v>China - between 90°E and 96°E.</v>
      </c>
      <c r="K2176" s="11">
        <v>0</v>
      </c>
    </row>
    <row r="2177" spans="5:11" x14ac:dyDescent="0.35">
      <c r="E2177" s="9" t="str">
        <v>EPSG</v>
      </c>
      <c r="F2177" s="7" t="str">
        <v>4583</v>
      </c>
      <c r="G2177" t="str">
        <v>ProjectedCrs</v>
      </c>
      <c r="H2177" t="str">
        <v>Transverse Mercator</v>
      </c>
      <c r="I2177" t="str">
        <v>New Beijing / Gauss-Kruger CM 99E</v>
      </c>
      <c r="J2177" t="str">
        <v>China - between 96°E and 102°E.</v>
      </c>
      <c r="K2177" s="11">
        <v>0</v>
      </c>
    </row>
    <row r="2178" spans="5:11" x14ac:dyDescent="0.35">
      <c r="E2178" s="9" t="str">
        <v>EPSG</v>
      </c>
      <c r="F2178" s="7" t="str">
        <v>4584</v>
      </c>
      <c r="G2178" t="str">
        <v>ProjectedCrs</v>
      </c>
      <c r="H2178" t="str">
        <v>Transverse Mercator</v>
      </c>
      <c r="I2178" t="str">
        <v>New Beijing / Gauss-Kruger CM 105E</v>
      </c>
      <c r="J2178" t="str">
        <v>China - onshore between 102°E and 108°E.</v>
      </c>
      <c r="K2178" s="11">
        <v>0</v>
      </c>
    </row>
    <row r="2179" spans="5:11" x14ac:dyDescent="0.35">
      <c r="E2179" s="9" t="str">
        <v>EPSG</v>
      </c>
      <c r="F2179" s="7" t="str">
        <v>4585</v>
      </c>
      <c r="G2179" t="str">
        <v>ProjectedCrs</v>
      </c>
      <c r="H2179" t="str">
        <v>Transverse Mercator</v>
      </c>
      <c r="I2179" t="str">
        <v>New Beijing / Gauss-Kruger CM 111E</v>
      </c>
      <c r="J2179" t="str">
        <v>China - onshore between 108°E and 114°E.</v>
      </c>
      <c r="K2179" s="11">
        <v>0</v>
      </c>
    </row>
    <row r="2180" spans="5:11" x14ac:dyDescent="0.35">
      <c r="E2180" s="9" t="str">
        <v>EPSG</v>
      </c>
      <c r="F2180" s="7" t="str">
        <v>4586</v>
      </c>
      <c r="G2180" t="str">
        <v>ProjectedCrs</v>
      </c>
      <c r="H2180" t="str">
        <v>Transverse Mercator</v>
      </c>
      <c r="I2180" t="str">
        <v>New Beijing / Gauss-Kruger CM 117E</v>
      </c>
      <c r="J2180" t="str">
        <v>China - onshore between 114°E and 120°E.</v>
      </c>
      <c r="K2180" s="11">
        <v>0</v>
      </c>
    </row>
    <row r="2181" spans="5:11" x14ac:dyDescent="0.35">
      <c r="E2181" s="9" t="str">
        <v>EPSG</v>
      </c>
      <c r="F2181" s="7" t="str">
        <v>4587</v>
      </c>
      <c r="G2181" t="str">
        <v>ProjectedCrs</v>
      </c>
      <c r="H2181" t="str">
        <v>Transverse Mercator</v>
      </c>
      <c r="I2181" t="str">
        <v>New Beijing / Gauss-Kruger CM 123E</v>
      </c>
      <c r="J2181" t="str">
        <v>China - onshore between 120°E and 126°E.</v>
      </c>
      <c r="K2181" s="11">
        <v>0</v>
      </c>
    </row>
    <row r="2182" spans="5:11" x14ac:dyDescent="0.35">
      <c r="E2182" s="9" t="str">
        <v>EPSG</v>
      </c>
      <c r="F2182" s="7" t="str">
        <v>4588</v>
      </c>
      <c r="G2182" t="str">
        <v>ProjectedCrs</v>
      </c>
      <c r="H2182" t="str">
        <v>Transverse Mercator</v>
      </c>
      <c r="I2182" t="str">
        <v>New Beijing / Gauss-Kruger CM 129E</v>
      </c>
      <c r="J2182" t="str">
        <v>China - onshore between 126°E and 132°E.</v>
      </c>
      <c r="K2182" s="11">
        <v>0</v>
      </c>
    </row>
    <row r="2183" spans="5:11" x14ac:dyDescent="0.35">
      <c r="E2183" s="9" t="str">
        <v>EPSG</v>
      </c>
      <c r="F2183" s="7" t="str">
        <v>4589</v>
      </c>
      <c r="G2183" t="str">
        <v>ProjectedCrs</v>
      </c>
      <c r="H2183" t="str">
        <v>Transverse Mercator</v>
      </c>
      <c r="I2183" t="str">
        <v>New Beijing / Gauss-Kruger CM 135E</v>
      </c>
      <c r="J2183" t="str">
        <v>China - east of 132°E.</v>
      </c>
      <c r="K2183" s="11">
        <v>0</v>
      </c>
    </row>
    <row r="2184" spans="5:11" x14ac:dyDescent="0.35">
      <c r="E2184" s="9" t="str">
        <v>EPSG</v>
      </c>
      <c r="F2184" s="7" t="str">
        <v>4600</v>
      </c>
      <c r="G2184" t="str">
        <v>Geographic2DCrs</v>
      </c>
      <c r="H2184" t="str">
        <v>&lt;undefined&gt;</v>
      </c>
      <c r="I2184" t="str">
        <v>Anguilla 1957</v>
      </c>
      <c r="J2184" t="str">
        <v>Anguilla - onshore.</v>
      </c>
      <c r="K2184" s="11">
        <v>0</v>
      </c>
    </row>
    <row r="2185" spans="5:11" x14ac:dyDescent="0.35">
      <c r="E2185" s="9" t="str">
        <v>EPSG</v>
      </c>
      <c r="F2185" s="7" t="str">
        <v>4601</v>
      </c>
      <c r="G2185" t="str">
        <v>Geographic2DCrs</v>
      </c>
      <c r="H2185" t="str">
        <v>&lt;undefined&gt;</v>
      </c>
      <c r="I2185" t="str">
        <v>Antigua 1943</v>
      </c>
      <c r="J2185" t="str">
        <v>Antigua island - onshore.</v>
      </c>
      <c r="K2185" s="11">
        <v>0</v>
      </c>
    </row>
    <row r="2186" spans="5:11" x14ac:dyDescent="0.35">
      <c r="E2186" s="9" t="str">
        <v>EPSG</v>
      </c>
      <c r="F2186" s="7" t="str">
        <v>4602</v>
      </c>
      <c r="G2186" t="str">
        <v>Geographic2DCrs</v>
      </c>
      <c r="H2186" t="str">
        <v>&lt;undefined&gt;</v>
      </c>
      <c r="I2186" t="str">
        <v>Dominica 1945</v>
      </c>
      <c r="J2186" t="str">
        <v>Dominica - onshore.</v>
      </c>
      <c r="K2186" s="11">
        <v>0</v>
      </c>
    </row>
    <row r="2187" spans="5:11" x14ac:dyDescent="0.35">
      <c r="E2187" s="9" t="str">
        <v>EPSG</v>
      </c>
      <c r="F2187" s="7" t="str">
        <v>4603</v>
      </c>
      <c r="G2187" t="str">
        <v>Geographic2DCrs</v>
      </c>
      <c r="H2187" t="str">
        <v>&lt;undefined&gt;</v>
      </c>
      <c r="I2187" t="str">
        <v>Grenada 1953</v>
      </c>
      <c r="J2187" t="str">
        <v>Grenada and southern Grenadine Islands - onshore.</v>
      </c>
      <c r="K2187" s="11">
        <v>0</v>
      </c>
    </row>
    <row r="2188" spans="5:11" x14ac:dyDescent="0.35">
      <c r="E2188" s="9" t="str">
        <v>EPSG</v>
      </c>
      <c r="F2188" s="7" t="str">
        <v>4604</v>
      </c>
      <c r="G2188" t="str">
        <v>Geographic2DCrs</v>
      </c>
      <c r="H2188" t="str">
        <v>&lt;undefined&gt;</v>
      </c>
      <c r="I2188" t="str">
        <v>Montserrat 1958</v>
      </c>
      <c r="J2188" t="str">
        <v>Montserrat - onshore.</v>
      </c>
      <c r="K2188" s="11">
        <v>0</v>
      </c>
    </row>
    <row r="2189" spans="5:11" x14ac:dyDescent="0.35">
      <c r="E2189" s="9" t="str">
        <v>EPSG</v>
      </c>
      <c r="F2189" s="7" t="str">
        <v>4605</v>
      </c>
      <c r="G2189" t="str">
        <v>Geographic2DCrs</v>
      </c>
      <c r="H2189" t="str">
        <v>&lt;undefined&gt;</v>
      </c>
      <c r="I2189" t="str">
        <v>St. Kitts 1955</v>
      </c>
      <c r="J2189" t="str">
        <v>St Kitts and Nevis - onshore.</v>
      </c>
      <c r="K2189" s="11">
        <v>0</v>
      </c>
    </row>
    <row r="2190" spans="5:11" x14ac:dyDescent="0.35">
      <c r="E2190" s="9" t="str">
        <v>EPSG</v>
      </c>
      <c r="F2190" s="7" t="str">
        <v>4606</v>
      </c>
      <c r="G2190" t="str">
        <v>Geographic2DCrs</v>
      </c>
      <c r="H2190" t="str">
        <v>&lt;undefined&gt;</v>
      </c>
      <c r="I2190" t="str">
        <v>St. Lucia 1955</v>
      </c>
      <c r="J2190" t="str">
        <v>St Lucia - onshore.</v>
      </c>
      <c r="K2190" s="11">
        <v>0</v>
      </c>
    </row>
    <row r="2191" spans="5:11" x14ac:dyDescent="0.35">
      <c r="E2191" s="9" t="str">
        <v>EPSG</v>
      </c>
      <c r="F2191" s="7" t="str">
        <v>4607</v>
      </c>
      <c r="G2191" t="str">
        <v>Geographic2DCrs</v>
      </c>
      <c r="H2191" t="str">
        <v>&lt;undefined&gt;</v>
      </c>
      <c r="I2191" t="str">
        <v>St. Vincent 1945</v>
      </c>
      <c r="J2191" t="str">
        <v>St Vincent and the northern Grenadine Islands - onshore.</v>
      </c>
      <c r="K2191" s="11">
        <v>0</v>
      </c>
    </row>
    <row r="2192" spans="5:11" x14ac:dyDescent="0.35">
      <c r="E2192" s="9" t="str">
        <v>EPSG</v>
      </c>
      <c r="F2192" s="7" t="str">
        <v>4608</v>
      </c>
      <c r="G2192" t="str">
        <v>Geographic2DCrs</v>
      </c>
      <c r="H2192" t="str">
        <v>&lt;undefined&gt;</v>
      </c>
      <c r="I2192" t="str">
        <v>NAD27(76)</v>
      </c>
      <c r="J2192" t="str">
        <v>Canada - Ontario.</v>
      </c>
      <c r="K2192" s="11">
        <v>0</v>
      </c>
    </row>
    <row r="2193" spans="5:11" x14ac:dyDescent="0.35">
      <c r="E2193" s="9" t="str">
        <v>EPSG</v>
      </c>
      <c r="F2193" s="7" t="str">
        <v>4609</v>
      </c>
      <c r="G2193" t="str">
        <v>Geographic2DCrs</v>
      </c>
      <c r="H2193" t="str">
        <v>&lt;undefined&gt;</v>
      </c>
      <c r="I2193" t="str">
        <v>NAD27(CGQ77)</v>
      </c>
      <c r="J2193" t="str">
        <v>Canada - Quebec.</v>
      </c>
      <c r="K2193" s="11">
        <v>0</v>
      </c>
    </row>
    <row r="2194" spans="5:11" x14ac:dyDescent="0.35">
      <c r="E2194" s="9" t="str">
        <v>EPSG</v>
      </c>
      <c r="F2194" s="7" t="str">
        <v>4610</v>
      </c>
      <c r="G2194" t="str">
        <v>Geographic2DCrs</v>
      </c>
      <c r="H2194" t="str">
        <v>&lt;undefined&gt;</v>
      </c>
      <c r="I2194" t="str">
        <v>Xian 1980</v>
      </c>
      <c r="J2194" t="str">
        <v>China - onshore.</v>
      </c>
      <c r="K2194" s="11">
        <v>0</v>
      </c>
    </row>
    <row r="2195" spans="5:11" x14ac:dyDescent="0.35">
      <c r="E2195" s="9" t="str">
        <v>EPSG</v>
      </c>
      <c r="F2195" s="7" t="str">
        <v>4611</v>
      </c>
      <c r="G2195" t="str">
        <v>Geographic2DCrs</v>
      </c>
      <c r="H2195" t="str">
        <v>&lt;undefined&gt;</v>
      </c>
      <c r="I2195" t="str">
        <v>Hong Kong 1980</v>
      </c>
      <c r="J2195" t="str">
        <v>China - Hong Kong - onshore and offshore.</v>
      </c>
      <c r="K2195" s="11">
        <v>0</v>
      </c>
    </row>
    <row r="2196" spans="5:11" x14ac:dyDescent="0.35">
      <c r="E2196" s="9" t="str">
        <v>EPSG</v>
      </c>
      <c r="F2196" s="7" t="str">
        <v>4612</v>
      </c>
      <c r="G2196" t="str">
        <v>Geographic2DCrs</v>
      </c>
      <c r="H2196" t="str">
        <v>&lt;undefined&gt;</v>
      </c>
      <c r="I2196" t="str">
        <v>JGD2000</v>
      </c>
      <c r="J2196" t="str">
        <v>Japan - onshore and offshore.</v>
      </c>
      <c r="K2196" s="11">
        <v>0</v>
      </c>
    </row>
    <row r="2197" spans="5:11" x14ac:dyDescent="0.35">
      <c r="E2197" s="9" t="str">
        <v>EPSG</v>
      </c>
      <c r="F2197" s="7" t="str">
        <v>4613</v>
      </c>
      <c r="G2197" t="str">
        <v>Geographic2DCrs</v>
      </c>
      <c r="H2197" t="str">
        <v>&lt;undefined&gt;</v>
      </c>
      <c r="I2197" t="str">
        <v>Segara</v>
      </c>
      <c r="J2197" t="str">
        <v>Indonesia - Kalimantan - onshore east coastal area including Mahakam delta coastal and offshore shelf areas.</v>
      </c>
      <c r="K2197" s="11">
        <v>0</v>
      </c>
    </row>
    <row r="2198" spans="5:11" x14ac:dyDescent="0.35">
      <c r="E2198" s="9" t="str">
        <v>EPSG</v>
      </c>
      <c r="F2198" s="7" t="str">
        <v>4614</v>
      </c>
      <c r="G2198" t="str">
        <v>Geographic2DCrs</v>
      </c>
      <c r="H2198" t="str">
        <v>&lt;undefined&gt;</v>
      </c>
      <c r="I2198" t="str">
        <v>QND95</v>
      </c>
      <c r="J2198" t="str">
        <v>Qatar - onshore.</v>
      </c>
      <c r="K2198" s="11">
        <v>0</v>
      </c>
    </row>
    <row r="2199" spans="5:11" x14ac:dyDescent="0.35">
      <c r="E2199" s="9" t="str">
        <v>EPSG</v>
      </c>
      <c r="F2199" s="7" t="str">
        <v>4615</v>
      </c>
      <c r="G2199" t="str">
        <v>Geographic2DCrs</v>
      </c>
      <c r="H2199" t="str">
        <v>&lt;undefined&gt;</v>
      </c>
      <c r="I2199" t="str">
        <v>Porto Santo</v>
      </c>
      <c r="J2199" t="str">
        <v>Portugal - Madeira, Porto Santo and Desertas islands - onshore.</v>
      </c>
      <c r="K2199" s="11">
        <v>0</v>
      </c>
    </row>
    <row r="2200" spans="5:11" x14ac:dyDescent="0.35">
      <c r="E2200" s="9" t="str">
        <v>EPSG</v>
      </c>
      <c r="F2200" s="7" t="str">
        <v>4616</v>
      </c>
      <c r="G2200" t="str">
        <v>Geographic2DCrs</v>
      </c>
      <c r="H2200" t="str">
        <v>&lt;undefined&gt;</v>
      </c>
      <c r="I2200" t="str">
        <v>Selvagem Grande</v>
      </c>
      <c r="J2200" t="str">
        <v>Portugal - Selvagens islands (Madeira province) - onshore.</v>
      </c>
      <c r="K2200" s="11">
        <v>0</v>
      </c>
    </row>
    <row r="2201" spans="5:11" x14ac:dyDescent="0.35">
      <c r="E2201" s="9" t="str">
        <v>EPSG</v>
      </c>
      <c r="F2201" s="7" t="str">
        <v>4617</v>
      </c>
      <c r="G2201" t="str">
        <v>Geographic2DCrs</v>
      </c>
      <c r="H2201" t="str">
        <v>&lt;undefined&gt;</v>
      </c>
      <c r="I2201" t="str">
        <v>NAD83(CSRS)</v>
      </c>
      <c r="J2201" t="str">
        <v>Canada - onshore and offshore - Alberta; British Columbia; Manitoba; New Brunswick; Newfoundland and Labrador; Northwest Territories; Nova Scotia; Nunavut; Ontario; Prince Edward Island; Quebec; Saskatchewan; Yukon.</v>
      </c>
      <c r="K2201" s="11">
        <v>0</v>
      </c>
    </row>
    <row r="2202" spans="5:11" x14ac:dyDescent="0.35">
      <c r="E2202" s="9" t="str">
        <v>EPSG</v>
      </c>
      <c r="F2202" s="7" t="str">
        <v>4618</v>
      </c>
      <c r="G2202" t="str">
        <v>Geographic2DCrs</v>
      </c>
      <c r="H2202" t="str">
        <v>&lt;undefined&gt;</v>
      </c>
      <c r="I2202" t="str">
        <v>SAD69</v>
      </c>
      <c r="J2202" t="str">
        <v>Brazil - onshore and offshore. In rest of South America - onshore north of approximately 45°S and Tierra del Fuego.</v>
      </c>
      <c r="K2202" s="11">
        <v>0</v>
      </c>
    </row>
    <row r="2203" spans="5:11" x14ac:dyDescent="0.35">
      <c r="E2203" s="9" t="str">
        <v>EPSG</v>
      </c>
      <c r="F2203" s="7" t="str">
        <v>4619</v>
      </c>
      <c r="G2203" t="str">
        <v>Geographic2DCrs</v>
      </c>
      <c r="H2203" t="str">
        <v>&lt;undefined&gt;</v>
      </c>
      <c r="I2203" t="str">
        <v>SWEREF99</v>
      </c>
      <c r="J2203" t="str">
        <v>Sweden - onshore and offshore.</v>
      </c>
      <c r="K2203" s="11">
        <v>0</v>
      </c>
    </row>
    <row r="2204" spans="5:11" x14ac:dyDescent="0.35">
      <c r="E2204" s="9" t="str">
        <v>EPSG</v>
      </c>
      <c r="F2204" s="7" t="str">
        <v>4620</v>
      </c>
      <c r="G2204" t="str">
        <v>Geographic2DCrs</v>
      </c>
      <c r="H2204" t="str">
        <v>&lt;undefined&gt;</v>
      </c>
      <c r="I2204" t="str">
        <v>Point 58</v>
      </c>
      <c r="J2204" t="str">
        <v>Senegal - central, Mali - southwest, Burkina Faso - central, Niger - southwest, Nigeria - north, Chad - central. All in proximity to the parallel of latitude of 12°N.</v>
      </c>
      <c r="K2204" s="11">
        <v>0</v>
      </c>
    </row>
    <row r="2205" spans="5:11" x14ac:dyDescent="0.35">
      <c r="E2205" s="9" t="str">
        <v>EPSG</v>
      </c>
      <c r="F2205" s="7" t="str">
        <v>4621</v>
      </c>
      <c r="G2205" t="str">
        <v>Geographic2DCrs</v>
      </c>
      <c r="H2205" t="str">
        <v>&lt;undefined&gt;</v>
      </c>
      <c r="I2205" t="str">
        <v>Fort Marigot</v>
      </c>
      <c r="J2205" t="str">
        <v>Guadeloupe - onshore - St Martin and St Barthélemy islands.</v>
      </c>
      <c r="K2205" s="11">
        <v>0</v>
      </c>
    </row>
    <row r="2206" spans="5:11" x14ac:dyDescent="0.35">
      <c r="E2206" s="9" t="str">
        <v>EPSG</v>
      </c>
      <c r="F2206" s="7" t="str">
        <v>4622</v>
      </c>
      <c r="G2206" t="str">
        <v>Geographic2DCrs</v>
      </c>
      <c r="H2206" t="str">
        <v>&lt;undefined&gt;</v>
      </c>
      <c r="I2206" t="str">
        <v>Guadeloupe 1948</v>
      </c>
      <c r="J2206" t="str">
        <v>Guadeloupe - onshore - Basse-Terre, Grande-Terre, La Desirade, Marie-Galante, Les Saintes.</v>
      </c>
      <c r="K2206" s="11">
        <v>0</v>
      </c>
    </row>
    <row r="2207" spans="5:11" x14ac:dyDescent="0.35">
      <c r="E2207" s="9" t="str">
        <v>EPSG</v>
      </c>
      <c r="F2207" s="7" t="str">
        <v>4623</v>
      </c>
      <c r="G2207" t="str">
        <v>Geographic2DCrs</v>
      </c>
      <c r="H2207" t="str">
        <v>&lt;undefined&gt;</v>
      </c>
      <c r="I2207" t="str">
        <v>CSG67</v>
      </c>
      <c r="J2207" t="str">
        <v>French Guiana - coastal area.</v>
      </c>
      <c r="K2207" s="11">
        <v>0</v>
      </c>
    </row>
    <row r="2208" spans="5:11" x14ac:dyDescent="0.35">
      <c r="E2208" s="9" t="str">
        <v>EPSG</v>
      </c>
      <c r="F2208" s="7" t="str">
        <v>4624</v>
      </c>
      <c r="G2208" t="str">
        <v>Geographic2DCrs</v>
      </c>
      <c r="H2208" t="str">
        <v>&lt;undefined&gt;</v>
      </c>
      <c r="I2208" t="str">
        <v>RGFG95</v>
      </c>
      <c r="J2208" t="str">
        <v>French Guiana - onshore and offshore.</v>
      </c>
      <c r="K2208" s="11">
        <v>0</v>
      </c>
    </row>
    <row r="2209" spans="5:11" x14ac:dyDescent="0.35">
      <c r="E2209" s="9" t="str">
        <v>EPSG</v>
      </c>
      <c r="F2209" s="7" t="str">
        <v>4625</v>
      </c>
      <c r="G2209" t="str">
        <v>Geographic2DCrs</v>
      </c>
      <c r="H2209" t="str">
        <v>&lt;undefined&gt;</v>
      </c>
      <c r="I2209" t="str">
        <v>Martinique 1938</v>
      </c>
      <c r="J2209" t="str">
        <v>Martinique - onshore.</v>
      </c>
      <c r="K2209" s="11">
        <v>0</v>
      </c>
    </row>
    <row r="2210" spans="5:11" x14ac:dyDescent="0.35">
      <c r="E2210" s="9" t="str">
        <v>EPSG</v>
      </c>
      <c r="F2210" s="7" t="str">
        <v>4626</v>
      </c>
      <c r="G2210" t="str">
        <v>Geographic2DCrs</v>
      </c>
      <c r="H2210" t="str">
        <v>&lt;undefined&gt;</v>
      </c>
      <c r="I2210" t="str">
        <v>Reunion 1947</v>
      </c>
      <c r="J2210" t="str">
        <v>Reunion - onshore.</v>
      </c>
      <c r="K2210" s="11">
        <v>0</v>
      </c>
    </row>
    <row r="2211" spans="5:11" x14ac:dyDescent="0.35">
      <c r="E2211" s="9" t="str">
        <v>EPSG</v>
      </c>
      <c r="F2211" s="7" t="str">
        <v>4627</v>
      </c>
      <c r="G2211" t="str">
        <v>Geographic2DCrs</v>
      </c>
      <c r="H2211" t="str">
        <v>&lt;undefined&gt;</v>
      </c>
      <c r="I2211" t="str">
        <v>RGR92</v>
      </c>
      <c r="J2211" t="str">
        <v>Reunion - onshore and offshore.</v>
      </c>
      <c r="K2211" s="11">
        <v>0</v>
      </c>
    </row>
    <row r="2212" spans="5:11" x14ac:dyDescent="0.35">
      <c r="E2212" s="9" t="str">
        <v>EPSG</v>
      </c>
      <c r="F2212" s="7" t="str">
        <v>4628</v>
      </c>
      <c r="G2212" t="str">
        <v>Geographic2DCrs</v>
      </c>
      <c r="H2212" t="str">
        <v>&lt;undefined&gt;</v>
      </c>
      <c r="I2212" t="str">
        <v>Tahiti 52</v>
      </c>
      <c r="J2212" t="str">
        <v>French Polynesia - Society Islands - Moorea and Tahiti.</v>
      </c>
      <c r="K2212" s="11">
        <v>0</v>
      </c>
    </row>
    <row r="2213" spans="5:11" x14ac:dyDescent="0.35">
      <c r="E2213" s="9" t="str">
        <v>EPSG</v>
      </c>
      <c r="F2213" s="7" t="str">
        <v>4629</v>
      </c>
      <c r="G2213" t="str">
        <v>Geographic2DCrs</v>
      </c>
      <c r="H2213" t="str">
        <v>&lt;undefined&gt;</v>
      </c>
      <c r="I2213" t="str">
        <v>Tahaa 54</v>
      </c>
      <c r="J2213" t="str">
        <v>French Polynesia - Society Islands - Bora Bora, Huahine, Raiatea and Tahaa.</v>
      </c>
      <c r="K2213" s="11">
        <v>0</v>
      </c>
    </row>
    <row r="2214" spans="5:11" x14ac:dyDescent="0.35">
      <c r="E2214" s="9" t="str">
        <v>EPSG</v>
      </c>
      <c r="F2214" s="7" t="str">
        <v>4630</v>
      </c>
      <c r="G2214" t="str">
        <v>Geographic2DCrs</v>
      </c>
      <c r="H2214" t="str">
        <v>&lt;undefined&gt;</v>
      </c>
      <c r="I2214" t="str">
        <v>IGN72 Nuku Hiva</v>
      </c>
      <c r="J2214" t="str">
        <v>French Polynesia - Marquesas Islands - Nuku Hiva, Ua Huka and Ua Pou.</v>
      </c>
      <c r="K2214" s="11">
        <v>0</v>
      </c>
    </row>
    <row r="2215" spans="5:11" x14ac:dyDescent="0.35">
      <c r="E2215" s="9" t="str">
        <v>EPSG</v>
      </c>
      <c r="F2215" s="7" t="str">
        <v>4632</v>
      </c>
      <c r="G2215" t="str">
        <v>Geographic2DCrs</v>
      </c>
      <c r="H2215" t="str">
        <v>&lt;undefined&gt;</v>
      </c>
      <c r="I2215" t="str">
        <v>Combani 1950</v>
      </c>
      <c r="J2215" t="str">
        <v>Mayotte - onshore.</v>
      </c>
      <c r="K2215" s="11">
        <v>0</v>
      </c>
    </row>
    <row r="2216" spans="5:11" x14ac:dyDescent="0.35">
      <c r="E2216" s="9" t="str">
        <v>EPSG</v>
      </c>
      <c r="F2216" s="7" t="str">
        <v>4633</v>
      </c>
      <c r="G2216" t="str">
        <v>Geographic2DCrs</v>
      </c>
      <c r="H2216" t="str">
        <v>&lt;undefined&gt;</v>
      </c>
      <c r="I2216" t="str">
        <v>IGN56 Lifou</v>
      </c>
      <c r="J2216" t="str">
        <v>New Caledonia - Loyalty Islands - Lifou.</v>
      </c>
      <c r="K2216" s="11">
        <v>0</v>
      </c>
    </row>
    <row r="2217" spans="5:11" x14ac:dyDescent="0.35">
      <c r="E2217" s="9" t="str">
        <v>EPSG</v>
      </c>
      <c r="F2217" s="7" t="str">
        <v>4636</v>
      </c>
      <c r="G2217" t="str">
        <v>Geographic2DCrs</v>
      </c>
      <c r="H2217" t="str">
        <v>&lt;undefined&gt;</v>
      </c>
      <c r="I2217" t="str">
        <v>Petrels 1972</v>
      </c>
      <c r="J2217" t="str">
        <v>Antarctica - Adelie Land - Petrels island.</v>
      </c>
      <c r="K2217" s="11">
        <v>0</v>
      </c>
    </row>
    <row r="2218" spans="5:11" x14ac:dyDescent="0.35">
      <c r="E2218" s="9" t="str">
        <v>EPSG</v>
      </c>
      <c r="F2218" s="7" t="str">
        <v>4637</v>
      </c>
      <c r="G2218" t="str">
        <v>Geographic2DCrs</v>
      </c>
      <c r="H2218" t="str">
        <v>&lt;undefined&gt;</v>
      </c>
      <c r="I2218" t="str">
        <v>Perroud 1950</v>
      </c>
      <c r="J2218" t="str">
        <v>Antarctica - Adelie Land - coastal area between 136°E and 142°E.</v>
      </c>
      <c r="K2218" s="11">
        <v>0</v>
      </c>
    </row>
    <row r="2219" spans="5:11" x14ac:dyDescent="0.35">
      <c r="E2219" s="9" t="str">
        <v>EPSG</v>
      </c>
      <c r="F2219" s="7" t="str">
        <v>4638</v>
      </c>
      <c r="G2219" t="str">
        <v>Geographic2DCrs</v>
      </c>
      <c r="H2219" t="str">
        <v>&lt;undefined&gt;</v>
      </c>
      <c r="I2219" t="str">
        <v>Saint Pierre et Miquelon 1950</v>
      </c>
      <c r="J2219" t="str">
        <v>St Pierre and Miquelon - onshore.</v>
      </c>
      <c r="K2219" s="11">
        <v>0</v>
      </c>
    </row>
    <row r="2220" spans="5:11" x14ac:dyDescent="0.35">
      <c r="E2220" s="9" t="str">
        <v>EPSG</v>
      </c>
      <c r="F2220" s="7" t="str">
        <v>4639</v>
      </c>
      <c r="G2220" t="str">
        <v>Geographic2DCrs</v>
      </c>
      <c r="H2220" t="str">
        <v>&lt;undefined&gt;</v>
      </c>
      <c r="I2220" t="str">
        <v>MOP78</v>
      </c>
      <c r="J2220" t="str">
        <v>Wallis and Futuna - Wallis.</v>
      </c>
      <c r="K2220" s="11">
        <v>0</v>
      </c>
    </row>
    <row r="2221" spans="5:11" x14ac:dyDescent="0.35">
      <c r="E2221" s="9" t="str">
        <v>EPSG</v>
      </c>
      <c r="F2221" s="7" t="str">
        <v>4641</v>
      </c>
      <c r="G2221" t="str">
        <v>Geographic2DCrs</v>
      </c>
      <c r="H2221" t="str">
        <v>&lt;undefined&gt;</v>
      </c>
      <c r="I2221" t="str">
        <v>IGN53 Mare</v>
      </c>
      <c r="J2221" t="str">
        <v>New Caledonia - Loyalty Islands - Mare.</v>
      </c>
      <c r="K2221" s="11">
        <v>0</v>
      </c>
    </row>
    <row r="2222" spans="5:11" x14ac:dyDescent="0.35">
      <c r="E2222" s="9" t="str">
        <v>EPSG</v>
      </c>
      <c r="F2222" s="7" t="str">
        <v>4642</v>
      </c>
      <c r="G2222" t="str">
        <v>Geographic2DCrs</v>
      </c>
      <c r="H2222" t="str">
        <v>&lt;undefined&gt;</v>
      </c>
      <c r="I2222" t="str">
        <v>ST84 Ile des Pins</v>
      </c>
      <c r="J2222" t="str">
        <v>New Caledonia - Ile des Pins.</v>
      </c>
      <c r="K2222" s="11">
        <v>0</v>
      </c>
    </row>
    <row r="2223" spans="5:11" x14ac:dyDescent="0.35">
      <c r="E2223" s="9" t="str">
        <v>EPSG</v>
      </c>
      <c r="F2223" s="7" t="str">
        <v>4643</v>
      </c>
      <c r="G2223" t="str">
        <v>Geographic2DCrs</v>
      </c>
      <c r="H2223" t="str">
        <v>&lt;undefined&gt;</v>
      </c>
      <c r="I2223" t="str">
        <v>ST71 Belep</v>
      </c>
      <c r="J2223" t="str">
        <v>New Caledonia - Belep.</v>
      </c>
      <c r="K2223" s="11">
        <v>0</v>
      </c>
    </row>
    <row r="2224" spans="5:11" x14ac:dyDescent="0.35">
      <c r="E2224" s="9" t="str">
        <v>EPSG</v>
      </c>
      <c r="F2224" s="7" t="str">
        <v>4644</v>
      </c>
      <c r="G2224" t="str">
        <v>Geographic2DCrs</v>
      </c>
      <c r="H2224" t="str">
        <v>&lt;undefined&gt;</v>
      </c>
      <c r="I2224" t="str">
        <v>NEA74 Noumea</v>
      </c>
      <c r="J2224" t="str">
        <v>New Caledonia - Grande Terre - Noumea district.</v>
      </c>
      <c r="K2224" s="11">
        <v>0</v>
      </c>
    </row>
    <row r="2225" spans="5:11" x14ac:dyDescent="0.35">
      <c r="E2225" s="9" t="str">
        <v>EPSG</v>
      </c>
      <c r="F2225" s="7" t="str">
        <v>4646</v>
      </c>
      <c r="G2225" t="str">
        <v>Geographic2DCrs</v>
      </c>
      <c r="H2225" t="str">
        <v>&lt;undefined&gt;</v>
      </c>
      <c r="I2225" t="str">
        <v>Grand Comoros</v>
      </c>
      <c r="J2225" t="str">
        <v>Comoros - Njazidja (Grande Comore).</v>
      </c>
      <c r="K2225" s="11">
        <v>0</v>
      </c>
    </row>
    <row r="2226" spans="5:11" x14ac:dyDescent="0.35">
      <c r="E2226" s="9" t="str">
        <v>EPSG</v>
      </c>
      <c r="F2226" s="7" t="str">
        <v>4647</v>
      </c>
      <c r="G2226" t="str">
        <v>ProjectedCrs</v>
      </c>
      <c r="H2226" t="str">
        <v>Transverse Mercator</v>
      </c>
      <c r="I2226" t="str">
        <v>ETRS89 / UTM zone 32N (zE-N)</v>
      </c>
      <c r="J2226" t="str">
        <v>Germany - onshore and offshore between 6°E and 12°E - Baden-Wurtemberg, Bayern, Bremen, Hamburg, Hessen, Mecklenburg-Vorpommern, Niedersachsen, Nordrhein-Westfalen, Rheinland-Pfalz, Saarland, Sachsen, Sachsen-Anhalt, Schleswig-Holstein, Thuringen.</v>
      </c>
      <c r="K2226" s="11">
        <v>0</v>
      </c>
    </row>
    <row r="2227" spans="5:11" x14ac:dyDescent="0.35">
      <c r="E2227" s="9" t="str">
        <v>EPSG</v>
      </c>
      <c r="F2227" s="7" t="str">
        <v>4652</v>
      </c>
      <c r="G2227" t="str">
        <v>ProjectedCrs</v>
      </c>
      <c r="H2227" t="str">
        <v>Transverse Mercator</v>
      </c>
      <c r="I2227" t="str">
        <v>New Beijing / 3-degree Gauss-Kruger zone 25</v>
      </c>
      <c r="J2227" t="str">
        <v>China - west of 76°30'E.</v>
      </c>
      <c r="K2227" s="11">
        <v>0</v>
      </c>
    </row>
    <row r="2228" spans="5:11" x14ac:dyDescent="0.35">
      <c r="E2228" s="9" t="str">
        <v>EPSG</v>
      </c>
      <c r="F2228" s="7" t="str">
        <v>4653</v>
      </c>
      <c r="G2228" t="str">
        <v>ProjectedCrs</v>
      </c>
      <c r="H2228" t="str">
        <v>Transverse Mercator</v>
      </c>
      <c r="I2228" t="str">
        <v>New Beijing / 3-degree Gauss-Kruger zone 26</v>
      </c>
      <c r="J2228" t="str">
        <v>China - between 76°30'E and 79°30'E.</v>
      </c>
      <c r="K2228" s="11">
        <v>0</v>
      </c>
    </row>
    <row r="2229" spans="5:11" x14ac:dyDescent="0.35">
      <c r="E2229" s="9" t="str">
        <v>EPSG</v>
      </c>
      <c r="F2229" s="7" t="str">
        <v>4654</v>
      </c>
      <c r="G2229" t="str">
        <v>ProjectedCrs</v>
      </c>
      <c r="H2229" t="str">
        <v>Transverse Mercator</v>
      </c>
      <c r="I2229" t="str">
        <v>New Beijing / 3-degree Gauss-Kruger zone 27</v>
      </c>
      <c r="J2229" t="str">
        <v>China - between 79°30'E and 82°30'E.</v>
      </c>
      <c r="K2229" s="11">
        <v>0</v>
      </c>
    </row>
    <row r="2230" spans="5:11" x14ac:dyDescent="0.35">
      <c r="E2230" s="9" t="str">
        <v>EPSG</v>
      </c>
      <c r="F2230" s="7" t="str">
        <v>4655</v>
      </c>
      <c r="G2230" t="str">
        <v>ProjectedCrs</v>
      </c>
      <c r="H2230" t="str">
        <v>Transverse Mercator</v>
      </c>
      <c r="I2230" t="str">
        <v>New Beijing / 3-degree Gauss-Kruger zone 28</v>
      </c>
      <c r="J2230" t="str">
        <v>China - between 82°30'E and 85°30'E.</v>
      </c>
      <c r="K2230" s="11">
        <v>0</v>
      </c>
    </row>
    <row r="2231" spans="5:11" x14ac:dyDescent="0.35">
      <c r="E2231" s="9" t="str">
        <v>EPSG</v>
      </c>
      <c r="F2231" s="7" t="str">
        <v>4656</v>
      </c>
      <c r="G2231" t="str">
        <v>ProjectedCrs</v>
      </c>
      <c r="H2231" t="str">
        <v>Transverse Mercator</v>
      </c>
      <c r="I2231" t="str">
        <v>New Beijing / 3-degree Gauss-Kruger zone 29</v>
      </c>
      <c r="J2231" t="str">
        <v>China - between 85°30'E and 88°30'E.</v>
      </c>
      <c r="K2231" s="11">
        <v>0</v>
      </c>
    </row>
    <row r="2232" spans="5:11" x14ac:dyDescent="0.35">
      <c r="E2232" s="9" t="str">
        <v>EPSG</v>
      </c>
      <c r="F2232" s="7" t="str">
        <v>4657</v>
      </c>
      <c r="G2232" t="str">
        <v>Geographic2DCrs</v>
      </c>
      <c r="H2232" t="str">
        <v>&lt;undefined&gt;</v>
      </c>
      <c r="I2232" t="str">
        <v>Reykjavik 1900</v>
      </c>
      <c r="J2232" t="str">
        <v>Iceland - mainland.</v>
      </c>
      <c r="K2232" s="11">
        <v>0</v>
      </c>
    </row>
    <row r="2233" spans="5:11" x14ac:dyDescent="0.35">
      <c r="E2233" s="9" t="str">
        <v>EPSG</v>
      </c>
      <c r="F2233" s="7" t="str">
        <v>4658</v>
      </c>
      <c r="G2233" t="str">
        <v>Geographic2DCrs</v>
      </c>
      <c r="H2233" t="str">
        <v>&lt;undefined&gt;</v>
      </c>
      <c r="I2233" t="str">
        <v>Hjorsey 1955</v>
      </c>
      <c r="J2233" t="str">
        <v>Iceland - mainland.</v>
      </c>
      <c r="K2233" s="11">
        <v>0</v>
      </c>
    </row>
    <row r="2234" spans="5:11" x14ac:dyDescent="0.35">
      <c r="E2234" s="9" t="str">
        <v>EPSG</v>
      </c>
      <c r="F2234" s="7" t="str">
        <v>4659</v>
      </c>
      <c r="G2234" t="str">
        <v>Geographic2DCrs</v>
      </c>
      <c r="H2234" t="str">
        <v>&lt;undefined&gt;</v>
      </c>
      <c r="I2234" t="str">
        <v>ISN93</v>
      </c>
      <c r="J2234" t="str">
        <v>Iceland - onshore and offshore.</v>
      </c>
      <c r="K2234" s="11">
        <v>0</v>
      </c>
    </row>
    <row r="2235" spans="5:11" x14ac:dyDescent="0.35">
      <c r="E2235" s="9" t="str">
        <v>EPSG</v>
      </c>
      <c r="F2235" s="7" t="str">
        <v>4660</v>
      </c>
      <c r="G2235" t="str">
        <v>Geographic2DCrs</v>
      </c>
      <c r="H2235" t="str">
        <v>&lt;undefined&gt;</v>
      </c>
      <c r="I2235" t="str">
        <v>Helle 1954</v>
      </c>
      <c r="J2235" t="str">
        <v>Jan Mayen - onshore.</v>
      </c>
      <c r="K2235" s="11">
        <v>0</v>
      </c>
    </row>
    <row r="2236" spans="5:11" x14ac:dyDescent="0.35">
      <c r="E2236" s="9" t="str">
        <v>EPSG</v>
      </c>
      <c r="F2236" s="7" t="str">
        <v>4661</v>
      </c>
      <c r="G2236" t="str">
        <v>Geographic2DCrs</v>
      </c>
      <c r="H2236" t="str">
        <v>&lt;undefined&gt;</v>
      </c>
      <c r="I2236" t="str">
        <v>LKS-92</v>
      </c>
      <c r="J2236" t="str">
        <v>Latvia - onshore and offshore.</v>
      </c>
      <c r="K2236" s="11">
        <v>0</v>
      </c>
    </row>
    <row r="2237" spans="5:11" x14ac:dyDescent="0.35">
      <c r="E2237" s="9" t="str">
        <v>EPSG</v>
      </c>
      <c r="F2237" s="7" t="str">
        <v>4662</v>
      </c>
      <c r="G2237" t="str">
        <v>Geographic2DCrs</v>
      </c>
      <c r="H2237" t="str">
        <v>&lt;undefined&gt;</v>
      </c>
      <c r="I2237" t="str">
        <v>IGN72 Grande Terre</v>
      </c>
      <c r="J2237" t="str">
        <v>New Caledonia - Grande Terre.</v>
      </c>
      <c r="K2237" s="11">
        <v>0</v>
      </c>
    </row>
    <row r="2238" spans="5:11" x14ac:dyDescent="0.35">
      <c r="E2238" s="9" t="str">
        <v>EPSG</v>
      </c>
      <c r="F2238" s="7" t="str">
        <v>4663</v>
      </c>
      <c r="G2238" t="str">
        <v>Geographic2DCrs</v>
      </c>
      <c r="H2238" t="str">
        <v>&lt;undefined&gt;</v>
      </c>
      <c r="I2238" t="str">
        <v>Porto Santo 1995</v>
      </c>
      <c r="J2238" t="str">
        <v>Portugal - Madeira, Porto Santo and Desertas islands - onshore.</v>
      </c>
      <c r="K2238" s="11">
        <v>0</v>
      </c>
    </row>
    <row r="2239" spans="5:11" x14ac:dyDescent="0.35">
      <c r="E2239" s="9" t="str">
        <v>EPSG</v>
      </c>
      <c r="F2239" s="7" t="str">
        <v>4664</v>
      </c>
      <c r="G2239" t="str">
        <v>Geographic2DCrs</v>
      </c>
      <c r="H2239" t="str">
        <v>&lt;undefined&gt;</v>
      </c>
      <c r="I2239" t="str">
        <v>Azores Oriental 1995</v>
      </c>
      <c r="J2239" t="str">
        <v>Portugal - eastern Azores onshore - Sao Miguel, Santa Maria, Formigas.</v>
      </c>
      <c r="K2239" s="11">
        <v>0</v>
      </c>
    </row>
    <row r="2240" spans="5:11" x14ac:dyDescent="0.35">
      <c r="E2240" s="9" t="str">
        <v>EPSG</v>
      </c>
      <c r="F2240" s="7" t="str">
        <v>4665</v>
      </c>
      <c r="G2240" t="str">
        <v>Geographic2DCrs</v>
      </c>
      <c r="H2240" t="str">
        <v>&lt;undefined&gt;</v>
      </c>
      <c r="I2240" t="str">
        <v>Azores Central 1995</v>
      </c>
      <c r="J2240" t="str">
        <v>Portugal - central Azores onshore - Faial, Graciosa, Pico, Sao Jorge, Terceira.</v>
      </c>
      <c r="K2240" s="11">
        <v>0</v>
      </c>
    </row>
    <row r="2241" spans="5:11" x14ac:dyDescent="0.35">
      <c r="E2241" s="9" t="str">
        <v>EPSG</v>
      </c>
      <c r="F2241" s="7" t="str">
        <v>4666</v>
      </c>
      <c r="G2241" t="str">
        <v>Geographic2DCrs</v>
      </c>
      <c r="H2241" t="str">
        <v>&lt;undefined&gt;</v>
      </c>
      <c r="I2241" t="str">
        <v>Lisbon 1890</v>
      </c>
      <c r="J2241" t="str">
        <v>Portugal - mainland - onshore.</v>
      </c>
      <c r="K2241" s="11">
        <v>0</v>
      </c>
    </row>
    <row r="2242" spans="5:11" x14ac:dyDescent="0.35">
      <c r="E2242" s="9" t="str">
        <v>EPSG</v>
      </c>
      <c r="F2242" s="7" t="str">
        <v>4667</v>
      </c>
      <c r="G2242" t="str">
        <v>Geographic2DCrs</v>
      </c>
      <c r="H2242" t="str">
        <v>&lt;undefined&gt;</v>
      </c>
      <c r="I2242" t="str">
        <v>IKBD-92</v>
      </c>
      <c r="J2242" t="str">
        <v>Iraq - Kuwait boundary.</v>
      </c>
      <c r="K2242" s="11">
        <v>0</v>
      </c>
    </row>
    <row r="2243" spans="5:11" x14ac:dyDescent="0.35">
      <c r="E2243" s="9" t="str">
        <v>EPSG</v>
      </c>
      <c r="F2243" s="7" t="str">
        <v>4668</v>
      </c>
      <c r="G2243" t="str">
        <v>Geographic2DCrs</v>
      </c>
      <c r="H2243" t="str">
        <v>&lt;undefined&gt;</v>
      </c>
      <c r="I2243" t="str">
        <v>ED79</v>
      </c>
      <c r="J2243" t="str">
        <v>Europe - west.</v>
      </c>
      <c r="K2243" s="11">
        <v>0</v>
      </c>
    </row>
    <row r="2244" spans="5:11" x14ac:dyDescent="0.35">
      <c r="E2244" s="9" t="str">
        <v>EPSG</v>
      </c>
      <c r="F2244" s="7" t="str">
        <v>4669</v>
      </c>
      <c r="G2244" t="str">
        <v>Geographic2DCrs</v>
      </c>
      <c r="H2244" t="str">
        <v>&lt;undefined&gt;</v>
      </c>
      <c r="I2244" t="str">
        <v>LKS94</v>
      </c>
      <c r="J2244" t="str">
        <v>Lithuania - onshore and offshore.</v>
      </c>
      <c r="K2244" s="11">
        <v>0</v>
      </c>
    </row>
    <row r="2245" spans="5:11" x14ac:dyDescent="0.35">
      <c r="E2245" s="9" t="str">
        <v>EPSG</v>
      </c>
      <c r="F2245" s="7" t="str">
        <v>4670</v>
      </c>
      <c r="G2245" t="str">
        <v>Geographic2DCrs</v>
      </c>
      <c r="H2245" t="str">
        <v>&lt;undefined&gt;</v>
      </c>
      <c r="I2245" t="str">
        <v>IGM95</v>
      </c>
      <c r="J2245" t="str">
        <v>Italy - onshore and offshore; San Marino, Vatican City State.</v>
      </c>
      <c r="K2245" s="11">
        <v>0</v>
      </c>
    </row>
    <row r="2246" spans="5:11" x14ac:dyDescent="0.35">
      <c r="E2246" s="9" t="str">
        <v>EPSG</v>
      </c>
      <c r="F2246" s="7" t="str">
        <v>4671</v>
      </c>
      <c r="G2246" t="str">
        <v>Geographic2DCrs</v>
      </c>
      <c r="H2246" t="str">
        <v>&lt;undefined&gt;</v>
      </c>
      <c r="I2246" t="str">
        <v>Voirol 1879</v>
      </c>
      <c r="J2246" t="str">
        <v>Algeria - onshore north of 32°N.</v>
      </c>
      <c r="K2246" s="11">
        <v>0</v>
      </c>
    </row>
    <row r="2247" spans="5:11" x14ac:dyDescent="0.35">
      <c r="E2247" s="9" t="str">
        <v>EPSG</v>
      </c>
      <c r="F2247" s="7" t="str">
        <v>4672</v>
      </c>
      <c r="G2247" t="str">
        <v>Geographic2DCrs</v>
      </c>
      <c r="H2247" t="str">
        <v>&lt;undefined&gt;</v>
      </c>
      <c r="I2247" t="str">
        <v>Chatham Islands 1971</v>
      </c>
      <c r="J2247" t="str">
        <v>New Zealand - Chatham Islands group - onshore.</v>
      </c>
      <c r="K2247" s="11">
        <v>0</v>
      </c>
    </row>
    <row r="2248" spans="5:11" x14ac:dyDescent="0.35">
      <c r="E2248" s="9" t="str">
        <v>EPSG</v>
      </c>
      <c r="F2248" s="7" t="str">
        <v>4673</v>
      </c>
      <c r="G2248" t="str">
        <v>Geographic2DCrs</v>
      </c>
      <c r="H2248" t="str">
        <v>&lt;undefined&gt;</v>
      </c>
      <c r="I2248" t="str">
        <v>Chatham Islands 1979</v>
      </c>
      <c r="J2248" t="str">
        <v>New Zealand - Chatham Islands group - onshore.</v>
      </c>
      <c r="K2248" s="11">
        <v>0</v>
      </c>
    </row>
    <row r="2249" spans="5:11" x14ac:dyDescent="0.35">
      <c r="E2249" s="9" t="str">
        <v>EPSG</v>
      </c>
      <c r="F2249" s="7" t="str">
        <v>4674</v>
      </c>
      <c r="G2249" t="str">
        <v>Geographic2DCrs</v>
      </c>
      <c r="H2249" t="str">
        <v>&lt;undefined&gt;</v>
      </c>
      <c r="I2249" t="str">
        <v>SIRGAS 2000</v>
      </c>
      <c r="J2249" t="str">
        <v>Latin America - Central America and South America - onshore and offshore. Brazil - onshore and offshore.</v>
      </c>
      <c r="K2249" s="11">
        <v>0</v>
      </c>
    </row>
    <row r="2250" spans="5:11" x14ac:dyDescent="0.35">
      <c r="E2250" s="9" t="str">
        <v>EPSG</v>
      </c>
      <c r="F2250" s="7" t="str">
        <v>4675</v>
      </c>
      <c r="G2250" t="str">
        <v>Geographic2DCrs</v>
      </c>
      <c r="H2250" t="str">
        <v>&lt;undefined&gt;</v>
      </c>
      <c r="I2250" t="str">
        <v>Guam 1963</v>
      </c>
      <c r="J2250" t="str">
        <v>Guam - onshore. Northern Mariana Islands - onshore.</v>
      </c>
      <c r="K2250" s="11">
        <v>0</v>
      </c>
    </row>
    <row r="2251" spans="5:11" x14ac:dyDescent="0.35">
      <c r="E2251" s="9" t="str">
        <v>EPSG</v>
      </c>
      <c r="F2251" s="7" t="str">
        <v>4676</v>
      </c>
      <c r="G2251" t="str">
        <v>Geographic2DCrs</v>
      </c>
      <c r="H2251" t="str">
        <v>&lt;undefined&gt;</v>
      </c>
      <c r="I2251" t="str">
        <v>Vientiane 1982</v>
      </c>
      <c r="J2251" t="str">
        <v>Laos.</v>
      </c>
      <c r="K2251" s="11">
        <v>0</v>
      </c>
    </row>
    <row r="2252" spans="5:11" x14ac:dyDescent="0.35">
      <c r="E2252" s="9" t="str">
        <v>EPSG</v>
      </c>
      <c r="F2252" s="7" t="str">
        <v>4677</v>
      </c>
      <c r="G2252" t="str">
        <v>Geographic2DCrs</v>
      </c>
      <c r="H2252" t="str">
        <v>&lt;undefined&gt;</v>
      </c>
      <c r="I2252" t="str">
        <v>Lao 1993</v>
      </c>
      <c r="J2252" t="str">
        <v>Laos.</v>
      </c>
      <c r="K2252" s="11">
        <v>0</v>
      </c>
    </row>
    <row r="2253" spans="5:11" x14ac:dyDescent="0.35">
      <c r="E2253" s="9" t="str">
        <v>EPSG</v>
      </c>
      <c r="F2253" s="7" t="str">
        <v>4678</v>
      </c>
      <c r="G2253" t="str">
        <v>Geographic2DCrs</v>
      </c>
      <c r="H2253" t="str">
        <v>&lt;undefined&gt;</v>
      </c>
      <c r="I2253" t="str">
        <v>Lao 1997</v>
      </c>
      <c r="J2253" t="str">
        <v>Laos.</v>
      </c>
      <c r="K2253" s="11">
        <v>0</v>
      </c>
    </row>
    <row r="2254" spans="5:11" x14ac:dyDescent="0.35">
      <c r="E2254" s="9" t="str">
        <v>EPSG</v>
      </c>
      <c r="F2254" s="7" t="str">
        <v>4679</v>
      </c>
      <c r="G2254" t="str">
        <v>Geographic2DCrs</v>
      </c>
      <c r="H2254" t="str">
        <v>&lt;undefined&gt;</v>
      </c>
      <c r="I2254" t="str">
        <v>Jouik 1961</v>
      </c>
      <c r="J2254" t="str">
        <v>Mauritania - coastal area north of Cape Timiris.</v>
      </c>
      <c r="K2254" s="11">
        <v>0</v>
      </c>
    </row>
    <row r="2255" spans="5:11" x14ac:dyDescent="0.35">
      <c r="E2255" s="9" t="str">
        <v>EPSG</v>
      </c>
      <c r="F2255" s="7" t="str">
        <v>4680</v>
      </c>
      <c r="G2255" t="str">
        <v>Geographic2DCrs</v>
      </c>
      <c r="H2255" t="str">
        <v>&lt;undefined&gt;</v>
      </c>
      <c r="I2255" t="str">
        <v>Nouakchott 1965</v>
      </c>
      <c r="J2255" t="str">
        <v>Mauritania - coastal area south of Cape Timiris.</v>
      </c>
      <c r="K2255" s="11">
        <v>0</v>
      </c>
    </row>
    <row r="2256" spans="5:11" x14ac:dyDescent="0.35">
      <c r="E2256" s="9" t="str">
        <v>EPSG</v>
      </c>
      <c r="F2256" s="7" t="str">
        <v>4682</v>
      </c>
      <c r="G2256" t="str">
        <v>Geographic2DCrs</v>
      </c>
      <c r="H2256" t="str">
        <v>&lt;undefined&gt;</v>
      </c>
      <c r="I2256" t="str">
        <v>Gulshan 303</v>
      </c>
      <c r="J2256" t="str">
        <v>Bangladesh - onshore and offshore.</v>
      </c>
      <c r="K2256" s="11">
        <v>0</v>
      </c>
    </row>
    <row r="2257" spans="5:11" x14ac:dyDescent="0.35">
      <c r="E2257" s="9" t="str">
        <v>EPSG</v>
      </c>
      <c r="F2257" s="7" t="str">
        <v>4683</v>
      </c>
      <c r="G2257" t="str">
        <v>Geographic2DCrs</v>
      </c>
      <c r="H2257" t="str">
        <v>&lt;undefined&gt;</v>
      </c>
      <c r="I2257" t="str">
        <v>PRS92</v>
      </c>
      <c r="J2257" t="str">
        <v>Philippines - onshore and offshore.</v>
      </c>
      <c r="K2257" s="11">
        <v>0</v>
      </c>
    </row>
    <row r="2258" spans="5:11" x14ac:dyDescent="0.35">
      <c r="E2258" s="9" t="str">
        <v>EPSG</v>
      </c>
      <c r="F2258" s="7" t="str">
        <v>4684</v>
      </c>
      <c r="G2258" t="str">
        <v>Geographic2DCrs</v>
      </c>
      <c r="H2258" t="str">
        <v>&lt;undefined&gt;</v>
      </c>
      <c r="I2258" t="str">
        <v>Gan 1970</v>
      </c>
      <c r="J2258" t="str">
        <v>Maldives - onshore.</v>
      </c>
      <c r="K2258" s="11">
        <v>0</v>
      </c>
    </row>
    <row r="2259" spans="5:11" x14ac:dyDescent="0.35">
      <c r="E2259" s="9" t="str">
        <v>EPSG</v>
      </c>
      <c r="F2259" s="7" t="str">
        <v>4686</v>
      </c>
      <c r="G2259" t="str">
        <v>Geographic2DCrs</v>
      </c>
      <c r="H2259" t="str">
        <v>&lt;undefined&gt;</v>
      </c>
      <c r="I2259" t="str">
        <v>MAGNA-SIRGAS</v>
      </c>
      <c r="J2259" t="str">
        <v>Colombia - onshore and offshore. Includes San Andres y Providencia, Malpelo Islands, Roncador Bank, Serrana Bank and Serranilla Bank.</v>
      </c>
      <c r="K2259" s="11">
        <v>0</v>
      </c>
    </row>
    <row r="2260" spans="5:11" x14ac:dyDescent="0.35">
      <c r="E2260" s="9" t="str">
        <v>EPSG</v>
      </c>
      <c r="F2260" s="7" t="str">
        <v>4687</v>
      </c>
      <c r="G2260" t="str">
        <v>Geographic2DCrs</v>
      </c>
      <c r="H2260" t="str">
        <v>&lt;undefined&gt;</v>
      </c>
      <c r="I2260" t="str">
        <v>RGPF</v>
      </c>
      <c r="J2260" t="str">
        <v>French Polynesia - onshore and offshore. Includes Society archipelago, Tuamotu archipelago, Marquesas Islands, Gambier Islands and Austral Islands.</v>
      </c>
      <c r="K2260" s="11">
        <v>0</v>
      </c>
    </row>
    <row r="2261" spans="5:11" x14ac:dyDescent="0.35">
      <c r="E2261" s="9" t="str">
        <v>EPSG</v>
      </c>
      <c r="F2261" s="7" t="str">
        <v>4688</v>
      </c>
      <c r="G2261" t="str">
        <v>Geographic2DCrs</v>
      </c>
      <c r="H2261" t="str">
        <v>&lt;undefined&gt;</v>
      </c>
      <c r="I2261" t="str">
        <v>Fatu Iva 72</v>
      </c>
      <c r="J2261" t="str">
        <v>French Polynesia - Marquesas Islands - Fatu Hiva.</v>
      </c>
      <c r="K2261" s="11">
        <v>0</v>
      </c>
    </row>
    <row r="2262" spans="5:11" x14ac:dyDescent="0.35">
      <c r="E2262" s="9" t="str">
        <v>EPSG</v>
      </c>
      <c r="F2262" s="7" t="str">
        <v>4689</v>
      </c>
      <c r="G2262" t="str">
        <v>Geographic2DCrs</v>
      </c>
      <c r="H2262" t="str">
        <v>&lt;undefined&gt;</v>
      </c>
      <c r="I2262" t="str">
        <v>IGN63 Hiva Oa</v>
      </c>
      <c r="J2262" t="str">
        <v>French Polynesia - Marquesas Islands - Hiva Oa and Tahuata.</v>
      </c>
      <c r="K2262" s="11">
        <v>0</v>
      </c>
    </row>
    <row r="2263" spans="5:11" x14ac:dyDescent="0.35">
      <c r="E2263" s="9" t="str">
        <v>EPSG</v>
      </c>
      <c r="F2263" s="7" t="str">
        <v>4690</v>
      </c>
      <c r="G2263" t="str">
        <v>Geographic2DCrs</v>
      </c>
      <c r="H2263" t="str">
        <v>&lt;undefined&gt;</v>
      </c>
      <c r="I2263" t="str">
        <v>Tahiti 79</v>
      </c>
      <c r="J2263" t="str">
        <v>French Polynesia - Society Islands - Tahiti.</v>
      </c>
      <c r="K2263" s="11">
        <v>0</v>
      </c>
    </row>
    <row r="2264" spans="5:11" x14ac:dyDescent="0.35">
      <c r="E2264" s="9" t="str">
        <v>EPSG</v>
      </c>
      <c r="F2264" s="7" t="str">
        <v>4691</v>
      </c>
      <c r="G2264" t="str">
        <v>Geographic2DCrs</v>
      </c>
      <c r="H2264" t="str">
        <v>&lt;undefined&gt;</v>
      </c>
      <c r="I2264" t="str">
        <v>Moorea 87</v>
      </c>
      <c r="J2264" t="str">
        <v>French Polynesia - Society Islands - Moorea.</v>
      </c>
      <c r="K2264" s="11">
        <v>0</v>
      </c>
    </row>
    <row r="2265" spans="5:11" x14ac:dyDescent="0.35">
      <c r="E2265" s="9" t="str">
        <v>EPSG</v>
      </c>
      <c r="F2265" s="7" t="str">
        <v>4692</v>
      </c>
      <c r="G2265" t="str">
        <v>Geographic2DCrs</v>
      </c>
      <c r="H2265" t="str">
        <v>&lt;undefined&gt;</v>
      </c>
      <c r="I2265" t="str">
        <v>Maupiti 83</v>
      </c>
      <c r="J2265" t="str">
        <v>French Polynesia - Society Islands - Maupiti.</v>
      </c>
      <c r="K2265" s="11">
        <v>0</v>
      </c>
    </row>
    <row r="2266" spans="5:11" x14ac:dyDescent="0.35">
      <c r="E2266" s="9" t="str">
        <v>EPSG</v>
      </c>
      <c r="F2266" s="7" t="str">
        <v>4693</v>
      </c>
      <c r="G2266" t="str">
        <v>Geographic2DCrs</v>
      </c>
      <c r="H2266" t="str">
        <v>&lt;undefined&gt;</v>
      </c>
      <c r="I2266" t="str">
        <v>Nakhl-e Ghanem</v>
      </c>
      <c r="J2266" t="str">
        <v>Iran - Kangan district.</v>
      </c>
      <c r="K2266" s="11">
        <v>0</v>
      </c>
    </row>
    <row r="2267" spans="5:11" x14ac:dyDescent="0.35">
      <c r="E2267" s="9" t="str">
        <v>EPSG</v>
      </c>
      <c r="F2267" s="7" t="str">
        <v>4694</v>
      </c>
      <c r="G2267" t="str">
        <v>Geographic2DCrs</v>
      </c>
      <c r="H2267" t="str">
        <v>&lt;undefined&gt;</v>
      </c>
      <c r="I2267" t="str">
        <v>POSGAR 94</v>
      </c>
      <c r="J2267" t="str">
        <v>Argentina - onshore and offshore.</v>
      </c>
      <c r="K2267" s="11">
        <v>0</v>
      </c>
    </row>
    <row r="2268" spans="5:11" x14ac:dyDescent="0.35">
      <c r="E2268" s="9" t="str">
        <v>EPSG</v>
      </c>
      <c r="F2268" s="7" t="str">
        <v>4695</v>
      </c>
      <c r="G2268" t="str">
        <v>Geographic2DCrs</v>
      </c>
      <c r="H2268" t="str">
        <v>&lt;undefined&gt;</v>
      </c>
      <c r="I2268" t="str">
        <v>Katanga 1955</v>
      </c>
      <c r="J2268" t="str">
        <v>The Democratic Republic of the Congo (Zaire) - Katanga.</v>
      </c>
      <c r="K2268" s="11">
        <v>0</v>
      </c>
    </row>
    <row r="2269" spans="5:11" x14ac:dyDescent="0.35">
      <c r="E2269" s="9" t="str">
        <v>EPSG</v>
      </c>
      <c r="F2269" s="7" t="str">
        <v>4696</v>
      </c>
      <c r="G2269" t="str">
        <v>Geographic2DCrs</v>
      </c>
      <c r="H2269" t="str">
        <v>&lt;undefined&gt;</v>
      </c>
      <c r="I2269" t="str">
        <v>Kasai 1953</v>
      </c>
      <c r="J2269" t="str">
        <v>The Democratic Republic of the Congo (Zaire) - Kasai - south of 5°S and east of 21°30'E.</v>
      </c>
      <c r="K2269" s="11">
        <v>0</v>
      </c>
    </row>
    <row r="2270" spans="5:11" x14ac:dyDescent="0.35">
      <c r="E2270" s="9" t="str">
        <v>EPSG</v>
      </c>
      <c r="F2270" s="7" t="str">
        <v>4697</v>
      </c>
      <c r="G2270" t="str">
        <v>Geographic2DCrs</v>
      </c>
      <c r="H2270" t="str">
        <v>&lt;undefined&gt;</v>
      </c>
      <c r="I2270" t="str">
        <v>IGC 1962 6th Parallel South</v>
      </c>
      <c r="J2270" t="str">
        <v>The Democratic Republic of the Congo (Zaire) - adjacent to 6th parallel south traverse.</v>
      </c>
      <c r="K2270" s="11">
        <v>0</v>
      </c>
    </row>
    <row r="2271" spans="5:11" x14ac:dyDescent="0.35">
      <c r="E2271" s="9" t="str">
        <v>EPSG</v>
      </c>
      <c r="F2271" s="7" t="str">
        <v>4698</v>
      </c>
      <c r="G2271" t="str">
        <v>Geographic2DCrs</v>
      </c>
      <c r="H2271" t="str">
        <v>&lt;undefined&gt;</v>
      </c>
      <c r="I2271" t="str">
        <v>IGN 1962 Kerguelen</v>
      </c>
      <c r="J2271" t="str">
        <v>French Southern Territories - Kerguelen onshore.</v>
      </c>
      <c r="K2271" s="11">
        <v>0</v>
      </c>
    </row>
    <row r="2272" spans="5:11" x14ac:dyDescent="0.35">
      <c r="E2272" s="9" t="str">
        <v>EPSG</v>
      </c>
      <c r="F2272" s="7" t="str">
        <v>4699</v>
      </c>
      <c r="G2272" t="str">
        <v>Geographic2DCrs</v>
      </c>
      <c r="H2272" t="str">
        <v>&lt;undefined&gt;</v>
      </c>
      <c r="I2272" t="str">
        <v>Le Pouce 1934</v>
      </c>
      <c r="J2272" t="str">
        <v>Mauritius - mainland onshore.</v>
      </c>
      <c r="K2272" s="11">
        <v>0</v>
      </c>
    </row>
    <row r="2273" spans="5:11" x14ac:dyDescent="0.35">
      <c r="E2273" s="9" t="str">
        <v>EPSG</v>
      </c>
      <c r="F2273" s="7" t="str">
        <v>4700</v>
      </c>
      <c r="G2273" t="str">
        <v>Geographic2DCrs</v>
      </c>
      <c r="H2273" t="str">
        <v>&lt;undefined&gt;</v>
      </c>
      <c r="I2273" t="str">
        <v>IGN Astro 1960</v>
      </c>
      <c r="J2273" t="str">
        <v>Mauritania - onshore.</v>
      </c>
      <c r="K2273" s="11">
        <v>0</v>
      </c>
    </row>
    <row r="2274" spans="5:11" x14ac:dyDescent="0.35">
      <c r="E2274" s="9" t="str">
        <v>EPSG</v>
      </c>
      <c r="F2274" s="7" t="str">
        <v>4701</v>
      </c>
      <c r="G2274" t="str">
        <v>Geographic2DCrs</v>
      </c>
      <c r="H2274" t="str">
        <v>&lt;undefined&gt;</v>
      </c>
      <c r="I2274" t="str">
        <v>IGCB 1955</v>
      </c>
      <c r="J2274" t="str">
        <v>The Democratic Republic of the Congo (Zaire) - Lower Congo (Bas Congo)</v>
      </c>
      <c r="K2274" s="11">
        <v>0</v>
      </c>
    </row>
    <row r="2275" spans="5:11" x14ac:dyDescent="0.35">
      <c r="E2275" s="9" t="str">
        <v>EPSG</v>
      </c>
      <c r="F2275" s="7" t="str">
        <v>4702</v>
      </c>
      <c r="G2275" t="str">
        <v>Geographic2DCrs</v>
      </c>
      <c r="H2275" t="str">
        <v>&lt;undefined&gt;</v>
      </c>
      <c r="I2275" t="str">
        <v>Mauritania 1999</v>
      </c>
      <c r="J2275" t="str">
        <v>Mauritania - onshore and offshore.</v>
      </c>
      <c r="K2275" s="11">
        <v>0</v>
      </c>
    </row>
    <row r="2276" spans="5:11" x14ac:dyDescent="0.35">
      <c r="E2276" s="9" t="str">
        <v>EPSG</v>
      </c>
      <c r="F2276" s="7" t="str">
        <v>4703</v>
      </c>
      <c r="G2276" t="str">
        <v>Geographic2DCrs</v>
      </c>
      <c r="H2276" t="str">
        <v>&lt;undefined&gt;</v>
      </c>
      <c r="I2276" t="str">
        <v>Mhast 1951</v>
      </c>
      <c r="J2276" t="str">
        <v>Angola - Cabinda.</v>
      </c>
      <c r="K2276" s="11">
        <v>0</v>
      </c>
    </row>
    <row r="2277" spans="5:11" x14ac:dyDescent="0.35">
      <c r="E2277" s="9" t="str">
        <v>EPSG</v>
      </c>
      <c r="F2277" s="7" t="str">
        <v>4704</v>
      </c>
      <c r="G2277" t="str">
        <v>Geographic2DCrs</v>
      </c>
      <c r="H2277" t="str">
        <v>&lt;undefined&gt;</v>
      </c>
      <c r="I2277" t="str">
        <v>Mhast (onshore)</v>
      </c>
      <c r="J2277" t="str">
        <v>Angola (Cabinda) - onshore and offshore; The Democratic Republic of the Congo (Zaire) - onshore coastal area and offshore.</v>
      </c>
      <c r="K2277" s="11">
        <v>0</v>
      </c>
    </row>
    <row r="2278" spans="5:11" x14ac:dyDescent="0.35">
      <c r="E2278" s="9" t="str">
        <v>EPSG</v>
      </c>
      <c r="F2278" s="7" t="str">
        <v>4705</v>
      </c>
      <c r="G2278" t="str">
        <v>Geographic2DCrs</v>
      </c>
      <c r="H2278" t="str">
        <v>&lt;undefined&gt;</v>
      </c>
      <c r="I2278" t="str">
        <v>Mhast (offshore)</v>
      </c>
      <c r="J2278" t="str">
        <v>Angola (Cabinda) - offshore; The Democratic Republic of the Congo (Zaire) - offshore.</v>
      </c>
      <c r="K2278" s="11">
        <v>0</v>
      </c>
    </row>
    <row r="2279" spans="5:11" x14ac:dyDescent="0.35">
      <c r="E2279" s="9" t="str">
        <v>EPSG</v>
      </c>
      <c r="F2279" s="7" t="str">
        <v>4706</v>
      </c>
      <c r="G2279" t="str">
        <v>Geographic2DCrs</v>
      </c>
      <c r="H2279" t="str">
        <v>&lt;undefined&gt;</v>
      </c>
      <c r="I2279" t="str">
        <v>Egypt Gulf of Suez S-650 TL</v>
      </c>
      <c r="J2279" t="str">
        <v>Egypt - Gulf of Suez.</v>
      </c>
      <c r="K2279" s="11">
        <v>0</v>
      </c>
    </row>
    <row r="2280" spans="5:11" x14ac:dyDescent="0.35">
      <c r="E2280" s="9" t="str">
        <v>EPSG</v>
      </c>
      <c r="F2280" s="7" t="str">
        <v>4707</v>
      </c>
      <c r="G2280" t="str">
        <v>Geographic2DCrs</v>
      </c>
      <c r="H2280" t="str">
        <v>&lt;undefined&gt;</v>
      </c>
      <c r="I2280" t="str">
        <v>Tern Island 1961</v>
      </c>
      <c r="J2280" t="str">
        <v>United States (USA) - Hawaii - Tern Island and Sorel Atoll.</v>
      </c>
      <c r="K2280" s="11">
        <v>0</v>
      </c>
    </row>
    <row r="2281" spans="5:11" x14ac:dyDescent="0.35">
      <c r="E2281" s="9" t="str">
        <v>EPSG</v>
      </c>
      <c r="F2281" s="7" t="str">
        <v>4708</v>
      </c>
      <c r="G2281" t="str">
        <v>Geographic2DCrs</v>
      </c>
      <c r="H2281" t="str">
        <v>&lt;undefined&gt;</v>
      </c>
      <c r="I2281" t="str">
        <v>Cocos Islands 1965</v>
      </c>
      <c r="J2281" t="str">
        <v>Cocos (Keeling) Islands - onshore.</v>
      </c>
      <c r="K2281" s="11">
        <v>0</v>
      </c>
    </row>
    <row r="2282" spans="5:11" x14ac:dyDescent="0.35">
      <c r="E2282" s="9" t="str">
        <v>EPSG</v>
      </c>
      <c r="F2282" s="7" t="str">
        <v>4709</v>
      </c>
      <c r="G2282" t="str">
        <v>Geographic2DCrs</v>
      </c>
      <c r="H2282" t="str">
        <v>&lt;undefined&gt;</v>
      </c>
      <c r="I2282" t="str">
        <v>Iwo Jima 1945</v>
      </c>
      <c r="J2282" t="str">
        <v>Japan - Iwo Jima island.</v>
      </c>
      <c r="K2282" s="11">
        <v>0</v>
      </c>
    </row>
    <row r="2283" spans="5:11" x14ac:dyDescent="0.35">
      <c r="E2283" s="9" t="str">
        <v>EPSG</v>
      </c>
      <c r="F2283" s="7" t="str">
        <v>4710</v>
      </c>
      <c r="G2283" t="str">
        <v>Geographic2DCrs</v>
      </c>
      <c r="H2283" t="str">
        <v>&lt;undefined&gt;</v>
      </c>
      <c r="I2283" t="str">
        <v>Astro DOS 71</v>
      </c>
      <c r="J2283" t="str">
        <v>St Helena, Ascension and Tristan da Cunha - St Helena Island - onshore.</v>
      </c>
      <c r="K2283" s="11">
        <v>0</v>
      </c>
    </row>
    <row r="2284" spans="5:11" x14ac:dyDescent="0.35">
      <c r="E2284" s="9" t="str">
        <v>EPSG</v>
      </c>
      <c r="F2284" s="7" t="str">
        <v>4711</v>
      </c>
      <c r="G2284" t="str">
        <v>Geographic2DCrs</v>
      </c>
      <c r="H2284" t="str">
        <v>&lt;undefined&gt;</v>
      </c>
      <c r="I2284" t="str">
        <v>Marcus Island 1952</v>
      </c>
      <c r="J2284" t="str">
        <v>Japan - onshore - Tokyo-to south of 28°N and east of 143°E - Minamitori-shima (Marcus Island).</v>
      </c>
      <c r="K2284" s="11">
        <v>0</v>
      </c>
    </row>
    <row r="2285" spans="5:11" x14ac:dyDescent="0.35">
      <c r="E2285" s="9" t="str">
        <v>EPSG</v>
      </c>
      <c r="F2285" s="7" t="str">
        <v>4712</v>
      </c>
      <c r="G2285" t="str">
        <v>Geographic2DCrs</v>
      </c>
      <c r="H2285" t="str">
        <v>&lt;undefined&gt;</v>
      </c>
      <c r="I2285" t="str">
        <v>Ascension Island 1958</v>
      </c>
      <c r="J2285" t="str">
        <v>St Helena, Ascension and Tristan da Cunha - Ascension Island - onshore.</v>
      </c>
      <c r="K2285" s="11">
        <v>0</v>
      </c>
    </row>
    <row r="2286" spans="5:11" x14ac:dyDescent="0.35">
      <c r="E2286" s="9" t="str">
        <v>EPSG</v>
      </c>
      <c r="F2286" s="7" t="str">
        <v>4713</v>
      </c>
      <c r="G2286" t="str">
        <v>Geographic2DCrs</v>
      </c>
      <c r="H2286" t="str">
        <v>&lt;undefined&gt;</v>
      </c>
      <c r="I2286" t="str">
        <v>Ayabelle Lighthouse</v>
      </c>
      <c r="J2286" t="str">
        <v>Djibouti - onshore and offshore.</v>
      </c>
      <c r="K2286" s="11">
        <v>0</v>
      </c>
    </row>
    <row r="2287" spans="5:11" x14ac:dyDescent="0.35">
      <c r="E2287" s="9" t="str">
        <v>EPSG</v>
      </c>
      <c r="F2287" s="7" t="str">
        <v>4714</v>
      </c>
      <c r="G2287" t="str">
        <v>Geographic2DCrs</v>
      </c>
      <c r="H2287" t="str">
        <v>&lt;undefined&gt;</v>
      </c>
      <c r="I2287" t="str">
        <v>Bellevue</v>
      </c>
      <c r="J2287" t="str">
        <v>Vanuatu - southern islands - Aneityum, Efate, Erromango and Tanna.</v>
      </c>
      <c r="K2287" s="11">
        <v>0</v>
      </c>
    </row>
    <row r="2288" spans="5:11" x14ac:dyDescent="0.35">
      <c r="E2288" s="9" t="str">
        <v>EPSG</v>
      </c>
      <c r="F2288" s="7" t="str">
        <v>4715</v>
      </c>
      <c r="G2288" t="str">
        <v>Geographic2DCrs</v>
      </c>
      <c r="H2288" t="str">
        <v>&lt;undefined&gt;</v>
      </c>
      <c r="I2288" t="str">
        <v>Camp Area Astro</v>
      </c>
      <c r="J2288" t="str">
        <v>Antarctica - McMurdo Sound, Camp McMurdo area.</v>
      </c>
      <c r="K2288" s="11">
        <v>0</v>
      </c>
    </row>
    <row r="2289" spans="5:11" x14ac:dyDescent="0.35">
      <c r="E2289" s="9" t="str">
        <v>EPSG</v>
      </c>
      <c r="F2289" s="7" t="str">
        <v>4716</v>
      </c>
      <c r="G2289" t="str">
        <v>Geographic2DCrs</v>
      </c>
      <c r="H2289" t="str">
        <v>&lt;undefined&gt;</v>
      </c>
      <c r="I2289" t="str">
        <v>Phoenix Islands 1966</v>
      </c>
      <c r="J2289" t="str">
        <v>Kiribati - Phoenix Islands: Kanton, Orona, McKean Atoll, Birnie Atoll, Phoenix Seamounts.</v>
      </c>
      <c r="K2289" s="11">
        <v>0</v>
      </c>
    </row>
    <row r="2290" spans="5:11" x14ac:dyDescent="0.35">
      <c r="E2290" s="9" t="str">
        <v>EPSG</v>
      </c>
      <c r="F2290" s="7" t="str">
        <v>4717</v>
      </c>
      <c r="G2290" t="str">
        <v>Geographic2DCrs</v>
      </c>
      <c r="H2290" t="str">
        <v>&lt;undefined&gt;</v>
      </c>
      <c r="I2290" t="str">
        <v>Cape Canaveral</v>
      </c>
      <c r="J2290" t="str">
        <v>North America - onshore - Bahamas and USA - Florida (east).</v>
      </c>
      <c r="K2290" s="11">
        <v>0</v>
      </c>
    </row>
    <row r="2291" spans="5:11" x14ac:dyDescent="0.35">
      <c r="E2291" s="9" t="str">
        <v>EPSG</v>
      </c>
      <c r="F2291" s="7" t="str">
        <v>4718</v>
      </c>
      <c r="G2291" t="str">
        <v>Geographic2DCrs</v>
      </c>
      <c r="H2291" t="str">
        <v>&lt;undefined&gt;</v>
      </c>
      <c r="I2291" t="str">
        <v>Solomon 1968</v>
      </c>
      <c r="J2291" t="str">
        <v>Solomon Islands - onshore southern Solomon Islands, primarily Guadalcanal, Malaita, San Cristobel, Santa Isobel, Choiseul, Makira-Ulawa.</v>
      </c>
      <c r="K2291" s="11">
        <v>0</v>
      </c>
    </row>
    <row r="2292" spans="5:11" x14ac:dyDescent="0.35">
      <c r="E2292" s="9" t="str">
        <v>EPSG</v>
      </c>
      <c r="F2292" s="7" t="str">
        <v>4719</v>
      </c>
      <c r="G2292" t="str">
        <v>Geographic2DCrs</v>
      </c>
      <c r="H2292" t="str">
        <v>&lt;undefined&gt;</v>
      </c>
      <c r="I2292" t="str">
        <v>Easter Island 1967</v>
      </c>
      <c r="J2292" t="str">
        <v>Chile - Easter Island onshore.</v>
      </c>
      <c r="K2292" s="11">
        <v>0</v>
      </c>
    </row>
    <row r="2293" spans="5:11" x14ac:dyDescent="0.35">
      <c r="E2293" s="9" t="str">
        <v>EPSG</v>
      </c>
      <c r="F2293" s="7" t="str">
        <v>4720</v>
      </c>
      <c r="G2293" t="str">
        <v>Geographic2DCrs</v>
      </c>
      <c r="H2293" t="str">
        <v>&lt;undefined&gt;</v>
      </c>
      <c r="I2293" t="str">
        <v>Fiji 1986</v>
      </c>
      <c r="J2293" t="str">
        <v>Fiji - onshore. Includes Viti Levu, Vanua Levu, Taveuni, the Yasawa Group, the Kadavu Group, the Lau Islands and Rotuma Islands.</v>
      </c>
      <c r="K2293" s="11">
        <v>0</v>
      </c>
    </row>
    <row r="2294" spans="5:11" x14ac:dyDescent="0.35">
      <c r="E2294" s="9" t="str">
        <v>EPSG</v>
      </c>
      <c r="F2294" s="7" t="str">
        <v>4721</v>
      </c>
      <c r="G2294" t="str">
        <v>Geographic2DCrs</v>
      </c>
      <c r="H2294" t="str">
        <v>&lt;undefined&gt;</v>
      </c>
      <c r="I2294" t="str">
        <v>Fiji 1956</v>
      </c>
      <c r="J2294" t="str">
        <v>Fiji - onshore - Vanua Levu, Taveuni, Viti Levu and and immediately adjacent smaller islands of Yasawa and Kandavu groups.</v>
      </c>
      <c r="K2294" s="11">
        <v>0</v>
      </c>
    </row>
    <row r="2295" spans="5:11" x14ac:dyDescent="0.35">
      <c r="E2295" s="9" t="str">
        <v>EPSG</v>
      </c>
      <c r="F2295" s="7" t="str">
        <v>4722</v>
      </c>
      <c r="G2295" t="str">
        <v>Geographic2DCrs</v>
      </c>
      <c r="H2295" t="str">
        <v>&lt;undefined&gt;</v>
      </c>
      <c r="I2295" t="str">
        <v>South Georgia 1968</v>
      </c>
      <c r="J2295" t="str">
        <v>South Georgia and the South Sandwich Islands - South Georgia onshore.</v>
      </c>
      <c r="K2295" s="11">
        <v>0</v>
      </c>
    </row>
    <row r="2296" spans="5:11" x14ac:dyDescent="0.35">
      <c r="E2296" s="9" t="str">
        <v>EPSG</v>
      </c>
      <c r="F2296" s="7" t="str">
        <v>4723</v>
      </c>
      <c r="G2296" t="str">
        <v>Geographic2DCrs</v>
      </c>
      <c r="H2296" t="str">
        <v>&lt;undefined&gt;</v>
      </c>
      <c r="I2296" t="str">
        <v>GCGD59</v>
      </c>
      <c r="J2296" t="str">
        <v>Cayman Islands - Grand Cayman.</v>
      </c>
      <c r="K2296" s="11">
        <v>0</v>
      </c>
    </row>
    <row r="2297" spans="5:11" x14ac:dyDescent="0.35">
      <c r="E2297" s="9" t="str">
        <v>EPSG</v>
      </c>
      <c r="F2297" s="7" t="str">
        <v>4724</v>
      </c>
      <c r="G2297" t="str">
        <v>Geographic2DCrs</v>
      </c>
      <c r="H2297" t="str">
        <v>&lt;undefined&gt;</v>
      </c>
      <c r="I2297" t="str">
        <v>Diego Garcia 1969</v>
      </c>
      <c r="J2297" t="str">
        <v>British Indian Ocean Territory - Chagos Archipelago - Diego Garcia.</v>
      </c>
      <c r="K2297" s="11">
        <v>0</v>
      </c>
    </row>
    <row r="2298" spans="5:11" x14ac:dyDescent="0.35">
      <c r="E2298" s="9" t="str">
        <v>EPSG</v>
      </c>
      <c r="F2298" s="7" t="str">
        <v>4725</v>
      </c>
      <c r="G2298" t="str">
        <v>Geographic2DCrs</v>
      </c>
      <c r="H2298" t="str">
        <v>&lt;undefined&gt;</v>
      </c>
      <c r="I2298" t="str">
        <v>Johnston Island 1961</v>
      </c>
      <c r="J2298" t="str">
        <v>United States Minor Outlying Islands - Johnston Island.</v>
      </c>
      <c r="K2298" s="11">
        <v>0</v>
      </c>
    </row>
    <row r="2299" spans="5:11" x14ac:dyDescent="0.35">
      <c r="E2299" s="9" t="str">
        <v>EPSG</v>
      </c>
      <c r="F2299" s="7" t="str">
        <v>4726</v>
      </c>
      <c r="G2299" t="str">
        <v>Geographic2DCrs</v>
      </c>
      <c r="H2299" t="str">
        <v>&lt;undefined&gt;</v>
      </c>
      <c r="I2299" t="str">
        <v>SIGD61</v>
      </c>
      <c r="J2299" t="str">
        <v>Cayman Islands - Little Cayman and Cayman Brac.</v>
      </c>
      <c r="K2299" s="11">
        <v>0</v>
      </c>
    </row>
    <row r="2300" spans="5:11" x14ac:dyDescent="0.35">
      <c r="E2300" s="9" t="str">
        <v>EPSG</v>
      </c>
      <c r="F2300" s="7" t="str">
        <v>4727</v>
      </c>
      <c r="G2300" t="str">
        <v>Geographic2DCrs</v>
      </c>
      <c r="H2300" t="str">
        <v>&lt;undefined&gt;</v>
      </c>
      <c r="I2300" t="str">
        <v>Midway 1961</v>
      </c>
      <c r="J2300" t="str">
        <v>United States Minor Outlying Islands - Midway Islands - Sand Island and Eastern Island.</v>
      </c>
      <c r="K2300" s="11">
        <v>0</v>
      </c>
    </row>
    <row r="2301" spans="5:11" x14ac:dyDescent="0.35">
      <c r="E2301" s="9" t="str">
        <v>EPSG</v>
      </c>
      <c r="F2301" s="7" t="str">
        <v>4728</v>
      </c>
      <c r="G2301" t="str">
        <v>Geographic2DCrs</v>
      </c>
      <c r="H2301" t="str">
        <v>&lt;undefined&gt;</v>
      </c>
      <c r="I2301" t="str">
        <v>PN84</v>
      </c>
      <c r="J2301" t="str">
        <v>Spain - Canary Islands - El Hierro, La Gomera, La Palma and Tenerife - onshore.</v>
      </c>
      <c r="K2301" s="11">
        <v>0</v>
      </c>
    </row>
    <row r="2302" spans="5:11" x14ac:dyDescent="0.35">
      <c r="E2302" s="9" t="str">
        <v>EPSG</v>
      </c>
      <c r="F2302" s="7" t="str">
        <v>4729</v>
      </c>
      <c r="G2302" t="str">
        <v>Geographic2DCrs</v>
      </c>
      <c r="H2302" t="str">
        <v>&lt;undefined&gt;</v>
      </c>
      <c r="I2302" t="str">
        <v>Pitcairn 1967</v>
      </c>
      <c r="J2302" t="str">
        <v>Pitcairn - Pitcairn Island.</v>
      </c>
      <c r="K2302" s="11">
        <v>0</v>
      </c>
    </row>
    <row r="2303" spans="5:11" x14ac:dyDescent="0.35">
      <c r="E2303" s="9" t="str">
        <v>EPSG</v>
      </c>
      <c r="F2303" s="7" t="str">
        <v>4730</v>
      </c>
      <c r="G2303" t="str">
        <v>Geographic2DCrs</v>
      </c>
      <c r="H2303" t="str">
        <v>&lt;undefined&gt;</v>
      </c>
      <c r="I2303" t="str">
        <v>Santo 1965</v>
      </c>
      <c r="J2303" t="str">
        <v>Vanuatu - northern islands - Aese, Ambrym, Aoba, Epi, Espiritu Santo, Maewo, Malo, Malkula, Paama, Pentecost, Shepherd and Tutuba.</v>
      </c>
      <c r="K2303" s="11">
        <v>0</v>
      </c>
    </row>
    <row r="2304" spans="5:11" x14ac:dyDescent="0.35">
      <c r="E2304" s="9" t="str">
        <v>EPSG</v>
      </c>
      <c r="F2304" s="7" t="str">
        <v>4732</v>
      </c>
      <c r="G2304" t="str">
        <v>Geographic2DCrs</v>
      </c>
      <c r="H2304" t="str">
        <v>&lt;undefined&gt;</v>
      </c>
      <c r="I2304" t="str">
        <v>Marshall Islands 1960</v>
      </c>
      <c r="J2304" t="str">
        <v>Marshall Islands - onshore. Wake atoll onshore.</v>
      </c>
      <c r="K2304" s="11">
        <v>0</v>
      </c>
    </row>
    <row r="2305" spans="5:11" x14ac:dyDescent="0.35">
      <c r="E2305" s="9" t="str">
        <v>EPSG</v>
      </c>
      <c r="F2305" s="7" t="str">
        <v>4733</v>
      </c>
      <c r="G2305" t="str">
        <v>Geographic2DCrs</v>
      </c>
      <c r="H2305" t="str">
        <v>&lt;undefined&gt;</v>
      </c>
      <c r="I2305" t="str">
        <v>Wake Island 1952</v>
      </c>
      <c r="J2305" t="str">
        <v>Wake atoll - onshore.</v>
      </c>
      <c r="K2305" s="11">
        <v>0</v>
      </c>
    </row>
    <row r="2306" spans="5:11" x14ac:dyDescent="0.35">
      <c r="E2306" s="9" t="str">
        <v>EPSG</v>
      </c>
      <c r="F2306" s="7" t="str">
        <v>4734</v>
      </c>
      <c r="G2306" t="str">
        <v>Geographic2DCrs</v>
      </c>
      <c r="H2306" t="str">
        <v>&lt;undefined&gt;</v>
      </c>
      <c r="I2306" t="str">
        <v>Tristan 1968</v>
      </c>
      <c r="J2306" t="str">
        <v>St Helena, Ascension and Tristan da Cunha - Tristan da Cunha island group including Tristan, Inaccessible, Nightingale, Middle and Stoltenhoff Islands.</v>
      </c>
      <c r="K2306" s="11">
        <v>0</v>
      </c>
    </row>
    <row r="2307" spans="5:11" x14ac:dyDescent="0.35">
      <c r="E2307" s="9" t="str">
        <v>EPSG</v>
      </c>
      <c r="F2307" s="7" t="str">
        <v>4735</v>
      </c>
      <c r="G2307" t="str">
        <v>Geographic2DCrs</v>
      </c>
      <c r="H2307" t="str">
        <v>&lt;undefined&gt;</v>
      </c>
      <c r="I2307" t="str">
        <v>Kusaie 1951</v>
      </c>
      <c r="J2307" t="str">
        <v>Federated States of Micronesia - Kosrae (Kusaie).</v>
      </c>
      <c r="K2307" s="11">
        <v>0</v>
      </c>
    </row>
    <row r="2308" spans="5:11" x14ac:dyDescent="0.35">
      <c r="E2308" s="9" t="str">
        <v>EPSG</v>
      </c>
      <c r="F2308" s="7" t="str">
        <v>4736</v>
      </c>
      <c r="G2308" t="str">
        <v>Geographic2DCrs</v>
      </c>
      <c r="H2308" t="str">
        <v>&lt;undefined&gt;</v>
      </c>
      <c r="I2308" t="str">
        <v>Deception Island</v>
      </c>
      <c r="J2308" t="str">
        <v>Antarctica - South Shetland Islands - Deception Island.</v>
      </c>
      <c r="K2308" s="11">
        <v>0</v>
      </c>
    </row>
    <row r="2309" spans="5:11" x14ac:dyDescent="0.35">
      <c r="E2309" s="9" t="str">
        <v>EPSG</v>
      </c>
      <c r="F2309" s="7" t="str">
        <v>4737</v>
      </c>
      <c r="G2309" t="str">
        <v>Geographic2DCrs</v>
      </c>
      <c r="H2309" t="str">
        <v>&lt;undefined&gt;</v>
      </c>
      <c r="I2309" t="str">
        <v>KGD2002</v>
      </c>
      <c r="J2309" t="str">
        <v>Republic of Korea (South Korea) - onshore and offshore.</v>
      </c>
      <c r="K2309" s="11">
        <v>0</v>
      </c>
    </row>
    <row r="2310" spans="5:11" x14ac:dyDescent="0.35">
      <c r="E2310" s="9" t="str">
        <v>EPSG</v>
      </c>
      <c r="F2310" s="7" t="str">
        <v>4738</v>
      </c>
      <c r="G2310" t="str">
        <v>Geographic2DCrs</v>
      </c>
      <c r="H2310" t="str">
        <v>&lt;undefined&gt;</v>
      </c>
      <c r="I2310" t="str">
        <v>Hong Kong 1963</v>
      </c>
      <c r="J2310" t="str">
        <v>China - Hong Kong - onshore and offshore.</v>
      </c>
      <c r="K2310" s="11">
        <v>0</v>
      </c>
    </row>
    <row r="2311" spans="5:11" x14ac:dyDescent="0.35">
      <c r="E2311" s="9" t="str">
        <v>EPSG</v>
      </c>
      <c r="F2311" s="7" t="str">
        <v>4739</v>
      </c>
      <c r="G2311" t="str">
        <v>Geographic2DCrs</v>
      </c>
      <c r="H2311" t="str">
        <v>&lt;undefined&gt;</v>
      </c>
      <c r="I2311" t="str">
        <v>Hong Kong 1963(67)</v>
      </c>
      <c r="J2311" t="str">
        <v>China - Hong Kong - onshore and offshore.</v>
      </c>
      <c r="K2311" s="11">
        <v>0</v>
      </c>
    </row>
    <row r="2312" spans="5:11" x14ac:dyDescent="0.35">
      <c r="E2312" s="9" t="str">
        <v>EPSG</v>
      </c>
      <c r="F2312" s="7" t="str">
        <v>4740</v>
      </c>
      <c r="G2312" t="str">
        <v>Geographic2DCrs</v>
      </c>
      <c r="H2312" t="str">
        <v>&lt;undefined&gt;</v>
      </c>
      <c r="I2312" t="str">
        <v>PZ-90</v>
      </c>
      <c r="J2312" t="str">
        <v>World.</v>
      </c>
      <c r="K2312" s="11">
        <v>0</v>
      </c>
    </row>
    <row r="2313" spans="5:11" x14ac:dyDescent="0.35">
      <c r="E2313" s="9" t="str">
        <v>EPSG</v>
      </c>
      <c r="F2313" s="7" t="str">
        <v>4741</v>
      </c>
      <c r="G2313" t="str">
        <v>Geographic2DCrs</v>
      </c>
      <c r="H2313" t="str">
        <v>&lt;undefined&gt;</v>
      </c>
      <c r="I2313" t="str">
        <v>FD54</v>
      </c>
      <c r="J2313" t="str">
        <v>Faroe Islands - onshore.</v>
      </c>
      <c r="K2313" s="11">
        <v>0</v>
      </c>
    </row>
    <row r="2314" spans="5:11" x14ac:dyDescent="0.35">
      <c r="E2314" s="9" t="str">
        <v>EPSG</v>
      </c>
      <c r="F2314" s="7" t="str">
        <v>4742</v>
      </c>
      <c r="G2314" t="str">
        <v>Geographic2DCrs</v>
      </c>
      <c r="H2314" t="str">
        <v>&lt;undefined&gt;</v>
      </c>
      <c r="I2314" t="str">
        <v>GDM2000</v>
      </c>
      <c r="J2314" t="str">
        <v>Malaysia - onshore and offshore. Includes peninsular Malayasia, Sabah and Sarawak.</v>
      </c>
      <c r="K2314" s="11">
        <v>0</v>
      </c>
    </row>
    <row r="2315" spans="5:11" x14ac:dyDescent="0.35">
      <c r="E2315" s="9" t="str">
        <v>EPSG</v>
      </c>
      <c r="F2315" s="7" t="str">
        <v>4743</v>
      </c>
      <c r="G2315" t="str">
        <v>Geographic2DCrs</v>
      </c>
      <c r="H2315" t="str">
        <v>&lt;undefined&gt;</v>
      </c>
      <c r="I2315" t="str">
        <v>Karbala 1979</v>
      </c>
      <c r="J2315" t="str">
        <v>Iraq - onshore.</v>
      </c>
      <c r="K2315" s="11">
        <v>0</v>
      </c>
    </row>
    <row r="2316" spans="5:11" x14ac:dyDescent="0.35">
      <c r="E2316" s="9" t="str">
        <v>EPSG</v>
      </c>
      <c r="F2316" s="7" t="str">
        <v>4744</v>
      </c>
      <c r="G2316" t="str">
        <v>Geographic2DCrs</v>
      </c>
      <c r="H2316" t="str">
        <v>&lt;undefined&gt;</v>
      </c>
      <c r="I2316" t="str">
        <v>Nahrwan 1934</v>
      </c>
      <c r="J2316" t="str">
        <v>Iraq - onshore; Iran - onshore northern Gulf coast and west bordering southeast Iraq.</v>
      </c>
      <c r="K2316" s="11">
        <v>0</v>
      </c>
    </row>
    <row r="2317" spans="5:11" x14ac:dyDescent="0.35">
      <c r="E2317" s="9" t="str">
        <v>EPSG</v>
      </c>
      <c r="F2317" s="7" t="str">
        <v>4745</v>
      </c>
      <c r="G2317" t="str">
        <v>Geographic2DCrs</v>
      </c>
      <c r="H2317" t="str">
        <v>&lt;undefined&gt;</v>
      </c>
      <c r="I2317" t="str">
        <v>RD/83</v>
      </c>
      <c r="J2317" t="str">
        <v>Germany - Sachsen.</v>
      </c>
      <c r="K2317" s="11">
        <v>0</v>
      </c>
    </row>
    <row r="2318" spans="5:11" x14ac:dyDescent="0.35">
      <c r="E2318" s="9" t="str">
        <v>EPSG</v>
      </c>
      <c r="F2318" s="7" t="str">
        <v>4746</v>
      </c>
      <c r="G2318" t="str">
        <v>Geographic2DCrs</v>
      </c>
      <c r="H2318" t="str">
        <v>&lt;undefined&gt;</v>
      </c>
      <c r="I2318" t="str">
        <v>PD/83</v>
      </c>
      <c r="J2318" t="str">
        <v>Germany - Thuringen.</v>
      </c>
      <c r="K2318" s="11">
        <v>0</v>
      </c>
    </row>
    <row r="2319" spans="5:11" x14ac:dyDescent="0.35">
      <c r="E2319" s="9" t="str">
        <v>EPSG</v>
      </c>
      <c r="F2319" s="7" t="str">
        <v>4747</v>
      </c>
      <c r="G2319" t="str">
        <v>Geographic2DCrs</v>
      </c>
      <c r="H2319" t="str">
        <v>&lt;undefined&gt;</v>
      </c>
      <c r="I2319" t="str">
        <v>GR96</v>
      </c>
      <c r="J2319" t="str">
        <v>Greenland - onshore and offshore.</v>
      </c>
      <c r="K2319" s="11">
        <v>0</v>
      </c>
    </row>
    <row r="2320" spans="5:11" x14ac:dyDescent="0.35">
      <c r="E2320" s="9" t="str">
        <v>EPSG</v>
      </c>
      <c r="F2320" s="7" t="str">
        <v>4748</v>
      </c>
      <c r="G2320" t="str">
        <v>Geographic2DCrs</v>
      </c>
      <c r="H2320" t="str">
        <v>&lt;undefined&gt;</v>
      </c>
      <c r="I2320" t="str">
        <v>Vanua Levu 1915</v>
      </c>
      <c r="J2320" t="str">
        <v>Fiji - Vanua Levu and Taveuni.</v>
      </c>
      <c r="K2320" s="11">
        <v>0</v>
      </c>
    </row>
    <row r="2321" spans="5:11" x14ac:dyDescent="0.35">
      <c r="E2321" s="9" t="str">
        <v>EPSG</v>
      </c>
      <c r="F2321" s="7" t="str">
        <v>4749</v>
      </c>
      <c r="G2321" t="str">
        <v>Geographic2DCrs</v>
      </c>
      <c r="H2321" t="str">
        <v>&lt;undefined&gt;</v>
      </c>
      <c r="I2321" t="str">
        <v>RGNC91-93</v>
      </c>
      <c r="J2321" t="str">
        <v>New Caledonia - onshore and offshore. Isle de Pins, Loyalty Islands, Huon Islands, Belep archipelago, Chesterfield Islands, and Walpole.</v>
      </c>
      <c r="K2321" s="11">
        <v>0</v>
      </c>
    </row>
    <row r="2322" spans="5:11" x14ac:dyDescent="0.35">
      <c r="E2322" s="9" t="str">
        <v>EPSG</v>
      </c>
      <c r="F2322" s="7" t="str">
        <v>4750</v>
      </c>
      <c r="G2322" t="str">
        <v>Geographic2DCrs</v>
      </c>
      <c r="H2322" t="str">
        <v>&lt;undefined&gt;</v>
      </c>
      <c r="I2322" t="str">
        <v>ST87 Ouvea</v>
      </c>
      <c r="J2322" t="str">
        <v>New Caledonia - Loyalty Islands - Ouvea.</v>
      </c>
      <c r="K2322" s="11">
        <v>0</v>
      </c>
    </row>
    <row r="2323" spans="5:11" x14ac:dyDescent="0.35">
      <c r="E2323" s="9" t="str">
        <v>EPSG</v>
      </c>
      <c r="F2323" s="7" t="str">
        <v>4751</v>
      </c>
      <c r="G2323" t="str">
        <v>Geographic2DCrs</v>
      </c>
      <c r="H2323" t="str">
        <v>&lt;undefined&gt;</v>
      </c>
      <c r="I2323" t="str">
        <v>Kertau (RSO)</v>
      </c>
      <c r="J2323" t="str">
        <v>Malaysia - West Malaysia; Singapore.</v>
      </c>
      <c r="K2323" s="11">
        <v>0</v>
      </c>
    </row>
    <row r="2324" spans="5:11" x14ac:dyDescent="0.35">
      <c r="E2324" s="9" t="str">
        <v>EPSG</v>
      </c>
      <c r="F2324" s="7" t="str">
        <v>4752</v>
      </c>
      <c r="G2324" t="str">
        <v>Geographic2DCrs</v>
      </c>
      <c r="H2324" t="str">
        <v>&lt;undefined&gt;</v>
      </c>
      <c r="I2324" t="str">
        <v>Viti Levu 1912</v>
      </c>
      <c r="J2324" t="str">
        <v>Fiji - Viti Levu island.</v>
      </c>
      <c r="K2324" s="11">
        <v>0</v>
      </c>
    </row>
    <row r="2325" spans="5:11" x14ac:dyDescent="0.35">
      <c r="E2325" s="9" t="str">
        <v>EPSG</v>
      </c>
      <c r="F2325" s="7" t="str">
        <v>4753</v>
      </c>
      <c r="G2325" t="str">
        <v>Geographic2DCrs</v>
      </c>
      <c r="H2325" t="str">
        <v>&lt;undefined&gt;</v>
      </c>
      <c r="I2325" t="str">
        <v>fk89</v>
      </c>
      <c r="J2325" t="str">
        <v>Faroe Islands - onshore.</v>
      </c>
      <c r="K2325" s="11">
        <v>0</v>
      </c>
    </row>
    <row r="2326" spans="5:11" x14ac:dyDescent="0.35">
      <c r="E2326" s="9" t="str">
        <v>EPSG</v>
      </c>
      <c r="F2326" s="7" t="str">
        <v>4754</v>
      </c>
      <c r="G2326" t="str">
        <v>Geographic2DCrs</v>
      </c>
      <c r="H2326" t="str">
        <v>&lt;undefined&gt;</v>
      </c>
      <c r="I2326" t="str">
        <v>LGD2006</v>
      </c>
      <c r="J2326" t="str">
        <v>Libya - onshore and offshore.</v>
      </c>
      <c r="K2326" s="11">
        <v>0</v>
      </c>
    </row>
    <row r="2327" spans="5:11" x14ac:dyDescent="0.35">
      <c r="E2327" s="9" t="str">
        <v>EPSG</v>
      </c>
      <c r="F2327" s="7" t="str">
        <v>4755</v>
      </c>
      <c r="G2327" t="str">
        <v>Geographic2DCrs</v>
      </c>
      <c r="H2327" t="str">
        <v>&lt;undefined&gt;</v>
      </c>
      <c r="I2327" t="str">
        <v>DGN95</v>
      </c>
      <c r="J2327" t="str">
        <v>Indonesia - onshore and offshore.</v>
      </c>
      <c r="K2327" s="11">
        <v>0</v>
      </c>
    </row>
    <row r="2328" spans="5:11" x14ac:dyDescent="0.35">
      <c r="E2328" s="9" t="str">
        <v>EPSG</v>
      </c>
      <c r="F2328" s="7" t="str">
        <v>4756</v>
      </c>
      <c r="G2328" t="str">
        <v>Geographic2DCrs</v>
      </c>
      <c r="H2328" t="str">
        <v>&lt;undefined&gt;</v>
      </c>
      <c r="I2328" t="str">
        <v>VN-2000</v>
      </c>
      <c r="J2328" t="str">
        <v>Vietnam - onshore.</v>
      </c>
      <c r="K2328" s="11">
        <v>0</v>
      </c>
    </row>
    <row r="2329" spans="5:11" x14ac:dyDescent="0.35">
      <c r="E2329" s="9" t="str">
        <v>EPSG</v>
      </c>
      <c r="F2329" s="7" t="str">
        <v>4757</v>
      </c>
      <c r="G2329" t="str">
        <v>Geographic2DCrs</v>
      </c>
      <c r="H2329" t="str">
        <v>&lt;undefined&gt;</v>
      </c>
      <c r="I2329" t="str">
        <v>SVY21</v>
      </c>
      <c r="J2329" t="str">
        <v>Singapore - onshore and offshore.</v>
      </c>
      <c r="K2329" s="11">
        <v>0</v>
      </c>
    </row>
    <row r="2330" spans="5:11" x14ac:dyDescent="0.35">
      <c r="E2330" s="9" t="str">
        <v>EPSG</v>
      </c>
      <c r="F2330" s="7" t="str">
        <v>4758</v>
      </c>
      <c r="G2330" t="str">
        <v>Geographic2DCrs</v>
      </c>
      <c r="H2330" t="str">
        <v>&lt;undefined&gt;</v>
      </c>
      <c r="I2330" t="str">
        <v>JAD2001</v>
      </c>
      <c r="J2330" t="str">
        <v>Jamaica - onshore and offshore. Includes Morant Cays and Pedro Cays.</v>
      </c>
      <c r="K2330" s="11">
        <v>0</v>
      </c>
    </row>
    <row r="2331" spans="5:11" x14ac:dyDescent="0.35">
      <c r="E2331" s="9" t="str">
        <v>EPSG</v>
      </c>
      <c r="F2331" s="7" t="str">
        <v>4759</v>
      </c>
      <c r="G2331" t="str">
        <v>Geographic2DCrs</v>
      </c>
      <c r="H2331" t="str">
        <v>&lt;undefined&gt;</v>
      </c>
      <c r="I2331" t="str">
        <v>NAD83(NSRS2007)</v>
      </c>
      <c r="J2331"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2331" s="11">
        <v>0</v>
      </c>
    </row>
    <row r="2332" spans="5:11" x14ac:dyDescent="0.35">
      <c r="E2332" s="9" t="str">
        <v>EPSG</v>
      </c>
      <c r="F2332" s="7" t="str">
        <v>4760</v>
      </c>
      <c r="G2332" t="str">
        <v>Geographic2DCrs</v>
      </c>
      <c r="H2332" t="str">
        <v>&lt;undefined&gt;</v>
      </c>
      <c r="I2332" t="str">
        <v>WGS 66</v>
      </c>
      <c r="J2332" t="str">
        <v>World.</v>
      </c>
      <c r="K2332" s="11">
        <v>0</v>
      </c>
    </row>
    <row r="2333" spans="5:11" x14ac:dyDescent="0.35">
      <c r="E2333" s="9" t="str">
        <v>EPSG</v>
      </c>
      <c r="F2333" s="7" t="str">
        <v>4761</v>
      </c>
      <c r="G2333" t="str">
        <v>Geographic2DCrs</v>
      </c>
      <c r="H2333" t="str">
        <v>&lt;undefined&gt;</v>
      </c>
      <c r="I2333" t="str">
        <v>HTRS96</v>
      </c>
      <c r="J2333" t="str">
        <v>Croatia - onshore and offshore.</v>
      </c>
      <c r="K2333" s="11">
        <v>0</v>
      </c>
    </row>
    <row r="2334" spans="5:11" x14ac:dyDescent="0.35">
      <c r="E2334" s="9" t="str">
        <v>EPSG</v>
      </c>
      <c r="F2334" s="7" t="str">
        <v>4762</v>
      </c>
      <c r="G2334" t="str">
        <v>Geographic2DCrs</v>
      </c>
      <c r="H2334" t="str">
        <v>&lt;undefined&gt;</v>
      </c>
      <c r="I2334" t="str">
        <v>BDA2000</v>
      </c>
      <c r="J2334" t="str">
        <v>Bermuda - onshore and offshore.</v>
      </c>
      <c r="K2334" s="11">
        <v>0</v>
      </c>
    </row>
    <row r="2335" spans="5:11" x14ac:dyDescent="0.35">
      <c r="E2335" s="9" t="str">
        <v>EPSG</v>
      </c>
      <c r="F2335" s="7" t="str">
        <v>4763</v>
      </c>
      <c r="G2335" t="str">
        <v>Geographic2DCrs</v>
      </c>
      <c r="H2335" t="str">
        <v>&lt;undefined&gt;</v>
      </c>
      <c r="I2335" t="str">
        <v>Pitcairn 2006</v>
      </c>
      <c r="J2335" t="str">
        <v>Pitcairn - Pitcairn Island.</v>
      </c>
      <c r="K2335" s="11">
        <v>0</v>
      </c>
    </row>
    <row r="2336" spans="5:11" x14ac:dyDescent="0.35">
      <c r="E2336" s="9" t="str">
        <v>EPSG</v>
      </c>
      <c r="F2336" s="7" t="str">
        <v>4764</v>
      </c>
      <c r="G2336" t="str">
        <v>Geographic2DCrs</v>
      </c>
      <c r="H2336" t="str">
        <v>&lt;undefined&gt;</v>
      </c>
      <c r="I2336" t="str">
        <v>RSRGD2000</v>
      </c>
      <c r="J2336" t="str">
        <v>Antarctica - Ross Sea Region - nominally between 160°E and 150°W but includes buffer on eastern hemisphere margin to include Transantarctic Mountains</v>
      </c>
      <c r="K2336" s="11">
        <v>0</v>
      </c>
    </row>
    <row r="2337" spans="5:11" x14ac:dyDescent="0.35">
      <c r="E2337" s="9" t="str">
        <v>EPSG</v>
      </c>
      <c r="F2337" s="7" t="str">
        <v>4765</v>
      </c>
      <c r="G2337" t="str">
        <v>Geographic2DCrs</v>
      </c>
      <c r="H2337" t="str">
        <v>&lt;undefined&gt;</v>
      </c>
      <c r="I2337" t="str">
        <v>Slovenia 1996</v>
      </c>
      <c r="J2337" t="str">
        <v>Slovenia - onshore and offshore.</v>
      </c>
      <c r="K2337" s="11">
        <v>0</v>
      </c>
    </row>
    <row r="2338" spans="5:11" x14ac:dyDescent="0.35">
      <c r="E2338" s="9" t="str">
        <v>EPSG</v>
      </c>
      <c r="F2338" s="7" t="str">
        <v>4766</v>
      </c>
      <c r="G2338" t="str">
        <v>ProjectedCrs</v>
      </c>
      <c r="H2338" t="str">
        <v>Transverse Mercator</v>
      </c>
      <c r="I2338" t="str">
        <v>New Beijing / 3-degree Gauss-Kruger zone 30</v>
      </c>
      <c r="J2338" t="str">
        <v>China - between 88°30'E and 91°30'E.</v>
      </c>
      <c r="K2338" s="11">
        <v>0</v>
      </c>
    </row>
    <row r="2339" spans="5:11" x14ac:dyDescent="0.35">
      <c r="E2339" s="9" t="str">
        <v>EPSG</v>
      </c>
      <c r="F2339" s="7" t="str">
        <v>4767</v>
      </c>
      <c r="G2339" t="str">
        <v>ProjectedCrs</v>
      </c>
      <c r="H2339" t="str">
        <v>Transverse Mercator</v>
      </c>
      <c r="I2339" t="str">
        <v>New Beijing / 3-degree Gauss-Kruger zone 31</v>
      </c>
      <c r="J2339" t="str">
        <v>China - between 91°30'E and 94°30'E.</v>
      </c>
      <c r="K2339" s="11">
        <v>0</v>
      </c>
    </row>
    <row r="2340" spans="5:11" x14ac:dyDescent="0.35">
      <c r="E2340" s="9" t="str">
        <v>EPSG</v>
      </c>
      <c r="F2340" s="7" t="str">
        <v>4768</v>
      </c>
      <c r="G2340" t="str">
        <v>ProjectedCrs</v>
      </c>
      <c r="H2340" t="str">
        <v>Transverse Mercator</v>
      </c>
      <c r="I2340" t="str">
        <v>New Beijing / 3-degree Gauss-Kruger zone 32</v>
      </c>
      <c r="J2340" t="str">
        <v>China - between 94°30'E and 97°30'E.</v>
      </c>
      <c r="K2340" s="11">
        <v>0</v>
      </c>
    </row>
    <row r="2341" spans="5:11" x14ac:dyDescent="0.35">
      <c r="E2341" s="9" t="str">
        <v>EPSG</v>
      </c>
      <c r="F2341" s="7" t="str">
        <v>4769</v>
      </c>
      <c r="G2341" t="str">
        <v>ProjectedCrs</v>
      </c>
      <c r="H2341" t="str">
        <v>Transverse Mercator</v>
      </c>
      <c r="I2341" t="str">
        <v>New Beijing / 3-degree Gauss-Kruger zone 33</v>
      </c>
      <c r="J2341" t="str">
        <v>China - between 97°30'E and 100°30'E.</v>
      </c>
      <c r="K2341" s="11">
        <v>0</v>
      </c>
    </row>
    <row r="2342" spans="5:11" x14ac:dyDescent="0.35">
      <c r="E2342" s="9" t="str">
        <v>EPSG</v>
      </c>
      <c r="F2342" s="7" t="str">
        <v>4770</v>
      </c>
      <c r="G2342" t="str">
        <v>ProjectedCrs</v>
      </c>
      <c r="H2342" t="str">
        <v>Transverse Mercator</v>
      </c>
      <c r="I2342" t="str">
        <v>New Beijing / 3-degree Gauss-Kruger zone 34</v>
      </c>
      <c r="J2342" t="str">
        <v>China - between 100°30'E and 103°30'E.</v>
      </c>
      <c r="K2342" s="11">
        <v>0</v>
      </c>
    </row>
    <row r="2343" spans="5:11" x14ac:dyDescent="0.35">
      <c r="E2343" s="9" t="str">
        <v>EPSG</v>
      </c>
      <c r="F2343" s="7" t="str">
        <v>4771</v>
      </c>
      <c r="G2343" t="str">
        <v>ProjectedCrs</v>
      </c>
      <c r="H2343" t="str">
        <v>Transverse Mercator</v>
      </c>
      <c r="I2343" t="str">
        <v>New Beijing / 3-degree Gauss-Kruger zone 35</v>
      </c>
      <c r="J2343" t="str">
        <v>China - between 103°30'E and 106°30'E.</v>
      </c>
      <c r="K2343" s="11">
        <v>0</v>
      </c>
    </row>
    <row r="2344" spans="5:11" x14ac:dyDescent="0.35">
      <c r="E2344" s="9" t="str">
        <v>EPSG</v>
      </c>
      <c r="F2344" s="7" t="str">
        <v>4772</v>
      </c>
      <c r="G2344" t="str">
        <v>ProjectedCrs</v>
      </c>
      <c r="H2344" t="str">
        <v>Transverse Mercator</v>
      </c>
      <c r="I2344" t="str">
        <v>New Beijing / 3-degree Gauss-Kruger zone 36</v>
      </c>
      <c r="J2344" t="str">
        <v>China - onshore between 106°30'E and 109°30'E.</v>
      </c>
      <c r="K2344" s="11">
        <v>0</v>
      </c>
    </row>
    <row r="2345" spans="5:11" x14ac:dyDescent="0.35">
      <c r="E2345" s="9" t="str">
        <v>EPSG</v>
      </c>
      <c r="F2345" s="7" t="str">
        <v>4773</v>
      </c>
      <c r="G2345" t="str">
        <v>ProjectedCrs</v>
      </c>
      <c r="H2345" t="str">
        <v>Transverse Mercator</v>
      </c>
      <c r="I2345" t="str">
        <v>New Beijing / 3-degree Gauss-Kruger zone 37</v>
      </c>
      <c r="J2345" t="str">
        <v>China - onshore between 109°30'E and 112°30'E.</v>
      </c>
      <c r="K2345" s="11">
        <v>0</v>
      </c>
    </row>
    <row r="2346" spans="5:11" x14ac:dyDescent="0.35">
      <c r="E2346" s="9" t="str">
        <v>EPSG</v>
      </c>
      <c r="F2346" s="7" t="str">
        <v>4774</v>
      </c>
      <c r="G2346" t="str">
        <v>ProjectedCrs</v>
      </c>
      <c r="H2346" t="str">
        <v>Transverse Mercator</v>
      </c>
      <c r="I2346" t="str">
        <v>New Beijing / 3-degree Gauss-Kruger zone 38</v>
      </c>
      <c r="J2346" t="str">
        <v>China - onshore between 112°30'E and 115°30'E.</v>
      </c>
      <c r="K2346" s="11">
        <v>0</v>
      </c>
    </row>
    <row r="2347" spans="5:11" x14ac:dyDescent="0.35">
      <c r="E2347" s="9" t="str">
        <v>EPSG</v>
      </c>
      <c r="F2347" s="7" t="str">
        <v>4775</v>
      </c>
      <c r="G2347" t="str">
        <v>ProjectedCrs</v>
      </c>
      <c r="H2347" t="str">
        <v>Transverse Mercator</v>
      </c>
      <c r="I2347" t="str">
        <v>New Beijing / 3-degree Gauss-Kruger zone 39</v>
      </c>
      <c r="J2347" t="str">
        <v>China - onshore between 115°30'E and 118°30'E.</v>
      </c>
      <c r="K2347" s="11">
        <v>0</v>
      </c>
    </row>
    <row r="2348" spans="5:11" x14ac:dyDescent="0.35">
      <c r="E2348" s="9" t="str">
        <v>EPSG</v>
      </c>
      <c r="F2348" s="7" t="str">
        <v>4776</v>
      </c>
      <c r="G2348" t="str">
        <v>ProjectedCrs</v>
      </c>
      <c r="H2348" t="str">
        <v>Transverse Mercator</v>
      </c>
      <c r="I2348" t="str">
        <v>New Beijing / 3-degree Gauss-Kruger zone 40</v>
      </c>
      <c r="J2348" t="str">
        <v>China - onshore between 118°30'E and 121°30'E.</v>
      </c>
      <c r="K2348" s="11">
        <v>0</v>
      </c>
    </row>
    <row r="2349" spans="5:11" x14ac:dyDescent="0.35">
      <c r="E2349" s="9" t="str">
        <v>EPSG</v>
      </c>
      <c r="F2349" s="7" t="str">
        <v>4777</v>
      </c>
      <c r="G2349" t="str">
        <v>ProjectedCrs</v>
      </c>
      <c r="H2349" t="str">
        <v>Transverse Mercator</v>
      </c>
      <c r="I2349" t="str">
        <v>New Beijing / 3-degree Gauss-Kruger zone 41</v>
      </c>
      <c r="J2349" t="str">
        <v>China - onshore between 121°30'E and 124°30'E.</v>
      </c>
      <c r="K2349" s="11">
        <v>0</v>
      </c>
    </row>
    <row r="2350" spans="5:11" x14ac:dyDescent="0.35">
      <c r="E2350" s="9" t="str">
        <v>EPSG</v>
      </c>
      <c r="F2350" s="7" t="str">
        <v>4778</v>
      </c>
      <c r="G2350" t="str">
        <v>ProjectedCrs</v>
      </c>
      <c r="H2350" t="str">
        <v>Transverse Mercator</v>
      </c>
      <c r="I2350" t="str">
        <v>New Beijing / 3-degree Gauss-Kruger zone 42</v>
      </c>
      <c r="J2350" t="str">
        <v>China - onshore between 124°30'E and 127°30'E.</v>
      </c>
      <c r="K2350" s="11">
        <v>0</v>
      </c>
    </row>
    <row r="2351" spans="5:11" x14ac:dyDescent="0.35">
      <c r="E2351" s="9" t="str">
        <v>EPSG</v>
      </c>
      <c r="F2351" s="7" t="str">
        <v>4779</v>
      </c>
      <c r="G2351" t="str">
        <v>ProjectedCrs</v>
      </c>
      <c r="H2351" t="str">
        <v>Transverse Mercator</v>
      </c>
      <c r="I2351" t="str">
        <v>New Beijing / 3-degree Gauss-Kruger zone 43</v>
      </c>
      <c r="J2351" t="str">
        <v>China - between 127°30'E and 130°30'E.</v>
      </c>
      <c r="K2351" s="11">
        <v>0</v>
      </c>
    </row>
    <row r="2352" spans="5:11" x14ac:dyDescent="0.35">
      <c r="E2352" s="9" t="str">
        <v>EPSG</v>
      </c>
      <c r="F2352" s="7" t="str">
        <v>4780</v>
      </c>
      <c r="G2352" t="str">
        <v>ProjectedCrs</v>
      </c>
      <c r="H2352" t="str">
        <v>Transverse Mercator</v>
      </c>
      <c r="I2352" t="str">
        <v>New Beijing / 3-degree Gauss-Kruger zone 44</v>
      </c>
      <c r="J2352" t="str">
        <v>China - between 130°30'E and 133°30'E.</v>
      </c>
      <c r="K2352" s="11">
        <v>0</v>
      </c>
    </row>
    <row r="2353" spans="5:11" x14ac:dyDescent="0.35">
      <c r="E2353" s="9" t="str">
        <v>EPSG</v>
      </c>
      <c r="F2353" s="7" t="str">
        <v>4781</v>
      </c>
      <c r="G2353" t="str">
        <v>ProjectedCrs</v>
      </c>
      <c r="H2353" t="str">
        <v>Transverse Mercator</v>
      </c>
      <c r="I2353" t="str">
        <v>New Beijing / 3-degree Gauss-Kruger zone 45</v>
      </c>
      <c r="J2353" t="str">
        <v>China - east of 133°30'E.</v>
      </c>
      <c r="K2353" s="11">
        <v>0</v>
      </c>
    </row>
    <row r="2354" spans="5:11" x14ac:dyDescent="0.35">
      <c r="E2354" s="9" t="str">
        <v>EPSG</v>
      </c>
      <c r="F2354" s="7" t="str">
        <v>4782</v>
      </c>
      <c r="G2354" t="str">
        <v>ProjectedCrs</v>
      </c>
      <c r="H2354" t="str">
        <v>Transverse Mercator</v>
      </c>
      <c r="I2354" t="str">
        <v>New Beijing / 3-degree Gauss-Kruger CM 75E</v>
      </c>
      <c r="J2354" t="str">
        <v>China - west of 76°30'E.</v>
      </c>
      <c r="K2354" s="11">
        <v>0</v>
      </c>
    </row>
    <row r="2355" spans="5:11" x14ac:dyDescent="0.35">
      <c r="E2355" s="9" t="str">
        <v>EPSG</v>
      </c>
      <c r="F2355" s="7" t="str">
        <v>4783</v>
      </c>
      <c r="G2355" t="str">
        <v>ProjectedCrs</v>
      </c>
      <c r="H2355" t="str">
        <v>Transverse Mercator</v>
      </c>
      <c r="I2355" t="str">
        <v>New Beijing / 3-degree Gauss-Kruger CM 78E</v>
      </c>
      <c r="J2355" t="str">
        <v>China - between 76°30'E and 79°30'E.</v>
      </c>
      <c r="K2355" s="11">
        <v>0</v>
      </c>
    </row>
    <row r="2356" spans="5:11" x14ac:dyDescent="0.35">
      <c r="E2356" s="9" t="str">
        <v>EPSG</v>
      </c>
      <c r="F2356" s="7" t="str">
        <v>4784</v>
      </c>
      <c r="G2356" t="str">
        <v>ProjectedCrs</v>
      </c>
      <c r="H2356" t="str">
        <v>Transverse Mercator</v>
      </c>
      <c r="I2356" t="str">
        <v>New Beijing / 3-degree Gauss-Kruger CM 81E</v>
      </c>
      <c r="J2356" t="str">
        <v>China - between 79°30'E and 82°30'E.</v>
      </c>
      <c r="K2356" s="11">
        <v>0</v>
      </c>
    </row>
    <row r="2357" spans="5:11" x14ac:dyDescent="0.35">
      <c r="E2357" s="9" t="str">
        <v>EPSG</v>
      </c>
      <c r="F2357" s="7" t="str">
        <v>4785</v>
      </c>
      <c r="G2357" t="str">
        <v>ProjectedCrs</v>
      </c>
      <c r="H2357" t="str">
        <v>Transverse Mercator</v>
      </c>
      <c r="I2357" t="str">
        <v>New Beijing / 3-degree Gauss-Kruger CM 84E</v>
      </c>
      <c r="J2357" t="str">
        <v>China - between 82°30'E and 85°30'E.</v>
      </c>
      <c r="K2357" s="11">
        <v>0</v>
      </c>
    </row>
    <row r="2358" spans="5:11" x14ac:dyDescent="0.35">
      <c r="E2358" s="9" t="str">
        <v>EPSG</v>
      </c>
      <c r="F2358" s="7" t="str">
        <v>4786</v>
      </c>
      <c r="G2358" t="str">
        <v>ProjectedCrs</v>
      </c>
      <c r="H2358" t="str">
        <v>Transverse Mercator</v>
      </c>
      <c r="I2358" t="str">
        <v>New Beijing / 3-degree Gauss-Kruger CM 87E</v>
      </c>
      <c r="J2358" t="str">
        <v>China - between 85°30'E and 88°30'E.</v>
      </c>
      <c r="K2358" s="11">
        <v>0</v>
      </c>
    </row>
    <row r="2359" spans="5:11" x14ac:dyDescent="0.35">
      <c r="E2359" s="9" t="str">
        <v>EPSG</v>
      </c>
      <c r="F2359" s="7" t="str">
        <v>4787</v>
      </c>
      <c r="G2359" t="str">
        <v>ProjectedCrs</v>
      </c>
      <c r="H2359" t="str">
        <v>Transverse Mercator</v>
      </c>
      <c r="I2359" t="str">
        <v>New Beijing / 3-degree Gauss-Kruger CM 90E</v>
      </c>
      <c r="J2359" t="str">
        <v>China - between 88°30'E and 91°30'E.</v>
      </c>
      <c r="K2359" s="11">
        <v>0</v>
      </c>
    </row>
    <row r="2360" spans="5:11" x14ac:dyDescent="0.35">
      <c r="E2360" s="9" t="str">
        <v>EPSG</v>
      </c>
      <c r="F2360" s="7" t="str">
        <v>4788</v>
      </c>
      <c r="G2360" t="str">
        <v>ProjectedCrs</v>
      </c>
      <c r="H2360" t="str">
        <v>Transverse Mercator</v>
      </c>
      <c r="I2360" t="str">
        <v>New Beijing / 3-degree Gauss-Kruger CM 93E</v>
      </c>
      <c r="J2360" t="str">
        <v>China - between 91°30'E and 94°30'E.</v>
      </c>
      <c r="K2360" s="11">
        <v>0</v>
      </c>
    </row>
    <row r="2361" spans="5:11" x14ac:dyDescent="0.35">
      <c r="E2361" s="9" t="str">
        <v>EPSG</v>
      </c>
      <c r="F2361" s="7" t="str">
        <v>4789</v>
      </c>
      <c r="G2361" t="str">
        <v>ProjectedCrs</v>
      </c>
      <c r="H2361" t="str">
        <v>Transverse Mercator</v>
      </c>
      <c r="I2361" t="str">
        <v>New Beijing / 3-degree Gauss-Kruger CM 96E</v>
      </c>
      <c r="J2361" t="str">
        <v>China - between 94°30'E and 97°30'E.</v>
      </c>
      <c r="K2361" s="11">
        <v>0</v>
      </c>
    </row>
    <row r="2362" spans="5:11" x14ac:dyDescent="0.35">
      <c r="E2362" s="9" t="str">
        <v>EPSG</v>
      </c>
      <c r="F2362" s="7" t="str">
        <v>4790</v>
      </c>
      <c r="G2362" t="str">
        <v>ProjectedCrs</v>
      </c>
      <c r="H2362" t="str">
        <v>Transverse Mercator</v>
      </c>
      <c r="I2362" t="str">
        <v>New Beijing / 3-degree Gauss-Kruger CM 99E</v>
      </c>
      <c r="J2362" t="str">
        <v>China - between 97°30'E and 100°30'E.</v>
      </c>
      <c r="K2362" s="11">
        <v>0</v>
      </c>
    </row>
    <row r="2363" spans="5:11" x14ac:dyDescent="0.35">
      <c r="E2363" s="9" t="str">
        <v>EPSG</v>
      </c>
      <c r="F2363" s="7" t="str">
        <v>4791</v>
      </c>
      <c r="G2363" t="str">
        <v>ProjectedCrs</v>
      </c>
      <c r="H2363" t="str">
        <v>Transverse Mercator</v>
      </c>
      <c r="I2363" t="str">
        <v>New Beijing / 3-degree Gauss-Kruger CM 102E</v>
      </c>
      <c r="J2363" t="str">
        <v>China - between 100°30'E and 103°30'E.</v>
      </c>
      <c r="K2363" s="11">
        <v>0</v>
      </c>
    </row>
    <row r="2364" spans="5:11" x14ac:dyDescent="0.35">
      <c r="E2364" s="9" t="str">
        <v>EPSG</v>
      </c>
      <c r="F2364" s="7" t="str">
        <v>4792</v>
      </c>
      <c r="G2364" t="str">
        <v>ProjectedCrs</v>
      </c>
      <c r="H2364" t="str">
        <v>Transverse Mercator</v>
      </c>
      <c r="I2364" t="str">
        <v>New Beijing / 3-degree Gauss-Kruger CM 105E</v>
      </c>
      <c r="J2364" t="str">
        <v>China - between 103°30'E and 106°30'E.</v>
      </c>
      <c r="K2364" s="11">
        <v>0</v>
      </c>
    </row>
    <row r="2365" spans="5:11" x14ac:dyDescent="0.35">
      <c r="E2365" s="9" t="str">
        <v>EPSG</v>
      </c>
      <c r="F2365" s="7" t="str">
        <v>4793</v>
      </c>
      <c r="G2365" t="str">
        <v>ProjectedCrs</v>
      </c>
      <c r="H2365" t="str">
        <v>Transverse Mercator</v>
      </c>
      <c r="I2365" t="str">
        <v>New Beijing / 3-degree Gauss-Kruger CM 108E</v>
      </c>
      <c r="J2365" t="str">
        <v>China - onshore between 106°30'E and 109°30'E.</v>
      </c>
      <c r="K2365" s="11">
        <v>0</v>
      </c>
    </row>
    <row r="2366" spans="5:11" x14ac:dyDescent="0.35">
      <c r="E2366" s="9" t="str">
        <v>EPSG</v>
      </c>
      <c r="F2366" s="7" t="str">
        <v>4794</v>
      </c>
      <c r="G2366" t="str">
        <v>ProjectedCrs</v>
      </c>
      <c r="H2366" t="str">
        <v>Transverse Mercator</v>
      </c>
      <c r="I2366" t="str">
        <v>New Beijing / 3-degree Gauss-Kruger CM 111E</v>
      </c>
      <c r="J2366" t="str">
        <v>China - onshore between 109°30'E and 112°30'E.</v>
      </c>
      <c r="K2366" s="11">
        <v>0</v>
      </c>
    </row>
    <row r="2367" spans="5:11" x14ac:dyDescent="0.35">
      <c r="E2367" s="9" t="str">
        <v>EPSG</v>
      </c>
      <c r="F2367" s="7" t="str">
        <v>4795</v>
      </c>
      <c r="G2367" t="str">
        <v>ProjectedCrs</v>
      </c>
      <c r="H2367" t="str">
        <v>Transverse Mercator</v>
      </c>
      <c r="I2367" t="str">
        <v>New Beijing / 3-degree Gauss-Kruger CM 114E</v>
      </c>
      <c r="J2367" t="str">
        <v>China - onshore between 112°30'E and 115°30'E.</v>
      </c>
      <c r="K2367" s="11">
        <v>0</v>
      </c>
    </row>
    <row r="2368" spans="5:11" x14ac:dyDescent="0.35">
      <c r="E2368" s="9" t="str">
        <v>EPSG</v>
      </c>
      <c r="F2368" s="7" t="str">
        <v>4796</v>
      </c>
      <c r="G2368" t="str">
        <v>ProjectedCrs</v>
      </c>
      <c r="H2368" t="str">
        <v>Transverse Mercator</v>
      </c>
      <c r="I2368" t="str">
        <v>New Beijing / 3-degree Gauss-Kruger CM 117E</v>
      </c>
      <c r="J2368" t="str">
        <v>China - onshore between 115°30'E and 118°30'E.</v>
      </c>
      <c r="K2368" s="11">
        <v>0</v>
      </c>
    </row>
    <row r="2369" spans="5:11" x14ac:dyDescent="0.35">
      <c r="E2369" s="9" t="str">
        <v>EPSG</v>
      </c>
      <c r="F2369" s="7" t="str">
        <v>4797</v>
      </c>
      <c r="G2369" t="str">
        <v>ProjectedCrs</v>
      </c>
      <c r="H2369" t="str">
        <v>Transverse Mercator</v>
      </c>
      <c r="I2369" t="str">
        <v>New Beijing / 3-degree Gauss-Kruger CM 120E</v>
      </c>
      <c r="J2369" t="str">
        <v>China - onshore between 118°30'E and 121°30'E.</v>
      </c>
      <c r="K2369" s="11">
        <v>0</v>
      </c>
    </row>
    <row r="2370" spans="5:11" x14ac:dyDescent="0.35">
      <c r="E2370" s="9" t="str">
        <v>EPSG</v>
      </c>
      <c r="F2370" s="7" t="str">
        <v>4798</v>
      </c>
      <c r="G2370" t="str">
        <v>ProjectedCrs</v>
      </c>
      <c r="H2370" t="str">
        <v>Transverse Mercator</v>
      </c>
      <c r="I2370" t="str">
        <v>New Beijing / 3-degree Gauss-Kruger CM 123E</v>
      </c>
      <c r="J2370" t="str">
        <v>China - onshore between 121°30'E and 124°30'E.</v>
      </c>
      <c r="K2370" s="11">
        <v>0</v>
      </c>
    </row>
    <row r="2371" spans="5:11" x14ac:dyDescent="0.35">
      <c r="E2371" s="9" t="str">
        <v>EPSG</v>
      </c>
      <c r="F2371" s="7" t="str">
        <v>4799</v>
      </c>
      <c r="G2371" t="str">
        <v>ProjectedCrs</v>
      </c>
      <c r="H2371" t="str">
        <v>Transverse Mercator</v>
      </c>
      <c r="I2371" t="str">
        <v>New Beijing / 3-degree Gauss-Kruger CM 126E</v>
      </c>
      <c r="J2371" t="str">
        <v>China - onshore between 124°30'E and 127°30'E.</v>
      </c>
      <c r="K2371" s="11">
        <v>0</v>
      </c>
    </row>
    <row r="2372" spans="5:11" x14ac:dyDescent="0.35">
      <c r="E2372" s="9" t="str">
        <v>EPSG</v>
      </c>
      <c r="F2372" s="7" t="str">
        <v>4800</v>
      </c>
      <c r="G2372" t="str">
        <v>ProjectedCrs</v>
      </c>
      <c r="H2372" t="str">
        <v>Transverse Mercator</v>
      </c>
      <c r="I2372" t="str">
        <v>New Beijing / 3-degree Gauss-Kruger CM 129E</v>
      </c>
      <c r="J2372" t="str">
        <v>China - between 127°30'E and 130°30'E.</v>
      </c>
      <c r="K2372" s="11">
        <v>0</v>
      </c>
    </row>
    <row r="2373" spans="5:11" x14ac:dyDescent="0.35">
      <c r="E2373" s="9" t="str">
        <v>EPSG</v>
      </c>
      <c r="F2373" s="7" t="str">
        <v>4801</v>
      </c>
      <c r="G2373" t="str">
        <v>Geographic2DCrs</v>
      </c>
      <c r="H2373" t="str">
        <v>&lt;undefined&gt;</v>
      </c>
      <c r="I2373" t="str">
        <v>CH1903 (Bern)</v>
      </c>
      <c r="J2373" t="str">
        <v>Liechtenstein; Switzerland.</v>
      </c>
      <c r="K2373" s="11">
        <v>0</v>
      </c>
    </row>
    <row r="2374" spans="5:11" x14ac:dyDescent="0.35">
      <c r="E2374" s="9" t="str">
        <v>EPSG</v>
      </c>
      <c r="F2374" s="7" t="str">
        <v>4802</v>
      </c>
      <c r="G2374" t="str">
        <v>Geographic2DCrs</v>
      </c>
      <c r="H2374" t="str">
        <v>&lt;undefined&gt;</v>
      </c>
      <c r="I2374" t="str">
        <v>Bogota 1975 (Bogota)</v>
      </c>
      <c r="J2374" t="str">
        <v>Colombia - mainland onshore.</v>
      </c>
      <c r="K2374" s="11">
        <v>0</v>
      </c>
    </row>
    <row r="2375" spans="5:11" x14ac:dyDescent="0.35">
      <c r="E2375" s="9" t="str">
        <v>EPSG</v>
      </c>
      <c r="F2375" s="7" t="str">
        <v>4803</v>
      </c>
      <c r="G2375" t="str">
        <v>Geographic2DCrs</v>
      </c>
      <c r="H2375" t="str">
        <v>&lt;undefined&gt;</v>
      </c>
      <c r="I2375" t="str">
        <v>Lisbon (Lisbon)</v>
      </c>
      <c r="J2375" t="str">
        <v>Portugal - mainland - onshore.</v>
      </c>
      <c r="K2375" s="11">
        <v>0</v>
      </c>
    </row>
    <row r="2376" spans="5:11" x14ac:dyDescent="0.35">
      <c r="E2376" s="9" t="str">
        <v>EPSG</v>
      </c>
      <c r="F2376" s="7" t="str">
        <v>4804</v>
      </c>
      <c r="G2376" t="str">
        <v>Geographic2DCrs</v>
      </c>
      <c r="H2376" t="str">
        <v>&lt;undefined&gt;</v>
      </c>
      <c r="I2376" t="str">
        <v>Makassar (Jakarta)</v>
      </c>
      <c r="J2376" t="str">
        <v>Indonesia - south west Sulawesi.</v>
      </c>
      <c r="K2376" s="11">
        <v>0</v>
      </c>
    </row>
    <row r="2377" spans="5:11" x14ac:dyDescent="0.35">
      <c r="E2377" s="9" t="str">
        <v>EPSG</v>
      </c>
      <c r="F2377" s="7" t="str">
        <v>4805</v>
      </c>
      <c r="G2377" t="str">
        <v>Geographic2DCrs</v>
      </c>
      <c r="H2377" t="str">
        <v>&lt;undefined&gt;</v>
      </c>
      <c r="I2377" t="str">
        <v>MGI (Ferro)</v>
      </c>
      <c r="J2377" t="str">
        <v>Austria. Bosnia and Herzegovina. Croatia - onshore. Kosovo. Montenegro - onshore. North Macedonia. Serbia. Slovenia - onshore.</v>
      </c>
      <c r="K2377" s="11">
        <v>0</v>
      </c>
    </row>
    <row r="2378" spans="5:11" x14ac:dyDescent="0.35">
      <c r="E2378" s="9" t="str">
        <v>EPSG</v>
      </c>
      <c r="F2378" s="7" t="str">
        <v>4806</v>
      </c>
      <c r="G2378" t="str">
        <v>Geographic2DCrs</v>
      </c>
      <c r="H2378" t="str">
        <v>&lt;undefined&gt;</v>
      </c>
      <c r="I2378" t="str">
        <v>Monte Mario (Rome)</v>
      </c>
      <c r="J2378" t="str">
        <v>Italy - onshore and offshore; San Marino, Vatican City State.</v>
      </c>
      <c r="K2378" s="11">
        <v>0</v>
      </c>
    </row>
    <row r="2379" spans="5:11" x14ac:dyDescent="0.35">
      <c r="E2379" s="9" t="str">
        <v>EPSG</v>
      </c>
      <c r="F2379" s="7" t="str">
        <v>4807</v>
      </c>
      <c r="G2379" t="str">
        <v>Geographic2DCrs</v>
      </c>
      <c r="H2379" t="str">
        <v>&lt;undefined&gt;</v>
      </c>
      <c r="I2379" t="str">
        <v>NTF (Paris)</v>
      </c>
      <c r="J2379" t="str">
        <v>France - onshore - mainland and Corsica.</v>
      </c>
      <c r="K2379" s="11">
        <v>0</v>
      </c>
    </row>
    <row r="2380" spans="5:11" x14ac:dyDescent="0.35">
      <c r="E2380" s="9" t="str">
        <v>EPSG</v>
      </c>
      <c r="F2380" s="7" t="str">
        <v>4809</v>
      </c>
      <c r="G2380" t="str">
        <v>Geographic2DCrs</v>
      </c>
      <c r="H2380" t="str">
        <v>&lt;undefined&gt;</v>
      </c>
      <c r="I2380" t="str">
        <v>BD50 (Brussels)</v>
      </c>
      <c r="J2380" t="str">
        <v>Belgium - onshore.</v>
      </c>
      <c r="K2380" s="11">
        <v>0</v>
      </c>
    </row>
    <row r="2381" spans="5:11" x14ac:dyDescent="0.35">
      <c r="E2381" s="9" t="str">
        <v>EPSG</v>
      </c>
      <c r="F2381" s="7" t="str">
        <v>4810</v>
      </c>
      <c r="G2381" t="str">
        <v>Geographic2DCrs</v>
      </c>
      <c r="H2381" t="str">
        <v>&lt;undefined&gt;</v>
      </c>
      <c r="I2381" t="str">
        <v>Tananarive (Paris)</v>
      </c>
      <c r="J2381" t="str">
        <v>Madagascar - onshore.</v>
      </c>
      <c r="K2381" s="11">
        <v>0</v>
      </c>
    </row>
    <row r="2382" spans="5:11" x14ac:dyDescent="0.35">
      <c r="E2382" s="9" t="str">
        <v>EPSG</v>
      </c>
      <c r="F2382" s="7" t="str">
        <v>4811</v>
      </c>
      <c r="G2382" t="str">
        <v>Geographic2DCrs</v>
      </c>
      <c r="H2382" t="str">
        <v>&lt;undefined&gt;</v>
      </c>
      <c r="I2382" t="str">
        <v>Voirol 1875 (Paris)</v>
      </c>
      <c r="J2382" t="str">
        <v>Algeria - onshore north of 32°N.</v>
      </c>
      <c r="K2382" s="11">
        <v>0</v>
      </c>
    </row>
    <row r="2383" spans="5:11" x14ac:dyDescent="0.35">
      <c r="E2383" s="9" t="str">
        <v>EPSG</v>
      </c>
      <c r="F2383" s="7" t="str">
        <v>4812</v>
      </c>
      <c r="G2383" t="str">
        <v>ProjectedCrs</v>
      </c>
      <c r="H2383" t="str">
        <v>Transverse Mercator</v>
      </c>
      <c r="I2383" t="str">
        <v>New Beijing / 3-degree Gauss-Kruger CM 132E</v>
      </c>
      <c r="J2383" t="str">
        <v>China - between 130°30'E and 133°30'E.</v>
      </c>
      <c r="K2383" s="11">
        <v>0</v>
      </c>
    </row>
    <row r="2384" spans="5:11" x14ac:dyDescent="0.35">
      <c r="E2384" s="9" t="str">
        <v>EPSG</v>
      </c>
      <c r="F2384" s="7" t="str">
        <v>4813</v>
      </c>
      <c r="G2384" t="str">
        <v>Geographic2DCrs</v>
      </c>
      <c r="H2384" t="str">
        <v>&lt;undefined&gt;</v>
      </c>
      <c r="I2384" t="str">
        <v>Batavia (Jakarta)</v>
      </c>
      <c r="J2384" t="str">
        <v>Indonesia - onshore - Bali, Java and western Sumatra.</v>
      </c>
      <c r="K2384" s="11">
        <v>0</v>
      </c>
    </row>
    <row r="2385" spans="5:11" x14ac:dyDescent="0.35">
      <c r="E2385" s="9" t="str">
        <v>EPSG</v>
      </c>
      <c r="F2385" s="7" t="str">
        <v>4814</v>
      </c>
      <c r="G2385" t="str">
        <v>Geographic2DCrs</v>
      </c>
      <c r="H2385" t="str">
        <v>&lt;undefined&gt;</v>
      </c>
      <c r="I2385" t="str">
        <v>RT38 (Stockholm)</v>
      </c>
      <c r="J2385" t="str">
        <v>Sweden - onshore.</v>
      </c>
      <c r="K2385" s="11">
        <v>0</v>
      </c>
    </row>
    <row r="2386" spans="5:11" x14ac:dyDescent="0.35">
      <c r="E2386" s="9" t="str">
        <v>EPSG</v>
      </c>
      <c r="F2386" s="7" t="str">
        <v>4815</v>
      </c>
      <c r="G2386" t="str">
        <v>Geographic2DCrs</v>
      </c>
      <c r="H2386" t="str">
        <v>&lt;undefined&gt;</v>
      </c>
      <c r="I2386" t="str">
        <v>Greek (Athens)</v>
      </c>
      <c r="J2386" t="str">
        <v>Greece - onshore.</v>
      </c>
      <c r="K2386" s="11">
        <v>0</v>
      </c>
    </row>
    <row r="2387" spans="5:11" x14ac:dyDescent="0.35">
      <c r="E2387" s="9" t="str">
        <v>EPSG</v>
      </c>
      <c r="F2387" s="7" t="str">
        <v>4816</v>
      </c>
      <c r="G2387" t="str">
        <v>Geographic2DCrs</v>
      </c>
      <c r="H2387" t="str">
        <v>&lt;undefined&gt;</v>
      </c>
      <c r="I2387" t="str">
        <v>Carthage (Paris)</v>
      </c>
      <c r="J2387" t="str">
        <v>Tunisia - onshore.</v>
      </c>
      <c r="K2387" s="11">
        <v>0</v>
      </c>
    </row>
    <row r="2388" spans="5:11" x14ac:dyDescent="0.35">
      <c r="E2388" s="9" t="str">
        <v>EPSG</v>
      </c>
      <c r="F2388" s="7" t="str">
        <v>4817</v>
      </c>
      <c r="G2388" t="str">
        <v>Geographic2DCrs</v>
      </c>
      <c r="H2388" t="str">
        <v>&lt;undefined&gt;</v>
      </c>
      <c r="I2388" t="str">
        <v>NGO 1948 (Oslo)</v>
      </c>
      <c r="J2388" t="str">
        <v>Norway - onshore.</v>
      </c>
      <c r="K2388" s="11">
        <v>0</v>
      </c>
    </row>
    <row r="2389" spans="5:11" x14ac:dyDescent="0.35">
      <c r="E2389" s="9" t="str">
        <v>EPSG</v>
      </c>
      <c r="F2389" s="7" t="str">
        <v>4818</v>
      </c>
      <c r="G2389" t="str">
        <v>Geographic2DCrs</v>
      </c>
      <c r="H2389" t="str">
        <v>&lt;undefined&gt;</v>
      </c>
      <c r="I2389" t="str">
        <v>S-JTSK (Ferro)</v>
      </c>
      <c r="J2389" t="str">
        <v>Czechia; Slovakia.</v>
      </c>
      <c r="K2389" s="11">
        <v>0</v>
      </c>
    </row>
    <row r="2390" spans="5:11" x14ac:dyDescent="0.35">
      <c r="E2390" s="9" t="str">
        <v>EPSG</v>
      </c>
      <c r="F2390" s="7" t="str">
        <v>4820</v>
      </c>
      <c r="G2390" t="str">
        <v>Geographic2DCrs</v>
      </c>
      <c r="H2390" t="str">
        <v>&lt;undefined&gt;</v>
      </c>
      <c r="I2390" t="str">
        <v>Segara (Jakarta)</v>
      </c>
      <c r="J2390" t="str">
        <v>Indonesia - Kalimantan - onshore east coastal area including Mahakam delta coastal and offshore shelf areas.</v>
      </c>
      <c r="K2390" s="11">
        <v>0</v>
      </c>
    </row>
    <row r="2391" spans="5:11" x14ac:dyDescent="0.35">
      <c r="E2391" s="9" t="str">
        <v>EPSG</v>
      </c>
      <c r="F2391" s="7" t="str">
        <v>4821</v>
      </c>
      <c r="G2391" t="str">
        <v>Geographic2DCrs</v>
      </c>
      <c r="H2391" t="str">
        <v>&lt;undefined&gt;</v>
      </c>
      <c r="I2391" t="str">
        <v>Voirol 1879 (Paris)</v>
      </c>
      <c r="J2391" t="str">
        <v>Algeria - onshore north of 32°N.</v>
      </c>
      <c r="K2391" s="11">
        <v>0</v>
      </c>
    </row>
    <row r="2392" spans="5:11" x14ac:dyDescent="0.35">
      <c r="E2392" s="9" t="str">
        <v>EPSG</v>
      </c>
      <c r="F2392" s="7" t="str">
        <v>4822</v>
      </c>
      <c r="G2392" t="str">
        <v>ProjectedCrs</v>
      </c>
      <c r="H2392" t="str">
        <v>Transverse Mercator</v>
      </c>
      <c r="I2392" t="str">
        <v>New Beijing / 3-degree Gauss-Kruger CM 135E</v>
      </c>
      <c r="J2392" t="str">
        <v>China - east of 133°30'E.</v>
      </c>
      <c r="K2392" s="11">
        <v>0</v>
      </c>
    </row>
    <row r="2393" spans="5:11" x14ac:dyDescent="0.35">
      <c r="E2393" s="9" t="str">
        <v>EPSG</v>
      </c>
      <c r="F2393" s="7" t="str">
        <v>4823</v>
      </c>
      <c r="G2393" t="str">
        <v>Geographic2DCrs</v>
      </c>
      <c r="H2393" t="str">
        <v>&lt;undefined&gt;</v>
      </c>
      <c r="I2393" t="str">
        <v>Sao Tome</v>
      </c>
      <c r="J2393" t="str">
        <v>Sao Tome and Principe - onshore - Sao Tome.</v>
      </c>
      <c r="K2393" s="11">
        <v>0</v>
      </c>
    </row>
    <row r="2394" spans="5:11" x14ac:dyDescent="0.35">
      <c r="E2394" s="9" t="str">
        <v>EPSG</v>
      </c>
      <c r="F2394" s="7" t="str">
        <v>4824</v>
      </c>
      <c r="G2394" t="str">
        <v>Geographic2DCrs</v>
      </c>
      <c r="H2394" t="str">
        <v>&lt;undefined&gt;</v>
      </c>
      <c r="I2394" t="str">
        <v>Principe</v>
      </c>
      <c r="J2394" t="str">
        <v>Sao Tome and Principe - onshore - Principe.</v>
      </c>
      <c r="K2394" s="11">
        <v>0</v>
      </c>
    </row>
    <row r="2395" spans="5:11" x14ac:dyDescent="0.35">
      <c r="E2395" s="9" t="str">
        <v>EPSG</v>
      </c>
      <c r="F2395" s="7" t="str">
        <v>4826</v>
      </c>
      <c r="G2395" t="str">
        <v>ProjectedCrs</v>
      </c>
      <c r="H2395" t="str">
        <v>Lambert Conic Conformal (2SP)</v>
      </c>
      <c r="I2395" t="str">
        <v>WGS 84 / Cape Verde National</v>
      </c>
      <c r="J2395" t="str">
        <v>Cape Verde - onshore and offshore. Includes Boa Vista, Brava, Fogo, Maio, Sal, Santo Antao, Sao Nicolau, Sao Tiago, Sao Vicente.</v>
      </c>
      <c r="K2395" s="11">
        <v>0</v>
      </c>
    </row>
    <row r="2396" spans="5:11" x14ac:dyDescent="0.35">
      <c r="E2396" s="9" t="str">
        <v>EPSG</v>
      </c>
      <c r="F2396" s="7" t="str">
        <v>4839</v>
      </c>
      <c r="G2396" t="str">
        <v>ProjectedCrs</v>
      </c>
      <c r="H2396" t="str">
        <v>Lambert Conic Conformal (2SP)</v>
      </c>
      <c r="I2396" t="str">
        <v>ETRS89 / LCC Germany (N-E)</v>
      </c>
      <c r="J2396" t="str">
        <v>Germany - onshore - states of Baden-Wurtemberg, Bayern, Berlin, Brandenburg, Bremen, Hamburg, Hessen, Mecklenburg-Vorpommern, Niedersachsen, Nordrhein-Westfalen, Rheinland-Pfalz, Saarland, Sachsen, Sachsen-Anhalt, Schleswig-Holstein, Thuringen.</v>
      </c>
      <c r="K2396" s="11">
        <v>0</v>
      </c>
    </row>
    <row r="2397" spans="5:11" x14ac:dyDescent="0.35">
      <c r="E2397" s="9" t="str">
        <v>EPSG</v>
      </c>
      <c r="F2397" s="7" t="str">
        <v>4882</v>
      </c>
      <c r="G2397" t="str">
        <v>GeocentricCrs</v>
      </c>
      <c r="H2397" t="str">
        <v>&lt;undefined&gt;</v>
      </c>
      <c r="I2397" t="str">
        <v>Slovenia 1996</v>
      </c>
      <c r="J2397" t="str">
        <v>Slovenia - onshore and offshore.</v>
      </c>
      <c r="K2397" s="11">
        <v>0</v>
      </c>
    </row>
    <row r="2398" spans="5:11" x14ac:dyDescent="0.35">
      <c r="E2398" s="9" t="str">
        <v>EPSG</v>
      </c>
      <c r="F2398" s="7" t="str">
        <v>4883</v>
      </c>
      <c r="G2398" t="str">
        <v>Geographic3DCrs</v>
      </c>
      <c r="H2398" t="str">
        <v>&lt;undefined&gt;</v>
      </c>
      <c r="I2398" t="str">
        <v>Slovenia 1996</v>
      </c>
      <c r="J2398" t="str">
        <v>Slovenia - onshore and offshore.</v>
      </c>
      <c r="K2398" s="11">
        <v>0</v>
      </c>
    </row>
    <row r="2399" spans="5:11" x14ac:dyDescent="0.35">
      <c r="E2399" s="9" t="str">
        <v>EPSG</v>
      </c>
      <c r="F2399" s="7" t="str">
        <v>4884</v>
      </c>
      <c r="G2399" t="str">
        <v>GeocentricCrs</v>
      </c>
      <c r="H2399" t="str">
        <v>&lt;undefined&gt;</v>
      </c>
      <c r="I2399" t="str">
        <v>RSRGD2000</v>
      </c>
      <c r="J2399" t="str">
        <v>Antarctica - Ross Sea Region - nominally between 160°E and 150°W but includes buffer on eastern hemisphere margin to include Transantarctic Mountains</v>
      </c>
      <c r="K2399" s="11">
        <v>0</v>
      </c>
    </row>
    <row r="2400" spans="5:11" x14ac:dyDescent="0.35">
      <c r="E2400" s="9" t="str">
        <v>EPSG</v>
      </c>
      <c r="F2400" s="7" t="str">
        <v>4885</v>
      </c>
      <c r="G2400" t="str">
        <v>Geographic3DCrs</v>
      </c>
      <c r="H2400" t="str">
        <v>&lt;undefined&gt;</v>
      </c>
      <c r="I2400" t="str">
        <v>RSRGD2000</v>
      </c>
      <c r="J2400" t="str">
        <v>Antarctica - Ross Sea Region - nominally between 160°E and 150°W but includes buffer on eastern hemisphere margin to include Transantarctic Mountains</v>
      </c>
      <c r="K2400" s="11">
        <v>0</v>
      </c>
    </row>
    <row r="2401" spans="5:11" x14ac:dyDescent="0.35">
      <c r="E2401" s="9" t="str">
        <v>EPSG</v>
      </c>
      <c r="F2401" s="7" t="str">
        <v>4886</v>
      </c>
      <c r="G2401" t="str">
        <v>GeocentricCrs</v>
      </c>
      <c r="H2401" t="str">
        <v>&lt;undefined&gt;</v>
      </c>
      <c r="I2401" t="str">
        <v>BDA2000</v>
      </c>
      <c r="J2401" t="str">
        <v>Bermuda - onshore and offshore.</v>
      </c>
      <c r="K2401" s="11">
        <v>0</v>
      </c>
    </row>
    <row r="2402" spans="5:11" x14ac:dyDescent="0.35">
      <c r="E2402" s="9" t="str">
        <v>EPSG</v>
      </c>
      <c r="F2402" s="7" t="str">
        <v>4887</v>
      </c>
      <c r="G2402" t="str">
        <v>Geographic3DCrs</v>
      </c>
      <c r="H2402" t="str">
        <v>&lt;undefined&gt;</v>
      </c>
      <c r="I2402" t="str">
        <v>BDA2000</v>
      </c>
      <c r="J2402" t="str">
        <v>Bermuda - onshore and offshore.</v>
      </c>
      <c r="K2402" s="11">
        <v>0</v>
      </c>
    </row>
    <row r="2403" spans="5:11" x14ac:dyDescent="0.35">
      <c r="E2403" s="9" t="str">
        <v>EPSG</v>
      </c>
      <c r="F2403" s="7" t="str">
        <v>4888</v>
      </c>
      <c r="G2403" t="str">
        <v>GeocentricCrs</v>
      </c>
      <c r="H2403" t="str">
        <v>&lt;undefined&gt;</v>
      </c>
      <c r="I2403" t="str">
        <v>HTRS96</v>
      </c>
      <c r="J2403" t="str">
        <v>Croatia - onshore and offshore.</v>
      </c>
      <c r="K2403" s="11">
        <v>0</v>
      </c>
    </row>
    <row r="2404" spans="5:11" x14ac:dyDescent="0.35">
      <c r="E2404" s="9" t="str">
        <v>EPSG</v>
      </c>
      <c r="F2404" s="7" t="str">
        <v>4889</v>
      </c>
      <c r="G2404" t="str">
        <v>Geographic3DCrs</v>
      </c>
      <c r="H2404" t="str">
        <v>&lt;undefined&gt;</v>
      </c>
      <c r="I2404" t="str">
        <v>HTRS96</v>
      </c>
      <c r="J2404" t="str">
        <v>Croatia - onshore and offshore.</v>
      </c>
      <c r="K2404" s="11">
        <v>0</v>
      </c>
    </row>
    <row r="2405" spans="5:11" x14ac:dyDescent="0.35">
      <c r="E2405" s="9" t="str">
        <v>EPSG</v>
      </c>
      <c r="F2405" s="7" t="str">
        <v>4890</v>
      </c>
      <c r="G2405" t="str">
        <v>GeocentricCrs</v>
      </c>
      <c r="H2405" t="str">
        <v>&lt;undefined&gt;</v>
      </c>
      <c r="I2405" t="str">
        <v>WGS 66</v>
      </c>
      <c r="J2405" t="str">
        <v>World.</v>
      </c>
      <c r="K2405" s="11">
        <v>0</v>
      </c>
    </row>
    <row r="2406" spans="5:11" x14ac:dyDescent="0.35">
      <c r="E2406" s="9" t="str">
        <v>EPSG</v>
      </c>
      <c r="F2406" s="7" t="str">
        <v>4891</v>
      </c>
      <c r="G2406" t="str">
        <v>Geographic3DCrs</v>
      </c>
      <c r="H2406" t="str">
        <v>&lt;undefined&gt;</v>
      </c>
      <c r="I2406" t="str">
        <v>WGS 66</v>
      </c>
      <c r="J2406" t="str">
        <v>World.</v>
      </c>
      <c r="K2406" s="11">
        <v>0</v>
      </c>
    </row>
    <row r="2407" spans="5:11" x14ac:dyDescent="0.35">
      <c r="E2407" s="9" t="str">
        <v>EPSG</v>
      </c>
      <c r="F2407" s="7" t="str">
        <v>4892</v>
      </c>
      <c r="G2407" t="str">
        <v>GeocentricCrs</v>
      </c>
      <c r="H2407" t="str">
        <v>&lt;undefined&gt;</v>
      </c>
      <c r="I2407" t="str">
        <v>NAD83(NSRS2007)</v>
      </c>
      <c r="J2407"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2407" s="11">
        <v>0</v>
      </c>
    </row>
    <row r="2408" spans="5:11" x14ac:dyDescent="0.35">
      <c r="E2408" s="9" t="str">
        <v>EPSG</v>
      </c>
      <c r="F2408" s="7" t="str">
        <v>4893</v>
      </c>
      <c r="G2408" t="str">
        <v>Geographic3DCrs</v>
      </c>
      <c r="H2408" t="str">
        <v>&lt;undefined&gt;</v>
      </c>
      <c r="I2408" t="str">
        <v>NAD83(NSRS2007)</v>
      </c>
      <c r="J2408"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2408" s="11">
        <v>0</v>
      </c>
    </row>
    <row r="2409" spans="5:11" x14ac:dyDescent="0.35">
      <c r="E2409" s="9" t="str">
        <v>EPSG</v>
      </c>
      <c r="F2409" s="7" t="str">
        <v>4894</v>
      </c>
      <c r="G2409" t="str">
        <v>GeocentricCrs</v>
      </c>
      <c r="H2409" t="str">
        <v>&lt;undefined&gt;</v>
      </c>
      <c r="I2409" t="str">
        <v>JAD2001</v>
      </c>
      <c r="J2409" t="str">
        <v>Jamaica - onshore and offshore. Includes Morant Cays and Pedro Cays.</v>
      </c>
      <c r="K2409" s="11">
        <v>0</v>
      </c>
    </row>
    <row r="2410" spans="5:11" x14ac:dyDescent="0.35">
      <c r="E2410" s="9" t="str">
        <v>EPSG</v>
      </c>
      <c r="F2410" s="7" t="str">
        <v>4895</v>
      </c>
      <c r="G2410" t="str">
        <v>Geographic3DCrs</v>
      </c>
      <c r="H2410" t="str">
        <v>&lt;undefined&gt;</v>
      </c>
      <c r="I2410" t="str">
        <v>JAD2001</v>
      </c>
      <c r="J2410" t="str">
        <v>Jamaica - onshore and offshore. Includes Morant Cays and Pedro Cays.</v>
      </c>
      <c r="K2410" s="11">
        <v>0</v>
      </c>
    </row>
    <row r="2411" spans="5:11" x14ac:dyDescent="0.35">
      <c r="E2411" s="9" t="str">
        <v>EPSG</v>
      </c>
      <c r="F2411" s="7" t="str">
        <v>4896</v>
      </c>
      <c r="G2411" t="str">
        <v>GeocentricCrs</v>
      </c>
      <c r="H2411" t="str">
        <v>&lt;undefined&gt;</v>
      </c>
      <c r="I2411" t="str">
        <v>ITRF2005</v>
      </c>
      <c r="J2411" t="str">
        <v>World.</v>
      </c>
      <c r="K2411" s="11">
        <v>0</v>
      </c>
    </row>
    <row r="2412" spans="5:11" x14ac:dyDescent="0.35">
      <c r="E2412" s="9" t="str">
        <v>EPSG</v>
      </c>
      <c r="F2412" s="7" t="str">
        <v>4897</v>
      </c>
      <c r="G2412" t="str">
        <v>GeocentricCrs</v>
      </c>
      <c r="H2412" t="str">
        <v>&lt;undefined&gt;</v>
      </c>
      <c r="I2412" t="str">
        <v>DGN95</v>
      </c>
      <c r="J2412" t="str">
        <v>Indonesia - onshore and offshore.</v>
      </c>
      <c r="K2412" s="11">
        <v>0</v>
      </c>
    </row>
    <row r="2413" spans="5:11" x14ac:dyDescent="0.35">
      <c r="E2413" s="9" t="str">
        <v>EPSG</v>
      </c>
      <c r="F2413" s="7" t="str">
        <v>4898</v>
      </c>
      <c r="G2413" t="str">
        <v>Geographic3DCrs</v>
      </c>
      <c r="H2413" t="str">
        <v>&lt;undefined&gt;</v>
      </c>
      <c r="I2413" t="str">
        <v>DGN95</v>
      </c>
      <c r="J2413" t="str">
        <v>Indonesia - onshore and offshore.</v>
      </c>
      <c r="K2413" s="11">
        <v>0</v>
      </c>
    </row>
    <row r="2414" spans="5:11" x14ac:dyDescent="0.35">
      <c r="E2414" s="9" t="str">
        <v>EPSG</v>
      </c>
      <c r="F2414" s="7" t="str">
        <v>4899</v>
      </c>
      <c r="G2414" t="str">
        <v>GeocentricCrs</v>
      </c>
      <c r="H2414" t="str">
        <v>&lt;undefined&gt;</v>
      </c>
      <c r="I2414" t="str">
        <v>LGD2006</v>
      </c>
      <c r="J2414" t="str">
        <v>Libya - onshore and offshore.</v>
      </c>
      <c r="K2414" s="11">
        <v>0</v>
      </c>
    </row>
    <row r="2415" spans="5:11" x14ac:dyDescent="0.35">
      <c r="E2415" s="9" t="str">
        <v>EPSG</v>
      </c>
      <c r="F2415" s="7" t="str">
        <v>4900</v>
      </c>
      <c r="G2415" t="str">
        <v>Geographic3DCrs</v>
      </c>
      <c r="H2415" t="str">
        <v>&lt;undefined&gt;</v>
      </c>
      <c r="I2415" t="str">
        <v>LGD2006</v>
      </c>
      <c r="J2415" t="str">
        <v>Libya - onshore and offshore.</v>
      </c>
      <c r="K2415" s="11">
        <v>0</v>
      </c>
    </row>
    <row r="2416" spans="5:11" x14ac:dyDescent="0.35">
      <c r="E2416" s="9" t="str">
        <v>EPSG</v>
      </c>
      <c r="F2416" s="7" t="str">
        <v>4901</v>
      </c>
      <c r="G2416" t="str">
        <v>Geographic2DCrs</v>
      </c>
      <c r="H2416" t="str">
        <v>&lt;undefined&gt;</v>
      </c>
      <c r="I2416" t="str">
        <v>ATF (Paris)</v>
      </c>
      <c r="J2416" t="str">
        <v>France - mainland onshore.</v>
      </c>
      <c r="K2416" s="11">
        <v>0</v>
      </c>
    </row>
    <row r="2417" spans="5:11" x14ac:dyDescent="0.35">
      <c r="E2417" s="9" t="str">
        <v>EPSG</v>
      </c>
      <c r="F2417" s="7" t="str">
        <v>4903</v>
      </c>
      <c r="G2417" t="str">
        <v>Geographic2DCrs</v>
      </c>
      <c r="H2417" t="str">
        <v>&lt;undefined&gt;</v>
      </c>
      <c r="I2417" t="str">
        <v>Madrid 1870 (Madrid)</v>
      </c>
      <c r="J2417" t="str">
        <v>Spain - mainland onshore.</v>
      </c>
      <c r="K2417" s="11">
        <v>0</v>
      </c>
    </row>
    <row r="2418" spans="5:11" x14ac:dyDescent="0.35">
      <c r="E2418" s="9" t="str">
        <v>EPSG</v>
      </c>
      <c r="F2418" s="7" t="str">
        <v>4904</v>
      </c>
      <c r="G2418" t="str">
        <v>Geographic2DCrs</v>
      </c>
      <c r="H2418" t="str">
        <v>&lt;undefined&gt;</v>
      </c>
      <c r="I2418" t="str">
        <v>Lisbon 1890 (Lisbon)</v>
      </c>
      <c r="J2418" t="str">
        <v>Portugal - mainland - onshore.</v>
      </c>
      <c r="K2418" s="11">
        <v>0</v>
      </c>
    </row>
    <row r="2419" spans="5:11" x14ac:dyDescent="0.35">
      <c r="E2419" s="9" t="str">
        <v>EPSG</v>
      </c>
      <c r="F2419" s="7" t="str">
        <v>4906</v>
      </c>
      <c r="G2419" t="str">
        <v>GeocentricCrs</v>
      </c>
      <c r="H2419" t="str">
        <v>&lt;undefined&gt;</v>
      </c>
      <c r="I2419" t="str">
        <v>RGNC91-93</v>
      </c>
      <c r="J2419" t="str">
        <v>New Caledonia - onshore and offshore. Isle de Pins, Loyalty Islands, Huon Islands, Belep archipelago, Chesterfield Islands, and Walpole.</v>
      </c>
      <c r="K2419" s="11">
        <v>0</v>
      </c>
    </row>
    <row r="2420" spans="5:11" x14ac:dyDescent="0.35">
      <c r="E2420" s="9" t="str">
        <v>EPSG</v>
      </c>
      <c r="F2420" s="7" t="str">
        <v>4907</v>
      </c>
      <c r="G2420" t="str">
        <v>Geographic3DCrs</v>
      </c>
      <c r="H2420" t="str">
        <v>&lt;undefined&gt;</v>
      </c>
      <c r="I2420" t="str">
        <v>RGNC91-93</v>
      </c>
      <c r="J2420" t="str">
        <v>New Caledonia - onshore and offshore. Isle de Pins, Loyalty Islands, Huon Islands, Belep archipelago, Chesterfield Islands, and Walpole.</v>
      </c>
      <c r="K2420" s="11">
        <v>0</v>
      </c>
    </row>
    <row r="2421" spans="5:11" x14ac:dyDescent="0.35">
      <c r="E2421" s="9" t="str">
        <v>EPSG</v>
      </c>
      <c r="F2421" s="7" t="str">
        <v>4908</v>
      </c>
      <c r="G2421" t="str">
        <v>GeocentricCrs</v>
      </c>
      <c r="H2421" t="str">
        <v>&lt;undefined&gt;</v>
      </c>
      <c r="I2421" t="str">
        <v>GR96</v>
      </c>
      <c r="J2421" t="str">
        <v>Greenland - onshore and offshore.</v>
      </c>
      <c r="K2421" s="11">
        <v>0</v>
      </c>
    </row>
    <row r="2422" spans="5:11" x14ac:dyDescent="0.35">
      <c r="E2422" s="9" t="str">
        <v>EPSG</v>
      </c>
      <c r="F2422" s="7" t="str">
        <v>4909</v>
      </c>
      <c r="G2422" t="str">
        <v>Geographic3DCrs</v>
      </c>
      <c r="H2422" t="str">
        <v>&lt;undefined&gt;</v>
      </c>
      <c r="I2422" t="str">
        <v>GR96</v>
      </c>
      <c r="J2422" t="str">
        <v>Greenland - onshore and offshore.</v>
      </c>
      <c r="K2422" s="11">
        <v>0</v>
      </c>
    </row>
    <row r="2423" spans="5:11" x14ac:dyDescent="0.35">
      <c r="E2423" s="9" t="str">
        <v>EPSG</v>
      </c>
      <c r="F2423" s="7" t="str">
        <v>4910</v>
      </c>
      <c r="G2423" t="str">
        <v>GeocentricCrs</v>
      </c>
      <c r="H2423" t="str">
        <v>&lt;undefined&gt;</v>
      </c>
      <c r="I2423" t="str">
        <v>ITRF88</v>
      </c>
      <c r="J2423" t="str">
        <v>World.</v>
      </c>
      <c r="K2423" s="11">
        <v>0</v>
      </c>
    </row>
    <row r="2424" spans="5:11" x14ac:dyDescent="0.35">
      <c r="E2424" s="9" t="str">
        <v>EPSG</v>
      </c>
      <c r="F2424" s="7" t="str">
        <v>4911</v>
      </c>
      <c r="G2424" t="str">
        <v>GeocentricCrs</v>
      </c>
      <c r="H2424" t="str">
        <v>&lt;undefined&gt;</v>
      </c>
      <c r="I2424" t="str">
        <v>ITRF89</v>
      </c>
      <c r="J2424" t="str">
        <v>World.</v>
      </c>
      <c r="K2424" s="11">
        <v>0</v>
      </c>
    </row>
    <row r="2425" spans="5:11" x14ac:dyDescent="0.35">
      <c r="E2425" s="9" t="str">
        <v>EPSG</v>
      </c>
      <c r="F2425" s="7" t="str">
        <v>4912</v>
      </c>
      <c r="G2425" t="str">
        <v>GeocentricCrs</v>
      </c>
      <c r="H2425" t="str">
        <v>&lt;undefined&gt;</v>
      </c>
      <c r="I2425" t="str">
        <v>ITRF90</v>
      </c>
      <c r="J2425" t="str">
        <v>World.</v>
      </c>
      <c r="K2425" s="11">
        <v>0</v>
      </c>
    </row>
    <row r="2426" spans="5:11" x14ac:dyDescent="0.35">
      <c r="E2426" s="9" t="str">
        <v>EPSG</v>
      </c>
      <c r="F2426" s="7" t="str">
        <v>4913</v>
      </c>
      <c r="G2426" t="str">
        <v>GeocentricCrs</v>
      </c>
      <c r="H2426" t="str">
        <v>&lt;undefined&gt;</v>
      </c>
      <c r="I2426" t="str">
        <v>ITRF91</v>
      </c>
      <c r="J2426" t="str">
        <v>World.</v>
      </c>
      <c r="K2426" s="11">
        <v>0</v>
      </c>
    </row>
    <row r="2427" spans="5:11" x14ac:dyDescent="0.35">
      <c r="E2427" s="9" t="str">
        <v>EPSG</v>
      </c>
      <c r="F2427" s="7" t="str">
        <v>4914</v>
      </c>
      <c r="G2427" t="str">
        <v>GeocentricCrs</v>
      </c>
      <c r="H2427" t="str">
        <v>&lt;undefined&gt;</v>
      </c>
      <c r="I2427" t="str">
        <v>ITRF92</v>
      </c>
      <c r="J2427" t="str">
        <v>World.</v>
      </c>
      <c r="K2427" s="11">
        <v>0</v>
      </c>
    </row>
    <row r="2428" spans="5:11" x14ac:dyDescent="0.35">
      <c r="E2428" s="9" t="str">
        <v>EPSG</v>
      </c>
      <c r="F2428" s="7" t="str">
        <v>4915</v>
      </c>
      <c r="G2428" t="str">
        <v>GeocentricCrs</v>
      </c>
      <c r="H2428" t="str">
        <v>&lt;undefined&gt;</v>
      </c>
      <c r="I2428" t="str">
        <v>ITRF93</v>
      </c>
      <c r="J2428" t="str">
        <v>World.</v>
      </c>
      <c r="K2428" s="11">
        <v>0</v>
      </c>
    </row>
    <row r="2429" spans="5:11" x14ac:dyDescent="0.35">
      <c r="E2429" s="9" t="str">
        <v>EPSG</v>
      </c>
      <c r="F2429" s="7" t="str">
        <v>4916</v>
      </c>
      <c r="G2429" t="str">
        <v>GeocentricCrs</v>
      </c>
      <c r="H2429" t="str">
        <v>&lt;undefined&gt;</v>
      </c>
      <c r="I2429" t="str">
        <v>ITRF94</v>
      </c>
      <c r="J2429" t="str">
        <v>World.</v>
      </c>
      <c r="K2429" s="11">
        <v>0</v>
      </c>
    </row>
    <row r="2430" spans="5:11" x14ac:dyDescent="0.35">
      <c r="E2430" s="9" t="str">
        <v>EPSG</v>
      </c>
      <c r="F2430" s="7" t="str">
        <v>4917</v>
      </c>
      <c r="G2430" t="str">
        <v>GeocentricCrs</v>
      </c>
      <c r="H2430" t="str">
        <v>&lt;undefined&gt;</v>
      </c>
      <c r="I2430" t="str">
        <v>ITRF96</v>
      </c>
      <c r="J2430" t="str">
        <v>World.</v>
      </c>
      <c r="K2430" s="11">
        <v>0</v>
      </c>
    </row>
    <row r="2431" spans="5:11" x14ac:dyDescent="0.35">
      <c r="E2431" s="9" t="str">
        <v>EPSG</v>
      </c>
      <c r="F2431" s="7" t="str">
        <v>4918</v>
      </c>
      <c r="G2431" t="str">
        <v>GeocentricCrs</v>
      </c>
      <c r="H2431" t="str">
        <v>&lt;undefined&gt;</v>
      </c>
      <c r="I2431" t="str">
        <v>ITRF97</v>
      </c>
      <c r="J2431" t="str">
        <v>World.</v>
      </c>
      <c r="K2431" s="11">
        <v>0</v>
      </c>
    </row>
    <row r="2432" spans="5:11" x14ac:dyDescent="0.35">
      <c r="E2432" s="9" t="str">
        <v>EPSG</v>
      </c>
      <c r="F2432" s="7" t="str">
        <v>4919</v>
      </c>
      <c r="G2432" t="str">
        <v>GeocentricCrs</v>
      </c>
      <c r="H2432" t="str">
        <v>&lt;undefined&gt;</v>
      </c>
      <c r="I2432" t="str">
        <v>ITRF2000</v>
      </c>
      <c r="J2432" t="str">
        <v>World.</v>
      </c>
      <c r="K2432" s="11">
        <v>0</v>
      </c>
    </row>
    <row r="2433" spans="5:11" x14ac:dyDescent="0.35">
      <c r="E2433" s="9" t="str">
        <v>EPSG</v>
      </c>
      <c r="F2433" s="7" t="str">
        <v>4920</v>
      </c>
      <c r="G2433" t="str">
        <v>GeocentricCrs</v>
      </c>
      <c r="H2433" t="str">
        <v>&lt;undefined&gt;</v>
      </c>
      <c r="I2433" t="str">
        <v>GDM2000</v>
      </c>
      <c r="J2433" t="str">
        <v>Malaysia - onshore and offshore. Includes peninsular Malayasia, Sabah and Sarawak.</v>
      </c>
      <c r="K2433" s="11">
        <v>0</v>
      </c>
    </row>
    <row r="2434" spans="5:11" x14ac:dyDescent="0.35">
      <c r="E2434" s="9" t="str">
        <v>EPSG</v>
      </c>
      <c r="F2434" s="7" t="str">
        <v>4921</v>
      </c>
      <c r="G2434" t="str">
        <v>Geographic3DCrs</v>
      </c>
      <c r="H2434" t="str">
        <v>&lt;undefined&gt;</v>
      </c>
      <c r="I2434" t="str">
        <v>GDM2000</v>
      </c>
      <c r="J2434" t="str">
        <v>Malaysia - onshore and offshore. Includes peninsular Malayasia, Sabah and Sarawak.</v>
      </c>
      <c r="K2434" s="11">
        <v>0</v>
      </c>
    </row>
    <row r="2435" spans="5:11" x14ac:dyDescent="0.35">
      <c r="E2435" s="9" t="str">
        <v>EPSG</v>
      </c>
      <c r="F2435" s="7" t="str">
        <v>4922</v>
      </c>
      <c r="G2435" t="str">
        <v>GeocentricCrs</v>
      </c>
      <c r="H2435" t="str">
        <v>&lt;undefined&gt;</v>
      </c>
      <c r="I2435" t="str">
        <v>PZ-90</v>
      </c>
      <c r="J2435" t="str">
        <v>World.</v>
      </c>
      <c r="K2435" s="11">
        <v>0</v>
      </c>
    </row>
    <row r="2436" spans="5:11" x14ac:dyDescent="0.35">
      <c r="E2436" s="9" t="str">
        <v>EPSG</v>
      </c>
      <c r="F2436" s="7" t="str">
        <v>4923</v>
      </c>
      <c r="G2436" t="str">
        <v>Geographic3DCrs</v>
      </c>
      <c r="H2436" t="str">
        <v>&lt;undefined&gt;</v>
      </c>
      <c r="I2436" t="str">
        <v>PZ-90</v>
      </c>
      <c r="J2436" t="str">
        <v>World.</v>
      </c>
      <c r="K2436" s="11">
        <v>0</v>
      </c>
    </row>
    <row r="2437" spans="5:11" x14ac:dyDescent="0.35">
      <c r="E2437" s="9" t="str">
        <v>EPSG</v>
      </c>
      <c r="F2437" s="7" t="str">
        <v>4924</v>
      </c>
      <c r="G2437" t="str">
        <v>GeocentricCrs</v>
      </c>
      <c r="H2437" t="str">
        <v>&lt;undefined&gt;</v>
      </c>
      <c r="I2437" t="str">
        <v>Mauritania 1999</v>
      </c>
      <c r="J2437" t="str">
        <v>Mauritania - onshore and offshore.</v>
      </c>
      <c r="K2437" s="11">
        <v>0</v>
      </c>
    </row>
    <row r="2438" spans="5:11" x14ac:dyDescent="0.35">
      <c r="E2438" s="9" t="str">
        <v>EPSG</v>
      </c>
      <c r="F2438" s="7" t="str">
        <v>4925</v>
      </c>
      <c r="G2438" t="str">
        <v>Geographic3DCrs</v>
      </c>
      <c r="H2438" t="str">
        <v>&lt;undefined&gt;</v>
      </c>
      <c r="I2438" t="str">
        <v>Mauritania 1999</v>
      </c>
      <c r="J2438" t="str">
        <v>Mauritania - onshore and offshore.</v>
      </c>
      <c r="K2438" s="11">
        <v>0</v>
      </c>
    </row>
    <row r="2439" spans="5:11" x14ac:dyDescent="0.35">
      <c r="E2439" s="9" t="str">
        <v>EPSG</v>
      </c>
      <c r="F2439" s="7" t="str">
        <v>4926</v>
      </c>
      <c r="G2439" t="str">
        <v>GeocentricCrs</v>
      </c>
      <c r="H2439" t="str">
        <v>&lt;undefined&gt;</v>
      </c>
      <c r="I2439" t="str">
        <v>KGD2002</v>
      </c>
      <c r="J2439" t="str">
        <v>Republic of Korea (South Korea) - onshore and offshore.</v>
      </c>
      <c r="K2439" s="11">
        <v>0</v>
      </c>
    </row>
    <row r="2440" spans="5:11" x14ac:dyDescent="0.35">
      <c r="E2440" s="9" t="str">
        <v>EPSG</v>
      </c>
      <c r="F2440" s="7" t="str">
        <v>4927</v>
      </c>
      <c r="G2440" t="str">
        <v>Geographic3DCrs</v>
      </c>
      <c r="H2440" t="str">
        <v>&lt;undefined&gt;</v>
      </c>
      <c r="I2440" t="str">
        <v>KGD2002</v>
      </c>
      <c r="J2440" t="str">
        <v>Republic of Korea (South Korea) - onshore and offshore.</v>
      </c>
      <c r="K2440" s="11">
        <v>0</v>
      </c>
    </row>
    <row r="2441" spans="5:11" x14ac:dyDescent="0.35">
      <c r="E2441" s="9" t="str">
        <v>EPSG</v>
      </c>
      <c r="F2441" s="7" t="str">
        <v>4928</v>
      </c>
      <c r="G2441" t="str">
        <v>GeocentricCrs</v>
      </c>
      <c r="H2441" t="str">
        <v>&lt;undefined&gt;</v>
      </c>
      <c r="I2441" t="str">
        <v>POSGAR 94</v>
      </c>
      <c r="J2441" t="str">
        <v>Argentina - onshore and offshore.</v>
      </c>
      <c r="K2441" s="11">
        <v>0</v>
      </c>
    </row>
    <row r="2442" spans="5:11" x14ac:dyDescent="0.35">
      <c r="E2442" s="9" t="str">
        <v>EPSG</v>
      </c>
      <c r="F2442" s="7" t="str">
        <v>4929</v>
      </c>
      <c r="G2442" t="str">
        <v>Geographic3DCrs</v>
      </c>
      <c r="H2442" t="str">
        <v>&lt;undefined&gt;</v>
      </c>
      <c r="I2442" t="str">
        <v>POSGAR 94</v>
      </c>
      <c r="J2442" t="str">
        <v>Argentina - onshore and offshore.</v>
      </c>
      <c r="K2442" s="11">
        <v>0</v>
      </c>
    </row>
    <row r="2443" spans="5:11" x14ac:dyDescent="0.35">
      <c r="E2443" s="9" t="str">
        <v>EPSG</v>
      </c>
      <c r="F2443" s="7" t="str">
        <v>4930</v>
      </c>
      <c r="G2443" t="str">
        <v>GeocentricCrs</v>
      </c>
      <c r="H2443" t="str">
        <v>&lt;undefined&gt;</v>
      </c>
      <c r="I2443" t="str">
        <v>Australian Antarctic</v>
      </c>
      <c r="J2443" t="str">
        <v>Antarctica between 45°E and 136°E and between 142°E and 160°E - Australian sector.</v>
      </c>
      <c r="K2443" s="11">
        <v>0</v>
      </c>
    </row>
    <row r="2444" spans="5:11" x14ac:dyDescent="0.35">
      <c r="E2444" s="9" t="str">
        <v>EPSG</v>
      </c>
      <c r="F2444" s="7" t="str">
        <v>4931</v>
      </c>
      <c r="G2444" t="str">
        <v>Geographic3DCrs</v>
      </c>
      <c r="H2444" t="str">
        <v>&lt;undefined&gt;</v>
      </c>
      <c r="I2444" t="str">
        <v>Australian Antarctic</v>
      </c>
      <c r="J2444" t="str">
        <v>Antarctica between 45°E and 136°E and between 142°E and 160°E - Australian sector.</v>
      </c>
      <c r="K2444" s="11">
        <v>0</v>
      </c>
    </row>
    <row r="2445" spans="5:11" x14ac:dyDescent="0.35">
      <c r="E2445" s="9" t="str">
        <v>EPSG</v>
      </c>
      <c r="F2445" s="7" t="str">
        <v>4932</v>
      </c>
      <c r="G2445" t="str">
        <v>GeocentricCrs</v>
      </c>
      <c r="H2445" t="str">
        <v>&lt;undefined&gt;</v>
      </c>
      <c r="I2445" t="str">
        <v>CHTRS95</v>
      </c>
      <c r="J2445" t="str">
        <v>Liechtenstein; Switzerland.</v>
      </c>
      <c r="K2445" s="11">
        <v>0</v>
      </c>
    </row>
    <row r="2446" spans="5:11" x14ac:dyDescent="0.35">
      <c r="E2446" s="9" t="str">
        <v>EPSG</v>
      </c>
      <c r="F2446" s="7" t="str">
        <v>4933</v>
      </c>
      <c r="G2446" t="str">
        <v>Geographic3DCrs</v>
      </c>
      <c r="H2446" t="str">
        <v>&lt;undefined&gt;</v>
      </c>
      <c r="I2446" t="str">
        <v>CHTRS95</v>
      </c>
      <c r="J2446" t="str">
        <v>Liechtenstein; Switzerland.</v>
      </c>
      <c r="K2446" s="11">
        <v>0</v>
      </c>
    </row>
    <row r="2447" spans="5:11" x14ac:dyDescent="0.35">
      <c r="E2447" s="9" t="str">
        <v>EPSG</v>
      </c>
      <c r="F2447" s="7" t="str">
        <v>4934</v>
      </c>
      <c r="G2447" t="str">
        <v>GeocentricCrs</v>
      </c>
      <c r="H2447" t="str">
        <v>&lt;undefined&gt;</v>
      </c>
      <c r="I2447" t="str">
        <v>EST97</v>
      </c>
      <c r="J2447" t="str">
        <v>Estonia - onshore and offshore.</v>
      </c>
      <c r="K2447" s="11">
        <v>0</v>
      </c>
    </row>
    <row r="2448" spans="5:11" x14ac:dyDescent="0.35">
      <c r="E2448" s="9" t="str">
        <v>EPSG</v>
      </c>
      <c r="F2448" s="7" t="str">
        <v>4935</v>
      </c>
      <c r="G2448" t="str">
        <v>Geographic3DCrs</v>
      </c>
      <c r="H2448" t="str">
        <v>&lt;undefined&gt;</v>
      </c>
      <c r="I2448" t="str">
        <v>EST97</v>
      </c>
      <c r="J2448" t="str">
        <v>Estonia - onshore and offshore.</v>
      </c>
      <c r="K2448" s="11">
        <v>0</v>
      </c>
    </row>
    <row r="2449" spans="5:11" x14ac:dyDescent="0.35">
      <c r="E2449" s="9" t="str">
        <v>EPSG</v>
      </c>
      <c r="F2449" s="7" t="str">
        <v>4936</v>
      </c>
      <c r="G2449" t="str">
        <v>GeocentricCrs</v>
      </c>
      <c r="H2449" t="str">
        <v>&lt;undefined&gt;</v>
      </c>
      <c r="I2449" t="str">
        <v>ETRS89</v>
      </c>
      <c r="J2449" t="str">
        <v>Europe - onshore and offshore: Albania; Andorra; Austria; Belgium; Bosnia and Herzegovina; Bulgaria; Croatia; Czechia; Denmark; Estonia; Faroe Islands; Finland; France; Germany; Gibraltar; Greece; Hungary; Ireland; Italy; Kosovo; Latvia; Liechtenstein; Lithuania; Luxembourg; Malta; Moldova; Monaco; Montenegro; Netherlands; North Macedonia; Norway including Svalbard and Jan Mayen; Poland; Portugal - mainland; Romania; San Marino; Serbia; Slovakia; Slovenia; Spain - mainland and Balearic islands; Sweden; Switzerland; United Kingdom (UK) including Channel Islands and Isle of Man; Vatican City State.</v>
      </c>
      <c r="K2449" s="11">
        <v>0</v>
      </c>
    </row>
    <row r="2450" spans="5:11" x14ac:dyDescent="0.35">
      <c r="E2450" s="9" t="str">
        <v>EPSG</v>
      </c>
      <c r="F2450" s="7" t="str">
        <v>4937</v>
      </c>
      <c r="G2450" t="str">
        <v>Geographic3DCrs</v>
      </c>
      <c r="H2450" t="str">
        <v>&lt;undefined&gt;</v>
      </c>
      <c r="I2450" t="str">
        <v>ETRS89</v>
      </c>
      <c r="J2450" t="str">
        <v>Europe - onshore and offshore: Albania; Andorra; Austria; Belgium; Bosnia and Herzegovina; Bulgaria; Croatia; Czechia; Denmark; Estonia; Faroe Islands; Finland; France; Germany; Gibraltar; Greece; Hungary; Ireland; Italy; Kosovo; Latvia; Liechtenstein; Lithuania; Luxembourg; Malta; Moldova; Monaco; Montenegro; Netherlands; North Macedonia; Norway including Svalbard and Jan Mayen; Poland; Portugal - mainland; Romania; San Marino; Serbia; Slovakia; Slovenia; Spain - mainland and Balearic islands; Sweden; Switzerland; United Kingdom (UK) including Channel Islands and Isle of Man; Vatican City State.</v>
      </c>
      <c r="K2450" s="11">
        <v>0</v>
      </c>
    </row>
    <row r="2451" spans="5:11" x14ac:dyDescent="0.35">
      <c r="E2451" s="9" t="str">
        <v>EPSG</v>
      </c>
      <c r="F2451" s="7" t="str">
        <v>4938</v>
      </c>
      <c r="G2451" t="str">
        <v>GeocentricCrs</v>
      </c>
      <c r="H2451" t="str">
        <v>&lt;undefined&gt;</v>
      </c>
      <c r="I2451" t="str">
        <v>GDA94</v>
      </c>
      <c r="J2451" t="str">
        <v>Australia including Lord Howe Island, Macquarie Island, Ashmore and Cartier Islands, Christmas Island, Cocos (Keeling) Islands, Norfolk Island. All onshore and offshore.</v>
      </c>
      <c r="K2451" s="11">
        <v>0</v>
      </c>
    </row>
    <row r="2452" spans="5:11" x14ac:dyDescent="0.35">
      <c r="E2452" s="9" t="str">
        <v>EPSG</v>
      </c>
      <c r="F2452" s="7" t="str">
        <v>4939</v>
      </c>
      <c r="G2452" t="str">
        <v>Geographic3DCrs</v>
      </c>
      <c r="H2452" t="str">
        <v>&lt;undefined&gt;</v>
      </c>
      <c r="I2452" t="str">
        <v>GDA94</v>
      </c>
      <c r="J2452" t="str">
        <v>Australia including Lord Howe Island, Macquarie Island, Ashmore and Cartier Islands, Christmas Island, Cocos (Keeling) Islands, Norfolk Island. All onshore and offshore.</v>
      </c>
      <c r="K2452" s="11">
        <v>0</v>
      </c>
    </row>
    <row r="2453" spans="5:11" x14ac:dyDescent="0.35">
      <c r="E2453" s="9" t="str">
        <v>EPSG</v>
      </c>
      <c r="F2453" s="7" t="str">
        <v>4940</v>
      </c>
      <c r="G2453" t="str">
        <v>GeocentricCrs</v>
      </c>
      <c r="H2453" t="str">
        <v>&lt;undefined&gt;</v>
      </c>
      <c r="I2453" t="str">
        <v>Hartebeesthoek94</v>
      </c>
      <c r="J2453" t="str">
        <v>Eswatini (Swaziland); Lesotho; South Africa - onshore and offshore.</v>
      </c>
      <c r="K2453" s="11">
        <v>0</v>
      </c>
    </row>
    <row r="2454" spans="5:11" x14ac:dyDescent="0.35">
      <c r="E2454" s="9" t="str">
        <v>EPSG</v>
      </c>
      <c r="F2454" s="7" t="str">
        <v>4941</v>
      </c>
      <c r="G2454" t="str">
        <v>Geographic3DCrs</v>
      </c>
      <c r="H2454" t="str">
        <v>&lt;undefined&gt;</v>
      </c>
      <c r="I2454" t="str">
        <v>Hartebeesthoek94</v>
      </c>
      <c r="J2454" t="str">
        <v>Eswatini (Swaziland); Lesotho; South Africa - onshore and offshore.</v>
      </c>
      <c r="K2454" s="11">
        <v>0</v>
      </c>
    </row>
    <row r="2455" spans="5:11" x14ac:dyDescent="0.35">
      <c r="E2455" s="9" t="str">
        <v>EPSG</v>
      </c>
      <c r="F2455" s="7" t="str">
        <v>4942</v>
      </c>
      <c r="G2455" t="str">
        <v>GeocentricCrs</v>
      </c>
      <c r="H2455" t="str">
        <v>&lt;undefined&gt;</v>
      </c>
      <c r="I2455" t="str">
        <v>IRENET95</v>
      </c>
      <c r="J2455" t="str">
        <v>Ireland - onshore. United Kingdom (UK) - Northern Ireland (Ulster) - onshore.</v>
      </c>
      <c r="K2455" s="11">
        <v>0</v>
      </c>
    </row>
    <row r="2456" spans="5:11" x14ac:dyDescent="0.35">
      <c r="E2456" s="9" t="str">
        <v>EPSG</v>
      </c>
      <c r="F2456" s="7" t="str">
        <v>4943</v>
      </c>
      <c r="G2456" t="str">
        <v>Geographic3DCrs</v>
      </c>
      <c r="H2456" t="str">
        <v>&lt;undefined&gt;</v>
      </c>
      <c r="I2456" t="str">
        <v>IRENET95</v>
      </c>
      <c r="J2456" t="str">
        <v>Ireland - onshore. United Kingdom (UK) - Northern Ireland (Ulster) - onshore.</v>
      </c>
      <c r="K2456" s="11">
        <v>0</v>
      </c>
    </row>
    <row r="2457" spans="5:11" x14ac:dyDescent="0.35">
      <c r="E2457" s="9" t="str">
        <v>EPSG</v>
      </c>
      <c r="F2457" s="7" t="str">
        <v>4944</v>
      </c>
      <c r="G2457" t="str">
        <v>GeocentricCrs</v>
      </c>
      <c r="H2457" t="str">
        <v>&lt;undefined&gt;</v>
      </c>
      <c r="I2457" t="str">
        <v>ISN93</v>
      </c>
      <c r="J2457" t="str">
        <v>Iceland - onshore and offshore.</v>
      </c>
      <c r="K2457" s="11">
        <v>0</v>
      </c>
    </row>
    <row r="2458" spans="5:11" x14ac:dyDescent="0.35">
      <c r="E2458" s="9" t="str">
        <v>EPSG</v>
      </c>
      <c r="F2458" s="7" t="str">
        <v>4945</v>
      </c>
      <c r="G2458" t="str">
        <v>Geographic3DCrs</v>
      </c>
      <c r="H2458" t="str">
        <v>&lt;undefined&gt;</v>
      </c>
      <c r="I2458" t="str">
        <v>ISN93</v>
      </c>
      <c r="J2458" t="str">
        <v>Iceland - onshore and offshore.</v>
      </c>
      <c r="K2458" s="11">
        <v>0</v>
      </c>
    </row>
    <row r="2459" spans="5:11" x14ac:dyDescent="0.35">
      <c r="E2459" s="9" t="str">
        <v>EPSG</v>
      </c>
      <c r="F2459" s="7" t="str">
        <v>4946</v>
      </c>
      <c r="G2459" t="str">
        <v>GeocentricCrs</v>
      </c>
      <c r="H2459" t="str">
        <v>&lt;undefined&gt;</v>
      </c>
      <c r="I2459" t="str">
        <v>JGD2000</v>
      </c>
      <c r="J2459" t="str">
        <v>Japan - onshore and offshore.</v>
      </c>
      <c r="K2459" s="11">
        <v>0</v>
      </c>
    </row>
    <row r="2460" spans="5:11" x14ac:dyDescent="0.35">
      <c r="E2460" s="9" t="str">
        <v>EPSG</v>
      </c>
      <c r="F2460" s="7" t="str">
        <v>4947</v>
      </c>
      <c r="G2460" t="str">
        <v>Geographic3DCrs</v>
      </c>
      <c r="H2460" t="str">
        <v>&lt;undefined&gt;</v>
      </c>
      <c r="I2460" t="str">
        <v>JGD2000</v>
      </c>
      <c r="J2460" t="str">
        <v>Japan - onshore and offshore.</v>
      </c>
      <c r="K2460" s="11">
        <v>0</v>
      </c>
    </row>
    <row r="2461" spans="5:11" x14ac:dyDescent="0.35">
      <c r="E2461" s="9" t="str">
        <v>EPSG</v>
      </c>
      <c r="F2461" s="7" t="str">
        <v>4948</v>
      </c>
      <c r="G2461" t="str">
        <v>GeocentricCrs</v>
      </c>
      <c r="H2461" t="str">
        <v>&lt;undefined&gt;</v>
      </c>
      <c r="I2461" t="str">
        <v>LKS-92</v>
      </c>
      <c r="J2461" t="str">
        <v>Latvia - onshore and offshore.</v>
      </c>
      <c r="K2461" s="11">
        <v>0</v>
      </c>
    </row>
    <row r="2462" spans="5:11" x14ac:dyDescent="0.35">
      <c r="E2462" s="9" t="str">
        <v>EPSG</v>
      </c>
      <c r="F2462" s="7" t="str">
        <v>4949</v>
      </c>
      <c r="G2462" t="str">
        <v>Geographic3DCrs</v>
      </c>
      <c r="H2462" t="str">
        <v>&lt;undefined&gt;</v>
      </c>
      <c r="I2462" t="str">
        <v>LKS-92</v>
      </c>
      <c r="J2462" t="str">
        <v>Latvia - onshore and offshore.</v>
      </c>
      <c r="K2462" s="11">
        <v>0</v>
      </c>
    </row>
    <row r="2463" spans="5:11" x14ac:dyDescent="0.35">
      <c r="E2463" s="9" t="str">
        <v>EPSG</v>
      </c>
      <c r="F2463" s="7" t="str">
        <v>4950</v>
      </c>
      <c r="G2463" t="str">
        <v>GeocentricCrs</v>
      </c>
      <c r="H2463" t="str">
        <v>&lt;undefined&gt;</v>
      </c>
      <c r="I2463" t="str">
        <v>LKS94</v>
      </c>
      <c r="J2463" t="str">
        <v>Lithuania - onshore and offshore.</v>
      </c>
      <c r="K2463" s="11">
        <v>0</v>
      </c>
    </row>
    <row r="2464" spans="5:11" x14ac:dyDescent="0.35">
      <c r="E2464" s="9" t="str">
        <v>EPSG</v>
      </c>
      <c r="F2464" s="7" t="str">
        <v>4951</v>
      </c>
      <c r="G2464" t="str">
        <v>Geographic3DCrs</v>
      </c>
      <c r="H2464" t="str">
        <v>&lt;undefined&gt;</v>
      </c>
      <c r="I2464" t="str">
        <v>LKS94</v>
      </c>
      <c r="J2464" t="str">
        <v>Lithuania - onshore and offshore.</v>
      </c>
      <c r="K2464" s="11">
        <v>0</v>
      </c>
    </row>
    <row r="2465" spans="5:11" x14ac:dyDescent="0.35">
      <c r="E2465" s="9" t="str">
        <v>EPSG</v>
      </c>
      <c r="F2465" s="7" t="str">
        <v>4952</v>
      </c>
      <c r="G2465" t="str">
        <v>GeocentricCrs</v>
      </c>
      <c r="H2465" t="str">
        <v>&lt;undefined&gt;</v>
      </c>
      <c r="I2465" t="str">
        <v>Moznet</v>
      </c>
      <c r="J2465" t="str">
        <v>Mozambique - onshore and offshore.</v>
      </c>
      <c r="K2465" s="11">
        <v>0</v>
      </c>
    </row>
    <row r="2466" spans="5:11" x14ac:dyDescent="0.35">
      <c r="E2466" s="9" t="str">
        <v>EPSG</v>
      </c>
      <c r="F2466" s="7" t="str">
        <v>4953</v>
      </c>
      <c r="G2466" t="str">
        <v>Geographic3DCrs</v>
      </c>
      <c r="H2466" t="str">
        <v>&lt;undefined&gt;</v>
      </c>
      <c r="I2466" t="str">
        <v>Moznet</v>
      </c>
      <c r="J2466" t="str">
        <v>Mozambique - onshore and offshore.</v>
      </c>
      <c r="K2466" s="11">
        <v>0</v>
      </c>
    </row>
    <row r="2467" spans="5:11" x14ac:dyDescent="0.35">
      <c r="E2467" s="9" t="str">
        <v>EPSG</v>
      </c>
      <c r="F2467" s="7" t="str">
        <v>4954</v>
      </c>
      <c r="G2467" t="str">
        <v>GeocentricCrs</v>
      </c>
      <c r="H2467" t="str">
        <v>&lt;undefined&gt;</v>
      </c>
      <c r="I2467" t="str">
        <v>NAD83(CSRS)</v>
      </c>
      <c r="J2467" t="str">
        <v>Canada - onshore and offshore - Alberta; British Columbia; Manitoba; New Brunswick; Newfoundland and Labrador; Northwest Territories; Nova Scotia; Nunavut; Ontario; Prince Edward Island; Quebec; Saskatchewan; Yukon.</v>
      </c>
      <c r="K2467" s="11">
        <v>0</v>
      </c>
    </row>
    <row r="2468" spans="5:11" x14ac:dyDescent="0.35">
      <c r="E2468" s="9" t="str">
        <v>EPSG</v>
      </c>
      <c r="F2468" s="7" t="str">
        <v>4955</v>
      </c>
      <c r="G2468" t="str">
        <v>Geographic3DCrs</v>
      </c>
      <c r="H2468" t="str">
        <v>&lt;undefined&gt;</v>
      </c>
      <c r="I2468" t="str">
        <v>NAD83(CSRS)</v>
      </c>
      <c r="J2468" t="str">
        <v>Canada - onshore and offshore - Alberta; British Columbia; Manitoba; New Brunswick; Newfoundland and Labrador; Northwest Territories; Nova Scotia; Nunavut; Ontario; Prince Edward Island; Quebec; Saskatchewan; Yukon.</v>
      </c>
      <c r="K2468" s="11">
        <v>0</v>
      </c>
    </row>
    <row r="2469" spans="5:11" x14ac:dyDescent="0.35">
      <c r="E2469" s="9" t="str">
        <v>EPSG</v>
      </c>
      <c r="F2469" s="7" t="str">
        <v>4956</v>
      </c>
      <c r="G2469" t="str">
        <v>GeocentricCrs</v>
      </c>
      <c r="H2469" t="str">
        <v>&lt;undefined&gt;</v>
      </c>
      <c r="I2469" t="str">
        <v>NAD83(HARN)</v>
      </c>
      <c r="J2469" t="str">
        <v>American Samoa - onshore - Tutuila, Aunu'u, Ofu, Olesega, Ta'u and Rose islands. Guam - onshore. Northern Mariana Islands - onshore. Puerto Rico - onshore. United States (USA) - onshore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offshore Gulf of Mexico continental shelf (GoM OCS). US Virgin Islands - onshore.</v>
      </c>
      <c r="K2469" s="11">
        <v>0</v>
      </c>
    </row>
    <row r="2470" spans="5:11" x14ac:dyDescent="0.35">
      <c r="E2470" s="9" t="str">
        <v>EPSG</v>
      </c>
      <c r="F2470" s="7" t="str">
        <v>4957</v>
      </c>
      <c r="G2470" t="str">
        <v>Geographic3DCrs</v>
      </c>
      <c r="H2470" t="str">
        <v>&lt;undefined&gt;</v>
      </c>
      <c r="I2470" t="str">
        <v>NAD83(HARN)</v>
      </c>
      <c r="J2470" t="str">
        <v>American Samoa - onshore - Tutuila, Aunu'u, Ofu, Olesega, Ta'u and Rose islands. Guam - onshore. Northern Mariana Islands - onshore. Puerto Rico - onshore. United States (USA) - onshore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offshore Gulf of Mexico continental shelf (GoM OCS). US Virgin Islands - onshore.</v>
      </c>
      <c r="K2470" s="11">
        <v>0</v>
      </c>
    </row>
    <row r="2471" spans="5:11" x14ac:dyDescent="0.35">
      <c r="E2471" s="9" t="str">
        <v>EPSG</v>
      </c>
      <c r="F2471" s="7" t="str">
        <v>4958</v>
      </c>
      <c r="G2471" t="str">
        <v>GeocentricCrs</v>
      </c>
      <c r="H2471" t="str">
        <v>&lt;undefined&gt;</v>
      </c>
      <c r="I2471" t="str">
        <v>NZGD2000</v>
      </c>
      <c r="J2471" t="str">
        <v>New Zealand - onshore and offshore. Includes Antipodes Islands, Auckland Islands, Bounty Islands, Chatham Islands, Cambell Island, Kermadec Islands, Raoul Island and Snares Islands.</v>
      </c>
      <c r="K2471" s="11">
        <v>0</v>
      </c>
    </row>
    <row r="2472" spans="5:11" x14ac:dyDescent="0.35">
      <c r="E2472" s="9" t="str">
        <v>EPSG</v>
      </c>
      <c r="F2472" s="7" t="str">
        <v>4959</v>
      </c>
      <c r="G2472" t="str">
        <v>Geographic3DCrs</v>
      </c>
      <c r="H2472" t="str">
        <v>&lt;undefined&gt;</v>
      </c>
      <c r="I2472" t="str">
        <v>NZGD2000</v>
      </c>
      <c r="J2472" t="str">
        <v>New Zealand - onshore and offshore. Includes Antipodes Islands, Auckland Islands, Bounty Islands, Chatham Islands, Cambell Island, Kermadec Islands, Raoul Island and Snares Islands.</v>
      </c>
      <c r="K2472" s="11">
        <v>0</v>
      </c>
    </row>
    <row r="2473" spans="5:11" x14ac:dyDescent="0.35">
      <c r="E2473" s="9" t="str">
        <v>EPSG</v>
      </c>
      <c r="F2473" s="7" t="str">
        <v>4960</v>
      </c>
      <c r="G2473" t="str">
        <v>GeocentricCrs</v>
      </c>
      <c r="H2473" t="str">
        <v>&lt;undefined&gt;</v>
      </c>
      <c r="I2473" t="str">
        <v>POSGAR 98</v>
      </c>
      <c r="J2473" t="str">
        <v>Argentina - onshore and offshore.</v>
      </c>
      <c r="K2473" s="11">
        <v>0</v>
      </c>
    </row>
    <row r="2474" spans="5:11" x14ac:dyDescent="0.35">
      <c r="E2474" s="9" t="str">
        <v>EPSG</v>
      </c>
      <c r="F2474" s="7" t="str">
        <v>4961</v>
      </c>
      <c r="G2474" t="str">
        <v>Geographic3DCrs</v>
      </c>
      <c r="H2474" t="str">
        <v>&lt;undefined&gt;</v>
      </c>
      <c r="I2474" t="str">
        <v>POSGAR 98</v>
      </c>
      <c r="J2474" t="str">
        <v>Argentina - onshore and offshore.</v>
      </c>
      <c r="K2474" s="11">
        <v>0</v>
      </c>
    </row>
    <row r="2475" spans="5:11" x14ac:dyDescent="0.35">
      <c r="E2475" s="9" t="str">
        <v>EPSG</v>
      </c>
      <c r="F2475" s="7" t="str">
        <v>4962</v>
      </c>
      <c r="G2475" t="str">
        <v>GeocentricCrs</v>
      </c>
      <c r="H2475" t="str">
        <v>&lt;undefined&gt;</v>
      </c>
      <c r="I2475" t="str">
        <v>REGVEN</v>
      </c>
      <c r="J2475" t="str">
        <v>Venezuela - onshore and offshore.</v>
      </c>
      <c r="K2475" s="11">
        <v>0</v>
      </c>
    </row>
    <row r="2476" spans="5:11" x14ac:dyDescent="0.35">
      <c r="E2476" s="9" t="str">
        <v>EPSG</v>
      </c>
      <c r="F2476" s="7" t="str">
        <v>4963</v>
      </c>
      <c r="G2476" t="str">
        <v>Geographic3DCrs</v>
      </c>
      <c r="H2476" t="str">
        <v>&lt;undefined&gt;</v>
      </c>
      <c r="I2476" t="str">
        <v>REGVEN</v>
      </c>
      <c r="J2476" t="str">
        <v>Venezuela - onshore and offshore.</v>
      </c>
      <c r="K2476" s="11">
        <v>0</v>
      </c>
    </row>
    <row r="2477" spans="5:11" x14ac:dyDescent="0.35">
      <c r="E2477" s="9" t="str">
        <v>EPSG</v>
      </c>
      <c r="F2477" s="7" t="str">
        <v>4964</v>
      </c>
      <c r="G2477" t="str">
        <v>GeocentricCrs</v>
      </c>
      <c r="H2477" t="str">
        <v>&lt;undefined&gt;</v>
      </c>
      <c r="I2477" t="str">
        <v>RGF93 v1</v>
      </c>
      <c r="J2477" t="str">
        <v>France - onshore and offshore, mainland and Corsica (France métropolitaine including Corsica).</v>
      </c>
      <c r="K2477" s="11">
        <v>0</v>
      </c>
    </row>
    <row r="2478" spans="5:11" x14ac:dyDescent="0.35">
      <c r="E2478" s="9" t="str">
        <v>EPSG</v>
      </c>
      <c r="F2478" s="7" t="str">
        <v>4965</v>
      </c>
      <c r="G2478" t="str">
        <v>Geographic3DCrs</v>
      </c>
      <c r="H2478" t="str">
        <v>&lt;undefined&gt;</v>
      </c>
      <c r="I2478" t="str">
        <v>RGF93 v1</v>
      </c>
      <c r="J2478" t="str">
        <v>France - onshore and offshore, mainland and Corsica (France métropolitaine including Corsica).</v>
      </c>
      <c r="K2478" s="11">
        <v>0</v>
      </c>
    </row>
    <row r="2479" spans="5:11" x14ac:dyDescent="0.35">
      <c r="E2479" s="9" t="str">
        <v>EPSG</v>
      </c>
      <c r="F2479" s="7" t="str">
        <v>4966</v>
      </c>
      <c r="G2479" t="str">
        <v>GeocentricCrs</v>
      </c>
      <c r="H2479" t="str">
        <v>&lt;undefined&gt;</v>
      </c>
      <c r="I2479" t="str">
        <v>RGFG95</v>
      </c>
      <c r="J2479" t="str">
        <v>French Guiana - onshore and offshore.</v>
      </c>
      <c r="K2479" s="11">
        <v>0</v>
      </c>
    </row>
    <row r="2480" spans="5:11" x14ac:dyDescent="0.35">
      <c r="E2480" s="9" t="str">
        <v>EPSG</v>
      </c>
      <c r="F2480" s="7" t="str">
        <v>4967</v>
      </c>
      <c r="G2480" t="str">
        <v>Geographic3DCrs</v>
      </c>
      <c r="H2480" t="str">
        <v>&lt;undefined&gt;</v>
      </c>
      <c r="I2480" t="str">
        <v>RGFG95</v>
      </c>
      <c r="J2480" t="str">
        <v>French Guiana - onshore and offshore.</v>
      </c>
      <c r="K2480" s="11">
        <v>0</v>
      </c>
    </row>
    <row r="2481" spans="5:11" x14ac:dyDescent="0.35">
      <c r="E2481" s="9" t="str">
        <v>EPSG</v>
      </c>
      <c r="F2481" s="7" t="str">
        <v>4970</v>
      </c>
      <c r="G2481" t="str">
        <v>GeocentricCrs</v>
      </c>
      <c r="H2481" t="str">
        <v>&lt;undefined&gt;</v>
      </c>
      <c r="I2481" t="str">
        <v>RGR92</v>
      </c>
      <c r="J2481" t="str">
        <v>Reunion - onshore and offshore.</v>
      </c>
      <c r="K2481" s="11">
        <v>0</v>
      </c>
    </row>
    <row r="2482" spans="5:11" x14ac:dyDescent="0.35">
      <c r="E2482" s="9" t="str">
        <v>EPSG</v>
      </c>
      <c r="F2482" s="7" t="str">
        <v>4971</v>
      </c>
      <c r="G2482" t="str">
        <v>Geographic3DCrs</v>
      </c>
      <c r="H2482" t="str">
        <v>&lt;undefined&gt;</v>
      </c>
      <c r="I2482" t="str">
        <v>RGR92</v>
      </c>
      <c r="J2482" t="str">
        <v>Reunion - onshore and offshore.</v>
      </c>
      <c r="K2482" s="11">
        <v>0</v>
      </c>
    </row>
    <row r="2483" spans="5:11" x14ac:dyDescent="0.35">
      <c r="E2483" s="9" t="str">
        <v>EPSG</v>
      </c>
      <c r="F2483" s="7" t="str">
        <v>4974</v>
      </c>
      <c r="G2483" t="str">
        <v>GeocentricCrs</v>
      </c>
      <c r="H2483" t="str">
        <v>&lt;undefined&gt;</v>
      </c>
      <c r="I2483" t="str">
        <v>SIRGAS 1995</v>
      </c>
      <c r="J2483" t="str">
        <v>South America - onshore and offshore. Ecuador (mainland and Galapagos) - onshore and offshore.</v>
      </c>
      <c r="K2483" s="11">
        <v>0</v>
      </c>
    </row>
    <row r="2484" spans="5:11" x14ac:dyDescent="0.35">
      <c r="E2484" s="9" t="str">
        <v>EPSG</v>
      </c>
      <c r="F2484" s="7" t="str">
        <v>4975</v>
      </c>
      <c r="G2484" t="str">
        <v>Geographic3DCrs</v>
      </c>
      <c r="H2484" t="str">
        <v>&lt;undefined&gt;</v>
      </c>
      <c r="I2484" t="str">
        <v>SIRGAS 1995</v>
      </c>
      <c r="J2484" t="str">
        <v>South America - onshore and offshore. Ecuador (mainland and Galapagos) - onshore and offshore.</v>
      </c>
      <c r="K2484" s="11">
        <v>0</v>
      </c>
    </row>
    <row r="2485" spans="5:11" x14ac:dyDescent="0.35">
      <c r="E2485" s="9" t="str">
        <v>EPSG</v>
      </c>
      <c r="F2485" s="7" t="str">
        <v>4976</v>
      </c>
      <c r="G2485" t="str">
        <v>GeocentricCrs</v>
      </c>
      <c r="H2485" t="str">
        <v>&lt;undefined&gt;</v>
      </c>
      <c r="I2485" t="str">
        <v>SWEREF99</v>
      </c>
      <c r="J2485" t="str">
        <v>Sweden - onshore and offshore.</v>
      </c>
      <c r="K2485" s="11">
        <v>0</v>
      </c>
    </row>
    <row r="2486" spans="5:11" x14ac:dyDescent="0.35">
      <c r="E2486" s="9" t="str">
        <v>EPSG</v>
      </c>
      <c r="F2486" s="7" t="str">
        <v>4977</v>
      </c>
      <c r="G2486" t="str">
        <v>Geographic3DCrs</v>
      </c>
      <c r="H2486" t="str">
        <v>&lt;undefined&gt;</v>
      </c>
      <c r="I2486" t="str">
        <v>SWEREF99</v>
      </c>
      <c r="J2486" t="str">
        <v>Sweden - onshore and offshore.</v>
      </c>
      <c r="K2486" s="11">
        <v>0</v>
      </c>
    </row>
    <row r="2487" spans="5:11" x14ac:dyDescent="0.35">
      <c r="E2487" s="9" t="str">
        <v>EPSG</v>
      </c>
      <c r="F2487" s="7" t="str">
        <v>4978</v>
      </c>
      <c r="G2487" t="str">
        <v>GeocentricCrs</v>
      </c>
      <c r="H2487" t="str">
        <v>&lt;undefined&gt;</v>
      </c>
      <c r="I2487" t="str">
        <v>WGS 84</v>
      </c>
      <c r="J2487" t="str">
        <v>World.</v>
      </c>
      <c r="K2487" s="11">
        <v>0</v>
      </c>
    </row>
    <row r="2488" spans="5:11" x14ac:dyDescent="0.35">
      <c r="E2488" s="9" t="str">
        <v>EPSG</v>
      </c>
      <c r="F2488" s="7" t="str">
        <v>4979</v>
      </c>
      <c r="G2488" t="str">
        <v>Geographic3DCrs</v>
      </c>
      <c r="H2488" t="str">
        <v>&lt;undefined&gt;</v>
      </c>
      <c r="I2488" t="str">
        <v>WGS 84</v>
      </c>
      <c r="J2488" t="str">
        <v>World.</v>
      </c>
      <c r="K2488" s="11">
        <v>0</v>
      </c>
    </row>
    <row r="2489" spans="5:11" x14ac:dyDescent="0.35">
      <c r="E2489" s="9" t="str">
        <v>EPSG</v>
      </c>
      <c r="F2489" s="7" t="str">
        <v>4980</v>
      </c>
      <c r="G2489" t="str">
        <v>GeocentricCrs</v>
      </c>
      <c r="H2489" t="str">
        <v>&lt;undefined&gt;</v>
      </c>
      <c r="I2489" t="str">
        <v>Yemen NGN96</v>
      </c>
      <c r="J2489" t="str">
        <v>Yemen - onshore and offshore.</v>
      </c>
      <c r="K2489" s="11">
        <v>0</v>
      </c>
    </row>
    <row r="2490" spans="5:11" x14ac:dyDescent="0.35">
      <c r="E2490" s="9" t="str">
        <v>EPSG</v>
      </c>
      <c r="F2490" s="7" t="str">
        <v>4981</v>
      </c>
      <c r="G2490" t="str">
        <v>Geographic3DCrs</v>
      </c>
      <c r="H2490" t="str">
        <v>&lt;undefined&gt;</v>
      </c>
      <c r="I2490" t="str">
        <v>Yemen NGN96</v>
      </c>
      <c r="J2490" t="str">
        <v>Yemen - onshore and offshore.</v>
      </c>
      <c r="K2490" s="11">
        <v>0</v>
      </c>
    </row>
    <row r="2491" spans="5:11" x14ac:dyDescent="0.35">
      <c r="E2491" s="9" t="str">
        <v>EPSG</v>
      </c>
      <c r="F2491" s="7" t="str">
        <v>4982</v>
      </c>
      <c r="G2491" t="str">
        <v>GeocentricCrs</v>
      </c>
      <c r="H2491" t="str">
        <v>&lt;undefined&gt;</v>
      </c>
      <c r="I2491" t="str">
        <v>IGM95</v>
      </c>
      <c r="J2491" t="str">
        <v>Italy - onshore and offshore; San Marino, Vatican City State.</v>
      </c>
      <c r="K2491" s="11">
        <v>0</v>
      </c>
    </row>
    <row r="2492" spans="5:11" x14ac:dyDescent="0.35">
      <c r="E2492" s="9" t="str">
        <v>EPSG</v>
      </c>
      <c r="F2492" s="7" t="str">
        <v>4983</v>
      </c>
      <c r="G2492" t="str">
        <v>Geographic3DCrs</v>
      </c>
      <c r="H2492" t="str">
        <v>&lt;undefined&gt;</v>
      </c>
      <c r="I2492" t="str">
        <v>IGM95</v>
      </c>
      <c r="J2492" t="str">
        <v>Italy - onshore and offshore; San Marino, Vatican City State.</v>
      </c>
      <c r="K2492" s="11">
        <v>0</v>
      </c>
    </row>
    <row r="2493" spans="5:11" x14ac:dyDescent="0.35">
      <c r="E2493" s="9" t="str">
        <v>EPSG</v>
      </c>
      <c r="F2493" s="7" t="str">
        <v>4984</v>
      </c>
      <c r="G2493" t="str">
        <v>GeocentricCrs</v>
      </c>
      <c r="H2493" t="str">
        <v>&lt;undefined&gt;</v>
      </c>
      <c r="I2493" t="str">
        <v>WGS 72</v>
      </c>
      <c r="J2493" t="str">
        <v>World.</v>
      </c>
      <c r="K2493" s="11">
        <v>0</v>
      </c>
    </row>
    <row r="2494" spans="5:11" x14ac:dyDescent="0.35">
      <c r="E2494" s="9" t="str">
        <v>EPSG</v>
      </c>
      <c r="F2494" s="7" t="str">
        <v>4985</v>
      </c>
      <c r="G2494" t="str">
        <v>Geographic3DCrs</v>
      </c>
      <c r="H2494" t="str">
        <v>&lt;undefined&gt;</v>
      </c>
      <c r="I2494" t="str">
        <v>WGS 72</v>
      </c>
      <c r="J2494" t="str">
        <v>World.</v>
      </c>
      <c r="K2494" s="11">
        <v>0</v>
      </c>
    </row>
    <row r="2495" spans="5:11" x14ac:dyDescent="0.35">
      <c r="E2495" s="9" t="str">
        <v>EPSG</v>
      </c>
      <c r="F2495" s="7" t="str">
        <v>4986</v>
      </c>
      <c r="G2495" t="str">
        <v>GeocentricCrs</v>
      </c>
      <c r="H2495" t="str">
        <v>&lt;undefined&gt;</v>
      </c>
      <c r="I2495" t="str">
        <v>WGS 72BE</v>
      </c>
      <c r="J2495" t="str">
        <v>World.</v>
      </c>
      <c r="K2495" s="11">
        <v>0</v>
      </c>
    </row>
    <row r="2496" spans="5:11" x14ac:dyDescent="0.35">
      <c r="E2496" s="9" t="str">
        <v>EPSG</v>
      </c>
      <c r="F2496" s="7" t="str">
        <v>4987</v>
      </c>
      <c r="G2496" t="str">
        <v>Geographic3DCrs</v>
      </c>
      <c r="H2496" t="str">
        <v>&lt;undefined&gt;</v>
      </c>
      <c r="I2496" t="str">
        <v>WGS 72BE</v>
      </c>
      <c r="J2496" t="str">
        <v>World.</v>
      </c>
      <c r="K2496" s="11">
        <v>0</v>
      </c>
    </row>
    <row r="2497" spans="5:11" x14ac:dyDescent="0.35">
      <c r="E2497" s="9" t="str">
        <v>EPSG</v>
      </c>
      <c r="F2497" s="7" t="str">
        <v>4988</v>
      </c>
      <c r="G2497" t="str">
        <v>GeocentricCrs</v>
      </c>
      <c r="H2497" t="str">
        <v>&lt;undefined&gt;</v>
      </c>
      <c r="I2497" t="str">
        <v>SIRGAS 2000</v>
      </c>
      <c r="J2497" t="str">
        <v>Latin America - Central America and South America - onshore and offshore. Brazil - onshore and offshore.</v>
      </c>
      <c r="K2497" s="11">
        <v>0</v>
      </c>
    </row>
    <row r="2498" spans="5:11" x14ac:dyDescent="0.35">
      <c r="E2498" s="9" t="str">
        <v>EPSG</v>
      </c>
      <c r="F2498" s="7" t="str">
        <v>4989</v>
      </c>
      <c r="G2498" t="str">
        <v>Geographic3DCrs</v>
      </c>
      <c r="H2498" t="str">
        <v>&lt;undefined&gt;</v>
      </c>
      <c r="I2498" t="str">
        <v>SIRGAS 2000</v>
      </c>
      <c r="J2498" t="str">
        <v>Latin America - Central America and South America - onshore and offshore. Brazil - onshore and offshore.</v>
      </c>
      <c r="K2498" s="11">
        <v>0</v>
      </c>
    </row>
    <row r="2499" spans="5:11" x14ac:dyDescent="0.35">
      <c r="E2499" s="9" t="str">
        <v>EPSG</v>
      </c>
      <c r="F2499" s="7" t="str">
        <v>4990</v>
      </c>
      <c r="G2499" t="str">
        <v>GeocentricCrs</v>
      </c>
      <c r="H2499" t="str">
        <v>&lt;undefined&gt;</v>
      </c>
      <c r="I2499" t="str">
        <v>Lao 1993</v>
      </c>
      <c r="J2499" t="str">
        <v>Laos.</v>
      </c>
      <c r="K2499" s="11">
        <v>0</v>
      </c>
    </row>
    <row r="2500" spans="5:11" x14ac:dyDescent="0.35">
      <c r="E2500" s="9" t="str">
        <v>EPSG</v>
      </c>
      <c r="F2500" s="7" t="str">
        <v>4991</v>
      </c>
      <c r="G2500" t="str">
        <v>Geographic3DCrs</v>
      </c>
      <c r="H2500" t="str">
        <v>&lt;undefined&gt;</v>
      </c>
      <c r="I2500" t="str">
        <v>Lao 1993</v>
      </c>
      <c r="J2500" t="str">
        <v>Laos.</v>
      </c>
      <c r="K2500" s="11">
        <v>0</v>
      </c>
    </row>
    <row r="2501" spans="5:11" x14ac:dyDescent="0.35">
      <c r="E2501" s="9" t="str">
        <v>EPSG</v>
      </c>
      <c r="F2501" s="7" t="str">
        <v>4992</v>
      </c>
      <c r="G2501" t="str">
        <v>GeocentricCrs</v>
      </c>
      <c r="H2501" t="str">
        <v>&lt;undefined&gt;</v>
      </c>
      <c r="I2501" t="str">
        <v>Lao 1997</v>
      </c>
      <c r="J2501" t="str">
        <v>Laos.</v>
      </c>
      <c r="K2501" s="11">
        <v>0</v>
      </c>
    </row>
    <row r="2502" spans="5:11" x14ac:dyDescent="0.35">
      <c r="E2502" s="9" t="str">
        <v>EPSG</v>
      </c>
      <c r="F2502" s="7" t="str">
        <v>4993</v>
      </c>
      <c r="G2502" t="str">
        <v>Geographic3DCrs</v>
      </c>
      <c r="H2502" t="str">
        <v>&lt;undefined&gt;</v>
      </c>
      <c r="I2502" t="str">
        <v>Lao 1997</v>
      </c>
      <c r="J2502" t="str">
        <v>Laos.</v>
      </c>
      <c r="K2502" s="11">
        <v>0</v>
      </c>
    </row>
    <row r="2503" spans="5:11" x14ac:dyDescent="0.35">
      <c r="E2503" s="9" t="str">
        <v>EPSG</v>
      </c>
      <c r="F2503" s="7" t="str">
        <v>4994</v>
      </c>
      <c r="G2503" t="str">
        <v>GeocentricCrs</v>
      </c>
      <c r="H2503" t="str">
        <v>&lt;undefined&gt;</v>
      </c>
      <c r="I2503" t="str">
        <v>PRS92</v>
      </c>
      <c r="J2503" t="str">
        <v>Philippines - onshore and offshore.</v>
      </c>
      <c r="K2503" s="11">
        <v>0</v>
      </c>
    </row>
    <row r="2504" spans="5:11" x14ac:dyDescent="0.35">
      <c r="E2504" s="9" t="str">
        <v>EPSG</v>
      </c>
      <c r="F2504" s="7" t="str">
        <v>4995</v>
      </c>
      <c r="G2504" t="str">
        <v>Geographic3DCrs</v>
      </c>
      <c r="H2504" t="str">
        <v>&lt;undefined&gt;</v>
      </c>
      <c r="I2504" t="str">
        <v>PRS92</v>
      </c>
      <c r="J2504" t="str">
        <v>Philippines - onshore and offshore.</v>
      </c>
      <c r="K2504" s="11">
        <v>0</v>
      </c>
    </row>
    <row r="2505" spans="5:11" x14ac:dyDescent="0.35">
      <c r="E2505" s="9" t="str">
        <v>EPSG</v>
      </c>
      <c r="F2505" s="7" t="str">
        <v>4996</v>
      </c>
      <c r="G2505" t="str">
        <v>GeocentricCrs</v>
      </c>
      <c r="H2505" t="str">
        <v>&lt;undefined&gt;</v>
      </c>
      <c r="I2505" t="str">
        <v>MAGNA-SIRGAS</v>
      </c>
      <c r="J2505" t="str">
        <v>Colombia - onshore and offshore. Includes San Andres y Providencia, Malpelo Islands, Roncador Bank, Serrana Bank and Serranilla Bank.</v>
      </c>
      <c r="K2505" s="11">
        <v>0</v>
      </c>
    </row>
    <row r="2506" spans="5:11" x14ac:dyDescent="0.35">
      <c r="E2506" s="9" t="str">
        <v>EPSG</v>
      </c>
      <c r="F2506" s="7" t="str">
        <v>4997</v>
      </c>
      <c r="G2506" t="str">
        <v>Geographic3DCrs</v>
      </c>
      <c r="H2506" t="str">
        <v>&lt;undefined&gt;</v>
      </c>
      <c r="I2506" t="str">
        <v>MAGNA-SIRGAS</v>
      </c>
      <c r="J2506" t="str">
        <v>Colombia - onshore and offshore. Includes San Andres y Providencia, Malpelo Islands, Roncador Bank, Serrana Bank and Serranilla Bank.</v>
      </c>
      <c r="K2506" s="11">
        <v>0</v>
      </c>
    </row>
    <row r="2507" spans="5:11" x14ac:dyDescent="0.35">
      <c r="E2507" s="9" t="str">
        <v>EPSG</v>
      </c>
      <c r="F2507" s="7" t="str">
        <v>4998</v>
      </c>
      <c r="G2507" t="str">
        <v>GeocentricCrs</v>
      </c>
      <c r="H2507" t="str">
        <v>&lt;undefined&gt;</v>
      </c>
      <c r="I2507" t="str">
        <v>RGPF</v>
      </c>
      <c r="J2507" t="str">
        <v>French Polynesia - onshore and offshore. Includes Society archipelago, Tuamotu archipelago, Marquesas Islands, Gambier Islands and Austral Islands.</v>
      </c>
      <c r="K2507" s="11">
        <v>0</v>
      </c>
    </row>
    <row r="2508" spans="5:11" x14ac:dyDescent="0.35">
      <c r="E2508" s="9" t="str">
        <v>EPSG</v>
      </c>
      <c r="F2508" s="7" t="str">
        <v>4999</v>
      </c>
      <c r="G2508" t="str">
        <v>Geographic3DCrs</v>
      </c>
      <c r="H2508" t="str">
        <v>&lt;undefined&gt;</v>
      </c>
      <c r="I2508" t="str">
        <v>RGPF</v>
      </c>
      <c r="J2508" t="str">
        <v>French Polynesia - onshore and offshore. Includes Society archipelago, Tuamotu archipelago, Marquesas Islands, Gambier Islands and Austral Islands.</v>
      </c>
      <c r="K2508" s="11">
        <v>0</v>
      </c>
    </row>
    <row r="2509" spans="5:11" x14ac:dyDescent="0.35">
      <c r="E2509" s="9" t="str">
        <v>EPSG</v>
      </c>
      <c r="F2509" s="7" t="str">
        <v>5011</v>
      </c>
      <c r="G2509" t="str">
        <v>GeocentricCrs</v>
      </c>
      <c r="H2509" t="str">
        <v>&lt;undefined&gt;</v>
      </c>
      <c r="I2509" t="str">
        <v>PTRA08</v>
      </c>
      <c r="J2509" t="str">
        <v>Portugal - Azores and Madeira island groups and surrounding EEZ - Flores, Corvo; Graciosa, Terceira, Sao Jorge, Pico, Faial; Sao Miguel, Santa Maria; Madeira, Porto Santo, Desertas; Selvagens.</v>
      </c>
      <c r="K2509" s="11">
        <v>0</v>
      </c>
    </row>
    <row r="2510" spans="5:11" x14ac:dyDescent="0.35">
      <c r="E2510" s="9" t="str">
        <v>EPSG</v>
      </c>
      <c r="F2510" s="7" t="str">
        <v>5012</v>
      </c>
      <c r="G2510" t="str">
        <v>Geographic3DCrs</v>
      </c>
      <c r="H2510" t="str">
        <v>&lt;undefined&gt;</v>
      </c>
      <c r="I2510" t="str">
        <v>PTRA08</v>
      </c>
      <c r="J2510" t="str">
        <v>Portugal - Azores and Madeira island groups and surrounding EEZ - Flores, Corvo; Graciosa, Terceira, Sao Jorge, Pico, Faial; Sao Miguel, Santa Maria; Madeira, Porto Santo, Desertas; Selvagens.</v>
      </c>
      <c r="K2510" s="11">
        <v>0</v>
      </c>
    </row>
    <row r="2511" spans="5:11" x14ac:dyDescent="0.35">
      <c r="E2511" s="9" t="str">
        <v>EPSG</v>
      </c>
      <c r="F2511" s="7" t="str">
        <v>5013</v>
      </c>
      <c r="G2511" t="str">
        <v>Geographic2DCrs</v>
      </c>
      <c r="H2511" t="str">
        <v>&lt;undefined&gt;</v>
      </c>
      <c r="I2511" t="str">
        <v>PTRA08</v>
      </c>
      <c r="J2511" t="str">
        <v>Portugal - Azores and Madeira island groups and surrounding EEZ - Flores, Corvo; Graciosa, Terceira, Sao Jorge, Pico, Faial; Sao Miguel, Santa Maria; Madeira, Porto Santo, Desertas; Selvagens.</v>
      </c>
      <c r="K2511" s="11">
        <v>0</v>
      </c>
    </row>
    <row r="2512" spans="5:11" x14ac:dyDescent="0.35">
      <c r="E2512" s="9" t="str">
        <v>EPSG</v>
      </c>
      <c r="F2512" s="7" t="str">
        <v>5014</v>
      </c>
      <c r="G2512" t="str">
        <v>ProjectedCrs</v>
      </c>
      <c r="H2512" t="str">
        <v>Transverse Mercator</v>
      </c>
      <c r="I2512" t="str">
        <v>PTRA08 / UTM zone 25N</v>
      </c>
      <c r="J2512" t="str">
        <v>Portugal - west of 30°W - western Azores - Flores and Corvo islands and surrounding EEZ.</v>
      </c>
      <c r="K2512" s="11">
        <v>0</v>
      </c>
    </row>
    <row r="2513" spans="5:11" x14ac:dyDescent="0.35">
      <c r="E2513" s="9" t="str">
        <v>EPSG</v>
      </c>
      <c r="F2513" s="7" t="str">
        <v>5015</v>
      </c>
      <c r="G2513" t="str">
        <v>ProjectedCrs</v>
      </c>
      <c r="H2513" t="str">
        <v>Transverse Mercator</v>
      </c>
      <c r="I2513" t="str">
        <v>PTRA08 / UTM zone 26N</v>
      </c>
      <c r="J2513" t="str">
        <v>Portugal - between 30°W and 24°W - central and eastern Azores - Graciosa, Terceira, Sao Jorge, Pico, Faial; Sao Miguel and Santa Maria islands and surrounding EEZ.</v>
      </c>
      <c r="K2513" s="11">
        <v>0</v>
      </c>
    </row>
    <row r="2514" spans="5:11" x14ac:dyDescent="0.35">
      <c r="E2514" s="9" t="str">
        <v>EPSG</v>
      </c>
      <c r="F2514" s="7" t="str">
        <v>5016</v>
      </c>
      <c r="G2514" t="str">
        <v>ProjectedCrs</v>
      </c>
      <c r="H2514" t="str">
        <v>Transverse Mercator</v>
      </c>
      <c r="I2514" t="str">
        <v>PTRA08 / UTM zone 28N</v>
      </c>
      <c r="J2514" t="str">
        <v>Portugal - Madeira, Porto Santo, Desertas and Selvagens islands and surrounding EEZ east of 18°W.</v>
      </c>
      <c r="K2514" s="11">
        <v>0</v>
      </c>
    </row>
    <row r="2515" spans="5:11" x14ac:dyDescent="0.35">
      <c r="E2515" s="9" t="str">
        <v>EPSG</v>
      </c>
      <c r="F2515" s="7" t="str">
        <v>5017</v>
      </c>
      <c r="G2515" t="str">
        <v>ProjectedCrs</v>
      </c>
      <c r="H2515" t="str">
        <v>Bonne (South Orientated)</v>
      </c>
      <c r="I2515" t="str">
        <v>Lisbon 1890 / Portugal Bonne New</v>
      </c>
      <c r="J2515" t="str">
        <v>Portugal - mainland - onshore.</v>
      </c>
      <c r="K2515" s="11">
        <v>0</v>
      </c>
    </row>
    <row r="2516" spans="5:11" x14ac:dyDescent="0.35">
      <c r="E2516" s="9" t="str">
        <v>EPSG</v>
      </c>
      <c r="F2516" s="7" t="str">
        <v>5018</v>
      </c>
      <c r="G2516" t="str">
        <v>ProjectedCrs</v>
      </c>
      <c r="H2516" t="str">
        <v>Transverse Mercator</v>
      </c>
      <c r="I2516" t="str">
        <v>Lisbon / Portuguese Grid New</v>
      </c>
      <c r="J2516" t="str">
        <v>Portugal - mainland - onshore.</v>
      </c>
      <c r="K2516" s="11">
        <v>0</v>
      </c>
    </row>
    <row r="2517" spans="5:11" x14ac:dyDescent="0.35">
      <c r="E2517" s="9" t="str">
        <v>EPSG</v>
      </c>
      <c r="F2517" s="7" t="str">
        <v>5041</v>
      </c>
      <c r="G2517" t="str">
        <v>ProjectedCrs</v>
      </c>
      <c r="H2517" t="str">
        <v>Polar Stereographic (variant A)</v>
      </c>
      <c r="I2517" t="str">
        <v>WGS 84 / UPS North (E,N)</v>
      </c>
      <c r="J2517" t="str">
        <v>Northern hemisphere - north of 60°N onshore and offshore, including Arctic.</v>
      </c>
      <c r="K2517" s="11">
        <v>0</v>
      </c>
    </row>
    <row r="2518" spans="5:11" x14ac:dyDescent="0.35">
      <c r="E2518" s="9" t="str">
        <v>EPSG</v>
      </c>
      <c r="F2518" s="7" t="str">
        <v>5042</v>
      </c>
      <c r="G2518" t="str">
        <v>ProjectedCrs</v>
      </c>
      <c r="H2518" t="str">
        <v>Polar Stereographic (variant A)</v>
      </c>
      <c r="I2518" t="str">
        <v>WGS 84 / UPS South (E,N)</v>
      </c>
      <c r="J2518" t="str">
        <v>Southern hemisphere - south of 60°S onshore and offshore - Antarctica.</v>
      </c>
      <c r="K2518" s="11">
        <v>0</v>
      </c>
    </row>
    <row r="2519" spans="5:11" x14ac:dyDescent="0.35">
      <c r="E2519" s="9" t="str">
        <v>EPSG</v>
      </c>
      <c r="F2519" s="7" t="str">
        <v>5048</v>
      </c>
      <c r="G2519" t="str">
        <v>ProjectedCrs</v>
      </c>
      <c r="H2519" t="str">
        <v>Transverse Mercator</v>
      </c>
      <c r="I2519" t="str">
        <v>ETRS89 / TM35FIN(N,E)</v>
      </c>
      <c r="J2519" t="str">
        <v>Finland - onshore and offshore.</v>
      </c>
      <c r="K2519" s="11">
        <v>0</v>
      </c>
    </row>
    <row r="2520" spans="5:11" x14ac:dyDescent="0.35">
      <c r="E2520" s="9" t="str">
        <v>EPSG</v>
      </c>
      <c r="F2520" s="7" t="str">
        <v>5069</v>
      </c>
      <c r="G2520" t="str">
        <v>ProjectedCrs</v>
      </c>
      <c r="H2520" t="str">
        <v>Albers Equal Area</v>
      </c>
      <c r="I2520" t="str">
        <v>NAD27 / Conus Albers</v>
      </c>
      <c r="J2520"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520" s="11">
        <v>0</v>
      </c>
    </row>
    <row r="2521" spans="5:11" x14ac:dyDescent="0.35">
      <c r="E2521" s="9" t="str">
        <v>EPSG</v>
      </c>
      <c r="F2521" s="7" t="str">
        <v>5070</v>
      </c>
      <c r="G2521" t="str">
        <v>ProjectedCrs</v>
      </c>
      <c r="H2521" t="str">
        <v>Albers Equal Area</v>
      </c>
      <c r="I2521" t="str">
        <v>NAD83 / Conus Albers</v>
      </c>
      <c r="J2521"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521" s="11">
        <v>0</v>
      </c>
    </row>
    <row r="2522" spans="5:11" x14ac:dyDescent="0.35">
      <c r="E2522" s="9" t="str">
        <v>EPSG</v>
      </c>
      <c r="F2522" s="7" t="str">
        <v>5071</v>
      </c>
      <c r="G2522" t="str">
        <v>ProjectedCrs</v>
      </c>
      <c r="H2522" t="str">
        <v>Albers Equal Area</v>
      </c>
      <c r="I2522" t="str">
        <v>NAD83(HARN) / Conus Albers</v>
      </c>
      <c r="J2522"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522" s="11">
        <v>0</v>
      </c>
    </row>
    <row r="2523" spans="5:11" x14ac:dyDescent="0.35">
      <c r="E2523" s="9" t="str">
        <v>EPSG</v>
      </c>
      <c r="F2523" s="7" t="str">
        <v>5072</v>
      </c>
      <c r="G2523" t="str">
        <v>ProjectedCrs</v>
      </c>
      <c r="H2523" t="str">
        <v>Albers Equal Area</v>
      </c>
      <c r="I2523" t="str">
        <v>NAD83(NSRS2007) / Conus Albers</v>
      </c>
      <c r="J2523"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523" s="11">
        <v>0</v>
      </c>
    </row>
    <row r="2524" spans="5:11" x14ac:dyDescent="0.35">
      <c r="E2524" s="9" t="str">
        <v>EPSG</v>
      </c>
      <c r="F2524" s="7" t="str">
        <v>5105</v>
      </c>
      <c r="G2524" t="str">
        <v>ProjectedCrs</v>
      </c>
      <c r="H2524" t="str">
        <v>Transverse Mercator</v>
      </c>
      <c r="I2524" t="str">
        <v>ETRS89 / NTM zone 5</v>
      </c>
      <c r="J2524" t="str">
        <v>Norway - onshore - west of 6°E.</v>
      </c>
      <c r="K2524" s="11">
        <v>0</v>
      </c>
    </row>
    <row r="2525" spans="5:11" x14ac:dyDescent="0.35">
      <c r="E2525" s="9" t="str">
        <v>EPSG</v>
      </c>
      <c r="F2525" s="7" t="str">
        <v>5106</v>
      </c>
      <c r="G2525" t="str">
        <v>ProjectedCrs</v>
      </c>
      <c r="H2525" t="str">
        <v>Transverse Mercator</v>
      </c>
      <c r="I2525" t="str">
        <v>ETRS89 / NTM zone 6</v>
      </c>
      <c r="J2525" t="str">
        <v>Norway - onshore - between 6°E and 7°E.</v>
      </c>
      <c r="K2525" s="11">
        <v>0</v>
      </c>
    </row>
    <row r="2526" spans="5:11" x14ac:dyDescent="0.35">
      <c r="E2526" s="9" t="str">
        <v>EPSG</v>
      </c>
      <c r="F2526" s="7" t="str">
        <v>5107</v>
      </c>
      <c r="G2526" t="str">
        <v>ProjectedCrs</v>
      </c>
      <c r="H2526" t="str">
        <v>Transverse Mercator</v>
      </c>
      <c r="I2526" t="str">
        <v>ETRS89 / NTM zone 7</v>
      </c>
      <c r="J2526" t="str">
        <v>Norway - onshore - between 7°E and 8°E.</v>
      </c>
      <c r="K2526" s="11">
        <v>0</v>
      </c>
    </row>
    <row r="2527" spans="5:11" x14ac:dyDescent="0.35">
      <c r="E2527" s="9" t="str">
        <v>EPSG</v>
      </c>
      <c r="F2527" s="7" t="str">
        <v>5108</v>
      </c>
      <c r="G2527" t="str">
        <v>ProjectedCrs</v>
      </c>
      <c r="H2527" t="str">
        <v>Transverse Mercator</v>
      </c>
      <c r="I2527" t="str">
        <v>ETRS89 / NTM zone 8</v>
      </c>
      <c r="J2527" t="str">
        <v>Norway - onshore - between 8°E and 9°E.</v>
      </c>
      <c r="K2527" s="11">
        <v>0</v>
      </c>
    </row>
    <row r="2528" spans="5:11" x14ac:dyDescent="0.35">
      <c r="E2528" s="9" t="str">
        <v>EPSG</v>
      </c>
      <c r="F2528" s="7" t="str">
        <v>5109</v>
      </c>
      <c r="G2528" t="str">
        <v>ProjectedCrs</v>
      </c>
      <c r="H2528" t="str">
        <v>Transverse Mercator</v>
      </c>
      <c r="I2528" t="str">
        <v>ETRS89 / NTM zone 9</v>
      </c>
      <c r="J2528" t="str">
        <v>Norway - onshore - between 9°E and 10°E.</v>
      </c>
      <c r="K2528" s="11">
        <v>0</v>
      </c>
    </row>
    <row r="2529" spans="5:11" x14ac:dyDescent="0.35">
      <c r="E2529" s="9" t="str">
        <v>EPSG</v>
      </c>
      <c r="F2529" s="7" t="str">
        <v>5110</v>
      </c>
      <c r="G2529" t="str">
        <v>ProjectedCrs</v>
      </c>
      <c r="H2529" t="str">
        <v>Transverse Mercator</v>
      </c>
      <c r="I2529" t="str">
        <v>ETRS89 / NTM zone 10</v>
      </c>
      <c r="J2529" t="str">
        <v>Norway - onshore - between 10°E and 11°E.</v>
      </c>
      <c r="K2529" s="11">
        <v>0</v>
      </c>
    </row>
    <row r="2530" spans="5:11" x14ac:dyDescent="0.35">
      <c r="E2530" s="9" t="str">
        <v>EPSG</v>
      </c>
      <c r="F2530" s="7" t="str">
        <v>5111</v>
      </c>
      <c r="G2530" t="str">
        <v>ProjectedCrs</v>
      </c>
      <c r="H2530" t="str">
        <v>Transverse Mercator</v>
      </c>
      <c r="I2530" t="str">
        <v>ETRS89 / NTM zone 11</v>
      </c>
      <c r="J2530" t="str">
        <v>Norway - onshore - between 11°E and 12°E.</v>
      </c>
      <c r="K2530" s="11">
        <v>0</v>
      </c>
    </row>
    <row r="2531" spans="5:11" x14ac:dyDescent="0.35">
      <c r="E2531" s="9" t="str">
        <v>EPSG</v>
      </c>
      <c r="F2531" s="7" t="str">
        <v>5112</v>
      </c>
      <c r="G2531" t="str">
        <v>ProjectedCrs</v>
      </c>
      <c r="H2531" t="str">
        <v>Transverse Mercator</v>
      </c>
      <c r="I2531" t="str">
        <v>ETRS89 / NTM zone 12</v>
      </c>
      <c r="J2531" t="str">
        <v>Norway - onshore - between 12°E and 13°E.</v>
      </c>
      <c r="K2531" s="11">
        <v>0</v>
      </c>
    </row>
    <row r="2532" spans="5:11" x14ac:dyDescent="0.35">
      <c r="E2532" s="9" t="str">
        <v>EPSG</v>
      </c>
      <c r="F2532" s="7" t="str">
        <v>5113</v>
      </c>
      <c r="G2532" t="str">
        <v>ProjectedCrs</v>
      </c>
      <c r="H2532" t="str">
        <v>Transverse Mercator</v>
      </c>
      <c r="I2532" t="str">
        <v>ETRS89 / NTM zone 13</v>
      </c>
      <c r="J2532" t="str">
        <v>Norway - onshore - between 13°E and 14°E.</v>
      </c>
      <c r="K2532" s="11">
        <v>0</v>
      </c>
    </row>
    <row r="2533" spans="5:11" x14ac:dyDescent="0.35">
      <c r="E2533" s="9" t="str">
        <v>EPSG</v>
      </c>
      <c r="F2533" s="7" t="str">
        <v>5114</v>
      </c>
      <c r="G2533" t="str">
        <v>ProjectedCrs</v>
      </c>
      <c r="H2533" t="str">
        <v>Transverse Mercator</v>
      </c>
      <c r="I2533" t="str">
        <v>ETRS89 / NTM zone 14</v>
      </c>
      <c r="J2533" t="str">
        <v>Norway - onshore - between 14°E and 15°E.</v>
      </c>
      <c r="K2533" s="11">
        <v>0</v>
      </c>
    </row>
    <row r="2534" spans="5:11" x14ac:dyDescent="0.35">
      <c r="E2534" s="9" t="str">
        <v>EPSG</v>
      </c>
      <c r="F2534" s="7" t="str">
        <v>5115</v>
      </c>
      <c r="G2534" t="str">
        <v>ProjectedCrs</v>
      </c>
      <c r="H2534" t="str">
        <v>Transverse Mercator</v>
      </c>
      <c r="I2534" t="str">
        <v>ETRS89 / NTM zone 15</v>
      </c>
      <c r="J2534" t="str">
        <v>Norway - onshore - between 15°E and 16°E.</v>
      </c>
      <c r="K2534" s="11">
        <v>0</v>
      </c>
    </row>
    <row r="2535" spans="5:11" x14ac:dyDescent="0.35">
      <c r="E2535" s="9" t="str">
        <v>EPSG</v>
      </c>
      <c r="F2535" s="7" t="str">
        <v>5116</v>
      </c>
      <c r="G2535" t="str">
        <v>ProjectedCrs</v>
      </c>
      <c r="H2535" t="str">
        <v>Transverse Mercator</v>
      </c>
      <c r="I2535" t="str">
        <v>ETRS89 / NTM zone 16</v>
      </c>
      <c r="J2535" t="str">
        <v>Norway - onshore - between 16°E and 17°E.</v>
      </c>
      <c r="K2535" s="11">
        <v>0</v>
      </c>
    </row>
    <row r="2536" spans="5:11" x14ac:dyDescent="0.35">
      <c r="E2536" s="9" t="str">
        <v>EPSG</v>
      </c>
      <c r="F2536" s="7" t="str">
        <v>5117</v>
      </c>
      <c r="G2536" t="str">
        <v>ProjectedCrs</v>
      </c>
      <c r="H2536" t="str">
        <v>Transverse Mercator</v>
      </c>
      <c r="I2536" t="str">
        <v>ETRS89 / NTM zone 17</v>
      </c>
      <c r="J2536" t="str">
        <v>Norway - onshore - between 17°E and 18°E.</v>
      </c>
      <c r="K2536" s="11">
        <v>0</v>
      </c>
    </row>
    <row r="2537" spans="5:11" x14ac:dyDescent="0.35">
      <c r="E2537" s="9" t="str">
        <v>EPSG</v>
      </c>
      <c r="F2537" s="7" t="str">
        <v>5118</v>
      </c>
      <c r="G2537" t="str">
        <v>ProjectedCrs</v>
      </c>
      <c r="H2537" t="str">
        <v>Transverse Mercator</v>
      </c>
      <c r="I2537" t="str">
        <v>ETRS89 / NTM zone 18</v>
      </c>
      <c r="J2537" t="str">
        <v>Norway - onshore - between 18°E and 19°E.</v>
      </c>
      <c r="K2537" s="11">
        <v>0</v>
      </c>
    </row>
    <row r="2538" spans="5:11" x14ac:dyDescent="0.35">
      <c r="E2538" s="9" t="str">
        <v>EPSG</v>
      </c>
      <c r="F2538" s="7" t="str">
        <v>5119</v>
      </c>
      <c r="G2538" t="str">
        <v>ProjectedCrs</v>
      </c>
      <c r="H2538" t="str">
        <v>Transverse Mercator</v>
      </c>
      <c r="I2538" t="str">
        <v>ETRS89 / NTM zone 19</v>
      </c>
      <c r="J2538" t="str">
        <v>Norway - onshore - between 19°E and 20°E.</v>
      </c>
      <c r="K2538" s="11">
        <v>0</v>
      </c>
    </row>
    <row r="2539" spans="5:11" x14ac:dyDescent="0.35">
      <c r="E2539" s="9" t="str">
        <v>EPSG</v>
      </c>
      <c r="F2539" s="7" t="str">
        <v>5120</v>
      </c>
      <c r="G2539" t="str">
        <v>ProjectedCrs</v>
      </c>
      <c r="H2539" t="str">
        <v>Transverse Mercator</v>
      </c>
      <c r="I2539" t="str">
        <v>ETRS89 / NTM zone 20</v>
      </c>
      <c r="J2539" t="str">
        <v>Norway - onshore - between 20°E and 21°E.</v>
      </c>
      <c r="K2539" s="11">
        <v>0</v>
      </c>
    </row>
    <row r="2540" spans="5:11" x14ac:dyDescent="0.35">
      <c r="E2540" s="9" t="str">
        <v>EPSG</v>
      </c>
      <c r="F2540" s="7" t="str">
        <v>5121</v>
      </c>
      <c r="G2540" t="str">
        <v>ProjectedCrs</v>
      </c>
      <c r="H2540" t="str">
        <v>Transverse Mercator</v>
      </c>
      <c r="I2540" t="str">
        <v>ETRS89 / NTM zone 21</v>
      </c>
      <c r="J2540" t="str">
        <v>Norway - onshore - between 21°E and 22°E.</v>
      </c>
      <c r="K2540" s="11">
        <v>0</v>
      </c>
    </row>
    <row r="2541" spans="5:11" x14ac:dyDescent="0.35">
      <c r="E2541" s="9" t="str">
        <v>EPSG</v>
      </c>
      <c r="F2541" s="7" t="str">
        <v>5122</v>
      </c>
      <c r="G2541" t="str">
        <v>ProjectedCrs</v>
      </c>
      <c r="H2541" t="str">
        <v>Transverse Mercator</v>
      </c>
      <c r="I2541" t="str">
        <v>ETRS89 / NTM zone 22</v>
      </c>
      <c r="J2541" t="str">
        <v>Norway - onshore - between 22°E and 23°E.</v>
      </c>
      <c r="K2541" s="11">
        <v>0</v>
      </c>
    </row>
    <row r="2542" spans="5:11" x14ac:dyDescent="0.35">
      <c r="E2542" s="9" t="str">
        <v>EPSG</v>
      </c>
      <c r="F2542" s="7" t="str">
        <v>5123</v>
      </c>
      <c r="G2542" t="str">
        <v>ProjectedCrs</v>
      </c>
      <c r="H2542" t="str">
        <v>Transverse Mercator</v>
      </c>
      <c r="I2542" t="str">
        <v>ETRS89 / NTM zone 23</v>
      </c>
      <c r="J2542" t="str">
        <v>Norway - onshore - between 23°E and 24°E.</v>
      </c>
      <c r="K2542" s="11">
        <v>0</v>
      </c>
    </row>
    <row r="2543" spans="5:11" x14ac:dyDescent="0.35">
      <c r="E2543" s="9" t="str">
        <v>EPSG</v>
      </c>
      <c r="F2543" s="7" t="str">
        <v>5124</v>
      </c>
      <c r="G2543" t="str">
        <v>ProjectedCrs</v>
      </c>
      <c r="H2543" t="str">
        <v>Transverse Mercator</v>
      </c>
      <c r="I2543" t="str">
        <v>ETRS89 / NTM zone 24</v>
      </c>
      <c r="J2543" t="str">
        <v>Norway - onshore - between 24°E and 25°E.</v>
      </c>
      <c r="K2543" s="11">
        <v>0</v>
      </c>
    </row>
    <row r="2544" spans="5:11" x14ac:dyDescent="0.35">
      <c r="E2544" s="9" t="str">
        <v>EPSG</v>
      </c>
      <c r="F2544" s="7" t="str">
        <v>5125</v>
      </c>
      <c r="G2544" t="str">
        <v>ProjectedCrs</v>
      </c>
      <c r="H2544" t="str">
        <v>Transverse Mercator</v>
      </c>
      <c r="I2544" t="str">
        <v>ETRS89 / NTM zone 25</v>
      </c>
      <c r="J2544" t="str">
        <v>Norway - onshore - between 25°E and 26°E.</v>
      </c>
      <c r="K2544" s="11">
        <v>0</v>
      </c>
    </row>
    <row r="2545" spans="5:11" x14ac:dyDescent="0.35">
      <c r="E2545" s="9" t="str">
        <v>EPSG</v>
      </c>
      <c r="F2545" s="7" t="str">
        <v>5126</v>
      </c>
      <c r="G2545" t="str">
        <v>ProjectedCrs</v>
      </c>
      <c r="H2545" t="str">
        <v>Transverse Mercator</v>
      </c>
      <c r="I2545" t="str">
        <v>ETRS89 / NTM zone 26</v>
      </c>
      <c r="J2545" t="str">
        <v>Norway - onshore - between 26°E and 27°E.</v>
      </c>
      <c r="K2545" s="11">
        <v>0</v>
      </c>
    </row>
    <row r="2546" spans="5:11" x14ac:dyDescent="0.35">
      <c r="E2546" s="9" t="str">
        <v>EPSG</v>
      </c>
      <c r="F2546" s="7" t="str">
        <v>5127</v>
      </c>
      <c r="G2546" t="str">
        <v>ProjectedCrs</v>
      </c>
      <c r="H2546" t="str">
        <v>Transverse Mercator</v>
      </c>
      <c r="I2546" t="str">
        <v>ETRS89 / NTM zone 27</v>
      </c>
      <c r="J2546" t="str">
        <v>Norway - onshore - between 27°E and 28°E.</v>
      </c>
      <c r="K2546" s="11">
        <v>0</v>
      </c>
    </row>
    <row r="2547" spans="5:11" x14ac:dyDescent="0.35">
      <c r="E2547" s="9" t="str">
        <v>EPSG</v>
      </c>
      <c r="F2547" s="7" t="str">
        <v>5128</v>
      </c>
      <c r="G2547" t="str">
        <v>ProjectedCrs</v>
      </c>
      <c r="H2547" t="str">
        <v>Transverse Mercator</v>
      </c>
      <c r="I2547" t="str">
        <v>ETRS89 / NTM zone 28</v>
      </c>
      <c r="J2547" t="str">
        <v>Norway - onshore - between 28°E and 29°E.</v>
      </c>
      <c r="K2547" s="11">
        <v>0</v>
      </c>
    </row>
    <row r="2548" spans="5:11" x14ac:dyDescent="0.35">
      <c r="E2548" s="9" t="str">
        <v>EPSG</v>
      </c>
      <c r="F2548" s="7" t="str">
        <v>5129</v>
      </c>
      <c r="G2548" t="str">
        <v>ProjectedCrs</v>
      </c>
      <c r="H2548" t="str">
        <v>Transverse Mercator</v>
      </c>
      <c r="I2548" t="str">
        <v>ETRS89 / NTM zone 29</v>
      </c>
      <c r="J2548" t="str">
        <v>Norway - onshore - between 29°E and 30°E.</v>
      </c>
      <c r="K2548" s="11">
        <v>0</v>
      </c>
    </row>
    <row r="2549" spans="5:11" x14ac:dyDescent="0.35">
      <c r="E2549" s="9" t="str">
        <v>EPSG</v>
      </c>
      <c r="F2549" s="7" t="str">
        <v>5130</v>
      </c>
      <c r="G2549" t="str">
        <v>ProjectedCrs</v>
      </c>
      <c r="H2549" t="str">
        <v>Transverse Mercator</v>
      </c>
      <c r="I2549" t="str">
        <v>ETRS89 / NTM zone 30</v>
      </c>
      <c r="J2549" t="str">
        <v>Norway - onshore - east of 30°E.</v>
      </c>
      <c r="K2549" s="11">
        <v>0</v>
      </c>
    </row>
    <row r="2550" spans="5:11" x14ac:dyDescent="0.35">
      <c r="E2550" s="9" t="str">
        <v>EPSG</v>
      </c>
      <c r="F2550" s="7" t="str">
        <v>5132</v>
      </c>
      <c r="G2550" t="str">
        <v>Geographic2DCrs</v>
      </c>
      <c r="H2550" t="str">
        <v>&lt;undefined&gt;</v>
      </c>
      <c r="I2550" t="str">
        <v>Tokyo 1892</v>
      </c>
      <c r="J2550" t="str">
        <v>Japan - onshore; North Korea - onshore; South Korea - onshore.</v>
      </c>
      <c r="K2550" s="11">
        <v>0</v>
      </c>
    </row>
    <row r="2551" spans="5:11" x14ac:dyDescent="0.35">
      <c r="E2551" s="9" t="str">
        <v>EPSG</v>
      </c>
      <c r="F2551" s="7" t="str">
        <v>5167</v>
      </c>
      <c r="G2551" t="str">
        <v>ProjectedCrs</v>
      </c>
      <c r="H2551" t="str">
        <v>Transverse Mercator</v>
      </c>
      <c r="I2551" t="str">
        <v>Korean 1985 / East Sea Belt</v>
      </c>
      <c r="J2551" t="str">
        <v>Republic of Korea (South Korea) - onshore between 130°E and 132°E.</v>
      </c>
      <c r="K2551" s="11">
        <v>0</v>
      </c>
    </row>
    <row r="2552" spans="5:11" x14ac:dyDescent="0.35">
      <c r="E2552" s="9" t="str">
        <v>EPSG</v>
      </c>
      <c r="F2552" s="7" t="str">
        <v>5168</v>
      </c>
      <c r="G2552" t="str">
        <v>ProjectedCrs</v>
      </c>
      <c r="H2552" t="str">
        <v>Transverse Mercator</v>
      </c>
      <c r="I2552" t="str">
        <v>Korean 1985 / Central Belt Jeju</v>
      </c>
      <c r="J2552" t="str">
        <v>Republic of Korea (South Korea) - between 126°E and 128°E - Jeju island onshore.</v>
      </c>
      <c r="K2552" s="11">
        <v>0</v>
      </c>
    </row>
    <row r="2553" spans="5:11" x14ac:dyDescent="0.35">
      <c r="E2553" s="9" t="str">
        <v>EPSG</v>
      </c>
      <c r="F2553" s="7" t="str">
        <v>5169</v>
      </c>
      <c r="G2553" t="str">
        <v>ProjectedCrs</v>
      </c>
      <c r="H2553" t="str">
        <v>Transverse Mercator</v>
      </c>
      <c r="I2553" t="str">
        <v>Tokyo 1892 / Korea West Belt</v>
      </c>
      <c r="J2553" t="str">
        <v>Democratic People's Republic of Korea (North Korea) and Republic of Korea (South Korea) - onshore west of 126°E.</v>
      </c>
      <c r="K2553" s="11">
        <v>0</v>
      </c>
    </row>
    <row r="2554" spans="5:11" x14ac:dyDescent="0.35">
      <c r="E2554" s="9" t="str">
        <v>EPSG</v>
      </c>
      <c r="F2554" s="7" t="str">
        <v>5170</v>
      </c>
      <c r="G2554" t="str">
        <v>ProjectedCrs</v>
      </c>
      <c r="H2554" t="str">
        <v>Transverse Mercator</v>
      </c>
      <c r="I2554" t="str">
        <v>Tokyo 1892 / Korea Central Belt</v>
      </c>
      <c r="J2554" t="str">
        <v>Democratic People's Republic of Korea (North Korea) and Republic of Korea (South Korea) - onshore between 126°E and 128°E.</v>
      </c>
      <c r="K2554" s="11">
        <v>0</v>
      </c>
    </row>
    <row r="2555" spans="5:11" x14ac:dyDescent="0.35">
      <c r="E2555" s="9" t="str">
        <v>EPSG</v>
      </c>
      <c r="F2555" s="7" t="str">
        <v>5171</v>
      </c>
      <c r="G2555" t="str">
        <v>ProjectedCrs</v>
      </c>
      <c r="H2555" t="str">
        <v>Transverse Mercator</v>
      </c>
      <c r="I2555" t="str">
        <v>Tokyo 1892 / Korea East Belt</v>
      </c>
      <c r="J2555" t="str">
        <v>Democratic People's Republic of Korea (North Korea) and Republic of Korea (South Korea) - onshore between 128°E and 130°E.</v>
      </c>
      <c r="K2555" s="11">
        <v>0</v>
      </c>
    </row>
    <row r="2556" spans="5:11" x14ac:dyDescent="0.35">
      <c r="E2556" s="9" t="str">
        <v>EPSG</v>
      </c>
      <c r="F2556" s="7" t="str">
        <v>5172</v>
      </c>
      <c r="G2556" t="str">
        <v>ProjectedCrs</v>
      </c>
      <c r="H2556" t="str">
        <v>Transverse Mercator</v>
      </c>
      <c r="I2556" t="str">
        <v>Tokyo 1892 / Korea East Sea Belt</v>
      </c>
      <c r="J2556" t="str">
        <v>Democratic People's Republic of Korea (North Korea) and Republic of Korea (South Korea) - onshore east of 130°E.</v>
      </c>
      <c r="K2556" s="11">
        <v>0</v>
      </c>
    </row>
    <row r="2557" spans="5:11" x14ac:dyDescent="0.35">
      <c r="E2557" s="9" t="str">
        <v>EPSG</v>
      </c>
      <c r="F2557" s="7" t="str">
        <v>5173</v>
      </c>
      <c r="G2557" t="str">
        <v>ProjectedCrs</v>
      </c>
      <c r="H2557" t="str">
        <v>Transverse Mercator</v>
      </c>
      <c r="I2557" t="str">
        <v>Korean 1985 / Modified West Belt</v>
      </c>
      <c r="J2557" t="str">
        <v>Republic of Korea (South Korea) - onshore between 124°E and 126°E.</v>
      </c>
      <c r="K2557" s="11">
        <v>0</v>
      </c>
    </row>
    <row r="2558" spans="5:11" x14ac:dyDescent="0.35">
      <c r="E2558" s="9" t="str">
        <v>EPSG</v>
      </c>
      <c r="F2558" s="7" t="str">
        <v>5174</v>
      </c>
      <c r="G2558" t="str">
        <v>ProjectedCrs</v>
      </c>
      <c r="H2558" t="str">
        <v>Transverse Mercator</v>
      </c>
      <c r="I2558" t="str">
        <v>Korean 1985 / Modified Central Belt</v>
      </c>
      <c r="J2558" t="str">
        <v>Republic of Korea (South Korea) - between 126°E and 128°E - mainland and nearshore.</v>
      </c>
      <c r="K2558" s="11">
        <v>0</v>
      </c>
    </row>
    <row r="2559" spans="5:11" x14ac:dyDescent="0.35">
      <c r="E2559" s="9" t="str">
        <v>EPSG</v>
      </c>
      <c r="F2559" s="7" t="str">
        <v>5175</v>
      </c>
      <c r="G2559" t="str">
        <v>ProjectedCrs</v>
      </c>
      <c r="H2559" t="str">
        <v>Transverse Mercator</v>
      </c>
      <c r="I2559" t="str">
        <v>Korean 1985 / Modified Central Belt Jeju</v>
      </c>
      <c r="J2559" t="str">
        <v>Republic of Korea (South Korea) - between 126°E and 128°E - Jeju island onshore.</v>
      </c>
      <c r="K2559" s="11">
        <v>0</v>
      </c>
    </row>
    <row r="2560" spans="5:11" x14ac:dyDescent="0.35">
      <c r="E2560" s="9" t="str">
        <v>EPSG</v>
      </c>
      <c r="F2560" s="7" t="str">
        <v>5176</v>
      </c>
      <c r="G2560" t="str">
        <v>ProjectedCrs</v>
      </c>
      <c r="H2560" t="str">
        <v>Transverse Mercator</v>
      </c>
      <c r="I2560" t="str">
        <v>Korean 1985 / Modified East Belt</v>
      </c>
      <c r="J2560" t="str">
        <v>Republic of Korea (South Korea) - onshore between 128°E and 130°E.</v>
      </c>
      <c r="K2560" s="11">
        <v>0</v>
      </c>
    </row>
    <row r="2561" spans="5:11" x14ac:dyDescent="0.35">
      <c r="E2561" s="9" t="str">
        <v>EPSG</v>
      </c>
      <c r="F2561" s="7" t="str">
        <v>5177</v>
      </c>
      <c r="G2561" t="str">
        <v>ProjectedCrs</v>
      </c>
      <c r="H2561" t="str">
        <v>Transverse Mercator</v>
      </c>
      <c r="I2561" t="str">
        <v>Korean 1985 / Modified East Sea Belt</v>
      </c>
      <c r="J2561" t="str">
        <v>Republic of Korea (South Korea) - onshore between 130°E and 132°E.</v>
      </c>
      <c r="K2561" s="11">
        <v>0</v>
      </c>
    </row>
    <row r="2562" spans="5:11" x14ac:dyDescent="0.35">
      <c r="E2562" s="9" t="str">
        <v>EPSG</v>
      </c>
      <c r="F2562" s="7" t="str">
        <v>5178</v>
      </c>
      <c r="G2562" t="str">
        <v>ProjectedCrs</v>
      </c>
      <c r="H2562" t="str">
        <v>Transverse Mercator</v>
      </c>
      <c r="I2562" t="str">
        <v>Korean 1985 / Unified CS</v>
      </c>
      <c r="J2562" t="str">
        <v>Republic of Korea (South Korea) - onshore.</v>
      </c>
      <c r="K2562" s="11">
        <v>0</v>
      </c>
    </row>
    <row r="2563" spans="5:11" x14ac:dyDescent="0.35">
      <c r="E2563" s="9" t="str">
        <v>EPSG</v>
      </c>
      <c r="F2563" s="7" t="str">
        <v>5179</v>
      </c>
      <c r="G2563" t="str">
        <v>ProjectedCrs</v>
      </c>
      <c r="H2563" t="str">
        <v>Transverse Mercator</v>
      </c>
      <c r="I2563" t="str">
        <v>KGD2002 / Unified CS</v>
      </c>
      <c r="J2563" t="str">
        <v>Republic of Korea (South Korea) - onshore and offshore.</v>
      </c>
      <c r="K2563" s="11">
        <v>0</v>
      </c>
    </row>
    <row r="2564" spans="5:11" x14ac:dyDescent="0.35">
      <c r="E2564" s="9" t="str">
        <v>EPSG</v>
      </c>
      <c r="F2564" s="7" t="str">
        <v>5180</v>
      </c>
      <c r="G2564" t="str">
        <v>ProjectedCrs</v>
      </c>
      <c r="H2564" t="str">
        <v>Transverse Mercator</v>
      </c>
      <c r="I2564" t="str">
        <v>KGD2002 / West Belt</v>
      </c>
      <c r="J2564" t="str">
        <v>Republic of Korea (South Korea) - onshore between 124°E and 126°E.</v>
      </c>
      <c r="K2564" s="11">
        <v>0</v>
      </c>
    </row>
    <row r="2565" spans="5:11" x14ac:dyDescent="0.35">
      <c r="E2565" s="9" t="str">
        <v>EPSG</v>
      </c>
      <c r="F2565" s="7" t="str">
        <v>5181</v>
      </c>
      <c r="G2565" t="str">
        <v>ProjectedCrs</v>
      </c>
      <c r="H2565" t="str">
        <v>Transverse Mercator</v>
      </c>
      <c r="I2565" t="str">
        <v>KGD2002 / Central Belt</v>
      </c>
      <c r="J2565" t="str">
        <v>Republic of Korea (South Korea) - between 126°E and 128°E - mainland and nearshore.</v>
      </c>
      <c r="K2565" s="11">
        <v>0</v>
      </c>
    </row>
    <row r="2566" spans="5:11" x14ac:dyDescent="0.35">
      <c r="E2566" s="9" t="str">
        <v>EPSG</v>
      </c>
      <c r="F2566" s="7" t="str">
        <v>5182</v>
      </c>
      <c r="G2566" t="str">
        <v>ProjectedCrs</v>
      </c>
      <c r="H2566" t="str">
        <v>Transverse Mercator</v>
      </c>
      <c r="I2566" t="str">
        <v>KGD2002 / Central Belt Jeju</v>
      </c>
      <c r="J2566" t="str">
        <v>Republic of Korea (South Korea) - between 126°E and 128°E - Jeju island onshore.</v>
      </c>
      <c r="K2566" s="11">
        <v>0</v>
      </c>
    </row>
    <row r="2567" spans="5:11" x14ac:dyDescent="0.35">
      <c r="E2567" s="9" t="str">
        <v>EPSG</v>
      </c>
      <c r="F2567" s="7" t="str">
        <v>5183</v>
      </c>
      <c r="G2567" t="str">
        <v>ProjectedCrs</v>
      </c>
      <c r="H2567" t="str">
        <v>Transverse Mercator</v>
      </c>
      <c r="I2567" t="str">
        <v>KGD2002 / East Belt</v>
      </c>
      <c r="J2567" t="str">
        <v>Republic of Korea (South Korea) - onshore between 128°E and 130°E.</v>
      </c>
      <c r="K2567" s="11">
        <v>0</v>
      </c>
    </row>
    <row r="2568" spans="5:11" x14ac:dyDescent="0.35">
      <c r="E2568" s="9" t="str">
        <v>EPSG</v>
      </c>
      <c r="F2568" s="7" t="str">
        <v>5184</v>
      </c>
      <c r="G2568" t="str">
        <v>ProjectedCrs</v>
      </c>
      <c r="H2568" t="str">
        <v>Transverse Mercator</v>
      </c>
      <c r="I2568" t="str">
        <v>KGD2002 / East Sea Belt</v>
      </c>
      <c r="J2568" t="str">
        <v>Republic of Korea (South Korea) - onshore between 130°E and 132°E.</v>
      </c>
      <c r="K2568" s="11">
        <v>0</v>
      </c>
    </row>
    <row r="2569" spans="5:11" x14ac:dyDescent="0.35">
      <c r="E2569" s="9" t="str">
        <v>EPSG</v>
      </c>
      <c r="F2569" s="7" t="str">
        <v>5185</v>
      </c>
      <c r="G2569" t="str">
        <v>ProjectedCrs</v>
      </c>
      <c r="H2569" t="str">
        <v>Transverse Mercator</v>
      </c>
      <c r="I2569" t="str">
        <v>KGD2002 / West Belt 2010</v>
      </c>
      <c r="J2569" t="str">
        <v>Republic of Korea (South Korea) - onshore between 124°E and 126°E.</v>
      </c>
      <c r="K2569" s="11">
        <v>0</v>
      </c>
    </row>
    <row r="2570" spans="5:11" x14ac:dyDescent="0.35">
      <c r="E2570" s="9" t="str">
        <v>EPSG</v>
      </c>
      <c r="F2570" s="7" t="str">
        <v>5186</v>
      </c>
      <c r="G2570" t="str">
        <v>ProjectedCrs</v>
      </c>
      <c r="H2570" t="str">
        <v>Transverse Mercator</v>
      </c>
      <c r="I2570" t="str">
        <v>KGD2002 / Central Belt 2010</v>
      </c>
      <c r="J2570" t="str">
        <v>Republic of Korea (South Korea) - onshore between 126°E and 128°E.</v>
      </c>
      <c r="K2570" s="11">
        <v>0</v>
      </c>
    </row>
    <row r="2571" spans="5:11" x14ac:dyDescent="0.35">
      <c r="E2571" s="9" t="str">
        <v>EPSG</v>
      </c>
      <c r="F2571" s="7" t="str">
        <v>5187</v>
      </c>
      <c r="G2571" t="str">
        <v>ProjectedCrs</v>
      </c>
      <c r="H2571" t="str">
        <v>Transverse Mercator</v>
      </c>
      <c r="I2571" t="str">
        <v>KGD2002 / East Belt 2010</v>
      </c>
      <c r="J2571" t="str">
        <v>Republic of Korea (South Korea) - onshore between 128°E and 130°E.</v>
      </c>
      <c r="K2571" s="11">
        <v>0</v>
      </c>
    </row>
    <row r="2572" spans="5:11" x14ac:dyDescent="0.35">
      <c r="E2572" s="9" t="str">
        <v>EPSG</v>
      </c>
      <c r="F2572" s="7" t="str">
        <v>5188</v>
      </c>
      <c r="G2572" t="str">
        <v>ProjectedCrs</v>
      </c>
      <c r="H2572" t="str">
        <v>Transverse Mercator</v>
      </c>
      <c r="I2572" t="str">
        <v>KGD2002 / East Sea Belt 2010</v>
      </c>
      <c r="J2572" t="str">
        <v>Republic of Korea (South Korea) - onshore between 130°E and 132°E.</v>
      </c>
      <c r="K2572" s="11">
        <v>0</v>
      </c>
    </row>
    <row r="2573" spans="5:11" x14ac:dyDescent="0.35">
      <c r="E2573" s="9" t="str">
        <v>EPSG</v>
      </c>
      <c r="F2573" s="7" t="str">
        <v>5193</v>
      </c>
      <c r="G2573" t="str">
        <v>VerticalCrs</v>
      </c>
      <c r="H2573" t="str">
        <v>&lt;undefined&gt;</v>
      </c>
      <c r="I2573" t="str">
        <v>KVD1964 height</v>
      </c>
      <c r="J2573" t="str">
        <v>Republic of Korea (South Korea) - onshore.</v>
      </c>
      <c r="K2573" s="11">
        <v>0</v>
      </c>
    </row>
    <row r="2574" spans="5:11" x14ac:dyDescent="0.35">
      <c r="E2574" s="9" t="str">
        <v>EPSG</v>
      </c>
      <c r="F2574" s="7" t="str">
        <v>5195</v>
      </c>
      <c r="G2574" t="str">
        <v>VerticalCrs</v>
      </c>
      <c r="H2574" t="str">
        <v>&lt;undefined&gt;</v>
      </c>
      <c r="I2574" t="str">
        <v>Trieste height</v>
      </c>
      <c r="J2574" t="str">
        <v>Bosnia and Herzegovina; Croatia - onshore; Kosovo; Montenegro - onshore; North Macedonia; Serbia; Slovenia - onshore.</v>
      </c>
      <c r="K2574" s="11">
        <v>0</v>
      </c>
    </row>
    <row r="2575" spans="5:11" x14ac:dyDescent="0.35">
      <c r="E2575" s="9" t="str">
        <v>EPSG</v>
      </c>
      <c r="F2575" s="7" t="str">
        <v>5214</v>
      </c>
      <c r="G2575" t="str">
        <v>VerticalCrs</v>
      </c>
      <c r="H2575" t="str">
        <v>&lt;undefined&gt;</v>
      </c>
      <c r="I2575" t="str">
        <v>Genoa 1942 height</v>
      </c>
      <c r="J2575" t="str">
        <v>Italy - mainland (including San Marino and Vatican City State) and Sicily.</v>
      </c>
      <c r="K2575" s="11">
        <v>0</v>
      </c>
    </row>
    <row r="2576" spans="5:11" x14ac:dyDescent="0.35">
      <c r="E2576" s="9" t="str">
        <v>EPSG</v>
      </c>
      <c r="F2576" s="7" t="str">
        <v>5221</v>
      </c>
      <c r="G2576" t="str">
        <v>ProjectedCrs</v>
      </c>
      <c r="H2576" t="str">
        <v>Krovak (North Orientated)</v>
      </c>
      <c r="I2576" t="str">
        <v>S-JTSK (Ferro) / Krovak East North</v>
      </c>
      <c r="J2576" t="str">
        <v>Czechia; Slovakia.</v>
      </c>
      <c r="K2576" s="11">
        <v>0</v>
      </c>
    </row>
    <row r="2577" spans="5:11" x14ac:dyDescent="0.35">
      <c r="E2577" s="9" t="str">
        <v>EPSG</v>
      </c>
      <c r="F2577" s="7" t="str">
        <v>5223</v>
      </c>
      <c r="G2577" t="str">
        <v>ProjectedCrs</v>
      </c>
      <c r="H2577" t="str">
        <v>Transverse Mercator</v>
      </c>
      <c r="I2577" t="str">
        <v>WGS 84 / Gabon TM</v>
      </c>
      <c r="J2577" t="str">
        <v>Gabon - onshore.</v>
      </c>
      <c r="K2577" s="11">
        <v>0</v>
      </c>
    </row>
    <row r="2578" spans="5:11" x14ac:dyDescent="0.35">
      <c r="E2578" s="9" t="str">
        <v>EPSG</v>
      </c>
      <c r="F2578" s="7" t="str">
        <v>5224</v>
      </c>
      <c r="G2578" t="str">
        <v>ProjectedCrs</v>
      </c>
      <c r="H2578" t="str">
        <v>Krovak Modified</v>
      </c>
      <c r="I2578" t="str">
        <v>S-JTSK/05 (Ferro) / Modified Krovak</v>
      </c>
      <c r="J2578" t="str">
        <v>Czechia.</v>
      </c>
      <c r="K2578" s="11">
        <v>0</v>
      </c>
    </row>
    <row r="2579" spans="5:11" x14ac:dyDescent="0.35">
      <c r="E2579" s="9" t="str">
        <v>EPSG</v>
      </c>
      <c r="F2579" s="7" t="str">
        <v>5225</v>
      </c>
      <c r="G2579" t="str">
        <v>ProjectedCrs</v>
      </c>
      <c r="H2579" t="str">
        <v>Krovak Modified (North Orientated)</v>
      </c>
      <c r="I2579" t="str">
        <v>S-JTSK/05 (Ferro) / Modified Krovak East North</v>
      </c>
      <c r="J2579" t="str">
        <v>Czechia.</v>
      </c>
      <c r="K2579" s="11">
        <v>0</v>
      </c>
    </row>
    <row r="2580" spans="5:11" x14ac:dyDescent="0.35">
      <c r="E2580" s="9" t="str">
        <v>EPSG</v>
      </c>
      <c r="F2580" s="7" t="str">
        <v>5228</v>
      </c>
      <c r="G2580" t="str">
        <v>Geographic2DCrs</v>
      </c>
      <c r="H2580" t="str">
        <v>&lt;undefined&gt;</v>
      </c>
      <c r="I2580" t="str">
        <v>S-JTSK/05</v>
      </c>
      <c r="J2580" t="str">
        <v>Czechia.</v>
      </c>
      <c r="K2580" s="11">
        <v>0</v>
      </c>
    </row>
    <row r="2581" spans="5:11" x14ac:dyDescent="0.35">
      <c r="E2581" s="9" t="str">
        <v>EPSG</v>
      </c>
      <c r="F2581" s="7" t="str">
        <v>5229</v>
      </c>
      <c r="G2581" t="str">
        <v>Geographic2DCrs</v>
      </c>
      <c r="H2581" t="str">
        <v>&lt;undefined&gt;</v>
      </c>
      <c r="I2581" t="str">
        <v>S-JTSK/05 (Ferro)</v>
      </c>
      <c r="J2581" t="str">
        <v>Czechia.</v>
      </c>
      <c r="K2581" s="11">
        <v>0</v>
      </c>
    </row>
    <row r="2582" spans="5:11" x14ac:dyDescent="0.35">
      <c r="E2582" s="9" t="str">
        <v>EPSG</v>
      </c>
      <c r="F2582" s="7" t="str">
        <v>5233</v>
      </c>
      <c r="G2582" t="str">
        <v>Geographic2DCrs</v>
      </c>
      <c r="H2582" t="str">
        <v>&lt;undefined&gt;</v>
      </c>
      <c r="I2582" t="str">
        <v>SLD99</v>
      </c>
      <c r="J2582" t="str">
        <v>Sri Lanka - onshore.</v>
      </c>
      <c r="K2582" s="11">
        <v>0</v>
      </c>
    </row>
    <row r="2583" spans="5:11" x14ac:dyDescent="0.35">
      <c r="E2583" s="9" t="str">
        <v>EPSG</v>
      </c>
      <c r="F2583" s="7" t="str">
        <v>5234</v>
      </c>
      <c r="G2583" t="str">
        <v>ProjectedCrs</v>
      </c>
      <c r="H2583" t="str">
        <v>Transverse Mercator</v>
      </c>
      <c r="I2583" t="str">
        <v>Kandawala / Sri Lanka Grid</v>
      </c>
      <c r="J2583" t="str">
        <v>Sri Lanka - onshore.</v>
      </c>
      <c r="K2583" s="11">
        <v>0</v>
      </c>
    </row>
    <row r="2584" spans="5:11" x14ac:dyDescent="0.35">
      <c r="E2584" s="9" t="str">
        <v>EPSG</v>
      </c>
      <c r="F2584" s="7" t="str">
        <v>5235</v>
      </c>
      <c r="G2584" t="str">
        <v>ProjectedCrs</v>
      </c>
      <c r="H2584" t="str">
        <v>Transverse Mercator</v>
      </c>
      <c r="I2584" t="str">
        <v>SLD99 / Sri Lanka Grid 1999</v>
      </c>
      <c r="J2584" t="str">
        <v>Sri Lanka - onshore.</v>
      </c>
      <c r="K2584" s="11">
        <v>0</v>
      </c>
    </row>
    <row r="2585" spans="5:11" x14ac:dyDescent="0.35">
      <c r="E2585" s="9" t="str">
        <v>EPSG</v>
      </c>
      <c r="F2585" s="7" t="str">
        <v>5237</v>
      </c>
      <c r="G2585" t="str">
        <v>VerticalCrs</v>
      </c>
      <c r="H2585" t="str">
        <v>&lt;undefined&gt;</v>
      </c>
      <c r="I2585" t="str">
        <v>SLVD height</v>
      </c>
      <c r="J2585" t="str">
        <v>Sri Lanka - onshore.</v>
      </c>
      <c r="K2585" s="11">
        <v>0</v>
      </c>
    </row>
    <row r="2586" spans="5:11" x14ac:dyDescent="0.35">
      <c r="E2586" s="9" t="str">
        <v>EPSG</v>
      </c>
      <c r="F2586" s="7" t="str">
        <v>5243</v>
      </c>
      <c r="G2586" t="str">
        <v>ProjectedCrs</v>
      </c>
      <c r="H2586" t="str">
        <v>Lambert Conic Conformal (2SP)</v>
      </c>
      <c r="I2586" t="str">
        <v>ETRS89 / LCC Germany (E-N)</v>
      </c>
      <c r="J2586" t="str">
        <v>Germany - onshore - states of Baden-Wurtemberg, Bayern, Berlin, Brandenburg, Bremen, Hamburg, Hessen, Mecklenburg-Vorpommern, Niedersachsen, Nordrhein-Westfalen, Rheinland-Pfalz, Saarland, Sachsen, Sachsen-Anhalt, Schleswig-Holstein, Thuringen.</v>
      </c>
      <c r="K2586" s="11">
        <v>0</v>
      </c>
    </row>
    <row r="2587" spans="5:11" x14ac:dyDescent="0.35">
      <c r="E2587" s="9" t="str">
        <v>EPSG</v>
      </c>
      <c r="F2587" s="7" t="str">
        <v>5244</v>
      </c>
      <c r="G2587" t="str">
        <v>GeocentricCrs</v>
      </c>
      <c r="H2587" t="str">
        <v>&lt;undefined&gt;</v>
      </c>
      <c r="I2587" t="str">
        <v>GDBD2009</v>
      </c>
      <c r="J2587" t="str">
        <v>Brunei Darussalam - onshore and offshore.</v>
      </c>
      <c r="K2587" s="11">
        <v>0</v>
      </c>
    </row>
    <row r="2588" spans="5:11" x14ac:dyDescent="0.35">
      <c r="E2588" s="9" t="str">
        <v>EPSG</v>
      </c>
      <c r="F2588" s="7" t="str">
        <v>5245</v>
      </c>
      <c r="G2588" t="str">
        <v>Geographic3DCrs</v>
      </c>
      <c r="H2588" t="str">
        <v>&lt;undefined&gt;</v>
      </c>
      <c r="I2588" t="str">
        <v>GDBD2009</v>
      </c>
      <c r="J2588" t="str">
        <v>Brunei Darussalam - onshore and offshore.</v>
      </c>
      <c r="K2588" s="11">
        <v>0</v>
      </c>
    </row>
    <row r="2589" spans="5:11" x14ac:dyDescent="0.35">
      <c r="E2589" s="9" t="str">
        <v>EPSG</v>
      </c>
      <c r="F2589" s="7" t="str">
        <v>5246</v>
      </c>
      <c r="G2589" t="str">
        <v>Geographic2DCrs</v>
      </c>
      <c r="H2589" t="str">
        <v>&lt;undefined&gt;</v>
      </c>
      <c r="I2589" t="str">
        <v>GDBD2009</v>
      </c>
      <c r="J2589" t="str">
        <v>Brunei Darussalam - onshore and offshore.</v>
      </c>
      <c r="K2589" s="11">
        <v>0</v>
      </c>
    </row>
    <row r="2590" spans="5:11" x14ac:dyDescent="0.35">
      <c r="E2590" s="9" t="str">
        <v>EPSG</v>
      </c>
      <c r="F2590" s="7" t="str">
        <v>5247</v>
      </c>
      <c r="G2590" t="str">
        <v>ProjectedCrs</v>
      </c>
      <c r="H2590" t="str">
        <v>Hotine Oblique Mercator (variant A)</v>
      </c>
      <c r="I2590" t="str">
        <v>GDBD2009 / Brunei BRSO</v>
      </c>
      <c r="J2590" t="str">
        <v>Brunei Darussalam - onshore and offshore.</v>
      </c>
      <c r="K2590" s="11">
        <v>0</v>
      </c>
    </row>
    <row r="2591" spans="5:11" x14ac:dyDescent="0.35">
      <c r="E2591" s="9" t="str">
        <v>EPSG</v>
      </c>
      <c r="F2591" s="7" t="str">
        <v>5250</v>
      </c>
      <c r="G2591" t="str">
        <v>GeocentricCrs</v>
      </c>
      <c r="H2591" t="str">
        <v>&lt;undefined&gt;</v>
      </c>
      <c r="I2591" t="str">
        <v>TUREF</v>
      </c>
      <c r="J2591" t="str">
        <v>Türkiye (Turkey) - onshore and offshore.</v>
      </c>
      <c r="K2591" s="11">
        <v>0</v>
      </c>
    </row>
    <row r="2592" spans="5:11" x14ac:dyDescent="0.35">
      <c r="E2592" s="9" t="str">
        <v>EPSG</v>
      </c>
      <c r="F2592" s="7" t="str">
        <v>5251</v>
      </c>
      <c r="G2592" t="str">
        <v>Geographic3DCrs</v>
      </c>
      <c r="H2592" t="str">
        <v>&lt;undefined&gt;</v>
      </c>
      <c r="I2592" t="str">
        <v>TUREF</v>
      </c>
      <c r="J2592" t="str">
        <v>Türkiye (Turkey) - onshore and offshore.</v>
      </c>
      <c r="K2592" s="11">
        <v>0</v>
      </c>
    </row>
    <row r="2593" spans="5:11" x14ac:dyDescent="0.35">
      <c r="E2593" s="9" t="str">
        <v>EPSG</v>
      </c>
      <c r="F2593" s="7" t="str">
        <v>5252</v>
      </c>
      <c r="G2593" t="str">
        <v>Geographic2DCrs</v>
      </c>
      <c r="H2593" t="str">
        <v>&lt;undefined&gt;</v>
      </c>
      <c r="I2593" t="str">
        <v>TUREF</v>
      </c>
      <c r="J2593" t="str">
        <v>Türkiye (Turkey) - onshore and offshore.</v>
      </c>
      <c r="K2593" s="11">
        <v>0</v>
      </c>
    </row>
    <row r="2594" spans="5:11" x14ac:dyDescent="0.35">
      <c r="E2594" s="9" t="str">
        <v>EPSG</v>
      </c>
      <c r="F2594" s="7" t="str">
        <v>5253</v>
      </c>
      <c r="G2594" t="str">
        <v>ProjectedCrs</v>
      </c>
      <c r="H2594" t="str">
        <v>Transverse Mercator</v>
      </c>
      <c r="I2594" t="str">
        <v>TUREF / TM27</v>
      </c>
      <c r="J2594" t="str">
        <v>Türkiye (Turkey) - west of 28°30'E, onshore.</v>
      </c>
      <c r="K2594" s="11">
        <v>0</v>
      </c>
    </row>
    <row r="2595" spans="5:11" x14ac:dyDescent="0.35">
      <c r="E2595" s="9" t="str">
        <v>EPSG</v>
      </c>
      <c r="F2595" s="7" t="str">
        <v>5254</v>
      </c>
      <c r="G2595" t="str">
        <v>ProjectedCrs</v>
      </c>
      <c r="H2595" t="str">
        <v>Transverse Mercator</v>
      </c>
      <c r="I2595" t="str">
        <v>TUREF / TM30</v>
      </c>
      <c r="J2595" t="str">
        <v>Türkiye (Turkey) - between 28°30'E and 31°30'E, onshore.</v>
      </c>
      <c r="K2595" s="11">
        <v>0</v>
      </c>
    </row>
    <row r="2596" spans="5:11" x14ac:dyDescent="0.35">
      <c r="E2596" s="9" t="str">
        <v>EPSG</v>
      </c>
      <c r="F2596" s="7" t="str">
        <v>5255</v>
      </c>
      <c r="G2596" t="str">
        <v>ProjectedCrs</v>
      </c>
      <c r="H2596" t="str">
        <v>Transverse Mercator</v>
      </c>
      <c r="I2596" t="str">
        <v>TUREF / TM33</v>
      </c>
      <c r="J2596" t="str">
        <v>Türkiye (Turkey) - between 31°30'E and 34°30'E, onshore.</v>
      </c>
      <c r="K2596" s="11">
        <v>0</v>
      </c>
    </row>
    <row r="2597" spans="5:11" x14ac:dyDescent="0.35">
      <c r="E2597" s="9" t="str">
        <v>EPSG</v>
      </c>
      <c r="F2597" s="7" t="str">
        <v>5256</v>
      </c>
      <c r="G2597" t="str">
        <v>ProjectedCrs</v>
      </c>
      <c r="H2597" t="str">
        <v>Transverse Mercator</v>
      </c>
      <c r="I2597" t="str">
        <v>TUREF / TM36</v>
      </c>
      <c r="J2597" t="str">
        <v>Türkiye (Turkey) - between 34°30'E and 37°30'E, onshore.</v>
      </c>
      <c r="K2597" s="11">
        <v>0</v>
      </c>
    </row>
    <row r="2598" spans="5:11" x14ac:dyDescent="0.35">
      <c r="E2598" s="9" t="str">
        <v>EPSG</v>
      </c>
      <c r="F2598" s="7" t="str">
        <v>5257</v>
      </c>
      <c r="G2598" t="str">
        <v>ProjectedCrs</v>
      </c>
      <c r="H2598" t="str">
        <v>Transverse Mercator</v>
      </c>
      <c r="I2598" t="str">
        <v>TUREF / TM39</v>
      </c>
      <c r="J2598" t="str">
        <v>Türkiye (Turkey) - between 37°30'E and 40°30'E, onshore.</v>
      </c>
      <c r="K2598" s="11">
        <v>0</v>
      </c>
    </row>
    <row r="2599" spans="5:11" x14ac:dyDescent="0.35">
      <c r="E2599" s="9" t="str">
        <v>EPSG</v>
      </c>
      <c r="F2599" s="7" t="str">
        <v>5258</v>
      </c>
      <c r="G2599" t="str">
        <v>ProjectedCrs</v>
      </c>
      <c r="H2599" t="str">
        <v>Transverse Mercator</v>
      </c>
      <c r="I2599" t="str">
        <v>TUREF / TM42</v>
      </c>
      <c r="J2599" t="str">
        <v>Türkiye (Turkey) - between 40°30'E and 43°30'E, onshore.</v>
      </c>
      <c r="K2599" s="11">
        <v>0</v>
      </c>
    </row>
    <row r="2600" spans="5:11" x14ac:dyDescent="0.35">
      <c r="E2600" s="9" t="str">
        <v>EPSG</v>
      </c>
      <c r="F2600" s="7" t="str">
        <v>5259</v>
      </c>
      <c r="G2600" t="str">
        <v>ProjectedCrs</v>
      </c>
      <c r="H2600" t="str">
        <v>Transverse Mercator</v>
      </c>
      <c r="I2600" t="str">
        <v>TUREF / TM45</v>
      </c>
      <c r="J2600" t="str">
        <v>Türkiye (Turkey) - east of 43°30'E.</v>
      </c>
      <c r="K2600" s="11">
        <v>0</v>
      </c>
    </row>
    <row r="2601" spans="5:11" x14ac:dyDescent="0.35">
      <c r="E2601" s="9" t="str">
        <v>EPSG</v>
      </c>
      <c r="F2601" s="7" t="str">
        <v>5262</v>
      </c>
      <c r="G2601" t="str">
        <v>GeocentricCrs</v>
      </c>
      <c r="H2601" t="str">
        <v>&lt;undefined&gt;</v>
      </c>
      <c r="I2601" t="str">
        <v>DRUKREF 03</v>
      </c>
      <c r="J2601" t="str">
        <v>Bhutan.</v>
      </c>
      <c r="K2601" s="11">
        <v>0</v>
      </c>
    </row>
    <row r="2602" spans="5:11" x14ac:dyDescent="0.35">
      <c r="E2602" s="9" t="str">
        <v>EPSG</v>
      </c>
      <c r="F2602" s="7" t="str">
        <v>5263</v>
      </c>
      <c r="G2602" t="str">
        <v>Geographic3DCrs</v>
      </c>
      <c r="H2602" t="str">
        <v>&lt;undefined&gt;</v>
      </c>
      <c r="I2602" t="str">
        <v>DRUKREF 03</v>
      </c>
      <c r="J2602" t="str">
        <v>Bhutan.</v>
      </c>
      <c r="K2602" s="11">
        <v>0</v>
      </c>
    </row>
    <row r="2603" spans="5:11" x14ac:dyDescent="0.35">
      <c r="E2603" s="9" t="str">
        <v>EPSG</v>
      </c>
      <c r="F2603" s="7" t="str">
        <v>5264</v>
      </c>
      <c r="G2603" t="str">
        <v>Geographic2DCrs</v>
      </c>
      <c r="H2603" t="str">
        <v>&lt;undefined&gt;</v>
      </c>
      <c r="I2603" t="str">
        <v>DRUKREF 03</v>
      </c>
      <c r="J2603" t="str">
        <v>Bhutan.</v>
      </c>
      <c r="K2603" s="11">
        <v>0</v>
      </c>
    </row>
    <row r="2604" spans="5:11" x14ac:dyDescent="0.35">
      <c r="E2604" s="9" t="str">
        <v>EPSG</v>
      </c>
      <c r="F2604" s="7" t="str">
        <v>5266</v>
      </c>
      <c r="G2604" t="str">
        <v>ProjectedCrs</v>
      </c>
      <c r="H2604" t="str">
        <v>Transverse Mercator</v>
      </c>
      <c r="I2604" t="str">
        <v>DRUKREF 03 / Bhutan National Grid</v>
      </c>
      <c r="J2604" t="str">
        <v>Bhutan.</v>
      </c>
      <c r="K2604" s="11">
        <v>0</v>
      </c>
    </row>
    <row r="2605" spans="5:11" x14ac:dyDescent="0.35">
      <c r="E2605" s="9" t="str">
        <v>EPSG</v>
      </c>
      <c r="F2605" s="7" t="str">
        <v>5269</v>
      </c>
      <c r="G2605" t="str">
        <v>ProjectedCrs</v>
      </c>
      <c r="H2605" t="str">
        <v>Transverse Mercator</v>
      </c>
      <c r="I2605" t="str">
        <v>TUREF / 3-degree Gauss-Kruger zone 9</v>
      </c>
      <c r="J2605" t="str">
        <v>Türkiye (Turkey) - west of 28°30'E, onshore.</v>
      </c>
      <c r="K2605" s="11">
        <v>0</v>
      </c>
    </row>
    <row r="2606" spans="5:11" x14ac:dyDescent="0.35">
      <c r="E2606" s="9" t="str">
        <v>EPSG</v>
      </c>
      <c r="F2606" s="7" t="str">
        <v>5270</v>
      </c>
      <c r="G2606" t="str">
        <v>ProjectedCrs</v>
      </c>
      <c r="H2606" t="str">
        <v>Transverse Mercator</v>
      </c>
      <c r="I2606" t="str">
        <v>TUREF / 3-degree Gauss-Kruger zone 10</v>
      </c>
      <c r="J2606" t="str">
        <v>Türkiye (Turkey) - between 28°30'E and 31°30'E, onshore.</v>
      </c>
      <c r="K2606" s="11">
        <v>0</v>
      </c>
    </row>
    <row r="2607" spans="5:11" x14ac:dyDescent="0.35">
      <c r="E2607" s="9" t="str">
        <v>EPSG</v>
      </c>
      <c r="F2607" s="7" t="str">
        <v>5271</v>
      </c>
      <c r="G2607" t="str">
        <v>ProjectedCrs</v>
      </c>
      <c r="H2607" t="str">
        <v>Transverse Mercator</v>
      </c>
      <c r="I2607" t="str">
        <v>TUREF / 3-degree Gauss-Kruger zone 11</v>
      </c>
      <c r="J2607" t="str">
        <v>Türkiye (Turkey) - between 31°30'E and 34°30'E, onshore.</v>
      </c>
      <c r="K2607" s="11">
        <v>0</v>
      </c>
    </row>
    <row r="2608" spans="5:11" x14ac:dyDescent="0.35">
      <c r="E2608" s="9" t="str">
        <v>EPSG</v>
      </c>
      <c r="F2608" s="7" t="str">
        <v>5272</v>
      </c>
      <c r="G2608" t="str">
        <v>ProjectedCrs</v>
      </c>
      <c r="H2608" t="str">
        <v>Transverse Mercator</v>
      </c>
      <c r="I2608" t="str">
        <v>TUREF / 3-degree Gauss-Kruger zone 12</v>
      </c>
      <c r="J2608" t="str">
        <v>Türkiye (Turkey) - between 34°30'E and 37°30'E, onshore.</v>
      </c>
      <c r="K2608" s="11">
        <v>0</v>
      </c>
    </row>
    <row r="2609" spans="5:11" x14ac:dyDescent="0.35">
      <c r="E2609" s="9" t="str">
        <v>EPSG</v>
      </c>
      <c r="F2609" s="7" t="str">
        <v>5273</v>
      </c>
      <c r="G2609" t="str">
        <v>ProjectedCrs</v>
      </c>
      <c r="H2609" t="str">
        <v>Transverse Mercator</v>
      </c>
      <c r="I2609" t="str">
        <v>TUREF / 3-degree Gauss-Kruger zone 13</v>
      </c>
      <c r="J2609" t="str">
        <v>Türkiye (Turkey) - between 37°30'E and 40°30'E, onshore.</v>
      </c>
      <c r="K2609" s="11">
        <v>0</v>
      </c>
    </row>
    <row r="2610" spans="5:11" x14ac:dyDescent="0.35">
      <c r="E2610" s="9" t="str">
        <v>EPSG</v>
      </c>
      <c r="F2610" s="7" t="str">
        <v>5274</v>
      </c>
      <c r="G2610" t="str">
        <v>ProjectedCrs</v>
      </c>
      <c r="H2610" t="str">
        <v>Transverse Mercator</v>
      </c>
      <c r="I2610" t="str">
        <v>TUREF / 3-degree Gauss-Kruger zone 14</v>
      </c>
      <c r="J2610" t="str">
        <v>Türkiye (Turkey) - between 40°30'E and 43°30'E, onshore.</v>
      </c>
      <c r="K2610" s="11">
        <v>0</v>
      </c>
    </row>
    <row r="2611" spans="5:11" x14ac:dyDescent="0.35">
      <c r="E2611" s="9" t="str">
        <v>EPSG</v>
      </c>
      <c r="F2611" s="7" t="str">
        <v>5275</v>
      </c>
      <c r="G2611" t="str">
        <v>ProjectedCrs</v>
      </c>
      <c r="H2611" t="str">
        <v>Transverse Mercator</v>
      </c>
      <c r="I2611" t="str">
        <v>TUREF / 3-degree Gauss-Kruger zone 15</v>
      </c>
      <c r="J2611" t="str">
        <v>Türkiye (Turkey) - east of 43°30'E.</v>
      </c>
      <c r="K2611" s="11">
        <v>0</v>
      </c>
    </row>
    <row r="2612" spans="5:11" x14ac:dyDescent="0.35">
      <c r="E2612" s="9" t="str">
        <v>EPSG</v>
      </c>
      <c r="F2612" s="7" t="str">
        <v>5292</v>
      </c>
      <c r="G2612" t="str">
        <v>ProjectedCrs</v>
      </c>
      <c r="H2612" t="str">
        <v>Transverse Mercator</v>
      </c>
      <c r="I2612" t="str">
        <v>DRUKREF 03 / Bumthang TM</v>
      </c>
      <c r="J2612" t="str">
        <v>Bhutan - Bumthang district.</v>
      </c>
      <c r="K2612" s="11">
        <v>0</v>
      </c>
    </row>
    <row r="2613" spans="5:11" x14ac:dyDescent="0.35">
      <c r="E2613" s="9" t="str">
        <v>EPSG</v>
      </c>
      <c r="F2613" s="7" t="str">
        <v>5293</v>
      </c>
      <c r="G2613" t="str">
        <v>ProjectedCrs</v>
      </c>
      <c r="H2613" t="str">
        <v>Transverse Mercator</v>
      </c>
      <c r="I2613" t="str">
        <v>DRUKREF 03 / Chhukha TM</v>
      </c>
      <c r="J2613" t="str">
        <v>Bhutan - Chhukha district.</v>
      </c>
      <c r="K2613" s="11">
        <v>0</v>
      </c>
    </row>
    <row r="2614" spans="5:11" x14ac:dyDescent="0.35">
      <c r="E2614" s="9" t="str">
        <v>EPSG</v>
      </c>
      <c r="F2614" s="7" t="str">
        <v>5294</v>
      </c>
      <c r="G2614" t="str">
        <v>ProjectedCrs</v>
      </c>
      <c r="H2614" t="str">
        <v>Transverse Mercator</v>
      </c>
      <c r="I2614" t="str">
        <v>DRUKREF 03 / Dagana TM</v>
      </c>
      <c r="J2614" t="str">
        <v>Bhutan - Dagana district.</v>
      </c>
      <c r="K2614" s="11">
        <v>0</v>
      </c>
    </row>
    <row r="2615" spans="5:11" x14ac:dyDescent="0.35">
      <c r="E2615" s="9" t="str">
        <v>EPSG</v>
      </c>
      <c r="F2615" s="7" t="str">
        <v>5295</v>
      </c>
      <c r="G2615" t="str">
        <v>ProjectedCrs</v>
      </c>
      <c r="H2615" t="str">
        <v>Transverse Mercator</v>
      </c>
      <c r="I2615" t="str">
        <v>DRUKREF 03 / Gasa TM</v>
      </c>
      <c r="J2615" t="str">
        <v>Bhutan - Gasa district.</v>
      </c>
      <c r="K2615" s="11">
        <v>0</v>
      </c>
    </row>
    <row r="2616" spans="5:11" x14ac:dyDescent="0.35">
      <c r="E2616" s="9" t="str">
        <v>EPSG</v>
      </c>
      <c r="F2616" s="7" t="str">
        <v>5296</v>
      </c>
      <c r="G2616" t="str">
        <v>ProjectedCrs</v>
      </c>
      <c r="H2616" t="str">
        <v>Transverse Mercator</v>
      </c>
      <c r="I2616" t="str">
        <v>DRUKREF 03 / Ha TM</v>
      </c>
      <c r="J2616" t="str">
        <v>Bhutan - Ha district.</v>
      </c>
      <c r="K2616" s="11">
        <v>0</v>
      </c>
    </row>
    <row r="2617" spans="5:11" x14ac:dyDescent="0.35">
      <c r="E2617" s="9" t="str">
        <v>EPSG</v>
      </c>
      <c r="F2617" s="7" t="str">
        <v>5297</v>
      </c>
      <c r="G2617" t="str">
        <v>ProjectedCrs</v>
      </c>
      <c r="H2617" t="str">
        <v>Transverse Mercator</v>
      </c>
      <c r="I2617" t="str">
        <v>DRUKREF 03 / Lhuentse TM</v>
      </c>
      <c r="J2617" t="str">
        <v>Bhutan - Lhuentse district.</v>
      </c>
      <c r="K2617" s="11">
        <v>0</v>
      </c>
    </row>
    <row r="2618" spans="5:11" x14ac:dyDescent="0.35">
      <c r="E2618" s="9" t="str">
        <v>EPSG</v>
      </c>
      <c r="F2618" s="7" t="str">
        <v>5298</v>
      </c>
      <c r="G2618" t="str">
        <v>ProjectedCrs</v>
      </c>
      <c r="H2618" t="str">
        <v>Transverse Mercator</v>
      </c>
      <c r="I2618" t="str">
        <v>DRUKREF 03 / Mongar TM</v>
      </c>
      <c r="J2618" t="str">
        <v>Bhutan - Mongar district.</v>
      </c>
      <c r="K2618" s="11">
        <v>0</v>
      </c>
    </row>
    <row r="2619" spans="5:11" x14ac:dyDescent="0.35">
      <c r="E2619" s="9" t="str">
        <v>EPSG</v>
      </c>
      <c r="F2619" s="7" t="str">
        <v>5299</v>
      </c>
      <c r="G2619" t="str">
        <v>ProjectedCrs</v>
      </c>
      <c r="H2619" t="str">
        <v>Transverse Mercator</v>
      </c>
      <c r="I2619" t="str">
        <v>DRUKREF 03 / Paro TM</v>
      </c>
      <c r="J2619" t="str">
        <v>Bhutan - Paro district.</v>
      </c>
      <c r="K2619" s="11">
        <v>0</v>
      </c>
    </row>
    <row r="2620" spans="5:11" x14ac:dyDescent="0.35">
      <c r="E2620" s="9" t="str">
        <v>EPSG</v>
      </c>
      <c r="F2620" s="7" t="str">
        <v>5300</v>
      </c>
      <c r="G2620" t="str">
        <v>ProjectedCrs</v>
      </c>
      <c r="H2620" t="str">
        <v>Transverse Mercator</v>
      </c>
      <c r="I2620" t="str">
        <v>DRUKREF 03 / Pemagatshel TM</v>
      </c>
      <c r="J2620" t="str">
        <v>Bhutan - Pemagatshel district.</v>
      </c>
      <c r="K2620" s="11">
        <v>0</v>
      </c>
    </row>
    <row r="2621" spans="5:11" x14ac:dyDescent="0.35">
      <c r="E2621" s="9" t="str">
        <v>EPSG</v>
      </c>
      <c r="F2621" s="7" t="str">
        <v>5301</v>
      </c>
      <c r="G2621" t="str">
        <v>ProjectedCrs</v>
      </c>
      <c r="H2621" t="str">
        <v>Transverse Mercator</v>
      </c>
      <c r="I2621" t="str">
        <v>DRUKREF 03 / Punakha TM</v>
      </c>
      <c r="J2621" t="str">
        <v>Bhutan - Punakha district.</v>
      </c>
      <c r="K2621" s="11">
        <v>0</v>
      </c>
    </row>
    <row r="2622" spans="5:11" x14ac:dyDescent="0.35">
      <c r="E2622" s="9" t="str">
        <v>EPSG</v>
      </c>
      <c r="F2622" s="7" t="str">
        <v>5302</v>
      </c>
      <c r="G2622" t="str">
        <v>ProjectedCrs</v>
      </c>
      <c r="H2622" t="str">
        <v>Transverse Mercator</v>
      </c>
      <c r="I2622" t="str">
        <v>DRUKREF 03 / Samdrup Jongkhar TM</v>
      </c>
      <c r="J2622" t="str">
        <v>Bhutan - Samdrup Jongkhar district.</v>
      </c>
      <c r="K2622" s="11">
        <v>0</v>
      </c>
    </row>
    <row r="2623" spans="5:11" x14ac:dyDescent="0.35">
      <c r="E2623" s="9" t="str">
        <v>EPSG</v>
      </c>
      <c r="F2623" s="7" t="str">
        <v>5303</v>
      </c>
      <c r="G2623" t="str">
        <v>ProjectedCrs</v>
      </c>
      <c r="H2623" t="str">
        <v>Transverse Mercator</v>
      </c>
      <c r="I2623" t="str">
        <v>DRUKREF 03 / Samtse TM</v>
      </c>
      <c r="J2623" t="str">
        <v>Bhutan - Samtse district.</v>
      </c>
      <c r="K2623" s="11">
        <v>0</v>
      </c>
    </row>
    <row r="2624" spans="5:11" x14ac:dyDescent="0.35">
      <c r="E2624" s="9" t="str">
        <v>EPSG</v>
      </c>
      <c r="F2624" s="7" t="str">
        <v>5304</v>
      </c>
      <c r="G2624" t="str">
        <v>ProjectedCrs</v>
      </c>
      <c r="H2624" t="str">
        <v>Transverse Mercator</v>
      </c>
      <c r="I2624" t="str">
        <v>DRUKREF 03 / Sarpang TM</v>
      </c>
      <c r="J2624" t="str">
        <v>Bhutan - Sarpang district.</v>
      </c>
      <c r="K2624" s="11">
        <v>0</v>
      </c>
    </row>
    <row r="2625" spans="5:11" x14ac:dyDescent="0.35">
      <c r="E2625" s="9" t="str">
        <v>EPSG</v>
      </c>
      <c r="F2625" s="7" t="str">
        <v>5305</v>
      </c>
      <c r="G2625" t="str">
        <v>ProjectedCrs</v>
      </c>
      <c r="H2625" t="str">
        <v>Transverse Mercator</v>
      </c>
      <c r="I2625" t="str">
        <v>DRUKREF 03 / Thimphu TM</v>
      </c>
      <c r="J2625" t="str">
        <v>Bhutan - Thimphu district.</v>
      </c>
      <c r="K2625" s="11">
        <v>0</v>
      </c>
    </row>
    <row r="2626" spans="5:11" x14ac:dyDescent="0.35">
      <c r="E2626" s="9" t="str">
        <v>EPSG</v>
      </c>
      <c r="F2626" s="7" t="str">
        <v>5306</v>
      </c>
      <c r="G2626" t="str">
        <v>ProjectedCrs</v>
      </c>
      <c r="H2626" t="str">
        <v>Transverse Mercator</v>
      </c>
      <c r="I2626" t="str">
        <v>DRUKREF 03 / Trashigang TM</v>
      </c>
      <c r="J2626" t="str">
        <v>Bhutan - Trashigang district.</v>
      </c>
      <c r="K2626" s="11">
        <v>0</v>
      </c>
    </row>
    <row r="2627" spans="5:11" x14ac:dyDescent="0.35">
      <c r="E2627" s="9" t="str">
        <v>EPSG</v>
      </c>
      <c r="F2627" s="7" t="str">
        <v>5307</v>
      </c>
      <c r="G2627" t="str">
        <v>ProjectedCrs</v>
      </c>
      <c r="H2627" t="str">
        <v>Transverse Mercator</v>
      </c>
      <c r="I2627" t="str">
        <v>DRUKREF 03 / Trongsa TM</v>
      </c>
      <c r="J2627" t="str">
        <v>Bhutan - Trongsa district.</v>
      </c>
      <c r="K2627" s="11">
        <v>0</v>
      </c>
    </row>
    <row r="2628" spans="5:11" x14ac:dyDescent="0.35">
      <c r="E2628" s="9" t="str">
        <v>EPSG</v>
      </c>
      <c r="F2628" s="7" t="str">
        <v>5308</v>
      </c>
      <c r="G2628" t="str">
        <v>ProjectedCrs</v>
      </c>
      <c r="H2628" t="str">
        <v>Transverse Mercator</v>
      </c>
      <c r="I2628" t="str">
        <v>DRUKREF 03 / Tsirang TM</v>
      </c>
      <c r="J2628" t="str">
        <v>Bhutan - Tsirang district.</v>
      </c>
      <c r="K2628" s="11">
        <v>0</v>
      </c>
    </row>
    <row r="2629" spans="5:11" x14ac:dyDescent="0.35">
      <c r="E2629" s="9" t="str">
        <v>EPSG</v>
      </c>
      <c r="F2629" s="7" t="str">
        <v>5309</v>
      </c>
      <c r="G2629" t="str">
        <v>ProjectedCrs</v>
      </c>
      <c r="H2629" t="str">
        <v>Transverse Mercator</v>
      </c>
      <c r="I2629" t="str">
        <v>DRUKREF 03 / Wangdue Phodrang TM</v>
      </c>
      <c r="J2629" t="str">
        <v>Bhutan - Wangdue Phodrang district.</v>
      </c>
      <c r="K2629" s="11">
        <v>0</v>
      </c>
    </row>
    <row r="2630" spans="5:11" x14ac:dyDescent="0.35">
      <c r="E2630" s="9" t="str">
        <v>EPSG</v>
      </c>
      <c r="F2630" s="7" t="str">
        <v>5310</v>
      </c>
      <c r="G2630" t="str">
        <v>ProjectedCrs</v>
      </c>
      <c r="H2630" t="str">
        <v>Transverse Mercator</v>
      </c>
      <c r="I2630" t="str">
        <v>DRUKREF 03 / Yangtse TM</v>
      </c>
      <c r="J2630" t="str">
        <v>Bhutan - Yangtse district.</v>
      </c>
      <c r="K2630" s="11">
        <v>0</v>
      </c>
    </row>
    <row r="2631" spans="5:11" x14ac:dyDescent="0.35">
      <c r="E2631" s="9" t="str">
        <v>EPSG</v>
      </c>
      <c r="F2631" s="7" t="str">
        <v>5311</v>
      </c>
      <c r="G2631" t="str">
        <v>ProjectedCrs</v>
      </c>
      <c r="H2631" t="str">
        <v>Transverse Mercator</v>
      </c>
      <c r="I2631" t="str">
        <v>DRUKREF 03 / Zhemgang TM</v>
      </c>
      <c r="J2631" t="str">
        <v>Bhutan - Zhemgang district.</v>
      </c>
      <c r="K2631" s="11">
        <v>0</v>
      </c>
    </row>
    <row r="2632" spans="5:11" x14ac:dyDescent="0.35">
      <c r="E2632" s="9" t="str">
        <v>EPSG</v>
      </c>
      <c r="F2632" s="7" t="str">
        <v>5316</v>
      </c>
      <c r="G2632" t="str">
        <v>ProjectedCrs</v>
      </c>
      <c r="H2632" t="str">
        <v>Transverse Mercator</v>
      </c>
      <c r="I2632" t="str">
        <v>ETRS89 / Faroe TM</v>
      </c>
      <c r="J2632" t="str">
        <v>Faroe Islands - onshore and offshore.</v>
      </c>
      <c r="K2632" s="11">
        <v>0</v>
      </c>
    </row>
    <row r="2633" spans="5:11" x14ac:dyDescent="0.35">
      <c r="E2633" s="9" t="str">
        <v>EPSG</v>
      </c>
      <c r="F2633" s="7" t="str">
        <v>5317</v>
      </c>
      <c r="G2633" t="str">
        <v>VerticalCrs</v>
      </c>
      <c r="H2633" t="str">
        <v>&lt;undefined&gt;</v>
      </c>
      <c r="I2633" t="str">
        <v>FVR09 height</v>
      </c>
      <c r="J2633" t="str">
        <v>Faroe Islands - onshore.</v>
      </c>
      <c r="K2633" s="11">
        <v>0</v>
      </c>
    </row>
    <row r="2634" spans="5:11" x14ac:dyDescent="0.35">
      <c r="E2634" s="9" t="str">
        <v>EPSG</v>
      </c>
      <c r="F2634" s="7" t="str">
        <v>5318</v>
      </c>
      <c r="G2634" t="str">
        <v>CompoundCrs</v>
      </c>
      <c r="H2634" t="str">
        <v>&lt;undefined&gt;</v>
      </c>
      <c r="I2634" t="str">
        <v>ETRS89 / Faroe TM + FVR09 height</v>
      </c>
      <c r="J2634" t="str">
        <v>Faroe Islands - onshore.</v>
      </c>
      <c r="K2634" s="11">
        <v>0</v>
      </c>
    </row>
    <row r="2635" spans="5:11" x14ac:dyDescent="0.35">
      <c r="E2635" s="9" t="str">
        <v>EPSG</v>
      </c>
      <c r="F2635" s="7" t="str">
        <v>5320</v>
      </c>
      <c r="G2635" t="str">
        <v>ProjectedCrs</v>
      </c>
      <c r="H2635" t="str">
        <v>Lambert Conic Conformal (2SP)</v>
      </c>
      <c r="I2635" t="str">
        <v>NAD83 / Teranet Ontario Lambert</v>
      </c>
      <c r="J2635" t="str">
        <v>Canada - Ontario.</v>
      </c>
      <c r="K2635" s="11">
        <v>0</v>
      </c>
    </row>
    <row r="2636" spans="5:11" x14ac:dyDescent="0.35">
      <c r="E2636" s="9" t="str">
        <v>EPSG</v>
      </c>
      <c r="F2636" s="7" t="str">
        <v>5321</v>
      </c>
      <c r="G2636" t="str">
        <v>ProjectedCrs</v>
      </c>
      <c r="H2636" t="str">
        <v>Lambert Conic Conformal (2SP)</v>
      </c>
      <c r="I2636" t="str">
        <v>NAD83(CSRS) / Teranet Ontario Lambert</v>
      </c>
      <c r="J2636" t="str">
        <v>Canada - Ontario.</v>
      </c>
      <c r="K2636" s="11">
        <v>0</v>
      </c>
    </row>
    <row r="2637" spans="5:11" x14ac:dyDescent="0.35">
      <c r="E2637" s="9" t="str">
        <v>EPSG</v>
      </c>
      <c r="F2637" s="7" t="str">
        <v>5322</v>
      </c>
      <c r="G2637" t="str">
        <v>GeocentricCrs</v>
      </c>
      <c r="H2637" t="str">
        <v>&lt;undefined&gt;</v>
      </c>
      <c r="I2637" t="str">
        <v>ISN2004</v>
      </c>
      <c r="J2637" t="str">
        <v>Iceland - onshore and offshore.</v>
      </c>
      <c r="K2637" s="11">
        <v>0</v>
      </c>
    </row>
    <row r="2638" spans="5:11" x14ac:dyDescent="0.35">
      <c r="E2638" s="9" t="str">
        <v>EPSG</v>
      </c>
      <c r="F2638" s="7" t="str">
        <v>5323</v>
      </c>
      <c r="G2638" t="str">
        <v>Geographic3DCrs</v>
      </c>
      <c r="H2638" t="str">
        <v>&lt;undefined&gt;</v>
      </c>
      <c r="I2638" t="str">
        <v>ISN2004</v>
      </c>
      <c r="J2638" t="str">
        <v>Iceland - onshore and offshore.</v>
      </c>
      <c r="K2638" s="11">
        <v>0</v>
      </c>
    </row>
    <row r="2639" spans="5:11" x14ac:dyDescent="0.35">
      <c r="E2639" s="9" t="str">
        <v>EPSG</v>
      </c>
      <c r="F2639" s="7" t="str">
        <v>5324</v>
      </c>
      <c r="G2639" t="str">
        <v>Geographic2DCrs</v>
      </c>
      <c r="H2639" t="str">
        <v>&lt;undefined&gt;</v>
      </c>
      <c r="I2639" t="str">
        <v>ISN2004</v>
      </c>
      <c r="J2639" t="str">
        <v>Iceland - onshore and offshore.</v>
      </c>
      <c r="K2639" s="11">
        <v>0</v>
      </c>
    </row>
    <row r="2640" spans="5:11" x14ac:dyDescent="0.35">
      <c r="E2640" s="9" t="str">
        <v>EPSG</v>
      </c>
      <c r="F2640" s="7" t="str">
        <v>5325</v>
      </c>
      <c r="G2640" t="str">
        <v>ProjectedCrs</v>
      </c>
      <c r="H2640" t="str">
        <v>Lambert Conic Conformal (2SP)</v>
      </c>
      <c r="I2640" t="str">
        <v>ISN2004 / Lambert 2004</v>
      </c>
      <c r="J2640" t="str">
        <v>Iceland - onshore and offshore.</v>
      </c>
      <c r="K2640" s="11">
        <v>0</v>
      </c>
    </row>
    <row r="2641" spans="5:11" x14ac:dyDescent="0.35">
      <c r="E2641" s="9" t="str">
        <v>EPSG</v>
      </c>
      <c r="F2641" s="7" t="str">
        <v>5329</v>
      </c>
      <c r="G2641" t="str">
        <v>ProjectedCrs</v>
      </c>
      <c r="H2641" t="str">
        <v>Mercator (variant A)</v>
      </c>
      <c r="I2641" t="str">
        <v>Segara (Jakarta) / NEIEZ</v>
      </c>
      <c r="J2641" t="str">
        <v>Indonesia - Kalimantan - onshore east coastal area including Mahakam delta coastal and offshore shelf areas.</v>
      </c>
      <c r="K2641" s="11">
        <v>0</v>
      </c>
    </row>
    <row r="2642" spans="5:11" x14ac:dyDescent="0.35">
      <c r="E2642" s="9" t="str">
        <v>EPSG</v>
      </c>
      <c r="F2642" s="7" t="str">
        <v>5330</v>
      </c>
      <c r="G2642" t="str">
        <v>ProjectedCrs</v>
      </c>
      <c r="H2642" t="str">
        <v>Mercator (variant A)</v>
      </c>
      <c r="I2642" t="str">
        <v>Batavia (Jakarta) / NEIEZ</v>
      </c>
      <c r="J2642" t="str">
        <v>Indonesia - onshore - Bali, Java and western Sumatra.</v>
      </c>
      <c r="K2642" s="11">
        <v>0</v>
      </c>
    </row>
    <row r="2643" spans="5:11" x14ac:dyDescent="0.35">
      <c r="E2643" s="9" t="str">
        <v>EPSG</v>
      </c>
      <c r="F2643" s="7" t="str">
        <v>5331</v>
      </c>
      <c r="G2643" t="str">
        <v>ProjectedCrs</v>
      </c>
      <c r="H2643" t="str">
        <v>Mercator (variant A)</v>
      </c>
      <c r="I2643" t="str">
        <v>Makassar (Jakarta) / NEIEZ</v>
      </c>
      <c r="J2643" t="str">
        <v>Indonesia - south west Sulawesi.</v>
      </c>
      <c r="K2643" s="11">
        <v>0</v>
      </c>
    </row>
    <row r="2644" spans="5:11" x14ac:dyDescent="0.35">
      <c r="E2644" s="9" t="str">
        <v>EPSG</v>
      </c>
      <c r="F2644" s="7" t="str">
        <v>5332</v>
      </c>
      <c r="G2644" t="str">
        <v>GeocentricCrs</v>
      </c>
      <c r="H2644" t="str">
        <v>&lt;undefined&gt;</v>
      </c>
      <c r="I2644" t="str">
        <v>ITRF2008</v>
      </c>
      <c r="J2644" t="str">
        <v>World.</v>
      </c>
      <c r="K2644" s="11">
        <v>0</v>
      </c>
    </row>
    <row r="2645" spans="5:11" x14ac:dyDescent="0.35">
      <c r="E2645" s="9" t="str">
        <v>EPSG</v>
      </c>
      <c r="F2645" s="7" t="str">
        <v>5336</v>
      </c>
      <c r="G2645" t="str">
        <v>VerticalCrs</v>
      </c>
      <c r="H2645" t="str">
        <v>&lt;undefined&gt;</v>
      </c>
      <c r="I2645" t="str">
        <v>Black Sea depth</v>
      </c>
      <c r="J2645" t="str">
        <v>Georgia - onshore and offshore.</v>
      </c>
      <c r="K2645" s="11">
        <v>0</v>
      </c>
    </row>
    <row r="2646" spans="5:11" x14ac:dyDescent="0.35">
      <c r="E2646" s="9" t="str">
        <v>EPSG</v>
      </c>
      <c r="F2646" s="7" t="str">
        <v>5337</v>
      </c>
      <c r="G2646" t="str">
        <v>ProjectedCrs</v>
      </c>
      <c r="H2646" t="str">
        <v>Transverse Mercator</v>
      </c>
      <c r="I2646" t="str">
        <v>Aratu / UTM zone 25S</v>
      </c>
      <c r="J2646" t="str">
        <v>Brazil - offshore between 36°W and 30°W, southern hemisphere.</v>
      </c>
      <c r="K2646" s="11">
        <v>0</v>
      </c>
    </row>
    <row r="2647" spans="5:11" x14ac:dyDescent="0.35">
      <c r="E2647" s="9" t="str">
        <v>EPSG</v>
      </c>
      <c r="F2647" s="7" t="str">
        <v>5340</v>
      </c>
      <c r="G2647" t="str">
        <v>Geographic2DCrs</v>
      </c>
      <c r="H2647" t="str">
        <v>&lt;undefined&gt;</v>
      </c>
      <c r="I2647" t="str">
        <v>POSGAR 2007</v>
      </c>
      <c r="J2647" t="str">
        <v>Argentina - onshore and offshore.</v>
      </c>
      <c r="K2647" s="11">
        <v>0</v>
      </c>
    </row>
    <row r="2648" spans="5:11" x14ac:dyDescent="0.35">
      <c r="E2648" s="9" t="str">
        <v>EPSG</v>
      </c>
      <c r="F2648" s="7" t="str">
        <v>5341</v>
      </c>
      <c r="G2648" t="str">
        <v>GeocentricCrs</v>
      </c>
      <c r="H2648" t="str">
        <v>&lt;undefined&gt;</v>
      </c>
      <c r="I2648" t="str">
        <v>POSGAR 2007</v>
      </c>
      <c r="J2648" t="str">
        <v>Argentina - onshore and offshore.</v>
      </c>
      <c r="K2648" s="11">
        <v>0</v>
      </c>
    </row>
    <row r="2649" spans="5:11" x14ac:dyDescent="0.35">
      <c r="E2649" s="9" t="str">
        <v>EPSG</v>
      </c>
      <c r="F2649" s="7" t="str">
        <v>5342</v>
      </c>
      <c r="G2649" t="str">
        <v>Geographic3DCrs</v>
      </c>
      <c r="H2649" t="str">
        <v>&lt;undefined&gt;</v>
      </c>
      <c r="I2649" t="str">
        <v>POSGAR 2007</v>
      </c>
      <c r="J2649" t="str">
        <v>Argentina - onshore and offshore.</v>
      </c>
      <c r="K2649" s="11">
        <v>0</v>
      </c>
    </row>
    <row r="2650" spans="5:11" x14ac:dyDescent="0.35">
      <c r="E2650" s="9" t="str">
        <v>EPSG</v>
      </c>
      <c r="F2650" s="7" t="str">
        <v>5343</v>
      </c>
      <c r="G2650" t="str">
        <v>ProjectedCrs</v>
      </c>
      <c r="H2650" t="str">
        <v>Transverse Mercator</v>
      </c>
      <c r="I2650" t="str">
        <v>POSGAR 2007 / Argentina 1</v>
      </c>
      <c r="J2650" t="str">
        <v>Argentina - west of 70°30'W.</v>
      </c>
      <c r="K2650" s="11">
        <v>0</v>
      </c>
    </row>
    <row r="2651" spans="5:11" x14ac:dyDescent="0.35">
      <c r="E2651" s="9" t="str">
        <v>EPSG</v>
      </c>
      <c r="F2651" s="7" t="str">
        <v>5344</v>
      </c>
      <c r="G2651" t="str">
        <v>ProjectedCrs</v>
      </c>
      <c r="H2651" t="str">
        <v>Transverse Mercator</v>
      </c>
      <c r="I2651" t="str">
        <v>POSGAR 2007 / Argentina 2</v>
      </c>
      <c r="J2651" t="str">
        <v>Argentina - between 70°30'W and 67°30'W, onshore.</v>
      </c>
      <c r="K2651" s="11">
        <v>0</v>
      </c>
    </row>
    <row r="2652" spans="5:11" x14ac:dyDescent="0.35">
      <c r="E2652" s="9" t="str">
        <v>EPSG</v>
      </c>
      <c r="F2652" s="7" t="str">
        <v>5345</v>
      </c>
      <c r="G2652" t="str">
        <v>ProjectedCrs</v>
      </c>
      <c r="H2652" t="str">
        <v>Transverse Mercator</v>
      </c>
      <c r="I2652" t="str">
        <v>POSGAR 2007 / Argentina 3</v>
      </c>
      <c r="J2652" t="str">
        <v>Argentina - between 67°30'W and 64°30'W, onshore.</v>
      </c>
      <c r="K2652" s="11">
        <v>0</v>
      </c>
    </row>
    <row r="2653" spans="5:11" x14ac:dyDescent="0.35">
      <c r="E2653" s="9" t="str">
        <v>EPSG</v>
      </c>
      <c r="F2653" s="7" t="str">
        <v>5346</v>
      </c>
      <c r="G2653" t="str">
        <v>ProjectedCrs</v>
      </c>
      <c r="H2653" t="str">
        <v>Transverse Mercator</v>
      </c>
      <c r="I2653" t="str">
        <v>POSGAR 2007 / Argentina 4</v>
      </c>
      <c r="J2653" t="str">
        <v>Argentina - between 64°30'W and 61°30'W, onshore.</v>
      </c>
      <c r="K2653" s="11">
        <v>0</v>
      </c>
    </row>
    <row r="2654" spans="5:11" x14ac:dyDescent="0.35">
      <c r="E2654" s="9" t="str">
        <v>EPSG</v>
      </c>
      <c r="F2654" s="7" t="str">
        <v>5347</v>
      </c>
      <c r="G2654" t="str">
        <v>ProjectedCrs</v>
      </c>
      <c r="H2654" t="str">
        <v>Transverse Mercator</v>
      </c>
      <c r="I2654" t="str">
        <v>POSGAR 2007 / Argentina 5</v>
      </c>
      <c r="J2654" t="str">
        <v>Argentina - between 61°30'W and 58°30'W onshore.</v>
      </c>
      <c r="K2654" s="11">
        <v>0</v>
      </c>
    </row>
    <row r="2655" spans="5:11" x14ac:dyDescent="0.35">
      <c r="E2655" s="9" t="str">
        <v>EPSG</v>
      </c>
      <c r="F2655" s="7" t="str">
        <v>5348</v>
      </c>
      <c r="G2655" t="str">
        <v>ProjectedCrs</v>
      </c>
      <c r="H2655" t="str">
        <v>Transverse Mercator</v>
      </c>
      <c r="I2655" t="str">
        <v>POSGAR 2007 / Argentina 6</v>
      </c>
      <c r="J2655" t="str">
        <v>Argentina - between 58°30'W and 55°30'W, onshore.</v>
      </c>
      <c r="K2655" s="11">
        <v>0</v>
      </c>
    </row>
    <row r="2656" spans="5:11" x14ac:dyDescent="0.35">
      <c r="E2656" s="9" t="str">
        <v>EPSG</v>
      </c>
      <c r="F2656" s="7" t="str">
        <v>5349</v>
      </c>
      <c r="G2656" t="str">
        <v>ProjectedCrs</v>
      </c>
      <c r="H2656" t="str">
        <v>Transverse Mercator</v>
      </c>
      <c r="I2656" t="str">
        <v>POSGAR 2007 / Argentina 7</v>
      </c>
      <c r="J2656" t="str">
        <v>Argentina - east of 55°30'W, onshore.</v>
      </c>
      <c r="K2656" s="11">
        <v>0</v>
      </c>
    </row>
    <row r="2657" spans="5:11" x14ac:dyDescent="0.35">
      <c r="E2657" s="9" t="str">
        <v>EPSG</v>
      </c>
      <c r="F2657" s="7" t="str">
        <v>5352</v>
      </c>
      <c r="G2657" t="str">
        <v>GeocentricCrs</v>
      </c>
      <c r="H2657" t="str">
        <v>&lt;undefined&gt;</v>
      </c>
      <c r="I2657" t="str">
        <v>MARGEN</v>
      </c>
      <c r="J2657" t="str">
        <v>Bolivia.</v>
      </c>
      <c r="K2657" s="11">
        <v>0</v>
      </c>
    </row>
    <row r="2658" spans="5:11" x14ac:dyDescent="0.35">
      <c r="E2658" s="9" t="str">
        <v>EPSG</v>
      </c>
      <c r="F2658" s="7" t="str">
        <v>5353</v>
      </c>
      <c r="G2658" t="str">
        <v>Geographic3DCrs</v>
      </c>
      <c r="H2658" t="str">
        <v>&lt;undefined&gt;</v>
      </c>
      <c r="I2658" t="str">
        <v>MARGEN</v>
      </c>
      <c r="J2658" t="str">
        <v>Bolivia.</v>
      </c>
      <c r="K2658" s="11">
        <v>0</v>
      </c>
    </row>
    <row r="2659" spans="5:11" x14ac:dyDescent="0.35">
      <c r="E2659" s="9" t="str">
        <v>EPSG</v>
      </c>
      <c r="F2659" s="7" t="str">
        <v>5354</v>
      </c>
      <c r="G2659" t="str">
        <v>Geographic2DCrs</v>
      </c>
      <c r="H2659" t="str">
        <v>&lt;undefined&gt;</v>
      </c>
      <c r="I2659" t="str">
        <v>MARGEN</v>
      </c>
      <c r="J2659" t="str">
        <v>Bolivia.</v>
      </c>
      <c r="K2659" s="11">
        <v>0</v>
      </c>
    </row>
    <row r="2660" spans="5:11" x14ac:dyDescent="0.35">
      <c r="E2660" s="9" t="str">
        <v>EPSG</v>
      </c>
      <c r="F2660" s="7" t="str">
        <v>5355</v>
      </c>
      <c r="G2660" t="str">
        <v>ProjectedCrs</v>
      </c>
      <c r="H2660" t="str">
        <v>Transverse Mercator</v>
      </c>
      <c r="I2660" t="str">
        <v>MARGEN / UTM zone 20S</v>
      </c>
      <c r="J2660" t="str">
        <v>Bolivia between 66°W and 60°W.</v>
      </c>
      <c r="K2660" s="11">
        <v>0</v>
      </c>
    </row>
    <row r="2661" spans="5:11" x14ac:dyDescent="0.35">
      <c r="E2661" s="9" t="str">
        <v>EPSG</v>
      </c>
      <c r="F2661" s="7" t="str">
        <v>5356</v>
      </c>
      <c r="G2661" t="str">
        <v>ProjectedCrs</v>
      </c>
      <c r="H2661" t="str">
        <v>Transverse Mercator</v>
      </c>
      <c r="I2661" t="str">
        <v>MARGEN / UTM zone 19S</v>
      </c>
      <c r="J2661" t="str">
        <v>Bolivia - west of 66°W.</v>
      </c>
      <c r="K2661" s="11">
        <v>0</v>
      </c>
    </row>
    <row r="2662" spans="5:11" x14ac:dyDescent="0.35">
      <c r="E2662" s="9" t="str">
        <v>EPSG</v>
      </c>
      <c r="F2662" s="7" t="str">
        <v>5357</v>
      </c>
      <c r="G2662" t="str">
        <v>ProjectedCrs</v>
      </c>
      <c r="H2662" t="str">
        <v>Transverse Mercator</v>
      </c>
      <c r="I2662" t="str">
        <v>MARGEN / UTM zone 21S</v>
      </c>
      <c r="J2662" t="str">
        <v>Bolivia - east of 60°W.</v>
      </c>
      <c r="K2662" s="11">
        <v>0</v>
      </c>
    </row>
    <row r="2663" spans="5:11" x14ac:dyDescent="0.35">
      <c r="E2663" s="9" t="str">
        <v>EPSG</v>
      </c>
      <c r="F2663" s="7" t="str">
        <v>5358</v>
      </c>
      <c r="G2663" t="str">
        <v>GeocentricCrs</v>
      </c>
      <c r="H2663" t="str">
        <v>&lt;undefined&gt;</v>
      </c>
      <c r="I2663" t="str">
        <v>SIRGAS-Chile 2002</v>
      </c>
      <c r="J2663" t="str">
        <v>Chile - onshore and offshore. Includes Easter Island, Juan Fernandez Islands, San Felix, and Sala y Gomez.</v>
      </c>
      <c r="K2663" s="11">
        <v>0</v>
      </c>
    </row>
    <row r="2664" spans="5:11" x14ac:dyDescent="0.35">
      <c r="E2664" s="9" t="str">
        <v>EPSG</v>
      </c>
      <c r="F2664" s="7" t="str">
        <v>5359</v>
      </c>
      <c r="G2664" t="str">
        <v>Geographic3DCrs</v>
      </c>
      <c r="H2664" t="str">
        <v>&lt;undefined&gt;</v>
      </c>
      <c r="I2664" t="str">
        <v>SIRGAS-Chile 2002</v>
      </c>
      <c r="J2664" t="str">
        <v>Chile - onshore and offshore. Includes Easter Island, Juan Fernandez Islands, San Felix, and Sala y Gomez.</v>
      </c>
      <c r="K2664" s="11">
        <v>0</v>
      </c>
    </row>
    <row r="2665" spans="5:11" x14ac:dyDescent="0.35">
      <c r="E2665" s="9" t="str">
        <v>EPSG</v>
      </c>
      <c r="F2665" s="7" t="str">
        <v>5360</v>
      </c>
      <c r="G2665" t="str">
        <v>Geographic2DCrs</v>
      </c>
      <c r="H2665" t="str">
        <v>&lt;undefined&gt;</v>
      </c>
      <c r="I2665" t="str">
        <v>SIRGAS-Chile 2002</v>
      </c>
      <c r="J2665" t="str">
        <v>Chile - onshore and offshore. Includes Easter Island, Juan Fernandez Islands, San Felix, and Sala y Gomez.</v>
      </c>
      <c r="K2665" s="11">
        <v>0</v>
      </c>
    </row>
    <row r="2666" spans="5:11" x14ac:dyDescent="0.35">
      <c r="E2666" s="9" t="str">
        <v>EPSG</v>
      </c>
      <c r="F2666" s="7" t="str">
        <v>5361</v>
      </c>
      <c r="G2666" t="str">
        <v>ProjectedCrs</v>
      </c>
      <c r="H2666" t="str">
        <v>Transverse Mercator</v>
      </c>
      <c r="I2666" t="str">
        <v>SIRGAS-Chile 2002 / UTM zone 19S</v>
      </c>
      <c r="J2666" t="str">
        <v>Chile - 72°W to 66°W, onshore and offshore.</v>
      </c>
      <c r="K2666" s="11">
        <v>0</v>
      </c>
    </row>
    <row r="2667" spans="5:11" x14ac:dyDescent="0.35">
      <c r="E2667" s="9" t="str">
        <v>EPSG</v>
      </c>
      <c r="F2667" s="7" t="str">
        <v>5362</v>
      </c>
      <c r="G2667" t="str">
        <v>ProjectedCrs</v>
      </c>
      <c r="H2667" t="str">
        <v>Transverse Mercator</v>
      </c>
      <c r="I2667" t="str">
        <v>SIRGAS-Chile 2002 / UTM zone 18S</v>
      </c>
      <c r="J2667" t="str">
        <v>Chile - 78°W to 72°W, onshore and offshore.</v>
      </c>
      <c r="K2667" s="11">
        <v>0</v>
      </c>
    </row>
    <row r="2668" spans="5:11" x14ac:dyDescent="0.35">
      <c r="E2668" s="9" t="str">
        <v>EPSG</v>
      </c>
      <c r="F2668" s="7" t="str">
        <v>5363</v>
      </c>
      <c r="G2668" t="str">
        <v>GeocentricCrs</v>
      </c>
      <c r="H2668" t="str">
        <v>&lt;undefined&gt;</v>
      </c>
      <c r="I2668" t="str">
        <v>CR05</v>
      </c>
      <c r="J2668" t="str">
        <v>Costa Rica - onshore and offshore.</v>
      </c>
      <c r="K2668" s="11">
        <v>0</v>
      </c>
    </row>
    <row r="2669" spans="5:11" x14ac:dyDescent="0.35">
      <c r="E2669" s="9" t="str">
        <v>EPSG</v>
      </c>
      <c r="F2669" s="7" t="str">
        <v>5364</v>
      </c>
      <c r="G2669" t="str">
        <v>Geographic3DCrs</v>
      </c>
      <c r="H2669" t="str">
        <v>&lt;undefined&gt;</v>
      </c>
      <c r="I2669" t="str">
        <v>CR05</v>
      </c>
      <c r="J2669" t="str">
        <v>Costa Rica - onshore and offshore.</v>
      </c>
      <c r="K2669" s="11">
        <v>0</v>
      </c>
    </row>
    <row r="2670" spans="5:11" x14ac:dyDescent="0.35">
      <c r="E2670" s="9" t="str">
        <v>EPSG</v>
      </c>
      <c r="F2670" s="7" t="str">
        <v>5365</v>
      </c>
      <c r="G2670" t="str">
        <v>Geographic2DCrs</v>
      </c>
      <c r="H2670" t="str">
        <v>&lt;undefined&gt;</v>
      </c>
      <c r="I2670" t="str">
        <v>CR05</v>
      </c>
      <c r="J2670" t="str">
        <v>Costa Rica - onshore and offshore.</v>
      </c>
      <c r="K2670" s="11">
        <v>0</v>
      </c>
    </row>
    <row r="2671" spans="5:11" x14ac:dyDescent="0.35">
      <c r="E2671" s="9" t="str">
        <v>EPSG</v>
      </c>
      <c r="F2671" s="7" t="str">
        <v>5367</v>
      </c>
      <c r="G2671" t="str">
        <v>ProjectedCrs</v>
      </c>
      <c r="H2671" t="str">
        <v>Transverse Mercator</v>
      </c>
      <c r="I2671" t="str">
        <v>CR05 / CRTM05</v>
      </c>
      <c r="J2671" t="str">
        <v>Costa Rica - onshore and offshore east of 86°30'W.</v>
      </c>
      <c r="K2671" s="11">
        <v>0</v>
      </c>
    </row>
    <row r="2672" spans="5:11" x14ac:dyDescent="0.35">
      <c r="E2672" s="9" t="str">
        <v>EPSG</v>
      </c>
      <c r="F2672" s="7" t="str">
        <v>5368</v>
      </c>
      <c r="G2672" t="str">
        <v>GeocentricCrs</v>
      </c>
      <c r="H2672" t="str">
        <v>&lt;undefined&gt;</v>
      </c>
      <c r="I2672" t="str">
        <v>MACARIO SOLIS</v>
      </c>
      <c r="J2672" t="str">
        <v>Panama - onshore and offshore.</v>
      </c>
      <c r="K2672" s="11">
        <v>0</v>
      </c>
    </row>
    <row r="2673" spans="5:11" x14ac:dyDescent="0.35">
      <c r="E2673" s="9" t="str">
        <v>EPSG</v>
      </c>
      <c r="F2673" s="7" t="str">
        <v>5369</v>
      </c>
      <c r="G2673" t="str">
        <v>GeocentricCrs</v>
      </c>
      <c r="H2673" t="str">
        <v>&lt;undefined&gt;</v>
      </c>
      <c r="I2673" t="str">
        <v>Peru96</v>
      </c>
      <c r="J2673" t="str">
        <v>Peru - onshore and offshore.</v>
      </c>
      <c r="K2673" s="11">
        <v>0</v>
      </c>
    </row>
    <row r="2674" spans="5:11" x14ac:dyDescent="0.35">
      <c r="E2674" s="9" t="str">
        <v>EPSG</v>
      </c>
      <c r="F2674" s="7" t="str">
        <v>5370</v>
      </c>
      <c r="G2674" t="str">
        <v>Geographic3DCrs</v>
      </c>
      <c r="H2674" t="str">
        <v>&lt;undefined&gt;</v>
      </c>
      <c r="I2674" t="str">
        <v>MACARIO SOLIS</v>
      </c>
      <c r="J2674" t="str">
        <v>Panama - onshore and offshore.</v>
      </c>
      <c r="K2674" s="11">
        <v>0</v>
      </c>
    </row>
    <row r="2675" spans="5:11" x14ac:dyDescent="0.35">
      <c r="E2675" s="9" t="str">
        <v>EPSG</v>
      </c>
      <c r="F2675" s="7" t="str">
        <v>5371</v>
      </c>
      <c r="G2675" t="str">
        <v>Geographic2DCrs</v>
      </c>
      <c r="H2675" t="str">
        <v>&lt;undefined&gt;</v>
      </c>
      <c r="I2675" t="str">
        <v>MACARIO SOLIS</v>
      </c>
      <c r="J2675" t="str">
        <v>Panama - onshore and offshore.</v>
      </c>
      <c r="K2675" s="11">
        <v>0</v>
      </c>
    </row>
    <row r="2676" spans="5:11" x14ac:dyDescent="0.35">
      <c r="E2676" s="9" t="str">
        <v>EPSG</v>
      </c>
      <c r="F2676" s="7" t="str">
        <v>5372</v>
      </c>
      <c r="G2676" t="str">
        <v>Geographic3DCrs</v>
      </c>
      <c r="H2676" t="str">
        <v>&lt;undefined&gt;</v>
      </c>
      <c r="I2676" t="str">
        <v>Peru96</v>
      </c>
      <c r="J2676" t="str">
        <v>Peru - onshore and offshore.</v>
      </c>
      <c r="K2676" s="11">
        <v>0</v>
      </c>
    </row>
    <row r="2677" spans="5:11" x14ac:dyDescent="0.35">
      <c r="E2677" s="9" t="str">
        <v>EPSG</v>
      </c>
      <c r="F2677" s="7" t="str">
        <v>5373</v>
      </c>
      <c r="G2677" t="str">
        <v>Geographic2DCrs</v>
      </c>
      <c r="H2677" t="str">
        <v>&lt;undefined&gt;</v>
      </c>
      <c r="I2677" t="str">
        <v>Peru96</v>
      </c>
      <c r="J2677" t="str">
        <v>Peru - onshore and offshore.</v>
      </c>
      <c r="K2677" s="11">
        <v>0</v>
      </c>
    </row>
    <row r="2678" spans="5:11" x14ac:dyDescent="0.35">
      <c r="E2678" s="9" t="str">
        <v>EPSG</v>
      </c>
      <c r="F2678" s="7" t="str">
        <v>5379</v>
      </c>
      <c r="G2678" t="str">
        <v>GeocentricCrs</v>
      </c>
      <c r="H2678" t="str">
        <v>&lt;undefined&gt;</v>
      </c>
      <c r="I2678" t="str">
        <v>SIRGAS-ROU98</v>
      </c>
      <c r="J2678" t="str">
        <v>Uruguay - onshore and offshore.</v>
      </c>
      <c r="K2678" s="11">
        <v>0</v>
      </c>
    </row>
    <row r="2679" spans="5:11" x14ac:dyDescent="0.35">
      <c r="E2679" s="9" t="str">
        <v>EPSG</v>
      </c>
      <c r="F2679" s="7" t="str">
        <v>5380</v>
      </c>
      <c r="G2679" t="str">
        <v>Geographic3DCrs</v>
      </c>
      <c r="H2679" t="str">
        <v>&lt;undefined&gt;</v>
      </c>
      <c r="I2679" t="str">
        <v>SIRGAS-ROU98</v>
      </c>
      <c r="J2679" t="str">
        <v>Uruguay - onshore and offshore.</v>
      </c>
      <c r="K2679" s="11">
        <v>0</v>
      </c>
    </row>
    <row r="2680" spans="5:11" x14ac:dyDescent="0.35">
      <c r="E2680" s="9" t="str">
        <v>EPSG</v>
      </c>
      <c r="F2680" s="7" t="str">
        <v>5381</v>
      </c>
      <c r="G2680" t="str">
        <v>Geographic2DCrs</v>
      </c>
      <c r="H2680" t="str">
        <v>&lt;undefined&gt;</v>
      </c>
      <c r="I2680" t="str">
        <v>SIRGAS-ROU98</v>
      </c>
      <c r="J2680" t="str">
        <v>Uruguay - onshore and offshore.</v>
      </c>
      <c r="K2680" s="11">
        <v>0</v>
      </c>
    </row>
    <row r="2681" spans="5:11" x14ac:dyDescent="0.35">
      <c r="E2681" s="9" t="str">
        <v>EPSG</v>
      </c>
      <c r="F2681" s="7" t="str">
        <v>5382</v>
      </c>
      <c r="G2681" t="str">
        <v>ProjectedCrs</v>
      </c>
      <c r="H2681" t="str">
        <v>Transverse Mercator</v>
      </c>
      <c r="I2681" t="str">
        <v>SIRGAS-ROU98 / UTM zone 21S</v>
      </c>
      <c r="J2681" t="str">
        <v>Uruguay - west of 54°W, onshore and offshore.</v>
      </c>
      <c r="K2681" s="11">
        <v>0</v>
      </c>
    </row>
    <row r="2682" spans="5:11" x14ac:dyDescent="0.35">
      <c r="E2682" s="9" t="str">
        <v>EPSG</v>
      </c>
      <c r="F2682" s="7" t="str">
        <v>5383</v>
      </c>
      <c r="G2682" t="str">
        <v>ProjectedCrs</v>
      </c>
      <c r="H2682" t="str">
        <v>Transverse Mercator</v>
      </c>
      <c r="I2682" t="str">
        <v>SIRGAS-ROU98 / UTM zone 22S</v>
      </c>
      <c r="J2682" t="str">
        <v>Uruguay - east of 54°W, onshore and offshore.</v>
      </c>
      <c r="K2682" s="11">
        <v>0</v>
      </c>
    </row>
    <row r="2683" spans="5:11" x14ac:dyDescent="0.35">
      <c r="E2683" s="9" t="str">
        <v>EPSG</v>
      </c>
      <c r="F2683" s="7" t="str">
        <v>5387</v>
      </c>
      <c r="G2683" t="str">
        <v>ProjectedCrs</v>
      </c>
      <c r="H2683" t="str">
        <v>Transverse Mercator</v>
      </c>
      <c r="I2683" t="str">
        <v>Peru96 / UTM zone 18S</v>
      </c>
      <c r="J2683" t="str">
        <v>Peru - between 78°W and 72°W, onshore and offshore.</v>
      </c>
      <c r="K2683" s="11">
        <v>0</v>
      </c>
    </row>
    <row r="2684" spans="5:11" x14ac:dyDescent="0.35">
      <c r="E2684" s="9" t="str">
        <v>EPSG</v>
      </c>
      <c r="F2684" s="7" t="str">
        <v>5389</v>
      </c>
      <c r="G2684" t="str">
        <v>ProjectedCrs</v>
      </c>
      <c r="H2684" t="str">
        <v>Transverse Mercator</v>
      </c>
      <c r="I2684" t="str">
        <v>Peru96 / UTM zone 19S</v>
      </c>
      <c r="J2684" t="str">
        <v>Peru - east of 72°W, onshore and offshore.</v>
      </c>
      <c r="K2684" s="11">
        <v>0</v>
      </c>
    </row>
    <row r="2685" spans="5:11" x14ac:dyDescent="0.35">
      <c r="E2685" s="9" t="str">
        <v>EPSG</v>
      </c>
      <c r="F2685" s="7" t="str">
        <v>5391</v>
      </c>
      <c r="G2685" t="str">
        <v>GeocentricCrs</v>
      </c>
      <c r="H2685" t="str">
        <v>&lt;undefined&gt;</v>
      </c>
      <c r="I2685" t="str">
        <v>SIRGAS_ES2007.8</v>
      </c>
      <c r="J2685" t="str">
        <v>El Salvador - onshore and offshore.</v>
      </c>
      <c r="K2685" s="11">
        <v>0</v>
      </c>
    </row>
    <row r="2686" spans="5:11" x14ac:dyDescent="0.35">
      <c r="E2686" s="9" t="str">
        <v>EPSG</v>
      </c>
      <c r="F2686" s="7" t="str">
        <v>5392</v>
      </c>
      <c r="G2686" t="str">
        <v>Geographic3DCrs</v>
      </c>
      <c r="H2686" t="str">
        <v>&lt;undefined&gt;</v>
      </c>
      <c r="I2686" t="str">
        <v>SIRGAS_ES2007.8</v>
      </c>
      <c r="J2686" t="str">
        <v>El Salvador - onshore and offshore.</v>
      </c>
      <c r="K2686" s="11">
        <v>0</v>
      </c>
    </row>
    <row r="2687" spans="5:11" x14ac:dyDescent="0.35">
      <c r="E2687" s="9" t="str">
        <v>EPSG</v>
      </c>
      <c r="F2687" s="7" t="str">
        <v>5393</v>
      </c>
      <c r="G2687" t="str">
        <v>Geographic2DCrs</v>
      </c>
      <c r="H2687" t="str">
        <v>&lt;undefined&gt;</v>
      </c>
      <c r="I2687" t="str">
        <v>SIRGAS_ES2007.8</v>
      </c>
      <c r="J2687" t="str">
        <v>El Salvador - onshore and offshore.</v>
      </c>
      <c r="K2687" s="11">
        <v>0</v>
      </c>
    </row>
    <row r="2688" spans="5:11" x14ac:dyDescent="0.35">
      <c r="E2688" s="9" t="str">
        <v>EPSG</v>
      </c>
      <c r="F2688" s="7" t="str">
        <v>5396</v>
      </c>
      <c r="G2688" t="str">
        <v>ProjectedCrs</v>
      </c>
      <c r="H2688" t="str">
        <v>Transverse Mercator</v>
      </c>
      <c r="I2688" t="str">
        <v>SIRGAS 2000 / UTM zone 26S</v>
      </c>
      <c r="J2688" t="str">
        <v>Brazil - east of 30°W, northern and southern hemispheres, onshore and offshore.</v>
      </c>
      <c r="K2688" s="11">
        <v>0</v>
      </c>
    </row>
    <row r="2689" spans="5:11" x14ac:dyDescent="0.35">
      <c r="E2689" s="9" t="str">
        <v>EPSG</v>
      </c>
      <c r="F2689" s="7" t="str">
        <v>5451</v>
      </c>
      <c r="G2689" t="str">
        <v>Geographic2DCrs</v>
      </c>
      <c r="H2689" t="str">
        <v>&lt;undefined&gt;</v>
      </c>
      <c r="I2689" t="str">
        <v>Ocotepeque 1935</v>
      </c>
      <c r="J2689" t="str">
        <v>Costa Rica; El Salvador; Guatemala; Honduras; Nicaragua.</v>
      </c>
      <c r="K2689" s="11">
        <v>0</v>
      </c>
    </row>
    <row r="2690" spans="5:11" x14ac:dyDescent="0.35">
      <c r="E2690" s="9" t="str">
        <v>EPSG</v>
      </c>
      <c r="F2690" s="7" t="str">
        <v>5456</v>
      </c>
      <c r="G2690" t="str">
        <v>ProjectedCrs</v>
      </c>
      <c r="H2690" t="str">
        <v>Lambert Conic Conformal (1SP)</v>
      </c>
      <c r="I2690" t="str">
        <v>Ocotepeque 1935 / Costa Rica Norte</v>
      </c>
      <c r="J2690" t="str">
        <v>Costa Rica - onshore north of 9°32'N.</v>
      </c>
      <c r="K2690" s="11">
        <v>0</v>
      </c>
    </row>
    <row r="2691" spans="5:11" x14ac:dyDescent="0.35">
      <c r="E2691" s="9" t="str">
        <v>EPSG</v>
      </c>
      <c r="F2691" s="7" t="str">
        <v>5457</v>
      </c>
      <c r="G2691" t="str">
        <v>ProjectedCrs</v>
      </c>
      <c r="H2691" t="str">
        <v>Lambert Conic Conformal (1SP)</v>
      </c>
      <c r="I2691" t="str">
        <v>Ocotepeque 1935 / Costa Rica Sur</v>
      </c>
      <c r="J2691" t="str">
        <v>Costa Rica - onshore south of 9°56'N</v>
      </c>
      <c r="K2691" s="11">
        <v>0</v>
      </c>
    </row>
    <row r="2692" spans="5:11" x14ac:dyDescent="0.35">
      <c r="E2692" s="9" t="str">
        <v>EPSG</v>
      </c>
      <c r="F2692" s="7" t="str">
        <v>5459</v>
      </c>
      <c r="G2692" t="str">
        <v>ProjectedCrs</v>
      </c>
      <c r="H2692" t="str">
        <v>Lambert Conic Conformal (1SP)</v>
      </c>
      <c r="I2692" t="str">
        <v>Ocotepeque 1935 / Guatemala Sur</v>
      </c>
      <c r="J2692" t="str">
        <v>Guatemala - south of 15°51'30"N.</v>
      </c>
      <c r="K2692" s="11">
        <v>0</v>
      </c>
    </row>
    <row r="2693" spans="5:11" x14ac:dyDescent="0.35">
      <c r="E2693" s="9" t="str">
        <v>EPSG</v>
      </c>
      <c r="F2693" s="7" t="str">
        <v>5460</v>
      </c>
      <c r="G2693" t="str">
        <v>ProjectedCrs</v>
      </c>
      <c r="H2693" t="str">
        <v>Lambert Conic Conformal (1SP)</v>
      </c>
      <c r="I2693" t="str">
        <v>Ocotepeque 1935 / El Salvador Lambert</v>
      </c>
      <c r="J2693" t="str">
        <v>El Salvador - onshore.</v>
      </c>
      <c r="K2693" s="11">
        <v>0</v>
      </c>
    </row>
    <row r="2694" spans="5:11" x14ac:dyDescent="0.35">
      <c r="E2694" s="9" t="str">
        <v>EPSG</v>
      </c>
      <c r="F2694" s="7" t="str">
        <v>5461</v>
      </c>
      <c r="G2694" t="str">
        <v>ProjectedCrs</v>
      </c>
      <c r="H2694" t="str">
        <v>Lambert Conic Conformal (1SP)</v>
      </c>
      <c r="I2694" t="str">
        <v>Ocotepeque 1935 / Nicaragua Norte</v>
      </c>
      <c r="J2694" t="str">
        <v>Nicaragua - onshore north of 12°48'N.</v>
      </c>
      <c r="K2694" s="11">
        <v>0</v>
      </c>
    </row>
    <row r="2695" spans="5:11" x14ac:dyDescent="0.35">
      <c r="E2695" s="9" t="str">
        <v>EPSG</v>
      </c>
      <c r="F2695" s="7" t="str">
        <v>5462</v>
      </c>
      <c r="G2695" t="str">
        <v>ProjectedCrs</v>
      </c>
      <c r="H2695" t="str">
        <v>Lambert Conic Conformal (1SP)</v>
      </c>
      <c r="I2695" t="str">
        <v>Ocotepeque 1935 / Nicaragua Sur</v>
      </c>
      <c r="J2695" t="str">
        <v>Nicaragua - onshore south of 12°48'N.</v>
      </c>
      <c r="K2695" s="11">
        <v>0</v>
      </c>
    </row>
    <row r="2696" spans="5:11" x14ac:dyDescent="0.35">
      <c r="E2696" s="9" t="str">
        <v>EPSG</v>
      </c>
      <c r="F2696" s="7" t="str">
        <v>5463</v>
      </c>
      <c r="G2696" t="str">
        <v>ProjectedCrs</v>
      </c>
      <c r="H2696" t="str">
        <v>Transverse Mercator</v>
      </c>
      <c r="I2696" t="str">
        <v>SAD69 / UTM zone 17N</v>
      </c>
      <c r="J2696" t="str">
        <v>South America between 84°W and 78°W, northern hemisphere, onshore.</v>
      </c>
      <c r="K2696" s="11">
        <v>0</v>
      </c>
    </row>
    <row r="2697" spans="5:11" x14ac:dyDescent="0.35">
      <c r="E2697" s="9" t="str">
        <v>EPSG</v>
      </c>
      <c r="F2697" s="7" t="str">
        <v>5464</v>
      </c>
      <c r="G2697" t="str">
        <v>Geographic2DCrs</v>
      </c>
      <c r="H2697" t="str">
        <v>&lt;undefined&gt;</v>
      </c>
      <c r="I2697" t="str">
        <v>Sibun Gorge 1922</v>
      </c>
      <c r="J2697" t="str">
        <v>Belize - onshore.</v>
      </c>
      <c r="K2697" s="11">
        <v>0</v>
      </c>
    </row>
    <row r="2698" spans="5:11" x14ac:dyDescent="0.35">
      <c r="E2698" s="9" t="str">
        <v>EPSG</v>
      </c>
      <c r="F2698" s="7" t="str">
        <v>5467</v>
      </c>
      <c r="G2698" t="str">
        <v>Geographic2DCrs</v>
      </c>
      <c r="H2698" t="str">
        <v>&lt;undefined&gt;</v>
      </c>
      <c r="I2698" t="str">
        <v>Panama-Colon 1911</v>
      </c>
      <c r="J2698" t="str">
        <v>Panama - onshore.</v>
      </c>
      <c r="K2698" s="11">
        <v>0</v>
      </c>
    </row>
    <row r="2699" spans="5:11" x14ac:dyDescent="0.35">
      <c r="E2699" s="9" t="str">
        <v>EPSG</v>
      </c>
      <c r="F2699" s="7" t="str">
        <v>5469</v>
      </c>
      <c r="G2699" t="str">
        <v>ProjectedCrs</v>
      </c>
      <c r="H2699" t="str">
        <v>Lambert Conic Conformal (1SP)</v>
      </c>
      <c r="I2699" t="str">
        <v>Panama-Colon 1911 / Panama Lambert</v>
      </c>
      <c r="J2699" t="str">
        <v>Panama - onshore.</v>
      </c>
      <c r="K2699" s="11">
        <v>0</v>
      </c>
    </row>
    <row r="2700" spans="5:11" x14ac:dyDescent="0.35">
      <c r="E2700" s="9" t="str">
        <v>EPSG</v>
      </c>
      <c r="F2700" s="7" t="str">
        <v>5472</v>
      </c>
      <c r="G2700" t="str">
        <v>ProjectedCrs</v>
      </c>
      <c r="H2700" t="str">
        <v>American Polyconic</v>
      </c>
      <c r="I2700" t="str">
        <v>Panama-Colon 1911 / Panama Polyconic</v>
      </c>
      <c r="J2700" t="str">
        <v>Panama - onshore.</v>
      </c>
      <c r="K2700" s="11">
        <v>0</v>
      </c>
    </row>
    <row r="2701" spans="5:11" x14ac:dyDescent="0.35">
      <c r="E2701" s="9" t="str">
        <v>EPSG</v>
      </c>
      <c r="F2701" s="7" t="str">
        <v>5479</v>
      </c>
      <c r="G2701" t="str">
        <v>ProjectedCrs</v>
      </c>
      <c r="H2701" t="str">
        <v>Lambert Conic Conformal (2SP)</v>
      </c>
      <c r="I2701" t="str">
        <v>RSRGD2000 / MSLC2000</v>
      </c>
      <c r="J2701" t="str">
        <v>Antarctica - McMurdo Sound region.</v>
      </c>
      <c r="K2701" s="11">
        <v>0</v>
      </c>
    </row>
    <row r="2702" spans="5:11" x14ac:dyDescent="0.35">
      <c r="E2702" s="9" t="str">
        <v>EPSG</v>
      </c>
      <c r="F2702" s="7" t="str">
        <v>5480</v>
      </c>
      <c r="G2702" t="str">
        <v>ProjectedCrs</v>
      </c>
      <c r="H2702" t="str">
        <v>Lambert Conic Conformal (2SP)</v>
      </c>
      <c r="I2702" t="str">
        <v>RSRGD2000 / BCLC2000</v>
      </c>
      <c r="J2702" t="str">
        <v>Antarctica - Borchgrevink Coast region.</v>
      </c>
      <c r="K2702" s="11">
        <v>0</v>
      </c>
    </row>
    <row r="2703" spans="5:11" x14ac:dyDescent="0.35">
      <c r="E2703" s="9" t="str">
        <v>EPSG</v>
      </c>
      <c r="F2703" s="7" t="str">
        <v>5481</v>
      </c>
      <c r="G2703" t="str">
        <v>ProjectedCrs</v>
      </c>
      <c r="H2703" t="str">
        <v>Lambert Conic Conformal (2SP)</v>
      </c>
      <c r="I2703" t="str">
        <v>RSRGD2000 / PCLC2000</v>
      </c>
      <c r="J2703" t="str">
        <v>Antarctica - Pennell Coast region.</v>
      </c>
      <c r="K2703" s="11">
        <v>0</v>
      </c>
    </row>
    <row r="2704" spans="5:11" x14ac:dyDescent="0.35">
      <c r="E2704" s="9" t="str">
        <v>EPSG</v>
      </c>
      <c r="F2704" s="7" t="str">
        <v>5482</v>
      </c>
      <c r="G2704" t="str">
        <v>ProjectedCrs</v>
      </c>
      <c r="H2704" t="str">
        <v>Polar Stereographic (variant A)</v>
      </c>
      <c r="I2704" t="str">
        <v>RSRGD2000 / RSPS2000</v>
      </c>
      <c r="J2704" t="str">
        <v>Antarctica - Ross Ice Shelf Region.</v>
      </c>
      <c r="K2704" s="11">
        <v>0</v>
      </c>
    </row>
    <row r="2705" spans="5:11" x14ac:dyDescent="0.35">
      <c r="E2705" s="9" t="str">
        <v>EPSG</v>
      </c>
      <c r="F2705" s="7" t="str">
        <v>5487</v>
      </c>
      <c r="G2705" t="str">
        <v>GeocentricCrs</v>
      </c>
      <c r="H2705" t="str">
        <v>&lt;undefined&gt;</v>
      </c>
      <c r="I2705" t="str">
        <v>RGAF09</v>
      </c>
      <c r="J2705" t="str">
        <v>French Antilles onshore and offshore - Guadeloupe (including Grande Terre, Basse Terre, Marie Galante, Les Saintes, Iles de la Petite Terre, La Desirade); Martinique; St Barthélemy; St Martin.</v>
      </c>
      <c r="K2705" s="11">
        <v>0</v>
      </c>
    </row>
    <row r="2706" spans="5:11" x14ac:dyDescent="0.35">
      <c r="E2706" s="9" t="str">
        <v>EPSG</v>
      </c>
      <c r="F2706" s="7" t="str">
        <v>5488</v>
      </c>
      <c r="G2706" t="str">
        <v>Geographic3DCrs</v>
      </c>
      <c r="H2706" t="str">
        <v>&lt;undefined&gt;</v>
      </c>
      <c r="I2706" t="str">
        <v>RGAF09</v>
      </c>
      <c r="J2706" t="str">
        <v>French Antilles onshore and offshore - Guadeloupe (including Grande Terre, Basse Terre, Marie Galante, Les Saintes, Iles de la Petite Terre, La Desirade); Martinique; St Barthélemy; St Martin.</v>
      </c>
      <c r="K2706" s="11">
        <v>0</v>
      </c>
    </row>
    <row r="2707" spans="5:11" x14ac:dyDescent="0.35">
      <c r="E2707" s="9" t="str">
        <v>EPSG</v>
      </c>
      <c r="F2707" s="7" t="str">
        <v>5489</v>
      </c>
      <c r="G2707" t="str">
        <v>Geographic2DCrs</v>
      </c>
      <c r="H2707" t="str">
        <v>&lt;undefined&gt;</v>
      </c>
      <c r="I2707" t="str">
        <v>RGAF09</v>
      </c>
      <c r="J2707" t="str">
        <v>French Antilles onshore and offshore - Guadeloupe (including Grande Terre, Basse Terre, Marie Galante, Les Saintes, Iles de la Petite Terre, La Desirade); Martinique; St Barthélemy; St Martin.</v>
      </c>
      <c r="K2707" s="11">
        <v>0</v>
      </c>
    </row>
    <row r="2708" spans="5:11" x14ac:dyDescent="0.35">
      <c r="E2708" s="9" t="str">
        <v>EPSG</v>
      </c>
      <c r="F2708" s="7" t="str">
        <v>5490</v>
      </c>
      <c r="G2708" t="str">
        <v>ProjectedCrs</v>
      </c>
      <c r="H2708" t="str">
        <v>Transverse Mercator</v>
      </c>
      <c r="I2708" t="str">
        <v>RGAF09 / UTM zone 20N</v>
      </c>
      <c r="J2708" t="str">
        <v>French Antilles onshore and offshore west of 60°W - Guadeloupe (including Grande Terre, Basse Terre, Marie Galante, Les Saintes, Iles de la Petite Terre, La Desirade); Martinique; St Barthélemy; northern St Martin.</v>
      </c>
      <c r="K2708" s="11">
        <v>0</v>
      </c>
    </row>
    <row r="2709" spans="5:11" x14ac:dyDescent="0.35">
      <c r="E2709" s="9" t="str">
        <v>EPSG</v>
      </c>
      <c r="F2709" s="7" t="str">
        <v>5498</v>
      </c>
      <c r="G2709" t="str">
        <v>CompoundCrs</v>
      </c>
      <c r="H2709" t="str">
        <v>&lt;undefined&gt;</v>
      </c>
      <c r="I2709" t="str">
        <v>NAD83 + NAVD88 height</v>
      </c>
      <c r="J2709" t="str">
        <v>United States (USA) - CONUS and Alaska - onshore - Alabama; Alaska mainland;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709" s="11">
        <v>0</v>
      </c>
    </row>
    <row r="2710" spans="5:11" x14ac:dyDescent="0.35">
      <c r="E2710" s="9" t="str">
        <v>EPSG</v>
      </c>
      <c r="F2710" s="7" t="str">
        <v>5499</v>
      </c>
      <c r="G2710" t="str">
        <v>CompoundCrs</v>
      </c>
      <c r="H2710" t="str">
        <v>&lt;undefined&gt;</v>
      </c>
      <c r="I2710" t="str">
        <v>NAD83(HARN) + NAVD88 height</v>
      </c>
      <c r="J2710"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710" s="11">
        <v>0</v>
      </c>
    </row>
    <row r="2711" spans="5:11" x14ac:dyDescent="0.35">
      <c r="E2711" s="9" t="str">
        <v>EPSG</v>
      </c>
      <c r="F2711" s="7" t="str">
        <v>5500</v>
      </c>
      <c r="G2711" t="str">
        <v>CompoundCrs</v>
      </c>
      <c r="H2711" t="str">
        <v>&lt;undefined&gt;</v>
      </c>
      <c r="I2711" t="str">
        <v>NAD83(NSRS2007) + NAVD88 height</v>
      </c>
      <c r="J2711"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711" s="11">
        <v>0</v>
      </c>
    </row>
    <row r="2712" spans="5:11" x14ac:dyDescent="0.35">
      <c r="E2712" s="9" t="str">
        <v>EPSG</v>
      </c>
      <c r="F2712" s="7" t="str">
        <v>5513</v>
      </c>
      <c r="G2712" t="str">
        <v>ProjectedCrs</v>
      </c>
      <c r="H2712" t="str">
        <v>Krovak</v>
      </c>
      <c r="I2712" t="str">
        <v>S-JTSK / Krovak</v>
      </c>
      <c r="J2712" t="str">
        <v>Czechia; Slovakia.</v>
      </c>
      <c r="K2712" s="11">
        <v>0</v>
      </c>
    </row>
    <row r="2713" spans="5:11" x14ac:dyDescent="0.35">
      <c r="E2713" s="9" t="str">
        <v>EPSG</v>
      </c>
      <c r="F2713" s="7" t="str">
        <v>5514</v>
      </c>
      <c r="G2713" t="str">
        <v>ProjectedCrs</v>
      </c>
      <c r="H2713" t="str">
        <v>Krovak (North Orientated)</v>
      </c>
      <c r="I2713" t="str">
        <v>S-JTSK / Krovak East North</v>
      </c>
      <c r="J2713" t="str">
        <v>Czechia; Slovakia.</v>
      </c>
      <c r="K2713" s="11">
        <v>0</v>
      </c>
    </row>
    <row r="2714" spans="5:11" x14ac:dyDescent="0.35">
      <c r="E2714" s="9" t="str">
        <v>EPSG</v>
      </c>
      <c r="F2714" s="7" t="str">
        <v>5515</v>
      </c>
      <c r="G2714" t="str">
        <v>ProjectedCrs</v>
      </c>
      <c r="H2714" t="str">
        <v>Krovak Modified</v>
      </c>
      <c r="I2714" t="str">
        <v>S-JTSK/05 / Modified Krovak</v>
      </c>
      <c r="J2714" t="str">
        <v>Czechia.</v>
      </c>
      <c r="K2714" s="11">
        <v>0</v>
      </c>
    </row>
    <row r="2715" spans="5:11" x14ac:dyDescent="0.35">
      <c r="E2715" s="9" t="str">
        <v>EPSG</v>
      </c>
      <c r="F2715" s="7" t="str">
        <v>5516</v>
      </c>
      <c r="G2715" t="str">
        <v>ProjectedCrs</v>
      </c>
      <c r="H2715" t="str">
        <v>Krovak Modified (North Orientated)</v>
      </c>
      <c r="I2715" t="str">
        <v>S-JTSK/05 / Modified Krovak East North</v>
      </c>
      <c r="J2715" t="str">
        <v>Czechia.</v>
      </c>
      <c r="K2715" s="11">
        <v>0</v>
      </c>
    </row>
    <row r="2716" spans="5:11" x14ac:dyDescent="0.35">
      <c r="E2716" s="9" t="str">
        <v>EPSG</v>
      </c>
      <c r="F2716" s="7" t="str">
        <v>5518</v>
      </c>
      <c r="G2716" t="str">
        <v>ProjectedCrs</v>
      </c>
      <c r="H2716" t="str">
        <v>Transverse Mercator</v>
      </c>
      <c r="I2716" t="str">
        <v>CI1971 / Chatham Islands Map Grid</v>
      </c>
      <c r="J2716" t="str">
        <v>New Zealand - Chatham Islands group - onshore.</v>
      </c>
      <c r="K2716" s="11">
        <v>0</v>
      </c>
    </row>
    <row r="2717" spans="5:11" x14ac:dyDescent="0.35">
      <c r="E2717" s="9" t="str">
        <v>EPSG</v>
      </c>
      <c r="F2717" s="7" t="str">
        <v>5519</v>
      </c>
      <c r="G2717" t="str">
        <v>ProjectedCrs</v>
      </c>
      <c r="H2717" t="str">
        <v>Transverse Mercator</v>
      </c>
      <c r="I2717" t="str">
        <v>CI1979 / Chatham Islands Map Grid</v>
      </c>
      <c r="J2717" t="str">
        <v>New Zealand - Chatham Islands group - onshore.</v>
      </c>
      <c r="K2717" s="11">
        <v>0</v>
      </c>
    </row>
    <row r="2718" spans="5:11" x14ac:dyDescent="0.35">
      <c r="E2718" s="9" t="str">
        <v>EPSG</v>
      </c>
      <c r="F2718" s="7" t="str">
        <v>5520</v>
      </c>
      <c r="G2718" t="str">
        <v>ProjectedCrs</v>
      </c>
      <c r="H2718" t="str">
        <v>Transverse Mercator</v>
      </c>
      <c r="I2718" t="str">
        <v>DHDN / 3-degree Gauss-Kruger zone 1</v>
      </c>
      <c r="J2718" t="str">
        <v>Germany - offshore North Sea west of 4°30'E.</v>
      </c>
      <c r="K2718" s="11">
        <v>0</v>
      </c>
    </row>
    <row r="2719" spans="5:11" x14ac:dyDescent="0.35">
      <c r="E2719" s="9" t="str">
        <v>EPSG</v>
      </c>
      <c r="F2719" s="7" t="str">
        <v>5523</v>
      </c>
      <c r="G2719" t="str">
        <v>ProjectedCrs</v>
      </c>
      <c r="H2719" t="str">
        <v>Transverse Mercator</v>
      </c>
      <c r="I2719" t="str">
        <v>WGS 84 / Gabon TM 2011</v>
      </c>
      <c r="J2719" t="str">
        <v>Gabon - onshore and offshore.</v>
      </c>
      <c r="K2719" s="11">
        <v>0</v>
      </c>
    </row>
    <row r="2720" spans="5:11" x14ac:dyDescent="0.35">
      <c r="E2720" s="9" t="str">
        <v>EPSG</v>
      </c>
      <c r="F2720" s="7" t="str">
        <v>5524</v>
      </c>
      <c r="G2720" t="str">
        <v>Geographic2DCrs</v>
      </c>
      <c r="H2720" t="str">
        <v>&lt;undefined&gt;</v>
      </c>
      <c r="I2720" t="str">
        <v>Corrego Alegre 1961</v>
      </c>
      <c r="J2720" t="str">
        <v>Brazil - onshore - between 18°S and 27°30'S, also east of 54°W between 15°S and 18°S.</v>
      </c>
      <c r="K2720" s="11">
        <v>0</v>
      </c>
    </row>
    <row r="2721" spans="5:11" x14ac:dyDescent="0.35">
      <c r="E2721" s="9" t="str">
        <v>EPSG</v>
      </c>
      <c r="F2721" s="7" t="str">
        <v>5527</v>
      </c>
      <c r="G2721" t="str">
        <v>Geographic2DCrs</v>
      </c>
      <c r="H2721" t="str">
        <v>&lt;undefined&gt;</v>
      </c>
      <c r="I2721" t="str">
        <v>SAD69(96)</v>
      </c>
      <c r="J2721" t="str">
        <v>Brazil - onshore and offshore. Includes Rocas, Fernando de Noronha archipelago, Trindade, Ihlas Martim Vaz and Sao Pedro e Sao Paulo.</v>
      </c>
      <c r="K2721" s="11">
        <v>0</v>
      </c>
    </row>
    <row r="2722" spans="5:11" x14ac:dyDescent="0.35">
      <c r="E2722" s="9" t="str">
        <v>EPSG</v>
      </c>
      <c r="F2722" s="7" t="str">
        <v>5530</v>
      </c>
      <c r="G2722" t="str">
        <v>ProjectedCrs</v>
      </c>
      <c r="H2722" t="str">
        <v>American Polyconic</v>
      </c>
      <c r="I2722" t="str">
        <v>SAD69(96) / Brazil Polyconic</v>
      </c>
      <c r="J2722" t="str">
        <v>Brazil - onshore and offshore. Includes Rocas, Fernando de Noronha archipelago, Trindade, Ihlas Martim Vaz and Sao Pedro e Sao Paulo.</v>
      </c>
      <c r="K2722" s="11">
        <v>0</v>
      </c>
    </row>
    <row r="2723" spans="5:11" x14ac:dyDescent="0.35">
      <c r="E2723" s="9" t="str">
        <v>EPSG</v>
      </c>
      <c r="F2723" s="7" t="str">
        <v>5531</v>
      </c>
      <c r="G2723" t="str">
        <v>ProjectedCrs</v>
      </c>
      <c r="H2723" t="str">
        <v>Transverse Mercator</v>
      </c>
      <c r="I2723" t="str">
        <v>SAD69(96) / UTM zone 21S</v>
      </c>
      <c r="J2723" t="str">
        <v>Brazil - between 60°W and 54°W, northern and southern hemispheres.</v>
      </c>
      <c r="K2723" s="11">
        <v>0</v>
      </c>
    </row>
    <row r="2724" spans="5:11" x14ac:dyDescent="0.35">
      <c r="E2724" s="9" t="str">
        <v>EPSG</v>
      </c>
      <c r="F2724" s="7" t="str">
        <v>5533</v>
      </c>
      <c r="G2724" t="str">
        <v>ProjectedCrs</v>
      </c>
      <c r="H2724" t="str">
        <v>Transverse Mercator</v>
      </c>
      <c r="I2724" t="str">
        <v>SAD69(96) / UTM zone 23S</v>
      </c>
      <c r="J2724" t="str">
        <v>Brazil - between 48°W and 42°W, northern and southern hemispheres, onshore and offshore.</v>
      </c>
      <c r="K2724" s="11">
        <v>0</v>
      </c>
    </row>
    <row r="2725" spans="5:11" x14ac:dyDescent="0.35">
      <c r="E2725" s="9" t="str">
        <v>EPSG</v>
      </c>
      <c r="F2725" s="7" t="str">
        <v>5534</v>
      </c>
      <c r="G2725" t="str">
        <v>ProjectedCrs</v>
      </c>
      <c r="H2725" t="str">
        <v>Transverse Mercator</v>
      </c>
      <c r="I2725" t="str">
        <v>SAD69(96) / UTM zone 24S</v>
      </c>
      <c r="J2725" t="str">
        <v>Brazil - between 42°W and 36°W, northern and southern hemispheres, onshore and offshore.</v>
      </c>
      <c r="K2725" s="11">
        <v>0</v>
      </c>
    </row>
    <row r="2726" spans="5:11" x14ac:dyDescent="0.35">
      <c r="E2726" s="9" t="str">
        <v>EPSG</v>
      </c>
      <c r="F2726" s="7" t="str">
        <v>5535</v>
      </c>
      <c r="G2726" t="str">
        <v>ProjectedCrs</v>
      </c>
      <c r="H2726" t="str">
        <v>Transverse Mercator</v>
      </c>
      <c r="I2726" t="str">
        <v>SAD69(96) / UTM zone 25S</v>
      </c>
      <c r="J2726" t="str">
        <v>Brazil - between 36°W and 30°W, northern and southern hemispheres, onshore and offshore.</v>
      </c>
      <c r="K2726" s="11">
        <v>0</v>
      </c>
    </row>
    <row r="2727" spans="5:11" x14ac:dyDescent="0.35">
      <c r="E2727" s="9" t="str">
        <v>EPSG</v>
      </c>
      <c r="F2727" s="7" t="str">
        <v>5536</v>
      </c>
      <c r="G2727" t="str">
        <v>ProjectedCrs</v>
      </c>
      <c r="H2727" t="str">
        <v>Transverse Mercator</v>
      </c>
      <c r="I2727" t="str">
        <v>Corrego Alegre 1961 / UTM zone 21S</v>
      </c>
      <c r="J2727" t="str">
        <v>Brazil - west of 54°W and between 18°S and 27°30'S.</v>
      </c>
      <c r="K2727" s="11">
        <v>0</v>
      </c>
    </row>
    <row r="2728" spans="5:11" x14ac:dyDescent="0.35">
      <c r="E2728" s="9" t="str">
        <v>EPSG</v>
      </c>
      <c r="F2728" s="7" t="str">
        <v>5537</v>
      </c>
      <c r="G2728" t="str">
        <v>ProjectedCrs</v>
      </c>
      <c r="H2728" t="str">
        <v>Transverse Mercator</v>
      </c>
      <c r="I2728" t="str">
        <v>Corrego Alegre 1961 / UTM zone 22S</v>
      </c>
      <c r="J2728" t="str">
        <v>Brazil - onshore between 54°W and 48°W and between 15°S and 27°30'S.</v>
      </c>
      <c r="K2728" s="11">
        <v>0</v>
      </c>
    </row>
    <row r="2729" spans="5:11" x14ac:dyDescent="0.35">
      <c r="E2729" s="9" t="str">
        <v>EPSG</v>
      </c>
      <c r="F2729" s="7" t="str">
        <v>5538</v>
      </c>
      <c r="G2729" t="str">
        <v>ProjectedCrs</v>
      </c>
      <c r="H2729" t="str">
        <v>Transverse Mercator</v>
      </c>
      <c r="I2729" t="str">
        <v>Corrego Alegre 1961 / UTM zone 23S</v>
      </c>
      <c r="J2729" t="str">
        <v>Brazil - onshore between 48°W and 42°W and south of 15°S.</v>
      </c>
      <c r="K2729" s="11">
        <v>0</v>
      </c>
    </row>
    <row r="2730" spans="5:11" x14ac:dyDescent="0.35">
      <c r="E2730" s="9" t="str">
        <v>EPSG</v>
      </c>
      <c r="F2730" s="7" t="str">
        <v>5539</v>
      </c>
      <c r="G2730" t="str">
        <v>ProjectedCrs</v>
      </c>
      <c r="H2730" t="str">
        <v>Transverse Mercator</v>
      </c>
      <c r="I2730" t="str">
        <v>Corrego Alegre 1961 / UTM zone 24S</v>
      </c>
      <c r="J2730" t="str">
        <v>Brazil - between 42°W and 36°W and south of 15°S, onshore.</v>
      </c>
      <c r="K2730" s="11">
        <v>0</v>
      </c>
    </row>
    <row r="2731" spans="5:11" x14ac:dyDescent="0.35">
      <c r="E2731" s="9" t="str">
        <v>EPSG</v>
      </c>
      <c r="F2731" s="7" t="str">
        <v>5544</v>
      </c>
      <c r="G2731" t="str">
        <v>GeocentricCrs</v>
      </c>
      <c r="H2731" t="str">
        <v>&lt;undefined&gt;</v>
      </c>
      <c r="I2731" t="str">
        <v>PNG94</v>
      </c>
      <c r="J2731" t="str">
        <v>Papua New Guinea - onshore and offshore. Includes Bismark archipelago, Louisade archipelago, Admiralty Islands, d'Entrecasteaux Islands, northern Solomon Islands, Trobriand Islands, New Britain, New Ireland, Woodlark, and associated islands.</v>
      </c>
      <c r="K2731" s="11">
        <v>0</v>
      </c>
    </row>
    <row r="2732" spans="5:11" x14ac:dyDescent="0.35">
      <c r="E2732" s="9" t="str">
        <v>EPSG</v>
      </c>
      <c r="F2732" s="7" t="str">
        <v>5545</v>
      </c>
      <c r="G2732" t="str">
        <v>Geographic3DCrs</v>
      </c>
      <c r="H2732" t="str">
        <v>&lt;undefined&gt;</v>
      </c>
      <c r="I2732" t="str">
        <v>PNG94</v>
      </c>
      <c r="J2732" t="str">
        <v>Papua New Guinea - onshore and offshore. Includes Bismark archipelago, Louisade archipelago, Admiralty Islands, d'Entrecasteaux Islands, northern Solomon Islands, Trobriand Islands, New Britain, New Ireland, Woodlark, and associated islands.</v>
      </c>
      <c r="K2732" s="11">
        <v>0</v>
      </c>
    </row>
    <row r="2733" spans="5:11" x14ac:dyDescent="0.35">
      <c r="E2733" s="9" t="str">
        <v>EPSG</v>
      </c>
      <c r="F2733" s="7" t="str">
        <v>5546</v>
      </c>
      <c r="G2733" t="str">
        <v>Geographic2DCrs</v>
      </c>
      <c r="H2733" t="str">
        <v>&lt;undefined&gt;</v>
      </c>
      <c r="I2733" t="str">
        <v>PNG94</v>
      </c>
      <c r="J2733" t="str">
        <v>Papua New Guinea - onshore and offshore. Includes Bismark archipelago, Louisade archipelago, Admiralty Islands, d'Entrecasteaux Islands, northern Solomon Islands, Trobriand Islands, New Britain, New Ireland, Woodlark, and associated islands.</v>
      </c>
      <c r="K2733" s="11">
        <v>0</v>
      </c>
    </row>
    <row r="2734" spans="5:11" x14ac:dyDescent="0.35">
      <c r="E2734" s="9" t="str">
        <v>EPSG</v>
      </c>
      <c r="F2734" s="7" t="str">
        <v>5550</v>
      </c>
      <c r="G2734" t="str">
        <v>ProjectedCrs</v>
      </c>
      <c r="H2734" t="str">
        <v>Transverse Mercator</v>
      </c>
      <c r="I2734" t="str">
        <v>PNG94 / PNGMG94 zone 54</v>
      </c>
      <c r="J2734" t="str">
        <v>Papua New Guinea - west of 144°E, onshore and offshore.</v>
      </c>
      <c r="K2734" s="11">
        <v>0</v>
      </c>
    </row>
    <row r="2735" spans="5:11" x14ac:dyDescent="0.35">
      <c r="E2735" s="9" t="str">
        <v>EPSG</v>
      </c>
      <c r="F2735" s="7" t="str">
        <v>5551</v>
      </c>
      <c r="G2735" t="str">
        <v>ProjectedCrs</v>
      </c>
      <c r="H2735" t="str">
        <v>Transverse Mercator</v>
      </c>
      <c r="I2735" t="str">
        <v>PNG94 / PNGMG94 zone 55</v>
      </c>
      <c r="J2735" t="str">
        <v>Papua New Guinea - between 144°E and 150°E, onshore and offshore.</v>
      </c>
      <c r="K2735" s="11">
        <v>0</v>
      </c>
    </row>
    <row r="2736" spans="5:11" x14ac:dyDescent="0.35">
      <c r="E2736" s="9" t="str">
        <v>EPSG</v>
      </c>
      <c r="F2736" s="7" t="str">
        <v>5552</v>
      </c>
      <c r="G2736" t="str">
        <v>ProjectedCrs</v>
      </c>
      <c r="H2736" t="str">
        <v>Transverse Mercator</v>
      </c>
      <c r="I2736" t="str">
        <v>PNG94 / PNGMG94 zone 56</v>
      </c>
      <c r="J2736" t="str">
        <v>Papua New Guinea - between 150°E and 156°E, onshore and offshore.</v>
      </c>
      <c r="K2736" s="11">
        <v>0</v>
      </c>
    </row>
    <row r="2737" spans="5:11" x14ac:dyDescent="0.35">
      <c r="E2737" s="9" t="str">
        <v>EPSG</v>
      </c>
      <c r="F2737" s="7" t="str">
        <v>5554</v>
      </c>
      <c r="G2737" t="str">
        <v>CompoundCrs</v>
      </c>
      <c r="H2737" t="str">
        <v>&lt;undefined&gt;</v>
      </c>
      <c r="I2737" t="str">
        <v>ETRS89 / UTM zone 31N + DHHN92 height</v>
      </c>
      <c r="J2737" t="str">
        <v>Germany - onshore west of 6°E - Nordrhein-Westfalen.</v>
      </c>
      <c r="K2737" s="11">
        <v>0</v>
      </c>
    </row>
    <row r="2738" spans="5:11" x14ac:dyDescent="0.35">
      <c r="E2738" s="9" t="str">
        <v>EPSG</v>
      </c>
      <c r="F2738" s="7" t="str">
        <v>5555</v>
      </c>
      <c r="G2738" t="str">
        <v>CompoundCrs</v>
      </c>
      <c r="H2738" t="str">
        <v>&lt;undefined&gt;</v>
      </c>
      <c r="I2738" t="str">
        <v>ETRS89 / UTM zone 32N + DHHN92 height</v>
      </c>
      <c r="J2738" t="str">
        <v>Germany - onshore between 6°E and 12°E.</v>
      </c>
      <c r="K2738" s="11">
        <v>0</v>
      </c>
    </row>
    <row r="2739" spans="5:11" x14ac:dyDescent="0.35">
      <c r="E2739" s="9" t="str">
        <v>EPSG</v>
      </c>
      <c r="F2739" s="7" t="str">
        <v>5556</v>
      </c>
      <c r="G2739" t="str">
        <v>CompoundCrs</v>
      </c>
      <c r="H2739" t="str">
        <v>&lt;undefined&gt;</v>
      </c>
      <c r="I2739" t="str">
        <v>ETRS89 / UTM zone 33N + DHHN92 height</v>
      </c>
      <c r="J2739" t="str">
        <v>Germany - onshore east of 12°E.</v>
      </c>
      <c r="K2739" s="11">
        <v>0</v>
      </c>
    </row>
    <row r="2740" spans="5:11" x14ac:dyDescent="0.35">
      <c r="E2740" s="9" t="str">
        <v>EPSG</v>
      </c>
      <c r="F2740" s="7" t="str">
        <v>5558</v>
      </c>
      <c r="G2740" t="str">
        <v>GeocentricCrs</v>
      </c>
      <c r="H2740" t="str">
        <v>&lt;undefined&gt;</v>
      </c>
      <c r="I2740" t="str">
        <v>UCS-2000</v>
      </c>
      <c r="J2740" t="str">
        <v>Ukraine - onshore and offshore.</v>
      </c>
      <c r="K2740" s="11">
        <v>0</v>
      </c>
    </row>
    <row r="2741" spans="5:11" x14ac:dyDescent="0.35">
      <c r="E2741" s="9" t="str">
        <v>EPSG</v>
      </c>
      <c r="F2741" s="7" t="str">
        <v>5559</v>
      </c>
      <c r="G2741" t="str">
        <v>ProjectedCrs</v>
      </c>
      <c r="H2741" t="str">
        <v>Lambert Conic Conformal (1SP)</v>
      </c>
      <c r="I2741" t="str">
        <v>Ocotepeque 1935 / Guatemala Norte</v>
      </c>
      <c r="J2741" t="str">
        <v>Guatemala - north of 15°51'30"N.</v>
      </c>
      <c r="K2741" s="11">
        <v>0</v>
      </c>
    </row>
    <row r="2742" spans="5:11" x14ac:dyDescent="0.35">
      <c r="E2742" s="9" t="str">
        <v>EPSG</v>
      </c>
      <c r="F2742" s="7" t="str">
        <v>5560</v>
      </c>
      <c r="G2742" t="str">
        <v>Geographic3DCrs</v>
      </c>
      <c r="H2742" t="str">
        <v>&lt;undefined&gt;</v>
      </c>
      <c r="I2742" t="str">
        <v>UCS-2000</v>
      </c>
      <c r="J2742" t="str">
        <v>Ukraine - onshore and offshore.</v>
      </c>
      <c r="K2742" s="11">
        <v>0</v>
      </c>
    </row>
    <row r="2743" spans="5:11" x14ac:dyDescent="0.35">
      <c r="E2743" s="9" t="str">
        <v>EPSG</v>
      </c>
      <c r="F2743" s="7" t="str">
        <v>5561</v>
      </c>
      <c r="G2743" t="str">
        <v>Geographic2DCrs</v>
      </c>
      <c r="H2743" t="str">
        <v>&lt;undefined&gt;</v>
      </c>
      <c r="I2743" t="str">
        <v>UCS-2000</v>
      </c>
      <c r="J2743" t="str">
        <v>Ukraine - onshore and offshore.</v>
      </c>
      <c r="K2743" s="11">
        <v>0</v>
      </c>
    </row>
    <row r="2744" spans="5:11" x14ac:dyDescent="0.35">
      <c r="E2744" s="9" t="str">
        <v>EPSG</v>
      </c>
      <c r="F2744" s="7" t="str">
        <v>5562</v>
      </c>
      <c r="G2744" t="str">
        <v>ProjectedCrs</v>
      </c>
      <c r="H2744" t="str">
        <v>Transverse Mercator</v>
      </c>
      <c r="I2744" t="str">
        <v>UCS-2000 / Gauss-Kruger zone 4</v>
      </c>
      <c r="J2744" t="str">
        <v>Ukraine - west of 24°E.</v>
      </c>
      <c r="K2744" s="11">
        <v>0</v>
      </c>
    </row>
    <row r="2745" spans="5:11" x14ac:dyDescent="0.35">
      <c r="E2745" s="9" t="str">
        <v>EPSG</v>
      </c>
      <c r="F2745" s="7" t="str">
        <v>5563</v>
      </c>
      <c r="G2745" t="str">
        <v>ProjectedCrs</v>
      </c>
      <c r="H2745" t="str">
        <v>Transverse Mercator</v>
      </c>
      <c r="I2745" t="str">
        <v>UCS-2000 / Gauss-Kruger zone 5</v>
      </c>
      <c r="J2745" t="str">
        <v>Ukraine - between 24°E and 30°E, onshore and offshore.</v>
      </c>
      <c r="K2745" s="11">
        <v>0</v>
      </c>
    </row>
    <row r="2746" spans="5:11" x14ac:dyDescent="0.35">
      <c r="E2746" s="9" t="str">
        <v>EPSG</v>
      </c>
      <c r="F2746" s="7" t="str">
        <v>5564</v>
      </c>
      <c r="G2746" t="str">
        <v>ProjectedCrs</v>
      </c>
      <c r="H2746" t="str">
        <v>Transverse Mercator</v>
      </c>
      <c r="I2746" t="str">
        <v>UCS-2000 / Gauss-Kruger zone 6</v>
      </c>
      <c r="J2746" t="str">
        <v>Ukraine - between 30°E and 36°E, onshore and offshore.</v>
      </c>
      <c r="K2746" s="11">
        <v>0</v>
      </c>
    </row>
    <row r="2747" spans="5:11" x14ac:dyDescent="0.35">
      <c r="E2747" s="9" t="str">
        <v>EPSG</v>
      </c>
      <c r="F2747" s="7" t="str">
        <v>5565</v>
      </c>
      <c r="G2747" t="str">
        <v>ProjectedCrs</v>
      </c>
      <c r="H2747" t="str">
        <v>Transverse Mercator</v>
      </c>
      <c r="I2747" t="str">
        <v>UCS-2000 / Gauss-Kruger zone 7</v>
      </c>
      <c r="J2747" t="str">
        <v>Ukraine - east of 36°E, onshore and offshore.</v>
      </c>
      <c r="K2747" s="11">
        <v>0</v>
      </c>
    </row>
    <row r="2748" spans="5:11" x14ac:dyDescent="0.35">
      <c r="E2748" s="9" t="str">
        <v>EPSG</v>
      </c>
      <c r="F2748" s="7" t="str">
        <v>5566</v>
      </c>
      <c r="G2748" t="str">
        <v>ProjectedCrs</v>
      </c>
      <c r="H2748" t="str">
        <v>Transverse Mercator</v>
      </c>
      <c r="I2748" t="str">
        <v>UCS-2000 / Gauss-Kruger CM 21E</v>
      </c>
      <c r="J2748" t="str">
        <v>Ukraine - west of 24°E.</v>
      </c>
      <c r="K2748" s="11">
        <v>0</v>
      </c>
    </row>
    <row r="2749" spans="5:11" x14ac:dyDescent="0.35">
      <c r="E2749" s="9" t="str">
        <v>EPSG</v>
      </c>
      <c r="F2749" s="7" t="str">
        <v>5567</v>
      </c>
      <c r="G2749" t="str">
        <v>ProjectedCrs</v>
      </c>
      <c r="H2749" t="str">
        <v>Transverse Mercator</v>
      </c>
      <c r="I2749" t="str">
        <v>UCS-2000 / Gauss-Kruger CM 27E</v>
      </c>
      <c r="J2749" t="str">
        <v>Ukraine - between 24°E and 30°E, onshore and offshore.</v>
      </c>
      <c r="K2749" s="11">
        <v>0</v>
      </c>
    </row>
    <row r="2750" spans="5:11" x14ac:dyDescent="0.35">
      <c r="E2750" s="9" t="str">
        <v>EPSG</v>
      </c>
      <c r="F2750" s="7" t="str">
        <v>5568</v>
      </c>
      <c r="G2750" t="str">
        <v>ProjectedCrs</v>
      </c>
      <c r="H2750" t="str">
        <v>Transverse Mercator</v>
      </c>
      <c r="I2750" t="str">
        <v>UCS-2000 / Gauss-Kruger CM 33E</v>
      </c>
      <c r="J2750" t="str">
        <v>Ukraine - between 30°E and 36°E, onshore and offshore.</v>
      </c>
      <c r="K2750" s="11">
        <v>0</v>
      </c>
    </row>
    <row r="2751" spans="5:11" x14ac:dyDescent="0.35">
      <c r="E2751" s="9" t="str">
        <v>EPSG</v>
      </c>
      <c r="F2751" s="7" t="str">
        <v>5569</v>
      </c>
      <c r="G2751" t="str">
        <v>ProjectedCrs</v>
      </c>
      <c r="H2751" t="str">
        <v>Transverse Mercator</v>
      </c>
      <c r="I2751" t="str">
        <v>UCS-2000 / Gauss-Kruger CM 39E</v>
      </c>
      <c r="J2751" t="str">
        <v>Ukraine - east of 36°E, onshore and offshore.</v>
      </c>
      <c r="K2751" s="11">
        <v>0</v>
      </c>
    </row>
    <row r="2752" spans="5:11" x14ac:dyDescent="0.35">
      <c r="E2752" s="9" t="str">
        <v>EPSG</v>
      </c>
      <c r="F2752" s="7" t="str">
        <v>5588</v>
      </c>
      <c r="G2752" t="str">
        <v>ProjectedCrs</v>
      </c>
      <c r="H2752" t="str">
        <v>Oblique Stereographic</v>
      </c>
      <c r="I2752" t="str">
        <v>NAD27 / New Brunswick Stereographic (NAD27)</v>
      </c>
      <c r="J2752" t="str">
        <v>Canada - New Brunswick.</v>
      </c>
      <c r="K2752" s="11">
        <v>0</v>
      </c>
    </row>
    <row r="2753" spans="5:11" x14ac:dyDescent="0.35">
      <c r="E2753" s="9" t="str">
        <v>EPSG</v>
      </c>
      <c r="F2753" s="7" t="str">
        <v>5589</v>
      </c>
      <c r="G2753" t="str">
        <v>ProjectedCrs</v>
      </c>
      <c r="H2753" t="str">
        <v>Transverse Mercator</v>
      </c>
      <c r="I2753" t="str">
        <v>Sibun Gorge 1922 / Colony Grid</v>
      </c>
      <c r="J2753" t="str">
        <v>Belize - onshore.</v>
      </c>
      <c r="K2753" s="11">
        <v>0</v>
      </c>
    </row>
    <row r="2754" spans="5:11" x14ac:dyDescent="0.35">
      <c r="E2754" s="9" t="str">
        <v>EPSG</v>
      </c>
      <c r="F2754" s="7" t="str">
        <v>5591</v>
      </c>
      <c r="G2754" t="str">
        <v>GeocentricCrs</v>
      </c>
      <c r="H2754" t="str">
        <v>&lt;undefined&gt;</v>
      </c>
      <c r="I2754" t="str">
        <v>FEH2010</v>
      </c>
      <c r="J2754" t="str">
        <v>Fehmarnbelt area of Denmark and Germany.</v>
      </c>
      <c r="K2754" s="11">
        <v>0</v>
      </c>
    </row>
    <row r="2755" spans="5:11" x14ac:dyDescent="0.35">
      <c r="E2755" s="9" t="str">
        <v>EPSG</v>
      </c>
      <c r="F2755" s="7" t="str">
        <v>5592</v>
      </c>
      <c r="G2755" t="str">
        <v>Geographic3DCrs</v>
      </c>
      <c r="H2755" t="str">
        <v>&lt;undefined&gt;</v>
      </c>
      <c r="I2755" t="str">
        <v>FEH2010</v>
      </c>
      <c r="J2755" t="str">
        <v>Fehmarnbelt area of Denmark and Germany.</v>
      </c>
      <c r="K2755" s="11">
        <v>0</v>
      </c>
    </row>
    <row r="2756" spans="5:11" x14ac:dyDescent="0.35">
      <c r="E2756" s="9" t="str">
        <v>EPSG</v>
      </c>
      <c r="F2756" s="7" t="str">
        <v>5593</v>
      </c>
      <c r="G2756" t="str">
        <v>Geographic2DCrs</v>
      </c>
      <c r="H2756" t="str">
        <v>&lt;undefined&gt;</v>
      </c>
      <c r="I2756" t="str">
        <v>FEH2010</v>
      </c>
      <c r="J2756" t="str">
        <v>Fehmarnbelt area of Denmark and Germany.</v>
      </c>
      <c r="K2756" s="11">
        <v>0</v>
      </c>
    </row>
    <row r="2757" spans="5:11" x14ac:dyDescent="0.35">
      <c r="E2757" s="9" t="str">
        <v>EPSG</v>
      </c>
      <c r="F2757" s="7" t="str">
        <v>5596</v>
      </c>
      <c r="G2757" t="str">
        <v>ProjectedCrs</v>
      </c>
      <c r="H2757" t="str">
        <v>Transverse Mercator</v>
      </c>
      <c r="I2757" t="str">
        <v>FEH2010 / Fehmarnbelt TM</v>
      </c>
      <c r="J2757" t="str">
        <v>Fehmarnbelt area of Denmark and Germany.</v>
      </c>
      <c r="K2757" s="11">
        <v>0</v>
      </c>
    </row>
    <row r="2758" spans="5:11" x14ac:dyDescent="0.35">
      <c r="E2758" s="9" t="str">
        <v>EPSG</v>
      </c>
      <c r="F2758" s="7" t="str">
        <v>5597</v>
      </c>
      <c r="G2758" t="str">
        <v>VerticalCrs</v>
      </c>
      <c r="H2758" t="str">
        <v>&lt;undefined&gt;</v>
      </c>
      <c r="I2758" t="str">
        <v>FCSVR10 height</v>
      </c>
      <c r="J2758" t="str">
        <v>Fehmarnbelt area of Denmark and Germany.</v>
      </c>
      <c r="K2758" s="11">
        <v>0</v>
      </c>
    </row>
    <row r="2759" spans="5:11" x14ac:dyDescent="0.35">
      <c r="E2759" s="9" t="str">
        <v>EPSG</v>
      </c>
      <c r="F2759" s="7" t="str">
        <v>5598</v>
      </c>
      <c r="G2759" t="str">
        <v>CompoundCrs</v>
      </c>
      <c r="H2759" t="str">
        <v>&lt;undefined&gt;</v>
      </c>
      <c r="I2759" t="str">
        <v>FEH2010 / Fehmarnbelt TM + FCSVR10 height</v>
      </c>
      <c r="J2759" t="str">
        <v>Fehmarnbelt area of Denmark and Germany.</v>
      </c>
      <c r="K2759" s="11">
        <v>0</v>
      </c>
    </row>
    <row r="2760" spans="5:11" x14ac:dyDescent="0.35">
      <c r="E2760" s="9" t="str">
        <v>EPSG</v>
      </c>
      <c r="F2760" s="7" t="str">
        <v>5600</v>
      </c>
      <c r="G2760" t="str">
        <v>VerticalCrs</v>
      </c>
      <c r="H2760" t="str">
        <v>&lt;undefined&gt;</v>
      </c>
      <c r="I2760" t="str">
        <v>NGPF height</v>
      </c>
      <c r="J2760" t="str">
        <v>French Polynesia - Society Islands - Bora Bora, Huahine, Maupiti, Moorea, Raiatea, Tahaa and Tahiti.</v>
      </c>
      <c r="K2760" s="11">
        <v>0</v>
      </c>
    </row>
    <row r="2761" spans="5:11" x14ac:dyDescent="0.35">
      <c r="E2761" s="9" t="str">
        <v>EPSG</v>
      </c>
      <c r="F2761" s="7" t="str">
        <v>5601</v>
      </c>
      <c r="G2761" t="str">
        <v>VerticalCrs</v>
      </c>
      <c r="H2761" t="str">
        <v>&lt;undefined&gt;</v>
      </c>
      <c r="I2761" t="str">
        <v>IGN 1966 height</v>
      </c>
      <c r="J2761" t="str">
        <v>French Polynesia - Society Islands - Tahiti.</v>
      </c>
      <c r="K2761" s="11">
        <v>0</v>
      </c>
    </row>
    <row r="2762" spans="5:11" x14ac:dyDescent="0.35">
      <c r="E2762" s="9" t="str">
        <v>EPSG</v>
      </c>
      <c r="F2762" s="7" t="str">
        <v>5602</v>
      </c>
      <c r="G2762" t="str">
        <v>VerticalCrs</v>
      </c>
      <c r="H2762" t="str">
        <v>&lt;undefined&gt;</v>
      </c>
      <c r="I2762" t="str">
        <v>Moorea SAU 1981 height</v>
      </c>
      <c r="J2762" t="str">
        <v>French Polynesia - Society Islands - Moorea.</v>
      </c>
      <c r="K2762" s="11">
        <v>0</v>
      </c>
    </row>
    <row r="2763" spans="5:11" x14ac:dyDescent="0.35">
      <c r="E2763" s="9" t="str">
        <v>EPSG</v>
      </c>
      <c r="F2763" s="7" t="str">
        <v>5603</v>
      </c>
      <c r="G2763" t="str">
        <v>VerticalCrs</v>
      </c>
      <c r="H2763" t="str">
        <v>&lt;undefined&gt;</v>
      </c>
      <c r="I2763" t="str">
        <v>Raiatea SAU 2001 height</v>
      </c>
      <c r="J2763" t="str">
        <v>French Polynesia - Society Islands - Raiatea.</v>
      </c>
      <c r="K2763" s="11">
        <v>0</v>
      </c>
    </row>
    <row r="2764" spans="5:11" x14ac:dyDescent="0.35">
      <c r="E2764" s="9" t="str">
        <v>EPSG</v>
      </c>
      <c r="F2764" s="7" t="str">
        <v>5604</v>
      </c>
      <c r="G2764" t="str">
        <v>VerticalCrs</v>
      </c>
      <c r="H2764" t="str">
        <v>&lt;undefined&gt;</v>
      </c>
      <c r="I2764" t="str">
        <v>Maupiti SAU 2001 height</v>
      </c>
      <c r="J2764" t="str">
        <v>French Polynesia - Society Islands - Maupiti.</v>
      </c>
      <c r="K2764" s="11">
        <v>0</v>
      </c>
    </row>
    <row r="2765" spans="5:11" x14ac:dyDescent="0.35">
      <c r="E2765" s="9" t="str">
        <v>EPSG</v>
      </c>
      <c r="F2765" s="7" t="str">
        <v>5605</v>
      </c>
      <c r="G2765" t="str">
        <v>VerticalCrs</v>
      </c>
      <c r="H2765" t="str">
        <v>&lt;undefined&gt;</v>
      </c>
      <c r="I2765" t="str">
        <v>Huahine SAU 2001 height</v>
      </c>
      <c r="J2765" t="str">
        <v>French Polynesia - Society Islands - Huahine.</v>
      </c>
      <c r="K2765" s="11">
        <v>0</v>
      </c>
    </row>
    <row r="2766" spans="5:11" x14ac:dyDescent="0.35">
      <c r="E2766" s="9" t="str">
        <v>EPSG</v>
      </c>
      <c r="F2766" s="7" t="str">
        <v>5606</v>
      </c>
      <c r="G2766" t="str">
        <v>VerticalCrs</v>
      </c>
      <c r="H2766" t="str">
        <v>&lt;undefined&gt;</v>
      </c>
      <c r="I2766" t="str">
        <v>Tahaa SAU 2001 height</v>
      </c>
      <c r="J2766" t="str">
        <v>French Polynesia - Society Islands - Tahaa.</v>
      </c>
      <c r="K2766" s="11">
        <v>0</v>
      </c>
    </row>
    <row r="2767" spans="5:11" x14ac:dyDescent="0.35">
      <c r="E2767" s="9" t="str">
        <v>EPSG</v>
      </c>
      <c r="F2767" s="7" t="str">
        <v>5607</v>
      </c>
      <c r="G2767" t="str">
        <v>VerticalCrs</v>
      </c>
      <c r="H2767" t="str">
        <v>&lt;undefined&gt;</v>
      </c>
      <c r="I2767" t="str">
        <v>Bora Bora SAU 2001 height</v>
      </c>
      <c r="J2767" t="str">
        <v>French Polynesia - Society Islands - Bora Bora.</v>
      </c>
      <c r="K2767" s="11">
        <v>0</v>
      </c>
    </row>
    <row r="2768" spans="5:11" x14ac:dyDescent="0.35">
      <c r="E2768" s="9" t="str">
        <v>EPSG</v>
      </c>
      <c r="F2768" s="7" t="str">
        <v>5608</v>
      </c>
      <c r="G2768" t="str">
        <v>VerticalCrs</v>
      </c>
      <c r="H2768" t="str">
        <v>&lt;undefined&gt;</v>
      </c>
      <c r="I2768" t="str">
        <v>IGLD 1955 height</v>
      </c>
      <c r="J2768" t="str">
        <v>Canada and United States (USA) - Great Lakes basin and St Lawrence Seaway.</v>
      </c>
      <c r="K2768" s="11">
        <v>0</v>
      </c>
    </row>
    <row r="2769" spans="5:11" x14ac:dyDescent="0.35">
      <c r="E2769" s="9" t="str">
        <v>EPSG</v>
      </c>
      <c r="F2769" s="7" t="str">
        <v>5609</v>
      </c>
      <c r="G2769" t="str">
        <v>VerticalCrs</v>
      </c>
      <c r="H2769" t="str">
        <v>&lt;undefined&gt;</v>
      </c>
      <c r="I2769" t="str">
        <v>IGLD 1985 height</v>
      </c>
      <c r="J2769" t="str">
        <v>Canada and United States (USA) - Great Lakes basin and St Lawrence Seaway.</v>
      </c>
      <c r="K2769" s="11">
        <v>0</v>
      </c>
    </row>
    <row r="2770" spans="5:11" x14ac:dyDescent="0.35">
      <c r="E2770" s="9" t="str">
        <v>EPSG</v>
      </c>
      <c r="F2770" s="7" t="str">
        <v>5610</v>
      </c>
      <c r="G2770" t="str">
        <v>VerticalCrs</v>
      </c>
      <c r="H2770" t="str">
        <v>&lt;undefined&gt;</v>
      </c>
      <c r="I2770" t="str">
        <v>HVRS71 height</v>
      </c>
      <c r="J2770" t="str">
        <v>Croatia - onshore.</v>
      </c>
      <c r="K2770" s="11">
        <v>0</v>
      </c>
    </row>
    <row r="2771" spans="5:11" x14ac:dyDescent="0.35">
      <c r="E2771" s="9" t="str">
        <v>EPSG</v>
      </c>
      <c r="F2771" s="7" t="str">
        <v>5611</v>
      </c>
      <c r="G2771" t="str">
        <v>VerticalCrs</v>
      </c>
      <c r="H2771" t="str">
        <v>&lt;undefined&gt;</v>
      </c>
      <c r="I2771" t="str">
        <v>Caspian height</v>
      </c>
      <c r="J2771" t="str">
        <v>Azerbaijan - offshore; Kazakhstan - offshore; Russian Federation - Caspian Sea; Turkmenistan - offshore.</v>
      </c>
      <c r="K2771" s="11">
        <v>0</v>
      </c>
    </row>
    <row r="2772" spans="5:11" x14ac:dyDescent="0.35">
      <c r="E2772" s="9" t="str">
        <v>EPSG</v>
      </c>
      <c r="F2772" s="7" t="str">
        <v>5612</v>
      </c>
      <c r="G2772" t="str">
        <v>VerticalCrs</v>
      </c>
      <c r="H2772" t="str">
        <v>&lt;undefined&gt;</v>
      </c>
      <c r="I2772" t="str">
        <v>Baltic 1977 depth</v>
      </c>
      <c r="J2772" t="str">
        <v>Armenia; Azerbaijan; Belarus; Estonia - onshore; Georgia - onshore; Kazakhstan; Kyrgyzstan; Latvia - onshore; Lithuania - onshore; Moldova; Russian Federation - onshore; Tajikistan; Turkmenistan; Ukraine - onshore; Uzbekistan.</v>
      </c>
      <c r="K2772" s="11">
        <v>0</v>
      </c>
    </row>
    <row r="2773" spans="5:11" x14ac:dyDescent="0.35">
      <c r="E2773" s="9" t="str">
        <v>EPSG</v>
      </c>
      <c r="F2773" s="7" t="str">
        <v>5613</v>
      </c>
      <c r="G2773" t="str">
        <v>VerticalCrs</v>
      </c>
      <c r="H2773" t="str">
        <v>&lt;undefined&gt;</v>
      </c>
      <c r="I2773" t="str">
        <v>RH2000 height</v>
      </c>
      <c r="J2773" t="str">
        <v>Sweden - onshore.</v>
      </c>
      <c r="K2773" s="11">
        <v>0</v>
      </c>
    </row>
    <row r="2774" spans="5:11" x14ac:dyDescent="0.35">
      <c r="E2774" s="9" t="str">
        <v>EPSG</v>
      </c>
      <c r="F2774" s="7" t="str">
        <v>5614</v>
      </c>
      <c r="G2774" t="str">
        <v>VerticalCrs</v>
      </c>
      <c r="H2774" t="str">
        <v>&lt;undefined&gt;</v>
      </c>
      <c r="I2774" t="str">
        <v>KOC WD depth (ft)</v>
      </c>
      <c r="J2774" t="str">
        <v>Kuwait - onshore.</v>
      </c>
      <c r="K2774" s="11">
        <v>0</v>
      </c>
    </row>
    <row r="2775" spans="5:11" x14ac:dyDescent="0.35">
      <c r="E2775" s="9" t="str">
        <v>EPSG</v>
      </c>
      <c r="F2775" s="7" t="str">
        <v>5615</v>
      </c>
      <c r="G2775" t="str">
        <v>VerticalCrs</v>
      </c>
      <c r="H2775" t="str">
        <v>&lt;undefined&gt;</v>
      </c>
      <c r="I2775" t="str">
        <v>RH00 height</v>
      </c>
      <c r="J2775" t="str">
        <v>Sweden - onshore.</v>
      </c>
      <c r="K2775" s="11">
        <v>0</v>
      </c>
    </row>
    <row r="2776" spans="5:11" x14ac:dyDescent="0.35">
      <c r="E2776" s="9" t="str">
        <v>EPSG</v>
      </c>
      <c r="F2776" s="7" t="str">
        <v>5616</v>
      </c>
      <c r="G2776" t="str">
        <v>VerticalCrs</v>
      </c>
      <c r="H2776" t="str">
        <v>&lt;undefined&gt;</v>
      </c>
      <c r="I2776" t="str">
        <v>IGN 1988 LS height</v>
      </c>
      <c r="J2776" t="str">
        <v>Guadeloupe - onshore - Les Saintes.</v>
      </c>
      <c r="K2776" s="11">
        <v>0</v>
      </c>
    </row>
    <row r="2777" spans="5:11" x14ac:dyDescent="0.35">
      <c r="E2777" s="9" t="str">
        <v>EPSG</v>
      </c>
      <c r="F2777" s="7" t="str">
        <v>5617</v>
      </c>
      <c r="G2777" t="str">
        <v>VerticalCrs</v>
      </c>
      <c r="H2777" t="str">
        <v>&lt;undefined&gt;</v>
      </c>
      <c r="I2777" t="str">
        <v>IGN 1988 MG height</v>
      </c>
      <c r="J2777" t="str">
        <v>Guadeloupe - onshore - Marie-Galante.</v>
      </c>
      <c r="K2777" s="11">
        <v>0</v>
      </c>
    </row>
    <row r="2778" spans="5:11" x14ac:dyDescent="0.35">
      <c r="E2778" s="9" t="str">
        <v>EPSG</v>
      </c>
      <c r="F2778" s="7" t="str">
        <v>5618</v>
      </c>
      <c r="G2778" t="str">
        <v>VerticalCrs</v>
      </c>
      <c r="H2778" t="str">
        <v>&lt;undefined&gt;</v>
      </c>
      <c r="I2778" t="str">
        <v>IGN 1992 LD height</v>
      </c>
      <c r="J2778" t="str">
        <v>Guadeloupe - onshore - La Desirade.</v>
      </c>
      <c r="K2778" s="11">
        <v>0</v>
      </c>
    </row>
    <row r="2779" spans="5:11" x14ac:dyDescent="0.35">
      <c r="E2779" s="9" t="str">
        <v>EPSG</v>
      </c>
      <c r="F2779" s="7" t="str">
        <v>5619</v>
      </c>
      <c r="G2779" t="str">
        <v>VerticalCrs</v>
      </c>
      <c r="H2779" t="str">
        <v>&lt;undefined&gt;</v>
      </c>
      <c r="I2779" t="str">
        <v>IGN 1988 SB height</v>
      </c>
      <c r="J2779" t="str">
        <v>Guadeloupe - onshore - St Barthelemy island.</v>
      </c>
      <c r="K2779" s="11">
        <v>0</v>
      </c>
    </row>
    <row r="2780" spans="5:11" x14ac:dyDescent="0.35">
      <c r="E2780" s="9" t="str">
        <v>EPSG</v>
      </c>
      <c r="F2780" s="7" t="str">
        <v>5620</v>
      </c>
      <c r="G2780" t="str">
        <v>VerticalCrs</v>
      </c>
      <c r="H2780" t="str">
        <v>&lt;undefined&gt;</v>
      </c>
      <c r="I2780" t="str">
        <v>IGN 1988 SM height</v>
      </c>
      <c r="J2780" t="str">
        <v>Guadeloupe - onshore - St Martin island.</v>
      </c>
      <c r="K2780" s="11">
        <v>0</v>
      </c>
    </row>
    <row r="2781" spans="5:11" x14ac:dyDescent="0.35">
      <c r="E2781" s="9" t="str">
        <v>EPSG</v>
      </c>
      <c r="F2781" s="7" t="str">
        <v>5621</v>
      </c>
      <c r="G2781" t="str">
        <v>VerticalCrs</v>
      </c>
      <c r="H2781" t="str">
        <v>&lt;undefined&gt;</v>
      </c>
      <c r="I2781" t="str">
        <v>EVRF2007 height</v>
      </c>
      <c r="J2781" t="str">
        <v>Europe - onshore - Andorra; Austria; Belgium; Bosnia and Herzegovina; Bulgaria; Croatia; Czechia; Denmark; Estonia; Finland; France - mainland; Germany; Gibraltar, Hungary; Italy - mainland and Sicily; Latvia; Liechtenstein; Lithuania; Luxembourg; Netherlands; Norway; Poland; Portugal - mainland; Romania; San Marino; Slovakia; Slovenia; Spain - mainland; Sweden; Switzerland; United Kingdom (UK) - Great Britain mainland; Vatican City State.</v>
      </c>
      <c r="K2781" s="11">
        <v>0</v>
      </c>
    </row>
    <row r="2782" spans="5:11" x14ac:dyDescent="0.35">
      <c r="E2782" s="9" t="str">
        <v>EPSG</v>
      </c>
      <c r="F2782" s="7" t="str">
        <v>5623</v>
      </c>
      <c r="G2782" t="str">
        <v>ProjectedCrs</v>
      </c>
      <c r="H2782" t="str">
        <v>Transverse Mercator</v>
      </c>
      <c r="I2782" t="str">
        <v>NAD27 / Michigan East</v>
      </c>
      <c r="J2782" t="str">
        <v>United States (USA) - Michigan - counties of Alcona; Alpena; Arenac; Bay; Cheboygan; Chippewa; Clinton; Crawford; Genesee; Gladwin; Gratiot; Hillsdale; Huron; Ingham; Iosco; Jackson; Lapeer; Lenawee; Livingston; Macomb; Midland; Monroe; Montmorency; Oakland; Ogemaw; Oscoda; Otsego; Presque Isle; Roscommon; Saginaw; Sanilac; Shiawassee; St Clair; Tuscola; Washtenaw; Wayne.</v>
      </c>
      <c r="K2782" s="11">
        <v>0</v>
      </c>
    </row>
    <row r="2783" spans="5:11" x14ac:dyDescent="0.35">
      <c r="E2783" s="9" t="str">
        <v>EPSG</v>
      </c>
      <c r="F2783" s="7" t="str">
        <v>5624</v>
      </c>
      <c r="G2783" t="str">
        <v>ProjectedCrs</v>
      </c>
      <c r="H2783" t="str">
        <v>Transverse Mercator</v>
      </c>
      <c r="I2783" t="str">
        <v>NAD27 / Michigan Old Central</v>
      </c>
      <c r="J2783" t="str">
        <v>United States (USA) - Michigan - counties of Alger; Allegan; Antrim; Barry; Benzie; Berrien; Branch; Calhoun; Cass; Charlevoix; Clare; Delta; Eaton; Emmet; Grand Traverse; Ionia; Isabella; Kalamazoo; Kalkaska; Kent; Lake; Leelanau; Luce; Mackinac; Manistee; Mason; Mecosta; Missaukee; Montcalm; Muskegon; Newaygo; Oceana; Osceola; Ottawa; St Joseph; Schoolcraft; Van Buren; Wexford.</v>
      </c>
      <c r="K2783" s="11">
        <v>0</v>
      </c>
    </row>
    <row r="2784" spans="5:11" x14ac:dyDescent="0.35">
      <c r="E2784" s="9" t="str">
        <v>EPSG</v>
      </c>
      <c r="F2784" s="7" t="str">
        <v>5625</v>
      </c>
      <c r="G2784" t="str">
        <v>ProjectedCrs</v>
      </c>
      <c r="H2784" t="str">
        <v>Transverse Mercator</v>
      </c>
      <c r="I2784" t="str">
        <v>NAD27 / Michigan West</v>
      </c>
      <c r="J2784" t="str">
        <v>United States (USA) - Michigan - counties of Baraga; Dickinson; Gogebic; Houghton; Iron; Keweenaw; Marquette; Menominee; Ontonagon.</v>
      </c>
      <c r="K2784" s="11">
        <v>0</v>
      </c>
    </row>
    <row r="2785" spans="5:11" x14ac:dyDescent="0.35">
      <c r="E2785" s="9" t="str">
        <v>EPSG</v>
      </c>
      <c r="F2785" s="7" t="str">
        <v>5627</v>
      </c>
      <c r="G2785" t="str">
        <v>ProjectedCrs</v>
      </c>
      <c r="H2785" t="str">
        <v>Transverse Mercator</v>
      </c>
      <c r="I2785" t="str">
        <v>ED50 / TM 6 NE</v>
      </c>
      <c r="J2785" t="str">
        <v>France - offshore Mediterranean.</v>
      </c>
      <c r="K2785" s="11">
        <v>0</v>
      </c>
    </row>
    <row r="2786" spans="5:11" x14ac:dyDescent="0.35">
      <c r="E2786" s="9" t="str">
        <v>EPSG</v>
      </c>
      <c r="F2786" s="7" t="str">
        <v>5628</v>
      </c>
      <c r="G2786" t="str">
        <v>CompoundCrs</v>
      </c>
      <c r="H2786" t="str">
        <v>&lt;undefined&gt;</v>
      </c>
      <c r="I2786" t="str">
        <v>SWEREF99 + RH2000 height</v>
      </c>
      <c r="J2786" t="str">
        <v>Sweden - onshore.</v>
      </c>
      <c r="K2786" s="11">
        <v>0</v>
      </c>
    </row>
    <row r="2787" spans="5:11" x14ac:dyDescent="0.35">
      <c r="E2787" s="9" t="str">
        <v>EPSG</v>
      </c>
      <c r="F2787" s="7" t="str">
        <v>5629</v>
      </c>
      <c r="G2787" t="str">
        <v>ProjectedCrs</v>
      </c>
      <c r="H2787" t="str">
        <v>Transverse Mercator</v>
      </c>
      <c r="I2787" t="str">
        <v>Moznet / UTM zone 38S</v>
      </c>
      <c r="J2787" t="str">
        <v>Mozambique - onshore east of 36°E.</v>
      </c>
      <c r="K2787" s="11">
        <v>0</v>
      </c>
    </row>
    <row r="2788" spans="5:11" x14ac:dyDescent="0.35">
      <c r="E2788" s="9" t="str">
        <v>EPSG</v>
      </c>
      <c r="F2788" s="7" t="str">
        <v>5631</v>
      </c>
      <c r="G2788" t="str">
        <v>ProjectedCrs</v>
      </c>
      <c r="H2788" t="str">
        <v>Transverse Mercator</v>
      </c>
      <c r="I2788" t="str">
        <v>Pulkovo 1942(58) / Gauss-Kruger zone 2 (E-N)</v>
      </c>
      <c r="J2788" t="str">
        <v>Germany - states of former East Germany - west of 12°E.</v>
      </c>
      <c r="K2788" s="11">
        <v>0</v>
      </c>
    </row>
    <row r="2789" spans="5:11" x14ac:dyDescent="0.35">
      <c r="E2789" s="9" t="str">
        <v>EPSG</v>
      </c>
      <c r="F2789" s="7" t="str">
        <v>5632</v>
      </c>
      <c r="G2789" t="str">
        <v>ProjectedCrs</v>
      </c>
      <c r="H2789" t="str">
        <v>Lambert Conic Conformal (2SP)</v>
      </c>
      <c r="I2789" t="str">
        <v>PTRA08 / LCC Europe</v>
      </c>
      <c r="J2789" t="str">
        <v>Portugal - Azores and Madeira island groups and surrounding EEZ - Flores, Corvo; Graciosa, Terceira, Sao Jorge, Pico, Faial; Sao Miguel, Santa Maria; Madeira, Porto Santo, Desertas; Selvagens.</v>
      </c>
      <c r="K2789" s="11">
        <v>0</v>
      </c>
    </row>
    <row r="2790" spans="5:11" x14ac:dyDescent="0.35">
      <c r="E2790" s="9" t="str">
        <v>EPSG</v>
      </c>
      <c r="F2790" s="7" t="str">
        <v>5633</v>
      </c>
      <c r="G2790" t="str">
        <v>ProjectedCrs</v>
      </c>
      <c r="H2790" t="str">
        <v>Lambert Azimuthal Equal Area</v>
      </c>
      <c r="I2790" t="str">
        <v>PTRA08 / LAEA Europe</v>
      </c>
      <c r="J2790" t="str">
        <v>Portugal - Azores and Madeira island groups and surrounding EEZ - Flores, Corvo; Graciosa, Terceira, Sao Jorge, Pico, Faial; Sao Miguel, Santa Maria; Madeira, Porto Santo, Desertas; Selvagens.</v>
      </c>
      <c r="K2790" s="11">
        <v>0</v>
      </c>
    </row>
    <row r="2791" spans="5:11" x14ac:dyDescent="0.35">
      <c r="E2791" s="9" t="str">
        <v>EPSG</v>
      </c>
      <c r="F2791" s="7" t="str">
        <v>5634</v>
      </c>
      <c r="G2791" t="str">
        <v>ProjectedCrs</v>
      </c>
      <c r="H2791" t="str">
        <v>Lambert Conic Conformal (2SP)</v>
      </c>
      <c r="I2791" t="str">
        <v>REGCAN95 / LCC Europe</v>
      </c>
      <c r="J2791" t="str">
        <v>Spain - Canary Islands onshore and offshore.</v>
      </c>
      <c r="K2791" s="11">
        <v>0</v>
      </c>
    </row>
    <row r="2792" spans="5:11" x14ac:dyDescent="0.35">
      <c r="E2792" s="9" t="str">
        <v>EPSG</v>
      </c>
      <c r="F2792" s="7" t="str">
        <v>5635</v>
      </c>
      <c r="G2792" t="str">
        <v>ProjectedCrs</v>
      </c>
      <c r="H2792" t="str">
        <v>Lambert Azimuthal Equal Area</v>
      </c>
      <c r="I2792" t="str">
        <v>REGCAN95 / LAEA Europe</v>
      </c>
      <c r="J2792" t="str">
        <v>Spain - Canary Islands onshore and offshore.</v>
      </c>
      <c r="K2792" s="11">
        <v>0</v>
      </c>
    </row>
    <row r="2793" spans="5:11" x14ac:dyDescent="0.35">
      <c r="E2793" s="9" t="str">
        <v>EPSG</v>
      </c>
      <c r="F2793" s="7" t="str">
        <v>5636</v>
      </c>
      <c r="G2793" t="str">
        <v>ProjectedCrs</v>
      </c>
      <c r="H2793" t="str">
        <v>Lambert Azimuthal Equal Area</v>
      </c>
      <c r="I2793" t="str">
        <v>TUREF / LAEA Europe</v>
      </c>
      <c r="J2793" t="str">
        <v>Türkiye (Turkey) - onshore and offshore.</v>
      </c>
      <c r="K2793" s="11">
        <v>0</v>
      </c>
    </row>
    <row r="2794" spans="5:11" x14ac:dyDescent="0.35">
      <c r="E2794" s="9" t="str">
        <v>EPSG</v>
      </c>
      <c r="F2794" s="7" t="str">
        <v>5637</v>
      </c>
      <c r="G2794" t="str">
        <v>ProjectedCrs</v>
      </c>
      <c r="H2794" t="str">
        <v>Lambert Conic Conformal (2SP)</v>
      </c>
      <c r="I2794" t="str">
        <v>TUREF / LCC Europe</v>
      </c>
      <c r="J2794" t="str">
        <v>Türkiye (Turkey) - onshore and offshore.</v>
      </c>
      <c r="K2794" s="11">
        <v>0</v>
      </c>
    </row>
    <row r="2795" spans="5:11" x14ac:dyDescent="0.35">
      <c r="E2795" s="9" t="str">
        <v>EPSG</v>
      </c>
      <c r="F2795" s="7" t="str">
        <v>5638</v>
      </c>
      <c r="G2795" t="str">
        <v>ProjectedCrs</v>
      </c>
      <c r="H2795" t="str">
        <v>Lambert Azimuthal Equal Area</v>
      </c>
      <c r="I2795" t="str">
        <v>ISN2004 / LAEA Europe</v>
      </c>
      <c r="J2795" t="str">
        <v>Iceland - onshore and offshore.</v>
      </c>
      <c r="K2795" s="11">
        <v>0</v>
      </c>
    </row>
    <row r="2796" spans="5:11" x14ac:dyDescent="0.35">
      <c r="E2796" s="9" t="str">
        <v>EPSG</v>
      </c>
      <c r="F2796" s="7" t="str">
        <v>5639</v>
      </c>
      <c r="G2796" t="str">
        <v>ProjectedCrs</v>
      </c>
      <c r="H2796" t="str">
        <v>Lambert Conic Conformal (2SP)</v>
      </c>
      <c r="I2796" t="str">
        <v>ISN2004 / LCC Europe</v>
      </c>
      <c r="J2796" t="str">
        <v>Iceland - onshore and offshore.</v>
      </c>
      <c r="K2796" s="11">
        <v>0</v>
      </c>
    </row>
    <row r="2797" spans="5:11" x14ac:dyDescent="0.35">
      <c r="E2797" s="9" t="str">
        <v>EPSG</v>
      </c>
      <c r="F2797" s="7" t="str">
        <v>5641</v>
      </c>
      <c r="G2797" t="str">
        <v>ProjectedCrs</v>
      </c>
      <c r="H2797" t="str">
        <v>Mercator (variant B)</v>
      </c>
      <c r="I2797" t="str">
        <v>SIRGAS 2000 / Brazil Mercator</v>
      </c>
      <c r="J2797" t="str">
        <v>Brazil - offshore - equatorial margin.</v>
      </c>
      <c r="K2797" s="11">
        <v>0</v>
      </c>
    </row>
    <row r="2798" spans="5:11" x14ac:dyDescent="0.35">
      <c r="E2798" s="9" t="str">
        <v>EPSG</v>
      </c>
      <c r="F2798" s="7" t="str">
        <v>5643</v>
      </c>
      <c r="G2798" t="str">
        <v>ProjectedCrs</v>
      </c>
      <c r="H2798" t="str">
        <v>Lambert Conic Conformal (2SP)</v>
      </c>
      <c r="I2798" t="str">
        <v>ED50 / SPBA LCC</v>
      </c>
      <c r="J2798" t="str">
        <v>Europe - South Permian basin.</v>
      </c>
      <c r="K2798" s="11">
        <v>0</v>
      </c>
    </row>
    <row r="2799" spans="5:11" x14ac:dyDescent="0.35">
      <c r="E2799" s="9" t="str">
        <v>EPSG</v>
      </c>
      <c r="F2799" s="7" t="str">
        <v>5644</v>
      </c>
      <c r="G2799" t="str">
        <v>ProjectedCrs</v>
      </c>
      <c r="H2799" t="str">
        <v>Transverse Mercator</v>
      </c>
      <c r="I2799" t="str">
        <v>RGR92 / UTM zone 39S</v>
      </c>
      <c r="J2799" t="str">
        <v>Reunion - offshore - west of 54°E.</v>
      </c>
      <c r="K2799" s="11">
        <v>0</v>
      </c>
    </row>
    <row r="2800" spans="5:11" x14ac:dyDescent="0.35">
      <c r="E2800" s="9" t="str">
        <v>EPSG</v>
      </c>
      <c r="F2800" s="7" t="str">
        <v>5646</v>
      </c>
      <c r="G2800" t="str">
        <v>ProjectedCrs</v>
      </c>
      <c r="H2800" t="str">
        <v>Transverse Mercator</v>
      </c>
      <c r="I2800" t="str">
        <v>NAD83 / Vermont (ftUS)</v>
      </c>
      <c r="J2800" t="str">
        <v>United States (USA) - Vermont - counties of Addison; Bennington; Caledonia; Chittenden; Essex; Franklin; Grand Isle; Lamoille; Orange; Orleans; Rutland; Washington; Windham; Windsor.</v>
      </c>
      <c r="K2800" s="11">
        <v>0</v>
      </c>
    </row>
    <row r="2801" spans="5:11" x14ac:dyDescent="0.35">
      <c r="E2801" s="9" t="str">
        <v>EPSG</v>
      </c>
      <c r="F2801" s="7" t="str">
        <v>5649</v>
      </c>
      <c r="G2801" t="str">
        <v>ProjectedCrs</v>
      </c>
      <c r="H2801" t="str">
        <v>Transverse Mercator</v>
      </c>
      <c r="I2801" t="str">
        <v>ETRS89 / UTM zone 31N (zE-N)</v>
      </c>
      <c r="J2801" t="str">
        <v>Germany - onshore and offshore west of 6°E.</v>
      </c>
      <c r="K2801" s="11">
        <v>0</v>
      </c>
    </row>
    <row r="2802" spans="5:11" x14ac:dyDescent="0.35">
      <c r="E2802" s="9" t="str">
        <v>EPSG</v>
      </c>
      <c r="F2802" s="7" t="str">
        <v>5650</v>
      </c>
      <c r="G2802" t="str">
        <v>ProjectedCrs</v>
      </c>
      <c r="H2802" t="str">
        <v>Transverse Mercator</v>
      </c>
      <c r="I2802" t="str">
        <v>ETRS89 / UTM zone 33N (zE-N)</v>
      </c>
      <c r="J2802" t="str">
        <v>Germany - onshore and offshore east of 12°E, together with that part of Brandenburg state west of 12°E - Bayern, Berlin, Brandenburg (all state), Mecklenburg-Vorpommern, Sachsen, Sachsen-Anhalt, Thuringen.</v>
      </c>
      <c r="K2802" s="11">
        <v>0</v>
      </c>
    </row>
    <row r="2803" spans="5:11" x14ac:dyDescent="0.35">
      <c r="E2803" s="9" t="str">
        <v>EPSG</v>
      </c>
      <c r="F2803" s="7" t="str">
        <v>5651</v>
      </c>
      <c r="G2803" t="str">
        <v>ProjectedCrs</v>
      </c>
      <c r="H2803" t="str">
        <v>Transverse Mercator</v>
      </c>
      <c r="I2803" t="str">
        <v>ETRS89 / UTM zone 31N (N-zE)</v>
      </c>
      <c r="J2803" t="str">
        <v>Germany - onshore and offshore west of 6°E.</v>
      </c>
      <c r="K2803" s="11">
        <v>0</v>
      </c>
    </row>
    <row r="2804" spans="5:11" x14ac:dyDescent="0.35">
      <c r="E2804" s="9" t="str">
        <v>EPSG</v>
      </c>
      <c r="F2804" s="7" t="str">
        <v>5652</v>
      </c>
      <c r="G2804" t="str">
        <v>ProjectedCrs</v>
      </c>
      <c r="H2804" t="str">
        <v>Transverse Mercator</v>
      </c>
      <c r="I2804" t="str">
        <v>ETRS89 / UTM zone 32N (N-zE)</v>
      </c>
      <c r="J2804" t="str">
        <v>Germany - onshore and offshore between 6°E and 12°E - Baden-Wurtemberg, Bayern, Bremen, Hamburg, Hessen, Mecklenburg-Vorpommern, Niedersachsen, Nordrhein-Westfalen, Rheinland-Pfalz, Saarland, Sachsen, Sachsen-Anhalt, Schleswig-Holstein, Thuringen.</v>
      </c>
      <c r="K2804" s="11">
        <v>0</v>
      </c>
    </row>
    <row r="2805" spans="5:11" x14ac:dyDescent="0.35">
      <c r="E2805" s="9" t="str">
        <v>EPSG</v>
      </c>
      <c r="F2805" s="7" t="str">
        <v>5653</v>
      </c>
      <c r="G2805" t="str">
        <v>ProjectedCrs</v>
      </c>
      <c r="H2805" t="str">
        <v>Transverse Mercator</v>
      </c>
      <c r="I2805" t="str">
        <v>ETRS89 / UTM zone 33N (N-zE)</v>
      </c>
      <c r="J2805" t="str">
        <v>Germany - onshore and offshore east of 12°E, together with that part of Brandenburg state west of 12°E - Bayern, Berlin, Brandenburg (all state), Mecklenburg-Vorpommern, Sachsen, Sachsen-Anhalt, Thuringen.</v>
      </c>
      <c r="K2805" s="11">
        <v>0</v>
      </c>
    </row>
    <row r="2806" spans="5:11" x14ac:dyDescent="0.35">
      <c r="E2806" s="9" t="str">
        <v>EPSG</v>
      </c>
      <c r="F2806" s="7" t="str">
        <v>5654</v>
      </c>
      <c r="G2806" t="str">
        <v>ProjectedCrs</v>
      </c>
      <c r="H2806" t="str">
        <v>Transverse Mercator</v>
      </c>
      <c r="I2806" t="str">
        <v>NAD83(HARN) / Vermont (ftUS)</v>
      </c>
      <c r="J2806" t="str">
        <v>United States (USA) - Vermont - counties of Addison; Bennington; Caledonia; Chittenden; Essex; Franklin; Grand Isle; Lamoille; Orange; Orleans; Rutland; Washington; Windham; Windsor.</v>
      </c>
      <c r="K2806" s="11">
        <v>0</v>
      </c>
    </row>
    <row r="2807" spans="5:11" x14ac:dyDescent="0.35">
      <c r="E2807" s="9" t="str">
        <v>EPSG</v>
      </c>
      <c r="F2807" s="7" t="str">
        <v>5655</v>
      </c>
      <c r="G2807" t="str">
        <v>ProjectedCrs</v>
      </c>
      <c r="H2807" t="str">
        <v>Transverse Mercator</v>
      </c>
      <c r="I2807" t="str">
        <v>NAD83(NSRS2007) / Vermont (ftUS)</v>
      </c>
      <c r="J2807" t="str">
        <v>United States (USA) - Vermont - counties of Addison; Bennington; Caledonia; Chittenden; Essex; Franklin; Grand Isle; Lamoille; Orange; Orleans; Rutland; Washington; Windham; Windsor.</v>
      </c>
      <c r="K2807" s="11">
        <v>0</v>
      </c>
    </row>
    <row r="2808" spans="5:11" x14ac:dyDescent="0.35">
      <c r="E2808" s="9" t="str">
        <v>EPSG</v>
      </c>
      <c r="F2808" s="7" t="str">
        <v>5659</v>
      </c>
      <c r="G2808" t="str">
        <v>ProjectedCrs</v>
      </c>
      <c r="H2808" t="str">
        <v>Transverse Mercator</v>
      </c>
      <c r="I2808" t="str">
        <v>Monte Mario / TM Emilia-Romagna</v>
      </c>
      <c r="J2808" t="str">
        <v>Italy - Emilia-Romagna region.</v>
      </c>
      <c r="K2808" s="11">
        <v>0</v>
      </c>
    </row>
    <row r="2809" spans="5:11" x14ac:dyDescent="0.35">
      <c r="E2809" s="9" t="str">
        <v>EPSG</v>
      </c>
      <c r="F2809" s="7" t="str">
        <v>5663</v>
      </c>
      <c r="G2809" t="str">
        <v>ProjectedCrs</v>
      </c>
      <c r="H2809" t="str">
        <v>Transverse Mercator</v>
      </c>
      <c r="I2809" t="str">
        <v>Pulkovo 1942(58) / Gauss-Kruger zone 3 (E-N)</v>
      </c>
      <c r="J2809" t="str">
        <v>Germany (former DDR) - onshore east of 12°E. Poland - onshore west of 18°E. Czechia, Hungary and Slovakia - west of 18°E.</v>
      </c>
      <c r="K2809" s="11">
        <v>0</v>
      </c>
    </row>
    <row r="2810" spans="5:11" x14ac:dyDescent="0.35">
      <c r="E2810" s="9" t="str">
        <v>EPSG</v>
      </c>
      <c r="F2810" s="7" t="str">
        <v>5664</v>
      </c>
      <c r="G2810" t="str">
        <v>ProjectedCrs</v>
      </c>
      <c r="H2810" t="str">
        <v>Transverse Mercator</v>
      </c>
      <c r="I2810" t="str">
        <v>Pulkovo 1942(83) / Gauss-Kruger zone 2 (E-N)</v>
      </c>
      <c r="J2810" t="str">
        <v>Germany - states of former East Germany - west of 12°E.</v>
      </c>
      <c r="K2810" s="11">
        <v>0</v>
      </c>
    </row>
    <row r="2811" spans="5:11" x14ac:dyDescent="0.35">
      <c r="E2811" s="9" t="str">
        <v>EPSG</v>
      </c>
      <c r="F2811" s="7" t="str">
        <v>5665</v>
      </c>
      <c r="G2811" t="str">
        <v>ProjectedCrs</v>
      </c>
      <c r="H2811" t="str">
        <v>Transverse Mercator</v>
      </c>
      <c r="I2811" t="str">
        <v>Pulkovo 1942(83) / Gauss-Kruger zone 3 (E-N)</v>
      </c>
      <c r="J2811" t="str">
        <v>Germany (former DDR) - onshore east of 12°E. Czechia, Hungary and Slovakia - west of 18°E.</v>
      </c>
      <c r="K2811" s="11">
        <v>0</v>
      </c>
    </row>
    <row r="2812" spans="5:11" x14ac:dyDescent="0.35">
      <c r="E2812" s="9" t="str">
        <v>EPSG</v>
      </c>
      <c r="F2812" s="7" t="str">
        <v>5666</v>
      </c>
      <c r="G2812" t="str">
        <v>ProjectedCrs</v>
      </c>
      <c r="H2812" t="str">
        <v>Transverse Mercator</v>
      </c>
      <c r="I2812" t="str">
        <v>PD/83 / 3-degree Gauss-Kruger zone 3 (E-N)</v>
      </c>
      <c r="J2812" t="str">
        <v>Germany - Thuringen - west of 10°30'E.</v>
      </c>
      <c r="K2812" s="11">
        <v>0</v>
      </c>
    </row>
    <row r="2813" spans="5:11" x14ac:dyDescent="0.35">
      <c r="E2813" s="9" t="str">
        <v>EPSG</v>
      </c>
      <c r="F2813" s="7" t="str">
        <v>5667</v>
      </c>
      <c r="G2813" t="str">
        <v>ProjectedCrs</v>
      </c>
      <c r="H2813" t="str">
        <v>Transverse Mercator</v>
      </c>
      <c r="I2813" t="str">
        <v>PD/83 / 3-degree Gauss-Kruger zone 4 (E-N)</v>
      </c>
      <c r="J2813" t="str">
        <v>Germany - Thuringen - east of 10°30'E.</v>
      </c>
      <c r="K2813" s="11">
        <v>0</v>
      </c>
    </row>
    <row r="2814" spans="5:11" x14ac:dyDescent="0.35">
      <c r="E2814" s="9" t="str">
        <v>EPSG</v>
      </c>
      <c r="F2814" s="7" t="str">
        <v>5668</v>
      </c>
      <c r="G2814" t="str">
        <v>ProjectedCrs</v>
      </c>
      <c r="H2814" t="str">
        <v>Transverse Mercator</v>
      </c>
      <c r="I2814" t="str">
        <v>RD/83 / 3-degree Gauss-Kruger zone 4 (E-N)</v>
      </c>
      <c r="J2814" t="str">
        <v>Germany - Sachsen - west of 13°30'E.</v>
      </c>
      <c r="K2814" s="11">
        <v>0</v>
      </c>
    </row>
    <row r="2815" spans="5:11" x14ac:dyDescent="0.35">
      <c r="E2815" s="9" t="str">
        <v>EPSG</v>
      </c>
      <c r="F2815" s="7" t="str">
        <v>5669</v>
      </c>
      <c r="G2815" t="str">
        <v>ProjectedCrs</v>
      </c>
      <c r="H2815" t="str">
        <v>Transverse Mercator</v>
      </c>
      <c r="I2815" t="str">
        <v>RD/83 / 3-degree Gauss-Kruger zone 5 (E-N)</v>
      </c>
      <c r="J2815" t="str">
        <v>Germany - Sachsen - east of 13°30'E.</v>
      </c>
      <c r="K2815" s="11">
        <v>0</v>
      </c>
    </row>
    <row r="2816" spans="5:11" x14ac:dyDescent="0.35">
      <c r="E2816" s="9" t="str">
        <v>EPSG</v>
      </c>
      <c r="F2816" s="7" t="str">
        <v>5670</v>
      </c>
      <c r="G2816" t="str">
        <v>ProjectedCrs</v>
      </c>
      <c r="H2816" t="str">
        <v>Transverse Mercator</v>
      </c>
      <c r="I2816" t="str">
        <v>Pulkovo 1942(58) / 3-degree Gauss-Kruger zone 3 (E-N)</v>
      </c>
      <c r="J2816" t="str">
        <v>Germany - states of former East Germany - west of 10°30'E - Thuringen.</v>
      </c>
      <c r="K2816" s="11">
        <v>0</v>
      </c>
    </row>
    <row r="2817" spans="5:11" x14ac:dyDescent="0.35">
      <c r="E2817" s="9" t="str">
        <v>EPSG</v>
      </c>
      <c r="F2817" s="7" t="str">
        <v>5671</v>
      </c>
      <c r="G2817" t="str">
        <v>ProjectedCrs</v>
      </c>
      <c r="H2817" t="str">
        <v>Transverse Mercator</v>
      </c>
      <c r="I2817" t="str">
        <v>Pulkovo 1942(58) / 3-degree Gauss-Kruger zone 4 (E-N)</v>
      </c>
      <c r="J2817" t="str">
        <v>Czechia - west of 13°30'E. Germany - states of former East Germany onshore - between 10°30'E and 13°30'E - Brandenburg; Mecklenburg-Vorpommern; Sachsen; Sachsen-Anhalt; Thuringen.</v>
      </c>
      <c r="K2817" s="11">
        <v>0</v>
      </c>
    </row>
    <row r="2818" spans="5:11" x14ac:dyDescent="0.35">
      <c r="E2818" s="9" t="str">
        <v>EPSG</v>
      </c>
      <c r="F2818" s="7" t="str">
        <v>5672</v>
      </c>
      <c r="G2818" t="str">
        <v>ProjectedCrs</v>
      </c>
      <c r="H2818" t="str">
        <v>Transverse Mercator</v>
      </c>
      <c r="I2818" t="str">
        <v>Pulkovo 1942(58) / 3-degree Gauss-Kruger zone 5 (E-N)</v>
      </c>
      <c r="J2818" t="str">
        <v>Czechia - between 13°30'E and 16°30'E. Germany - states of former East Germany onshore - east of 13°30'E - Brandenburg; Mecklenburg-Vorpommern; Sachsen. Hungary and Poland - onshore west of 16°30'E.</v>
      </c>
      <c r="K2818" s="11">
        <v>0</v>
      </c>
    </row>
    <row r="2819" spans="5:11" x14ac:dyDescent="0.35">
      <c r="E2819" s="9" t="str">
        <v>EPSG</v>
      </c>
      <c r="F2819" s="7" t="str">
        <v>5673</v>
      </c>
      <c r="G2819" t="str">
        <v>ProjectedCrs</v>
      </c>
      <c r="H2819" t="str">
        <v>Transverse Mercator</v>
      </c>
      <c r="I2819" t="str">
        <v>Pulkovo 1942(83) / 3-degree Gauss-Kruger zone 3 (E-N)</v>
      </c>
      <c r="J2819" t="str">
        <v>Germany - states of former East Germany - west of 10°30'E - Thuringen.</v>
      </c>
      <c r="K2819" s="11">
        <v>0</v>
      </c>
    </row>
    <row r="2820" spans="5:11" x14ac:dyDescent="0.35">
      <c r="E2820" s="9" t="str">
        <v>EPSG</v>
      </c>
      <c r="F2820" s="7" t="str">
        <v>5674</v>
      </c>
      <c r="G2820" t="str">
        <v>ProjectedCrs</v>
      </c>
      <c r="H2820" t="str">
        <v>Transverse Mercator</v>
      </c>
      <c r="I2820" t="str">
        <v>Pulkovo 1942(83) / 3-degree Gauss-Kruger zone 4 (E-N)</v>
      </c>
      <c r="J2820" t="str">
        <v>Czechia - west of 13°30'E. Germany - states of former East Germany onshore - between 10°30'E and 13°30'E - Brandenburg; Mecklenburg-Vorpommern; Sachsen; Sachsen-Anhalt; Thuringen.</v>
      </c>
      <c r="K2820" s="11">
        <v>0</v>
      </c>
    </row>
    <row r="2821" spans="5:11" x14ac:dyDescent="0.35">
      <c r="E2821" s="9" t="str">
        <v>EPSG</v>
      </c>
      <c r="F2821" s="7" t="str">
        <v>5675</v>
      </c>
      <c r="G2821" t="str">
        <v>ProjectedCrs</v>
      </c>
      <c r="H2821" t="str">
        <v>Transverse Mercator</v>
      </c>
      <c r="I2821" t="str">
        <v>Pulkovo 1942(83) / 3-degree Gauss-Kruger zone 5 (E-N)</v>
      </c>
      <c r="J2821" t="str">
        <v>Czechia - between 13°30'E and 16°30'E. Germany - states of former East Germany onshore east of 13°30'E - Brandenburg; Mecklenburg-Vorpommern; Sachsen. Hungary - west of 16°30'E.</v>
      </c>
      <c r="K2821" s="11">
        <v>0</v>
      </c>
    </row>
    <row r="2822" spans="5:11" x14ac:dyDescent="0.35">
      <c r="E2822" s="9" t="str">
        <v>EPSG</v>
      </c>
      <c r="F2822" s="7" t="str">
        <v>5676</v>
      </c>
      <c r="G2822" t="str">
        <v>ProjectedCrs</v>
      </c>
      <c r="H2822" t="str">
        <v>Transverse Mercator</v>
      </c>
      <c r="I2822" t="str">
        <v>DHDN / 3-degree Gauss-Kruger zone 2 (E-N)</v>
      </c>
      <c r="J2822" t="str">
        <v>Germany - former West Germany onshore west of 7°30'E - states of Niedersachsen, Nordrhein-Westfalen, Rheinland-Pfalz, Saarland.</v>
      </c>
      <c r="K2822" s="11">
        <v>0</v>
      </c>
    </row>
    <row r="2823" spans="5:11" x14ac:dyDescent="0.35">
      <c r="E2823" s="9" t="str">
        <v>EPSG</v>
      </c>
      <c r="F2823" s="7" t="str">
        <v>5677</v>
      </c>
      <c r="G2823" t="str">
        <v>ProjectedCrs</v>
      </c>
      <c r="H2823" t="str">
        <v>Transverse Mercator</v>
      </c>
      <c r="I2823" t="str">
        <v>DHDN / 3-degree Gauss-Kruger zone 3 (E-N)</v>
      </c>
      <c r="J2823" t="str">
        <v>Germany - former West Germany onshore between 7°30'E and 10°30'E - states of Baden-Wurtemberg, Bayern, Bremen, Hamberg, Hessen, Niedersachsen, Nordrhein-Westfalen, Rhineland-Pfalz, Schleswig-Holstein.</v>
      </c>
      <c r="K2823" s="11">
        <v>0</v>
      </c>
    </row>
    <row r="2824" spans="5:11" x14ac:dyDescent="0.35">
      <c r="E2824" s="9" t="str">
        <v>EPSG</v>
      </c>
      <c r="F2824" s="7" t="str">
        <v>5678</v>
      </c>
      <c r="G2824" t="str">
        <v>ProjectedCrs</v>
      </c>
      <c r="H2824" t="str">
        <v>Transverse Mercator</v>
      </c>
      <c r="I2824" t="str">
        <v>DHDN / 3-degree Gauss-Kruger zone 4 (E-N)</v>
      </c>
      <c r="J2824" t="str">
        <v>Germany - former West Germany onshore between 10°30'E and 13°30'E - states of Bayern, Berlin, Niedersachsen, Schleswig-Holstein.</v>
      </c>
      <c r="K2824" s="11">
        <v>0</v>
      </c>
    </row>
    <row r="2825" spans="5:11" x14ac:dyDescent="0.35">
      <c r="E2825" s="9" t="str">
        <v>EPSG</v>
      </c>
      <c r="F2825" s="7" t="str">
        <v>5679</v>
      </c>
      <c r="G2825" t="str">
        <v>ProjectedCrs</v>
      </c>
      <c r="H2825" t="str">
        <v>Transverse Mercator</v>
      </c>
      <c r="I2825" t="str">
        <v>DHDN / 3-degree Gauss-Kruger zone 5 (E-N)</v>
      </c>
      <c r="J2825" t="str">
        <v>Germany - former West Germany onshore east of 13°30'E - state of Bayern.</v>
      </c>
      <c r="K2825" s="11">
        <v>0</v>
      </c>
    </row>
    <row r="2826" spans="5:11" x14ac:dyDescent="0.35">
      <c r="E2826" s="9" t="str">
        <v>EPSG</v>
      </c>
      <c r="F2826" s="7" t="str">
        <v>5680</v>
      </c>
      <c r="G2826" t="str">
        <v>ProjectedCrs</v>
      </c>
      <c r="H2826" t="str">
        <v>Transverse Mercator</v>
      </c>
      <c r="I2826" t="str">
        <v>DHDN / 3-degree Gauss-Kruger zone 1 (E-N)</v>
      </c>
      <c r="J2826" t="str">
        <v>Germany - offshore North Sea west of 4°30'E.</v>
      </c>
      <c r="K2826" s="11">
        <v>0</v>
      </c>
    </row>
    <row r="2827" spans="5:11" x14ac:dyDescent="0.35">
      <c r="E2827" s="9" t="str">
        <v>EPSG</v>
      </c>
      <c r="F2827" s="7" t="str">
        <v>5681</v>
      </c>
      <c r="G2827" t="str">
        <v>Geographic2DCrs</v>
      </c>
      <c r="H2827" t="str">
        <v>&lt;undefined&gt;</v>
      </c>
      <c r="I2827" t="str">
        <v>DB_REF</v>
      </c>
      <c r="J2827" t="str">
        <v>Germany - onshore - states of Baden-Wurtemberg, Bayern, Berlin, Brandenburg, Bremen, Hamburg, Hessen, Mecklenburg-Vorpommern, Niedersachsen, Nordrhein-Westfalen, Rheinland-Pfalz, Saarland, Sachsen, Sachsen-Anhalt, Schleswig-Holstein, Thuringen.</v>
      </c>
      <c r="K2827" s="11">
        <v>0</v>
      </c>
    </row>
    <row r="2828" spans="5:11" x14ac:dyDescent="0.35">
      <c r="E2828" s="9" t="str">
        <v>EPSG</v>
      </c>
      <c r="F2828" s="7" t="str">
        <v>5682</v>
      </c>
      <c r="G2828" t="str">
        <v>ProjectedCrs</v>
      </c>
      <c r="H2828" t="str">
        <v>Transverse Mercator</v>
      </c>
      <c r="I2828" t="str">
        <v>DB_REF / 3-degree Gauss-Kruger zone 2 (E-N)</v>
      </c>
      <c r="J2828" t="str">
        <v>Germany - former West Germany onshore west of 7°30'E - states of Niedersachsen, Nordrhein-Westfalen, Rheinland-Pfalz, Saarland.</v>
      </c>
      <c r="K2828" s="11">
        <v>0</v>
      </c>
    </row>
    <row r="2829" spans="5:11" x14ac:dyDescent="0.35">
      <c r="E2829" s="9" t="str">
        <v>EPSG</v>
      </c>
      <c r="F2829" s="7" t="str">
        <v>5683</v>
      </c>
      <c r="G2829" t="str">
        <v>ProjectedCrs</v>
      </c>
      <c r="H2829" t="str">
        <v>Transverse Mercator</v>
      </c>
      <c r="I2829" t="str">
        <v>DB_REF / 3-degree Gauss-Kruger zone 3 (E-N)</v>
      </c>
      <c r="J2829" t="str">
        <v>Germany - onshore between 7°30'E and 10°30'E.</v>
      </c>
      <c r="K2829" s="11">
        <v>0</v>
      </c>
    </row>
    <row r="2830" spans="5:11" x14ac:dyDescent="0.35">
      <c r="E2830" s="9" t="str">
        <v>EPSG</v>
      </c>
      <c r="F2830" s="7" t="str">
        <v>5684</v>
      </c>
      <c r="G2830" t="str">
        <v>ProjectedCrs</v>
      </c>
      <c r="H2830" t="str">
        <v>Transverse Mercator</v>
      </c>
      <c r="I2830" t="str">
        <v>DB_REF / 3-degree Gauss-Kruger zone 4 (E-N)</v>
      </c>
      <c r="J2830" t="str">
        <v>Germany - onshore between 10°30'E and 13°30'E.</v>
      </c>
      <c r="K2830" s="11">
        <v>0</v>
      </c>
    </row>
    <row r="2831" spans="5:11" x14ac:dyDescent="0.35">
      <c r="E2831" s="9" t="str">
        <v>EPSG</v>
      </c>
      <c r="F2831" s="7" t="str">
        <v>5685</v>
      </c>
      <c r="G2831" t="str">
        <v>ProjectedCrs</v>
      </c>
      <c r="H2831" t="str">
        <v>Transverse Mercator</v>
      </c>
      <c r="I2831" t="str">
        <v>DB_REF / 3-degree Gauss-Kruger zone 5 (E-N)</v>
      </c>
      <c r="J2831" t="str">
        <v>Germany - onshore east of 13°30'E.</v>
      </c>
      <c r="K2831" s="11">
        <v>0</v>
      </c>
    </row>
    <row r="2832" spans="5:11" x14ac:dyDescent="0.35">
      <c r="E2832" s="9" t="str">
        <v>EPSG</v>
      </c>
      <c r="F2832" s="7" t="str">
        <v>5698</v>
      </c>
      <c r="G2832" t="str">
        <v>CompoundCrs</v>
      </c>
      <c r="H2832" t="str">
        <v>&lt;undefined&gt;</v>
      </c>
      <c r="I2832" t="str">
        <v>RGF93 v1 / Lambert-93 + NGF-IGN69 height</v>
      </c>
      <c r="J2832" t="str">
        <v>France - mainland onshore.</v>
      </c>
      <c r="K2832" s="11">
        <v>0</v>
      </c>
    </row>
    <row r="2833" spans="5:11" x14ac:dyDescent="0.35">
      <c r="E2833" s="9" t="str">
        <v>EPSG</v>
      </c>
      <c r="F2833" s="7" t="str">
        <v>5699</v>
      </c>
      <c r="G2833" t="str">
        <v>CompoundCrs</v>
      </c>
      <c r="H2833" t="str">
        <v>&lt;undefined&gt;</v>
      </c>
      <c r="I2833" t="str">
        <v>RGF93 v1 / Lambert-93 + NGF-IGN78 height</v>
      </c>
      <c r="J2833" t="str">
        <v>France - Corsica onshore.</v>
      </c>
      <c r="K2833" s="11">
        <v>0</v>
      </c>
    </row>
    <row r="2834" spans="5:11" x14ac:dyDescent="0.35">
      <c r="E2834" s="9" t="str">
        <v>EPSG</v>
      </c>
      <c r="F2834" s="7" t="str">
        <v>5700</v>
      </c>
      <c r="G2834" t="str">
        <v>ProjectedCrs</v>
      </c>
      <c r="H2834" t="str">
        <v>Transverse Mercator</v>
      </c>
      <c r="I2834" t="str">
        <v>NZGD2000 / UTM zone 1S</v>
      </c>
      <c r="J2834" t="str">
        <v>New Zealand - offshore between 180°W and 174°W.</v>
      </c>
      <c r="K2834" s="11">
        <v>0</v>
      </c>
    </row>
    <row r="2835" spans="5:11" x14ac:dyDescent="0.35">
      <c r="E2835" s="9" t="str">
        <v>EPSG</v>
      </c>
      <c r="F2835" s="7" t="str">
        <v>5701</v>
      </c>
      <c r="G2835" t="str">
        <v>VerticalCrs</v>
      </c>
      <c r="H2835" t="str">
        <v>&lt;undefined&gt;</v>
      </c>
      <c r="I2835" t="str">
        <v>ODN height</v>
      </c>
      <c r="J2835" t="str">
        <v>United Kingdom (UK) - Great Britain onshore - England and Wales - mainland; Scotland - mainland and Inner Hebrides.</v>
      </c>
      <c r="K2835" s="11">
        <v>1</v>
      </c>
    </row>
    <row r="2836" spans="5:11" x14ac:dyDescent="0.35">
      <c r="E2836" s="9" t="str">
        <v>EPSG</v>
      </c>
      <c r="F2836" s="7" t="str">
        <v>5702</v>
      </c>
      <c r="G2836" t="str">
        <v>VerticalCrs</v>
      </c>
      <c r="H2836" t="str">
        <v>&lt;undefined&gt;</v>
      </c>
      <c r="I2836" t="str">
        <v>NGVD29 height (ftUS)</v>
      </c>
      <c r="J2836"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836" s="11">
        <v>0</v>
      </c>
    </row>
    <row r="2837" spans="5:11" x14ac:dyDescent="0.35">
      <c r="E2837" s="9" t="str">
        <v>EPSG</v>
      </c>
      <c r="F2837" s="7" t="str">
        <v>5703</v>
      </c>
      <c r="G2837" t="str">
        <v>VerticalCrs</v>
      </c>
      <c r="H2837" t="str">
        <v>&lt;undefined&gt;</v>
      </c>
      <c r="I2837" t="str">
        <v>NAVD88 height</v>
      </c>
      <c r="J2837" t="str">
        <v>Mexico - onshore. United States (USA) - CONUS and Alaska - onshore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2837" s="11">
        <v>8</v>
      </c>
    </row>
    <row r="2838" spans="5:11" x14ac:dyDescent="0.35">
      <c r="E2838" s="9" t="str">
        <v>EPSG</v>
      </c>
      <c r="F2838" s="7" t="str">
        <v>5705</v>
      </c>
      <c r="G2838" t="str">
        <v>VerticalCrs</v>
      </c>
      <c r="H2838" t="str">
        <v>&lt;undefined&gt;</v>
      </c>
      <c r="I2838" t="str">
        <v>Baltic 1977 height</v>
      </c>
      <c r="J2838" t="str">
        <v>Armenia; Azerbaijan; Belarus; Estonia - onshore; Georgia - onshore; Kazakhstan; Kyrgyzstan; Latvia - onshore; Lithuania - onshore; Moldova; Russian Federation - onshore; Tajikistan; Turkmenistan; Ukraine - onshore; Uzbekistan.</v>
      </c>
      <c r="K2838" s="11">
        <v>0</v>
      </c>
    </row>
    <row r="2839" spans="5:11" x14ac:dyDescent="0.35">
      <c r="E2839" s="9" t="str">
        <v>EPSG</v>
      </c>
      <c r="F2839" s="7" t="str">
        <v>5706</v>
      </c>
      <c r="G2839" t="str">
        <v>VerticalCrs</v>
      </c>
      <c r="H2839" t="str">
        <v>&lt;undefined&gt;</v>
      </c>
      <c r="I2839" t="str">
        <v>Caspian depth</v>
      </c>
      <c r="J2839" t="str">
        <v>Azerbaijan - offshore; Kazakhstan - offshore; Russian Federation - Caspian Sea; Turkmenistan - offshore.</v>
      </c>
      <c r="K2839" s="11">
        <v>0</v>
      </c>
    </row>
    <row r="2840" spans="5:11" x14ac:dyDescent="0.35">
      <c r="E2840" s="9" t="str">
        <v>EPSG</v>
      </c>
      <c r="F2840" s="7" t="str">
        <v>5707</v>
      </c>
      <c r="G2840" t="str">
        <v>CompoundCrs</v>
      </c>
      <c r="H2840" t="str">
        <v>&lt;undefined&gt;</v>
      </c>
      <c r="I2840" t="str">
        <v>NTF (Paris) / Lambert zone I + NGF-IGN69 height</v>
      </c>
      <c r="J2840" t="str">
        <v>France mainland onshore north of 53.5 grads North (48°09'N).</v>
      </c>
      <c r="K2840" s="11">
        <v>0</v>
      </c>
    </row>
    <row r="2841" spans="5:11" x14ac:dyDescent="0.35">
      <c r="E2841" s="9" t="str">
        <v>EPSG</v>
      </c>
      <c r="F2841" s="7" t="str">
        <v>5708</v>
      </c>
      <c r="G2841" t="str">
        <v>CompoundCrs</v>
      </c>
      <c r="H2841" t="str">
        <v>&lt;undefined&gt;</v>
      </c>
      <c r="I2841" t="str">
        <v>NTF (Paris) / Lambert zone IV + NGF-IGN78 height</v>
      </c>
      <c r="J2841" t="str">
        <v>France - Corsica onshore.</v>
      </c>
      <c r="K2841" s="11">
        <v>0</v>
      </c>
    </row>
    <row r="2842" spans="5:11" x14ac:dyDescent="0.35">
      <c r="E2842" s="9" t="str">
        <v>EPSG</v>
      </c>
      <c r="F2842" s="7" t="str">
        <v>5709</v>
      </c>
      <c r="G2842" t="str">
        <v>VerticalCrs</v>
      </c>
      <c r="H2842" t="str">
        <v>&lt;undefined&gt;</v>
      </c>
      <c r="I2842" t="str">
        <v>NAP height</v>
      </c>
      <c r="J2842" t="str">
        <v>Netherlands - onshore and offshore.</v>
      </c>
      <c r="K2842" s="11">
        <v>0</v>
      </c>
    </row>
    <row r="2843" spans="5:11" x14ac:dyDescent="0.35">
      <c r="E2843" s="9" t="str">
        <v>EPSG</v>
      </c>
      <c r="F2843" s="7" t="str">
        <v>5710</v>
      </c>
      <c r="G2843" t="str">
        <v>VerticalCrs</v>
      </c>
      <c r="H2843" t="str">
        <v>&lt;undefined&gt;</v>
      </c>
      <c r="I2843" t="str">
        <v>Ostend height</v>
      </c>
      <c r="J2843" t="str">
        <v>Belgium - onshore.</v>
      </c>
      <c r="K2843" s="11">
        <v>0</v>
      </c>
    </row>
    <row r="2844" spans="5:11" x14ac:dyDescent="0.35">
      <c r="E2844" s="9" t="str">
        <v>EPSG</v>
      </c>
      <c r="F2844" s="7" t="str">
        <v>5711</v>
      </c>
      <c r="G2844" t="str">
        <v>VerticalCrs</v>
      </c>
      <c r="H2844" t="str">
        <v>&lt;undefined&gt;</v>
      </c>
      <c r="I2844" t="str">
        <v>AHD height</v>
      </c>
      <c r="J2844" t="str">
        <v>Australia - Australian Capital Territory, New South Wales, Northern Territory, Queensland, South Australia, Tasmania, Western Australia and Victoria - onshore. Christmas Island - onshore. Cocos and Keeling Islands - onshore.</v>
      </c>
      <c r="K2844" s="11">
        <v>0</v>
      </c>
    </row>
    <row r="2845" spans="5:11" x14ac:dyDescent="0.35">
      <c r="E2845" s="9" t="str">
        <v>EPSG</v>
      </c>
      <c r="F2845" s="7" t="str">
        <v>5712</v>
      </c>
      <c r="G2845" t="str">
        <v>VerticalCrs</v>
      </c>
      <c r="H2845" t="str">
        <v>&lt;undefined&gt;</v>
      </c>
      <c r="I2845" t="str">
        <v>AHD (Tasmania) height</v>
      </c>
      <c r="J2845" t="str">
        <v>Australia - Tasmania mainland - onshore.</v>
      </c>
      <c r="K2845" s="11">
        <v>0</v>
      </c>
    </row>
    <row r="2846" spans="5:11" x14ac:dyDescent="0.35">
      <c r="E2846" s="9" t="str">
        <v>EPSG</v>
      </c>
      <c r="F2846" s="7" t="str">
        <v>5713</v>
      </c>
      <c r="G2846" t="str">
        <v>VerticalCrs</v>
      </c>
      <c r="H2846" t="str">
        <v>&lt;undefined&gt;</v>
      </c>
      <c r="I2846" t="str">
        <v>CGVD28 height</v>
      </c>
      <c r="J2846" t="str">
        <v>Canada - onshore - Alberta; British Columbia; Manitoba south of 59°N; New Brunswick; Newfoundland, Labrador between 52°50’N and 54°30’N; Northwest Territories south west of a line between 60°40’N, 110°W and the coast at 132°W; Nova Scotia; Ontario south of 52°20'N; Prince Edward Island; Quebec - mainland south of 55°N and west of 64°W, north of 55°N between 70°W and 66°W, coastal area between 66°W and 64°W, and Anticosta island; Saskatchewan south of 58°30’N; Yukon.</v>
      </c>
      <c r="K2846" s="11">
        <v>0</v>
      </c>
    </row>
    <row r="2847" spans="5:11" x14ac:dyDescent="0.35">
      <c r="E2847" s="9" t="str">
        <v>EPSG</v>
      </c>
      <c r="F2847" s="7" t="str">
        <v>5714</v>
      </c>
      <c r="G2847" t="str">
        <v>VerticalCrs</v>
      </c>
      <c r="H2847" t="str">
        <v>&lt;undefined&gt;</v>
      </c>
      <c r="I2847" t="str">
        <v>MSL height</v>
      </c>
      <c r="J2847" t="str">
        <v>World.</v>
      </c>
      <c r="K2847" s="11">
        <v>0</v>
      </c>
    </row>
    <row r="2848" spans="5:11" x14ac:dyDescent="0.35">
      <c r="E2848" s="9" t="str">
        <v>EPSG</v>
      </c>
      <c r="F2848" s="7" t="str">
        <v>5715</v>
      </c>
      <c r="G2848" t="str">
        <v>VerticalCrs</v>
      </c>
      <c r="H2848" t="str">
        <v>&lt;undefined&gt;</v>
      </c>
      <c r="I2848" t="str">
        <v>MSL depth</v>
      </c>
      <c r="J2848" t="str">
        <v>World.</v>
      </c>
      <c r="K2848" s="11">
        <v>0</v>
      </c>
    </row>
    <row r="2849" spans="5:11" x14ac:dyDescent="0.35">
      <c r="E2849" s="9" t="str">
        <v>EPSG</v>
      </c>
      <c r="F2849" s="7" t="str">
        <v>5716</v>
      </c>
      <c r="G2849" t="str">
        <v>VerticalCrs</v>
      </c>
      <c r="H2849" t="str">
        <v>&lt;undefined&gt;</v>
      </c>
      <c r="I2849" t="str">
        <v>Piraeus height</v>
      </c>
      <c r="J2849" t="str">
        <v>Greece - onshore.</v>
      </c>
      <c r="K2849" s="11">
        <v>0</v>
      </c>
    </row>
    <row r="2850" spans="5:11" x14ac:dyDescent="0.35">
      <c r="E2850" s="9" t="str">
        <v>EPSG</v>
      </c>
      <c r="F2850" s="7" t="str">
        <v>5717</v>
      </c>
      <c r="G2850" t="str">
        <v>VerticalCrs</v>
      </c>
      <c r="H2850" t="str">
        <v>&lt;undefined&gt;</v>
      </c>
      <c r="I2850" t="str">
        <v>N60 height</v>
      </c>
      <c r="J2850" t="str">
        <v>Finland - onshore.</v>
      </c>
      <c r="K2850" s="11">
        <v>0</v>
      </c>
    </row>
    <row r="2851" spans="5:11" x14ac:dyDescent="0.35">
      <c r="E2851" s="9" t="str">
        <v>EPSG</v>
      </c>
      <c r="F2851" s="7" t="str">
        <v>5718</v>
      </c>
      <c r="G2851" t="str">
        <v>VerticalCrs</v>
      </c>
      <c r="H2851" t="str">
        <v>&lt;undefined&gt;</v>
      </c>
      <c r="I2851" t="str">
        <v>RH70 height</v>
      </c>
      <c r="J2851" t="str">
        <v>Sweden - onshore.</v>
      </c>
      <c r="K2851" s="11">
        <v>0</v>
      </c>
    </row>
    <row r="2852" spans="5:11" x14ac:dyDescent="0.35">
      <c r="E2852" s="9" t="str">
        <v>EPSG</v>
      </c>
      <c r="F2852" s="7" t="str">
        <v>5719</v>
      </c>
      <c r="G2852" t="str">
        <v>VerticalCrs</v>
      </c>
      <c r="H2852" t="str">
        <v>&lt;undefined&gt;</v>
      </c>
      <c r="I2852" t="str">
        <v>NGF Lallemand height</v>
      </c>
      <c r="J2852" t="str">
        <v>France - mainland onshore.</v>
      </c>
      <c r="K2852" s="11">
        <v>0</v>
      </c>
    </row>
    <row r="2853" spans="5:11" x14ac:dyDescent="0.35">
      <c r="E2853" s="9" t="str">
        <v>EPSG</v>
      </c>
      <c r="F2853" s="7" t="str">
        <v>5720</v>
      </c>
      <c r="G2853" t="str">
        <v>VerticalCrs</v>
      </c>
      <c r="H2853" t="str">
        <v>&lt;undefined&gt;</v>
      </c>
      <c r="I2853" t="str">
        <v>NGF-IGN69 height</v>
      </c>
      <c r="J2853" t="str">
        <v>France - mainland onshore.</v>
      </c>
      <c r="K2853" s="11">
        <v>0</v>
      </c>
    </row>
    <row r="2854" spans="5:11" x14ac:dyDescent="0.35">
      <c r="E2854" s="9" t="str">
        <v>EPSG</v>
      </c>
      <c r="F2854" s="7" t="str">
        <v>5721</v>
      </c>
      <c r="G2854" t="str">
        <v>VerticalCrs</v>
      </c>
      <c r="H2854" t="str">
        <v>&lt;undefined&gt;</v>
      </c>
      <c r="I2854" t="str">
        <v>NGF-IGN78 height</v>
      </c>
      <c r="J2854" t="str">
        <v>France - Corsica onshore.</v>
      </c>
      <c r="K2854" s="11">
        <v>0</v>
      </c>
    </row>
    <row r="2855" spans="5:11" x14ac:dyDescent="0.35">
      <c r="E2855" s="9" t="str">
        <v>EPSG</v>
      </c>
      <c r="F2855" s="7" t="str">
        <v>5722</v>
      </c>
      <c r="G2855" t="str">
        <v>VerticalCrs</v>
      </c>
      <c r="H2855" t="str">
        <v>&lt;undefined&gt;</v>
      </c>
      <c r="I2855" t="str">
        <v>Maputo height</v>
      </c>
      <c r="J2855" t="str">
        <v>Mozambique - onshore.</v>
      </c>
      <c r="K2855" s="11">
        <v>0</v>
      </c>
    </row>
    <row r="2856" spans="5:11" x14ac:dyDescent="0.35">
      <c r="E2856" s="9" t="str">
        <v>EPSG</v>
      </c>
      <c r="F2856" s="7" t="str">
        <v>5723</v>
      </c>
      <c r="G2856" t="str">
        <v>VerticalCrs</v>
      </c>
      <c r="H2856" t="str">
        <v>&lt;undefined&gt;</v>
      </c>
      <c r="I2856" t="str">
        <v>JSLD69 height</v>
      </c>
      <c r="J2856" t="str">
        <v>Japan - onshore mainland - Honshu, Shikoku, Kyushu.</v>
      </c>
      <c r="K2856" s="11">
        <v>0</v>
      </c>
    </row>
    <row r="2857" spans="5:11" x14ac:dyDescent="0.35">
      <c r="E2857" s="9" t="str">
        <v>EPSG</v>
      </c>
      <c r="F2857" s="7" t="str">
        <v>5724</v>
      </c>
      <c r="G2857" t="str">
        <v>VerticalCrs</v>
      </c>
      <c r="H2857" t="str">
        <v>&lt;undefined&gt;</v>
      </c>
      <c r="I2857" t="str">
        <v>PHD93 height</v>
      </c>
      <c r="J2857" t="str">
        <v>Oman - onshore. Includes Musandam and the Kuria Muria (Al Hallaniyah) islands.</v>
      </c>
      <c r="K2857" s="11">
        <v>0</v>
      </c>
    </row>
    <row r="2858" spans="5:11" x14ac:dyDescent="0.35">
      <c r="E2858" s="9" t="str">
        <v>EPSG</v>
      </c>
      <c r="F2858" s="7" t="str">
        <v>5725</v>
      </c>
      <c r="G2858" t="str">
        <v>VerticalCrs</v>
      </c>
      <c r="H2858" t="str">
        <v>&lt;undefined&gt;</v>
      </c>
      <c r="I2858" t="str">
        <v>Fahud HD height</v>
      </c>
      <c r="J2858" t="str">
        <v>Oman - mainland onshore.</v>
      </c>
      <c r="K2858" s="11">
        <v>0</v>
      </c>
    </row>
    <row r="2859" spans="5:11" x14ac:dyDescent="0.35">
      <c r="E2859" s="9" t="str">
        <v>EPSG</v>
      </c>
      <c r="F2859" s="7" t="str">
        <v>5726</v>
      </c>
      <c r="G2859" t="str">
        <v>VerticalCrs</v>
      </c>
      <c r="H2859" t="str">
        <v>&lt;undefined&gt;</v>
      </c>
      <c r="I2859" t="str">
        <v>Ha Tien 1960 height</v>
      </c>
      <c r="J2859" t="str">
        <v>Cambodia - mainland onshore; Vietnam - mainland onshore.</v>
      </c>
      <c r="K2859" s="11">
        <v>0</v>
      </c>
    </row>
    <row r="2860" spans="5:11" x14ac:dyDescent="0.35">
      <c r="E2860" s="9" t="str">
        <v>EPSG</v>
      </c>
      <c r="F2860" s="7" t="str">
        <v>5727</v>
      </c>
      <c r="G2860" t="str">
        <v>VerticalCrs</v>
      </c>
      <c r="H2860" t="str">
        <v>&lt;undefined&gt;</v>
      </c>
      <c r="I2860" t="str">
        <v>Hon Dau 1992 height</v>
      </c>
      <c r="J2860" t="str">
        <v>Vietnam - mainland onshore.</v>
      </c>
      <c r="K2860" s="11">
        <v>0</v>
      </c>
    </row>
    <row r="2861" spans="5:11" x14ac:dyDescent="0.35">
      <c r="E2861" s="9" t="str">
        <v>EPSG</v>
      </c>
      <c r="F2861" s="7" t="str">
        <v>5728</v>
      </c>
      <c r="G2861" t="str">
        <v>VerticalCrs</v>
      </c>
      <c r="H2861" t="str">
        <v>&lt;undefined&gt;</v>
      </c>
      <c r="I2861" t="str">
        <v>LN02 height</v>
      </c>
      <c r="J2861" t="str">
        <v>Liechtenstein; Switzerland.</v>
      </c>
      <c r="K2861" s="11">
        <v>0</v>
      </c>
    </row>
    <row r="2862" spans="5:11" x14ac:dyDescent="0.35">
      <c r="E2862" s="9" t="str">
        <v>EPSG</v>
      </c>
      <c r="F2862" s="7" t="str">
        <v>5729</v>
      </c>
      <c r="G2862" t="str">
        <v>VerticalCrs</v>
      </c>
      <c r="H2862" t="str">
        <v>&lt;undefined&gt;</v>
      </c>
      <c r="I2862" t="str">
        <v>LHN95 height</v>
      </c>
      <c r="J2862" t="str">
        <v>Liechtenstein; Switzerland.</v>
      </c>
      <c r="K2862" s="11">
        <v>0</v>
      </c>
    </row>
    <row r="2863" spans="5:11" x14ac:dyDescent="0.35">
      <c r="E2863" s="9" t="str">
        <v>EPSG</v>
      </c>
      <c r="F2863" s="7" t="str">
        <v>5730</v>
      </c>
      <c r="G2863" t="str">
        <v>VerticalCrs</v>
      </c>
      <c r="H2863" t="str">
        <v>&lt;undefined&gt;</v>
      </c>
      <c r="I2863" t="str">
        <v>EVRF2000 height</v>
      </c>
      <c r="J2863" t="str">
        <v>Europe - onshore - Andorra; Austria; Belgium; Bosnia and Herzegovina; Croatia; Czechia; Denmark; Estonia; Finland; France - mainland; Germany; Gibraltar; Hungary; Italy - mainland and Sicily; Latvia; Liechtenstein; Lithuania; Luxembourg; Netherlands; Norway; Poland; Portugal - mainland; Romania; San Marino; Slovakia; Slovenia; Spain - mainland; Sweden; Switzerland; United Kingdom (UK) - Great Britain mainland; Vatican City State.</v>
      </c>
      <c r="K2863" s="11">
        <v>0</v>
      </c>
    </row>
    <row r="2864" spans="5:11" x14ac:dyDescent="0.35">
      <c r="E2864" s="9" t="str">
        <v>EPSG</v>
      </c>
      <c r="F2864" s="7" t="str">
        <v>5731</v>
      </c>
      <c r="G2864" t="str">
        <v>VerticalCrs</v>
      </c>
      <c r="H2864" t="str">
        <v>&lt;undefined&gt;</v>
      </c>
      <c r="I2864" t="str">
        <v>Malin Head height</v>
      </c>
      <c r="J2864" t="str">
        <v>Ireland - onshore. United Kingdom (UK) - Northern Ireland (Ulster) - onshore.</v>
      </c>
      <c r="K2864" s="11">
        <v>1</v>
      </c>
    </row>
    <row r="2865" spans="5:11" x14ac:dyDescent="0.35">
      <c r="E2865" s="9" t="str">
        <v>EPSG</v>
      </c>
      <c r="F2865" s="7" t="str">
        <v>5732</v>
      </c>
      <c r="G2865" t="str">
        <v>VerticalCrs</v>
      </c>
      <c r="H2865" t="str">
        <v>&lt;undefined&gt;</v>
      </c>
      <c r="I2865" t="str">
        <v>Belfast height</v>
      </c>
      <c r="J2865" t="str">
        <v>United Kingdom (UK) - Northern Ireland (Ulster) - onshore.</v>
      </c>
      <c r="K2865" s="11">
        <v>1</v>
      </c>
    </row>
    <row r="2866" spans="5:11" x14ac:dyDescent="0.35">
      <c r="E2866" s="9" t="str">
        <v>EPSG</v>
      </c>
      <c r="F2866" s="7" t="str">
        <v>5733</v>
      </c>
      <c r="G2866" t="str">
        <v>VerticalCrs</v>
      </c>
      <c r="H2866" t="str">
        <v>&lt;undefined&gt;</v>
      </c>
      <c r="I2866" t="str">
        <v>DNN height</v>
      </c>
      <c r="J2866" t="str">
        <v>Denmark - onshore.</v>
      </c>
      <c r="K2866" s="11">
        <v>0</v>
      </c>
    </row>
    <row r="2867" spans="5:11" x14ac:dyDescent="0.35">
      <c r="E2867" s="9" t="str">
        <v>EPSG</v>
      </c>
      <c r="F2867" s="7" t="str">
        <v>5734</v>
      </c>
      <c r="G2867" t="str">
        <v>VerticalCrs</v>
      </c>
      <c r="H2867" t="str">
        <v>&lt;undefined&gt;</v>
      </c>
      <c r="I2867" t="str">
        <v>AIOC95 depth</v>
      </c>
      <c r="J2867" t="str">
        <v>Azerbaijan - Caspian offshore and onshore Sangachal terminal.</v>
      </c>
      <c r="K2867" s="11">
        <v>0</v>
      </c>
    </row>
    <row r="2868" spans="5:11" x14ac:dyDescent="0.35">
      <c r="E2868" s="9" t="str">
        <v>EPSG</v>
      </c>
      <c r="F2868" s="7" t="str">
        <v>5735</v>
      </c>
      <c r="G2868" t="str">
        <v>VerticalCrs</v>
      </c>
      <c r="H2868" t="str">
        <v>&lt;undefined&gt;</v>
      </c>
      <c r="I2868" t="str">
        <v>Black Sea height</v>
      </c>
      <c r="J2868" t="str">
        <v>Georgia - onshore.</v>
      </c>
      <c r="K2868" s="11">
        <v>0</v>
      </c>
    </row>
    <row r="2869" spans="5:11" x14ac:dyDescent="0.35">
      <c r="E2869" s="9" t="str">
        <v>EPSG</v>
      </c>
      <c r="F2869" s="7" t="str">
        <v>5736</v>
      </c>
      <c r="G2869" t="str">
        <v>VerticalCrs</v>
      </c>
      <c r="H2869" t="str">
        <v>&lt;undefined&gt;</v>
      </c>
      <c r="I2869" t="str">
        <v>Yellow Sea 1956 height</v>
      </c>
      <c r="J2869" t="str">
        <v>China - onshore.</v>
      </c>
      <c r="K2869" s="11">
        <v>0</v>
      </c>
    </row>
    <row r="2870" spans="5:11" x14ac:dyDescent="0.35">
      <c r="E2870" s="9" t="str">
        <v>EPSG</v>
      </c>
      <c r="F2870" s="7" t="str">
        <v>5737</v>
      </c>
      <c r="G2870" t="str">
        <v>VerticalCrs</v>
      </c>
      <c r="H2870" t="str">
        <v>&lt;undefined&gt;</v>
      </c>
      <c r="I2870" t="str">
        <v>Yellow Sea 1985 height</v>
      </c>
      <c r="J2870" t="str">
        <v>China - onshore.</v>
      </c>
      <c r="K2870" s="11">
        <v>0</v>
      </c>
    </row>
    <row r="2871" spans="5:11" x14ac:dyDescent="0.35">
      <c r="E2871" s="9" t="str">
        <v>EPSG</v>
      </c>
      <c r="F2871" s="7" t="str">
        <v>5738</v>
      </c>
      <c r="G2871" t="str">
        <v>VerticalCrs</v>
      </c>
      <c r="H2871" t="str">
        <v>&lt;undefined&gt;</v>
      </c>
      <c r="I2871" t="str">
        <v>HKPD height</v>
      </c>
      <c r="J2871" t="str">
        <v>China - Hong Kong - onshore.</v>
      </c>
      <c r="K2871" s="11">
        <v>0</v>
      </c>
    </row>
    <row r="2872" spans="5:11" x14ac:dyDescent="0.35">
      <c r="E2872" s="9" t="str">
        <v>EPSG</v>
      </c>
      <c r="F2872" s="7" t="str">
        <v>5739</v>
      </c>
      <c r="G2872" t="str">
        <v>VerticalCrs</v>
      </c>
      <c r="H2872" t="str">
        <v>&lt;undefined&gt;</v>
      </c>
      <c r="I2872" t="str">
        <v>HKCD depth</v>
      </c>
      <c r="J2872" t="str">
        <v>China - Hong Kong - offshore.</v>
      </c>
      <c r="K2872" s="11">
        <v>0</v>
      </c>
    </row>
    <row r="2873" spans="5:11" x14ac:dyDescent="0.35">
      <c r="E2873" s="9" t="str">
        <v>EPSG</v>
      </c>
      <c r="F2873" s="7" t="str">
        <v>5740</v>
      </c>
      <c r="G2873" t="str">
        <v>VerticalCrs</v>
      </c>
      <c r="H2873" t="str">
        <v>&lt;undefined&gt;</v>
      </c>
      <c r="I2873" t="str">
        <v>ODN Orkney height</v>
      </c>
      <c r="J2873" t="str">
        <v>United Kingdom (UK) - Great Britain - Scotland - Orkney Islands onshore.</v>
      </c>
      <c r="K2873" s="11">
        <v>1</v>
      </c>
    </row>
    <row r="2874" spans="5:11" x14ac:dyDescent="0.35">
      <c r="E2874" s="9" t="str">
        <v>EPSG</v>
      </c>
      <c r="F2874" s="7" t="str">
        <v>5741</v>
      </c>
      <c r="G2874" t="str">
        <v>VerticalCrs</v>
      </c>
      <c r="H2874" t="str">
        <v>&lt;undefined&gt;</v>
      </c>
      <c r="I2874" t="str">
        <v>Fair Isle height</v>
      </c>
      <c r="J2874" t="str">
        <v>United Kingdom (UK) - Great Britain - Scotland - Fair Isle onshore.</v>
      </c>
      <c r="K2874" s="11">
        <v>0</v>
      </c>
    </row>
    <row r="2875" spans="5:11" x14ac:dyDescent="0.35">
      <c r="E2875" s="9" t="str">
        <v>EPSG</v>
      </c>
      <c r="F2875" s="7" t="str">
        <v>5742</v>
      </c>
      <c r="G2875" t="str">
        <v>VerticalCrs</v>
      </c>
      <c r="H2875" t="str">
        <v>&lt;undefined&gt;</v>
      </c>
      <c r="I2875" t="str">
        <v>Lerwick height</v>
      </c>
      <c r="J2875" t="str">
        <v>United Kingdom (UK) - Great Britain - Scotland - Shetland Islands onshore.</v>
      </c>
      <c r="K2875" s="11">
        <v>1</v>
      </c>
    </row>
    <row r="2876" spans="5:11" x14ac:dyDescent="0.35">
      <c r="E2876" s="9" t="str">
        <v>EPSG</v>
      </c>
      <c r="F2876" s="7" t="str">
        <v>5743</v>
      </c>
      <c r="G2876" t="str">
        <v>VerticalCrs</v>
      </c>
      <c r="H2876" t="str">
        <v>&lt;undefined&gt;</v>
      </c>
      <c r="I2876" t="str">
        <v>Foula height</v>
      </c>
      <c r="J2876" t="str">
        <v>United Kingdom (UK) - Great Britain - Scotland - Foula onshore.</v>
      </c>
      <c r="K2876" s="11">
        <v>0</v>
      </c>
    </row>
    <row r="2877" spans="5:11" x14ac:dyDescent="0.35">
      <c r="E2877" s="9" t="str">
        <v>EPSG</v>
      </c>
      <c r="F2877" s="7" t="str">
        <v>5744</v>
      </c>
      <c r="G2877" t="str">
        <v>VerticalCrs</v>
      </c>
      <c r="H2877" t="str">
        <v>&lt;undefined&gt;</v>
      </c>
      <c r="I2877" t="str">
        <v>Sule Skerry height</v>
      </c>
      <c r="J2877" t="str">
        <v>United Kingdom (UK) - Great Britain - Scotland - Sule Skerry onshore.</v>
      </c>
      <c r="K2877" s="11">
        <v>0</v>
      </c>
    </row>
    <row r="2878" spans="5:11" x14ac:dyDescent="0.35">
      <c r="E2878" s="9" t="str">
        <v>EPSG</v>
      </c>
      <c r="F2878" s="7" t="str">
        <v>5745</v>
      </c>
      <c r="G2878" t="str">
        <v>VerticalCrs</v>
      </c>
      <c r="H2878" t="str">
        <v>&lt;undefined&gt;</v>
      </c>
      <c r="I2878" t="str">
        <v>North Rona height</v>
      </c>
      <c r="J2878" t="str">
        <v>United Kingdom (UK) - Great Britain - Scotland - North Rona onshore.</v>
      </c>
      <c r="K2878" s="11">
        <v>0</v>
      </c>
    </row>
    <row r="2879" spans="5:11" x14ac:dyDescent="0.35">
      <c r="E2879" s="9" t="str">
        <v>EPSG</v>
      </c>
      <c r="F2879" s="7" t="str">
        <v>5746</v>
      </c>
      <c r="G2879" t="str">
        <v>VerticalCrs</v>
      </c>
      <c r="H2879" t="str">
        <v>&lt;undefined&gt;</v>
      </c>
      <c r="I2879" t="str">
        <v>Stornoway height</v>
      </c>
      <c r="J2879" t="str">
        <v>United Kingdom (UK) - Great Britain - Scotland - Outer Hebrides onshore.</v>
      </c>
      <c r="K2879" s="11">
        <v>1</v>
      </c>
    </row>
    <row r="2880" spans="5:11" x14ac:dyDescent="0.35">
      <c r="E2880" s="9" t="str">
        <v>EPSG</v>
      </c>
      <c r="F2880" s="7" t="str">
        <v>5747</v>
      </c>
      <c r="G2880" t="str">
        <v>VerticalCrs</v>
      </c>
      <c r="H2880" t="str">
        <v>&lt;undefined&gt;</v>
      </c>
      <c r="I2880" t="str">
        <v>St. Kilda height</v>
      </c>
      <c r="J2880" t="str">
        <v>United Kingdom (UK) - Great Britain - Scotland - St Kilda onshore.</v>
      </c>
      <c r="K2880" s="11">
        <v>0</v>
      </c>
    </row>
    <row r="2881" spans="5:11" x14ac:dyDescent="0.35">
      <c r="E2881" s="9" t="str">
        <v>EPSG</v>
      </c>
      <c r="F2881" s="7" t="str">
        <v>5748</v>
      </c>
      <c r="G2881" t="str">
        <v>VerticalCrs</v>
      </c>
      <c r="H2881" t="str">
        <v>&lt;undefined&gt;</v>
      </c>
      <c r="I2881" t="str">
        <v>Flannan Isles height</v>
      </c>
      <c r="J2881" t="str">
        <v>United Kingdom (UK) - Great Britain - Scotland - Flannan Isles onshore.</v>
      </c>
      <c r="K2881" s="11">
        <v>0</v>
      </c>
    </row>
    <row r="2882" spans="5:11" x14ac:dyDescent="0.35">
      <c r="E2882" s="9" t="str">
        <v>EPSG</v>
      </c>
      <c r="F2882" s="7" t="str">
        <v>5749</v>
      </c>
      <c r="G2882" t="str">
        <v>VerticalCrs</v>
      </c>
      <c r="H2882" t="str">
        <v>&lt;undefined&gt;</v>
      </c>
      <c r="I2882" t="str">
        <v>St. Marys height</v>
      </c>
      <c r="J2882" t="str">
        <v>United Kingdom (UK) - Great Britain - England - Isles of Scilly onshore.</v>
      </c>
      <c r="K2882" s="11">
        <v>1</v>
      </c>
    </row>
    <row r="2883" spans="5:11" x14ac:dyDescent="0.35">
      <c r="E2883" s="9" t="str">
        <v>EPSG</v>
      </c>
      <c r="F2883" s="7" t="str">
        <v>5750</v>
      </c>
      <c r="G2883" t="str">
        <v>VerticalCrs</v>
      </c>
      <c r="H2883" t="str">
        <v>&lt;undefined&gt;</v>
      </c>
      <c r="I2883" t="str">
        <v>Douglas height</v>
      </c>
      <c r="J2883" t="str">
        <v>Isle of Man - onshore.</v>
      </c>
      <c r="K2883" s="11">
        <v>1</v>
      </c>
    </row>
    <row r="2884" spans="5:11" x14ac:dyDescent="0.35">
      <c r="E2884" s="9" t="str">
        <v>EPSG</v>
      </c>
      <c r="F2884" s="7" t="str">
        <v>5751</v>
      </c>
      <c r="G2884" t="str">
        <v>VerticalCrs</v>
      </c>
      <c r="H2884" t="str">
        <v>&lt;undefined&gt;</v>
      </c>
      <c r="I2884" t="str">
        <v>Fao height</v>
      </c>
      <c r="J2884" t="str">
        <v>Iraq - onshore southeast; Iran - onshore northern Gulf coast and west bordering southeast Iraq.</v>
      </c>
      <c r="K2884" s="11">
        <v>0</v>
      </c>
    </row>
    <row r="2885" spans="5:11" x14ac:dyDescent="0.35">
      <c r="E2885" s="9" t="str">
        <v>EPSG</v>
      </c>
      <c r="F2885" s="7" t="str">
        <v>5752</v>
      </c>
      <c r="G2885" t="str">
        <v>VerticalCrs</v>
      </c>
      <c r="H2885" t="str">
        <v>&lt;undefined&gt;</v>
      </c>
      <c r="I2885" t="str">
        <v>Bandar Abbas height</v>
      </c>
      <c r="J2885" t="str">
        <v>Iran - onshore.</v>
      </c>
      <c r="K2885" s="11">
        <v>0</v>
      </c>
    </row>
    <row r="2886" spans="5:11" x14ac:dyDescent="0.35">
      <c r="E2886" s="9" t="str">
        <v>EPSG</v>
      </c>
      <c r="F2886" s="7" t="str">
        <v>5753</v>
      </c>
      <c r="G2886" t="str">
        <v>VerticalCrs</v>
      </c>
      <c r="H2886" t="str">
        <v>&lt;undefined&gt;</v>
      </c>
      <c r="I2886" t="str">
        <v>NGNC69 height</v>
      </c>
      <c r="J2886" t="str">
        <v>New Caledonia - Grande Terre.</v>
      </c>
      <c r="K2886" s="11">
        <v>0</v>
      </c>
    </row>
    <row r="2887" spans="5:11" x14ac:dyDescent="0.35">
      <c r="E2887" s="9" t="str">
        <v>EPSG</v>
      </c>
      <c r="F2887" s="7" t="str">
        <v>5754</v>
      </c>
      <c r="G2887" t="str">
        <v>VerticalCrs</v>
      </c>
      <c r="H2887" t="str">
        <v>&lt;undefined&gt;</v>
      </c>
      <c r="I2887" t="str">
        <v>Poolbeg height (ft(Br36))</v>
      </c>
      <c r="J2887" t="str">
        <v>Ireland - onshore. United Kingdom (UK) - Northern Ireland (Ulster) - onshore.</v>
      </c>
      <c r="K2887" s="11">
        <v>0</v>
      </c>
    </row>
    <row r="2888" spans="5:11" x14ac:dyDescent="0.35">
      <c r="E2888" s="9" t="str">
        <v>EPSG</v>
      </c>
      <c r="F2888" s="7" t="str">
        <v>5755</v>
      </c>
      <c r="G2888" t="str">
        <v>VerticalCrs</v>
      </c>
      <c r="H2888" t="str">
        <v>&lt;undefined&gt;</v>
      </c>
      <c r="I2888" t="str">
        <v>NGG1977 height</v>
      </c>
      <c r="J2888" t="str">
        <v>French Guiana - onshore.</v>
      </c>
      <c r="K2888" s="11">
        <v>0</v>
      </c>
    </row>
    <row r="2889" spans="5:11" x14ac:dyDescent="0.35">
      <c r="E2889" s="9" t="str">
        <v>EPSG</v>
      </c>
      <c r="F2889" s="7" t="str">
        <v>5756</v>
      </c>
      <c r="G2889" t="str">
        <v>VerticalCrs</v>
      </c>
      <c r="H2889" t="str">
        <v>&lt;undefined&gt;</v>
      </c>
      <c r="I2889" t="str">
        <v>Martinique 1987 height</v>
      </c>
      <c r="J2889" t="str">
        <v>Martinique - onshore.</v>
      </c>
      <c r="K2889" s="11">
        <v>0</v>
      </c>
    </row>
    <row r="2890" spans="5:11" x14ac:dyDescent="0.35">
      <c r="E2890" s="9" t="str">
        <v>EPSG</v>
      </c>
      <c r="F2890" s="7" t="str">
        <v>5757</v>
      </c>
      <c r="G2890" t="str">
        <v>VerticalCrs</v>
      </c>
      <c r="H2890" t="str">
        <v>&lt;undefined&gt;</v>
      </c>
      <c r="I2890" t="str">
        <v>Guadeloupe 1988 height</v>
      </c>
      <c r="J2890" t="str">
        <v>Guadeloupe - onshore - Basse-Terre and Grande-Terre.</v>
      </c>
      <c r="K2890" s="11">
        <v>0</v>
      </c>
    </row>
    <row r="2891" spans="5:11" x14ac:dyDescent="0.35">
      <c r="E2891" s="9" t="str">
        <v>EPSG</v>
      </c>
      <c r="F2891" s="7" t="str">
        <v>5758</v>
      </c>
      <c r="G2891" t="str">
        <v>VerticalCrs</v>
      </c>
      <c r="H2891" t="str">
        <v>&lt;undefined&gt;</v>
      </c>
      <c r="I2891" t="str">
        <v>Reunion 1989 height</v>
      </c>
      <c r="J2891" t="str">
        <v>Reunion - onshore.</v>
      </c>
      <c r="K2891" s="11">
        <v>0</v>
      </c>
    </row>
    <row r="2892" spans="5:11" x14ac:dyDescent="0.35">
      <c r="E2892" s="9" t="str">
        <v>EPSG</v>
      </c>
      <c r="F2892" s="7" t="str">
        <v>5759</v>
      </c>
      <c r="G2892" t="str">
        <v>VerticalCrs</v>
      </c>
      <c r="H2892" t="str">
        <v>&lt;undefined&gt;</v>
      </c>
      <c r="I2892" t="str">
        <v>Auckland 1946 height</v>
      </c>
      <c r="J2892" t="str">
        <v>New Zealand - North Island - Auckland vertical CRS area.</v>
      </c>
      <c r="K2892" s="11">
        <v>0</v>
      </c>
    </row>
    <row r="2893" spans="5:11" x14ac:dyDescent="0.35">
      <c r="E2893" s="9" t="str">
        <v>EPSG</v>
      </c>
      <c r="F2893" s="7" t="str">
        <v>5760</v>
      </c>
      <c r="G2893" t="str">
        <v>VerticalCrs</v>
      </c>
      <c r="H2893" t="str">
        <v>&lt;undefined&gt;</v>
      </c>
      <c r="I2893" t="str">
        <v>Bluff 1955 height</v>
      </c>
      <c r="J2893" t="str">
        <v>New Zealand - South Island - Bluff vertical CRS area.</v>
      </c>
      <c r="K2893" s="11">
        <v>0</v>
      </c>
    </row>
    <row r="2894" spans="5:11" x14ac:dyDescent="0.35">
      <c r="E2894" s="9" t="str">
        <v>EPSG</v>
      </c>
      <c r="F2894" s="7" t="str">
        <v>5761</v>
      </c>
      <c r="G2894" t="str">
        <v>VerticalCrs</v>
      </c>
      <c r="H2894" t="str">
        <v>&lt;undefined&gt;</v>
      </c>
      <c r="I2894" t="str">
        <v>Dunedin 1958 height</v>
      </c>
      <c r="J2894" t="str">
        <v>New Zealand - South Island - between approximately 44°S and 46°S - Dunedin vertical CRS area.</v>
      </c>
      <c r="K2894" s="11">
        <v>0</v>
      </c>
    </row>
    <row r="2895" spans="5:11" x14ac:dyDescent="0.35">
      <c r="E2895" s="9" t="str">
        <v>EPSG</v>
      </c>
      <c r="F2895" s="7" t="str">
        <v>5762</v>
      </c>
      <c r="G2895" t="str">
        <v>VerticalCrs</v>
      </c>
      <c r="H2895" t="str">
        <v>&lt;undefined&gt;</v>
      </c>
      <c r="I2895" t="str">
        <v>Gisborne 1926 height</v>
      </c>
      <c r="J2895" t="str">
        <v>New Zealand - North Island - Gisborne vertical CRS area.</v>
      </c>
      <c r="K2895" s="11">
        <v>0</v>
      </c>
    </row>
    <row r="2896" spans="5:11" x14ac:dyDescent="0.35">
      <c r="E2896" s="9" t="str">
        <v>EPSG</v>
      </c>
      <c r="F2896" s="7" t="str">
        <v>5763</v>
      </c>
      <c r="G2896" t="str">
        <v>VerticalCrs</v>
      </c>
      <c r="H2896" t="str">
        <v>&lt;undefined&gt;</v>
      </c>
      <c r="I2896" t="str">
        <v>Lyttelton 1937 height</v>
      </c>
      <c r="J2896" t="str">
        <v>New Zealand - South Island - between approximately 41°20'S and 45°S - Lyttleton vertical CRS area.</v>
      </c>
      <c r="K2896" s="11">
        <v>0</v>
      </c>
    </row>
    <row r="2897" spans="5:11" x14ac:dyDescent="0.35">
      <c r="E2897" s="9" t="str">
        <v>EPSG</v>
      </c>
      <c r="F2897" s="7" t="str">
        <v>5764</v>
      </c>
      <c r="G2897" t="str">
        <v>VerticalCrs</v>
      </c>
      <c r="H2897" t="str">
        <v>&lt;undefined&gt;</v>
      </c>
      <c r="I2897" t="str">
        <v>Moturiki 1953 height</v>
      </c>
      <c r="J2897" t="str">
        <v>New Zealand - North Island - Moturiki vertical CRS area.</v>
      </c>
      <c r="K2897" s="11">
        <v>0</v>
      </c>
    </row>
    <row r="2898" spans="5:11" x14ac:dyDescent="0.35">
      <c r="E2898" s="9" t="str">
        <v>EPSG</v>
      </c>
      <c r="F2898" s="7" t="str">
        <v>5765</v>
      </c>
      <c r="G2898" t="str">
        <v>VerticalCrs</v>
      </c>
      <c r="H2898" t="str">
        <v>&lt;undefined&gt;</v>
      </c>
      <c r="I2898" t="str">
        <v>Napier 1962 height</v>
      </c>
      <c r="J2898" t="str">
        <v>New Zealand - North Island - Hawkes Bay meridional circuit and Napier vertical crs area.</v>
      </c>
      <c r="K2898" s="11">
        <v>0</v>
      </c>
    </row>
    <row r="2899" spans="5:11" x14ac:dyDescent="0.35">
      <c r="E2899" s="9" t="str">
        <v>EPSG</v>
      </c>
      <c r="F2899" s="7" t="str">
        <v>5766</v>
      </c>
      <c r="G2899" t="str">
        <v>VerticalCrs</v>
      </c>
      <c r="H2899" t="str">
        <v>&lt;undefined&gt;</v>
      </c>
      <c r="I2899" t="str">
        <v>Nelson 1955 height</v>
      </c>
      <c r="J2899" t="str">
        <v>New Zealand - South Island - north of approximately 42°20'S - Nelson vertical CRS area.</v>
      </c>
      <c r="K2899" s="11">
        <v>0</v>
      </c>
    </row>
    <row r="2900" spans="5:11" x14ac:dyDescent="0.35">
      <c r="E2900" s="9" t="str">
        <v>EPSG</v>
      </c>
      <c r="F2900" s="7" t="str">
        <v>5767</v>
      </c>
      <c r="G2900" t="str">
        <v>VerticalCrs</v>
      </c>
      <c r="H2900" t="str">
        <v>&lt;undefined&gt;</v>
      </c>
      <c r="I2900" t="str">
        <v>One Tree Point 1964 height</v>
      </c>
      <c r="J2900" t="str">
        <v>New Zealand - North Island - One Tree Point vertical CRS area.</v>
      </c>
      <c r="K2900" s="11">
        <v>0</v>
      </c>
    </row>
    <row r="2901" spans="5:11" x14ac:dyDescent="0.35">
      <c r="E2901" s="9" t="str">
        <v>EPSG</v>
      </c>
      <c r="F2901" s="7" t="str">
        <v>5768</v>
      </c>
      <c r="G2901" t="str">
        <v>VerticalCrs</v>
      </c>
      <c r="H2901" t="str">
        <v>&lt;undefined&gt;</v>
      </c>
      <c r="I2901" t="str">
        <v>Tararu 1952 height</v>
      </c>
      <c r="J2901" t="str">
        <v>New Zealand - North Island - Tararu vertical CRS area.</v>
      </c>
      <c r="K2901" s="11">
        <v>0</v>
      </c>
    </row>
    <row r="2902" spans="5:11" x14ac:dyDescent="0.35">
      <c r="E2902" s="9" t="str">
        <v>EPSG</v>
      </c>
      <c r="F2902" s="7" t="str">
        <v>5769</v>
      </c>
      <c r="G2902" t="str">
        <v>VerticalCrs</v>
      </c>
      <c r="H2902" t="str">
        <v>&lt;undefined&gt;</v>
      </c>
      <c r="I2902" t="str">
        <v>Taranaki 1970 height</v>
      </c>
      <c r="J2902" t="str">
        <v>New Zealand - North Island - Taranaki vertical CRS area.</v>
      </c>
      <c r="K2902" s="11">
        <v>0</v>
      </c>
    </row>
    <row r="2903" spans="5:11" x14ac:dyDescent="0.35">
      <c r="E2903" s="9" t="str">
        <v>EPSG</v>
      </c>
      <c r="F2903" s="7" t="str">
        <v>5770</v>
      </c>
      <c r="G2903" t="str">
        <v>VerticalCrs</v>
      </c>
      <c r="H2903" t="str">
        <v>&lt;undefined&gt;</v>
      </c>
      <c r="I2903" t="str">
        <v>Wellington 1953 height</v>
      </c>
      <c r="J2903" t="str">
        <v>New Zealand - North Island - Wellington vertical CRS area.</v>
      </c>
      <c r="K2903" s="11">
        <v>0</v>
      </c>
    </row>
    <row r="2904" spans="5:11" x14ac:dyDescent="0.35">
      <c r="E2904" s="9" t="str">
        <v>EPSG</v>
      </c>
      <c r="F2904" s="7" t="str">
        <v>5771</v>
      </c>
      <c r="G2904" t="str">
        <v>VerticalCrs</v>
      </c>
      <c r="H2904" t="str">
        <v>&lt;undefined&gt;</v>
      </c>
      <c r="I2904" t="str">
        <v>Chatham Island 1959 height</v>
      </c>
      <c r="J2904" t="str">
        <v>New Zealand - Chatham Island - onshore.</v>
      </c>
      <c r="K2904" s="11">
        <v>0</v>
      </c>
    </row>
    <row r="2905" spans="5:11" x14ac:dyDescent="0.35">
      <c r="E2905" s="9" t="str">
        <v>EPSG</v>
      </c>
      <c r="F2905" s="7" t="str">
        <v>5772</v>
      </c>
      <c r="G2905" t="str">
        <v>VerticalCrs</v>
      </c>
      <c r="H2905" t="str">
        <v>&lt;undefined&gt;</v>
      </c>
      <c r="I2905" t="str">
        <v>Stewart Island 1977 height</v>
      </c>
      <c r="J2905" t="str">
        <v>New Zealand - Stewart Island.</v>
      </c>
      <c r="K2905" s="11">
        <v>0</v>
      </c>
    </row>
    <row r="2906" spans="5:11" x14ac:dyDescent="0.35">
      <c r="E2906" s="9" t="str">
        <v>EPSG</v>
      </c>
      <c r="F2906" s="7" t="str">
        <v>5773</v>
      </c>
      <c r="G2906" t="str">
        <v>VerticalCrs</v>
      </c>
      <c r="H2906" t="str">
        <v>&lt;undefined&gt;</v>
      </c>
      <c r="I2906" t="str">
        <v>EGM96 height</v>
      </c>
      <c r="J2906" t="str">
        <v>World.</v>
      </c>
      <c r="K2906" s="11">
        <v>0</v>
      </c>
    </row>
    <row r="2907" spans="5:11" x14ac:dyDescent="0.35">
      <c r="E2907" s="9" t="str">
        <v>EPSG</v>
      </c>
      <c r="F2907" s="7" t="str">
        <v>5774</v>
      </c>
      <c r="G2907" t="str">
        <v>VerticalCrs</v>
      </c>
      <c r="H2907" t="str">
        <v>&lt;undefined&gt;</v>
      </c>
      <c r="I2907" t="str">
        <v>NG95 height</v>
      </c>
      <c r="J2907" t="str">
        <v>Luxembourg.</v>
      </c>
      <c r="K2907" s="11">
        <v>0</v>
      </c>
    </row>
    <row r="2908" spans="5:11" x14ac:dyDescent="0.35">
      <c r="E2908" s="9" t="str">
        <v>EPSG</v>
      </c>
      <c r="F2908" s="7" t="str">
        <v>5775</v>
      </c>
      <c r="G2908" t="str">
        <v>VerticalCrs</v>
      </c>
      <c r="H2908" t="str">
        <v>&lt;undefined&gt;</v>
      </c>
      <c r="I2908" t="str">
        <v>Antalya height</v>
      </c>
      <c r="J2908" t="str">
        <v>Türkiye (Turkey) - onshore.</v>
      </c>
      <c r="K2908" s="11">
        <v>0</v>
      </c>
    </row>
    <row r="2909" spans="5:11" x14ac:dyDescent="0.35">
      <c r="E2909" s="9" t="str">
        <v>EPSG</v>
      </c>
      <c r="F2909" s="7" t="str">
        <v>5776</v>
      </c>
      <c r="G2909" t="str">
        <v>VerticalCrs</v>
      </c>
      <c r="H2909" t="str">
        <v>&lt;undefined&gt;</v>
      </c>
      <c r="I2909" t="str">
        <v>NN54 height</v>
      </c>
      <c r="J2909" t="str">
        <v>Norway - onshore.</v>
      </c>
      <c r="K2909" s="11">
        <v>0</v>
      </c>
    </row>
    <row r="2910" spans="5:11" x14ac:dyDescent="0.35">
      <c r="E2910" s="9" t="str">
        <v>EPSG</v>
      </c>
      <c r="F2910" s="7" t="str">
        <v>5777</v>
      </c>
      <c r="G2910" t="str">
        <v>VerticalCrs</v>
      </c>
      <c r="H2910" t="str">
        <v>&lt;undefined&gt;</v>
      </c>
      <c r="I2910" t="str">
        <v>Durres height</v>
      </c>
      <c r="J2910" t="str">
        <v>Albania - onshore.</v>
      </c>
      <c r="K2910" s="11">
        <v>0</v>
      </c>
    </row>
    <row r="2911" spans="5:11" x14ac:dyDescent="0.35">
      <c r="E2911" s="9" t="str">
        <v>EPSG</v>
      </c>
      <c r="F2911" s="7" t="str">
        <v>5778</v>
      </c>
      <c r="G2911" t="str">
        <v>VerticalCrs</v>
      </c>
      <c r="H2911" t="str">
        <v>&lt;undefined&gt;</v>
      </c>
      <c r="I2911" t="str">
        <v>GHA height</v>
      </c>
      <c r="J2911" t="str">
        <v>Austria.</v>
      </c>
      <c r="K2911" s="11">
        <v>0</v>
      </c>
    </row>
    <row r="2912" spans="5:11" x14ac:dyDescent="0.35">
      <c r="E2912" s="9" t="str">
        <v>EPSG</v>
      </c>
      <c r="F2912" s="7" t="str">
        <v>5779</v>
      </c>
      <c r="G2912" t="str">
        <v>VerticalCrs</v>
      </c>
      <c r="H2912" t="str">
        <v>&lt;undefined&gt;</v>
      </c>
      <c r="I2912" t="str">
        <v>SVS2000 height</v>
      </c>
      <c r="J2912" t="str">
        <v>Slovenia - onshore.</v>
      </c>
      <c r="K2912" s="11">
        <v>0</v>
      </c>
    </row>
    <row r="2913" spans="5:11" x14ac:dyDescent="0.35">
      <c r="E2913" s="9" t="str">
        <v>EPSG</v>
      </c>
      <c r="F2913" s="7" t="str">
        <v>5780</v>
      </c>
      <c r="G2913" t="str">
        <v>VerticalCrs</v>
      </c>
      <c r="H2913" t="str">
        <v>&lt;undefined&gt;</v>
      </c>
      <c r="I2913" t="str">
        <v>Cascais height</v>
      </c>
      <c r="J2913" t="str">
        <v>Portugal - mainland - onshore.</v>
      </c>
      <c r="K2913" s="11">
        <v>0</v>
      </c>
    </row>
    <row r="2914" spans="5:11" x14ac:dyDescent="0.35">
      <c r="E2914" s="9" t="str">
        <v>EPSG</v>
      </c>
      <c r="F2914" s="7" t="str">
        <v>5781</v>
      </c>
      <c r="G2914" t="str">
        <v>VerticalCrs</v>
      </c>
      <c r="H2914" t="str">
        <v>&lt;undefined&gt;</v>
      </c>
      <c r="I2914" t="str">
        <v>Constanta height</v>
      </c>
      <c r="J2914" t="str">
        <v>Romania - onshore.</v>
      </c>
      <c r="K2914" s="11">
        <v>0</v>
      </c>
    </row>
    <row r="2915" spans="5:11" x14ac:dyDescent="0.35">
      <c r="E2915" s="9" t="str">
        <v>EPSG</v>
      </c>
      <c r="F2915" s="7" t="str">
        <v>5782</v>
      </c>
      <c r="G2915" t="str">
        <v>VerticalCrs</v>
      </c>
      <c r="H2915" t="str">
        <v>&lt;undefined&gt;</v>
      </c>
      <c r="I2915" t="str">
        <v>Alicante height</v>
      </c>
      <c r="J2915" t="str">
        <v>Gibraltar - onshore; Spain - mainland onshore.</v>
      </c>
      <c r="K2915" s="11">
        <v>0</v>
      </c>
    </row>
    <row r="2916" spans="5:11" x14ac:dyDescent="0.35">
      <c r="E2916" s="9" t="str">
        <v>EPSG</v>
      </c>
      <c r="F2916" s="7" t="str">
        <v>5783</v>
      </c>
      <c r="G2916" t="str">
        <v>VerticalCrs</v>
      </c>
      <c r="H2916" t="str">
        <v>&lt;undefined&gt;</v>
      </c>
      <c r="I2916" t="str">
        <v>DHHN92 height</v>
      </c>
      <c r="J2916" t="str">
        <v>Germany - onshore - states of Baden-Wurtemberg, Bayern, Berlin, Brandenburg, Bremen, Hamburg, Hessen, Mecklenburg-Vorpommern, Niedersachsen, Nordrhein-Westfalen, Rheinland-Pfalz, Saarland, Sachsen, Sachsen-Anhalt, Schleswig-Holstein, Thuringen.</v>
      </c>
      <c r="K2916" s="11">
        <v>0</v>
      </c>
    </row>
    <row r="2917" spans="5:11" x14ac:dyDescent="0.35">
      <c r="E2917" s="9" t="str">
        <v>EPSG</v>
      </c>
      <c r="F2917" s="7" t="str">
        <v>5784</v>
      </c>
      <c r="G2917" t="str">
        <v>VerticalCrs</v>
      </c>
      <c r="H2917" t="str">
        <v>&lt;undefined&gt;</v>
      </c>
      <c r="I2917" t="str">
        <v>DHHN85 height</v>
      </c>
      <c r="J2917" t="str">
        <v>Germany - states of former West Germany onshore - Baden-Wurtemberg, Bayern, Bremen, Hamburg, Hessen, Niedersachsen, Nordrhein-Westfalen, Rheinland-Pfalz, Saarland, Schleswig-Holstein.</v>
      </c>
      <c r="K2917" s="11">
        <v>0</v>
      </c>
    </row>
    <row r="2918" spans="5:11" x14ac:dyDescent="0.35">
      <c r="E2918" s="9" t="str">
        <v>EPSG</v>
      </c>
      <c r="F2918" s="7" t="str">
        <v>5785</v>
      </c>
      <c r="G2918" t="str">
        <v>VerticalCrs</v>
      </c>
      <c r="H2918" t="str">
        <v>&lt;undefined&gt;</v>
      </c>
      <c r="I2918" t="str">
        <v>SNN76 height</v>
      </c>
      <c r="J2918" t="str">
        <v>Germany - states of former East Germany - Berlin, Brandenburg; Mecklenburg-Vorpommern; Sachsen; Sachsen-Anhalt; Thuringen.</v>
      </c>
      <c r="K2918" s="11">
        <v>0</v>
      </c>
    </row>
    <row r="2919" spans="5:11" x14ac:dyDescent="0.35">
      <c r="E2919" s="9" t="str">
        <v>EPSG</v>
      </c>
      <c r="F2919" s="7" t="str">
        <v>5786</v>
      </c>
      <c r="G2919" t="str">
        <v>VerticalCrs</v>
      </c>
      <c r="H2919" t="str">
        <v>&lt;undefined&gt;</v>
      </c>
      <c r="I2919" t="str">
        <v>Baltic 1982 height</v>
      </c>
      <c r="J2919" t="str">
        <v>Bulgaria - onshore.</v>
      </c>
      <c r="K2919" s="11">
        <v>0</v>
      </c>
    </row>
    <row r="2920" spans="5:11" x14ac:dyDescent="0.35">
      <c r="E2920" s="9" t="str">
        <v>EPSG</v>
      </c>
      <c r="F2920" s="7" t="str">
        <v>5787</v>
      </c>
      <c r="G2920" t="str">
        <v>VerticalCrs</v>
      </c>
      <c r="H2920" t="str">
        <v>&lt;undefined&gt;</v>
      </c>
      <c r="I2920" t="str">
        <v>EOMA 1980 height</v>
      </c>
      <c r="J2920" t="str">
        <v>Hungary.</v>
      </c>
      <c r="K2920" s="11">
        <v>0</v>
      </c>
    </row>
    <row r="2921" spans="5:11" x14ac:dyDescent="0.35">
      <c r="E2921" s="9" t="str">
        <v>EPSG</v>
      </c>
      <c r="F2921" s="7" t="str">
        <v>5788</v>
      </c>
      <c r="G2921" t="str">
        <v>VerticalCrs</v>
      </c>
      <c r="H2921" t="str">
        <v>&lt;undefined&gt;</v>
      </c>
      <c r="I2921" t="str">
        <v>Kuwait PWD height</v>
      </c>
      <c r="J2921" t="str">
        <v>Kuwait - onshore.</v>
      </c>
      <c r="K2921" s="11">
        <v>0</v>
      </c>
    </row>
    <row r="2922" spans="5:11" x14ac:dyDescent="0.35">
      <c r="E2922" s="9" t="str">
        <v>EPSG</v>
      </c>
      <c r="F2922" s="7" t="str">
        <v>5789</v>
      </c>
      <c r="G2922" t="str">
        <v>VerticalCrs</v>
      </c>
      <c r="H2922" t="str">
        <v>&lt;undefined&gt;</v>
      </c>
      <c r="I2922" t="str">
        <v>KOC WD depth</v>
      </c>
      <c r="J2922" t="str">
        <v>Kuwait - onshore.</v>
      </c>
      <c r="K2922" s="11">
        <v>0</v>
      </c>
    </row>
    <row r="2923" spans="5:11" x14ac:dyDescent="0.35">
      <c r="E2923" s="9" t="str">
        <v>EPSG</v>
      </c>
      <c r="F2923" s="7" t="str">
        <v>5790</v>
      </c>
      <c r="G2923" t="str">
        <v>VerticalCrs</v>
      </c>
      <c r="H2923" t="str">
        <v>&lt;undefined&gt;</v>
      </c>
      <c r="I2923" t="str">
        <v>KOC CD height</v>
      </c>
      <c r="J2923" t="str">
        <v>Kuwait - onshore.</v>
      </c>
      <c r="K2923" s="11">
        <v>0</v>
      </c>
    </row>
    <row r="2924" spans="5:11" x14ac:dyDescent="0.35">
      <c r="E2924" s="9" t="str">
        <v>EPSG</v>
      </c>
      <c r="F2924" s="7" t="str">
        <v>5791</v>
      </c>
      <c r="G2924" t="str">
        <v>VerticalCrs</v>
      </c>
      <c r="H2924" t="str">
        <v>&lt;undefined&gt;</v>
      </c>
      <c r="I2924" t="str">
        <v>NGC 1948 height</v>
      </c>
      <c r="J2924" t="str">
        <v>France - Corsica onshore.</v>
      </c>
      <c r="K2924" s="11">
        <v>0</v>
      </c>
    </row>
    <row r="2925" spans="5:11" x14ac:dyDescent="0.35">
      <c r="E2925" s="9" t="str">
        <v>EPSG</v>
      </c>
      <c r="F2925" s="7" t="str">
        <v>5792</v>
      </c>
      <c r="G2925" t="str">
        <v>VerticalCrs</v>
      </c>
      <c r="H2925" t="str">
        <v>&lt;undefined&gt;</v>
      </c>
      <c r="I2925" t="str">
        <v>Danger 1950 height</v>
      </c>
      <c r="J2925" t="str">
        <v>St Pierre and Miquelon - onshore.</v>
      </c>
      <c r="K2925" s="11">
        <v>0</v>
      </c>
    </row>
    <row r="2926" spans="5:11" x14ac:dyDescent="0.35">
      <c r="E2926" s="9" t="str">
        <v>EPSG</v>
      </c>
      <c r="F2926" s="7" t="str">
        <v>5793</v>
      </c>
      <c r="G2926" t="str">
        <v>VerticalCrs</v>
      </c>
      <c r="H2926" t="str">
        <v>&lt;undefined&gt;</v>
      </c>
      <c r="I2926" t="str">
        <v>Mayotte 1950 height</v>
      </c>
      <c r="J2926" t="str">
        <v>Mayotte - onshore.</v>
      </c>
      <c r="K2926" s="11">
        <v>0</v>
      </c>
    </row>
    <row r="2927" spans="5:11" x14ac:dyDescent="0.35">
      <c r="E2927" s="9" t="str">
        <v>EPSG</v>
      </c>
      <c r="F2927" s="7" t="str">
        <v>5794</v>
      </c>
      <c r="G2927" t="str">
        <v>VerticalCrs</v>
      </c>
      <c r="H2927" t="str">
        <v>&lt;undefined&gt;</v>
      </c>
      <c r="I2927" t="str">
        <v>Martinique 1955 height</v>
      </c>
      <c r="J2927" t="str">
        <v>Martinique - onshore.</v>
      </c>
      <c r="K2927" s="11">
        <v>0</v>
      </c>
    </row>
    <row r="2928" spans="5:11" x14ac:dyDescent="0.35">
      <c r="E2928" s="9" t="str">
        <v>EPSG</v>
      </c>
      <c r="F2928" s="7" t="str">
        <v>5795</v>
      </c>
      <c r="G2928" t="str">
        <v>VerticalCrs</v>
      </c>
      <c r="H2928" t="str">
        <v>&lt;undefined&gt;</v>
      </c>
      <c r="I2928" t="str">
        <v>Guadeloupe 1951 height</v>
      </c>
      <c r="J2928" t="str">
        <v>Guadeloupe - onshore - Basse-Terre and Grande-Terre.</v>
      </c>
      <c r="K2928" s="11">
        <v>0</v>
      </c>
    </row>
    <row r="2929" spans="5:11" x14ac:dyDescent="0.35">
      <c r="E2929" s="9" t="str">
        <v>EPSG</v>
      </c>
      <c r="F2929" s="7" t="str">
        <v>5796</v>
      </c>
      <c r="G2929" t="str">
        <v>VerticalCrs</v>
      </c>
      <c r="H2929" t="str">
        <v>&lt;undefined&gt;</v>
      </c>
      <c r="I2929" t="str">
        <v>Lagos 1955 height</v>
      </c>
      <c r="J2929" t="str">
        <v>Nigeria - onshore.</v>
      </c>
      <c r="K2929" s="11">
        <v>0</v>
      </c>
    </row>
    <row r="2930" spans="5:11" x14ac:dyDescent="0.35">
      <c r="E2930" s="9" t="str">
        <v>EPSG</v>
      </c>
      <c r="F2930" s="7" t="str">
        <v>5797</v>
      </c>
      <c r="G2930" t="str">
        <v>VerticalCrs</v>
      </c>
      <c r="H2930" t="str">
        <v>&lt;undefined&gt;</v>
      </c>
      <c r="I2930" t="str">
        <v>AIOC95 height</v>
      </c>
      <c r="J2930" t="str">
        <v>Azerbaijan - Caspian offshore and onshore Sangachal terminal.</v>
      </c>
      <c r="K2930" s="11">
        <v>0</v>
      </c>
    </row>
    <row r="2931" spans="5:11" x14ac:dyDescent="0.35">
      <c r="E2931" s="9" t="str">
        <v>EPSG</v>
      </c>
      <c r="F2931" s="7" t="str">
        <v>5798</v>
      </c>
      <c r="G2931" t="str">
        <v>VerticalCrs</v>
      </c>
      <c r="H2931" t="str">
        <v>&lt;undefined&gt;</v>
      </c>
      <c r="I2931" t="str">
        <v>EGM84 height</v>
      </c>
      <c r="J2931" t="str">
        <v>World.</v>
      </c>
      <c r="K2931" s="11">
        <v>0</v>
      </c>
    </row>
    <row r="2932" spans="5:11" x14ac:dyDescent="0.35">
      <c r="E2932" s="9" t="str">
        <v>EPSG</v>
      </c>
      <c r="F2932" s="7" t="str">
        <v>5799</v>
      </c>
      <c r="G2932" t="str">
        <v>VerticalCrs</v>
      </c>
      <c r="H2932" t="str">
        <v>&lt;undefined&gt;</v>
      </c>
      <c r="I2932" t="str">
        <v>DVR90 height</v>
      </c>
      <c r="J2932" t="str">
        <v>Denmark - onshore.</v>
      </c>
      <c r="K2932" s="11">
        <v>0</v>
      </c>
    </row>
    <row r="2933" spans="5:11" x14ac:dyDescent="0.35">
      <c r="E2933" s="9" t="str">
        <v>EPSG</v>
      </c>
      <c r="F2933" s="7" t="str">
        <v>5825</v>
      </c>
      <c r="G2933" t="str">
        <v>ProjectedCrs</v>
      </c>
      <c r="H2933" t="str">
        <v>Transverse Mercator</v>
      </c>
      <c r="I2933" t="str">
        <v>AGD66 / ACT Standard Grid</v>
      </c>
      <c r="J2933" t="str">
        <v>Australia - Australian Capital Territory.</v>
      </c>
      <c r="K2933" s="11">
        <v>0</v>
      </c>
    </row>
    <row r="2934" spans="5:11" x14ac:dyDescent="0.35">
      <c r="E2934" s="9" t="str">
        <v>EPSG</v>
      </c>
      <c r="F2934" s="7" t="str">
        <v>5828</v>
      </c>
      <c r="G2934" t="str">
        <v>GeocentricCrs</v>
      </c>
      <c r="H2934" t="str">
        <v>&lt;undefined&gt;</v>
      </c>
      <c r="I2934" t="str">
        <v>DB_REF</v>
      </c>
      <c r="J2934" t="str">
        <v>Germany - onshore - states of Baden-Wurtemberg, Bayern, Berlin, Brandenburg, Bremen, Hamburg, Hessen, Mecklenburg-Vorpommern, Niedersachsen, Nordrhein-Westfalen, Rheinland-Pfalz, Saarland, Sachsen, Sachsen-Anhalt, Schleswig-Holstein, Thuringen.</v>
      </c>
      <c r="K2934" s="11">
        <v>0</v>
      </c>
    </row>
    <row r="2935" spans="5:11" x14ac:dyDescent="0.35">
      <c r="E2935" s="9" t="str">
        <v>EPSG</v>
      </c>
      <c r="F2935" s="7" t="str">
        <v>5829</v>
      </c>
      <c r="G2935" t="str">
        <v>VerticalCrs</v>
      </c>
      <c r="H2935" t="str">
        <v>&lt;undefined&gt;</v>
      </c>
      <c r="I2935" t="str">
        <v>Instantaneous Water Level height</v>
      </c>
      <c r="J2935" t="str">
        <v>World.</v>
      </c>
      <c r="K2935" s="11">
        <v>0</v>
      </c>
    </row>
    <row r="2936" spans="5:11" x14ac:dyDescent="0.35">
      <c r="E2936" s="9" t="str">
        <v>EPSG</v>
      </c>
      <c r="F2936" s="7" t="str">
        <v>5830</v>
      </c>
      <c r="G2936" t="str">
        <v>Geographic3DCrs</v>
      </c>
      <c r="H2936" t="str">
        <v>&lt;undefined&gt;</v>
      </c>
      <c r="I2936" t="str">
        <v>DB_REF</v>
      </c>
      <c r="J2936" t="str">
        <v>Germany - onshore - states of Baden-Wurtemberg, Bayern, Berlin, Brandenburg, Bremen, Hamburg, Hessen, Mecklenburg-Vorpommern, Niedersachsen, Nordrhein-Westfalen, Rheinland-Pfalz, Saarland, Sachsen, Sachsen-Anhalt, Schleswig-Holstein, Thuringen.</v>
      </c>
      <c r="K2936" s="11">
        <v>0</v>
      </c>
    </row>
    <row r="2937" spans="5:11" x14ac:dyDescent="0.35">
      <c r="E2937" s="9" t="str">
        <v>EPSG</v>
      </c>
      <c r="F2937" s="7" t="str">
        <v>5831</v>
      </c>
      <c r="G2937" t="str">
        <v>VerticalCrs</v>
      </c>
      <c r="H2937" t="str">
        <v>&lt;undefined&gt;</v>
      </c>
      <c r="I2937" t="str">
        <v>Instantaneous Water Level depth</v>
      </c>
      <c r="J2937" t="str">
        <v>World.</v>
      </c>
      <c r="K2937" s="11">
        <v>0</v>
      </c>
    </row>
    <row r="2938" spans="5:11" x14ac:dyDescent="0.35">
      <c r="E2938" s="9" t="str">
        <v>EPSG</v>
      </c>
      <c r="F2938" s="7" t="str">
        <v>5836</v>
      </c>
      <c r="G2938" t="str">
        <v>ProjectedCrs</v>
      </c>
      <c r="H2938" t="str">
        <v>Transverse Mercator</v>
      </c>
      <c r="I2938" t="str">
        <v>Yemen NGN96 / UTM zone 37N</v>
      </c>
      <c r="J2938" t="str">
        <v>Yemen - west of 42°E, onshore and offshore.</v>
      </c>
      <c r="K2938" s="11">
        <v>0</v>
      </c>
    </row>
    <row r="2939" spans="5:11" x14ac:dyDescent="0.35">
      <c r="E2939" s="9" t="str">
        <v>EPSG</v>
      </c>
      <c r="F2939" s="7" t="str">
        <v>5837</v>
      </c>
      <c r="G2939" t="str">
        <v>ProjectedCrs</v>
      </c>
      <c r="H2939" t="str">
        <v>Transverse Mercator</v>
      </c>
      <c r="I2939" t="str">
        <v>Yemen NGN96 / UTM zone 40N</v>
      </c>
      <c r="J2939" t="str">
        <v>Yemen - east of 54°E, onshore and offshore.</v>
      </c>
      <c r="K2939" s="11">
        <v>0</v>
      </c>
    </row>
    <row r="2940" spans="5:11" x14ac:dyDescent="0.35">
      <c r="E2940" s="9" t="str">
        <v>EPSG</v>
      </c>
      <c r="F2940" s="7" t="str">
        <v>5839</v>
      </c>
      <c r="G2940" t="str">
        <v>ProjectedCrs</v>
      </c>
      <c r="H2940" t="str">
        <v>Transverse Mercator</v>
      </c>
      <c r="I2940" t="str">
        <v>Peru96 / UTM zone 17S</v>
      </c>
      <c r="J2940" t="str">
        <v>Peru - between 84°W and 78°W, onshore and offshore.</v>
      </c>
      <c r="K2940" s="11">
        <v>0</v>
      </c>
    </row>
    <row r="2941" spans="5:11" x14ac:dyDescent="0.35">
      <c r="E2941" s="9" t="str">
        <v>EPSG</v>
      </c>
      <c r="F2941" s="7" t="str">
        <v>5842</v>
      </c>
      <c r="G2941" t="str">
        <v>ProjectedCrs</v>
      </c>
      <c r="H2941" t="str">
        <v>Transverse Mercator</v>
      </c>
      <c r="I2941" t="str">
        <v>WGS 84 / TM 12 SE</v>
      </c>
      <c r="J2941" t="str">
        <v>Angola - offshore north of 8°S - including blocks 0, 1, 2, 14, 15, 17, 18 north of 8°S and 32; onshore Soyo area.</v>
      </c>
      <c r="K2941" s="11">
        <v>0</v>
      </c>
    </row>
    <row r="2942" spans="5:11" x14ac:dyDescent="0.35">
      <c r="E2942" s="9" t="str">
        <v>EPSG</v>
      </c>
      <c r="F2942" s="7" t="str">
        <v>5843</v>
      </c>
      <c r="G2942" t="str">
        <v>VerticalCrs</v>
      </c>
      <c r="H2942" t="str">
        <v>&lt;undefined&gt;</v>
      </c>
      <c r="I2942" t="str">
        <v>Ras Ghumays height</v>
      </c>
      <c r="J2942" t="str">
        <v>United Arab Emirates (UAE) - Abu Dhabi onshore.</v>
      </c>
      <c r="K2942" s="11">
        <v>0</v>
      </c>
    </row>
    <row r="2943" spans="5:11" x14ac:dyDescent="0.35">
      <c r="E2943" s="9" t="str">
        <v>EPSG</v>
      </c>
      <c r="F2943" s="7" t="str">
        <v>5844</v>
      </c>
      <c r="G2943" t="str">
        <v>ProjectedCrs</v>
      </c>
      <c r="H2943" t="str">
        <v>Transverse Mercator</v>
      </c>
      <c r="I2943" t="str">
        <v>RGRDC 2005 / Congo TM zone 30</v>
      </c>
      <c r="J2943" t="str">
        <v>The Democratic Republic of the Congo (Zaire) - south of a line through Bandundu, Seke and Pweto and east of 29°E.</v>
      </c>
      <c r="K2943" s="11">
        <v>0</v>
      </c>
    </row>
    <row r="2944" spans="5:11" x14ac:dyDescent="0.35">
      <c r="E2944" s="9" t="str">
        <v>EPSG</v>
      </c>
      <c r="F2944" s="7" t="str">
        <v>5845</v>
      </c>
      <c r="G2944" t="str">
        <v>CompoundCrs</v>
      </c>
      <c r="H2944" t="str">
        <v>&lt;undefined&gt;</v>
      </c>
      <c r="I2944" t="str">
        <v>SWEREF99 TM + RH2000 height</v>
      </c>
      <c r="J2944" t="str">
        <v>Sweden - onshore.</v>
      </c>
      <c r="K2944" s="11">
        <v>0</v>
      </c>
    </row>
    <row r="2945" spans="5:11" x14ac:dyDescent="0.35">
      <c r="E2945" s="9" t="str">
        <v>EPSG</v>
      </c>
      <c r="F2945" s="7" t="str">
        <v>5846</v>
      </c>
      <c r="G2945" t="str">
        <v>CompoundCrs</v>
      </c>
      <c r="H2945" t="str">
        <v>&lt;undefined&gt;</v>
      </c>
      <c r="I2945" t="str">
        <v>SWEREF99 12 00 + RH2000 height</v>
      </c>
      <c r="J2945" t="str">
        <v>Sweden - communes west of approximately 12°45'E and south of approximately 60°N. See information source for map.</v>
      </c>
      <c r="K2945" s="11">
        <v>0</v>
      </c>
    </row>
    <row r="2946" spans="5:11" x14ac:dyDescent="0.35">
      <c r="E2946" s="9" t="str">
        <v>EPSG</v>
      </c>
      <c r="F2946" s="7" t="str">
        <v>5847</v>
      </c>
      <c r="G2946" t="str">
        <v>CompoundCrs</v>
      </c>
      <c r="H2946" t="str">
        <v>&lt;undefined&gt;</v>
      </c>
      <c r="I2946" t="str">
        <v>SWEREF99 13 30 + RH2000 height</v>
      </c>
      <c r="J2946" t="str">
        <v>Sweden - communes between approximately 12°45'E and 14°15'E and south of approximately 62°10'N. See information source for map.</v>
      </c>
      <c r="K2946" s="11">
        <v>0</v>
      </c>
    </row>
    <row r="2947" spans="5:11" x14ac:dyDescent="0.35">
      <c r="E2947" s="9" t="str">
        <v>EPSG</v>
      </c>
      <c r="F2947" s="7" t="str">
        <v>5848</v>
      </c>
      <c r="G2947" t="str">
        <v>CompoundCrs</v>
      </c>
      <c r="H2947" t="str">
        <v>&lt;undefined&gt;</v>
      </c>
      <c r="I2947" t="str">
        <v>SWEREF99 15 00 + RH2000 height</v>
      </c>
      <c r="J2947" t="str">
        <v>Sweden - communes between approximately 14°15'E and 15°45'E and south of approximately 61°30'N. See information source for map.</v>
      </c>
      <c r="K2947" s="11">
        <v>0</v>
      </c>
    </row>
    <row r="2948" spans="5:11" x14ac:dyDescent="0.35">
      <c r="E2948" s="9" t="str">
        <v>EPSG</v>
      </c>
      <c r="F2948" s="7" t="str">
        <v>5849</v>
      </c>
      <c r="G2948" t="str">
        <v>CompoundCrs</v>
      </c>
      <c r="H2948" t="str">
        <v>&lt;undefined&gt;</v>
      </c>
      <c r="I2948" t="str">
        <v>SWEREF99 16 30 + RH2000 height</v>
      </c>
      <c r="J2948" t="str">
        <v>Sweden - communes between approximately 15°45'E and 17°15'E and south of approximately 62°20'N. See information source for map.</v>
      </c>
      <c r="K2948" s="11">
        <v>0</v>
      </c>
    </row>
    <row r="2949" spans="5:11" x14ac:dyDescent="0.35">
      <c r="E2949" s="9" t="str">
        <v>EPSG</v>
      </c>
      <c r="F2949" s="7" t="str">
        <v>5850</v>
      </c>
      <c r="G2949" t="str">
        <v>CompoundCrs</v>
      </c>
      <c r="H2949" t="str">
        <v>&lt;undefined&gt;</v>
      </c>
      <c r="I2949" t="str">
        <v>SWEREF99 18 00 + RH2000 height</v>
      </c>
      <c r="J2949" t="str">
        <v>Sweden - communes east of approximately 17°15'E between approximately 60°40'N and 58°50'N. See information source for map.</v>
      </c>
      <c r="K2949" s="11">
        <v>0</v>
      </c>
    </row>
    <row r="2950" spans="5:11" x14ac:dyDescent="0.35">
      <c r="E2950" s="9" t="str">
        <v>EPSG</v>
      </c>
      <c r="F2950" s="7" t="str">
        <v>5851</v>
      </c>
      <c r="G2950" t="str">
        <v>CompoundCrs</v>
      </c>
      <c r="H2950" t="str">
        <v>&lt;undefined&gt;</v>
      </c>
      <c r="I2950" t="str">
        <v>SWEREF99 14 15 + RH2000 height</v>
      </c>
      <c r="J2950" t="str">
        <v>Sweden - communes west of approximately 15°E and between approximately 61°35'N and 64°25'N. See information source for map.</v>
      </c>
      <c r="K2950" s="11">
        <v>0</v>
      </c>
    </row>
    <row r="2951" spans="5:11" x14ac:dyDescent="0.35">
      <c r="E2951" s="9" t="str">
        <v>EPSG</v>
      </c>
      <c r="F2951" s="7" t="str">
        <v>5852</v>
      </c>
      <c r="G2951" t="str">
        <v>CompoundCrs</v>
      </c>
      <c r="H2951" t="str">
        <v>&lt;undefined&gt;</v>
      </c>
      <c r="I2951" t="str">
        <v>SWEREF99 15 45 + RH2000 height</v>
      </c>
      <c r="J2951" t="str">
        <v>Sweden - communes between approximately 15°E and 16°30'E and between approximately 60°30'N and 65°N. See information source for map.</v>
      </c>
      <c r="K2951" s="11">
        <v>0</v>
      </c>
    </row>
    <row r="2952" spans="5:11" x14ac:dyDescent="0.35">
      <c r="E2952" s="9" t="str">
        <v>EPSG</v>
      </c>
      <c r="F2952" s="7" t="str">
        <v>5853</v>
      </c>
      <c r="G2952" t="str">
        <v>CompoundCrs</v>
      </c>
      <c r="H2952" t="str">
        <v>&lt;undefined&gt;</v>
      </c>
      <c r="I2952" t="str">
        <v>SWEREF99 17 15 + RH2000 height</v>
      </c>
      <c r="J2952" t="str">
        <v>Sweden - communes between approximately 14°20'E and 18°50'E and between approximately 67°10'N and 62°05'N. See information source for map.</v>
      </c>
      <c r="K2952" s="11">
        <v>0</v>
      </c>
    </row>
    <row r="2953" spans="5:11" x14ac:dyDescent="0.35">
      <c r="E2953" s="9" t="str">
        <v>EPSG</v>
      </c>
      <c r="F2953" s="7" t="str">
        <v>5854</v>
      </c>
      <c r="G2953" t="str">
        <v>CompoundCrs</v>
      </c>
      <c r="H2953" t="str">
        <v>&lt;undefined&gt;</v>
      </c>
      <c r="I2953" t="str">
        <v>SWEREF99 18 45 + RH2000 height</v>
      </c>
      <c r="J2953" t="str">
        <v>Sweden - mainland communes between approximately 18°E and 19°30'E and between approximately 62°50'N and 66°N. Also Gotland. See information source for map.</v>
      </c>
      <c r="K2953" s="11">
        <v>0</v>
      </c>
    </row>
    <row r="2954" spans="5:11" x14ac:dyDescent="0.35">
      <c r="E2954" s="9" t="str">
        <v>EPSG</v>
      </c>
      <c r="F2954" s="7" t="str">
        <v>5855</v>
      </c>
      <c r="G2954" t="str">
        <v>CompoundCrs</v>
      </c>
      <c r="H2954" t="str">
        <v>&lt;undefined&gt;</v>
      </c>
      <c r="I2954" t="str">
        <v>SWEREF99 20 15 + RH2000 height</v>
      </c>
      <c r="J2954" t="str">
        <v>Sweden - communes in Vaasterbotten east of approximately 19°30'E and (i) north of 63°30'N and (ii) south of approximately 65°05'N. Also Norbotten west of approximately 23°20'E. See information source for map.</v>
      </c>
      <c r="K2954" s="11">
        <v>0</v>
      </c>
    </row>
    <row r="2955" spans="5:11" x14ac:dyDescent="0.35">
      <c r="E2955" s="9" t="str">
        <v>EPSG</v>
      </c>
      <c r="F2955" s="7" t="str">
        <v>5856</v>
      </c>
      <c r="G2955" t="str">
        <v>CompoundCrs</v>
      </c>
      <c r="H2955" t="str">
        <v>&lt;undefined&gt;</v>
      </c>
      <c r="I2955" t="str">
        <v>SWEREF99 21 45 + RH2000 height</v>
      </c>
      <c r="J2955" t="str">
        <v>Sweden - communes in Norbotten east of approximately 19°30'E and south of approximately 65°50'N. See information source for map.</v>
      </c>
      <c r="K2955" s="11">
        <v>0</v>
      </c>
    </row>
    <row r="2956" spans="5:11" x14ac:dyDescent="0.35">
      <c r="E2956" s="9" t="str">
        <v>EPSG</v>
      </c>
      <c r="F2956" s="7" t="str">
        <v>5857</v>
      </c>
      <c r="G2956" t="str">
        <v>CompoundCrs</v>
      </c>
      <c r="H2956" t="str">
        <v>&lt;undefined&gt;</v>
      </c>
      <c r="I2956" t="str">
        <v>SWEREF99 23 15 + RH2000 height</v>
      </c>
      <c r="J2956" t="str">
        <v>Sweden - communes east of approximately 21°50'E. See information source for map.</v>
      </c>
      <c r="K2956" s="11">
        <v>0</v>
      </c>
    </row>
    <row r="2957" spans="5:11" x14ac:dyDescent="0.35">
      <c r="E2957" s="9" t="str">
        <v>EPSG</v>
      </c>
      <c r="F2957" s="7" t="str">
        <v>5858</v>
      </c>
      <c r="G2957" t="str">
        <v>ProjectedCrs</v>
      </c>
      <c r="H2957" t="str">
        <v>Transverse Mercator</v>
      </c>
      <c r="I2957" t="str">
        <v>SAD69(96) / UTM zone 22S</v>
      </c>
      <c r="J2957" t="str">
        <v>Brazil - onshore and offshore northern and southern hemispheres between 54°W and 48°W.</v>
      </c>
      <c r="K2957" s="11">
        <v>0</v>
      </c>
    </row>
    <row r="2958" spans="5:11" x14ac:dyDescent="0.35">
      <c r="E2958" s="9" t="str">
        <v>EPSG</v>
      </c>
      <c r="F2958" s="7" t="str">
        <v>5861</v>
      </c>
      <c r="G2958" t="str">
        <v>VerticalCrs</v>
      </c>
      <c r="H2958" t="str">
        <v>&lt;undefined&gt;</v>
      </c>
      <c r="I2958" t="str">
        <v>LAT depth</v>
      </c>
      <c r="J2958" t="str">
        <v>World.</v>
      </c>
      <c r="K2958" s="11">
        <v>0</v>
      </c>
    </row>
    <row r="2959" spans="5:11" x14ac:dyDescent="0.35">
      <c r="E2959" s="9" t="str">
        <v>EPSG</v>
      </c>
      <c r="F2959" s="7" t="str">
        <v>5862</v>
      </c>
      <c r="G2959" t="str">
        <v>VerticalCrs</v>
      </c>
      <c r="H2959" t="str">
        <v>&lt;undefined&gt;</v>
      </c>
      <c r="I2959" t="str">
        <v>LLWLT depth</v>
      </c>
      <c r="J2959" t="str">
        <v>World.</v>
      </c>
      <c r="K2959" s="11">
        <v>0</v>
      </c>
    </row>
    <row r="2960" spans="5:11" x14ac:dyDescent="0.35">
      <c r="E2960" s="9" t="str">
        <v>EPSG</v>
      </c>
      <c r="F2960" s="7" t="str">
        <v>5863</v>
      </c>
      <c r="G2960" t="str">
        <v>VerticalCrs</v>
      </c>
      <c r="H2960" t="str">
        <v>&lt;undefined&gt;</v>
      </c>
      <c r="I2960" t="str">
        <v>ISLW depth</v>
      </c>
      <c r="J2960" t="str">
        <v>World.</v>
      </c>
      <c r="K2960" s="11">
        <v>0</v>
      </c>
    </row>
    <row r="2961" spans="5:11" x14ac:dyDescent="0.35">
      <c r="E2961" s="9" t="str">
        <v>EPSG</v>
      </c>
      <c r="F2961" s="7" t="str">
        <v>5864</v>
      </c>
      <c r="G2961" t="str">
        <v>VerticalCrs</v>
      </c>
      <c r="H2961" t="str">
        <v>&lt;undefined&gt;</v>
      </c>
      <c r="I2961" t="str">
        <v>MLLWS depth</v>
      </c>
      <c r="J2961" t="str">
        <v>World.</v>
      </c>
      <c r="K2961" s="11">
        <v>0</v>
      </c>
    </row>
    <row r="2962" spans="5:11" x14ac:dyDescent="0.35">
      <c r="E2962" s="9" t="str">
        <v>EPSG</v>
      </c>
      <c r="F2962" s="7" t="str">
        <v>5865</v>
      </c>
      <c r="G2962" t="str">
        <v>VerticalCrs</v>
      </c>
      <c r="H2962" t="str">
        <v>&lt;undefined&gt;</v>
      </c>
      <c r="I2962" t="str">
        <v>MLWS depth</v>
      </c>
      <c r="J2962" t="str">
        <v>World.</v>
      </c>
      <c r="K2962" s="11">
        <v>0</v>
      </c>
    </row>
    <row r="2963" spans="5:11" x14ac:dyDescent="0.35">
      <c r="E2963" s="9" t="str">
        <v>EPSG</v>
      </c>
      <c r="F2963" s="7" t="str">
        <v>5866</v>
      </c>
      <c r="G2963" t="str">
        <v>VerticalCrs</v>
      </c>
      <c r="H2963" t="str">
        <v>&lt;undefined&gt;</v>
      </c>
      <c r="I2963" t="str">
        <v>MLLW depth</v>
      </c>
      <c r="J2963" t="str">
        <v>World.</v>
      </c>
      <c r="K2963" s="11">
        <v>0</v>
      </c>
    </row>
    <row r="2964" spans="5:11" x14ac:dyDescent="0.35">
      <c r="E2964" s="9" t="str">
        <v>EPSG</v>
      </c>
      <c r="F2964" s="7" t="str">
        <v>5867</v>
      </c>
      <c r="G2964" t="str">
        <v>VerticalCrs</v>
      </c>
      <c r="H2964" t="str">
        <v>&lt;undefined&gt;</v>
      </c>
      <c r="I2964" t="str">
        <v>MLW depth</v>
      </c>
      <c r="J2964" t="str">
        <v>World.</v>
      </c>
      <c r="K2964" s="11">
        <v>0</v>
      </c>
    </row>
    <row r="2965" spans="5:11" x14ac:dyDescent="0.35">
      <c r="E2965" s="9" t="str">
        <v>EPSG</v>
      </c>
      <c r="F2965" s="7" t="str">
        <v>5868</v>
      </c>
      <c r="G2965" t="str">
        <v>VerticalCrs</v>
      </c>
      <c r="H2965" t="str">
        <v>&lt;undefined&gt;</v>
      </c>
      <c r="I2965" t="str">
        <v>MHW height</v>
      </c>
      <c r="J2965" t="str">
        <v>World.</v>
      </c>
      <c r="K2965" s="11">
        <v>0</v>
      </c>
    </row>
    <row r="2966" spans="5:11" x14ac:dyDescent="0.35">
      <c r="E2966" s="9" t="str">
        <v>EPSG</v>
      </c>
      <c r="F2966" s="7" t="str">
        <v>5869</v>
      </c>
      <c r="G2966" t="str">
        <v>VerticalCrs</v>
      </c>
      <c r="H2966" t="str">
        <v>&lt;undefined&gt;</v>
      </c>
      <c r="I2966" t="str">
        <v>MHHW height</v>
      </c>
      <c r="J2966" t="str">
        <v>World.</v>
      </c>
      <c r="K2966" s="11">
        <v>0</v>
      </c>
    </row>
    <row r="2967" spans="5:11" x14ac:dyDescent="0.35">
      <c r="E2967" s="9" t="str">
        <v>EPSG</v>
      </c>
      <c r="F2967" s="7" t="str">
        <v>5870</v>
      </c>
      <c r="G2967" t="str">
        <v>VerticalCrs</v>
      </c>
      <c r="H2967" t="str">
        <v>&lt;undefined&gt;</v>
      </c>
      <c r="I2967" t="str">
        <v>MHWS height</v>
      </c>
      <c r="J2967" t="str">
        <v>World.</v>
      </c>
      <c r="K2967" s="11">
        <v>0</v>
      </c>
    </row>
    <row r="2968" spans="5:11" x14ac:dyDescent="0.35">
      <c r="E2968" s="9" t="str">
        <v>EPSG</v>
      </c>
      <c r="F2968" s="7" t="str">
        <v>5871</v>
      </c>
      <c r="G2968" t="str">
        <v>VerticalCrs</v>
      </c>
      <c r="H2968" t="str">
        <v>&lt;undefined&gt;</v>
      </c>
      <c r="I2968" t="str">
        <v>HHWLT height</v>
      </c>
      <c r="J2968" t="str">
        <v>World.</v>
      </c>
      <c r="K2968" s="11">
        <v>0</v>
      </c>
    </row>
    <row r="2969" spans="5:11" x14ac:dyDescent="0.35">
      <c r="E2969" s="9" t="str">
        <v>EPSG</v>
      </c>
      <c r="F2969" s="7" t="str">
        <v>5872</v>
      </c>
      <c r="G2969" t="str">
        <v>VerticalCrs</v>
      </c>
      <c r="H2969" t="str">
        <v>&lt;undefined&gt;</v>
      </c>
      <c r="I2969" t="str">
        <v>HAT height</v>
      </c>
      <c r="J2969" t="str">
        <v>World.</v>
      </c>
      <c r="K2969" s="11">
        <v>0</v>
      </c>
    </row>
    <row r="2970" spans="5:11" x14ac:dyDescent="0.35">
      <c r="E2970" s="9" t="str">
        <v>EPSG</v>
      </c>
      <c r="F2970" s="7" t="str">
        <v>5873</v>
      </c>
      <c r="G2970" t="str">
        <v>VerticalCrs</v>
      </c>
      <c r="H2970" t="str">
        <v>&lt;undefined&gt;</v>
      </c>
      <c r="I2970" t="str">
        <v>Low Water depth</v>
      </c>
      <c r="J2970" t="str">
        <v>World.</v>
      </c>
      <c r="K2970" s="11">
        <v>0</v>
      </c>
    </row>
    <row r="2971" spans="5:11" x14ac:dyDescent="0.35">
      <c r="E2971" s="9" t="str">
        <v>EPSG</v>
      </c>
      <c r="F2971" s="7" t="str">
        <v>5874</v>
      </c>
      <c r="G2971" t="str">
        <v>VerticalCrs</v>
      </c>
      <c r="H2971" t="str">
        <v>&lt;undefined&gt;</v>
      </c>
      <c r="I2971" t="str">
        <v>High Water height</v>
      </c>
      <c r="J2971" t="str">
        <v>World.</v>
      </c>
      <c r="K2971" s="11">
        <v>0</v>
      </c>
    </row>
    <row r="2972" spans="5:11" x14ac:dyDescent="0.35">
      <c r="E2972" s="9" t="str">
        <v>EPSG</v>
      </c>
      <c r="F2972" s="7" t="str">
        <v>5875</v>
      </c>
      <c r="G2972" t="str">
        <v>ProjectedCrs</v>
      </c>
      <c r="H2972" t="str">
        <v>Transverse Mercator</v>
      </c>
      <c r="I2972" t="str">
        <v>SAD69(96) / UTM zone 18S</v>
      </c>
      <c r="J2972" t="str">
        <v>Brazil - west of 72°W.</v>
      </c>
      <c r="K2972" s="11">
        <v>0</v>
      </c>
    </row>
    <row r="2973" spans="5:11" x14ac:dyDescent="0.35">
      <c r="E2973" s="9" t="str">
        <v>EPSG</v>
      </c>
      <c r="F2973" s="7" t="str">
        <v>5876</v>
      </c>
      <c r="G2973" t="str">
        <v>ProjectedCrs</v>
      </c>
      <c r="H2973" t="str">
        <v>Transverse Mercator</v>
      </c>
      <c r="I2973" t="str">
        <v>SAD69(96) / UTM zone 19S</v>
      </c>
      <c r="J2973" t="str">
        <v>Brazil - between 72°W and 66°W, northern and southern hemispheres.</v>
      </c>
      <c r="K2973" s="11">
        <v>0</v>
      </c>
    </row>
    <row r="2974" spans="5:11" x14ac:dyDescent="0.35">
      <c r="E2974" s="9" t="str">
        <v>EPSG</v>
      </c>
      <c r="F2974" s="7" t="str">
        <v>5877</v>
      </c>
      <c r="G2974" t="str">
        <v>ProjectedCrs</v>
      </c>
      <c r="H2974" t="str">
        <v>Transverse Mercator</v>
      </c>
      <c r="I2974" t="str">
        <v>SAD69(96) / UTM zone 20S</v>
      </c>
      <c r="J2974" t="str">
        <v>Brazil - between 66°W and 60°W, northern and southern hemispheres.</v>
      </c>
      <c r="K2974" s="11">
        <v>0</v>
      </c>
    </row>
    <row r="2975" spans="5:11" x14ac:dyDescent="0.35">
      <c r="E2975" s="9" t="str">
        <v>EPSG</v>
      </c>
      <c r="F2975" s="7" t="str">
        <v>5879</v>
      </c>
      <c r="G2975" t="str">
        <v>ProjectedCrs</v>
      </c>
      <c r="H2975" t="str">
        <v>Transverse Mercator</v>
      </c>
      <c r="I2975" t="str">
        <v>Cadastre 1997 / UTM zone 38S</v>
      </c>
      <c r="J2975" t="str">
        <v>Mayotte - onshore.</v>
      </c>
      <c r="K2975" s="11">
        <v>0</v>
      </c>
    </row>
    <row r="2976" spans="5:11" x14ac:dyDescent="0.35">
      <c r="E2976" s="9" t="str">
        <v>EPSG</v>
      </c>
      <c r="F2976" s="7" t="str">
        <v>5880</v>
      </c>
      <c r="G2976" t="str">
        <v>ProjectedCrs</v>
      </c>
      <c r="H2976" t="str">
        <v>American Polyconic</v>
      </c>
      <c r="I2976" t="str">
        <v>SIRGAS 2000 / Brazil Polyconic</v>
      </c>
      <c r="J2976" t="str">
        <v>Brazil - onshore and offshore. Includes Rocas, Fernando de Noronha archipelago, Trindade, Ihlas Martim Vaz and Sao Pedro e Sao Paulo.</v>
      </c>
      <c r="K2976" s="11">
        <v>0</v>
      </c>
    </row>
    <row r="2977" spans="5:11" x14ac:dyDescent="0.35">
      <c r="E2977" s="9" t="str">
        <v>EPSG</v>
      </c>
      <c r="F2977" s="7" t="str">
        <v>5884</v>
      </c>
      <c r="G2977" t="str">
        <v>GeocentricCrs</v>
      </c>
      <c r="H2977" t="str">
        <v>&lt;undefined&gt;</v>
      </c>
      <c r="I2977" t="str">
        <v>TGD2005</v>
      </c>
      <c r="J2977" t="str">
        <v>Tonga - onshore and offshore.</v>
      </c>
      <c r="K2977" s="11">
        <v>0</v>
      </c>
    </row>
    <row r="2978" spans="5:11" x14ac:dyDescent="0.35">
      <c r="E2978" s="9" t="str">
        <v>EPSG</v>
      </c>
      <c r="F2978" s="7" t="str">
        <v>5885</v>
      </c>
      <c r="G2978" t="str">
        <v>Geographic3DCrs</v>
      </c>
      <c r="H2978" t="str">
        <v>&lt;undefined&gt;</v>
      </c>
      <c r="I2978" t="str">
        <v>TGD2005</v>
      </c>
      <c r="J2978" t="str">
        <v>Tonga - onshore and offshore.</v>
      </c>
      <c r="K2978" s="11">
        <v>0</v>
      </c>
    </row>
    <row r="2979" spans="5:11" x14ac:dyDescent="0.35">
      <c r="E2979" s="9" t="str">
        <v>EPSG</v>
      </c>
      <c r="F2979" s="7" t="str">
        <v>5886</v>
      </c>
      <c r="G2979" t="str">
        <v>Geographic2DCrs</v>
      </c>
      <c r="H2979" t="str">
        <v>&lt;undefined&gt;</v>
      </c>
      <c r="I2979" t="str">
        <v>TGD2005</v>
      </c>
      <c r="J2979" t="str">
        <v>Tonga - onshore and offshore.</v>
      </c>
      <c r="K2979" s="11">
        <v>0</v>
      </c>
    </row>
    <row r="2980" spans="5:11" x14ac:dyDescent="0.35">
      <c r="E2980" s="9" t="str">
        <v>EPSG</v>
      </c>
      <c r="F2980" s="7" t="str">
        <v>5887</v>
      </c>
      <c r="G2980" t="str">
        <v>ProjectedCrs</v>
      </c>
      <c r="H2980" t="str">
        <v>Transverse Mercator</v>
      </c>
      <c r="I2980" t="str">
        <v>TGD2005 / Tonga Map Grid</v>
      </c>
      <c r="J2980" t="str">
        <v>Tonga - onshore and offshore.</v>
      </c>
      <c r="K2980" s="11">
        <v>0</v>
      </c>
    </row>
    <row r="2981" spans="5:11" x14ac:dyDescent="0.35">
      <c r="E2981" s="9" t="str">
        <v>EPSG</v>
      </c>
      <c r="F2981" s="7" t="str">
        <v>5896</v>
      </c>
      <c r="G2981" t="str">
        <v>ProjectedCrs</v>
      </c>
      <c r="H2981" t="str">
        <v>Transverse Mercator</v>
      </c>
      <c r="I2981" t="str">
        <v>VN-2000 / TM-3 zone 481</v>
      </c>
      <c r="J2981" t="str">
        <v>Vietnam - onshore west of 103°30'E.</v>
      </c>
      <c r="K2981" s="11">
        <v>0</v>
      </c>
    </row>
    <row r="2982" spans="5:11" x14ac:dyDescent="0.35">
      <c r="E2982" s="9" t="str">
        <v>EPSG</v>
      </c>
      <c r="F2982" s="7" t="str">
        <v>5897</v>
      </c>
      <c r="G2982" t="str">
        <v>ProjectedCrs</v>
      </c>
      <c r="H2982" t="str">
        <v>Transverse Mercator</v>
      </c>
      <c r="I2982" t="str">
        <v>VN-2000 / TM-3 zone 482</v>
      </c>
      <c r="J2982" t="str">
        <v>Vietnam - Ha Noi city, Ha Nam, Ha Tay, Ninh Binh, Thanh Hoa and Vinh Phuc provinces; Can Tho city, Bac Lieu, Dong Thap and Hau Giang provinces.</v>
      </c>
      <c r="K2982" s="11">
        <v>0</v>
      </c>
    </row>
    <row r="2983" spans="5:11" x14ac:dyDescent="0.35">
      <c r="E2983" s="9" t="str">
        <v>EPSG</v>
      </c>
      <c r="F2983" s="7" t="str">
        <v>5897</v>
      </c>
      <c r="G2983" t="str">
        <v>ProjectedCrs</v>
      </c>
      <c r="H2983" t="str">
        <v>Transverse Mercator</v>
      </c>
      <c r="I2983" t="str">
        <v>VN-2000 / TM-3 zone 482</v>
      </c>
      <c r="J2983" t="str">
        <v>Vietnam - between 103°30'E and 106°30'E, onshore.</v>
      </c>
      <c r="K2983" s="11">
        <v>0</v>
      </c>
    </row>
    <row r="2984" spans="5:11" x14ac:dyDescent="0.35">
      <c r="E2984" s="9" t="str">
        <v>EPSG</v>
      </c>
      <c r="F2984" s="7" t="str">
        <v>5898</v>
      </c>
      <c r="G2984" t="str">
        <v>ProjectedCrs</v>
      </c>
      <c r="H2984" t="str">
        <v>Transverse Mercator</v>
      </c>
      <c r="I2984" t="str">
        <v>VN-2000 / TM-3 zone 491</v>
      </c>
      <c r="J2984" t="str">
        <v>Vietnam - Quang Ngai province.</v>
      </c>
      <c r="K2984" s="11">
        <v>0</v>
      </c>
    </row>
    <row r="2985" spans="5:11" x14ac:dyDescent="0.35">
      <c r="E2985" s="9" t="str">
        <v>EPSG</v>
      </c>
      <c r="F2985" s="7" t="str">
        <v>5898</v>
      </c>
      <c r="G2985" t="str">
        <v>ProjectedCrs</v>
      </c>
      <c r="H2985" t="str">
        <v>Transverse Mercator</v>
      </c>
      <c r="I2985" t="str">
        <v>VN-2000 / TM-3 zone 491</v>
      </c>
      <c r="J2985" t="str">
        <v>Vietnam - onshore east of 106°30'E.</v>
      </c>
      <c r="K2985" s="11">
        <v>0</v>
      </c>
    </row>
    <row r="2986" spans="5:11" x14ac:dyDescent="0.35">
      <c r="E2986" s="9" t="str">
        <v>EPSG</v>
      </c>
      <c r="F2986" s="7" t="str">
        <v>5899</v>
      </c>
      <c r="G2986" t="str">
        <v>ProjectedCrs</v>
      </c>
      <c r="H2986" t="str">
        <v>Transverse Mercator</v>
      </c>
      <c r="I2986" t="str">
        <v>VN-2000 / TM-3 107-45</v>
      </c>
      <c r="J2986" t="str">
        <v>Vietnam - Quang Ninh province; Da Nang municipality and Quang Nam province; Ba Ria-Vung Tau, Dong Nai and Lam Dong provinces.</v>
      </c>
      <c r="K2986" s="11">
        <v>0</v>
      </c>
    </row>
    <row r="2987" spans="5:11" x14ac:dyDescent="0.35">
      <c r="E2987" s="9" t="str">
        <v>EPSG</v>
      </c>
      <c r="F2987" s="7" t="str">
        <v>5921</v>
      </c>
      <c r="G2987" t="str">
        <v>ProjectedCrs</v>
      </c>
      <c r="H2987" t="str">
        <v>Lambert Conic Conformal (2SP)</v>
      </c>
      <c r="I2987" t="str">
        <v>WGS 84 / EPSG Arctic Regional zone A1</v>
      </c>
      <c r="J2987" t="str">
        <v>Arctic - 87°N to 75°N, approximately 156°W to approximately 66°W. May be extended westwards or eastwards within the latitude limits.</v>
      </c>
      <c r="K2987" s="11">
        <v>0</v>
      </c>
    </row>
    <row r="2988" spans="5:11" x14ac:dyDescent="0.35">
      <c r="E2988" s="9" t="str">
        <v>EPSG</v>
      </c>
      <c r="F2988" s="7" t="str">
        <v>5922</v>
      </c>
      <c r="G2988" t="str">
        <v>ProjectedCrs</v>
      </c>
      <c r="H2988" t="str">
        <v>Lambert Conic Conformal (2SP)</v>
      </c>
      <c r="I2988" t="str">
        <v>WGS 84 / EPSG Arctic Regional zone A2</v>
      </c>
      <c r="J2988" t="str">
        <v>Arctic - 87°N to 75°N, approximately 84°W to approximately 6°E. May be extended westwards or eastwards within the latitude limits.</v>
      </c>
      <c r="K2988" s="11">
        <v>0</v>
      </c>
    </row>
    <row r="2989" spans="5:11" x14ac:dyDescent="0.35">
      <c r="E2989" s="9" t="str">
        <v>EPSG</v>
      </c>
      <c r="F2989" s="7" t="str">
        <v>5923</v>
      </c>
      <c r="G2989" t="str">
        <v>ProjectedCrs</v>
      </c>
      <c r="H2989" t="str">
        <v>Lambert Conic Conformal (2SP)</v>
      </c>
      <c r="I2989" t="str">
        <v>WGS 84 / EPSG Arctic Regional zone A3</v>
      </c>
      <c r="J2989" t="str">
        <v>Arctic - 87°N to 75°N, approximately 12°W to approximately 78°E. May be extended westwards or eastwards within the latitude limits.</v>
      </c>
      <c r="K2989" s="11">
        <v>0</v>
      </c>
    </row>
    <row r="2990" spans="5:11" x14ac:dyDescent="0.35">
      <c r="E2990" s="9" t="str">
        <v>EPSG</v>
      </c>
      <c r="F2990" s="7" t="str">
        <v>5924</v>
      </c>
      <c r="G2990" t="str">
        <v>ProjectedCrs</v>
      </c>
      <c r="H2990" t="str">
        <v>Lambert Conic Conformal (2SP)</v>
      </c>
      <c r="I2990" t="str">
        <v>WGS 84 / EPSG Arctic Regional zone A4</v>
      </c>
      <c r="J2990" t="str">
        <v>Arctic - 87°N to 75°N, approximately 60°E to approximately 150°E. May be extended westwards or eastwards within the latitude limits.</v>
      </c>
      <c r="K2990" s="11">
        <v>0</v>
      </c>
    </row>
    <row r="2991" spans="5:11" x14ac:dyDescent="0.35">
      <c r="E2991" s="9" t="str">
        <v>EPSG</v>
      </c>
      <c r="F2991" s="7" t="str">
        <v>5925</v>
      </c>
      <c r="G2991" t="str">
        <v>ProjectedCrs</v>
      </c>
      <c r="H2991" t="str">
        <v>Lambert Conic Conformal (2SP)</v>
      </c>
      <c r="I2991" t="str">
        <v>WGS 84 / EPSG Arctic Regional zone A5</v>
      </c>
      <c r="J2991" t="str">
        <v>Arctic - 87°N to 75°N, approximately 132°E to approximately 138°W. May be extended westwards or eastwards within the latitude limits.</v>
      </c>
      <c r="K2991" s="11">
        <v>0</v>
      </c>
    </row>
    <row r="2992" spans="5:11" x14ac:dyDescent="0.35">
      <c r="E2992" s="9" t="str">
        <v>EPSG</v>
      </c>
      <c r="F2992" s="7" t="str">
        <v>5926</v>
      </c>
      <c r="G2992" t="str">
        <v>ProjectedCrs</v>
      </c>
      <c r="H2992" t="str">
        <v>Lambert Conic Conformal (2SP)</v>
      </c>
      <c r="I2992" t="str">
        <v>WGS 84 / EPSG Arctic Regional zone B1</v>
      </c>
      <c r="J2992" t="str">
        <v>Arctic - 79°N to 67°N, approximately 156°W to approximately 66°W. May be extended westwards or eastwards within the latitude limits.</v>
      </c>
      <c r="K2992" s="11">
        <v>0</v>
      </c>
    </row>
    <row r="2993" spans="5:11" x14ac:dyDescent="0.35">
      <c r="E2993" s="9" t="str">
        <v>EPSG</v>
      </c>
      <c r="F2993" s="7" t="str">
        <v>5927</v>
      </c>
      <c r="G2993" t="str">
        <v>ProjectedCrs</v>
      </c>
      <c r="H2993" t="str">
        <v>Lambert Conic Conformal (2SP)</v>
      </c>
      <c r="I2993" t="str">
        <v>WGS 84 / EPSG Arctic Regional zone B2</v>
      </c>
      <c r="J2993" t="str">
        <v>Arctic - 79°N to 67°N, approximately 84°W to approximately 6°E. May be extended westwards or eastwards within the latitude limits.</v>
      </c>
      <c r="K2993" s="11">
        <v>0</v>
      </c>
    </row>
    <row r="2994" spans="5:11" x14ac:dyDescent="0.35">
      <c r="E2994" s="9" t="str">
        <v>EPSG</v>
      </c>
      <c r="F2994" s="7" t="str">
        <v>5928</v>
      </c>
      <c r="G2994" t="str">
        <v>ProjectedCrs</v>
      </c>
      <c r="H2994" t="str">
        <v>Lambert Conic Conformal (2SP)</v>
      </c>
      <c r="I2994" t="str">
        <v>WGS 84 / EPSG Arctic Regional zone B3</v>
      </c>
      <c r="J2994" t="str">
        <v>Arctic - 79°N to 67°N, approximately 12°W to approximately 78°E. May be extended westwards or eastwards within the latitude limits.</v>
      </c>
      <c r="K2994" s="11">
        <v>0</v>
      </c>
    </row>
    <row r="2995" spans="5:11" x14ac:dyDescent="0.35">
      <c r="E2995" s="9" t="str">
        <v>EPSG</v>
      </c>
      <c r="F2995" s="7" t="str">
        <v>5929</v>
      </c>
      <c r="G2995" t="str">
        <v>ProjectedCrs</v>
      </c>
      <c r="H2995" t="str">
        <v>Lambert Conic Conformal (2SP)</v>
      </c>
      <c r="I2995" t="str">
        <v>WGS 84 / EPSG Arctic Regional zone B4</v>
      </c>
      <c r="J2995" t="str">
        <v>Arctic - 79°N to 67°N, approximately 60°E to approximately 150°E. May be extended westwards or eastwards within the latitude limits.</v>
      </c>
      <c r="K2995" s="11">
        <v>0</v>
      </c>
    </row>
    <row r="2996" spans="5:11" x14ac:dyDescent="0.35">
      <c r="E2996" s="9" t="str">
        <v>EPSG</v>
      </c>
      <c r="F2996" s="7" t="str">
        <v>5930</v>
      </c>
      <c r="G2996" t="str">
        <v>ProjectedCrs</v>
      </c>
      <c r="H2996" t="str">
        <v>Lambert Conic Conformal (2SP)</v>
      </c>
      <c r="I2996" t="str">
        <v>WGS 84 / EPSG Arctic Regional zone B5</v>
      </c>
      <c r="J2996" t="str">
        <v>Arctic - 79°N to 67°N, approximately 132°E to approximately 138°W. May be extended westwards or eastwards within the latitude limits.</v>
      </c>
      <c r="K2996" s="11">
        <v>0</v>
      </c>
    </row>
    <row r="2997" spans="5:11" x14ac:dyDescent="0.35">
      <c r="E2997" s="9" t="str">
        <v>EPSG</v>
      </c>
      <c r="F2997" s="7" t="str">
        <v>5931</v>
      </c>
      <c r="G2997" t="str">
        <v>ProjectedCrs</v>
      </c>
      <c r="H2997" t="str">
        <v>Lambert Conic Conformal (2SP)</v>
      </c>
      <c r="I2997" t="str">
        <v>WGS 84 / EPSG Arctic Regional zone C1</v>
      </c>
      <c r="J2997" t="str">
        <v>Arctic - 71°N to 59°N, approximately 156°W to approximately 66°W. May be extended westwards or eastwards within the latitude limits.</v>
      </c>
      <c r="K2997" s="11">
        <v>0</v>
      </c>
    </row>
    <row r="2998" spans="5:11" x14ac:dyDescent="0.35">
      <c r="E2998" s="9" t="str">
        <v>EPSG</v>
      </c>
      <c r="F2998" s="7" t="str">
        <v>5932</v>
      </c>
      <c r="G2998" t="str">
        <v>ProjectedCrs</v>
      </c>
      <c r="H2998" t="str">
        <v>Lambert Conic Conformal (2SP)</v>
      </c>
      <c r="I2998" t="str">
        <v>WGS 84 / EPSG Arctic Regional zone C2</v>
      </c>
      <c r="J2998" t="str">
        <v>Arctic - 71°N to 59°N, approximately 84°W to approximately 6°E. May be extended westwards or eastwards within the latitude limits.</v>
      </c>
      <c r="K2998" s="11">
        <v>0</v>
      </c>
    </row>
    <row r="2999" spans="5:11" x14ac:dyDescent="0.35">
      <c r="E2999" s="9" t="str">
        <v>EPSG</v>
      </c>
      <c r="F2999" s="7" t="str">
        <v>5933</v>
      </c>
      <c r="G2999" t="str">
        <v>ProjectedCrs</v>
      </c>
      <c r="H2999" t="str">
        <v>Lambert Conic Conformal (2SP)</v>
      </c>
      <c r="I2999" t="str">
        <v>WGS 84 / EPSG Arctic Regional zone C3</v>
      </c>
      <c r="J2999" t="str">
        <v>Arctic - 71°N to 59°N, approximately 12°W to approximately 78°E. May be extended westwards or eastwards within the latitude limits.</v>
      </c>
      <c r="K2999" s="11">
        <v>0</v>
      </c>
    </row>
    <row r="3000" spans="5:11" x14ac:dyDescent="0.35">
      <c r="E3000" s="9" t="str">
        <v>EPSG</v>
      </c>
      <c r="F3000" s="7" t="str">
        <v>5934</v>
      </c>
      <c r="G3000" t="str">
        <v>ProjectedCrs</v>
      </c>
      <c r="H3000" t="str">
        <v>Lambert Conic Conformal (2SP)</v>
      </c>
      <c r="I3000" t="str">
        <v>WGS 84 / EPSG Arctic Regional zone C4</v>
      </c>
      <c r="J3000" t="str">
        <v>Arctic - 71°N to 59°N, approximately 60°E to approximately 150°E. May be extended westwards or eastwards within the latitude limits.</v>
      </c>
      <c r="K3000" s="11">
        <v>0</v>
      </c>
    </row>
    <row r="3001" spans="5:11" x14ac:dyDescent="0.35">
      <c r="E3001" s="9" t="str">
        <v>EPSG</v>
      </c>
      <c r="F3001" s="7" t="str">
        <v>5935</v>
      </c>
      <c r="G3001" t="str">
        <v>ProjectedCrs</v>
      </c>
      <c r="H3001" t="str">
        <v>Lambert Conic Conformal (2SP)</v>
      </c>
      <c r="I3001" t="str">
        <v>WGS 84 / EPSG Arctic Regional zone C5</v>
      </c>
      <c r="J3001" t="str">
        <v>Arctic - 71°N to 59°N, approximately 132°E to approximately 138°W. May be extended westwards or eastwards within the latitude limits.</v>
      </c>
      <c r="K3001" s="11">
        <v>0</v>
      </c>
    </row>
    <row r="3002" spans="5:11" x14ac:dyDescent="0.35">
      <c r="E3002" s="9" t="str">
        <v>EPSG</v>
      </c>
      <c r="F3002" s="7" t="str">
        <v>5936</v>
      </c>
      <c r="G3002" t="str">
        <v>ProjectedCrs</v>
      </c>
      <c r="H3002" t="str">
        <v>Polar Stereographic (variant A)</v>
      </c>
      <c r="I3002" t="str">
        <v>WGS 84 / EPSG Alaska Polar Stereographic</v>
      </c>
      <c r="J3002" t="str">
        <v>Northern hemisphere - north of 60°N onshore and offshore, including Arctic.</v>
      </c>
      <c r="K3002" s="11">
        <v>0</v>
      </c>
    </row>
    <row r="3003" spans="5:11" x14ac:dyDescent="0.35">
      <c r="E3003" s="9" t="str">
        <v>EPSG</v>
      </c>
      <c r="F3003" s="7" t="str">
        <v>5937</v>
      </c>
      <c r="G3003" t="str">
        <v>ProjectedCrs</v>
      </c>
      <c r="H3003" t="str">
        <v>Polar Stereographic (variant A)</v>
      </c>
      <c r="I3003" t="str">
        <v>WGS 84 / EPSG Canada Polar Stereographic</v>
      </c>
      <c r="J3003" t="str">
        <v>Northern hemisphere - north of 60°N onshore and offshore, including Arctic.</v>
      </c>
      <c r="K3003" s="11">
        <v>0</v>
      </c>
    </row>
    <row r="3004" spans="5:11" x14ac:dyDescent="0.35">
      <c r="E3004" s="9" t="str">
        <v>EPSG</v>
      </c>
      <c r="F3004" s="7" t="str">
        <v>5938</v>
      </c>
      <c r="G3004" t="str">
        <v>ProjectedCrs</v>
      </c>
      <c r="H3004" t="str">
        <v>Polar Stereographic (variant A)</v>
      </c>
      <c r="I3004" t="str">
        <v>WGS 84 / EPSG Greenland Polar Stereographic</v>
      </c>
      <c r="J3004" t="str">
        <v>Northern hemisphere - north of 60°N onshore and offshore, including Arctic.</v>
      </c>
      <c r="K3004" s="11">
        <v>0</v>
      </c>
    </row>
    <row r="3005" spans="5:11" x14ac:dyDescent="0.35">
      <c r="E3005" s="9" t="str">
        <v>EPSG</v>
      </c>
      <c r="F3005" s="7" t="str">
        <v>5939</v>
      </c>
      <c r="G3005" t="str">
        <v>ProjectedCrs</v>
      </c>
      <c r="H3005" t="str">
        <v>Polar Stereographic (variant A)</v>
      </c>
      <c r="I3005" t="str">
        <v>WGS 84 / EPSG Norway Polar Stereographic</v>
      </c>
      <c r="J3005" t="str">
        <v>Northern hemisphere - north of 60°N onshore and offshore, including Arctic.</v>
      </c>
      <c r="K3005" s="11">
        <v>0</v>
      </c>
    </row>
    <row r="3006" spans="5:11" x14ac:dyDescent="0.35">
      <c r="E3006" s="9" t="str">
        <v>EPSG</v>
      </c>
      <c r="F3006" s="7" t="str">
        <v>5940</v>
      </c>
      <c r="G3006" t="str">
        <v>ProjectedCrs</v>
      </c>
      <c r="H3006" t="str">
        <v>Polar Stereographic (variant A)</v>
      </c>
      <c r="I3006" t="str">
        <v>WGS 84 / EPSG Russia Polar Stereographic</v>
      </c>
      <c r="J3006" t="str">
        <v>Northern hemisphere - north of 60°N onshore and offshore, including Arctic.</v>
      </c>
      <c r="K3006" s="11">
        <v>0</v>
      </c>
    </row>
    <row r="3007" spans="5:11" x14ac:dyDescent="0.35">
      <c r="E3007" s="9" t="str">
        <v>EPSG</v>
      </c>
      <c r="F3007" s="7" t="str">
        <v>5941</v>
      </c>
      <c r="G3007" t="str">
        <v>VerticalCrs</v>
      </c>
      <c r="H3007" t="str">
        <v>&lt;undefined&gt;</v>
      </c>
      <c r="I3007" t="str">
        <v>NN2000 height</v>
      </c>
      <c r="J3007" t="str">
        <v>Norway - onshore.</v>
      </c>
      <c r="K3007" s="11">
        <v>0</v>
      </c>
    </row>
    <row r="3008" spans="5:11" x14ac:dyDescent="0.35">
      <c r="E3008" s="9" t="str">
        <v>EPSG</v>
      </c>
      <c r="F3008" s="7" t="str">
        <v>5942</v>
      </c>
      <c r="G3008" t="str">
        <v>CompoundCrs</v>
      </c>
      <c r="H3008" t="str">
        <v>&lt;undefined&gt;</v>
      </c>
      <c r="I3008" t="str">
        <v>ETRS89 + NN2000 height</v>
      </c>
      <c r="J3008" t="str">
        <v>Norway - onshore.</v>
      </c>
      <c r="K3008" s="11">
        <v>0</v>
      </c>
    </row>
    <row r="3009" spans="5:11" x14ac:dyDescent="0.35">
      <c r="E3009" s="9" t="str">
        <v>EPSG</v>
      </c>
      <c r="F3009" s="7" t="str">
        <v>5945</v>
      </c>
      <c r="G3009" t="str">
        <v>CompoundCrs</v>
      </c>
      <c r="H3009" t="str">
        <v>&lt;undefined&gt;</v>
      </c>
      <c r="I3009" t="str">
        <v>ETRS89 / NTM zone 5 + NN2000 height</v>
      </c>
      <c r="J3009" t="str">
        <v>Norway - onshore - west of 6°E.</v>
      </c>
      <c r="K3009" s="11">
        <v>0</v>
      </c>
    </row>
    <row r="3010" spans="5:11" x14ac:dyDescent="0.35">
      <c r="E3010" s="9" t="str">
        <v>EPSG</v>
      </c>
      <c r="F3010" s="7" t="str">
        <v>5946</v>
      </c>
      <c r="G3010" t="str">
        <v>CompoundCrs</v>
      </c>
      <c r="H3010" t="str">
        <v>&lt;undefined&gt;</v>
      </c>
      <c r="I3010" t="str">
        <v>ETRS89 / NTM zone 6 + NN2000 height</v>
      </c>
      <c r="J3010" t="str">
        <v>Norway - onshore - between 6°E and 7°E.</v>
      </c>
      <c r="K3010" s="11">
        <v>0</v>
      </c>
    </row>
    <row r="3011" spans="5:11" x14ac:dyDescent="0.35">
      <c r="E3011" s="9" t="str">
        <v>EPSG</v>
      </c>
      <c r="F3011" s="7" t="str">
        <v>5947</v>
      </c>
      <c r="G3011" t="str">
        <v>CompoundCrs</v>
      </c>
      <c r="H3011" t="str">
        <v>&lt;undefined&gt;</v>
      </c>
      <c r="I3011" t="str">
        <v>ETRS89 / NTM zone 7 + NN2000 height</v>
      </c>
      <c r="J3011" t="str">
        <v>Norway - onshore - between 7°E and 8°E.</v>
      </c>
      <c r="K3011" s="11">
        <v>0</v>
      </c>
    </row>
    <row r="3012" spans="5:11" x14ac:dyDescent="0.35">
      <c r="E3012" s="9" t="str">
        <v>EPSG</v>
      </c>
      <c r="F3012" s="7" t="str">
        <v>5948</v>
      </c>
      <c r="G3012" t="str">
        <v>CompoundCrs</v>
      </c>
      <c r="H3012" t="str">
        <v>&lt;undefined&gt;</v>
      </c>
      <c r="I3012" t="str">
        <v>ETRS89 / NTM zone 8 + NN2000 height</v>
      </c>
      <c r="J3012" t="str">
        <v>Norway - onshore - between 8°E and 9°E.</v>
      </c>
      <c r="K3012" s="11">
        <v>0</v>
      </c>
    </row>
    <row r="3013" spans="5:11" x14ac:dyDescent="0.35">
      <c r="E3013" s="9" t="str">
        <v>EPSG</v>
      </c>
      <c r="F3013" s="7" t="str">
        <v>5949</v>
      </c>
      <c r="G3013" t="str">
        <v>CompoundCrs</v>
      </c>
      <c r="H3013" t="str">
        <v>&lt;undefined&gt;</v>
      </c>
      <c r="I3013" t="str">
        <v>ETRS89 / NTM zone 9 + NN2000 height</v>
      </c>
      <c r="J3013" t="str">
        <v>Norway - onshore - between 9°E and 10°E.</v>
      </c>
      <c r="K3013" s="11">
        <v>0</v>
      </c>
    </row>
    <row r="3014" spans="5:11" x14ac:dyDescent="0.35">
      <c r="E3014" s="9" t="str">
        <v>EPSG</v>
      </c>
      <c r="F3014" s="7" t="str">
        <v>5950</v>
      </c>
      <c r="G3014" t="str">
        <v>CompoundCrs</v>
      </c>
      <c r="H3014" t="str">
        <v>&lt;undefined&gt;</v>
      </c>
      <c r="I3014" t="str">
        <v>ETRS89 / NTM zone 10 + NN2000 height</v>
      </c>
      <c r="J3014" t="str">
        <v>Norway - onshore - between 10°E and 11°E.</v>
      </c>
      <c r="K3014" s="11">
        <v>0</v>
      </c>
    </row>
    <row r="3015" spans="5:11" x14ac:dyDescent="0.35">
      <c r="E3015" s="9" t="str">
        <v>EPSG</v>
      </c>
      <c r="F3015" s="7" t="str">
        <v>5951</v>
      </c>
      <c r="G3015" t="str">
        <v>CompoundCrs</v>
      </c>
      <c r="H3015" t="str">
        <v>&lt;undefined&gt;</v>
      </c>
      <c r="I3015" t="str">
        <v>ETRS89 / NTM zone 11 + NN2000 height</v>
      </c>
      <c r="J3015" t="str">
        <v>Norway - onshore - between 11°E and 12°E.</v>
      </c>
      <c r="K3015" s="11">
        <v>0</v>
      </c>
    </row>
    <row r="3016" spans="5:11" x14ac:dyDescent="0.35">
      <c r="E3016" s="9" t="str">
        <v>EPSG</v>
      </c>
      <c r="F3016" s="7" t="str">
        <v>5952</v>
      </c>
      <c r="G3016" t="str">
        <v>CompoundCrs</v>
      </c>
      <c r="H3016" t="str">
        <v>&lt;undefined&gt;</v>
      </c>
      <c r="I3016" t="str">
        <v>ETRS89 / NTM zone 12 + NN2000 height</v>
      </c>
      <c r="J3016" t="str">
        <v>Norway - onshore - between 12°E and 13°E.</v>
      </c>
      <c r="K3016" s="11">
        <v>0</v>
      </c>
    </row>
    <row r="3017" spans="5:11" x14ac:dyDescent="0.35">
      <c r="E3017" s="9" t="str">
        <v>EPSG</v>
      </c>
      <c r="F3017" s="7" t="str">
        <v>5953</v>
      </c>
      <c r="G3017" t="str">
        <v>CompoundCrs</v>
      </c>
      <c r="H3017" t="str">
        <v>&lt;undefined&gt;</v>
      </c>
      <c r="I3017" t="str">
        <v>ETRS89 / NTM zone 13 + NN2000 height</v>
      </c>
      <c r="J3017" t="str">
        <v>Norway - onshore - between 13°E and 14°E.</v>
      </c>
      <c r="K3017" s="11">
        <v>0</v>
      </c>
    </row>
    <row r="3018" spans="5:11" x14ac:dyDescent="0.35">
      <c r="E3018" s="9" t="str">
        <v>EPSG</v>
      </c>
      <c r="F3018" s="7" t="str">
        <v>5954</v>
      </c>
      <c r="G3018" t="str">
        <v>CompoundCrs</v>
      </c>
      <c r="H3018" t="str">
        <v>&lt;undefined&gt;</v>
      </c>
      <c r="I3018" t="str">
        <v>ETRS89 / NTM zone 14 + NN2000 height</v>
      </c>
      <c r="J3018" t="str">
        <v>Norway - onshore - between 14°E and 15°E.</v>
      </c>
      <c r="K3018" s="11">
        <v>0</v>
      </c>
    </row>
    <row r="3019" spans="5:11" x14ac:dyDescent="0.35">
      <c r="E3019" s="9" t="str">
        <v>EPSG</v>
      </c>
      <c r="F3019" s="7" t="str">
        <v>5955</v>
      </c>
      <c r="G3019" t="str">
        <v>CompoundCrs</v>
      </c>
      <c r="H3019" t="str">
        <v>&lt;undefined&gt;</v>
      </c>
      <c r="I3019" t="str">
        <v>ETRS89 / NTM zone 15 + NN2000 height</v>
      </c>
      <c r="J3019" t="str">
        <v>Norway - onshore - between 15°E and 16°E.</v>
      </c>
      <c r="K3019" s="11">
        <v>0</v>
      </c>
    </row>
    <row r="3020" spans="5:11" x14ac:dyDescent="0.35">
      <c r="E3020" s="9" t="str">
        <v>EPSG</v>
      </c>
      <c r="F3020" s="7" t="str">
        <v>5956</v>
      </c>
      <c r="G3020" t="str">
        <v>CompoundCrs</v>
      </c>
      <c r="H3020" t="str">
        <v>&lt;undefined&gt;</v>
      </c>
      <c r="I3020" t="str">
        <v>ETRS89 / NTM zone 16 + NN2000 height</v>
      </c>
      <c r="J3020" t="str">
        <v>Norway - onshore - between 16°E and 17°E.</v>
      </c>
      <c r="K3020" s="11">
        <v>0</v>
      </c>
    </row>
    <row r="3021" spans="5:11" x14ac:dyDescent="0.35">
      <c r="E3021" s="9" t="str">
        <v>EPSG</v>
      </c>
      <c r="F3021" s="7" t="str">
        <v>5957</v>
      </c>
      <c r="G3021" t="str">
        <v>CompoundCrs</v>
      </c>
      <c r="H3021" t="str">
        <v>&lt;undefined&gt;</v>
      </c>
      <c r="I3021" t="str">
        <v>ETRS89 / NTM zone 17 + NN2000 height</v>
      </c>
      <c r="J3021" t="str">
        <v>Norway - onshore - between 17°E and 18°E.</v>
      </c>
      <c r="K3021" s="11">
        <v>0</v>
      </c>
    </row>
    <row r="3022" spans="5:11" x14ac:dyDescent="0.35">
      <c r="E3022" s="9" t="str">
        <v>EPSG</v>
      </c>
      <c r="F3022" s="7" t="str">
        <v>5958</v>
      </c>
      <c r="G3022" t="str">
        <v>CompoundCrs</v>
      </c>
      <c r="H3022" t="str">
        <v>&lt;undefined&gt;</v>
      </c>
      <c r="I3022" t="str">
        <v>ETRS89 / NTM zone 18 + NN2000 height</v>
      </c>
      <c r="J3022" t="str">
        <v>Norway - onshore - between 18°E and 19°E.</v>
      </c>
      <c r="K3022" s="11">
        <v>0</v>
      </c>
    </row>
    <row r="3023" spans="5:11" x14ac:dyDescent="0.35">
      <c r="E3023" s="9" t="str">
        <v>EPSG</v>
      </c>
      <c r="F3023" s="7" t="str">
        <v>5959</v>
      </c>
      <c r="G3023" t="str">
        <v>CompoundCrs</v>
      </c>
      <c r="H3023" t="str">
        <v>&lt;undefined&gt;</v>
      </c>
      <c r="I3023" t="str">
        <v>ETRS89 / NTM zone 19 + NN2000 height</v>
      </c>
      <c r="J3023" t="str">
        <v>Norway - onshore - between 19°E and 20°E.</v>
      </c>
      <c r="K3023" s="11">
        <v>0</v>
      </c>
    </row>
    <row r="3024" spans="5:11" x14ac:dyDescent="0.35">
      <c r="E3024" s="9" t="str">
        <v>EPSG</v>
      </c>
      <c r="F3024" s="7" t="str">
        <v>5960</v>
      </c>
      <c r="G3024" t="str">
        <v>CompoundCrs</v>
      </c>
      <c r="H3024" t="str">
        <v>&lt;undefined&gt;</v>
      </c>
      <c r="I3024" t="str">
        <v>ETRS89 / NTM zone 20 + NN2000 height</v>
      </c>
      <c r="J3024" t="str">
        <v>Norway - onshore - between 20°E and 21°E.</v>
      </c>
      <c r="K3024" s="11">
        <v>0</v>
      </c>
    </row>
    <row r="3025" spans="5:11" x14ac:dyDescent="0.35">
      <c r="E3025" s="9" t="str">
        <v>EPSG</v>
      </c>
      <c r="F3025" s="7" t="str">
        <v>5961</v>
      </c>
      <c r="G3025" t="str">
        <v>CompoundCrs</v>
      </c>
      <c r="H3025" t="str">
        <v>&lt;undefined&gt;</v>
      </c>
      <c r="I3025" t="str">
        <v>ETRS89 / NTM zone 21 + NN2000 height</v>
      </c>
      <c r="J3025" t="str">
        <v>Norway - onshore - between 21°E and 22°E.</v>
      </c>
      <c r="K3025" s="11">
        <v>0</v>
      </c>
    </row>
    <row r="3026" spans="5:11" x14ac:dyDescent="0.35">
      <c r="E3026" s="9" t="str">
        <v>EPSG</v>
      </c>
      <c r="F3026" s="7" t="str">
        <v>5962</v>
      </c>
      <c r="G3026" t="str">
        <v>CompoundCrs</v>
      </c>
      <c r="H3026" t="str">
        <v>&lt;undefined&gt;</v>
      </c>
      <c r="I3026" t="str">
        <v>ETRS89 / NTM zone 22 + NN2000 height</v>
      </c>
      <c r="J3026" t="str">
        <v>Norway - onshore - between 22°E and 23°E.</v>
      </c>
      <c r="K3026" s="11">
        <v>0</v>
      </c>
    </row>
    <row r="3027" spans="5:11" x14ac:dyDescent="0.35">
      <c r="E3027" s="9" t="str">
        <v>EPSG</v>
      </c>
      <c r="F3027" s="7" t="str">
        <v>5963</v>
      </c>
      <c r="G3027" t="str">
        <v>CompoundCrs</v>
      </c>
      <c r="H3027" t="str">
        <v>&lt;undefined&gt;</v>
      </c>
      <c r="I3027" t="str">
        <v>ETRS89 / NTM zone 23 + NN2000 height</v>
      </c>
      <c r="J3027" t="str">
        <v>Norway - onshore - between 23°E and 24°E.</v>
      </c>
      <c r="K3027" s="11">
        <v>0</v>
      </c>
    </row>
    <row r="3028" spans="5:11" x14ac:dyDescent="0.35">
      <c r="E3028" s="9" t="str">
        <v>EPSG</v>
      </c>
      <c r="F3028" s="7" t="str">
        <v>5964</v>
      </c>
      <c r="G3028" t="str">
        <v>CompoundCrs</v>
      </c>
      <c r="H3028" t="str">
        <v>&lt;undefined&gt;</v>
      </c>
      <c r="I3028" t="str">
        <v>ETRS89 / NTM zone 24 + NN2000 height</v>
      </c>
      <c r="J3028" t="str">
        <v>Norway - onshore - between 24°E and 25°E.</v>
      </c>
      <c r="K3028" s="11">
        <v>0</v>
      </c>
    </row>
    <row r="3029" spans="5:11" x14ac:dyDescent="0.35">
      <c r="E3029" s="9" t="str">
        <v>EPSG</v>
      </c>
      <c r="F3029" s="7" t="str">
        <v>5965</v>
      </c>
      <c r="G3029" t="str">
        <v>CompoundCrs</v>
      </c>
      <c r="H3029" t="str">
        <v>&lt;undefined&gt;</v>
      </c>
      <c r="I3029" t="str">
        <v>ETRS89 / NTM zone 25 + NN2000 height</v>
      </c>
      <c r="J3029" t="str">
        <v>Norway - onshore - between 25°E and 26°E.</v>
      </c>
      <c r="K3029" s="11">
        <v>0</v>
      </c>
    </row>
    <row r="3030" spans="5:11" x14ac:dyDescent="0.35">
      <c r="E3030" s="9" t="str">
        <v>EPSG</v>
      </c>
      <c r="F3030" s="7" t="str">
        <v>5966</v>
      </c>
      <c r="G3030" t="str">
        <v>CompoundCrs</v>
      </c>
      <c r="H3030" t="str">
        <v>&lt;undefined&gt;</v>
      </c>
      <c r="I3030" t="str">
        <v>ETRS89 / NTM zone 26 + NN2000 height</v>
      </c>
      <c r="J3030" t="str">
        <v>Norway - onshore - between 26°E and 27°E.</v>
      </c>
      <c r="K3030" s="11">
        <v>0</v>
      </c>
    </row>
    <row r="3031" spans="5:11" x14ac:dyDescent="0.35">
      <c r="E3031" s="9" t="str">
        <v>EPSG</v>
      </c>
      <c r="F3031" s="7" t="str">
        <v>5967</v>
      </c>
      <c r="G3031" t="str">
        <v>CompoundCrs</v>
      </c>
      <c r="H3031" t="str">
        <v>&lt;undefined&gt;</v>
      </c>
      <c r="I3031" t="str">
        <v>ETRS89 / NTM zone 27 + NN2000 height</v>
      </c>
      <c r="J3031" t="str">
        <v>Norway - onshore - between 27°E and 28°E.</v>
      </c>
      <c r="K3031" s="11">
        <v>0</v>
      </c>
    </row>
    <row r="3032" spans="5:11" x14ac:dyDescent="0.35">
      <c r="E3032" s="9" t="str">
        <v>EPSG</v>
      </c>
      <c r="F3032" s="7" t="str">
        <v>5968</v>
      </c>
      <c r="G3032" t="str">
        <v>CompoundCrs</v>
      </c>
      <c r="H3032" t="str">
        <v>&lt;undefined&gt;</v>
      </c>
      <c r="I3032" t="str">
        <v>ETRS89 / NTM zone 28 + NN2000 height</v>
      </c>
      <c r="J3032" t="str">
        <v>Norway - onshore - between 28°E and 29°E.</v>
      </c>
      <c r="K3032" s="11">
        <v>0</v>
      </c>
    </row>
    <row r="3033" spans="5:11" x14ac:dyDescent="0.35">
      <c r="E3033" s="9" t="str">
        <v>EPSG</v>
      </c>
      <c r="F3033" s="7" t="str">
        <v>5969</v>
      </c>
      <c r="G3033" t="str">
        <v>CompoundCrs</v>
      </c>
      <c r="H3033" t="str">
        <v>&lt;undefined&gt;</v>
      </c>
      <c r="I3033" t="str">
        <v>ETRS89 / NTM zone 29 + NN2000 height</v>
      </c>
      <c r="J3033" t="str">
        <v>Norway - onshore - between 29°E and 30°E.</v>
      </c>
      <c r="K3033" s="11">
        <v>0</v>
      </c>
    </row>
    <row r="3034" spans="5:11" x14ac:dyDescent="0.35">
      <c r="E3034" s="9" t="str">
        <v>EPSG</v>
      </c>
      <c r="F3034" s="7" t="str">
        <v>5970</v>
      </c>
      <c r="G3034" t="str">
        <v>CompoundCrs</v>
      </c>
      <c r="H3034" t="str">
        <v>&lt;undefined&gt;</v>
      </c>
      <c r="I3034" t="str">
        <v>ETRS89 / NTM zone 30 + NN2000 height</v>
      </c>
      <c r="J3034" t="str">
        <v>Norway - onshore - east of 30°E.</v>
      </c>
      <c r="K3034" s="11">
        <v>0</v>
      </c>
    </row>
    <row r="3035" spans="5:11" x14ac:dyDescent="0.35">
      <c r="E3035" s="9" t="str">
        <v>EPSG</v>
      </c>
      <c r="F3035" s="7" t="str">
        <v>5971</v>
      </c>
      <c r="G3035" t="str">
        <v>CompoundCrs</v>
      </c>
      <c r="H3035" t="str">
        <v>&lt;undefined&gt;</v>
      </c>
      <c r="I3035" t="str">
        <v>ETRS89 / UTM zone 31N + NN2000 height</v>
      </c>
      <c r="J3035" t="str">
        <v>Norway - onshore - west of 6°E.</v>
      </c>
      <c r="K3035" s="11">
        <v>0</v>
      </c>
    </row>
    <row r="3036" spans="5:11" x14ac:dyDescent="0.35">
      <c r="E3036" s="9" t="str">
        <v>EPSG</v>
      </c>
      <c r="F3036" s="7" t="str">
        <v>5972</v>
      </c>
      <c r="G3036" t="str">
        <v>CompoundCrs</v>
      </c>
      <c r="H3036" t="str">
        <v>&lt;undefined&gt;</v>
      </c>
      <c r="I3036" t="str">
        <v>ETRS89 / UTM zone 32N + NN2000 height</v>
      </c>
      <c r="J3036" t="str">
        <v>Norway - onshore - between 6°E and 12°E.</v>
      </c>
      <c r="K3036" s="11">
        <v>0</v>
      </c>
    </row>
    <row r="3037" spans="5:11" x14ac:dyDescent="0.35">
      <c r="E3037" s="9" t="str">
        <v>EPSG</v>
      </c>
      <c r="F3037" s="7" t="str">
        <v>5973</v>
      </c>
      <c r="G3037" t="str">
        <v>CompoundCrs</v>
      </c>
      <c r="H3037" t="str">
        <v>&lt;undefined&gt;</v>
      </c>
      <c r="I3037" t="str">
        <v>ETRS89 / UTM zone 33N + NN2000 height</v>
      </c>
      <c r="J3037" t="str">
        <v>Norway - onshore - between 12°E and 18°E.</v>
      </c>
      <c r="K3037" s="11">
        <v>0</v>
      </c>
    </row>
    <row r="3038" spans="5:11" x14ac:dyDescent="0.35">
      <c r="E3038" s="9" t="str">
        <v>EPSG</v>
      </c>
      <c r="F3038" s="7" t="str">
        <v>5974</v>
      </c>
      <c r="G3038" t="str">
        <v>CompoundCrs</v>
      </c>
      <c r="H3038" t="str">
        <v>&lt;undefined&gt;</v>
      </c>
      <c r="I3038" t="str">
        <v>ETRS89 / UTM zone 34N + NN2000 height</v>
      </c>
      <c r="J3038" t="str">
        <v>Norway - onshore - between 18°E and 24°E.</v>
      </c>
      <c r="K3038" s="11">
        <v>0</v>
      </c>
    </row>
    <row r="3039" spans="5:11" x14ac:dyDescent="0.35">
      <c r="E3039" s="9" t="str">
        <v>EPSG</v>
      </c>
      <c r="F3039" s="7" t="str">
        <v>5975</v>
      </c>
      <c r="G3039" t="str">
        <v>CompoundCrs</v>
      </c>
      <c r="H3039" t="str">
        <v>&lt;undefined&gt;</v>
      </c>
      <c r="I3039" t="str">
        <v>ETRS89 / UTM zone 35N + NN2000 height</v>
      </c>
      <c r="J3039" t="str">
        <v>Norway - onshore - between 24°E and 30°E.</v>
      </c>
      <c r="K3039" s="11">
        <v>0</v>
      </c>
    </row>
    <row r="3040" spans="5:11" x14ac:dyDescent="0.35">
      <c r="E3040" s="9" t="str">
        <v>EPSG</v>
      </c>
      <c r="F3040" s="7" t="str">
        <v>5976</v>
      </c>
      <c r="G3040" t="str">
        <v>CompoundCrs</v>
      </c>
      <c r="H3040" t="str">
        <v>&lt;undefined&gt;</v>
      </c>
      <c r="I3040" t="str">
        <v>ETRS89 / UTM zone 36N + NN2000 height</v>
      </c>
      <c r="J3040" t="str">
        <v>Norway - onshore - east of 30°E.</v>
      </c>
      <c r="K3040" s="11">
        <v>0</v>
      </c>
    </row>
    <row r="3041" spans="5:11" x14ac:dyDescent="0.35">
      <c r="E3041" s="9" t="str">
        <v>EPSG</v>
      </c>
      <c r="F3041" s="7" t="str">
        <v>6050</v>
      </c>
      <c r="G3041" t="str">
        <v>ProjectedCrs</v>
      </c>
      <c r="H3041" t="str">
        <v>Lambert Conic Conformal (2SP)</v>
      </c>
      <c r="I3041" t="str">
        <v>GR96 / EPSG Arctic zone 1-25</v>
      </c>
      <c r="J3041" t="str">
        <v>Arctic - between 87°50'N and 82°50'N, approximately 60°W to approximately 0°E. May be extended westwards or eastwards within the latitude limits.</v>
      </c>
      <c r="K3041" s="11">
        <v>0</v>
      </c>
    </row>
    <row r="3042" spans="5:11" x14ac:dyDescent="0.35">
      <c r="E3042" s="9" t="str">
        <v>EPSG</v>
      </c>
      <c r="F3042" s="7" t="str">
        <v>6051</v>
      </c>
      <c r="G3042" t="str">
        <v>ProjectedCrs</v>
      </c>
      <c r="H3042" t="str">
        <v>Lambert Conic Conformal (2SP)</v>
      </c>
      <c r="I3042" t="str">
        <v>GR96 / EPSG Arctic zone 2-18</v>
      </c>
      <c r="J3042" t="str">
        <v>Arctic - between 84°30'N and 79°30'N, approximately 72°W to approximately 32°W. May be extended eastwards within the latitude limits.</v>
      </c>
      <c r="K3042" s="11">
        <v>0</v>
      </c>
    </row>
    <row r="3043" spans="5:11" x14ac:dyDescent="0.35">
      <c r="E3043" s="9" t="str">
        <v>EPSG</v>
      </c>
      <c r="F3043" s="7" t="str">
        <v>6052</v>
      </c>
      <c r="G3043" t="str">
        <v>ProjectedCrs</v>
      </c>
      <c r="H3043" t="str">
        <v>Lambert Conic Conformal (2SP)</v>
      </c>
      <c r="I3043" t="str">
        <v>GR96 / EPSG Arctic zone 2-20</v>
      </c>
      <c r="J3043" t="str">
        <v>Arctic - between 84°30'N and 79°30'N, approximately 32°W to approximately 8°E. May be extended westwards within the latitude limits.</v>
      </c>
      <c r="K3043" s="11">
        <v>0</v>
      </c>
    </row>
    <row r="3044" spans="5:11" x14ac:dyDescent="0.35">
      <c r="E3044" s="9" t="str">
        <v>EPSG</v>
      </c>
      <c r="F3044" s="7" t="str">
        <v>6053</v>
      </c>
      <c r="G3044" t="str">
        <v>ProjectedCrs</v>
      </c>
      <c r="H3044" t="str">
        <v>Lambert Conic Conformal (2SP)</v>
      </c>
      <c r="I3044" t="str">
        <v>GR96 / EPSG Arctic zone 3-29</v>
      </c>
      <c r="J3044" t="str">
        <v>Arctic - between 81°10'N and 76°10'N, Greenland west of approximately 54°W. May be extended eastwards within the latitude limits.</v>
      </c>
      <c r="K3044" s="11">
        <v>0</v>
      </c>
    </row>
    <row r="3045" spans="5:11" x14ac:dyDescent="0.35">
      <c r="E3045" s="9" t="str">
        <v>EPSG</v>
      </c>
      <c r="F3045" s="7" t="str">
        <v>6054</v>
      </c>
      <c r="G3045" t="str">
        <v>ProjectedCrs</v>
      </c>
      <c r="H3045" t="str">
        <v>Lambert Conic Conformal (2SP)</v>
      </c>
      <c r="I3045" t="str">
        <v>GR96 / EPSG Arctic zone 3-31</v>
      </c>
      <c r="J3045" t="str">
        <v>Arctic - between 81°10'N and 76°10'N, approximately 54°W to approximately 24°W. May be extended westwards or eastwards within the latitude limits.</v>
      </c>
      <c r="K3045" s="11">
        <v>0</v>
      </c>
    </row>
    <row r="3046" spans="5:11" x14ac:dyDescent="0.35">
      <c r="E3046" s="9" t="str">
        <v>EPSG</v>
      </c>
      <c r="F3046" s="7" t="str">
        <v>6055</v>
      </c>
      <c r="G3046" t="str">
        <v>ProjectedCrs</v>
      </c>
      <c r="H3046" t="str">
        <v>Lambert Conic Conformal (2SP)</v>
      </c>
      <c r="I3046" t="str">
        <v>GR96 / EPSG Arctic zone 3-33</v>
      </c>
      <c r="J3046" t="str">
        <v>Arctic - between 81°10'N and 76°10'N, approximately 24°W to approximately 2°E. May be extended westwards within the latitude limits.</v>
      </c>
      <c r="K3046" s="11">
        <v>0</v>
      </c>
    </row>
    <row r="3047" spans="5:11" x14ac:dyDescent="0.35">
      <c r="E3047" s="9" t="str">
        <v>EPSG</v>
      </c>
      <c r="F3047" s="7" t="str">
        <v>6056</v>
      </c>
      <c r="G3047" t="str">
        <v>ProjectedCrs</v>
      </c>
      <c r="H3047" t="str">
        <v>Lambert Conic Conformal (2SP)</v>
      </c>
      <c r="I3047" t="str">
        <v>GR96 / EPSG Arctic zone 4-20</v>
      </c>
      <c r="J3047" t="str">
        <v>Arctic - between 77°50'N and 72°50'N, approximately 76°W to approximately 51°W. May be extended eastwards within the latitude limits.</v>
      </c>
      <c r="K3047" s="11">
        <v>0</v>
      </c>
    </row>
    <row r="3048" spans="5:11" x14ac:dyDescent="0.35">
      <c r="E3048" s="9" t="str">
        <v>EPSG</v>
      </c>
      <c r="F3048" s="7" t="str">
        <v>6057</v>
      </c>
      <c r="G3048" t="str">
        <v>ProjectedCrs</v>
      </c>
      <c r="H3048" t="str">
        <v>Lambert Conic Conformal (2SP)</v>
      </c>
      <c r="I3048" t="str">
        <v>GR96 / EPSG Arctic zone 4-22</v>
      </c>
      <c r="J3048" t="str">
        <v>Arctic - between 77°50'N and 72°50'N, approximately 51°W to approximately 26°W. May be extended westwards or eastwards within the latitude limits.</v>
      </c>
      <c r="K3048" s="11">
        <v>0</v>
      </c>
    </row>
    <row r="3049" spans="5:11" x14ac:dyDescent="0.35">
      <c r="E3049" s="9" t="str">
        <v>EPSG</v>
      </c>
      <c r="F3049" s="7" t="str">
        <v>6058</v>
      </c>
      <c r="G3049" t="str">
        <v>ProjectedCrs</v>
      </c>
      <c r="H3049" t="str">
        <v>Lambert Conic Conformal (2SP)</v>
      </c>
      <c r="I3049" t="str">
        <v>GR96 / EPSG Arctic zone 4-24</v>
      </c>
      <c r="J3049" t="str">
        <v>Arctic - between 77°50'N and 72°50'N, approximately 26°W to approximately 2°W. May be extended westwards within the latitude limits.</v>
      </c>
      <c r="K3049" s="11">
        <v>0</v>
      </c>
    </row>
    <row r="3050" spans="5:11" x14ac:dyDescent="0.35">
      <c r="E3050" s="9" t="str">
        <v>EPSG</v>
      </c>
      <c r="F3050" s="7" t="str">
        <v>6059</v>
      </c>
      <c r="G3050" t="str">
        <v>ProjectedCrs</v>
      </c>
      <c r="H3050" t="str">
        <v>Lambert Conic Conformal (2SP)</v>
      </c>
      <c r="I3050" t="str">
        <v>GR96 / EPSG Arctic zone 5-41</v>
      </c>
      <c r="J3050" t="str">
        <v>Arctic - between 74°30'N and 69°30'N, approximately 72°W to approximately 52°W. May be extended eastwards within the latitude limits.</v>
      </c>
      <c r="K3050" s="11">
        <v>0</v>
      </c>
    </row>
    <row r="3051" spans="5:11" x14ac:dyDescent="0.35">
      <c r="E3051" s="9" t="str">
        <v>EPSG</v>
      </c>
      <c r="F3051" s="7" t="str">
        <v>6060</v>
      </c>
      <c r="G3051" t="str">
        <v>ProjectedCrs</v>
      </c>
      <c r="H3051" t="str">
        <v>Lambert Conic Conformal (2SP)</v>
      </c>
      <c r="I3051" t="str">
        <v>GR96 / EPSG Arctic zone 5-43</v>
      </c>
      <c r="J3051" t="str">
        <v>Arctic - between 74°30'N and 69°30'N, approximately 52°W to approximately 32°W. May be extended westwards or eastwards within the latitude limits.</v>
      </c>
      <c r="K3051" s="11">
        <v>0</v>
      </c>
    </row>
    <row r="3052" spans="5:11" x14ac:dyDescent="0.35">
      <c r="E3052" s="9" t="str">
        <v>EPSG</v>
      </c>
      <c r="F3052" s="7" t="str">
        <v>6061</v>
      </c>
      <c r="G3052" t="str">
        <v>ProjectedCrs</v>
      </c>
      <c r="H3052" t="str">
        <v>Lambert Conic Conformal (2SP)</v>
      </c>
      <c r="I3052" t="str">
        <v>GR96 / EPSG Arctic zone 5-45</v>
      </c>
      <c r="J3052" t="str">
        <v>Arctic - between 74°30'N and 69°30'N, approximately 32°W to approximately 12°W. May be extended westwards or eastwards within the latitude limits.</v>
      </c>
      <c r="K3052" s="11">
        <v>0</v>
      </c>
    </row>
    <row r="3053" spans="5:11" x14ac:dyDescent="0.35">
      <c r="E3053" s="9" t="str">
        <v>EPSG</v>
      </c>
      <c r="F3053" s="7" t="str">
        <v>6062</v>
      </c>
      <c r="G3053" t="str">
        <v>ProjectedCrs</v>
      </c>
      <c r="H3053" t="str">
        <v>Lambert Conic Conformal (2SP)</v>
      </c>
      <c r="I3053" t="str">
        <v>GR96 / EPSG Arctic zone 6-26</v>
      </c>
      <c r="J3053" t="str">
        <v>Arctic - between 71°10'N and 66°10'N, approximately 65°W to approximately 47°W. May be extended westwards or eastwards within the latitude limits.</v>
      </c>
      <c r="K3053" s="11">
        <v>0</v>
      </c>
    </row>
    <row r="3054" spans="5:11" x14ac:dyDescent="0.35">
      <c r="E3054" s="9" t="str">
        <v>EPSG</v>
      </c>
      <c r="F3054" s="7" t="str">
        <v>6063</v>
      </c>
      <c r="G3054" t="str">
        <v>ProjectedCrs</v>
      </c>
      <c r="H3054" t="str">
        <v>Lambert Conic Conformal (2SP)</v>
      </c>
      <c r="I3054" t="str">
        <v>GR96 / EPSG Arctic zone 6-28</v>
      </c>
      <c r="J3054" t="str">
        <v>Arctic - between 71°10'N and 66°10'N, approximately 47°W to approximately 29°W. May be extended westwards or eastwards within the latitude limits.</v>
      </c>
      <c r="K3054" s="11">
        <v>0</v>
      </c>
    </row>
    <row r="3055" spans="5:11" x14ac:dyDescent="0.35">
      <c r="E3055" s="9" t="str">
        <v>EPSG</v>
      </c>
      <c r="F3055" s="7" t="str">
        <v>6064</v>
      </c>
      <c r="G3055" t="str">
        <v>ProjectedCrs</v>
      </c>
      <c r="H3055" t="str">
        <v>Lambert Conic Conformal (2SP)</v>
      </c>
      <c r="I3055" t="str">
        <v>GR96 / EPSG Arctic zone 6-30</v>
      </c>
      <c r="J3055" t="str">
        <v>Arctic - between 71°10'N and 66°10'N, approximately 29°W to approximately 11°W. May be extended westwards within the latitude limits.</v>
      </c>
      <c r="K3055" s="11">
        <v>0</v>
      </c>
    </row>
    <row r="3056" spans="5:11" x14ac:dyDescent="0.35">
      <c r="E3056" s="9" t="str">
        <v>EPSG</v>
      </c>
      <c r="F3056" s="7" t="str">
        <v>6065</v>
      </c>
      <c r="G3056" t="str">
        <v>ProjectedCrs</v>
      </c>
      <c r="H3056" t="str">
        <v>Lambert Conic Conformal (2SP)</v>
      </c>
      <c r="I3056" t="str">
        <v>GR96 / EPSG Arctic zone 7-11</v>
      </c>
      <c r="J3056" t="str">
        <v>Arctic - between 67°50'N and 62°50'N, approximately 59°W to approximately 42°W. May be extended eastwards within the latitude limits.</v>
      </c>
      <c r="K3056" s="11">
        <v>0</v>
      </c>
    </row>
    <row r="3057" spans="5:11" x14ac:dyDescent="0.35">
      <c r="E3057" s="9" t="str">
        <v>EPSG</v>
      </c>
      <c r="F3057" s="7" t="str">
        <v>6066</v>
      </c>
      <c r="G3057" t="str">
        <v>ProjectedCrs</v>
      </c>
      <c r="H3057" t="str">
        <v>Lambert Conic Conformal (2SP)</v>
      </c>
      <c r="I3057" t="str">
        <v>GR96 / EPSG Arctic zone 7-13</v>
      </c>
      <c r="J3057" t="str">
        <v>Arctic - between 67°50'N and 62°50'N, approximately 42°W to approximately 25°W. May be extended westwards within the latitude limits.</v>
      </c>
      <c r="K3057" s="11">
        <v>0</v>
      </c>
    </row>
    <row r="3058" spans="5:11" x14ac:dyDescent="0.35">
      <c r="E3058" s="9" t="str">
        <v>EPSG</v>
      </c>
      <c r="F3058" s="7" t="str">
        <v>6067</v>
      </c>
      <c r="G3058" t="str">
        <v>ProjectedCrs</v>
      </c>
      <c r="H3058" t="str">
        <v>Lambert Conic Conformal (2SP)</v>
      </c>
      <c r="I3058" t="str">
        <v>GR96 / EPSG Arctic zone 8-20</v>
      </c>
      <c r="J3058" t="str">
        <v>Arctic - between 64°30'N and 59°30'N, approximately 59°W to approximately 44°W. May be extended eastwards within the latitude limits.</v>
      </c>
      <c r="K3058" s="11">
        <v>0</v>
      </c>
    </row>
    <row r="3059" spans="5:11" x14ac:dyDescent="0.35">
      <c r="E3059" s="9" t="str">
        <v>EPSG</v>
      </c>
      <c r="F3059" s="7" t="str">
        <v>6068</v>
      </c>
      <c r="G3059" t="str">
        <v>ProjectedCrs</v>
      </c>
      <c r="H3059" t="str">
        <v>Lambert Conic Conformal (2SP)</v>
      </c>
      <c r="I3059" t="str">
        <v>GR96 / EPSG Arctic zone 8-22</v>
      </c>
      <c r="J3059" t="str">
        <v>Arctic - between 64°30'N and 59°30'N, approximately 44°W to approximately 29°W. May be extended westwards within the latitude limits.</v>
      </c>
      <c r="K3059" s="11">
        <v>0</v>
      </c>
    </row>
    <row r="3060" spans="5:11" x14ac:dyDescent="0.35">
      <c r="E3060" s="9" t="str">
        <v>EPSG</v>
      </c>
      <c r="F3060" s="7" t="str">
        <v>6069</v>
      </c>
      <c r="G3060" t="str">
        <v>ProjectedCrs</v>
      </c>
      <c r="H3060" t="str">
        <v>Lambert Conic Conformal (2SP)</v>
      </c>
      <c r="I3060" t="str">
        <v>ETRS89 / EPSG Arctic zone 2-22</v>
      </c>
      <c r="J3060" t="str">
        <v>Arctic - between 84°30'N and 79°30'N, approximately 4°W to approximately 36°E.</v>
      </c>
      <c r="K3060" s="11">
        <v>0</v>
      </c>
    </row>
    <row r="3061" spans="5:11" x14ac:dyDescent="0.35">
      <c r="E3061" s="9" t="str">
        <v>EPSG</v>
      </c>
      <c r="F3061" s="7" t="str">
        <v>6070</v>
      </c>
      <c r="G3061" t="str">
        <v>ProjectedCrs</v>
      </c>
      <c r="H3061" t="str">
        <v>Lambert Conic Conformal (2SP)</v>
      </c>
      <c r="I3061" t="str">
        <v>ETRS89 / EPSG Arctic zone 3-11</v>
      </c>
      <c r="J3061" t="str">
        <v>Arctic (Norway (Svalbard) onshore and offshore) - between 81°10'N and 76°10'N.</v>
      </c>
      <c r="K3061" s="11">
        <v>0</v>
      </c>
    </row>
    <row r="3062" spans="5:11" x14ac:dyDescent="0.35">
      <c r="E3062" s="9" t="str">
        <v>EPSG</v>
      </c>
      <c r="F3062" s="7" t="str">
        <v>6071</v>
      </c>
      <c r="G3062" t="str">
        <v>ProjectedCrs</v>
      </c>
      <c r="H3062" t="str">
        <v>Lambert Conic Conformal (2SP)</v>
      </c>
      <c r="I3062" t="str">
        <v>ETRS89 / EPSG Arctic zone 4-26</v>
      </c>
      <c r="J3062" t="str">
        <v>Arctic - between 77°50'N and 72°50'N, approximately 2°W to approximately 22°E. May be extended westwards or eastwards within the latitude limits.</v>
      </c>
      <c r="K3062" s="11">
        <v>0</v>
      </c>
    </row>
    <row r="3063" spans="5:11" x14ac:dyDescent="0.35">
      <c r="E3063" s="9" t="str">
        <v>EPSG</v>
      </c>
      <c r="F3063" s="7" t="str">
        <v>6072</v>
      </c>
      <c r="G3063" t="str">
        <v>ProjectedCrs</v>
      </c>
      <c r="H3063" t="str">
        <v>Lambert Conic Conformal (2SP)</v>
      </c>
      <c r="I3063" t="str">
        <v>ETRS89 / EPSG Arctic zone 4-28</v>
      </c>
      <c r="J3063" t="str">
        <v>Arctic - between 77°50'N and 72°50'N, approximately 22°E to approximately 46°E. May be extended westwards or eastwards within the latitude limits.</v>
      </c>
      <c r="K3063" s="11">
        <v>0</v>
      </c>
    </row>
    <row r="3064" spans="5:11" x14ac:dyDescent="0.35">
      <c r="E3064" s="9" t="str">
        <v>EPSG</v>
      </c>
      <c r="F3064" s="7" t="str">
        <v>6073</v>
      </c>
      <c r="G3064" t="str">
        <v>ProjectedCrs</v>
      </c>
      <c r="H3064" t="str">
        <v>Lambert Conic Conformal (2SP)</v>
      </c>
      <c r="I3064" t="str">
        <v>ETRS89 / EPSG Arctic zone 5-11</v>
      </c>
      <c r="J3064" t="str">
        <v>Arctic - between 74°30'N and 69°30'N, approximately 4°E to approximately 24°E. May be extended westwards or eastwards within the latitude limits.</v>
      </c>
      <c r="K3064" s="11">
        <v>0</v>
      </c>
    </row>
    <row r="3065" spans="5:11" x14ac:dyDescent="0.35">
      <c r="E3065" s="9" t="str">
        <v>EPSG</v>
      </c>
      <c r="F3065" s="7" t="str">
        <v>6074</v>
      </c>
      <c r="G3065" t="str">
        <v>ProjectedCrs</v>
      </c>
      <c r="H3065" t="str">
        <v>Lambert Conic Conformal (2SP)</v>
      </c>
      <c r="I3065" t="str">
        <v>ETRS89 / EPSG Arctic zone 5-13</v>
      </c>
      <c r="J3065" t="str">
        <v>Arctic - between 74°30'N and 69°30'N, approximately 24°E to approximately 44°E. May be extended westwards or eastwards within the latitude limits.</v>
      </c>
      <c r="K3065" s="11">
        <v>0</v>
      </c>
    </row>
    <row r="3066" spans="5:11" x14ac:dyDescent="0.35">
      <c r="E3066" s="9" t="str">
        <v>EPSG</v>
      </c>
      <c r="F3066" s="7" t="str">
        <v>6075</v>
      </c>
      <c r="G3066" t="str">
        <v>ProjectedCrs</v>
      </c>
      <c r="H3066" t="str">
        <v>Lambert Conic Conformal (2SP)</v>
      </c>
      <c r="I3066" t="str">
        <v>WGS 84 / EPSG Arctic zone 2-24</v>
      </c>
      <c r="J3066" t="str">
        <v>Arctic - between 84°30'N and 79°30'N, approximately 33°E to approximately 73°E. May be extended westwards or eastwards within the latitude limits.</v>
      </c>
      <c r="K3066" s="11">
        <v>0</v>
      </c>
    </row>
    <row r="3067" spans="5:11" x14ac:dyDescent="0.35">
      <c r="E3067" s="9" t="str">
        <v>EPSG</v>
      </c>
      <c r="F3067" s="7" t="str">
        <v>6076</v>
      </c>
      <c r="G3067" t="str">
        <v>ProjectedCrs</v>
      </c>
      <c r="H3067" t="str">
        <v>Lambert Conic Conformal (2SP)</v>
      </c>
      <c r="I3067" t="str">
        <v>WGS 84 / EPSG Arctic zone 2-26</v>
      </c>
      <c r="J3067" t="str">
        <v>Arctic - between 84°30'N and 79°30'N, approximately 73°E to approximately 113°E. May be extended westwards or eastwards within the latitude limits.</v>
      </c>
      <c r="K3067" s="11">
        <v>0</v>
      </c>
    </row>
    <row r="3068" spans="5:11" x14ac:dyDescent="0.35">
      <c r="E3068" s="9" t="str">
        <v>EPSG</v>
      </c>
      <c r="F3068" s="7" t="str">
        <v>6077</v>
      </c>
      <c r="G3068" t="str">
        <v>ProjectedCrs</v>
      </c>
      <c r="H3068" t="str">
        <v>Lambert Conic Conformal (2SP)</v>
      </c>
      <c r="I3068" t="str">
        <v>WGS 84 / EPSG Arctic zone 3-13</v>
      </c>
      <c r="J3068" t="str">
        <v>Arctic (Russia onshore and offshore) - between 81°10'N and 76°10'N, approximately 35°E to approximately 67°E. May be extended eastwards within the latitude limits.</v>
      </c>
      <c r="K3068" s="11">
        <v>0</v>
      </c>
    </row>
    <row r="3069" spans="5:11" x14ac:dyDescent="0.35">
      <c r="E3069" s="9" t="str">
        <v>EPSG</v>
      </c>
      <c r="F3069" s="7" t="str">
        <v>6078</v>
      </c>
      <c r="G3069" t="str">
        <v>ProjectedCrs</v>
      </c>
      <c r="H3069" t="str">
        <v>Lambert Conic Conformal (2SP)</v>
      </c>
      <c r="I3069" t="str">
        <v>WGS 84 / EPSG Arctic zone 3-15</v>
      </c>
      <c r="J3069" t="str">
        <v>Arctic (Russia onshore and offshore) - between 81°10'N and 76°10'N, approximately 67°E to approximately 98°E. May be extended westwards or eastwards within the latitude limits.</v>
      </c>
      <c r="K3069" s="11">
        <v>0</v>
      </c>
    </row>
    <row r="3070" spans="5:11" x14ac:dyDescent="0.35">
      <c r="E3070" s="9" t="str">
        <v>EPSG</v>
      </c>
      <c r="F3070" s="7" t="str">
        <v>6079</v>
      </c>
      <c r="G3070" t="str">
        <v>ProjectedCrs</v>
      </c>
      <c r="H3070" t="str">
        <v>Lambert Conic Conformal (2SP)</v>
      </c>
      <c r="I3070" t="str">
        <v>WGS 84 / EPSG Arctic zone 3-17</v>
      </c>
      <c r="J3070" t="str">
        <v>Arctic (Russia onshore and offshore) - between 81°10'N and 76°10'N, approximately 98°E to approximately 129°E. May be extended westwards or eastwards within the latitude limits.</v>
      </c>
      <c r="K3070" s="11">
        <v>0</v>
      </c>
    </row>
    <row r="3071" spans="5:11" x14ac:dyDescent="0.35">
      <c r="E3071" s="9" t="str">
        <v>EPSG</v>
      </c>
      <c r="F3071" s="7" t="str">
        <v>6080</v>
      </c>
      <c r="G3071" t="str">
        <v>ProjectedCrs</v>
      </c>
      <c r="H3071" t="str">
        <v>Lambert Conic Conformal (2SP)</v>
      </c>
      <c r="I3071" t="str">
        <v>WGS 84 / EPSG Arctic zone 3-19</v>
      </c>
      <c r="J3071" t="str">
        <v>Arctic (Russia onshore and offshore) - between 81°10'N and 76°10'N, approximately 129°E to approximately 160°E. May be extended westwards or eastwards within the latitude limits.</v>
      </c>
      <c r="K3071" s="11">
        <v>0</v>
      </c>
    </row>
    <row r="3072" spans="5:11" x14ac:dyDescent="0.35">
      <c r="E3072" s="9" t="str">
        <v>EPSG</v>
      </c>
      <c r="F3072" s="7" t="str">
        <v>6081</v>
      </c>
      <c r="G3072" t="str">
        <v>ProjectedCrs</v>
      </c>
      <c r="H3072" t="str">
        <v>Lambert Conic Conformal (2SP)</v>
      </c>
      <c r="I3072" t="str">
        <v>WGS 84 / EPSG Arctic zone 4-30</v>
      </c>
      <c r="J3072" t="str">
        <v>Arctic - between 77°50'N and 72°50'N, approximately 46°E to approximately 70°E. May be extended westwards or eastwards within the latitude limits.</v>
      </c>
      <c r="K3072" s="11">
        <v>0</v>
      </c>
    </row>
    <row r="3073" spans="5:11" x14ac:dyDescent="0.35">
      <c r="E3073" s="9" t="str">
        <v>EPSG</v>
      </c>
      <c r="F3073" s="7" t="str">
        <v>6082</v>
      </c>
      <c r="G3073" t="str">
        <v>ProjectedCrs</v>
      </c>
      <c r="H3073" t="str">
        <v>Lambert Conic Conformal (2SP)</v>
      </c>
      <c r="I3073" t="str">
        <v>WGS 84 / EPSG Arctic zone 4-32</v>
      </c>
      <c r="J3073" t="str">
        <v>Arctic - between 77°50'N and 72°50'N, approximately 70°E to approximately 94°E. May be extended westwards or eastwards within the latitude limits.</v>
      </c>
      <c r="K3073" s="11">
        <v>0</v>
      </c>
    </row>
    <row r="3074" spans="5:11" x14ac:dyDescent="0.35">
      <c r="E3074" s="9" t="str">
        <v>EPSG</v>
      </c>
      <c r="F3074" s="7" t="str">
        <v>6083</v>
      </c>
      <c r="G3074" t="str">
        <v>ProjectedCrs</v>
      </c>
      <c r="H3074" t="str">
        <v>Lambert Conic Conformal (2SP)</v>
      </c>
      <c r="I3074" t="str">
        <v>WGS 84 / EPSG Arctic zone 4-34</v>
      </c>
      <c r="J3074" t="str">
        <v>Arctic - between 77°50'N and 72°50'N, approximately 94°E to approximately 118°E. May be extended westwards or eastwards within the latitude limits.</v>
      </c>
      <c r="K3074" s="11">
        <v>0</v>
      </c>
    </row>
    <row r="3075" spans="5:11" x14ac:dyDescent="0.35">
      <c r="E3075" s="9" t="str">
        <v>EPSG</v>
      </c>
      <c r="F3075" s="7" t="str">
        <v>6084</v>
      </c>
      <c r="G3075" t="str">
        <v>ProjectedCrs</v>
      </c>
      <c r="H3075" t="str">
        <v>Lambert Conic Conformal (2SP)</v>
      </c>
      <c r="I3075" t="str">
        <v>WGS 84 / EPSG Arctic zone 4-36</v>
      </c>
      <c r="J3075" t="str">
        <v>Arctic - between 77°50'N and 72°50'N, approximately 118°E to approximately 142°E. May be extended westwards or eastwards within the latitude limits.</v>
      </c>
      <c r="K3075" s="11">
        <v>0</v>
      </c>
    </row>
    <row r="3076" spans="5:11" x14ac:dyDescent="0.35">
      <c r="E3076" s="9" t="str">
        <v>EPSG</v>
      </c>
      <c r="F3076" s="7" t="str">
        <v>6085</v>
      </c>
      <c r="G3076" t="str">
        <v>ProjectedCrs</v>
      </c>
      <c r="H3076" t="str">
        <v>Lambert Conic Conformal (2SP)</v>
      </c>
      <c r="I3076" t="str">
        <v>WGS 84 / EPSG Arctic zone 4-38</v>
      </c>
      <c r="J3076" t="str">
        <v>Arctic - between 77°50'N and 72°50'N, approximately 142°E to approximately 166°E. May be extended westwards or eastwards within the latitude limits.</v>
      </c>
      <c r="K3076" s="11">
        <v>0</v>
      </c>
    </row>
    <row r="3077" spans="5:11" x14ac:dyDescent="0.35">
      <c r="E3077" s="9" t="str">
        <v>EPSG</v>
      </c>
      <c r="F3077" s="7" t="str">
        <v>6086</v>
      </c>
      <c r="G3077" t="str">
        <v>ProjectedCrs</v>
      </c>
      <c r="H3077" t="str">
        <v>Lambert Conic Conformal (2SP)</v>
      </c>
      <c r="I3077" t="str">
        <v>WGS 84 / EPSG Arctic zone 4-40</v>
      </c>
      <c r="J3077" t="str">
        <v>Arctic - between 77°50'N and 72°50'N, approximately 166°E to approximately 169°W. May be extended westwards or eastwards within the latitude limits.</v>
      </c>
      <c r="K3077" s="11">
        <v>0</v>
      </c>
    </row>
    <row r="3078" spans="5:11" x14ac:dyDescent="0.35">
      <c r="E3078" s="9" t="str">
        <v>EPSG</v>
      </c>
      <c r="F3078" s="7" t="str">
        <v>6087</v>
      </c>
      <c r="G3078" t="str">
        <v>ProjectedCrs</v>
      </c>
      <c r="H3078" t="str">
        <v>Lambert Conic Conformal (2SP)</v>
      </c>
      <c r="I3078" t="str">
        <v>WGS 84 / EPSG Arctic zone 5-15</v>
      </c>
      <c r="J3078" t="str">
        <v>Arctic - between 74°30'N and 69°30'N, approximately 44°E to approximately 64°E. May be extended westwards or eastwards within the latitude limits.</v>
      </c>
      <c r="K3078" s="11">
        <v>0</v>
      </c>
    </row>
    <row r="3079" spans="5:11" x14ac:dyDescent="0.35">
      <c r="E3079" s="9" t="str">
        <v>EPSG</v>
      </c>
      <c r="F3079" s="7" t="str">
        <v>6088</v>
      </c>
      <c r="G3079" t="str">
        <v>ProjectedCrs</v>
      </c>
      <c r="H3079" t="str">
        <v>Lambert Conic Conformal (2SP)</v>
      </c>
      <c r="I3079" t="str">
        <v>WGS 84 / EPSG Arctic zone 5-17</v>
      </c>
      <c r="J3079" t="str">
        <v>Arctic - between 74°30'N and 69°30'N, approximately 64°E to approximately 85°E. May be extended westwards or eastwards within the latitude limits.</v>
      </c>
      <c r="K3079" s="11">
        <v>0</v>
      </c>
    </row>
    <row r="3080" spans="5:11" x14ac:dyDescent="0.35">
      <c r="E3080" s="9" t="str">
        <v>EPSG</v>
      </c>
      <c r="F3080" s="7" t="str">
        <v>6089</v>
      </c>
      <c r="G3080" t="str">
        <v>ProjectedCrs</v>
      </c>
      <c r="H3080" t="str">
        <v>Lambert Conic Conformal (2SP)</v>
      </c>
      <c r="I3080" t="str">
        <v>WGS 84 / EPSG Arctic zone 5-19</v>
      </c>
      <c r="J3080" t="str">
        <v>Arctic - between 74°30'N and 69°30'N, approximately 85°E to approximately 106°E. May be extended westwards or eastwards within the latitude limits.</v>
      </c>
      <c r="K3080" s="11">
        <v>0</v>
      </c>
    </row>
    <row r="3081" spans="5:11" x14ac:dyDescent="0.35">
      <c r="E3081" s="9" t="str">
        <v>EPSG</v>
      </c>
      <c r="F3081" s="7" t="str">
        <v>6090</v>
      </c>
      <c r="G3081" t="str">
        <v>ProjectedCrs</v>
      </c>
      <c r="H3081" t="str">
        <v>Lambert Conic Conformal (2SP)</v>
      </c>
      <c r="I3081" t="str">
        <v>WGS 84 / EPSG Arctic zone 5-21</v>
      </c>
      <c r="J3081" t="str">
        <v>Arctic - between 74°30'N and 69°30'N, approximately 106°E to approximately 127°E. May be extended westwards or eastwards within the latitude limits.</v>
      </c>
      <c r="K3081" s="11">
        <v>0</v>
      </c>
    </row>
    <row r="3082" spans="5:11" x14ac:dyDescent="0.35">
      <c r="E3082" s="9" t="str">
        <v>EPSG</v>
      </c>
      <c r="F3082" s="7" t="str">
        <v>6091</v>
      </c>
      <c r="G3082" t="str">
        <v>ProjectedCrs</v>
      </c>
      <c r="H3082" t="str">
        <v>Lambert Conic Conformal (2SP)</v>
      </c>
      <c r="I3082" t="str">
        <v>WGS 84 / EPSG Arctic zone 5-23</v>
      </c>
      <c r="J3082" t="str">
        <v>Arctic - between 74°30'N and 69°30'N, approximately 127°E to approximately 148°E. May be extended westwards or eastwards within the latitude limits.</v>
      </c>
      <c r="K3082" s="11">
        <v>0</v>
      </c>
    </row>
    <row r="3083" spans="5:11" x14ac:dyDescent="0.35">
      <c r="E3083" s="9" t="str">
        <v>EPSG</v>
      </c>
      <c r="F3083" s="7" t="str">
        <v>6092</v>
      </c>
      <c r="G3083" t="str">
        <v>ProjectedCrs</v>
      </c>
      <c r="H3083" t="str">
        <v>Lambert Conic Conformal (2SP)</v>
      </c>
      <c r="I3083" t="str">
        <v>WGS 84 / EPSG Arctic zone 5-25</v>
      </c>
      <c r="J3083" t="str">
        <v>Arctic - between 74°30'N and 69°30'N, approximately 148°E to approximately 169°E. May be extended westwards or eastwards within the latitude limits.</v>
      </c>
      <c r="K3083" s="11">
        <v>0</v>
      </c>
    </row>
    <row r="3084" spans="5:11" x14ac:dyDescent="0.35">
      <c r="E3084" s="9" t="str">
        <v>EPSG</v>
      </c>
      <c r="F3084" s="7" t="str">
        <v>6093</v>
      </c>
      <c r="G3084" t="str">
        <v>ProjectedCrs</v>
      </c>
      <c r="H3084" t="str">
        <v>Lambert Conic Conformal (2SP)</v>
      </c>
      <c r="I3084" t="str">
        <v>WGS 84 / EPSG Arctic zone 5-27</v>
      </c>
      <c r="J3084" t="str">
        <v>Arctic - between 74°30'N and 69°30'N, approximately 169°E to approximately 169°W. May be extended westwards or eastwards within the latitude limits.</v>
      </c>
      <c r="K3084" s="11">
        <v>0</v>
      </c>
    </row>
    <row r="3085" spans="5:11" x14ac:dyDescent="0.35">
      <c r="E3085" s="9" t="str">
        <v>EPSG</v>
      </c>
      <c r="F3085" s="7" t="str">
        <v>6094</v>
      </c>
      <c r="G3085" t="str">
        <v>ProjectedCrs</v>
      </c>
      <c r="H3085" t="str">
        <v>Lambert Conic Conformal (2SP)</v>
      </c>
      <c r="I3085" t="str">
        <v>NAD83(NSRS2007) / EPSG Arctic zone 5-29</v>
      </c>
      <c r="J3085" t="str">
        <v>Arctic - between 74°30'N and 69°30'N, approximately 173°W to approximately 153°W. May be extended eastwards within the latitude limits.</v>
      </c>
      <c r="K3085" s="11">
        <v>0</v>
      </c>
    </row>
    <row r="3086" spans="5:11" x14ac:dyDescent="0.35">
      <c r="E3086" s="9" t="str">
        <v>EPSG</v>
      </c>
      <c r="F3086" s="7" t="str">
        <v>6095</v>
      </c>
      <c r="G3086" t="str">
        <v>ProjectedCrs</v>
      </c>
      <c r="H3086" t="str">
        <v>Lambert Conic Conformal (2SP)</v>
      </c>
      <c r="I3086" t="str">
        <v>NAD83(NSRS2007) / EPSG Arctic zone 5-31</v>
      </c>
      <c r="J3086" t="str">
        <v>Arctic - between 74°30'N and 69°30'N, approximately 157°W to approximately 137°W. May be extended westwards within the latitude limits.</v>
      </c>
      <c r="K3086" s="11">
        <v>0</v>
      </c>
    </row>
    <row r="3087" spans="5:11" x14ac:dyDescent="0.35">
      <c r="E3087" s="9" t="str">
        <v>EPSG</v>
      </c>
      <c r="F3087" s="7" t="str">
        <v>6096</v>
      </c>
      <c r="G3087" t="str">
        <v>ProjectedCrs</v>
      </c>
      <c r="H3087" t="str">
        <v>Lambert Conic Conformal (2SP)</v>
      </c>
      <c r="I3087" t="str">
        <v>NAD83(NSRS2007) / EPSG Arctic zone 6-14</v>
      </c>
      <c r="J3087" t="str">
        <v>Arctic - between 71°10'N and 66°10'N, approximately 174°W to approximately 156°W. May be extended eastwards within the latitude limits.</v>
      </c>
      <c r="K3087" s="11">
        <v>0</v>
      </c>
    </row>
    <row r="3088" spans="5:11" x14ac:dyDescent="0.35">
      <c r="E3088" s="9" t="str">
        <v>EPSG</v>
      </c>
      <c r="F3088" s="7" t="str">
        <v>6097</v>
      </c>
      <c r="G3088" t="str">
        <v>ProjectedCrs</v>
      </c>
      <c r="H3088" t="str">
        <v>Lambert Conic Conformal (2SP)</v>
      </c>
      <c r="I3088" t="str">
        <v>NAD83(NSRS2007) / EPSG Arctic zone 6-16</v>
      </c>
      <c r="J3088" t="str">
        <v>Arctic - between 71°10'N and 66°10'N, approximately 156°W to approximately 138°W. May be extended westwards within the latitude limits.</v>
      </c>
      <c r="K3088" s="11">
        <v>0</v>
      </c>
    </row>
    <row r="3089" spans="5:11" x14ac:dyDescent="0.35">
      <c r="E3089" s="9" t="str">
        <v>EPSG</v>
      </c>
      <c r="F3089" s="7" t="str">
        <v>6098</v>
      </c>
      <c r="G3089" t="str">
        <v>ProjectedCrs</v>
      </c>
      <c r="H3089" t="str">
        <v>Lambert Conic Conformal (2SP)</v>
      </c>
      <c r="I3089" t="str">
        <v>NAD83(CSRS) / EPSG Arctic zone 1-23</v>
      </c>
      <c r="J3089" t="str">
        <v>Arctic - between 87°50'N and 82°50'N, approximately 120°W to approximately 60°W. May be extended westwards or eastwards within the latitude limits.</v>
      </c>
      <c r="K3089" s="11">
        <v>0</v>
      </c>
    </row>
    <row r="3090" spans="5:11" x14ac:dyDescent="0.35">
      <c r="E3090" s="9" t="str">
        <v>EPSG</v>
      </c>
      <c r="F3090" s="7" t="str">
        <v>6099</v>
      </c>
      <c r="G3090" t="str">
        <v>ProjectedCrs</v>
      </c>
      <c r="H3090" t="str">
        <v>Lambert Conic Conformal (2SP)</v>
      </c>
      <c r="I3090" t="str">
        <v>NAD83(CSRS) / EPSG Arctic zone 2-14</v>
      </c>
      <c r="J3090" t="str">
        <v>Arctic - between 84°30'N and 79°30'N, approximately 135°W to approximately 95°W. May be extended eastwards within the latitude limits.</v>
      </c>
      <c r="K3090" s="11">
        <v>0</v>
      </c>
    </row>
    <row r="3091" spans="5:11" x14ac:dyDescent="0.35">
      <c r="E3091" s="9" t="str">
        <v>EPSG</v>
      </c>
      <c r="F3091" s="7" t="str">
        <v>6100</v>
      </c>
      <c r="G3091" t="str">
        <v>ProjectedCrs</v>
      </c>
      <c r="H3091" t="str">
        <v>Lambert Conic Conformal (2SP)</v>
      </c>
      <c r="I3091" t="str">
        <v>NAD83(CSRS) / EPSG Arctic zone 2-16</v>
      </c>
      <c r="J3091" t="str">
        <v>Arctic - between 84°30'N and 79°30'N, approximately 95°W to approximately 55°W. May be extended westwards within the latitude limits.</v>
      </c>
      <c r="K3091" s="11">
        <v>0</v>
      </c>
    </row>
    <row r="3092" spans="5:11" x14ac:dyDescent="0.35">
      <c r="E3092" s="9" t="str">
        <v>EPSG</v>
      </c>
      <c r="F3092" s="7" t="str">
        <v>6101</v>
      </c>
      <c r="G3092" t="str">
        <v>ProjectedCrs</v>
      </c>
      <c r="H3092" t="str">
        <v>Lambert Conic Conformal (2SP)</v>
      </c>
      <c r="I3092" t="str">
        <v>NAD83(CSRS) / EPSG Arctic zone 3-25</v>
      </c>
      <c r="J3092" t="str">
        <v>Arctic - between 81°10'N and 76°10'N, approximately 144°W to approximately 114°W. May be extended eastwards within the latitude limits.</v>
      </c>
      <c r="K3092" s="11">
        <v>0</v>
      </c>
    </row>
    <row r="3093" spans="5:11" x14ac:dyDescent="0.35">
      <c r="E3093" s="9" t="str">
        <v>EPSG</v>
      </c>
      <c r="F3093" s="7" t="str">
        <v>6102</v>
      </c>
      <c r="G3093" t="str">
        <v>ProjectedCrs</v>
      </c>
      <c r="H3093" t="str">
        <v>Lambert Conic Conformal (2SP)</v>
      </c>
      <c r="I3093" t="str">
        <v>NAD83(CSRS) / EPSG Arctic zone 3-27</v>
      </c>
      <c r="J3093" t="str">
        <v>Arctic - between 81°10'N and 76°10'N, approximately 114°W to approximately 84°W. May be extended westwards or eastwards within the latitude limits.</v>
      </c>
      <c r="K3093" s="11">
        <v>0</v>
      </c>
    </row>
    <row r="3094" spans="5:11" x14ac:dyDescent="0.35">
      <c r="E3094" s="9" t="str">
        <v>EPSG</v>
      </c>
      <c r="F3094" s="7" t="str">
        <v>6103</v>
      </c>
      <c r="G3094" t="str">
        <v>ProjectedCrs</v>
      </c>
      <c r="H3094" t="str">
        <v>Lambert Conic Conformal (2SP)</v>
      </c>
      <c r="I3094" t="str">
        <v>NAD83(CSRS) / EPSG Arctic zone 3-29</v>
      </c>
      <c r="J3094" t="str">
        <v>Arctic - between 81°10'N and 76°10'N, Canada east of approximately 84°W. May be extended westwards within the latitude limits.</v>
      </c>
      <c r="K3094" s="11">
        <v>0</v>
      </c>
    </row>
    <row r="3095" spans="5:11" x14ac:dyDescent="0.35">
      <c r="E3095" s="9" t="str">
        <v>EPSG</v>
      </c>
      <c r="F3095" s="7" t="str">
        <v>6104</v>
      </c>
      <c r="G3095" t="str">
        <v>ProjectedCrs</v>
      </c>
      <c r="H3095" t="str">
        <v>Lambert Conic Conformal (2SP)</v>
      </c>
      <c r="I3095" t="str">
        <v>NAD83(CSRS) / EPSG Arctic zone 4-14</v>
      </c>
      <c r="J3095" t="str">
        <v>Arctic - between 77°50'N and 72°50'N, approximately 141°W to approximately 116°W. May be extended westwards or eastwards within the latitude limits.</v>
      </c>
      <c r="K3095" s="11">
        <v>0</v>
      </c>
    </row>
    <row r="3096" spans="5:11" x14ac:dyDescent="0.35">
      <c r="E3096" s="9" t="str">
        <v>EPSG</v>
      </c>
      <c r="F3096" s="7" t="str">
        <v>6105</v>
      </c>
      <c r="G3096" t="str">
        <v>ProjectedCrs</v>
      </c>
      <c r="H3096" t="str">
        <v>Lambert Conic Conformal (2SP)</v>
      </c>
      <c r="I3096" t="str">
        <v>NAD83(CSRS) / EPSG Arctic zone 4-16</v>
      </c>
      <c r="J3096" t="str">
        <v>Arctic - between 77°50'N and 72°50'N, approximately 116°W to approximately 91°W. May be extended westwards or eastwards within the latitude limits.</v>
      </c>
      <c r="K3096" s="11">
        <v>0</v>
      </c>
    </row>
    <row r="3097" spans="5:11" x14ac:dyDescent="0.35">
      <c r="E3097" s="9" t="str">
        <v>EPSG</v>
      </c>
      <c r="F3097" s="7" t="str">
        <v>6106</v>
      </c>
      <c r="G3097" t="str">
        <v>ProjectedCrs</v>
      </c>
      <c r="H3097" t="str">
        <v>Lambert Conic Conformal (2SP)</v>
      </c>
      <c r="I3097" t="str">
        <v>NAD83(CSRS) / EPSG Arctic zone 4-18</v>
      </c>
      <c r="J3097" t="str">
        <v>Arctic - between 77°50'N and 72°50'N, approximately 91°W to approximately 67°W. May be extended westwards within the latitude limits.</v>
      </c>
      <c r="K3097" s="11">
        <v>0</v>
      </c>
    </row>
    <row r="3098" spans="5:11" x14ac:dyDescent="0.35">
      <c r="E3098" s="9" t="str">
        <v>EPSG</v>
      </c>
      <c r="F3098" s="7" t="str">
        <v>6107</v>
      </c>
      <c r="G3098" t="str">
        <v>ProjectedCrs</v>
      </c>
      <c r="H3098" t="str">
        <v>Lambert Conic Conformal (2SP)</v>
      </c>
      <c r="I3098" t="str">
        <v>NAD83(CSRS) / EPSG Arctic zone 5-33</v>
      </c>
      <c r="J3098" t="str">
        <v>Arctic - between 74°30'N and 69°30'N, approximately 141°W to approximately 121°W. May be extended eastwards within the latitude limits.</v>
      </c>
      <c r="K3098" s="11">
        <v>0</v>
      </c>
    </row>
    <row r="3099" spans="5:11" x14ac:dyDescent="0.35">
      <c r="E3099" s="9" t="str">
        <v>EPSG</v>
      </c>
      <c r="F3099" s="7" t="str">
        <v>6108</v>
      </c>
      <c r="G3099" t="str">
        <v>ProjectedCrs</v>
      </c>
      <c r="H3099" t="str">
        <v>Lambert Conic Conformal (2SP)</v>
      </c>
      <c r="I3099" t="str">
        <v>NAD83(CSRS) / EPSG Arctic zone 5-35</v>
      </c>
      <c r="J3099" t="str">
        <v>Arctic - between 74°30'N and 69°30'N, approximately 121°W to approximately 101°W. May be extended westwards or eastwards within the latitude limits.</v>
      </c>
      <c r="K3099" s="11">
        <v>0</v>
      </c>
    </row>
    <row r="3100" spans="5:11" x14ac:dyDescent="0.35">
      <c r="E3100" s="9" t="str">
        <v>EPSG</v>
      </c>
      <c r="F3100" s="7" t="str">
        <v>6109</v>
      </c>
      <c r="G3100" t="str">
        <v>ProjectedCrs</v>
      </c>
      <c r="H3100" t="str">
        <v>Lambert Conic Conformal (2SP)</v>
      </c>
      <c r="I3100" t="str">
        <v>NAD83(CSRS) / EPSG Arctic zone 5-37</v>
      </c>
      <c r="J3100" t="str">
        <v>Arctic - between 74°30'N and 69°30'N, approximately 101°W to approximately 81°W. May be extended westwards or eastwards within the latitude limits.</v>
      </c>
      <c r="K3100" s="11">
        <v>0</v>
      </c>
    </row>
    <row r="3101" spans="5:11" x14ac:dyDescent="0.35">
      <c r="E3101" s="9" t="str">
        <v>EPSG</v>
      </c>
      <c r="F3101" s="7" t="str">
        <v>6110</v>
      </c>
      <c r="G3101" t="str">
        <v>ProjectedCrs</v>
      </c>
      <c r="H3101" t="str">
        <v>Lambert Conic Conformal (2SP)</v>
      </c>
      <c r="I3101" t="str">
        <v>NAD83(CSRS) / EPSG Arctic zone 5-39</v>
      </c>
      <c r="J3101" t="str">
        <v>Arctic - between 74°30'N and 69°30'N, approximately 81°W to approximately 61°W. May be extended westwards within the latitude limits.</v>
      </c>
      <c r="K3101" s="11">
        <v>0</v>
      </c>
    </row>
    <row r="3102" spans="5:11" x14ac:dyDescent="0.35">
      <c r="E3102" s="9" t="str">
        <v>EPSG</v>
      </c>
      <c r="F3102" s="7" t="str">
        <v>6111</v>
      </c>
      <c r="G3102" t="str">
        <v>ProjectedCrs</v>
      </c>
      <c r="H3102" t="str">
        <v>Lambert Conic Conformal (2SP)</v>
      </c>
      <c r="I3102" t="str">
        <v>NAD83(CSRS) / EPSG Arctic zone 6-18</v>
      </c>
      <c r="J3102" t="str">
        <v>Arctic - between 71°10'N and 66°10'N, approximately 141°W to approximately 122°W. May be extended eastwards within the latitude limits.</v>
      </c>
      <c r="K3102" s="11">
        <v>0</v>
      </c>
    </row>
    <row r="3103" spans="5:11" x14ac:dyDescent="0.35">
      <c r="E3103" s="9" t="str">
        <v>EPSG</v>
      </c>
      <c r="F3103" s="7" t="str">
        <v>6112</v>
      </c>
      <c r="G3103" t="str">
        <v>ProjectedCrs</v>
      </c>
      <c r="H3103" t="str">
        <v>Lambert Conic Conformal (2SP)</v>
      </c>
      <c r="I3103" t="str">
        <v>NAD83(CSRS) / EPSG Arctic zone 6-20</v>
      </c>
      <c r="J3103" t="str">
        <v>Arctic - between 71°10'N and 66°10'N, approximately 122°W to approximately 103°W. May be extended westwards or eastwards within the latitude limits.</v>
      </c>
      <c r="K3103" s="11">
        <v>0</v>
      </c>
    </row>
    <row r="3104" spans="5:11" x14ac:dyDescent="0.35">
      <c r="E3104" s="9" t="str">
        <v>EPSG</v>
      </c>
      <c r="F3104" s="7" t="str">
        <v>6113</v>
      </c>
      <c r="G3104" t="str">
        <v>ProjectedCrs</v>
      </c>
      <c r="H3104" t="str">
        <v>Lambert Conic Conformal (2SP)</v>
      </c>
      <c r="I3104" t="str">
        <v>NAD83(CSRS) / EPSG Arctic zone 6-22</v>
      </c>
      <c r="J3104" t="str">
        <v>Arctic - between 71°10'N and 66°10'N, approximately 103°W to approximately 84°W. May be extended westwards or eastwards within the latitude limits.</v>
      </c>
      <c r="K3104" s="11">
        <v>0</v>
      </c>
    </row>
    <row r="3105" spans="5:11" x14ac:dyDescent="0.35">
      <c r="E3105" s="9" t="str">
        <v>EPSG</v>
      </c>
      <c r="F3105" s="7" t="str">
        <v>6114</v>
      </c>
      <c r="G3105" t="str">
        <v>ProjectedCrs</v>
      </c>
      <c r="H3105" t="str">
        <v>Lambert Conic Conformal (2SP)</v>
      </c>
      <c r="I3105" t="str">
        <v>NAD83(CSRS) / EPSG Arctic zone 6-24</v>
      </c>
      <c r="J3105" t="str">
        <v>Arctic - between 71°10'N and 66°10'N, approximately 84°W to approximately 65°W. May be extended westwards or eastwards within the latitude limits.</v>
      </c>
      <c r="K3105" s="11">
        <v>0</v>
      </c>
    </row>
    <row r="3106" spans="5:11" x14ac:dyDescent="0.35">
      <c r="E3106" s="9" t="str">
        <v>EPSG</v>
      </c>
      <c r="F3106" s="7" t="str">
        <v>6115</v>
      </c>
      <c r="G3106" t="str">
        <v>ProjectedCrs</v>
      </c>
      <c r="H3106" t="str">
        <v>Lambert Conic Conformal (2SP)</v>
      </c>
      <c r="I3106" t="str">
        <v>WGS 84 / EPSG Arctic zone 1-27</v>
      </c>
      <c r="J3106" t="str">
        <v>Arctic - between 87°50'N and 82°50'N, approximately 0°E to approximately 60°E. May be extended westwards or eastwards within the latitude limits.</v>
      </c>
      <c r="K3106" s="11">
        <v>0</v>
      </c>
    </row>
    <row r="3107" spans="5:11" x14ac:dyDescent="0.35">
      <c r="E3107" s="9" t="str">
        <v>EPSG</v>
      </c>
      <c r="F3107" s="7" t="str">
        <v>6116</v>
      </c>
      <c r="G3107" t="str">
        <v>ProjectedCrs</v>
      </c>
      <c r="H3107" t="str">
        <v>Lambert Conic Conformal (2SP)</v>
      </c>
      <c r="I3107" t="str">
        <v>WGS 84 / EPSG Arctic zone 1-29</v>
      </c>
      <c r="J3107" t="str">
        <v>Arctic - between 87°50'N and 82°50'N, approximately 60°E to approximately 120°E. May be extended westwards or eastwards within the latitude limits.</v>
      </c>
      <c r="K3107" s="11">
        <v>0</v>
      </c>
    </row>
    <row r="3108" spans="5:11" x14ac:dyDescent="0.35">
      <c r="E3108" s="9" t="str">
        <v>EPSG</v>
      </c>
      <c r="F3108" s="7" t="str">
        <v>6117</v>
      </c>
      <c r="G3108" t="str">
        <v>ProjectedCrs</v>
      </c>
      <c r="H3108" t="str">
        <v>Lambert Conic Conformal (2SP)</v>
      </c>
      <c r="I3108" t="str">
        <v>WGS 84 / EPSG Arctic zone 1-31</v>
      </c>
      <c r="J3108" t="str">
        <v>Arctic - between 87°50'N and 82°50'N, approximately 120°E to approximately 180°E. May be extended westwards or eastwards within the latitude limits.</v>
      </c>
      <c r="K3108" s="11">
        <v>0</v>
      </c>
    </row>
    <row r="3109" spans="5:11" x14ac:dyDescent="0.35">
      <c r="E3109" s="9" t="str">
        <v>EPSG</v>
      </c>
      <c r="F3109" s="7" t="str">
        <v>6118</v>
      </c>
      <c r="G3109" t="str">
        <v>ProjectedCrs</v>
      </c>
      <c r="H3109" t="str">
        <v>Lambert Conic Conformal (2SP)</v>
      </c>
      <c r="I3109" t="str">
        <v>WGS 84 / EPSG Arctic zone 1-21</v>
      </c>
      <c r="J3109" t="str">
        <v>Arctic - between 87°50'N and 82°50'N, approximately 180°W to approximately 120°W. May be extended westwards or eastwards within the latitude limits.</v>
      </c>
      <c r="K3109" s="11">
        <v>0</v>
      </c>
    </row>
    <row r="3110" spans="5:11" x14ac:dyDescent="0.35">
      <c r="E3110" s="9" t="str">
        <v>EPSG</v>
      </c>
      <c r="F3110" s="7" t="str">
        <v>6119</v>
      </c>
      <c r="G3110" t="str">
        <v>ProjectedCrs</v>
      </c>
      <c r="H3110" t="str">
        <v>Lambert Conic Conformal (2SP)</v>
      </c>
      <c r="I3110" t="str">
        <v>WGS 84 / EPSG Arctic zone 2-28</v>
      </c>
      <c r="J3110" t="str">
        <v>Arctic - between 84°30'N and 79°30'N, approximately 113°E to approximately 153°E. May be extended westwards or eastwards within the latitude limits.</v>
      </c>
      <c r="K3110" s="11">
        <v>0</v>
      </c>
    </row>
    <row r="3111" spans="5:11" x14ac:dyDescent="0.35">
      <c r="E3111" s="9" t="str">
        <v>EPSG</v>
      </c>
      <c r="F3111" s="7" t="str">
        <v>6120</v>
      </c>
      <c r="G3111" t="str">
        <v>ProjectedCrs</v>
      </c>
      <c r="H3111" t="str">
        <v>Lambert Conic Conformal (2SP)</v>
      </c>
      <c r="I3111" t="str">
        <v>WGS 84 / EPSG Arctic zone 2-10</v>
      </c>
      <c r="J3111" t="str">
        <v>Arctic - between 84°30'N and 79°30'N, approximately 146°E to approximately 174°W. May be extended westwards or eastwards within the latitude limits.</v>
      </c>
      <c r="K3111" s="11">
        <v>0</v>
      </c>
    </row>
    <row r="3112" spans="5:11" x14ac:dyDescent="0.35">
      <c r="E3112" s="9" t="str">
        <v>EPSG</v>
      </c>
      <c r="F3112" s="7" t="str">
        <v>6121</v>
      </c>
      <c r="G3112" t="str">
        <v>ProjectedCrs</v>
      </c>
      <c r="H3112" t="str">
        <v>Lambert Conic Conformal (2SP)</v>
      </c>
      <c r="I3112" t="str">
        <v>WGS 84 / EPSG Arctic zone 2-12</v>
      </c>
      <c r="J3112" t="str">
        <v>Arctic - between 84°30'N and 79°30'N, approximately 174°W to approximately 135°W. May be extended westwards or eastwards within the latitude limits.</v>
      </c>
      <c r="K3112" s="11">
        <v>0</v>
      </c>
    </row>
    <row r="3113" spans="5:11" x14ac:dyDescent="0.35">
      <c r="E3113" s="9" t="str">
        <v>EPSG</v>
      </c>
      <c r="F3113" s="7" t="str">
        <v>6122</v>
      </c>
      <c r="G3113" t="str">
        <v>ProjectedCrs</v>
      </c>
      <c r="H3113" t="str">
        <v>Lambert Conic Conformal (2SP)</v>
      </c>
      <c r="I3113" t="str">
        <v>WGS 84 / EPSG Arctic zone 3-21</v>
      </c>
      <c r="J3113" t="str">
        <v>Arctic - between 81°10'N and 76°10'N, approximately 160°E to approximately 169°W. May be extended westwards or eastwards within the latitude limits.</v>
      </c>
      <c r="K3113" s="11">
        <v>0</v>
      </c>
    </row>
    <row r="3114" spans="5:11" x14ac:dyDescent="0.35">
      <c r="E3114" s="9" t="str">
        <v>EPSG</v>
      </c>
      <c r="F3114" s="7" t="str">
        <v>6123</v>
      </c>
      <c r="G3114" t="str">
        <v>ProjectedCrs</v>
      </c>
      <c r="H3114" t="str">
        <v>Lambert Conic Conformal (2SP)</v>
      </c>
      <c r="I3114" t="str">
        <v>WGS 84 / EPSG Arctic zone 3-23</v>
      </c>
      <c r="J3114" t="str">
        <v>Arctic - between 81°10'N and 76°10'N, approximately 169°W to approximately 138°W. May be extended westwards or eastwards within the latitude limits.</v>
      </c>
      <c r="K3114" s="11">
        <v>0</v>
      </c>
    </row>
    <row r="3115" spans="5:11" x14ac:dyDescent="0.35">
      <c r="E3115" s="9" t="str">
        <v>EPSG</v>
      </c>
      <c r="F3115" s="7" t="str">
        <v>6124</v>
      </c>
      <c r="G3115" t="str">
        <v>ProjectedCrs</v>
      </c>
      <c r="H3115" t="str">
        <v>Lambert Conic Conformal (2SP)</v>
      </c>
      <c r="I3115" t="str">
        <v>WGS 84 / EPSG Arctic zone 4-12</v>
      </c>
      <c r="J3115" t="str">
        <v>Arctic - between 77°50'N and 72°50'N, approximately 169°W to approximately 141°W. May be extended westwards or eastwards within the latitude limits.</v>
      </c>
      <c r="K3115" s="11">
        <v>0</v>
      </c>
    </row>
    <row r="3116" spans="5:11" x14ac:dyDescent="0.35">
      <c r="E3116" s="9" t="str">
        <v>EPSG</v>
      </c>
      <c r="F3116" s="7" t="str">
        <v>6125</v>
      </c>
      <c r="G3116" t="str">
        <v>ProjectedCrs</v>
      </c>
      <c r="H3116" t="str">
        <v>Lambert Conic Conformal (2SP)</v>
      </c>
      <c r="I3116" t="str">
        <v>ETRS89 / EPSG Arctic zone 5-47</v>
      </c>
      <c r="J3116" t="str">
        <v>Arctic - between 74°30'N and 69°30'N, approximately 15°W to approximately 5°E. May be extended westwards or eastwards within the latitude limits.</v>
      </c>
      <c r="K3116" s="11">
        <v>0</v>
      </c>
    </row>
    <row r="3117" spans="5:11" x14ac:dyDescent="0.35">
      <c r="E3117" s="9" t="str">
        <v>EPSG</v>
      </c>
      <c r="F3117" s="7" t="str">
        <v>6128</v>
      </c>
      <c r="G3117" t="str">
        <v>ProjectedCrs</v>
      </c>
      <c r="H3117" t="str">
        <v>Transverse Mercator</v>
      </c>
      <c r="I3117" t="str">
        <v>Grand Cayman National Grid 1959</v>
      </c>
      <c r="J3117" t="str">
        <v>Cayman Islands - Grand Cayman.</v>
      </c>
      <c r="K3117" s="11">
        <v>0</v>
      </c>
    </row>
    <row r="3118" spans="5:11" x14ac:dyDescent="0.35">
      <c r="E3118" s="9" t="str">
        <v>EPSG</v>
      </c>
      <c r="F3118" s="7" t="str">
        <v>6129</v>
      </c>
      <c r="G3118" t="str">
        <v>ProjectedCrs</v>
      </c>
      <c r="H3118" t="str">
        <v>Transverse Mercator</v>
      </c>
      <c r="I3118" t="str">
        <v>Sister Islands National Grid 1961</v>
      </c>
      <c r="J3118" t="str">
        <v>Cayman Islands - Little Cayman and Cayman Brac.</v>
      </c>
      <c r="K3118" s="11">
        <v>0</v>
      </c>
    </row>
    <row r="3119" spans="5:11" x14ac:dyDescent="0.35">
      <c r="E3119" s="9" t="str">
        <v>EPSG</v>
      </c>
      <c r="F3119" s="7" t="str">
        <v>6130</v>
      </c>
      <c r="G3119" t="str">
        <v>VerticalCrs</v>
      </c>
      <c r="H3119" t="str">
        <v>&lt;undefined&gt;</v>
      </c>
      <c r="I3119" t="str">
        <v>GCVD54 height (ft)</v>
      </c>
      <c r="J3119" t="str">
        <v>Cayman Islands - Grand Cayman.</v>
      </c>
      <c r="K3119" s="11">
        <v>0</v>
      </c>
    </row>
    <row r="3120" spans="5:11" x14ac:dyDescent="0.35">
      <c r="E3120" s="9" t="str">
        <v>EPSG</v>
      </c>
      <c r="F3120" s="7" t="str">
        <v>6131</v>
      </c>
      <c r="G3120" t="str">
        <v>VerticalCrs</v>
      </c>
      <c r="H3120" t="str">
        <v>&lt;undefined&gt;</v>
      </c>
      <c r="I3120" t="str">
        <v>LCVD61 height (ft)</v>
      </c>
      <c r="J3120" t="str">
        <v>Cayman Islands - Little Cayman.</v>
      </c>
      <c r="K3120" s="11">
        <v>0</v>
      </c>
    </row>
    <row r="3121" spans="5:11" x14ac:dyDescent="0.35">
      <c r="E3121" s="9" t="str">
        <v>EPSG</v>
      </c>
      <c r="F3121" s="7" t="str">
        <v>6132</v>
      </c>
      <c r="G3121" t="str">
        <v>VerticalCrs</v>
      </c>
      <c r="H3121" t="str">
        <v>&lt;undefined&gt;</v>
      </c>
      <c r="I3121" t="str">
        <v>CBVD61 height (ft)</v>
      </c>
      <c r="J3121" t="str">
        <v>Cayman Islands - Cayman Brac.</v>
      </c>
      <c r="K3121" s="11">
        <v>0</v>
      </c>
    </row>
    <row r="3122" spans="5:11" x14ac:dyDescent="0.35">
      <c r="E3122" s="9" t="str">
        <v>EPSG</v>
      </c>
      <c r="F3122" s="7" t="str">
        <v>6133</v>
      </c>
      <c r="G3122" t="str">
        <v>GeocentricCrs</v>
      </c>
      <c r="H3122" t="str">
        <v>&lt;undefined&gt;</v>
      </c>
      <c r="I3122" t="str">
        <v>CIGD11</v>
      </c>
      <c r="J3122" t="str">
        <v>Cayman Islands - onshore and offshore. Includes Grand Cayman, Little Cayman and Cayman Brac.</v>
      </c>
      <c r="K3122" s="11">
        <v>0</v>
      </c>
    </row>
    <row r="3123" spans="5:11" x14ac:dyDescent="0.35">
      <c r="E3123" s="9" t="str">
        <v>EPSG</v>
      </c>
      <c r="F3123" s="7" t="str">
        <v>6134</v>
      </c>
      <c r="G3123" t="str">
        <v>Geographic3DCrs</v>
      </c>
      <c r="H3123" t="str">
        <v>&lt;undefined&gt;</v>
      </c>
      <c r="I3123" t="str">
        <v>CIGD11</v>
      </c>
      <c r="J3123" t="str">
        <v>Cayman Islands - onshore and offshore. Includes Grand Cayman, Little Cayman and Cayman Brac.</v>
      </c>
      <c r="K3123" s="11">
        <v>0</v>
      </c>
    </row>
    <row r="3124" spans="5:11" x14ac:dyDescent="0.35">
      <c r="E3124" s="9" t="str">
        <v>EPSG</v>
      </c>
      <c r="F3124" s="7" t="str">
        <v>6135</v>
      </c>
      <c r="G3124" t="str">
        <v>Geographic2DCrs</v>
      </c>
      <c r="H3124" t="str">
        <v>&lt;undefined&gt;</v>
      </c>
      <c r="I3124" t="str">
        <v>CIGD11</v>
      </c>
      <c r="J3124" t="str">
        <v>Cayman Islands - onshore and offshore. Includes Grand Cayman, Little Cayman and Cayman Brac.</v>
      </c>
      <c r="K3124" s="11">
        <v>0</v>
      </c>
    </row>
    <row r="3125" spans="5:11" x14ac:dyDescent="0.35">
      <c r="E3125" s="9" t="str">
        <v>EPSG</v>
      </c>
      <c r="F3125" s="7" t="str">
        <v>6144</v>
      </c>
      <c r="G3125" t="str">
        <v>CompoundCrs</v>
      </c>
      <c r="H3125" t="str">
        <v>&lt;undefined&gt;</v>
      </c>
      <c r="I3125" t="str">
        <v>ETRS89 + NN54 height</v>
      </c>
      <c r="J3125" t="str">
        <v>Norway - onshore.</v>
      </c>
      <c r="K3125" s="11">
        <v>0</v>
      </c>
    </row>
    <row r="3126" spans="5:11" x14ac:dyDescent="0.35">
      <c r="E3126" s="9" t="str">
        <v>EPSG</v>
      </c>
      <c r="F3126" s="7" t="str">
        <v>6145</v>
      </c>
      <c r="G3126" t="str">
        <v>CompoundCrs</v>
      </c>
      <c r="H3126" t="str">
        <v>&lt;undefined&gt;</v>
      </c>
      <c r="I3126" t="str">
        <v>ETRS89 / NTM zone 5 + NN54 height</v>
      </c>
      <c r="J3126" t="str">
        <v>Norway - onshore - west of 6°E.</v>
      </c>
      <c r="K3126" s="11">
        <v>0</v>
      </c>
    </row>
    <row r="3127" spans="5:11" x14ac:dyDescent="0.35">
      <c r="E3127" s="9" t="str">
        <v>EPSG</v>
      </c>
      <c r="F3127" s="7" t="str">
        <v>6146</v>
      </c>
      <c r="G3127" t="str">
        <v>CompoundCrs</v>
      </c>
      <c r="H3127" t="str">
        <v>&lt;undefined&gt;</v>
      </c>
      <c r="I3127" t="str">
        <v>ETRS89 / NTM zone 6 + NN54 height</v>
      </c>
      <c r="J3127" t="str">
        <v>Norway - onshore - between 6°E and 7°E.</v>
      </c>
      <c r="K3127" s="11">
        <v>0</v>
      </c>
    </row>
    <row r="3128" spans="5:11" x14ac:dyDescent="0.35">
      <c r="E3128" s="9" t="str">
        <v>EPSG</v>
      </c>
      <c r="F3128" s="7" t="str">
        <v>6147</v>
      </c>
      <c r="G3128" t="str">
        <v>CompoundCrs</v>
      </c>
      <c r="H3128" t="str">
        <v>&lt;undefined&gt;</v>
      </c>
      <c r="I3128" t="str">
        <v>ETRS89 / NTM zone 7 + NN54 height</v>
      </c>
      <c r="J3128" t="str">
        <v>Norway - onshore - between 7°E and 8°E.</v>
      </c>
      <c r="K3128" s="11">
        <v>0</v>
      </c>
    </row>
    <row r="3129" spans="5:11" x14ac:dyDescent="0.35">
      <c r="E3129" s="9" t="str">
        <v>EPSG</v>
      </c>
      <c r="F3129" s="7" t="str">
        <v>6148</v>
      </c>
      <c r="G3129" t="str">
        <v>CompoundCrs</v>
      </c>
      <c r="H3129" t="str">
        <v>&lt;undefined&gt;</v>
      </c>
      <c r="I3129" t="str">
        <v>ETRS89 / NTM zone 8 + NN54 height</v>
      </c>
      <c r="J3129" t="str">
        <v>Norway - onshore - between 8°E and 9°E.</v>
      </c>
      <c r="K3129" s="11">
        <v>0</v>
      </c>
    </row>
    <row r="3130" spans="5:11" x14ac:dyDescent="0.35">
      <c r="E3130" s="9" t="str">
        <v>EPSG</v>
      </c>
      <c r="F3130" s="7" t="str">
        <v>6149</v>
      </c>
      <c r="G3130" t="str">
        <v>CompoundCrs</v>
      </c>
      <c r="H3130" t="str">
        <v>&lt;undefined&gt;</v>
      </c>
      <c r="I3130" t="str">
        <v>ETRS89 / NTM zone 9 + NN54 height</v>
      </c>
      <c r="J3130" t="str">
        <v>Norway - onshore - between 9°E and 10°E.</v>
      </c>
      <c r="K3130" s="11">
        <v>0</v>
      </c>
    </row>
    <row r="3131" spans="5:11" x14ac:dyDescent="0.35">
      <c r="E3131" s="9" t="str">
        <v>EPSG</v>
      </c>
      <c r="F3131" s="7" t="str">
        <v>6150</v>
      </c>
      <c r="G3131" t="str">
        <v>CompoundCrs</v>
      </c>
      <c r="H3131" t="str">
        <v>&lt;undefined&gt;</v>
      </c>
      <c r="I3131" t="str">
        <v>ETRS89 / NTM zone 10 + NN54 height</v>
      </c>
      <c r="J3131" t="str">
        <v>Norway - onshore - between 10°E and 11°E.</v>
      </c>
      <c r="K3131" s="11">
        <v>0</v>
      </c>
    </row>
    <row r="3132" spans="5:11" x14ac:dyDescent="0.35">
      <c r="E3132" s="9" t="str">
        <v>EPSG</v>
      </c>
      <c r="F3132" s="7" t="str">
        <v>6151</v>
      </c>
      <c r="G3132" t="str">
        <v>CompoundCrs</v>
      </c>
      <c r="H3132" t="str">
        <v>&lt;undefined&gt;</v>
      </c>
      <c r="I3132" t="str">
        <v>ETRS89 / NTM zone 11 + NN54 height</v>
      </c>
      <c r="J3132" t="str">
        <v>Norway - onshore - between 11°E and 12°E.</v>
      </c>
      <c r="K3132" s="11">
        <v>0</v>
      </c>
    </row>
    <row r="3133" spans="5:11" x14ac:dyDescent="0.35">
      <c r="E3133" s="9" t="str">
        <v>EPSG</v>
      </c>
      <c r="F3133" s="7" t="str">
        <v>6152</v>
      </c>
      <c r="G3133" t="str">
        <v>CompoundCrs</v>
      </c>
      <c r="H3133" t="str">
        <v>&lt;undefined&gt;</v>
      </c>
      <c r="I3133" t="str">
        <v>ETRS89 / NTM zone 12 + NN54 height</v>
      </c>
      <c r="J3133" t="str">
        <v>Norway - onshore - between 12°E and 13°E.</v>
      </c>
      <c r="K3133" s="11">
        <v>0</v>
      </c>
    </row>
    <row r="3134" spans="5:11" x14ac:dyDescent="0.35">
      <c r="E3134" s="9" t="str">
        <v>EPSG</v>
      </c>
      <c r="F3134" s="7" t="str">
        <v>6153</v>
      </c>
      <c r="G3134" t="str">
        <v>CompoundCrs</v>
      </c>
      <c r="H3134" t="str">
        <v>&lt;undefined&gt;</v>
      </c>
      <c r="I3134" t="str">
        <v>ETRS89 / NTM zone 13 + NN54 height</v>
      </c>
      <c r="J3134" t="str">
        <v>Norway - onshore - between 13°E and 14°E.</v>
      </c>
      <c r="K3134" s="11">
        <v>0</v>
      </c>
    </row>
    <row r="3135" spans="5:11" x14ac:dyDescent="0.35">
      <c r="E3135" s="9" t="str">
        <v>EPSG</v>
      </c>
      <c r="F3135" s="7" t="str">
        <v>6154</v>
      </c>
      <c r="G3135" t="str">
        <v>CompoundCrs</v>
      </c>
      <c r="H3135" t="str">
        <v>&lt;undefined&gt;</v>
      </c>
      <c r="I3135" t="str">
        <v>ETRS89 / NTM zone 14 + NN54 height</v>
      </c>
      <c r="J3135" t="str">
        <v>Norway - onshore - between 14°E and 15°E.</v>
      </c>
      <c r="K3135" s="11">
        <v>0</v>
      </c>
    </row>
    <row r="3136" spans="5:11" x14ac:dyDescent="0.35">
      <c r="E3136" s="9" t="str">
        <v>EPSG</v>
      </c>
      <c r="F3136" s="7" t="str">
        <v>6155</v>
      </c>
      <c r="G3136" t="str">
        <v>CompoundCrs</v>
      </c>
      <c r="H3136" t="str">
        <v>&lt;undefined&gt;</v>
      </c>
      <c r="I3136" t="str">
        <v>ETRS89 / NTM zone 15 + NN54 height</v>
      </c>
      <c r="J3136" t="str">
        <v>Norway - onshore - between 15°E and 16°E.</v>
      </c>
      <c r="K3136" s="11">
        <v>0</v>
      </c>
    </row>
    <row r="3137" spans="5:11" x14ac:dyDescent="0.35">
      <c r="E3137" s="9" t="str">
        <v>EPSG</v>
      </c>
      <c r="F3137" s="7" t="str">
        <v>6156</v>
      </c>
      <c r="G3137" t="str">
        <v>CompoundCrs</v>
      </c>
      <c r="H3137" t="str">
        <v>&lt;undefined&gt;</v>
      </c>
      <c r="I3137" t="str">
        <v>ETRS89 / NTM zone 16 + NN54 height</v>
      </c>
      <c r="J3137" t="str">
        <v>Norway - onshore - between 16°E and 17°E.</v>
      </c>
      <c r="K3137" s="11">
        <v>0</v>
      </c>
    </row>
    <row r="3138" spans="5:11" x14ac:dyDescent="0.35">
      <c r="E3138" s="9" t="str">
        <v>EPSG</v>
      </c>
      <c r="F3138" s="7" t="str">
        <v>6157</v>
      </c>
      <c r="G3138" t="str">
        <v>CompoundCrs</v>
      </c>
      <c r="H3138" t="str">
        <v>&lt;undefined&gt;</v>
      </c>
      <c r="I3138" t="str">
        <v>ETRS89 / NTM zone 17 + NN54 height</v>
      </c>
      <c r="J3138" t="str">
        <v>Norway - onshore - between 17°E and 18°E.</v>
      </c>
      <c r="K3138" s="11">
        <v>0</v>
      </c>
    </row>
    <row r="3139" spans="5:11" x14ac:dyDescent="0.35">
      <c r="E3139" s="9" t="str">
        <v>EPSG</v>
      </c>
      <c r="F3139" s="7" t="str">
        <v>6158</v>
      </c>
      <c r="G3139" t="str">
        <v>CompoundCrs</v>
      </c>
      <c r="H3139" t="str">
        <v>&lt;undefined&gt;</v>
      </c>
      <c r="I3139" t="str">
        <v>ETRS89 / NTM zone 18 + NN54 height</v>
      </c>
      <c r="J3139" t="str">
        <v>Norway - onshore - between 18°E and 19°E.</v>
      </c>
      <c r="K3139" s="11">
        <v>0</v>
      </c>
    </row>
    <row r="3140" spans="5:11" x14ac:dyDescent="0.35">
      <c r="E3140" s="9" t="str">
        <v>EPSG</v>
      </c>
      <c r="F3140" s="7" t="str">
        <v>6159</v>
      </c>
      <c r="G3140" t="str">
        <v>CompoundCrs</v>
      </c>
      <c r="H3140" t="str">
        <v>&lt;undefined&gt;</v>
      </c>
      <c r="I3140" t="str">
        <v>ETRS89 / NTM zone 19 + NN54 height</v>
      </c>
      <c r="J3140" t="str">
        <v>Norway - onshore - between 19°E and 20°E.</v>
      </c>
      <c r="K3140" s="11">
        <v>0</v>
      </c>
    </row>
    <row r="3141" spans="5:11" x14ac:dyDescent="0.35">
      <c r="E3141" s="9" t="str">
        <v>EPSG</v>
      </c>
      <c r="F3141" s="7" t="str">
        <v>6160</v>
      </c>
      <c r="G3141" t="str">
        <v>CompoundCrs</v>
      </c>
      <c r="H3141" t="str">
        <v>&lt;undefined&gt;</v>
      </c>
      <c r="I3141" t="str">
        <v>ETRS89 / NTM zone 20 + NN54 height</v>
      </c>
      <c r="J3141" t="str">
        <v>Norway - onshore - between 20°E and 21°E.</v>
      </c>
      <c r="K3141" s="11">
        <v>0</v>
      </c>
    </row>
    <row r="3142" spans="5:11" x14ac:dyDescent="0.35">
      <c r="E3142" s="9" t="str">
        <v>EPSG</v>
      </c>
      <c r="F3142" s="7" t="str">
        <v>6161</v>
      </c>
      <c r="G3142" t="str">
        <v>CompoundCrs</v>
      </c>
      <c r="H3142" t="str">
        <v>&lt;undefined&gt;</v>
      </c>
      <c r="I3142" t="str">
        <v>ETRS89 / NTM zone 21 + NN54 height</v>
      </c>
      <c r="J3142" t="str">
        <v>Norway - onshore - between 21°E and 22°E.</v>
      </c>
      <c r="K3142" s="11">
        <v>0</v>
      </c>
    </row>
    <row r="3143" spans="5:11" x14ac:dyDescent="0.35">
      <c r="E3143" s="9" t="str">
        <v>EPSG</v>
      </c>
      <c r="F3143" s="7" t="str">
        <v>6162</v>
      </c>
      <c r="G3143" t="str">
        <v>CompoundCrs</v>
      </c>
      <c r="H3143" t="str">
        <v>&lt;undefined&gt;</v>
      </c>
      <c r="I3143" t="str">
        <v>ETRS89 / NTM zone 22 + NN54 height</v>
      </c>
      <c r="J3143" t="str">
        <v>Norway - onshore - between 22°E and 23°E.</v>
      </c>
      <c r="K3143" s="11">
        <v>0</v>
      </c>
    </row>
    <row r="3144" spans="5:11" x14ac:dyDescent="0.35">
      <c r="E3144" s="9" t="str">
        <v>EPSG</v>
      </c>
      <c r="F3144" s="7" t="str">
        <v>6163</v>
      </c>
      <c r="G3144" t="str">
        <v>CompoundCrs</v>
      </c>
      <c r="H3144" t="str">
        <v>&lt;undefined&gt;</v>
      </c>
      <c r="I3144" t="str">
        <v>ETRS89 / NTM zone 23 + NN54 height</v>
      </c>
      <c r="J3144" t="str">
        <v>Norway - onshore - between 23°E and 24°E.</v>
      </c>
      <c r="K3144" s="11">
        <v>0</v>
      </c>
    </row>
    <row r="3145" spans="5:11" x14ac:dyDescent="0.35">
      <c r="E3145" s="9" t="str">
        <v>EPSG</v>
      </c>
      <c r="F3145" s="7" t="str">
        <v>6164</v>
      </c>
      <c r="G3145" t="str">
        <v>CompoundCrs</v>
      </c>
      <c r="H3145" t="str">
        <v>&lt;undefined&gt;</v>
      </c>
      <c r="I3145" t="str">
        <v>ETRS89 / NTM zone 24 + NN54 height</v>
      </c>
      <c r="J3145" t="str">
        <v>Norway - onshore - between 24°E and 25°E.</v>
      </c>
      <c r="K3145" s="11">
        <v>0</v>
      </c>
    </row>
    <row r="3146" spans="5:11" x14ac:dyDescent="0.35">
      <c r="E3146" s="9" t="str">
        <v>EPSG</v>
      </c>
      <c r="F3146" s="7" t="str">
        <v>6165</v>
      </c>
      <c r="G3146" t="str">
        <v>CompoundCrs</v>
      </c>
      <c r="H3146" t="str">
        <v>&lt;undefined&gt;</v>
      </c>
      <c r="I3146" t="str">
        <v>ETRS89 / NTM zone 25 + NN54 height</v>
      </c>
      <c r="J3146" t="str">
        <v>Norway - onshore - between 25°E and 26°E.</v>
      </c>
      <c r="K3146" s="11">
        <v>0</v>
      </c>
    </row>
    <row r="3147" spans="5:11" x14ac:dyDescent="0.35">
      <c r="E3147" s="9" t="str">
        <v>EPSG</v>
      </c>
      <c r="F3147" s="7" t="str">
        <v>6166</v>
      </c>
      <c r="G3147" t="str">
        <v>CompoundCrs</v>
      </c>
      <c r="H3147" t="str">
        <v>&lt;undefined&gt;</v>
      </c>
      <c r="I3147" t="str">
        <v>ETRS89 / NTM zone 26 + NN54 height</v>
      </c>
      <c r="J3147" t="str">
        <v>Norway - onshore - between 26°E and 27°E.</v>
      </c>
      <c r="K3147" s="11">
        <v>0</v>
      </c>
    </row>
    <row r="3148" spans="5:11" x14ac:dyDescent="0.35">
      <c r="E3148" s="9" t="str">
        <v>EPSG</v>
      </c>
      <c r="F3148" s="7" t="str">
        <v>6167</v>
      </c>
      <c r="G3148" t="str">
        <v>CompoundCrs</v>
      </c>
      <c r="H3148" t="str">
        <v>&lt;undefined&gt;</v>
      </c>
      <c r="I3148" t="str">
        <v>ETRS89 / NTM zone 27 + NN54 height</v>
      </c>
      <c r="J3148" t="str">
        <v>Norway - onshore - between 27°E and 28°E.</v>
      </c>
      <c r="K3148" s="11">
        <v>0</v>
      </c>
    </row>
    <row r="3149" spans="5:11" x14ac:dyDescent="0.35">
      <c r="E3149" s="9" t="str">
        <v>EPSG</v>
      </c>
      <c r="F3149" s="7" t="str">
        <v>6168</v>
      </c>
      <c r="G3149" t="str">
        <v>CompoundCrs</v>
      </c>
      <c r="H3149" t="str">
        <v>&lt;undefined&gt;</v>
      </c>
      <c r="I3149" t="str">
        <v>ETRS89 / NTM zone 28 + NN54 height</v>
      </c>
      <c r="J3149" t="str">
        <v>Norway - onshore - between 28°E and 29°E.</v>
      </c>
      <c r="K3149" s="11">
        <v>0</v>
      </c>
    </row>
    <row r="3150" spans="5:11" x14ac:dyDescent="0.35">
      <c r="E3150" s="9" t="str">
        <v>EPSG</v>
      </c>
      <c r="F3150" s="7" t="str">
        <v>6169</v>
      </c>
      <c r="G3150" t="str">
        <v>CompoundCrs</v>
      </c>
      <c r="H3150" t="str">
        <v>&lt;undefined&gt;</v>
      </c>
      <c r="I3150" t="str">
        <v>ETRS89 / NTM zone 29 + NN54 height</v>
      </c>
      <c r="J3150" t="str">
        <v>Norway - onshore - between 29°E and 30°E.</v>
      </c>
      <c r="K3150" s="11">
        <v>0</v>
      </c>
    </row>
    <row r="3151" spans="5:11" x14ac:dyDescent="0.35">
      <c r="E3151" s="9" t="str">
        <v>EPSG</v>
      </c>
      <c r="F3151" s="7" t="str">
        <v>6170</v>
      </c>
      <c r="G3151" t="str">
        <v>CompoundCrs</v>
      </c>
      <c r="H3151" t="str">
        <v>&lt;undefined&gt;</v>
      </c>
      <c r="I3151" t="str">
        <v>ETRS89 / NTM zone 30 + NN54 height</v>
      </c>
      <c r="J3151" t="str">
        <v>Norway - onshore - east of 30°E.</v>
      </c>
      <c r="K3151" s="11">
        <v>0</v>
      </c>
    </row>
    <row r="3152" spans="5:11" x14ac:dyDescent="0.35">
      <c r="E3152" s="9" t="str">
        <v>EPSG</v>
      </c>
      <c r="F3152" s="7" t="str">
        <v>6171</v>
      </c>
      <c r="G3152" t="str">
        <v>CompoundCrs</v>
      </c>
      <c r="H3152" t="str">
        <v>&lt;undefined&gt;</v>
      </c>
      <c r="I3152" t="str">
        <v>ETRS89 / UTM zone 31N + NN54 height</v>
      </c>
      <c r="J3152" t="str">
        <v>Norway - onshore - west of 6°E.</v>
      </c>
      <c r="K3152" s="11">
        <v>0</v>
      </c>
    </row>
    <row r="3153" spans="5:11" x14ac:dyDescent="0.35">
      <c r="E3153" s="9" t="str">
        <v>EPSG</v>
      </c>
      <c r="F3153" s="7" t="str">
        <v>6172</v>
      </c>
      <c r="G3153" t="str">
        <v>CompoundCrs</v>
      </c>
      <c r="H3153" t="str">
        <v>&lt;undefined&gt;</v>
      </c>
      <c r="I3153" t="str">
        <v>ETRS89 / UTM zone 32N + NN54 height</v>
      </c>
      <c r="J3153" t="str">
        <v>Norway - onshore - between 6°E and 12°E.</v>
      </c>
      <c r="K3153" s="11">
        <v>0</v>
      </c>
    </row>
    <row r="3154" spans="5:11" x14ac:dyDescent="0.35">
      <c r="E3154" s="9" t="str">
        <v>EPSG</v>
      </c>
      <c r="F3154" s="7" t="str">
        <v>6173</v>
      </c>
      <c r="G3154" t="str">
        <v>CompoundCrs</v>
      </c>
      <c r="H3154" t="str">
        <v>&lt;undefined&gt;</v>
      </c>
      <c r="I3154" t="str">
        <v>ETRS89 / UTM zone 33N + NN54 height</v>
      </c>
      <c r="J3154" t="str">
        <v>Norway - onshore - between 12°E and 18°E.</v>
      </c>
      <c r="K3154" s="11">
        <v>0</v>
      </c>
    </row>
    <row r="3155" spans="5:11" x14ac:dyDescent="0.35">
      <c r="E3155" s="9" t="str">
        <v>EPSG</v>
      </c>
      <c r="F3155" s="7" t="str">
        <v>6174</v>
      </c>
      <c r="G3155" t="str">
        <v>CompoundCrs</v>
      </c>
      <c r="H3155" t="str">
        <v>&lt;undefined&gt;</v>
      </c>
      <c r="I3155" t="str">
        <v>ETRS89 / UTM zone 34N + NN54 height</v>
      </c>
      <c r="J3155" t="str">
        <v>Norway - onshore - between 18°E and 24°E.</v>
      </c>
      <c r="K3155" s="11">
        <v>0</v>
      </c>
    </row>
    <row r="3156" spans="5:11" x14ac:dyDescent="0.35">
      <c r="E3156" s="9" t="str">
        <v>EPSG</v>
      </c>
      <c r="F3156" s="7" t="str">
        <v>6175</v>
      </c>
      <c r="G3156" t="str">
        <v>CompoundCrs</v>
      </c>
      <c r="H3156" t="str">
        <v>&lt;undefined&gt;</v>
      </c>
      <c r="I3156" t="str">
        <v>ETRS89 / UTM zone 35N + NN54 height</v>
      </c>
      <c r="J3156" t="str">
        <v>Norway - onshore - between 24°E and 30°E.</v>
      </c>
      <c r="K3156" s="11">
        <v>0</v>
      </c>
    </row>
    <row r="3157" spans="5:11" x14ac:dyDescent="0.35">
      <c r="E3157" s="9" t="str">
        <v>EPSG</v>
      </c>
      <c r="F3157" s="7" t="str">
        <v>6176</v>
      </c>
      <c r="G3157" t="str">
        <v>CompoundCrs</v>
      </c>
      <c r="H3157" t="str">
        <v>&lt;undefined&gt;</v>
      </c>
      <c r="I3157" t="str">
        <v>ETRS89 / UTM zone 36N + NN54 height</v>
      </c>
      <c r="J3157" t="str">
        <v>Norway - onshore - east of 30°E.</v>
      </c>
      <c r="K3157" s="11">
        <v>0</v>
      </c>
    </row>
    <row r="3158" spans="5:11" x14ac:dyDescent="0.35">
      <c r="E3158" s="9" t="str">
        <v>EPSG</v>
      </c>
      <c r="F3158" s="7" t="str">
        <v>6178</v>
      </c>
      <c r="G3158" t="str">
        <v>VerticalCrs</v>
      </c>
      <c r="H3158" t="str">
        <v>&lt;undefined&gt;</v>
      </c>
      <c r="I3158" t="str">
        <v>Cais da Pontinha height</v>
      </c>
      <c r="J3158" t="str">
        <v>Portugal - Madeira and Desertas islands - onshore.</v>
      </c>
      <c r="K3158" s="11">
        <v>0</v>
      </c>
    </row>
    <row r="3159" spans="5:11" x14ac:dyDescent="0.35">
      <c r="E3159" s="9" t="str">
        <v>EPSG</v>
      </c>
      <c r="F3159" s="7" t="str">
        <v>6179</v>
      </c>
      <c r="G3159" t="str">
        <v>VerticalCrs</v>
      </c>
      <c r="H3159" t="str">
        <v>&lt;undefined&gt;</v>
      </c>
      <c r="I3159" t="str">
        <v>Cais da Vila height</v>
      </c>
      <c r="J3159" t="str">
        <v>Portugal - Porto Santo island (Madeira archipelago) onshore.</v>
      </c>
      <c r="K3159" s="11">
        <v>0</v>
      </c>
    </row>
    <row r="3160" spans="5:11" x14ac:dyDescent="0.35">
      <c r="E3160" s="9" t="str">
        <v>EPSG</v>
      </c>
      <c r="F3160" s="7" t="str">
        <v>6180</v>
      </c>
      <c r="G3160" t="str">
        <v>VerticalCrs</v>
      </c>
      <c r="H3160" t="str">
        <v>&lt;undefined&gt;</v>
      </c>
      <c r="I3160" t="str">
        <v>Cais das Velas height</v>
      </c>
      <c r="J3160" t="str">
        <v>Portugal - central Azores - Sao Jorge island onshore.</v>
      </c>
      <c r="K3160" s="11">
        <v>0</v>
      </c>
    </row>
    <row r="3161" spans="5:11" x14ac:dyDescent="0.35">
      <c r="E3161" s="9" t="str">
        <v>EPSG</v>
      </c>
      <c r="F3161" s="7" t="str">
        <v>6181</v>
      </c>
      <c r="G3161" t="str">
        <v>VerticalCrs</v>
      </c>
      <c r="H3161" t="str">
        <v>&lt;undefined&gt;</v>
      </c>
      <c r="I3161" t="str">
        <v>Horta height</v>
      </c>
      <c r="J3161" t="str">
        <v>Portugal - central Azores - Faial island onshore.</v>
      </c>
      <c r="K3161" s="11">
        <v>0</v>
      </c>
    </row>
    <row r="3162" spans="5:11" x14ac:dyDescent="0.35">
      <c r="E3162" s="9" t="str">
        <v>EPSG</v>
      </c>
      <c r="F3162" s="7" t="str">
        <v>6182</v>
      </c>
      <c r="G3162" t="str">
        <v>VerticalCrs</v>
      </c>
      <c r="H3162" t="str">
        <v>&lt;undefined&gt;</v>
      </c>
      <c r="I3162" t="str">
        <v>Cais da Madalena height</v>
      </c>
      <c r="J3162" t="str">
        <v>Portugal - central Azores - Pico island onshore.</v>
      </c>
      <c r="K3162" s="11">
        <v>0</v>
      </c>
    </row>
    <row r="3163" spans="5:11" x14ac:dyDescent="0.35">
      <c r="E3163" s="9" t="str">
        <v>EPSG</v>
      </c>
      <c r="F3163" s="7" t="str">
        <v>6183</v>
      </c>
      <c r="G3163" t="str">
        <v>VerticalCrs</v>
      </c>
      <c r="H3163" t="str">
        <v>&lt;undefined&gt;</v>
      </c>
      <c r="I3163" t="str">
        <v>Santa Cruz da Graciosa height</v>
      </c>
      <c r="J3163" t="str">
        <v>Portugal - central Azores - Graciosa island onshore.</v>
      </c>
      <c r="K3163" s="11">
        <v>0</v>
      </c>
    </row>
    <row r="3164" spans="5:11" x14ac:dyDescent="0.35">
      <c r="E3164" s="9" t="str">
        <v>EPSG</v>
      </c>
      <c r="F3164" s="7" t="str">
        <v>6184</v>
      </c>
      <c r="G3164" t="str">
        <v>VerticalCrs</v>
      </c>
      <c r="H3164" t="str">
        <v>&lt;undefined&gt;</v>
      </c>
      <c r="I3164" t="str">
        <v>Cais da Figueirinha height</v>
      </c>
      <c r="J3164" t="str">
        <v>Portugal - central Azores - Terceira island onshore.</v>
      </c>
      <c r="K3164" s="11">
        <v>0</v>
      </c>
    </row>
    <row r="3165" spans="5:11" x14ac:dyDescent="0.35">
      <c r="E3165" s="9" t="str">
        <v>EPSG</v>
      </c>
      <c r="F3165" s="7" t="str">
        <v>6185</v>
      </c>
      <c r="G3165" t="str">
        <v>VerticalCrs</v>
      </c>
      <c r="H3165" t="str">
        <v>&lt;undefined&gt;</v>
      </c>
      <c r="I3165" t="str">
        <v>Santa Cruz das Flores height</v>
      </c>
      <c r="J3165" t="str">
        <v>Portugal - western Azores onshore - Flores, Corvo.</v>
      </c>
      <c r="K3165" s="11">
        <v>0</v>
      </c>
    </row>
    <row r="3166" spans="5:11" x14ac:dyDescent="0.35">
      <c r="E3166" s="9" t="str">
        <v>EPSG</v>
      </c>
      <c r="F3166" s="7" t="str">
        <v>6186</v>
      </c>
      <c r="G3166" t="str">
        <v>VerticalCrs</v>
      </c>
      <c r="H3166" t="str">
        <v>&lt;undefined&gt;</v>
      </c>
      <c r="I3166" t="str">
        <v>Cais da Vila do Porto height</v>
      </c>
      <c r="J3166" t="str">
        <v>Portugal - eastern Azores onshore - Santa Maria, Formigas.</v>
      </c>
      <c r="K3166" s="11">
        <v>0</v>
      </c>
    </row>
    <row r="3167" spans="5:11" x14ac:dyDescent="0.35">
      <c r="E3167" s="9" t="str">
        <v>EPSG</v>
      </c>
      <c r="F3167" s="7" t="str">
        <v>6187</v>
      </c>
      <c r="G3167" t="str">
        <v>VerticalCrs</v>
      </c>
      <c r="H3167" t="str">
        <v>&lt;undefined&gt;</v>
      </c>
      <c r="I3167" t="str">
        <v>Ponta Delgada height</v>
      </c>
      <c r="J3167" t="str">
        <v>Portugal - eastern Azores - Sao Miguel island onshore.</v>
      </c>
      <c r="K3167" s="11">
        <v>0</v>
      </c>
    </row>
    <row r="3168" spans="5:11" x14ac:dyDescent="0.35">
      <c r="E3168" s="9" t="str">
        <v>EPSG</v>
      </c>
      <c r="F3168" s="7" t="str">
        <v>6190</v>
      </c>
      <c r="G3168" t="str">
        <v>CompoundCrs</v>
      </c>
      <c r="H3168" t="str">
        <v>&lt;undefined&gt;</v>
      </c>
      <c r="I3168" t="str">
        <v>BD72 / Belgian Lambert 72 + Ostend height</v>
      </c>
      <c r="J3168" t="str">
        <v>Belgium - onshore.</v>
      </c>
      <c r="K3168" s="11">
        <v>0</v>
      </c>
    </row>
    <row r="3169" spans="5:11" x14ac:dyDescent="0.35">
      <c r="E3169" s="9" t="str">
        <v>EPSG</v>
      </c>
      <c r="F3169" s="7" t="str">
        <v>6201</v>
      </c>
      <c r="G3169" t="str">
        <v>ProjectedCrs</v>
      </c>
      <c r="H3169" t="str">
        <v>Lambert Conic Conformal (2SP Michigan)</v>
      </c>
      <c r="I3169" t="str">
        <v>NAD27 / Michigan Central</v>
      </c>
      <c r="J3169"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3169" s="11">
        <v>0</v>
      </c>
    </row>
    <row r="3170" spans="5:11" x14ac:dyDescent="0.35">
      <c r="E3170" s="9" t="str">
        <v>EPSG</v>
      </c>
      <c r="F3170" s="7" t="str">
        <v>6202</v>
      </c>
      <c r="G3170" t="str">
        <v>ProjectedCrs</v>
      </c>
      <c r="H3170" t="str">
        <v>Lambert Conic Conformal (2SP Michigan)</v>
      </c>
      <c r="I3170" t="str">
        <v>NAD27 / Michigan South</v>
      </c>
      <c r="J3170"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3170" s="11">
        <v>0</v>
      </c>
    </row>
    <row r="3171" spans="5:11" x14ac:dyDescent="0.35">
      <c r="E3171" s="9" t="str">
        <v>EPSG</v>
      </c>
      <c r="F3171" s="7" t="str">
        <v>6204</v>
      </c>
      <c r="G3171" t="str">
        <v>ProjectedCrs</v>
      </c>
      <c r="H3171" t="str">
        <v>Transverse Mercator</v>
      </c>
      <c r="I3171" t="str">
        <v>Macedonia State Coordinate System</v>
      </c>
      <c r="J3171" t="str">
        <v>North Macedonia.</v>
      </c>
      <c r="K3171" s="11">
        <v>0</v>
      </c>
    </row>
    <row r="3172" spans="5:11" x14ac:dyDescent="0.35">
      <c r="E3172" s="9" t="str">
        <v>EPSG</v>
      </c>
      <c r="F3172" s="7" t="str">
        <v>6207</v>
      </c>
      <c r="G3172" t="str">
        <v>Geographic2DCrs</v>
      </c>
      <c r="H3172" t="str">
        <v>&lt;undefined&gt;</v>
      </c>
      <c r="I3172" t="str">
        <v>Nepal 1981</v>
      </c>
      <c r="J3172" t="str">
        <v>Nepal.</v>
      </c>
      <c r="K3172" s="11">
        <v>0</v>
      </c>
    </row>
    <row r="3173" spans="5:11" x14ac:dyDescent="0.35">
      <c r="E3173" s="9" t="str">
        <v>EPSG</v>
      </c>
      <c r="F3173" s="7" t="str">
        <v>6210</v>
      </c>
      <c r="G3173" t="str">
        <v>ProjectedCrs</v>
      </c>
      <c r="H3173" t="str">
        <v>Transverse Mercator</v>
      </c>
      <c r="I3173" t="str">
        <v>SIRGAS 2000 / UTM zone 23N</v>
      </c>
      <c r="J3173" t="str">
        <v>Brazil - offshore between 48°W and 42°W, northern hemisphere.</v>
      </c>
      <c r="K3173" s="11">
        <v>0</v>
      </c>
    </row>
    <row r="3174" spans="5:11" x14ac:dyDescent="0.35">
      <c r="E3174" s="9" t="str">
        <v>EPSG</v>
      </c>
      <c r="F3174" s="7" t="str">
        <v>6211</v>
      </c>
      <c r="G3174" t="str">
        <v>ProjectedCrs</v>
      </c>
      <c r="H3174" t="str">
        <v>Transverse Mercator</v>
      </c>
      <c r="I3174" t="str">
        <v>SIRGAS 2000 / UTM zone 24N</v>
      </c>
      <c r="J3174" t="str">
        <v>Brazil - offshore between 42°W and 36°W, northern hemisphere.</v>
      </c>
      <c r="K3174" s="11">
        <v>0</v>
      </c>
    </row>
    <row r="3175" spans="5:11" x14ac:dyDescent="0.35">
      <c r="E3175" s="9" t="str">
        <v>EPSG</v>
      </c>
      <c r="F3175" s="7" t="str">
        <v>6244</v>
      </c>
      <c r="G3175" t="str">
        <v>ProjectedCrs</v>
      </c>
      <c r="H3175" t="str">
        <v>Colombia Urban</v>
      </c>
      <c r="I3175" t="str">
        <v>MAGNA-SIRGAS / Arauca urban grid</v>
      </c>
      <c r="J3175" t="str">
        <v>Colombia - Arauca city.</v>
      </c>
      <c r="K3175" s="11">
        <v>0</v>
      </c>
    </row>
    <row r="3176" spans="5:11" x14ac:dyDescent="0.35">
      <c r="E3176" s="9" t="str">
        <v>EPSG</v>
      </c>
      <c r="F3176" s="7" t="str">
        <v>6245</v>
      </c>
      <c r="G3176" t="str">
        <v>ProjectedCrs</v>
      </c>
      <c r="H3176" t="str">
        <v>Colombia Urban</v>
      </c>
      <c r="I3176" t="str">
        <v>MAGNA-SIRGAS / Armenia urban grid</v>
      </c>
      <c r="J3176" t="str">
        <v>Colombia - Armenia city.</v>
      </c>
      <c r="K3176" s="11">
        <v>0</v>
      </c>
    </row>
    <row r="3177" spans="5:11" x14ac:dyDescent="0.35">
      <c r="E3177" s="9" t="str">
        <v>EPSG</v>
      </c>
      <c r="F3177" s="7" t="str">
        <v>6246</v>
      </c>
      <c r="G3177" t="str">
        <v>ProjectedCrs</v>
      </c>
      <c r="H3177" t="str">
        <v>Colombia Urban</v>
      </c>
      <c r="I3177" t="str">
        <v>MAGNA-SIRGAS / Barranquilla urban grid</v>
      </c>
      <c r="J3177" t="str">
        <v>Colombia - Barranquilla city.</v>
      </c>
      <c r="K3177" s="11">
        <v>0</v>
      </c>
    </row>
    <row r="3178" spans="5:11" x14ac:dyDescent="0.35">
      <c r="E3178" s="9" t="str">
        <v>EPSG</v>
      </c>
      <c r="F3178" s="7" t="str">
        <v>6247</v>
      </c>
      <c r="G3178" t="str">
        <v>ProjectedCrs</v>
      </c>
      <c r="H3178" t="str">
        <v>Colombia Urban</v>
      </c>
      <c r="I3178" t="str">
        <v>MAGNA-SIRGAS / Bogota urban grid</v>
      </c>
      <c r="J3178" t="str">
        <v>Colombia - Bogota DC city.</v>
      </c>
      <c r="K3178" s="11">
        <v>0</v>
      </c>
    </row>
    <row r="3179" spans="5:11" x14ac:dyDescent="0.35">
      <c r="E3179" s="9" t="str">
        <v>EPSG</v>
      </c>
      <c r="F3179" s="7" t="str">
        <v>6248</v>
      </c>
      <c r="G3179" t="str">
        <v>ProjectedCrs</v>
      </c>
      <c r="H3179" t="str">
        <v>Colombia Urban</v>
      </c>
      <c r="I3179" t="str">
        <v>MAGNA-SIRGAS / Bucaramanga urban grid</v>
      </c>
      <c r="J3179" t="str">
        <v>Colombia - Bucaramanga city.</v>
      </c>
      <c r="K3179" s="11">
        <v>0</v>
      </c>
    </row>
    <row r="3180" spans="5:11" x14ac:dyDescent="0.35">
      <c r="E3180" s="9" t="str">
        <v>EPSG</v>
      </c>
      <c r="F3180" s="7" t="str">
        <v>6249</v>
      </c>
      <c r="G3180" t="str">
        <v>ProjectedCrs</v>
      </c>
      <c r="H3180" t="str">
        <v>Colombia Urban</v>
      </c>
      <c r="I3180" t="str">
        <v>MAGNA-SIRGAS / Cali urban grid</v>
      </c>
      <c r="J3180" t="str">
        <v>Colombia - Cali city.</v>
      </c>
      <c r="K3180" s="11">
        <v>0</v>
      </c>
    </row>
    <row r="3181" spans="5:11" x14ac:dyDescent="0.35">
      <c r="E3181" s="9" t="str">
        <v>EPSG</v>
      </c>
      <c r="F3181" s="7" t="str">
        <v>6250</v>
      </c>
      <c r="G3181" t="str">
        <v>ProjectedCrs</v>
      </c>
      <c r="H3181" t="str">
        <v>Colombia Urban</v>
      </c>
      <c r="I3181" t="str">
        <v>MAGNA-SIRGAS / Cartagena urban grid</v>
      </c>
      <c r="J3181" t="str">
        <v>Colombia - Cartagena city.</v>
      </c>
      <c r="K3181" s="11">
        <v>0</v>
      </c>
    </row>
    <row r="3182" spans="5:11" x14ac:dyDescent="0.35">
      <c r="E3182" s="9" t="str">
        <v>EPSG</v>
      </c>
      <c r="F3182" s="7" t="str">
        <v>6251</v>
      </c>
      <c r="G3182" t="str">
        <v>ProjectedCrs</v>
      </c>
      <c r="H3182" t="str">
        <v>Colombia Urban</v>
      </c>
      <c r="I3182" t="str">
        <v>MAGNA-SIRGAS / Cucuta urban grid</v>
      </c>
      <c r="J3182" t="str">
        <v>Colombia - Cucuta city.</v>
      </c>
      <c r="K3182" s="11">
        <v>0</v>
      </c>
    </row>
    <row r="3183" spans="5:11" x14ac:dyDescent="0.35">
      <c r="E3183" s="9" t="str">
        <v>EPSG</v>
      </c>
      <c r="F3183" s="7" t="str">
        <v>6252</v>
      </c>
      <c r="G3183" t="str">
        <v>ProjectedCrs</v>
      </c>
      <c r="H3183" t="str">
        <v>Colombia Urban</v>
      </c>
      <c r="I3183" t="str">
        <v>MAGNA-SIRGAS / Florencia urban grid</v>
      </c>
      <c r="J3183" t="str">
        <v>Colombia - Florencia city.</v>
      </c>
      <c r="K3183" s="11">
        <v>0</v>
      </c>
    </row>
    <row r="3184" spans="5:11" x14ac:dyDescent="0.35">
      <c r="E3184" s="9" t="str">
        <v>EPSG</v>
      </c>
      <c r="F3184" s="7" t="str">
        <v>6253</v>
      </c>
      <c r="G3184" t="str">
        <v>ProjectedCrs</v>
      </c>
      <c r="H3184" t="str">
        <v>Colombia Urban</v>
      </c>
      <c r="I3184" t="str">
        <v>MAGNA-SIRGAS / Ibague urban grid</v>
      </c>
      <c r="J3184" t="str">
        <v>Colombia - Ibague city.</v>
      </c>
      <c r="K3184" s="11">
        <v>0</v>
      </c>
    </row>
    <row r="3185" spans="5:11" x14ac:dyDescent="0.35">
      <c r="E3185" s="9" t="str">
        <v>EPSG</v>
      </c>
      <c r="F3185" s="7" t="str">
        <v>6254</v>
      </c>
      <c r="G3185" t="str">
        <v>ProjectedCrs</v>
      </c>
      <c r="H3185" t="str">
        <v>Colombia Urban</v>
      </c>
      <c r="I3185" t="str">
        <v>MAGNA-SIRGAS / Inirida urban grid</v>
      </c>
      <c r="J3185" t="str">
        <v>Colombia - Inirida city.</v>
      </c>
      <c r="K3185" s="11">
        <v>0</v>
      </c>
    </row>
    <row r="3186" spans="5:11" x14ac:dyDescent="0.35">
      <c r="E3186" s="9" t="str">
        <v>EPSG</v>
      </c>
      <c r="F3186" s="7" t="str">
        <v>6255</v>
      </c>
      <c r="G3186" t="str">
        <v>ProjectedCrs</v>
      </c>
      <c r="H3186" t="str">
        <v>Colombia Urban</v>
      </c>
      <c r="I3186" t="str">
        <v>MAGNA-SIRGAS / Leticia urban grid</v>
      </c>
      <c r="J3186" t="str">
        <v>Colombia - Leticia city.</v>
      </c>
      <c r="K3186" s="11">
        <v>0</v>
      </c>
    </row>
    <row r="3187" spans="5:11" x14ac:dyDescent="0.35">
      <c r="E3187" s="9" t="str">
        <v>EPSG</v>
      </c>
      <c r="F3187" s="7" t="str">
        <v>6256</v>
      </c>
      <c r="G3187" t="str">
        <v>ProjectedCrs</v>
      </c>
      <c r="H3187" t="str">
        <v>Colombia Urban</v>
      </c>
      <c r="I3187" t="str">
        <v>MAGNA-SIRGAS / Manizales urban grid</v>
      </c>
      <c r="J3187" t="str">
        <v>Colombia - Manizales city.</v>
      </c>
      <c r="K3187" s="11">
        <v>0</v>
      </c>
    </row>
    <row r="3188" spans="5:11" x14ac:dyDescent="0.35">
      <c r="E3188" s="9" t="str">
        <v>EPSG</v>
      </c>
      <c r="F3188" s="7" t="str">
        <v>6257</v>
      </c>
      <c r="G3188" t="str">
        <v>ProjectedCrs</v>
      </c>
      <c r="H3188" t="str">
        <v>Colombia Urban</v>
      </c>
      <c r="I3188" t="str">
        <v>MAGNA-SIRGAS / Medellin urban grid</v>
      </c>
      <c r="J3188" t="str">
        <v>Colombia - Medellin city.</v>
      </c>
      <c r="K3188" s="11">
        <v>0</v>
      </c>
    </row>
    <row r="3189" spans="5:11" x14ac:dyDescent="0.35">
      <c r="E3189" s="9" t="str">
        <v>EPSG</v>
      </c>
      <c r="F3189" s="7" t="str">
        <v>6258</v>
      </c>
      <c r="G3189" t="str">
        <v>ProjectedCrs</v>
      </c>
      <c r="H3189" t="str">
        <v>Colombia Urban</v>
      </c>
      <c r="I3189" t="str">
        <v>MAGNA-SIRGAS / Mitu urban grid</v>
      </c>
      <c r="J3189" t="str">
        <v>Colombia - Mitu city.</v>
      </c>
      <c r="K3189" s="11">
        <v>0</v>
      </c>
    </row>
    <row r="3190" spans="5:11" x14ac:dyDescent="0.35">
      <c r="E3190" s="9" t="str">
        <v>EPSG</v>
      </c>
      <c r="F3190" s="7" t="str">
        <v>6259</v>
      </c>
      <c r="G3190" t="str">
        <v>ProjectedCrs</v>
      </c>
      <c r="H3190" t="str">
        <v>Colombia Urban</v>
      </c>
      <c r="I3190" t="str">
        <v>MAGNA-SIRGAS / Mocoa urban grid</v>
      </c>
      <c r="J3190" t="str">
        <v>Colombia - Mocoa city.</v>
      </c>
      <c r="K3190" s="11">
        <v>0</v>
      </c>
    </row>
    <row r="3191" spans="5:11" x14ac:dyDescent="0.35">
      <c r="E3191" s="9" t="str">
        <v>EPSG</v>
      </c>
      <c r="F3191" s="7" t="str">
        <v>6260</v>
      </c>
      <c r="G3191" t="str">
        <v>ProjectedCrs</v>
      </c>
      <c r="H3191" t="str">
        <v>Colombia Urban</v>
      </c>
      <c r="I3191" t="str">
        <v>MAGNA-SIRGAS / Monteria urban grid</v>
      </c>
      <c r="J3191" t="str">
        <v>Colombia - Monteria city.</v>
      </c>
      <c r="K3191" s="11">
        <v>0</v>
      </c>
    </row>
    <row r="3192" spans="5:11" x14ac:dyDescent="0.35">
      <c r="E3192" s="9" t="str">
        <v>EPSG</v>
      </c>
      <c r="F3192" s="7" t="str">
        <v>6261</v>
      </c>
      <c r="G3192" t="str">
        <v>ProjectedCrs</v>
      </c>
      <c r="H3192" t="str">
        <v>Colombia Urban</v>
      </c>
      <c r="I3192" t="str">
        <v>MAGNA-SIRGAS / Neiva urban grid</v>
      </c>
      <c r="J3192" t="str">
        <v>Colombia - Neiva city.</v>
      </c>
      <c r="K3192" s="11">
        <v>0</v>
      </c>
    </row>
    <row r="3193" spans="5:11" x14ac:dyDescent="0.35">
      <c r="E3193" s="9" t="str">
        <v>EPSG</v>
      </c>
      <c r="F3193" s="7" t="str">
        <v>6262</v>
      </c>
      <c r="G3193" t="str">
        <v>ProjectedCrs</v>
      </c>
      <c r="H3193" t="str">
        <v>Colombia Urban</v>
      </c>
      <c r="I3193" t="str">
        <v>MAGNA-SIRGAS / Pasto urban grid</v>
      </c>
      <c r="J3193" t="str">
        <v>Colombia - Pasto city.</v>
      </c>
      <c r="K3193" s="11">
        <v>0</v>
      </c>
    </row>
    <row r="3194" spans="5:11" x14ac:dyDescent="0.35">
      <c r="E3194" s="9" t="str">
        <v>EPSG</v>
      </c>
      <c r="F3194" s="7" t="str">
        <v>6263</v>
      </c>
      <c r="G3194" t="str">
        <v>ProjectedCrs</v>
      </c>
      <c r="H3194" t="str">
        <v>Colombia Urban</v>
      </c>
      <c r="I3194" t="str">
        <v>MAGNA-SIRGAS / Pereira urban grid</v>
      </c>
      <c r="J3194" t="str">
        <v>Colombia - Pereira city.</v>
      </c>
      <c r="K3194" s="11">
        <v>0</v>
      </c>
    </row>
    <row r="3195" spans="5:11" x14ac:dyDescent="0.35">
      <c r="E3195" s="9" t="str">
        <v>EPSG</v>
      </c>
      <c r="F3195" s="7" t="str">
        <v>6264</v>
      </c>
      <c r="G3195" t="str">
        <v>ProjectedCrs</v>
      </c>
      <c r="H3195" t="str">
        <v>Colombia Urban</v>
      </c>
      <c r="I3195" t="str">
        <v>MAGNA-SIRGAS / Popayan urban grid</v>
      </c>
      <c r="J3195" t="str">
        <v>Colombia - Popayan city.</v>
      </c>
      <c r="K3195" s="11">
        <v>0</v>
      </c>
    </row>
    <row r="3196" spans="5:11" x14ac:dyDescent="0.35">
      <c r="E3196" s="9" t="str">
        <v>EPSG</v>
      </c>
      <c r="F3196" s="7" t="str">
        <v>6265</v>
      </c>
      <c r="G3196" t="str">
        <v>ProjectedCrs</v>
      </c>
      <c r="H3196" t="str">
        <v>Colombia Urban</v>
      </c>
      <c r="I3196" t="str">
        <v>MAGNA-SIRGAS / Puerto Carreno urban grid</v>
      </c>
      <c r="J3196" t="str">
        <v>Colombia - Puerto Carreno city.</v>
      </c>
      <c r="K3196" s="11">
        <v>0</v>
      </c>
    </row>
    <row r="3197" spans="5:11" x14ac:dyDescent="0.35">
      <c r="E3197" s="9" t="str">
        <v>EPSG</v>
      </c>
      <c r="F3197" s="7" t="str">
        <v>6266</v>
      </c>
      <c r="G3197" t="str">
        <v>ProjectedCrs</v>
      </c>
      <c r="H3197" t="str">
        <v>Colombia Urban</v>
      </c>
      <c r="I3197" t="str">
        <v>MAGNA-SIRGAS / Quibdo urban grid</v>
      </c>
      <c r="J3197" t="str">
        <v>Colombia - Quibdo city.</v>
      </c>
      <c r="K3197" s="11">
        <v>0</v>
      </c>
    </row>
    <row r="3198" spans="5:11" x14ac:dyDescent="0.35">
      <c r="E3198" s="9" t="str">
        <v>EPSG</v>
      </c>
      <c r="F3198" s="7" t="str">
        <v>6267</v>
      </c>
      <c r="G3198" t="str">
        <v>ProjectedCrs</v>
      </c>
      <c r="H3198" t="str">
        <v>Colombia Urban</v>
      </c>
      <c r="I3198" t="str">
        <v>MAGNA-SIRGAS / Riohacha urban grid</v>
      </c>
      <c r="J3198" t="str">
        <v>Colombia - Riohacha city.</v>
      </c>
      <c r="K3198" s="11">
        <v>0</v>
      </c>
    </row>
    <row r="3199" spans="5:11" x14ac:dyDescent="0.35">
      <c r="E3199" s="9" t="str">
        <v>EPSG</v>
      </c>
      <c r="F3199" s="7" t="str">
        <v>6268</v>
      </c>
      <c r="G3199" t="str">
        <v>ProjectedCrs</v>
      </c>
      <c r="H3199" t="str">
        <v>Colombia Urban</v>
      </c>
      <c r="I3199" t="str">
        <v>MAGNA-SIRGAS / San Andres urban grid</v>
      </c>
      <c r="J3199" t="str">
        <v>Colombia - San Andres city.</v>
      </c>
      <c r="K3199" s="11">
        <v>0</v>
      </c>
    </row>
    <row r="3200" spans="5:11" x14ac:dyDescent="0.35">
      <c r="E3200" s="9" t="str">
        <v>EPSG</v>
      </c>
      <c r="F3200" s="7" t="str">
        <v>6269</v>
      </c>
      <c r="G3200" t="str">
        <v>ProjectedCrs</v>
      </c>
      <c r="H3200" t="str">
        <v>Colombia Urban</v>
      </c>
      <c r="I3200" t="str">
        <v>MAGNA-SIRGAS / San Jose del Guaviare urban grid</v>
      </c>
      <c r="J3200" t="str">
        <v>Colombia - San Jose del Guaviare city.</v>
      </c>
      <c r="K3200" s="11">
        <v>0</v>
      </c>
    </row>
    <row r="3201" spans="5:11" x14ac:dyDescent="0.35">
      <c r="E3201" s="9" t="str">
        <v>EPSG</v>
      </c>
      <c r="F3201" s="7" t="str">
        <v>6270</v>
      </c>
      <c r="G3201" t="str">
        <v>ProjectedCrs</v>
      </c>
      <c r="H3201" t="str">
        <v>Colombia Urban</v>
      </c>
      <c r="I3201" t="str">
        <v>MAGNA-SIRGAS / Santa Marta urban grid</v>
      </c>
      <c r="J3201" t="str">
        <v>Colombia - Santa Marta city.</v>
      </c>
      <c r="K3201" s="11">
        <v>0</v>
      </c>
    </row>
    <row r="3202" spans="5:11" x14ac:dyDescent="0.35">
      <c r="E3202" s="9" t="str">
        <v>EPSG</v>
      </c>
      <c r="F3202" s="7" t="str">
        <v>6271</v>
      </c>
      <c r="G3202" t="str">
        <v>ProjectedCrs</v>
      </c>
      <c r="H3202" t="str">
        <v>Colombia Urban</v>
      </c>
      <c r="I3202" t="str">
        <v>MAGNA-SIRGAS / Sucre urban grid</v>
      </c>
      <c r="J3202" t="str">
        <v>Colombia - Sucre city.</v>
      </c>
      <c r="K3202" s="11">
        <v>0</v>
      </c>
    </row>
    <row r="3203" spans="5:11" x14ac:dyDescent="0.35">
      <c r="E3203" s="9" t="str">
        <v>EPSG</v>
      </c>
      <c r="F3203" s="7" t="str">
        <v>6272</v>
      </c>
      <c r="G3203" t="str">
        <v>ProjectedCrs</v>
      </c>
      <c r="H3203" t="str">
        <v>Colombia Urban</v>
      </c>
      <c r="I3203" t="str">
        <v>MAGNA-SIRGAS / Tunja urban grid</v>
      </c>
      <c r="J3203" t="str">
        <v>Colombia - Tunja city.</v>
      </c>
      <c r="K3203" s="11">
        <v>0</v>
      </c>
    </row>
    <row r="3204" spans="5:11" x14ac:dyDescent="0.35">
      <c r="E3204" s="9" t="str">
        <v>EPSG</v>
      </c>
      <c r="F3204" s="7" t="str">
        <v>6273</v>
      </c>
      <c r="G3204" t="str">
        <v>ProjectedCrs</v>
      </c>
      <c r="H3204" t="str">
        <v>Colombia Urban</v>
      </c>
      <c r="I3204" t="str">
        <v>MAGNA-SIRGAS / Valledupar urban grid</v>
      </c>
      <c r="J3204" t="str">
        <v>Colombia - Valledupar city.</v>
      </c>
      <c r="K3204" s="11">
        <v>0</v>
      </c>
    </row>
    <row r="3205" spans="5:11" x14ac:dyDescent="0.35">
      <c r="E3205" s="9" t="str">
        <v>EPSG</v>
      </c>
      <c r="F3205" s="7" t="str">
        <v>6274</v>
      </c>
      <c r="G3205" t="str">
        <v>ProjectedCrs</v>
      </c>
      <c r="H3205" t="str">
        <v>Colombia Urban</v>
      </c>
      <c r="I3205" t="str">
        <v>MAGNA-SIRGAS / Villavicencio urban grid</v>
      </c>
      <c r="J3205" t="str">
        <v>Colombia - Villavicencio city.</v>
      </c>
      <c r="K3205" s="11">
        <v>0</v>
      </c>
    </row>
    <row r="3206" spans="5:11" x14ac:dyDescent="0.35">
      <c r="E3206" s="9" t="str">
        <v>EPSG</v>
      </c>
      <c r="F3206" s="7" t="str">
        <v>6275</v>
      </c>
      <c r="G3206" t="str">
        <v>ProjectedCrs</v>
      </c>
      <c r="H3206" t="str">
        <v>Colombia Urban</v>
      </c>
      <c r="I3206" t="str">
        <v>MAGNA-SIRGAS / Yopal urban grid</v>
      </c>
      <c r="J3206" t="str">
        <v>Colombia - Yopal city.</v>
      </c>
      <c r="K3206" s="11">
        <v>0</v>
      </c>
    </row>
    <row r="3207" spans="5:11" x14ac:dyDescent="0.35">
      <c r="E3207" s="9" t="str">
        <v>EPSG</v>
      </c>
      <c r="F3207" s="7" t="str">
        <v>6307</v>
      </c>
      <c r="G3207" t="str">
        <v>ProjectedCrs</v>
      </c>
      <c r="H3207" t="str">
        <v>Lambert Conic Conformal (2SP)</v>
      </c>
      <c r="I3207" t="str">
        <v>NAD83(CORS96) / Puerto Rico and Virgin Is.</v>
      </c>
      <c r="J3207" t="str">
        <v>Puerto Rico and US Virgin Islands - onshore.</v>
      </c>
      <c r="K3207" s="11">
        <v>0</v>
      </c>
    </row>
    <row r="3208" spans="5:11" x14ac:dyDescent="0.35">
      <c r="E3208" s="9" t="str">
        <v>EPSG</v>
      </c>
      <c r="F3208" s="7" t="str">
        <v>6309</v>
      </c>
      <c r="G3208" t="str">
        <v>GeocentricCrs</v>
      </c>
      <c r="H3208" t="str">
        <v>&lt;undefined&gt;</v>
      </c>
      <c r="I3208" t="str">
        <v>CGRS93</v>
      </c>
      <c r="J3208" t="str">
        <v>Cyprus - onshore.</v>
      </c>
      <c r="K3208" s="11">
        <v>0</v>
      </c>
    </row>
    <row r="3209" spans="5:11" x14ac:dyDescent="0.35">
      <c r="E3209" s="9" t="str">
        <v>EPSG</v>
      </c>
      <c r="F3209" s="7" t="str">
        <v>6310</v>
      </c>
      <c r="G3209" t="str">
        <v>Geographic3DCrs</v>
      </c>
      <c r="H3209" t="str">
        <v>&lt;undefined&gt;</v>
      </c>
      <c r="I3209" t="str">
        <v>CGRS93</v>
      </c>
      <c r="J3209" t="str">
        <v>Cyprus - onshore.</v>
      </c>
      <c r="K3209" s="11">
        <v>0</v>
      </c>
    </row>
    <row r="3210" spans="5:11" x14ac:dyDescent="0.35">
      <c r="E3210" s="9" t="str">
        <v>EPSG</v>
      </c>
      <c r="F3210" s="7" t="str">
        <v>6311</v>
      </c>
      <c r="G3210" t="str">
        <v>Geographic2DCrs</v>
      </c>
      <c r="H3210" t="str">
        <v>&lt;undefined&gt;</v>
      </c>
      <c r="I3210" t="str">
        <v>CGRS93</v>
      </c>
      <c r="J3210" t="str">
        <v>Cyprus - onshore.</v>
      </c>
      <c r="K3210" s="11">
        <v>0</v>
      </c>
    </row>
    <row r="3211" spans="5:11" x14ac:dyDescent="0.35">
      <c r="E3211" s="9" t="str">
        <v>EPSG</v>
      </c>
      <c r="F3211" s="7" t="str">
        <v>6312</v>
      </c>
      <c r="G3211" t="str">
        <v>ProjectedCrs</v>
      </c>
      <c r="H3211" t="str">
        <v>Transverse Mercator</v>
      </c>
      <c r="I3211" t="str">
        <v>CGRS93 / Cyprus Local Transverse Mercator</v>
      </c>
      <c r="J3211" t="str">
        <v>Cyprus - onshore.</v>
      </c>
      <c r="K3211" s="11">
        <v>0</v>
      </c>
    </row>
    <row r="3212" spans="5:11" x14ac:dyDescent="0.35">
      <c r="E3212" s="9" t="str">
        <v>EPSG</v>
      </c>
      <c r="F3212" s="7" t="str">
        <v>6316</v>
      </c>
      <c r="G3212" t="str">
        <v>ProjectedCrs</v>
      </c>
      <c r="H3212" t="str">
        <v>Transverse Mercator</v>
      </c>
      <c r="I3212" t="str">
        <v>MGI 1901 / Balkans zone 7</v>
      </c>
      <c r="J3212" t="str">
        <v>North Macedonia.</v>
      </c>
      <c r="K3212" s="11">
        <v>0</v>
      </c>
    </row>
    <row r="3213" spans="5:11" x14ac:dyDescent="0.35">
      <c r="E3213" s="9" t="str">
        <v>EPSG</v>
      </c>
      <c r="F3213" s="7" t="str">
        <v>6316</v>
      </c>
      <c r="G3213" t="str">
        <v>ProjectedCrs</v>
      </c>
      <c r="H3213" t="str">
        <v>Transverse Mercator</v>
      </c>
      <c r="I3213" t="str">
        <v>MGI 1901 / Balkans zone 7</v>
      </c>
      <c r="J3213" t="str">
        <v>Bosnia and Herzegovina - east of 19°30'E; Kosovo; Montenegro - east of 19°30'E; Serbia - between 19°30'E and 22°30'E.</v>
      </c>
      <c r="K3213" s="11">
        <v>0</v>
      </c>
    </row>
    <row r="3214" spans="5:11" x14ac:dyDescent="0.35">
      <c r="E3214" s="9" t="str">
        <v>EPSG</v>
      </c>
      <c r="F3214" s="7" t="str">
        <v>6317</v>
      </c>
      <c r="G3214" t="str">
        <v>GeocentricCrs</v>
      </c>
      <c r="H3214" t="str">
        <v>&lt;undefined&gt;</v>
      </c>
      <c r="I3214" t="str">
        <v>NAD83(2011)</v>
      </c>
      <c r="J3214"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3214" s="11">
        <v>0</v>
      </c>
    </row>
    <row r="3215" spans="5:11" x14ac:dyDescent="0.35">
      <c r="E3215" s="9" t="str">
        <v>EPSG</v>
      </c>
      <c r="F3215" s="7" t="str">
        <v>6318</v>
      </c>
      <c r="G3215" t="str">
        <v>Geographic2DCrs</v>
      </c>
      <c r="H3215" t="str">
        <v>&lt;undefined&gt;</v>
      </c>
      <c r="I3215" t="str">
        <v>NAD83(2011)</v>
      </c>
      <c r="J3215"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3215" s="11">
        <v>0</v>
      </c>
    </row>
    <row r="3216" spans="5:11" x14ac:dyDescent="0.35">
      <c r="E3216" s="9" t="str">
        <v>EPSG</v>
      </c>
      <c r="F3216" s="7" t="str">
        <v>6319</v>
      </c>
      <c r="G3216" t="str">
        <v>Geographic3DCrs</v>
      </c>
      <c r="H3216" t="str">
        <v>&lt;undefined&gt;</v>
      </c>
      <c r="I3216" t="str">
        <v>NAD83(2011)</v>
      </c>
      <c r="J3216"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3216" s="11">
        <v>0</v>
      </c>
    </row>
    <row r="3217" spans="5:11" x14ac:dyDescent="0.35">
      <c r="E3217" s="9" t="str">
        <v>EPSG</v>
      </c>
      <c r="F3217" s="7" t="str">
        <v>6320</v>
      </c>
      <c r="G3217" t="str">
        <v>GeocentricCrs</v>
      </c>
      <c r="H3217" t="str">
        <v>&lt;undefined&gt;</v>
      </c>
      <c r="I3217" t="str">
        <v>NAD83(PA11)</v>
      </c>
      <c r="J3217" t="str">
        <v>American Samoa, Marshall Islands, United States (USA) - Hawaii, United States minor outlying islands; onshore and offshore.</v>
      </c>
      <c r="K3217" s="11">
        <v>0</v>
      </c>
    </row>
    <row r="3218" spans="5:11" x14ac:dyDescent="0.35">
      <c r="E3218" s="9" t="str">
        <v>EPSG</v>
      </c>
      <c r="F3218" s="7" t="str">
        <v>6321</v>
      </c>
      <c r="G3218" t="str">
        <v>Geographic3DCrs</v>
      </c>
      <c r="H3218" t="str">
        <v>&lt;undefined&gt;</v>
      </c>
      <c r="I3218" t="str">
        <v>NAD83(PA11)</v>
      </c>
      <c r="J3218" t="str">
        <v>American Samoa, Marshall Islands, United States (USA) - Hawaii, United States minor outlying islands; onshore and offshore.</v>
      </c>
      <c r="K3218" s="11">
        <v>0</v>
      </c>
    </row>
    <row r="3219" spans="5:11" x14ac:dyDescent="0.35">
      <c r="E3219" s="9" t="str">
        <v>EPSG</v>
      </c>
      <c r="F3219" s="7" t="str">
        <v>6322</v>
      </c>
      <c r="G3219" t="str">
        <v>Geographic2DCrs</v>
      </c>
      <c r="H3219" t="str">
        <v>&lt;undefined&gt;</v>
      </c>
      <c r="I3219" t="str">
        <v>NAD83(PA11)</v>
      </c>
      <c r="J3219" t="str">
        <v>American Samoa, Marshall Islands, United States (USA) - Hawaii, United States minor outlying islands; onshore and offshore.</v>
      </c>
      <c r="K3219" s="11">
        <v>0</v>
      </c>
    </row>
    <row r="3220" spans="5:11" x14ac:dyDescent="0.35">
      <c r="E3220" s="9" t="str">
        <v>EPSG</v>
      </c>
      <c r="F3220" s="7" t="str">
        <v>6323</v>
      </c>
      <c r="G3220" t="str">
        <v>GeocentricCrs</v>
      </c>
      <c r="H3220" t="str">
        <v>&lt;undefined&gt;</v>
      </c>
      <c r="I3220" t="str">
        <v>NAD83(MA11)</v>
      </c>
      <c r="J3220" t="str">
        <v>Guam, Northern Mariana Islands and Palau; onshore and offshore.</v>
      </c>
      <c r="K3220" s="11">
        <v>0</v>
      </c>
    </row>
    <row r="3221" spans="5:11" x14ac:dyDescent="0.35">
      <c r="E3221" s="9" t="str">
        <v>EPSG</v>
      </c>
      <c r="F3221" s="7" t="str">
        <v>6324</v>
      </c>
      <c r="G3221" t="str">
        <v>Geographic3DCrs</v>
      </c>
      <c r="H3221" t="str">
        <v>&lt;undefined&gt;</v>
      </c>
      <c r="I3221" t="str">
        <v>NAD83(MA11)</v>
      </c>
      <c r="J3221" t="str">
        <v>Guam, Northern Mariana Islands and Palau; onshore and offshore.</v>
      </c>
      <c r="K3221" s="11">
        <v>0</v>
      </c>
    </row>
    <row r="3222" spans="5:11" x14ac:dyDescent="0.35">
      <c r="E3222" s="9" t="str">
        <v>EPSG</v>
      </c>
      <c r="F3222" s="7" t="str">
        <v>6325</v>
      </c>
      <c r="G3222" t="str">
        <v>Geographic2DCrs</v>
      </c>
      <c r="H3222" t="str">
        <v>&lt;undefined&gt;</v>
      </c>
      <c r="I3222" t="str">
        <v>NAD83(MA11)</v>
      </c>
      <c r="J3222" t="str">
        <v>Guam, Northern Mariana Islands and Palau; onshore and offshore.</v>
      </c>
      <c r="K3222" s="11">
        <v>0</v>
      </c>
    </row>
    <row r="3223" spans="5:11" x14ac:dyDescent="0.35">
      <c r="E3223" s="9" t="str">
        <v>EPSG</v>
      </c>
      <c r="F3223" s="7" t="str">
        <v>6328</v>
      </c>
      <c r="G3223" t="str">
        <v>ProjectedCrs</v>
      </c>
      <c r="H3223" t="str">
        <v>Transverse Mercator</v>
      </c>
      <c r="I3223" t="str">
        <v>NAD83(2011) / UTM zone 59N</v>
      </c>
      <c r="J3223" t="str">
        <v>United States (USA) - west of 174°E. Alaska and offshore continental shelf (OCS).</v>
      </c>
      <c r="K3223" s="11">
        <v>0</v>
      </c>
    </row>
    <row r="3224" spans="5:11" x14ac:dyDescent="0.35">
      <c r="E3224" s="9" t="str">
        <v>EPSG</v>
      </c>
      <c r="F3224" s="7" t="str">
        <v>6329</v>
      </c>
      <c r="G3224" t="str">
        <v>ProjectedCrs</v>
      </c>
      <c r="H3224" t="str">
        <v>Transverse Mercator</v>
      </c>
      <c r="I3224" t="str">
        <v>NAD83(2011) / UTM zone 60N</v>
      </c>
      <c r="J3224" t="str">
        <v>United States (USA) - between 174°E and 180°E - Alaska and offshore continental shelf (OCS).</v>
      </c>
      <c r="K3224" s="11">
        <v>0</v>
      </c>
    </row>
    <row r="3225" spans="5:11" x14ac:dyDescent="0.35">
      <c r="E3225" s="9" t="str">
        <v>EPSG</v>
      </c>
      <c r="F3225" s="7" t="str">
        <v>6330</v>
      </c>
      <c r="G3225" t="str">
        <v>ProjectedCrs</v>
      </c>
      <c r="H3225" t="str">
        <v>Transverse Mercator</v>
      </c>
      <c r="I3225" t="str">
        <v>NAD83(2011) / UTM zone 1N</v>
      </c>
      <c r="J3225" t="str">
        <v>United States (USA) - between 180°W and 174°W - Alaska and offshore continental shelf (OCS).</v>
      </c>
      <c r="K3225" s="11">
        <v>0</v>
      </c>
    </row>
    <row r="3226" spans="5:11" x14ac:dyDescent="0.35">
      <c r="E3226" s="9" t="str">
        <v>EPSG</v>
      </c>
      <c r="F3226" s="7" t="str">
        <v>6331</v>
      </c>
      <c r="G3226" t="str">
        <v>ProjectedCrs</v>
      </c>
      <c r="H3226" t="str">
        <v>Transverse Mercator</v>
      </c>
      <c r="I3226" t="str">
        <v>NAD83(2011) / UTM zone 2N</v>
      </c>
      <c r="J3226" t="str">
        <v>United States (USA) - between 174°W and 168°W - Alaska and offshore continental shelf (OCS).</v>
      </c>
      <c r="K3226" s="11">
        <v>0</v>
      </c>
    </row>
    <row r="3227" spans="5:11" x14ac:dyDescent="0.35">
      <c r="E3227" s="9" t="str">
        <v>EPSG</v>
      </c>
      <c r="F3227" s="7" t="str">
        <v>6332</v>
      </c>
      <c r="G3227" t="str">
        <v>ProjectedCrs</v>
      </c>
      <c r="H3227" t="str">
        <v>Transverse Mercator</v>
      </c>
      <c r="I3227" t="str">
        <v>NAD83(2011) / UTM zone 3N</v>
      </c>
      <c r="J3227" t="str">
        <v>United States (USA) - between 168°W and 162°W - Alaska and offshore continental shelf (OCS).</v>
      </c>
      <c r="K3227" s="11">
        <v>0</v>
      </c>
    </row>
    <row r="3228" spans="5:11" x14ac:dyDescent="0.35">
      <c r="E3228" s="9" t="str">
        <v>EPSG</v>
      </c>
      <c r="F3228" s="7" t="str">
        <v>6333</v>
      </c>
      <c r="G3228" t="str">
        <v>ProjectedCrs</v>
      </c>
      <c r="H3228" t="str">
        <v>Transverse Mercator</v>
      </c>
      <c r="I3228" t="str">
        <v>NAD83(2011) / UTM zone 4N</v>
      </c>
      <c r="J3228" t="str">
        <v>United States (USA) - between 162°W and 156°W - Alaska and offshore continental shelf (OCS).</v>
      </c>
      <c r="K3228" s="11">
        <v>0</v>
      </c>
    </row>
    <row r="3229" spans="5:11" x14ac:dyDescent="0.35">
      <c r="E3229" s="9" t="str">
        <v>EPSG</v>
      </c>
      <c r="F3229" s="7" t="str">
        <v>6334</v>
      </c>
      <c r="G3229" t="str">
        <v>ProjectedCrs</v>
      </c>
      <c r="H3229" t="str">
        <v>Transverse Mercator</v>
      </c>
      <c r="I3229" t="str">
        <v>NAD83(2011) / UTM zone 5N</v>
      </c>
      <c r="J3229" t="str">
        <v>United States (USA) - between 156°W and 150°W - Alaska and offshore continental shelf (OCS).</v>
      </c>
      <c r="K3229" s="11">
        <v>0</v>
      </c>
    </row>
    <row r="3230" spans="5:11" x14ac:dyDescent="0.35">
      <c r="E3230" s="9" t="str">
        <v>EPSG</v>
      </c>
      <c r="F3230" s="7" t="str">
        <v>6335</v>
      </c>
      <c r="G3230" t="str">
        <v>ProjectedCrs</v>
      </c>
      <c r="H3230" t="str">
        <v>Transverse Mercator</v>
      </c>
      <c r="I3230" t="str">
        <v>NAD83(2011) / UTM zone 6N</v>
      </c>
      <c r="J3230" t="str">
        <v>United States (USA) - between 150°W and 144°W - Alaska and offshore continental shelf (OCS).</v>
      </c>
      <c r="K3230" s="11">
        <v>0</v>
      </c>
    </row>
    <row r="3231" spans="5:11" x14ac:dyDescent="0.35">
      <c r="E3231" s="9" t="str">
        <v>EPSG</v>
      </c>
      <c r="F3231" s="7" t="str">
        <v>6336</v>
      </c>
      <c r="G3231" t="str">
        <v>ProjectedCrs</v>
      </c>
      <c r="H3231" t="str">
        <v>Transverse Mercator</v>
      </c>
      <c r="I3231" t="str">
        <v>NAD83(2011) / UTM zone 7N</v>
      </c>
      <c r="J3231" t="str">
        <v>United States (USA) - between 144°W and 138°W onshore and offshore - Alaska.</v>
      </c>
      <c r="K3231" s="11">
        <v>0</v>
      </c>
    </row>
    <row r="3232" spans="5:11" x14ac:dyDescent="0.35">
      <c r="E3232" s="9" t="str">
        <v>EPSG</v>
      </c>
      <c r="F3232" s="7" t="str">
        <v>6337</v>
      </c>
      <c r="G3232" t="str">
        <v>ProjectedCrs</v>
      </c>
      <c r="H3232" t="str">
        <v>Transverse Mercator</v>
      </c>
      <c r="I3232" t="str">
        <v>NAD83(2011) / UTM zone 8N</v>
      </c>
      <c r="J3232" t="str">
        <v>United States (USA) - between 138°W and 132°W onshore and offshore - Alaska.</v>
      </c>
      <c r="K3232" s="11">
        <v>0</v>
      </c>
    </row>
    <row r="3233" spans="5:11" x14ac:dyDescent="0.35">
      <c r="E3233" s="9" t="str">
        <v>EPSG</v>
      </c>
      <c r="F3233" s="7" t="str">
        <v>6338</v>
      </c>
      <c r="G3233" t="str">
        <v>ProjectedCrs</v>
      </c>
      <c r="H3233" t="str">
        <v>Transverse Mercator</v>
      </c>
      <c r="I3233" t="str">
        <v>NAD83(2011) / UTM zone 9N</v>
      </c>
      <c r="J3233" t="str">
        <v>United States (USA) - between 132°W and 126°W onshore and offshore - Alaska.</v>
      </c>
      <c r="K3233" s="11">
        <v>0</v>
      </c>
    </row>
    <row r="3234" spans="5:11" x14ac:dyDescent="0.35">
      <c r="E3234" s="9" t="str">
        <v>EPSG</v>
      </c>
      <c r="F3234" s="7" t="str">
        <v>6339</v>
      </c>
      <c r="G3234" t="str">
        <v>ProjectedCrs</v>
      </c>
      <c r="H3234" t="str">
        <v>Transverse Mercator</v>
      </c>
      <c r="I3234" t="str">
        <v>NAD83(2011) / UTM zone 10N</v>
      </c>
      <c r="J3234" t="str">
        <v>United States (USA) - between 126°W and 120°W onshore and offshore - California; Oregon; Washington.</v>
      </c>
      <c r="K3234" s="11">
        <v>0</v>
      </c>
    </row>
    <row r="3235" spans="5:11" x14ac:dyDescent="0.35">
      <c r="E3235" s="9" t="str">
        <v>EPSG</v>
      </c>
      <c r="F3235" s="7" t="str">
        <v>6340</v>
      </c>
      <c r="G3235" t="str">
        <v>ProjectedCrs</v>
      </c>
      <c r="H3235" t="str">
        <v>Transverse Mercator</v>
      </c>
      <c r="I3235" t="str">
        <v>NAD83(2011) / UTM zone 11N</v>
      </c>
      <c r="J3235" t="str">
        <v>United States (USA) - between 120°W and 114°W onshore and offshore - California, Idaho, Nevada, Oregon, Washington.</v>
      </c>
      <c r="K3235" s="11">
        <v>0</v>
      </c>
    </row>
    <row r="3236" spans="5:11" x14ac:dyDescent="0.35">
      <c r="E3236" s="9" t="str">
        <v>EPSG</v>
      </c>
      <c r="F3236" s="7" t="str">
        <v>6341</v>
      </c>
      <c r="G3236" t="str">
        <v>ProjectedCrs</v>
      </c>
      <c r="H3236" t="str">
        <v>Transverse Mercator</v>
      </c>
      <c r="I3236" t="str">
        <v>NAD83(2011) / UTM zone 12N</v>
      </c>
      <c r="J3236" t="str">
        <v>United States (USA) - between 114°W and 108°W - Arizona; Colorado; Idaho; Montana; New Mexico; Utah; Wyoming.</v>
      </c>
      <c r="K3236" s="11">
        <v>0</v>
      </c>
    </row>
    <row r="3237" spans="5:11" x14ac:dyDescent="0.35">
      <c r="E3237" s="9" t="str">
        <v>EPSG</v>
      </c>
      <c r="F3237" s="7" t="str">
        <v>6342</v>
      </c>
      <c r="G3237" t="str">
        <v>ProjectedCrs</v>
      </c>
      <c r="H3237" t="str">
        <v>Transverse Mercator</v>
      </c>
      <c r="I3237" t="str">
        <v>NAD83(2011) / UTM zone 13N</v>
      </c>
      <c r="J3237" t="str">
        <v>United States (USA) - between 108°W and 102°W - Colorado; Montana; Nebraska; New Mexico; North Dakota; Oklahoma; South Dakota; Texas; Wyoming.</v>
      </c>
      <c r="K3237" s="11">
        <v>0</v>
      </c>
    </row>
    <row r="3238" spans="5:11" x14ac:dyDescent="0.35">
      <c r="E3238" s="9" t="str">
        <v>EPSG</v>
      </c>
      <c r="F3238" s="7" t="str">
        <v>6343</v>
      </c>
      <c r="G3238" t="str">
        <v>ProjectedCrs</v>
      </c>
      <c r="H3238" t="str">
        <v>Transverse Mercator</v>
      </c>
      <c r="I3238" t="str">
        <v>NAD83(2011) / UTM zone 14N</v>
      </c>
      <c r="J3238" t="str">
        <v>United States (USA) - between 102°W and 96°W onshore and offshore - Iowa; Kansas; Minnesota; Nebraska; North Dakota; Oklahoma; South Dakota; Texas.</v>
      </c>
      <c r="K3238" s="11">
        <v>0</v>
      </c>
    </row>
    <row r="3239" spans="5:11" x14ac:dyDescent="0.35">
      <c r="E3239" s="9" t="str">
        <v>EPSG</v>
      </c>
      <c r="F3239" s="7" t="str">
        <v>6344</v>
      </c>
      <c r="G3239" t="str">
        <v>ProjectedCrs</v>
      </c>
      <c r="H3239" t="str">
        <v>Transverse Mercator</v>
      </c>
      <c r="I3239" t="str">
        <v>NAD83(2011) / UTM zone 15N</v>
      </c>
      <c r="J3239" t="str">
        <v>United States (USA) - between 96°W and 90°W onshore and offshore - Arkansas; Illinois; Iowa; Kansas; Louisiana; Michigan; Minnesota; Mississippi; Missouri; Nebraska; Oklahoma; Tennessee; Texas; Wisconsin.</v>
      </c>
      <c r="K3239" s="11">
        <v>0</v>
      </c>
    </row>
    <row r="3240" spans="5:11" x14ac:dyDescent="0.35">
      <c r="E3240" s="9" t="str">
        <v>EPSG</v>
      </c>
      <c r="F3240" s="7" t="str">
        <v>6345</v>
      </c>
      <c r="G3240" t="str">
        <v>ProjectedCrs</v>
      </c>
      <c r="H3240" t="str">
        <v>Transverse Mercator</v>
      </c>
      <c r="I3240" t="str">
        <v>NAD83(2011) / UTM zone 16N</v>
      </c>
      <c r="J3240" t="str">
        <v>United States (USA) - between 90°W and 84°W onshore and offshore - Alabama; Arkansas; Florida; Georgia; Indiana; Illinois; Kentucky; Louisiana; Michigan; Minnesota; Mississippi; Missouri; North Carolina; Ohio; Tennessee; Wisconsin.</v>
      </c>
      <c r="K3240" s="11">
        <v>0</v>
      </c>
    </row>
    <row r="3241" spans="5:11" x14ac:dyDescent="0.35">
      <c r="E3241" s="9" t="str">
        <v>EPSG</v>
      </c>
      <c r="F3241" s="7" t="str">
        <v>6346</v>
      </c>
      <c r="G3241" t="str">
        <v>ProjectedCrs</v>
      </c>
      <c r="H3241" t="str">
        <v>Transverse Mercator</v>
      </c>
      <c r="I3241" t="str">
        <v>NAD83(2011) / UTM zone 17N</v>
      </c>
      <c r="J3241" t="str">
        <v>United States (USA) - between 84°W and 78°W onshore and offshore - Florida; Georgia; Kentucky; Maryland; Michigan; New York; North Carolina; Ohio; Pennsylvania; South Carolina; Tennessee; Virginia; West Virginia.</v>
      </c>
      <c r="K3241" s="11">
        <v>0</v>
      </c>
    </row>
    <row r="3242" spans="5:11" x14ac:dyDescent="0.35">
      <c r="E3242" s="9" t="str">
        <v>EPSG</v>
      </c>
      <c r="F3242" s="7" t="str">
        <v>6347</v>
      </c>
      <c r="G3242" t="str">
        <v>ProjectedCrs</v>
      </c>
      <c r="H3242" t="str">
        <v>Transverse Mercator</v>
      </c>
      <c r="I3242" t="str">
        <v>NAD83(2011) / UTM zone 18N</v>
      </c>
      <c r="J3242" t="str">
        <v>United States (USA) - between 78°W and 72°W onshore and offshore - Connecticut; Delaware; Maryland; Massachusetts; New Hampshire; New Jersey; New York; North Carolina; Pennsylvania; Virginia; Vermont.</v>
      </c>
      <c r="K3242" s="11">
        <v>0</v>
      </c>
    </row>
    <row r="3243" spans="5:11" x14ac:dyDescent="0.35">
      <c r="E3243" s="9" t="str">
        <v>EPSG</v>
      </c>
      <c r="F3243" s="7" t="str">
        <v>6348</v>
      </c>
      <c r="G3243" t="str">
        <v>ProjectedCrs</v>
      </c>
      <c r="H3243" t="str">
        <v>Transverse Mercator</v>
      </c>
      <c r="I3243" t="str">
        <v>NAD83(2011) / UTM zone 19N</v>
      </c>
      <c r="J3243" t="str">
        <v>United States (USA) - between 72°W and 66°W onshore and offshore - Connecticut; Maine; Massachusetts; New Hampshire; New York (Long Island); Rhode Island; Vermont.</v>
      </c>
      <c r="K3243" s="11">
        <v>0</v>
      </c>
    </row>
    <row r="3244" spans="5:11" x14ac:dyDescent="0.35">
      <c r="E3244" s="9" t="str">
        <v>EPSG</v>
      </c>
      <c r="F3244" s="7" t="str">
        <v>6349</v>
      </c>
      <c r="G3244" t="str">
        <v>CompoundCrs</v>
      </c>
      <c r="H3244" t="str">
        <v>&lt;undefined&gt;</v>
      </c>
      <c r="I3244" t="str">
        <v>NAD83(2011) + NAVD88 height</v>
      </c>
      <c r="J3244" t="str">
        <v>United States (USA) - CONUS and Alaska - onshore - Alabama; Alaska mainland;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3244" s="11">
        <v>3</v>
      </c>
    </row>
    <row r="3245" spans="5:11" x14ac:dyDescent="0.35">
      <c r="E3245" s="9" t="str">
        <v>EPSG</v>
      </c>
      <c r="F3245" s="7" t="str">
        <v>6350</v>
      </c>
      <c r="G3245" t="str">
        <v>ProjectedCrs</v>
      </c>
      <c r="H3245" t="str">
        <v>Albers Equal Area</v>
      </c>
      <c r="I3245" t="str">
        <v>NAD83(2011) / Conus Albers</v>
      </c>
      <c r="J3245"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3245" s="11">
        <v>0</v>
      </c>
    </row>
    <row r="3246" spans="5:11" x14ac:dyDescent="0.35">
      <c r="E3246" s="9" t="str">
        <v>EPSG</v>
      </c>
      <c r="F3246" s="7" t="str">
        <v>6351</v>
      </c>
      <c r="G3246" t="str">
        <v>ProjectedCrs</v>
      </c>
      <c r="H3246" t="str">
        <v>Lambert Conic Conformal (2SP)</v>
      </c>
      <c r="I3246" t="str">
        <v>NAD83(2011) / EPSG Arctic zone 5-29</v>
      </c>
      <c r="J3246" t="str">
        <v>Arctic - between 74°30'N and 69°30'N, approximately 173°W to approximately 153°W. May be extended eastwards within the latitude limits.</v>
      </c>
      <c r="K3246" s="11">
        <v>0</v>
      </c>
    </row>
    <row r="3247" spans="5:11" x14ac:dyDescent="0.35">
      <c r="E3247" s="9" t="str">
        <v>EPSG</v>
      </c>
      <c r="F3247" s="7" t="str">
        <v>6352</v>
      </c>
      <c r="G3247" t="str">
        <v>ProjectedCrs</v>
      </c>
      <c r="H3247" t="str">
        <v>Lambert Conic Conformal (2SP)</v>
      </c>
      <c r="I3247" t="str">
        <v>NAD83(2011) / EPSG Arctic zone 5-31</v>
      </c>
      <c r="J3247" t="str">
        <v>Arctic - between 74°30'N and 69°30'N, approximately 157°W to approximately 137°W. May be extended westwards within the latitude limits.</v>
      </c>
      <c r="K3247" s="11">
        <v>0</v>
      </c>
    </row>
    <row r="3248" spans="5:11" x14ac:dyDescent="0.35">
      <c r="E3248" s="9" t="str">
        <v>EPSG</v>
      </c>
      <c r="F3248" s="7" t="str">
        <v>6353</v>
      </c>
      <c r="G3248" t="str">
        <v>ProjectedCrs</v>
      </c>
      <c r="H3248" t="str">
        <v>Lambert Conic Conformal (2SP)</v>
      </c>
      <c r="I3248" t="str">
        <v>NAD83(2011) / EPSG Arctic zone 6-14</v>
      </c>
      <c r="J3248" t="str">
        <v>Arctic - between 71°10'N and 66°10'N, approximately 174°W to approximately 156°W. May be extended eastwards within the latitude limits.</v>
      </c>
      <c r="K3248" s="11">
        <v>0</v>
      </c>
    </row>
    <row r="3249" spans="5:11" x14ac:dyDescent="0.35">
      <c r="E3249" s="9" t="str">
        <v>EPSG</v>
      </c>
      <c r="F3249" s="7" t="str">
        <v>6354</v>
      </c>
      <c r="G3249" t="str">
        <v>ProjectedCrs</v>
      </c>
      <c r="H3249" t="str">
        <v>Lambert Conic Conformal (2SP)</v>
      </c>
      <c r="I3249" t="str">
        <v>NAD83(2011) / EPSG Arctic zone 6-16</v>
      </c>
      <c r="J3249" t="str">
        <v>Arctic - between 71°10'N and 66°10'N, approximately 156°W to approximately 138°W. May be extended westwards within the latitude limits.</v>
      </c>
      <c r="K3249" s="11">
        <v>0</v>
      </c>
    </row>
    <row r="3250" spans="5:11" x14ac:dyDescent="0.35">
      <c r="E3250" s="9" t="str">
        <v>EPSG</v>
      </c>
      <c r="F3250" s="7" t="str">
        <v>6355</v>
      </c>
      <c r="G3250" t="str">
        <v>ProjectedCrs</v>
      </c>
      <c r="H3250" t="str">
        <v>Transverse Mercator</v>
      </c>
      <c r="I3250" t="str">
        <v>NAD83(2011) / Alabama East</v>
      </c>
      <c r="J3250"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3250" s="11">
        <v>0</v>
      </c>
    </row>
    <row r="3251" spans="5:11" x14ac:dyDescent="0.35">
      <c r="E3251" s="9" t="str">
        <v>EPSG</v>
      </c>
      <c r="F3251" s="7" t="str">
        <v>6356</v>
      </c>
      <c r="G3251" t="str">
        <v>ProjectedCrs</v>
      </c>
      <c r="H3251" t="str">
        <v>Transverse Mercator</v>
      </c>
      <c r="I3251" t="str">
        <v>NAD83(2011) / Alabama West</v>
      </c>
      <c r="J3251"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3251" s="11">
        <v>0</v>
      </c>
    </row>
    <row r="3252" spans="5:11" x14ac:dyDescent="0.35">
      <c r="E3252" s="9" t="str">
        <v>EPSG</v>
      </c>
      <c r="F3252" s="7" t="str">
        <v>6357</v>
      </c>
      <c r="G3252" t="str">
        <v>VerticalCrs</v>
      </c>
      <c r="H3252" t="str">
        <v>&lt;undefined&gt;</v>
      </c>
      <c r="I3252" t="str">
        <v>NAVD88 depth</v>
      </c>
      <c r="J3252" t="str">
        <v>Mexico - onshore. United States (USA) - CONUS and Alaska - onshore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3252" s="11">
        <v>8</v>
      </c>
    </row>
    <row r="3253" spans="5:11" x14ac:dyDescent="0.35">
      <c r="E3253" s="9" t="str">
        <v>EPSG</v>
      </c>
      <c r="F3253" s="7" t="str">
        <v>6358</v>
      </c>
      <c r="G3253" t="str">
        <v>VerticalCrs</v>
      </c>
      <c r="H3253" t="str">
        <v>&lt;undefined&gt;</v>
      </c>
      <c r="I3253" t="str">
        <v>NAVD88 depth (ftUS)</v>
      </c>
      <c r="J3253" t="str">
        <v>United States (USA) - CONUS and Alaska - onshore - Alabama; Alaska mainland;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3253" s="11">
        <v>8</v>
      </c>
    </row>
    <row r="3254" spans="5:11" x14ac:dyDescent="0.35">
      <c r="E3254" s="9" t="str">
        <v>EPSG</v>
      </c>
      <c r="F3254" s="7" t="str">
        <v>6359</v>
      </c>
      <c r="G3254" t="str">
        <v>VerticalCrs</v>
      </c>
      <c r="H3254" t="str">
        <v>&lt;undefined&gt;</v>
      </c>
      <c r="I3254" t="str">
        <v>NGVD29 depth (ftUS)</v>
      </c>
      <c r="J3254"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3254" s="11">
        <v>0</v>
      </c>
    </row>
    <row r="3255" spans="5:11" x14ac:dyDescent="0.35">
      <c r="E3255" s="9" t="str">
        <v>EPSG</v>
      </c>
      <c r="F3255" s="7" t="str">
        <v>6360</v>
      </c>
      <c r="G3255" t="str">
        <v>VerticalCrs</v>
      </c>
      <c r="H3255" t="str">
        <v>&lt;undefined&gt;</v>
      </c>
      <c r="I3255" t="str">
        <v>NAVD88 height (ftUS)</v>
      </c>
      <c r="J3255" t="str">
        <v>United States (USA) - CONUS and Alaska - onshore - Alabama; Alaska mainland;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3255" s="11">
        <v>8</v>
      </c>
    </row>
    <row r="3256" spans="5:11" x14ac:dyDescent="0.35">
      <c r="E3256" s="9" t="str">
        <v>EPSG</v>
      </c>
      <c r="F3256" s="7" t="str">
        <v>6362</v>
      </c>
      <c r="G3256" t="str">
        <v>ProjectedCrs</v>
      </c>
      <c r="H3256" t="str">
        <v>Lambert Conic Conformal (2SP)</v>
      </c>
      <c r="I3256" t="str">
        <v>Mexico ITRF92 / LCC</v>
      </c>
      <c r="J3256" t="str">
        <v>Mexico - onshore and offshore.</v>
      </c>
      <c r="K3256" s="11">
        <v>0</v>
      </c>
    </row>
    <row r="3257" spans="5:11" x14ac:dyDescent="0.35">
      <c r="E3257" s="9" t="str">
        <v>EPSG</v>
      </c>
      <c r="F3257" s="7" t="str">
        <v>6363</v>
      </c>
      <c r="G3257" t="str">
        <v>GeocentricCrs</v>
      </c>
      <c r="H3257" t="str">
        <v>&lt;undefined&gt;</v>
      </c>
      <c r="I3257" t="str">
        <v>Mexico ITRF2008</v>
      </c>
      <c r="J3257" t="str">
        <v>Mexico - onshore and offshore.</v>
      </c>
      <c r="K3257" s="11">
        <v>0</v>
      </c>
    </row>
    <row r="3258" spans="5:11" x14ac:dyDescent="0.35">
      <c r="E3258" s="9" t="str">
        <v>EPSG</v>
      </c>
      <c r="F3258" s="7" t="str">
        <v>6364</v>
      </c>
      <c r="G3258" t="str">
        <v>Geographic3DCrs</v>
      </c>
      <c r="H3258" t="str">
        <v>&lt;undefined&gt;</v>
      </c>
      <c r="I3258" t="str">
        <v>Mexico ITRF2008</v>
      </c>
      <c r="J3258" t="str">
        <v>Mexico - onshore and offshore.</v>
      </c>
      <c r="K3258" s="11">
        <v>0</v>
      </c>
    </row>
    <row r="3259" spans="5:11" x14ac:dyDescent="0.35">
      <c r="E3259" s="9" t="str">
        <v>EPSG</v>
      </c>
      <c r="F3259" s="7" t="str">
        <v>6365</v>
      </c>
      <c r="G3259" t="str">
        <v>Geographic2DCrs</v>
      </c>
      <c r="H3259" t="str">
        <v>&lt;undefined&gt;</v>
      </c>
      <c r="I3259" t="str">
        <v>Mexico ITRF2008</v>
      </c>
      <c r="J3259" t="str">
        <v>Mexico - onshore and offshore.</v>
      </c>
      <c r="K3259" s="11">
        <v>0</v>
      </c>
    </row>
    <row r="3260" spans="5:11" x14ac:dyDescent="0.35">
      <c r="E3260" s="9" t="str">
        <v>EPSG</v>
      </c>
      <c r="F3260" s="7" t="str">
        <v>6366</v>
      </c>
      <c r="G3260" t="str">
        <v>ProjectedCrs</v>
      </c>
      <c r="H3260" t="str">
        <v>Transverse Mercator</v>
      </c>
      <c r="I3260" t="str">
        <v>Mexico ITRF2008 / UTM zone 11N</v>
      </c>
      <c r="J3260" t="str">
        <v>Mexico west of 114°W, onshore and offshore.</v>
      </c>
      <c r="K3260" s="11">
        <v>0</v>
      </c>
    </row>
    <row r="3261" spans="5:11" x14ac:dyDescent="0.35">
      <c r="E3261" s="9" t="str">
        <v>EPSG</v>
      </c>
      <c r="F3261" s="7" t="str">
        <v>6367</v>
      </c>
      <c r="G3261" t="str">
        <v>ProjectedCrs</v>
      </c>
      <c r="H3261" t="str">
        <v>Transverse Mercator</v>
      </c>
      <c r="I3261" t="str">
        <v>Mexico ITRF2008 / UTM zone 12N</v>
      </c>
      <c r="J3261" t="str">
        <v>Mexico between 114°W and 108°W, onshore and offshore.</v>
      </c>
      <c r="K3261" s="11">
        <v>0</v>
      </c>
    </row>
    <row r="3262" spans="5:11" x14ac:dyDescent="0.35">
      <c r="E3262" s="9" t="str">
        <v>EPSG</v>
      </c>
      <c r="F3262" s="7" t="str">
        <v>6368</v>
      </c>
      <c r="G3262" t="str">
        <v>ProjectedCrs</v>
      </c>
      <c r="H3262" t="str">
        <v>Transverse Mercator</v>
      </c>
      <c r="I3262" t="str">
        <v>Mexico ITRF2008 / UTM zone 13N</v>
      </c>
      <c r="J3262" t="str">
        <v>Mexico between 108°W and 102°W, onshore and offshore.</v>
      </c>
      <c r="K3262" s="11">
        <v>0</v>
      </c>
    </row>
    <row r="3263" spans="5:11" x14ac:dyDescent="0.35">
      <c r="E3263" s="9" t="str">
        <v>EPSG</v>
      </c>
      <c r="F3263" s="7" t="str">
        <v>6369</v>
      </c>
      <c r="G3263" t="str">
        <v>ProjectedCrs</v>
      </c>
      <c r="H3263" t="str">
        <v>Transverse Mercator</v>
      </c>
      <c r="I3263" t="str">
        <v>Mexico ITRF2008 / UTM zone 14N</v>
      </c>
      <c r="J3263" t="str">
        <v>Mexico between 102°W and 96°W, onshore and offshore.</v>
      </c>
      <c r="K3263" s="11">
        <v>0</v>
      </c>
    </row>
    <row r="3264" spans="5:11" x14ac:dyDescent="0.35">
      <c r="E3264" s="9" t="str">
        <v>EPSG</v>
      </c>
      <c r="F3264" s="7" t="str">
        <v>6370</v>
      </c>
      <c r="G3264" t="str">
        <v>ProjectedCrs</v>
      </c>
      <c r="H3264" t="str">
        <v>Transverse Mercator</v>
      </c>
      <c r="I3264" t="str">
        <v>Mexico ITRF2008 / UTM zone 15N</v>
      </c>
      <c r="J3264" t="str">
        <v>Mexico between 96°W and 90°W, onshore and offshore.</v>
      </c>
      <c r="K3264" s="11">
        <v>0</v>
      </c>
    </row>
    <row r="3265" spans="5:11" x14ac:dyDescent="0.35">
      <c r="E3265" s="9" t="str">
        <v>EPSG</v>
      </c>
      <c r="F3265" s="7" t="str">
        <v>6371</v>
      </c>
      <c r="G3265" t="str">
        <v>ProjectedCrs</v>
      </c>
      <c r="H3265" t="str">
        <v>Transverse Mercator</v>
      </c>
      <c r="I3265" t="str">
        <v>Mexico ITRF2008 / UTM zone 16N</v>
      </c>
      <c r="J3265" t="str">
        <v>Mexico east of 90°W, onshore and offshore.</v>
      </c>
      <c r="K3265" s="11">
        <v>0</v>
      </c>
    </row>
    <row r="3266" spans="5:11" x14ac:dyDescent="0.35">
      <c r="E3266" s="9" t="str">
        <v>EPSG</v>
      </c>
      <c r="F3266" s="7" t="str">
        <v>6372</v>
      </c>
      <c r="G3266" t="str">
        <v>ProjectedCrs</v>
      </c>
      <c r="H3266" t="str">
        <v>Lambert Conic Conformal (2SP)</v>
      </c>
      <c r="I3266" t="str">
        <v>Mexico ITRF2008 / LCC</v>
      </c>
      <c r="J3266" t="str">
        <v>Mexico - onshore and offshore.</v>
      </c>
      <c r="K3266" s="11">
        <v>0</v>
      </c>
    </row>
    <row r="3267" spans="5:11" x14ac:dyDescent="0.35">
      <c r="E3267" s="9" t="str">
        <v>EPSG</v>
      </c>
      <c r="F3267" s="7" t="str">
        <v>6381</v>
      </c>
      <c r="G3267" t="str">
        <v>ProjectedCrs</v>
      </c>
      <c r="H3267" t="str">
        <v>Transverse Mercator</v>
      </c>
      <c r="I3267" t="str">
        <v>UCS-2000 / Ukraine TM zone 7</v>
      </c>
      <c r="J3267" t="str">
        <v>Ukraine - west of 22°30'E.</v>
      </c>
      <c r="K3267" s="11">
        <v>0</v>
      </c>
    </row>
    <row r="3268" spans="5:11" x14ac:dyDescent="0.35">
      <c r="E3268" s="9" t="str">
        <v>EPSG</v>
      </c>
      <c r="F3268" s="7" t="str">
        <v>6382</v>
      </c>
      <c r="G3268" t="str">
        <v>ProjectedCrs</v>
      </c>
      <c r="H3268" t="str">
        <v>Transverse Mercator</v>
      </c>
      <c r="I3268" t="str">
        <v>UCS-2000 / Ukraine TM zone 8</v>
      </c>
      <c r="J3268" t="str">
        <v>Ukraine - between 22°30'E and 25°30'E.</v>
      </c>
      <c r="K3268" s="11">
        <v>0</v>
      </c>
    </row>
    <row r="3269" spans="5:11" x14ac:dyDescent="0.35">
      <c r="E3269" s="9" t="str">
        <v>EPSG</v>
      </c>
      <c r="F3269" s="7" t="str">
        <v>6383</v>
      </c>
      <c r="G3269" t="str">
        <v>ProjectedCrs</v>
      </c>
      <c r="H3269" t="str">
        <v>Transverse Mercator</v>
      </c>
      <c r="I3269" t="str">
        <v>UCS-2000 / Ukraine TM zone 9</v>
      </c>
      <c r="J3269" t="str">
        <v>Ukraine - between 25°30'E and 28°30'E.</v>
      </c>
      <c r="K3269" s="11">
        <v>0</v>
      </c>
    </row>
    <row r="3270" spans="5:11" x14ac:dyDescent="0.35">
      <c r="E3270" s="9" t="str">
        <v>EPSG</v>
      </c>
      <c r="F3270" s="7" t="str">
        <v>6384</v>
      </c>
      <c r="G3270" t="str">
        <v>ProjectedCrs</v>
      </c>
      <c r="H3270" t="str">
        <v>Transverse Mercator</v>
      </c>
      <c r="I3270" t="str">
        <v>UCS-2000 / Ukraine TM zone 10</v>
      </c>
      <c r="J3270" t="str">
        <v>Ukraine - between 28°30'E and 31°30'E, onshore and offshore.</v>
      </c>
      <c r="K3270" s="11">
        <v>0</v>
      </c>
    </row>
    <row r="3271" spans="5:11" x14ac:dyDescent="0.35">
      <c r="E3271" s="9" t="str">
        <v>EPSG</v>
      </c>
      <c r="F3271" s="7" t="str">
        <v>6385</v>
      </c>
      <c r="G3271" t="str">
        <v>ProjectedCrs</v>
      </c>
      <c r="H3271" t="str">
        <v>Transverse Mercator</v>
      </c>
      <c r="I3271" t="str">
        <v>UCS-2000 / Ukraine TM zone 11</v>
      </c>
      <c r="J3271" t="str">
        <v>Ukraine - between 31°30'E and 34°30'E, onshore and offshore.</v>
      </c>
      <c r="K3271" s="11">
        <v>0</v>
      </c>
    </row>
    <row r="3272" spans="5:11" x14ac:dyDescent="0.35">
      <c r="E3272" s="9" t="str">
        <v>EPSG</v>
      </c>
      <c r="F3272" s="7" t="str">
        <v>6386</v>
      </c>
      <c r="G3272" t="str">
        <v>ProjectedCrs</v>
      </c>
      <c r="H3272" t="str">
        <v>Transverse Mercator</v>
      </c>
      <c r="I3272" t="str">
        <v>UCS-2000 / Ukraine TM zone 12</v>
      </c>
      <c r="J3272" t="str">
        <v>Ukraine - between 34°30'E and 37°30'E, onshore and offshore.</v>
      </c>
      <c r="K3272" s="11">
        <v>0</v>
      </c>
    </row>
    <row r="3273" spans="5:11" x14ac:dyDescent="0.35">
      <c r="E3273" s="9" t="str">
        <v>EPSG</v>
      </c>
      <c r="F3273" s="7" t="str">
        <v>6387</v>
      </c>
      <c r="G3273" t="str">
        <v>ProjectedCrs</v>
      </c>
      <c r="H3273" t="str">
        <v>Transverse Mercator</v>
      </c>
      <c r="I3273" t="str">
        <v>UCS-2000 / Ukraine TM zone 13</v>
      </c>
      <c r="J3273" t="str">
        <v>Ukraine - east of 37°30'E.</v>
      </c>
      <c r="K3273" s="11">
        <v>0</v>
      </c>
    </row>
    <row r="3274" spans="5:11" x14ac:dyDescent="0.35">
      <c r="E3274" s="9" t="str">
        <v>EPSG</v>
      </c>
      <c r="F3274" s="7" t="str">
        <v>6391</v>
      </c>
      <c r="G3274" t="str">
        <v>ProjectedCrs</v>
      </c>
      <c r="H3274" t="str">
        <v>Lambert Conic Conformal (2SP)</v>
      </c>
      <c r="I3274" t="str">
        <v>Cayman Islands National Grid 2011</v>
      </c>
      <c r="J3274" t="str">
        <v>Cayman Islands - onshore and offshore. Includes Grand Cayman, Little Cayman and Cayman Brac.</v>
      </c>
      <c r="K3274" s="11">
        <v>0</v>
      </c>
    </row>
    <row r="3275" spans="5:11" x14ac:dyDescent="0.35">
      <c r="E3275" s="9" t="str">
        <v>EPSG</v>
      </c>
      <c r="F3275" s="7" t="str">
        <v>6393</v>
      </c>
      <c r="G3275" t="str">
        <v>ProjectedCrs</v>
      </c>
      <c r="H3275" t="str">
        <v>Albers Equal Area</v>
      </c>
      <c r="I3275" t="str">
        <v>NAD83(2011) / Alaska Albers</v>
      </c>
      <c r="J3275" t="str">
        <v>United States (USA) - Alaska.</v>
      </c>
      <c r="K3275" s="11">
        <v>0</v>
      </c>
    </row>
    <row r="3276" spans="5:11" x14ac:dyDescent="0.35">
      <c r="E3276" s="9" t="str">
        <v>EPSG</v>
      </c>
      <c r="F3276" s="7" t="str">
        <v>6394</v>
      </c>
      <c r="G3276" t="str">
        <v>ProjectedCrs</v>
      </c>
      <c r="H3276" t="str">
        <v>Hotine Oblique Mercator (variant A)</v>
      </c>
      <c r="I3276" t="str">
        <v>NAD83(2011) / Alaska zone 1</v>
      </c>
      <c r="J3276" t="str">
        <v>United States (USA) - Alaska - east of 141°W; i.e. Panhandle.</v>
      </c>
      <c r="K3276" s="11">
        <v>0</v>
      </c>
    </row>
    <row r="3277" spans="5:11" x14ac:dyDescent="0.35">
      <c r="E3277" s="9" t="str">
        <v>EPSG</v>
      </c>
      <c r="F3277" s="7" t="str">
        <v>6395</v>
      </c>
      <c r="G3277" t="str">
        <v>ProjectedCrs</v>
      </c>
      <c r="H3277" t="str">
        <v>Transverse Mercator</v>
      </c>
      <c r="I3277" t="str">
        <v>NAD83(2011) / Alaska zone 2</v>
      </c>
      <c r="J3277" t="str">
        <v>United States (USA) - Alaska - between 144°W and 141°W, onshore.</v>
      </c>
      <c r="K3277" s="11">
        <v>0</v>
      </c>
    </row>
    <row r="3278" spans="5:11" x14ac:dyDescent="0.35">
      <c r="E3278" s="9" t="str">
        <v>EPSG</v>
      </c>
      <c r="F3278" s="7" t="str">
        <v>6396</v>
      </c>
      <c r="G3278" t="str">
        <v>ProjectedCrs</v>
      </c>
      <c r="H3278" t="str">
        <v>Transverse Mercator</v>
      </c>
      <c r="I3278" t="str">
        <v>NAD83(2011) / Alaska zone 3</v>
      </c>
      <c r="J3278" t="str">
        <v>United States (USA) - Alaska - between 148°W and 144°W.</v>
      </c>
      <c r="K3278" s="11">
        <v>0</v>
      </c>
    </row>
    <row r="3279" spans="5:11" x14ac:dyDescent="0.35">
      <c r="E3279" s="9" t="str">
        <v>EPSG</v>
      </c>
      <c r="F3279" s="7" t="str">
        <v>6397</v>
      </c>
      <c r="G3279" t="str">
        <v>ProjectedCrs</v>
      </c>
      <c r="H3279" t="str">
        <v>Transverse Mercator</v>
      </c>
      <c r="I3279" t="str">
        <v>NAD83(2011) / Alaska zone 4</v>
      </c>
      <c r="J3279" t="str">
        <v>United States (USA) - Alaska - between 152°W and 148°W, onshore.</v>
      </c>
      <c r="K3279" s="11">
        <v>0</v>
      </c>
    </row>
    <row r="3280" spans="5:11" x14ac:dyDescent="0.35">
      <c r="E3280" s="9" t="str">
        <v>EPSG</v>
      </c>
      <c r="F3280" s="7" t="str">
        <v>6398</v>
      </c>
      <c r="G3280" t="str">
        <v>ProjectedCrs</v>
      </c>
      <c r="H3280" t="str">
        <v>Transverse Mercator</v>
      </c>
      <c r="I3280" t="str">
        <v>NAD83(2011) / Alaska zone 5</v>
      </c>
      <c r="J3280" t="str">
        <v>United States (USA) - Alaska - between 156°W and 152°W.</v>
      </c>
      <c r="K3280" s="11">
        <v>0</v>
      </c>
    </row>
    <row r="3281" spans="5:11" x14ac:dyDescent="0.35">
      <c r="E3281" s="9" t="str">
        <v>EPSG</v>
      </c>
      <c r="F3281" s="7" t="str">
        <v>6399</v>
      </c>
      <c r="G3281" t="str">
        <v>ProjectedCrs</v>
      </c>
      <c r="H3281" t="str">
        <v>Transverse Mercator</v>
      </c>
      <c r="I3281" t="str">
        <v>NAD83(2011) / Alaska zone 6</v>
      </c>
      <c r="J3281" t="str">
        <v>United States (USA) - Alaska - between 160°W and 156°W, onshore.</v>
      </c>
      <c r="K3281" s="11">
        <v>0</v>
      </c>
    </row>
    <row r="3282" spans="5:11" x14ac:dyDescent="0.35">
      <c r="E3282" s="9" t="str">
        <v>EPSG</v>
      </c>
      <c r="F3282" s="7" t="str">
        <v>6400</v>
      </c>
      <c r="G3282" t="str">
        <v>ProjectedCrs</v>
      </c>
      <c r="H3282" t="str">
        <v>Transverse Mercator</v>
      </c>
      <c r="I3282" t="str">
        <v>NAD83(2011) / Alaska zone 7</v>
      </c>
      <c r="J3282" t="str">
        <v>United States (USA) - Alaska - between 164°W and 160°W, onshore.</v>
      </c>
      <c r="K3282" s="11">
        <v>0</v>
      </c>
    </row>
    <row r="3283" spans="5:11" x14ac:dyDescent="0.35">
      <c r="E3283" s="9" t="str">
        <v>EPSG</v>
      </c>
      <c r="F3283" s="7" t="str">
        <v>6401</v>
      </c>
      <c r="G3283" t="str">
        <v>ProjectedCrs</v>
      </c>
      <c r="H3283" t="str">
        <v>Transverse Mercator</v>
      </c>
      <c r="I3283" t="str">
        <v>NAD83(2011) / Alaska zone 8</v>
      </c>
      <c r="J3283" t="str">
        <v>United States (USA) - Alaska onshore north of 54°30'N and between 168°W and 164°W.</v>
      </c>
      <c r="K3283" s="11">
        <v>0</v>
      </c>
    </row>
    <row r="3284" spans="5:11" x14ac:dyDescent="0.35">
      <c r="E3284" s="9" t="str">
        <v>EPSG</v>
      </c>
      <c r="F3284" s="7" t="str">
        <v>6402</v>
      </c>
      <c r="G3284" t="str">
        <v>ProjectedCrs</v>
      </c>
      <c r="H3284" t="str">
        <v>Transverse Mercator</v>
      </c>
      <c r="I3284" t="str">
        <v>NAD83(2011) / Alaska zone 9</v>
      </c>
      <c r="J3284" t="str">
        <v>United States (USA) - Alaska onshore north of 54°30'N and west of 168°W.</v>
      </c>
      <c r="K3284" s="11">
        <v>0</v>
      </c>
    </row>
    <row r="3285" spans="5:11" x14ac:dyDescent="0.35">
      <c r="E3285" s="9" t="str">
        <v>EPSG</v>
      </c>
      <c r="F3285" s="7" t="str">
        <v>6403</v>
      </c>
      <c r="G3285" t="str">
        <v>ProjectedCrs</v>
      </c>
      <c r="H3285" t="str">
        <v>Lambert Conic Conformal (2SP)</v>
      </c>
      <c r="I3285" t="str">
        <v>NAD83(2011) / Alaska zone 10</v>
      </c>
      <c r="J3285" t="str">
        <v>United States (USA) - Alaska - Aleutian Islands onshore.</v>
      </c>
      <c r="K3285" s="11">
        <v>0</v>
      </c>
    </row>
    <row r="3286" spans="5:11" x14ac:dyDescent="0.35">
      <c r="E3286" s="9" t="str">
        <v>EPSG</v>
      </c>
      <c r="F3286" s="7" t="str">
        <v>6404</v>
      </c>
      <c r="G3286" t="str">
        <v>ProjectedCrs</v>
      </c>
      <c r="H3286" t="str">
        <v>Transverse Mercator</v>
      </c>
      <c r="I3286" t="str">
        <v>NAD83(2011) / Arizona Central</v>
      </c>
      <c r="J3286" t="str">
        <v>United States (USA) - Arizona - counties Coconino; Maricopa; Pima; Pinal; Santa Cruz; Yavapai.</v>
      </c>
      <c r="K3286" s="11">
        <v>0</v>
      </c>
    </row>
    <row r="3287" spans="5:11" x14ac:dyDescent="0.35">
      <c r="E3287" s="9" t="str">
        <v>EPSG</v>
      </c>
      <c r="F3287" s="7" t="str">
        <v>6405</v>
      </c>
      <c r="G3287" t="str">
        <v>ProjectedCrs</v>
      </c>
      <c r="H3287" t="str">
        <v>Transverse Mercator</v>
      </c>
      <c r="I3287" t="str">
        <v>NAD83(2011) / Arizona Central (ft)</v>
      </c>
      <c r="J3287" t="str">
        <v>United States (USA) - Arizona - counties Coconino; Maricopa; Pima; Pinal; Santa Cruz; Yavapai.</v>
      </c>
      <c r="K3287" s="11">
        <v>0</v>
      </c>
    </row>
    <row r="3288" spans="5:11" x14ac:dyDescent="0.35">
      <c r="E3288" s="9" t="str">
        <v>EPSG</v>
      </c>
      <c r="F3288" s="7" t="str">
        <v>6406</v>
      </c>
      <c r="G3288" t="str">
        <v>ProjectedCrs</v>
      </c>
      <c r="H3288" t="str">
        <v>Transverse Mercator</v>
      </c>
      <c r="I3288" t="str">
        <v>NAD83(2011) / Arizona East</v>
      </c>
      <c r="J3288" t="str">
        <v>United States (USA) - Arizona - counties Apache; Cochise; Gila; Graham; Greenlee; Navajo.</v>
      </c>
      <c r="K3288" s="11">
        <v>0</v>
      </c>
    </row>
    <row r="3289" spans="5:11" x14ac:dyDescent="0.35">
      <c r="E3289" s="9" t="str">
        <v>EPSG</v>
      </c>
      <c r="F3289" s="7" t="str">
        <v>6407</v>
      </c>
      <c r="G3289" t="str">
        <v>ProjectedCrs</v>
      </c>
      <c r="H3289" t="str">
        <v>Transverse Mercator</v>
      </c>
      <c r="I3289" t="str">
        <v>NAD83(2011) / Arizona East (ft)</v>
      </c>
      <c r="J3289" t="str">
        <v>United States (USA) - Arizona - counties Apache; Cochise; Gila; Graham; Greenlee; Navajo.</v>
      </c>
      <c r="K3289" s="11">
        <v>0</v>
      </c>
    </row>
    <row r="3290" spans="5:11" x14ac:dyDescent="0.35">
      <c r="E3290" s="9" t="str">
        <v>EPSG</v>
      </c>
      <c r="F3290" s="7" t="str">
        <v>6408</v>
      </c>
      <c r="G3290" t="str">
        <v>ProjectedCrs</v>
      </c>
      <c r="H3290" t="str">
        <v>Transverse Mercator</v>
      </c>
      <c r="I3290" t="str">
        <v>NAD83(2011) / Arizona West</v>
      </c>
      <c r="J3290" t="str">
        <v>United States (USA) - Arizona - counties of La Paz; Mohave; Yuma.</v>
      </c>
      <c r="K3290" s="11">
        <v>0</v>
      </c>
    </row>
    <row r="3291" spans="5:11" x14ac:dyDescent="0.35">
      <c r="E3291" s="9" t="str">
        <v>EPSG</v>
      </c>
      <c r="F3291" s="7" t="str">
        <v>6409</v>
      </c>
      <c r="G3291" t="str">
        <v>ProjectedCrs</v>
      </c>
      <c r="H3291" t="str">
        <v>Transverse Mercator</v>
      </c>
      <c r="I3291" t="str">
        <v>NAD83(2011) / Arizona West (ft)</v>
      </c>
      <c r="J3291" t="str">
        <v>United States (USA) - Arizona - counties of La Paz; Mohave; Yuma.</v>
      </c>
      <c r="K3291" s="11">
        <v>0</v>
      </c>
    </row>
    <row r="3292" spans="5:11" x14ac:dyDescent="0.35">
      <c r="E3292" s="9" t="str">
        <v>EPSG</v>
      </c>
      <c r="F3292" s="7" t="str">
        <v>6410</v>
      </c>
      <c r="G3292" t="str">
        <v>ProjectedCrs</v>
      </c>
      <c r="H3292" t="str">
        <v>Lambert Conic Conformal (2SP)</v>
      </c>
      <c r="I3292" t="str">
        <v>NAD83(2011) / Arkansas North</v>
      </c>
      <c r="J3292"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3292" s="11">
        <v>0</v>
      </c>
    </row>
    <row r="3293" spans="5:11" x14ac:dyDescent="0.35">
      <c r="E3293" s="9" t="str">
        <v>EPSG</v>
      </c>
      <c r="F3293" s="7" t="str">
        <v>6411</v>
      </c>
      <c r="G3293" t="str">
        <v>ProjectedCrs</v>
      </c>
      <c r="H3293" t="str">
        <v>Lambert Conic Conformal (2SP)</v>
      </c>
      <c r="I3293" t="str">
        <v>NAD83(2011) / Arkansas North (ftUS)</v>
      </c>
      <c r="J3293"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3293" s="11">
        <v>0</v>
      </c>
    </row>
    <row r="3294" spans="5:11" x14ac:dyDescent="0.35">
      <c r="E3294" s="9" t="str">
        <v>EPSG</v>
      </c>
      <c r="F3294" s="7" t="str">
        <v>6412</v>
      </c>
      <c r="G3294" t="str">
        <v>ProjectedCrs</v>
      </c>
      <c r="H3294" t="str">
        <v>Lambert Conic Conformal (2SP)</v>
      </c>
      <c r="I3294" t="str">
        <v>NAD83(2011) / Arkansas South</v>
      </c>
      <c r="J3294"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3294" s="11">
        <v>0</v>
      </c>
    </row>
    <row r="3295" spans="5:11" x14ac:dyDescent="0.35">
      <c r="E3295" s="9" t="str">
        <v>EPSG</v>
      </c>
      <c r="F3295" s="7" t="str">
        <v>6413</v>
      </c>
      <c r="G3295" t="str">
        <v>ProjectedCrs</v>
      </c>
      <c r="H3295" t="str">
        <v>Lambert Conic Conformal (2SP)</v>
      </c>
      <c r="I3295" t="str">
        <v>NAD83(2011) / Arkansas South (ftUS)</v>
      </c>
      <c r="J3295"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3295" s="11">
        <v>0</v>
      </c>
    </row>
    <row r="3296" spans="5:11" x14ac:dyDescent="0.35">
      <c r="E3296" s="9" t="str">
        <v>EPSG</v>
      </c>
      <c r="F3296" s="7" t="str">
        <v>6414</v>
      </c>
      <c r="G3296" t="str">
        <v>ProjectedCrs</v>
      </c>
      <c r="H3296" t="str">
        <v>Albers Equal Area</v>
      </c>
      <c r="I3296" t="str">
        <v>NAD83(2011) / California Albers</v>
      </c>
      <c r="J3296" t="str">
        <v>United States (USA) - California.</v>
      </c>
      <c r="K3296" s="11">
        <v>0</v>
      </c>
    </row>
    <row r="3297" spans="5:11" x14ac:dyDescent="0.35">
      <c r="E3297" s="9" t="str">
        <v>EPSG</v>
      </c>
      <c r="F3297" s="7" t="str">
        <v>6415</v>
      </c>
      <c r="G3297" t="str">
        <v>ProjectedCrs</v>
      </c>
      <c r="H3297" t="str">
        <v>Lambert Conic Conformal (2SP)</v>
      </c>
      <c r="I3297" t="str">
        <v>NAD83(2011) / California zone 1</v>
      </c>
      <c r="J3297" t="str">
        <v>United States (USA) - California - counties Del Norte; Humboldt; Lassen; Modoc; Plumas; Shasta; Siskiyou; Tehama; Trinity.</v>
      </c>
      <c r="K3297" s="11">
        <v>0</v>
      </c>
    </row>
    <row r="3298" spans="5:11" x14ac:dyDescent="0.35">
      <c r="E3298" s="9" t="str">
        <v>EPSG</v>
      </c>
      <c r="F3298" s="7" t="str">
        <v>6416</v>
      </c>
      <c r="G3298" t="str">
        <v>ProjectedCrs</v>
      </c>
      <c r="H3298" t="str">
        <v>Lambert Conic Conformal (2SP)</v>
      </c>
      <c r="I3298" t="str">
        <v>NAD83(2011) / California zone 1 (ftUS)</v>
      </c>
      <c r="J3298" t="str">
        <v>United States (USA) - California - counties Del Norte; Humboldt; Lassen; Modoc; Plumas; Shasta; Siskiyou; Tehama; Trinity.</v>
      </c>
      <c r="K3298" s="11">
        <v>0</v>
      </c>
    </row>
    <row r="3299" spans="5:11" x14ac:dyDescent="0.35">
      <c r="E3299" s="9" t="str">
        <v>EPSG</v>
      </c>
      <c r="F3299" s="7" t="str">
        <v>6417</v>
      </c>
      <c r="G3299" t="str">
        <v>ProjectedCrs</v>
      </c>
      <c r="H3299" t="str">
        <v>Lambert Conic Conformal (2SP)</v>
      </c>
      <c r="I3299" t="str">
        <v>NAD83(2011) / California zone 2</v>
      </c>
      <c r="J3299" t="str">
        <v>United States (USA) - California - counties of Alpine; Amador; Butte; Colusa; El Dorado; Glenn; Lake; Mendocino; Napa; Nevada; Placer; Sacramento; Sierra; Solano; Sonoma; Sutter; Yolo; Yuba.</v>
      </c>
      <c r="K3299" s="11">
        <v>0</v>
      </c>
    </row>
    <row r="3300" spans="5:11" x14ac:dyDescent="0.35">
      <c r="E3300" s="9" t="str">
        <v>EPSG</v>
      </c>
      <c r="F3300" s="7" t="str">
        <v>6418</v>
      </c>
      <c r="G3300" t="str">
        <v>ProjectedCrs</v>
      </c>
      <c r="H3300" t="str">
        <v>Lambert Conic Conformal (2SP)</v>
      </c>
      <c r="I3300" t="str">
        <v>NAD83(2011) / California zone 2 (ftUS)</v>
      </c>
      <c r="J3300" t="str">
        <v>United States (USA) - California - counties of Alpine; Amador; Butte; Colusa; El Dorado; Glenn; Lake; Mendocino; Napa; Nevada; Placer; Sacramento; Sierra; Solano; Sonoma; Sutter; Yolo; Yuba.</v>
      </c>
      <c r="K3300" s="11">
        <v>0</v>
      </c>
    </row>
    <row r="3301" spans="5:11" x14ac:dyDescent="0.35">
      <c r="E3301" s="9" t="str">
        <v>EPSG</v>
      </c>
      <c r="F3301" s="7" t="str">
        <v>6419</v>
      </c>
      <c r="G3301" t="str">
        <v>ProjectedCrs</v>
      </c>
      <c r="H3301" t="str">
        <v>Lambert Conic Conformal (2SP)</v>
      </c>
      <c r="I3301" t="str">
        <v>NAD83(2011) / California zone 3</v>
      </c>
      <c r="J3301" t="str">
        <v>United States (USA) - California - counties Alameda; Calaveras; Contra Costa; Madera; Marin; Mariposa; Merced; Mono; San Francisco; San Joaquin; San Mateo; Santa Clara; Santa Cruz; Stanislaus; Tuolumne.</v>
      </c>
      <c r="K3301" s="11">
        <v>0</v>
      </c>
    </row>
    <row r="3302" spans="5:11" x14ac:dyDescent="0.35">
      <c r="E3302" s="9" t="str">
        <v>EPSG</v>
      </c>
      <c r="F3302" s="7" t="str">
        <v>6420</v>
      </c>
      <c r="G3302" t="str">
        <v>ProjectedCrs</v>
      </c>
      <c r="H3302" t="str">
        <v>Lambert Conic Conformal (2SP)</v>
      </c>
      <c r="I3302" t="str">
        <v>NAD83(2011) / California zone 3 (ftUS)</v>
      </c>
      <c r="J3302" t="str">
        <v>United States (USA) - California - counties Alameda; Calaveras; Contra Costa; Madera; Marin; Mariposa; Merced; Mono; San Francisco; San Joaquin; San Mateo; Santa Clara; Santa Cruz; Stanislaus; Tuolumne.</v>
      </c>
      <c r="K3302" s="11">
        <v>0</v>
      </c>
    </row>
    <row r="3303" spans="5:11" x14ac:dyDescent="0.35">
      <c r="E3303" s="9" t="str">
        <v>EPSG</v>
      </c>
      <c r="F3303" s="7" t="str">
        <v>6421</v>
      </c>
      <c r="G3303" t="str">
        <v>ProjectedCrs</v>
      </c>
      <c r="H3303" t="str">
        <v>Lambert Conic Conformal (2SP)</v>
      </c>
      <c r="I3303" t="str">
        <v>NAD83(2011) / California zone 4</v>
      </c>
      <c r="J3303" t="str">
        <v>United States (USA) - California - counties Fresno; Inyo; Kings; Monterey; San Benito; Tulare.</v>
      </c>
      <c r="K3303" s="11">
        <v>0</v>
      </c>
    </row>
    <row r="3304" spans="5:11" x14ac:dyDescent="0.35">
      <c r="E3304" s="9" t="str">
        <v>EPSG</v>
      </c>
      <c r="F3304" s="7" t="str">
        <v>6422</v>
      </c>
      <c r="G3304" t="str">
        <v>ProjectedCrs</v>
      </c>
      <c r="H3304" t="str">
        <v>Lambert Conic Conformal (2SP)</v>
      </c>
      <c r="I3304" t="str">
        <v>NAD83(2011) / California zone 4 (ftUS)</v>
      </c>
      <c r="J3304" t="str">
        <v>United States (USA) - California - counties Fresno; Inyo; Kings; Monterey; San Benito; Tulare.</v>
      </c>
      <c r="K3304" s="11">
        <v>0</v>
      </c>
    </row>
    <row r="3305" spans="5:11" x14ac:dyDescent="0.35">
      <c r="E3305" s="9" t="str">
        <v>EPSG</v>
      </c>
      <c r="F3305" s="7" t="str">
        <v>6423</v>
      </c>
      <c r="G3305" t="str">
        <v>ProjectedCrs</v>
      </c>
      <c r="H3305" t="str">
        <v>Lambert Conic Conformal (2SP)</v>
      </c>
      <c r="I3305" t="str">
        <v>NAD83(2011) / California zone 5</v>
      </c>
      <c r="J3305" t="str">
        <v>United States (USA) - California - counties Kern; Los Angeles; San Bernardino; San Luis Obispo; Santa Barbara; Ventura.</v>
      </c>
      <c r="K3305" s="11">
        <v>0</v>
      </c>
    </row>
    <row r="3306" spans="5:11" x14ac:dyDescent="0.35">
      <c r="E3306" s="9" t="str">
        <v>EPSG</v>
      </c>
      <c r="F3306" s="7" t="str">
        <v>6424</v>
      </c>
      <c r="G3306" t="str">
        <v>ProjectedCrs</v>
      </c>
      <c r="H3306" t="str">
        <v>Lambert Conic Conformal (2SP)</v>
      </c>
      <c r="I3306" t="str">
        <v>NAD83(2011) / California zone 5 (ftUS)</v>
      </c>
      <c r="J3306" t="str">
        <v>United States (USA) - California - counties Kern; Los Angeles; San Bernardino; San Luis Obispo; Santa Barbara; Ventura.</v>
      </c>
      <c r="K3306" s="11">
        <v>0</v>
      </c>
    </row>
    <row r="3307" spans="5:11" x14ac:dyDescent="0.35">
      <c r="E3307" s="9" t="str">
        <v>EPSG</v>
      </c>
      <c r="F3307" s="7" t="str">
        <v>6425</v>
      </c>
      <c r="G3307" t="str">
        <v>ProjectedCrs</v>
      </c>
      <c r="H3307" t="str">
        <v>Lambert Conic Conformal (2SP)</v>
      </c>
      <c r="I3307" t="str">
        <v>NAD83(2011) / California zone 6</v>
      </c>
      <c r="J3307" t="str">
        <v>United States (USA) - California - counties Imperial; Orange; Riverside; San Diego.</v>
      </c>
      <c r="K3307" s="11">
        <v>0</v>
      </c>
    </row>
    <row r="3308" spans="5:11" x14ac:dyDescent="0.35">
      <c r="E3308" s="9" t="str">
        <v>EPSG</v>
      </c>
      <c r="F3308" s="7" t="str">
        <v>6426</v>
      </c>
      <c r="G3308" t="str">
        <v>ProjectedCrs</v>
      </c>
      <c r="H3308" t="str">
        <v>Lambert Conic Conformal (2SP)</v>
      </c>
      <c r="I3308" t="str">
        <v>NAD83(2011) / California zone 6 (ftUS)</v>
      </c>
      <c r="J3308" t="str">
        <v>United States (USA) - California - counties Imperial; Orange; Riverside; San Diego.</v>
      </c>
      <c r="K3308" s="11">
        <v>0</v>
      </c>
    </row>
    <row r="3309" spans="5:11" x14ac:dyDescent="0.35">
      <c r="E3309" s="9" t="str">
        <v>EPSG</v>
      </c>
      <c r="F3309" s="7" t="str">
        <v>6427</v>
      </c>
      <c r="G3309" t="str">
        <v>ProjectedCrs</v>
      </c>
      <c r="H3309" t="str">
        <v>Lambert Conic Conformal (2SP)</v>
      </c>
      <c r="I3309" t="str">
        <v>NAD83(2011) / Colorado Central</v>
      </c>
      <c r="J3309" t="str">
        <v>United States (USA) - Colorado - counties Arapahoe; Chaffee; Cheyenne; Clear Creek; Delta; Denver; Douglas; Eagle; El Paso; Elbert; Fremont; Garfield; Gunnison; Jefferson; Kit Carson; Lake; Lincoln; Mesa; Park; Pitkin; Summit; Teller.</v>
      </c>
      <c r="K3309" s="11">
        <v>0</v>
      </c>
    </row>
    <row r="3310" spans="5:11" x14ac:dyDescent="0.35">
      <c r="E3310" s="9" t="str">
        <v>EPSG</v>
      </c>
      <c r="F3310" s="7" t="str">
        <v>6428</v>
      </c>
      <c r="G3310" t="str">
        <v>ProjectedCrs</v>
      </c>
      <c r="H3310" t="str">
        <v>Lambert Conic Conformal (2SP)</v>
      </c>
      <c r="I3310" t="str">
        <v>NAD83(2011) / Colorado Central (ftUS)</v>
      </c>
      <c r="J3310" t="str">
        <v>United States (USA) - Colorado - counties Arapahoe; Chaffee; Cheyenne; Clear Creek; Delta; Denver; Douglas; Eagle; El Paso; Elbert; Fremont; Garfield; Gunnison; Jefferson; Kit Carson; Lake; Lincoln; Mesa; Park; Pitkin; Summit; Teller.</v>
      </c>
      <c r="K3310" s="11">
        <v>0</v>
      </c>
    </row>
    <row r="3311" spans="5:11" x14ac:dyDescent="0.35">
      <c r="E3311" s="9" t="str">
        <v>EPSG</v>
      </c>
      <c r="F3311" s="7" t="str">
        <v>6429</v>
      </c>
      <c r="G3311" t="str">
        <v>ProjectedCrs</v>
      </c>
      <c r="H3311" t="str">
        <v>Lambert Conic Conformal (2SP)</v>
      </c>
      <c r="I3311" t="str">
        <v>NAD83(2011) / Colorado North</v>
      </c>
      <c r="J3311" t="str">
        <v>United States (USA) - Colorado - counties Adams; Boulder; Gilpin; Grand; Jackson; Larimer; Logan; Moffat; Morgan; Phillips; Rio Blanco; Routt; Sedgwick; Washington; Weld; Yuma.</v>
      </c>
      <c r="K3311" s="11">
        <v>0</v>
      </c>
    </row>
    <row r="3312" spans="5:11" x14ac:dyDescent="0.35">
      <c r="E3312" s="9" t="str">
        <v>EPSG</v>
      </c>
      <c r="F3312" s="7" t="str">
        <v>6430</v>
      </c>
      <c r="G3312" t="str">
        <v>ProjectedCrs</v>
      </c>
      <c r="H3312" t="str">
        <v>Lambert Conic Conformal (2SP)</v>
      </c>
      <c r="I3312" t="str">
        <v>NAD83(2011) / Colorado North (ftUS)</v>
      </c>
      <c r="J3312" t="str">
        <v>United States (USA) - Colorado - counties Adams; Boulder; Gilpin; Grand; Jackson; Larimer; Logan; Moffat; Morgan; Phillips; Rio Blanco; Routt; Sedgwick; Washington; Weld; Yuma.</v>
      </c>
      <c r="K3312" s="11">
        <v>0</v>
      </c>
    </row>
    <row r="3313" spans="5:11" x14ac:dyDescent="0.35">
      <c r="E3313" s="9" t="str">
        <v>EPSG</v>
      </c>
      <c r="F3313" s="7" t="str">
        <v>6431</v>
      </c>
      <c r="G3313" t="str">
        <v>ProjectedCrs</v>
      </c>
      <c r="H3313" t="str">
        <v>Lambert Conic Conformal (2SP)</v>
      </c>
      <c r="I3313" t="str">
        <v>NAD83(2011) / Colorado South</v>
      </c>
      <c r="J3313" t="str">
        <v>United States (USA) - Colorado - counties Alamosa; Archuleta; Baca; Bent; Conejos; Costilla; Crowley; Custer; Dolores; Hinsdale; Huerfano; Kiowa; La Plata; Las Animas; Mineral; Montezuma; Montrose; Otero; Ouray; Prowers; Pueblo; Rio Grande; Saguache; San Juan; San Miguel.</v>
      </c>
      <c r="K3313" s="11">
        <v>0</v>
      </c>
    </row>
    <row r="3314" spans="5:11" x14ac:dyDescent="0.35">
      <c r="E3314" s="9" t="str">
        <v>EPSG</v>
      </c>
      <c r="F3314" s="7" t="str">
        <v>6432</v>
      </c>
      <c r="G3314" t="str">
        <v>ProjectedCrs</v>
      </c>
      <c r="H3314" t="str">
        <v>Lambert Conic Conformal (2SP)</v>
      </c>
      <c r="I3314" t="str">
        <v>NAD83(2011) / Colorado South (ftUS)</v>
      </c>
      <c r="J3314" t="str">
        <v>United States (USA) - Colorado - counties Alamosa; Archuleta; Baca; Bent; Conejos; Costilla; Crowley; Custer; Dolores; Hinsdale; Huerfano; Kiowa; La Plata; Las Animas; Mineral; Montezuma; Montrose; Otero; Ouray; Prowers; Pueblo; Rio Grande; Saguache; San Juan; San Miguel.</v>
      </c>
      <c r="K3314" s="11">
        <v>0</v>
      </c>
    </row>
    <row r="3315" spans="5:11" x14ac:dyDescent="0.35">
      <c r="E3315" s="9" t="str">
        <v>EPSG</v>
      </c>
      <c r="F3315" s="7" t="str">
        <v>6433</v>
      </c>
      <c r="G3315" t="str">
        <v>ProjectedCrs</v>
      </c>
      <c r="H3315" t="str">
        <v>Lambert Conic Conformal (2SP)</v>
      </c>
      <c r="I3315" t="str">
        <v>NAD83(2011) / Connecticut</v>
      </c>
      <c r="J3315" t="str">
        <v>United States (USA) - Connecticut - counties of Fairfield; Hartford; Litchfield; Middlesex; New Haven; New London; Tolland; Windham.</v>
      </c>
      <c r="K3315" s="11">
        <v>0</v>
      </c>
    </row>
    <row r="3316" spans="5:11" x14ac:dyDescent="0.35">
      <c r="E3316" s="9" t="str">
        <v>EPSG</v>
      </c>
      <c r="F3316" s="7" t="str">
        <v>6434</v>
      </c>
      <c r="G3316" t="str">
        <v>ProjectedCrs</v>
      </c>
      <c r="H3316" t="str">
        <v>Lambert Conic Conformal (2SP)</v>
      </c>
      <c r="I3316" t="str">
        <v>NAD83(2011) / Connecticut (ftUS)</v>
      </c>
      <c r="J3316" t="str">
        <v>United States (USA) - Connecticut - counties of Fairfield; Hartford; Litchfield; Middlesex; New Haven; New London; Tolland; Windham.</v>
      </c>
      <c r="K3316" s="11">
        <v>0</v>
      </c>
    </row>
    <row r="3317" spans="5:11" x14ac:dyDescent="0.35">
      <c r="E3317" s="9" t="str">
        <v>EPSG</v>
      </c>
      <c r="F3317" s="7" t="str">
        <v>6435</v>
      </c>
      <c r="G3317" t="str">
        <v>ProjectedCrs</v>
      </c>
      <c r="H3317" t="str">
        <v>Transverse Mercator</v>
      </c>
      <c r="I3317" t="str">
        <v>NAD83(2011) / Delaware</v>
      </c>
      <c r="J3317" t="str">
        <v>United States (USA) - Delaware - counties of Kent; New Castle; Sussex.</v>
      </c>
      <c r="K3317" s="11">
        <v>0</v>
      </c>
    </row>
    <row r="3318" spans="5:11" x14ac:dyDescent="0.35">
      <c r="E3318" s="9" t="str">
        <v>EPSG</v>
      </c>
      <c r="F3318" s="7" t="str">
        <v>6436</v>
      </c>
      <c r="G3318" t="str">
        <v>ProjectedCrs</v>
      </c>
      <c r="H3318" t="str">
        <v>Transverse Mercator</v>
      </c>
      <c r="I3318" t="str">
        <v>NAD83(2011) / Delaware (ftUS)</v>
      </c>
      <c r="J3318" t="str">
        <v>United States (USA) - Delaware - counties of Kent; New Castle; Sussex.</v>
      </c>
      <c r="K3318" s="11">
        <v>0</v>
      </c>
    </row>
    <row r="3319" spans="5:11" x14ac:dyDescent="0.35">
      <c r="E3319" s="9" t="str">
        <v>EPSG</v>
      </c>
      <c r="F3319" s="7" t="str">
        <v>6437</v>
      </c>
      <c r="G3319" t="str">
        <v>ProjectedCrs</v>
      </c>
      <c r="H3319" t="str">
        <v>Transverse Mercator</v>
      </c>
      <c r="I3319" t="str">
        <v>NAD83(2011) / Florida East</v>
      </c>
      <c r="J3319" t="str">
        <v>United States (USA) - Florida - counties of Brevard; Broward; Clay; Collier; Dade; Duval; Flagler; Glades; Hendry; Highlands; Indian River; Lake; Martin; Monroe; Nassau; Okeechobee; Orange; Osceola; Palm Beach; Putnam; Seminole; St Johns; St Lucie; Volusia.</v>
      </c>
      <c r="K3319" s="11">
        <v>0</v>
      </c>
    </row>
    <row r="3320" spans="5:11" x14ac:dyDescent="0.35">
      <c r="E3320" s="9" t="str">
        <v>EPSG</v>
      </c>
      <c r="F3320" s="7" t="str">
        <v>6438</v>
      </c>
      <c r="G3320" t="str">
        <v>ProjectedCrs</v>
      </c>
      <c r="H3320" t="str">
        <v>Transverse Mercator</v>
      </c>
      <c r="I3320" t="str">
        <v>NAD83(2011) / Florida East (ftUS)</v>
      </c>
      <c r="J3320" t="str">
        <v>United States (USA) - Florida - counties of Brevard; Broward; Clay; Collier; Dade; Duval; Flagler; Glades; Hendry; Highlands; Indian River; Lake; Martin; Monroe; Nassau; Okeechobee; Orange; Osceola; Palm Beach; Putnam; Seminole; St Johns; St Lucie; Volusia.</v>
      </c>
      <c r="K3320" s="11">
        <v>0</v>
      </c>
    </row>
    <row r="3321" spans="5:11" x14ac:dyDescent="0.35">
      <c r="E3321" s="9" t="str">
        <v>EPSG</v>
      </c>
      <c r="F3321" s="7" t="str">
        <v>6439</v>
      </c>
      <c r="G3321" t="str">
        <v>ProjectedCrs</v>
      </c>
      <c r="H3321" t="str">
        <v>Albers Equal Area</v>
      </c>
      <c r="I3321" t="str">
        <v>NAD83(2011) / Florida GDL Albers</v>
      </c>
      <c r="J3321" t="str">
        <v>United States (USA) - Florida.</v>
      </c>
      <c r="K3321" s="11">
        <v>0</v>
      </c>
    </row>
    <row r="3322" spans="5:11" x14ac:dyDescent="0.35">
      <c r="E3322" s="9" t="str">
        <v>EPSG</v>
      </c>
      <c r="F3322" s="7" t="str">
        <v>6440</v>
      </c>
      <c r="G3322" t="str">
        <v>ProjectedCrs</v>
      </c>
      <c r="H3322" t="str">
        <v>Lambert Conic Conformal (2SP)</v>
      </c>
      <c r="I3322" t="str">
        <v>NAD83(2011) / Florida North</v>
      </c>
      <c r="J3322" t="str">
        <v>United States (USA) - Florida - counties of Alachua; Baker; Bay; Bradford; Calhoun; Columbia; Dixie; Escambia; Franklin; Gadsden; Gilchrist; Gulf; Hamilton; Holmes; Jackson; Jefferson; Lafayette; Leon; Liberty; Madison; Okaloosa; Santa Rosa; Suwannee; Taylor; Union; Wakulla; Walton; Washington.</v>
      </c>
      <c r="K3322" s="11">
        <v>0</v>
      </c>
    </row>
    <row r="3323" spans="5:11" x14ac:dyDescent="0.35">
      <c r="E3323" s="9" t="str">
        <v>EPSG</v>
      </c>
      <c r="F3323" s="7" t="str">
        <v>6441</v>
      </c>
      <c r="G3323" t="str">
        <v>ProjectedCrs</v>
      </c>
      <c r="H3323" t="str">
        <v>Lambert Conic Conformal (2SP)</v>
      </c>
      <c r="I3323" t="str">
        <v>NAD83(2011) / Florida North (ftUS)</v>
      </c>
      <c r="J3323" t="str">
        <v>United States (USA) - Florida - counties of Alachua; Baker; Bay; Bradford; Calhoun; Columbia; Dixie; Escambia; Franklin; Gadsden; Gilchrist; Gulf; Hamilton; Holmes; Jackson; Jefferson; Lafayette; Leon; Liberty; Madison; Okaloosa; Santa Rosa; Suwannee; Taylor; Union; Wakulla; Walton; Washington.</v>
      </c>
      <c r="K3323" s="11">
        <v>0</v>
      </c>
    </row>
    <row r="3324" spans="5:11" x14ac:dyDescent="0.35">
      <c r="E3324" s="9" t="str">
        <v>EPSG</v>
      </c>
      <c r="F3324" s="7" t="str">
        <v>6442</v>
      </c>
      <c r="G3324" t="str">
        <v>ProjectedCrs</v>
      </c>
      <c r="H3324" t="str">
        <v>Transverse Mercator</v>
      </c>
      <c r="I3324" t="str">
        <v>NAD83(2011) / Florida West</v>
      </c>
      <c r="J3324" t="str">
        <v>United States (USA) - Florida - counties of Charlotte; Citrus; De Soto; Hardee; Hernando; Hillsborough; Lee; Levy; Manatee; Marion; Pasco; Pinellas; Polk; Sarasota; Sumter.</v>
      </c>
      <c r="K3324" s="11">
        <v>0</v>
      </c>
    </row>
    <row r="3325" spans="5:11" x14ac:dyDescent="0.35">
      <c r="E3325" s="9" t="str">
        <v>EPSG</v>
      </c>
      <c r="F3325" s="7" t="str">
        <v>6443</v>
      </c>
      <c r="G3325" t="str">
        <v>ProjectedCrs</v>
      </c>
      <c r="H3325" t="str">
        <v>Transverse Mercator</v>
      </c>
      <c r="I3325" t="str">
        <v>NAD83(2011) / Florida West (ftUS)</v>
      </c>
      <c r="J3325" t="str">
        <v>United States (USA) - Florida - counties of Charlotte; Citrus; De Soto; Hardee; Hernando; Hillsborough; Lee; Levy; Manatee; Marion; Pasco; Pinellas; Polk; Sarasota; Sumter.</v>
      </c>
      <c r="K3325" s="11">
        <v>0</v>
      </c>
    </row>
    <row r="3326" spans="5:11" x14ac:dyDescent="0.35">
      <c r="E3326" s="9" t="str">
        <v>EPSG</v>
      </c>
      <c r="F3326" s="7" t="str">
        <v>6444</v>
      </c>
      <c r="G3326" t="str">
        <v>ProjectedCrs</v>
      </c>
      <c r="H3326" t="str">
        <v>Transverse Mercator</v>
      </c>
      <c r="I3326" t="str">
        <v>NAD83(2011) / Georgia East</v>
      </c>
      <c r="J3326"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3326" s="11">
        <v>0</v>
      </c>
    </row>
    <row r="3327" spans="5:11" x14ac:dyDescent="0.35">
      <c r="E3327" s="9" t="str">
        <v>EPSG</v>
      </c>
      <c r="F3327" s="7" t="str">
        <v>6445</v>
      </c>
      <c r="G3327" t="str">
        <v>ProjectedCrs</v>
      </c>
      <c r="H3327" t="str">
        <v>Transverse Mercator</v>
      </c>
      <c r="I3327" t="str">
        <v>NAD83(2011) / Georgia East (ftUS)</v>
      </c>
      <c r="J3327"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3327" s="11">
        <v>0</v>
      </c>
    </row>
    <row r="3328" spans="5:11" x14ac:dyDescent="0.35">
      <c r="E3328" s="9" t="str">
        <v>EPSG</v>
      </c>
      <c r="F3328" s="7" t="str">
        <v>6446</v>
      </c>
      <c r="G3328" t="str">
        <v>ProjectedCrs</v>
      </c>
      <c r="H3328" t="str">
        <v>Transverse Mercator</v>
      </c>
      <c r="I3328" t="str">
        <v>NAD83(2011) / Georgia West</v>
      </c>
      <c r="J3328"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3328" s="11">
        <v>0</v>
      </c>
    </row>
    <row r="3329" spans="5:11" x14ac:dyDescent="0.35">
      <c r="E3329" s="9" t="str">
        <v>EPSG</v>
      </c>
      <c r="F3329" s="7" t="str">
        <v>6447</v>
      </c>
      <c r="G3329" t="str">
        <v>ProjectedCrs</v>
      </c>
      <c r="H3329" t="str">
        <v>Transverse Mercator</v>
      </c>
      <c r="I3329" t="str">
        <v>NAD83(2011) / Georgia West (ftUS)</v>
      </c>
      <c r="J3329"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3329" s="11">
        <v>0</v>
      </c>
    </row>
    <row r="3330" spans="5:11" x14ac:dyDescent="0.35">
      <c r="E3330" s="9" t="str">
        <v>EPSG</v>
      </c>
      <c r="F3330" s="7" t="str">
        <v>6448</v>
      </c>
      <c r="G3330" t="str">
        <v>ProjectedCrs</v>
      </c>
      <c r="H3330" t="str">
        <v>Transverse Mercator</v>
      </c>
      <c r="I3330" t="str">
        <v>NAD83(2011) / Idaho Central</v>
      </c>
      <c r="J3330" t="str">
        <v>United States (USA) - Idaho - counties of Blaine; Butte; Camas; Cassia; Custer; Gooding; Jerome; Lemhi; Lincoln; Minidoka; Twin Falls.</v>
      </c>
      <c r="K3330" s="11">
        <v>0</v>
      </c>
    </row>
    <row r="3331" spans="5:11" x14ac:dyDescent="0.35">
      <c r="E3331" s="9" t="str">
        <v>EPSG</v>
      </c>
      <c r="F3331" s="7" t="str">
        <v>6449</v>
      </c>
      <c r="G3331" t="str">
        <v>ProjectedCrs</v>
      </c>
      <c r="H3331" t="str">
        <v>Transverse Mercator</v>
      </c>
      <c r="I3331" t="str">
        <v>NAD83(2011) / Idaho Central (ftUS)</v>
      </c>
      <c r="J3331" t="str">
        <v>United States (USA) - Idaho - counties of Blaine; Butte; Camas; Cassia; Custer; Gooding; Jerome; Lemhi; Lincoln; Minidoka; Twin Falls.</v>
      </c>
      <c r="K3331" s="11">
        <v>0</v>
      </c>
    </row>
    <row r="3332" spans="5:11" x14ac:dyDescent="0.35">
      <c r="E3332" s="9" t="str">
        <v>EPSG</v>
      </c>
      <c r="F3332" s="7" t="str">
        <v>6450</v>
      </c>
      <c r="G3332" t="str">
        <v>ProjectedCrs</v>
      </c>
      <c r="H3332" t="str">
        <v>Transverse Mercator</v>
      </c>
      <c r="I3332" t="str">
        <v>NAD83(2011) / Idaho East</v>
      </c>
      <c r="J3332" t="str">
        <v>United States (USA) - Idaho - counties of Bannock; Bear Lake; Bingham; Bonneville; Caribou; Clark; Franklin; Fremont; Jefferson; Madison; Oneida; Power; Teton.</v>
      </c>
      <c r="K3332" s="11">
        <v>0</v>
      </c>
    </row>
    <row r="3333" spans="5:11" x14ac:dyDescent="0.35">
      <c r="E3333" s="9" t="str">
        <v>EPSG</v>
      </c>
      <c r="F3333" s="7" t="str">
        <v>6451</v>
      </c>
      <c r="G3333" t="str">
        <v>ProjectedCrs</v>
      </c>
      <c r="H3333" t="str">
        <v>Transverse Mercator</v>
      </c>
      <c r="I3333" t="str">
        <v>NAD83(2011) / Idaho East (ftUS)</v>
      </c>
      <c r="J3333" t="str">
        <v>United States (USA) - Idaho - counties of Bannock; Bear Lake; Bingham; Bonneville; Caribou; Clark; Franklin; Fremont; Jefferson; Madison; Oneida; Power; Teton.</v>
      </c>
      <c r="K3333" s="11">
        <v>0</v>
      </c>
    </row>
    <row r="3334" spans="5:11" x14ac:dyDescent="0.35">
      <c r="E3334" s="9" t="str">
        <v>EPSG</v>
      </c>
      <c r="F3334" s="7" t="str">
        <v>6452</v>
      </c>
      <c r="G3334" t="str">
        <v>ProjectedCrs</v>
      </c>
      <c r="H3334" t="str">
        <v>Transverse Mercator</v>
      </c>
      <c r="I3334" t="str">
        <v>NAD83(2011) / Idaho West</v>
      </c>
      <c r="J3334" t="str">
        <v>United States (USA) - Idaho - counties of Ada; Adams; Benewah; Boise; Bonner; Boundary; Canyon; Clearwater; Elmore; Gem; Idaho; Kootenai; Latah; Lewis; Nez Perce; Owyhee; Payette; Shoshone; Valley; Washington.</v>
      </c>
      <c r="K3334" s="11">
        <v>0</v>
      </c>
    </row>
    <row r="3335" spans="5:11" x14ac:dyDescent="0.35">
      <c r="E3335" s="9" t="str">
        <v>EPSG</v>
      </c>
      <c r="F3335" s="7" t="str">
        <v>6453</v>
      </c>
      <c r="G3335" t="str">
        <v>ProjectedCrs</v>
      </c>
      <c r="H3335" t="str">
        <v>Transverse Mercator</v>
      </c>
      <c r="I3335" t="str">
        <v>NAD83(2011) / Idaho West (ftUS)</v>
      </c>
      <c r="J3335" t="str">
        <v>United States (USA) - Idaho - counties of Ada; Adams; Benewah; Boise; Bonner; Boundary; Canyon; Clearwater; Elmore; Gem; Idaho; Kootenai; Latah; Lewis; Nez Perce; Owyhee; Payette; Shoshone; Valley; Washington.</v>
      </c>
      <c r="K3335" s="11">
        <v>0</v>
      </c>
    </row>
    <row r="3336" spans="5:11" x14ac:dyDescent="0.35">
      <c r="E3336" s="9" t="str">
        <v>EPSG</v>
      </c>
      <c r="F3336" s="7" t="str">
        <v>6454</v>
      </c>
      <c r="G3336" t="str">
        <v>ProjectedCrs</v>
      </c>
      <c r="H3336" t="str">
        <v>Transverse Mercator</v>
      </c>
      <c r="I3336" t="str">
        <v>NAD83(2011) / Illinois East</v>
      </c>
      <c r="J3336"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3336" s="11">
        <v>0</v>
      </c>
    </row>
    <row r="3337" spans="5:11" x14ac:dyDescent="0.35">
      <c r="E3337" s="9" t="str">
        <v>EPSG</v>
      </c>
      <c r="F3337" s="7" t="str">
        <v>6455</v>
      </c>
      <c r="G3337" t="str">
        <v>ProjectedCrs</v>
      </c>
      <c r="H3337" t="str">
        <v>Transverse Mercator</v>
      </c>
      <c r="I3337" t="str">
        <v>NAD83(2011) / Illinois East (ftUS)</v>
      </c>
      <c r="J3337"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3337" s="11">
        <v>0</v>
      </c>
    </row>
    <row r="3338" spans="5:11" x14ac:dyDescent="0.35">
      <c r="E3338" s="9" t="str">
        <v>EPSG</v>
      </c>
      <c r="F3338" s="7" t="str">
        <v>6456</v>
      </c>
      <c r="G3338" t="str">
        <v>ProjectedCrs</v>
      </c>
      <c r="H3338" t="str">
        <v>Transverse Mercator</v>
      </c>
      <c r="I3338" t="str">
        <v>NAD83(2011) / Illinois West</v>
      </c>
      <c r="J3338"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3338" s="11">
        <v>0</v>
      </c>
    </row>
    <row r="3339" spans="5:11" x14ac:dyDescent="0.35">
      <c r="E3339" s="9" t="str">
        <v>EPSG</v>
      </c>
      <c r="F3339" s="7" t="str">
        <v>6457</v>
      </c>
      <c r="G3339" t="str">
        <v>ProjectedCrs</v>
      </c>
      <c r="H3339" t="str">
        <v>Transverse Mercator</v>
      </c>
      <c r="I3339" t="str">
        <v>NAD83(2011) / Illinois West (ftUS)</v>
      </c>
      <c r="J3339"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3339" s="11">
        <v>0</v>
      </c>
    </row>
    <row r="3340" spans="5:11" x14ac:dyDescent="0.35">
      <c r="E3340" s="9" t="str">
        <v>EPSG</v>
      </c>
      <c r="F3340" s="7" t="str">
        <v>6458</v>
      </c>
      <c r="G3340" t="str">
        <v>ProjectedCrs</v>
      </c>
      <c r="H3340" t="str">
        <v>Transverse Mercator</v>
      </c>
      <c r="I3340" t="str">
        <v>NAD83(2011) / Indiana East</v>
      </c>
      <c r="J3340"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3340" s="11">
        <v>0</v>
      </c>
    </row>
    <row r="3341" spans="5:11" x14ac:dyDescent="0.35">
      <c r="E3341" s="9" t="str">
        <v>EPSG</v>
      </c>
      <c r="F3341" s="7" t="str">
        <v>6459</v>
      </c>
      <c r="G3341" t="str">
        <v>ProjectedCrs</v>
      </c>
      <c r="H3341" t="str">
        <v>Transverse Mercator</v>
      </c>
      <c r="I3341" t="str">
        <v>NAD83(2011) / Indiana East (ftUS)</v>
      </c>
      <c r="J3341"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3341" s="11">
        <v>0</v>
      </c>
    </row>
    <row r="3342" spans="5:11" x14ac:dyDescent="0.35">
      <c r="E3342" s="9" t="str">
        <v>EPSG</v>
      </c>
      <c r="F3342" s="7" t="str">
        <v>6460</v>
      </c>
      <c r="G3342" t="str">
        <v>ProjectedCrs</v>
      </c>
      <c r="H3342" t="str">
        <v>Transverse Mercator</v>
      </c>
      <c r="I3342" t="str">
        <v>NAD83(2011) / Indiana West</v>
      </c>
      <c r="J3342"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3342" s="11">
        <v>0</v>
      </c>
    </row>
    <row r="3343" spans="5:11" x14ac:dyDescent="0.35">
      <c r="E3343" s="9" t="str">
        <v>EPSG</v>
      </c>
      <c r="F3343" s="7" t="str">
        <v>6461</v>
      </c>
      <c r="G3343" t="str">
        <v>ProjectedCrs</v>
      </c>
      <c r="H3343" t="str">
        <v>Transverse Mercator</v>
      </c>
      <c r="I3343" t="str">
        <v>NAD83(2011) / Indiana West (ftUS)</v>
      </c>
      <c r="J3343"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3343" s="11">
        <v>0</v>
      </c>
    </row>
    <row r="3344" spans="5:11" x14ac:dyDescent="0.35">
      <c r="E3344" s="9" t="str">
        <v>EPSG</v>
      </c>
      <c r="F3344" s="7" t="str">
        <v>6462</v>
      </c>
      <c r="G3344" t="str">
        <v>ProjectedCrs</v>
      </c>
      <c r="H3344" t="str">
        <v>Lambert Conic Conformal (2SP)</v>
      </c>
      <c r="I3344" t="str">
        <v>NAD83(2011) / Iowa North</v>
      </c>
      <c r="J3344"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3344" s="11">
        <v>0</v>
      </c>
    </row>
    <row r="3345" spans="5:11" x14ac:dyDescent="0.35">
      <c r="E3345" s="9" t="str">
        <v>EPSG</v>
      </c>
      <c r="F3345" s="7" t="str">
        <v>6463</v>
      </c>
      <c r="G3345" t="str">
        <v>ProjectedCrs</v>
      </c>
      <c r="H3345" t="str">
        <v>Lambert Conic Conformal (2SP)</v>
      </c>
      <c r="I3345" t="str">
        <v>NAD83(2011) / Iowa North (ftUS)</v>
      </c>
      <c r="J3345"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3345" s="11">
        <v>0</v>
      </c>
    </row>
    <row r="3346" spans="5:11" x14ac:dyDescent="0.35">
      <c r="E3346" s="9" t="str">
        <v>EPSG</v>
      </c>
      <c r="F3346" s="7" t="str">
        <v>6464</v>
      </c>
      <c r="G3346" t="str">
        <v>ProjectedCrs</v>
      </c>
      <c r="H3346" t="str">
        <v>Lambert Conic Conformal (2SP)</v>
      </c>
      <c r="I3346" t="str">
        <v>NAD83(2011) / Iowa South</v>
      </c>
      <c r="J3346"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3346" s="11">
        <v>0</v>
      </c>
    </row>
    <row r="3347" spans="5:11" x14ac:dyDescent="0.35">
      <c r="E3347" s="9" t="str">
        <v>EPSG</v>
      </c>
      <c r="F3347" s="7" t="str">
        <v>6465</v>
      </c>
      <c r="G3347" t="str">
        <v>ProjectedCrs</v>
      </c>
      <c r="H3347" t="str">
        <v>Lambert Conic Conformal (2SP)</v>
      </c>
      <c r="I3347" t="str">
        <v>NAD83(2011) / Iowa South (ftUS)</v>
      </c>
      <c r="J3347"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3347" s="11">
        <v>0</v>
      </c>
    </row>
    <row r="3348" spans="5:11" x14ac:dyDescent="0.35">
      <c r="E3348" s="9" t="str">
        <v>EPSG</v>
      </c>
      <c r="F3348" s="7" t="str">
        <v>6466</v>
      </c>
      <c r="G3348" t="str">
        <v>ProjectedCrs</v>
      </c>
      <c r="H3348" t="str">
        <v>Lambert Conic Conformal (2SP)</v>
      </c>
      <c r="I3348" t="str">
        <v>NAD83(2011) / Kansas North</v>
      </c>
      <c r="J3348"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3348" s="11">
        <v>0</v>
      </c>
    </row>
    <row r="3349" spans="5:11" x14ac:dyDescent="0.35">
      <c r="E3349" s="9" t="str">
        <v>EPSG</v>
      </c>
      <c r="F3349" s="7" t="str">
        <v>6467</v>
      </c>
      <c r="G3349" t="str">
        <v>ProjectedCrs</v>
      </c>
      <c r="H3349" t="str">
        <v>Lambert Conic Conformal (2SP)</v>
      </c>
      <c r="I3349" t="str">
        <v>NAD83(2011) / Kansas North (ftUS)</v>
      </c>
      <c r="J3349"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3349" s="11">
        <v>0</v>
      </c>
    </row>
    <row r="3350" spans="5:11" x14ac:dyDescent="0.35">
      <c r="E3350" s="9" t="str">
        <v>EPSG</v>
      </c>
      <c r="F3350" s="7" t="str">
        <v>6468</v>
      </c>
      <c r="G3350" t="str">
        <v>ProjectedCrs</v>
      </c>
      <c r="H3350" t="str">
        <v>Lambert Conic Conformal (2SP)</v>
      </c>
      <c r="I3350" t="str">
        <v>NAD83(2011) / Kansas South</v>
      </c>
      <c r="J3350"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3350" s="11">
        <v>0</v>
      </c>
    </row>
    <row r="3351" spans="5:11" x14ac:dyDescent="0.35">
      <c r="E3351" s="9" t="str">
        <v>EPSG</v>
      </c>
      <c r="F3351" s="7" t="str">
        <v>6469</v>
      </c>
      <c r="G3351" t="str">
        <v>ProjectedCrs</v>
      </c>
      <c r="H3351" t="str">
        <v>Lambert Conic Conformal (2SP)</v>
      </c>
      <c r="I3351" t="str">
        <v>NAD83(2011) / Kansas South (ftUS)</v>
      </c>
      <c r="J3351"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3351" s="11">
        <v>0</v>
      </c>
    </row>
    <row r="3352" spans="5:11" x14ac:dyDescent="0.35">
      <c r="E3352" s="9" t="str">
        <v>EPSG</v>
      </c>
      <c r="F3352" s="7" t="str">
        <v>6470</v>
      </c>
      <c r="G3352" t="str">
        <v>ProjectedCrs</v>
      </c>
      <c r="H3352" t="str">
        <v>Lambert Conic Conformal (2SP)</v>
      </c>
      <c r="I3352" t="str">
        <v>NAD83(2011) / Kentucky North</v>
      </c>
      <c r="J3352"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3352" s="11">
        <v>0</v>
      </c>
    </row>
    <row r="3353" spans="5:11" x14ac:dyDescent="0.35">
      <c r="E3353" s="9" t="str">
        <v>EPSG</v>
      </c>
      <c r="F3353" s="7" t="str">
        <v>6471</v>
      </c>
      <c r="G3353" t="str">
        <v>ProjectedCrs</v>
      </c>
      <c r="H3353" t="str">
        <v>Lambert Conic Conformal (2SP)</v>
      </c>
      <c r="I3353" t="str">
        <v>NAD83(2011) / Kentucky North (ftUS)</v>
      </c>
      <c r="J3353"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3353" s="11">
        <v>0</v>
      </c>
    </row>
    <row r="3354" spans="5:11" x14ac:dyDescent="0.35">
      <c r="E3354" s="9" t="str">
        <v>EPSG</v>
      </c>
      <c r="F3354" s="7" t="str">
        <v>6472</v>
      </c>
      <c r="G3354" t="str">
        <v>ProjectedCrs</v>
      </c>
      <c r="H3354" t="str">
        <v>Lambert Conic Conformal (2SP)</v>
      </c>
      <c r="I3354" t="str">
        <v>NAD83(2011) / Kentucky Single Zone</v>
      </c>
      <c r="J3354" t="str">
        <v>United States (USA) - Kentucky.</v>
      </c>
      <c r="K3354" s="11">
        <v>0</v>
      </c>
    </row>
    <row r="3355" spans="5:11" x14ac:dyDescent="0.35">
      <c r="E3355" s="9" t="str">
        <v>EPSG</v>
      </c>
      <c r="F3355" s="7" t="str">
        <v>6473</v>
      </c>
      <c r="G3355" t="str">
        <v>ProjectedCrs</v>
      </c>
      <c r="H3355" t="str">
        <v>Lambert Conic Conformal (2SP)</v>
      </c>
      <c r="I3355" t="str">
        <v>NAD83(2011) / Kentucky Single Zone (ftUS)</v>
      </c>
      <c r="J3355" t="str">
        <v>United States (USA) - Kentucky.</v>
      </c>
      <c r="K3355" s="11">
        <v>0</v>
      </c>
    </row>
    <row r="3356" spans="5:11" x14ac:dyDescent="0.35">
      <c r="E3356" s="9" t="str">
        <v>EPSG</v>
      </c>
      <c r="F3356" s="7" t="str">
        <v>6474</v>
      </c>
      <c r="G3356" t="str">
        <v>ProjectedCrs</v>
      </c>
      <c r="H3356" t="str">
        <v>Lambert Conic Conformal (2SP)</v>
      </c>
      <c r="I3356" t="str">
        <v>NAD83(2011) / Kentucky South</v>
      </c>
      <c r="J3356"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3356" s="11">
        <v>0</v>
      </c>
    </row>
    <row r="3357" spans="5:11" x14ac:dyDescent="0.35">
      <c r="E3357" s="9" t="str">
        <v>EPSG</v>
      </c>
      <c r="F3357" s="7" t="str">
        <v>6475</v>
      </c>
      <c r="G3357" t="str">
        <v>ProjectedCrs</v>
      </c>
      <c r="H3357" t="str">
        <v>Lambert Conic Conformal (2SP)</v>
      </c>
      <c r="I3357" t="str">
        <v>NAD83(2011) / Kentucky South (ftUS)</v>
      </c>
      <c r="J3357"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3357" s="11">
        <v>0</v>
      </c>
    </row>
    <row r="3358" spans="5:11" x14ac:dyDescent="0.35">
      <c r="E3358" s="9" t="str">
        <v>EPSG</v>
      </c>
      <c r="F3358" s="7" t="str">
        <v>6476</v>
      </c>
      <c r="G3358" t="str">
        <v>ProjectedCrs</v>
      </c>
      <c r="H3358" t="str">
        <v>Lambert Conic Conformal (2SP)</v>
      </c>
      <c r="I3358" t="str">
        <v>NAD83(2011) / Louisiana North</v>
      </c>
      <c r="J3358"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3358" s="11">
        <v>0</v>
      </c>
    </row>
    <row r="3359" spans="5:11" x14ac:dyDescent="0.35">
      <c r="E3359" s="9" t="str">
        <v>EPSG</v>
      </c>
      <c r="F3359" s="7" t="str">
        <v>6477</v>
      </c>
      <c r="G3359" t="str">
        <v>ProjectedCrs</v>
      </c>
      <c r="H3359" t="str">
        <v>Lambert Conic Conformal (2SP)</v>
      </c>
      <c r="I3359" t="str">
        <v>NAD83(2011) / Louisiana North (ftUS)</v>
      </c>
      <c r="J3359"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3359" s="11">
        <v>0</v>
      </c>
    </row>
    <row r="3360" spans="5:11" x14ac:dyDescent="0.35">
      <c r="E3360" s="9" t="str">
        <v>EPSG</v>
      </c>
      <c r="F3360" s="7" t="str">
        <v>6478</v>
      </c>
      <c r="G3360" t="str">
        <v>ProjectedCrs</v>
      </c>
      <c r="H3360" t="str">
        <v>Lambert Conic Conformal (2SP)</v>
      </c>
      <c r="I3360" t="str">
        <v>NAD83(2011) / Louisiana South</v>
      </c>
      <c r="J3360"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3360" s="11">
        <v>0</v>
      </c>
    </row>
    <row r="3361" spans="5:11" x14ac:dyDescent="0.35">
      <c r="E3361" s="9" t="str">
        <v>EPSG</v>
      </c>
      <c r="F3361" s="7" t="str">
        <v>6479</v>
      </c>
      <c r="G3361" t="str">
        <v>ProjectedCrs</v>
      </c>
      <c r="H3361" t="str">
        <v>Lambert Conic Conformal (2SP)</v>
      </c>
      <c r="I3361" t="str">
        <v>NAD83(2011) / Louisiana South (ftUS)</v>
      </c>
      <c r="J3361"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3361" s="11">
        <v>0</v>
      </c>
    </row>
    <row r="3362" spans="5:11" x14ac:dyDescent="0.35">
      <c r="E3362" s="9" t="str">
        <v>EPSG</v>
      </c>
      <c r="F3362" s="7" t="str">
        <v>6480</v>
      </c>
      <c r="G3362" t="str">
        <v>ProjectedCrs</v>
      </c>
      <c r="H3362" t="str">
        <v>Transverse Mercator</v>
      </c>
      <c r="I3362" t="str">
        <v>NAD83(2011) / Maine CS2000 Central</v>
      </c>
      <c r="J3362" t="str">
        <v>United States (USA) - Maine between approximately 69°40'W and 68°25'W. The area is bounded by the following: Beginning at the point determined by the intersection of the Maine State line and the County Line between Aroostook and Somerset Counties, thence northeasterly along the state line to the intersection of the Fort Kent - Frenchville town line, thence southerly along this town line to the intersection with the New Canada Plantation - T17 R5 WELS town line, thence continuing southerly along town lines to the northeast corner of Penobscot County, thence continuing southerly along the Penobscot County line to the intersection of the Woodville - Mattawamkeag town line (being determined by the Penobscot River), thence along the Penobscot River to the Enfield - Lincoln town line, thence southeasterly along the Enfield - Lincoln town line and the Enfield - Lowell town line to the Passadumkeag - Edinburg town line, thence south-southeasterly along town lines to the intersection of the Hancock County line, thence southerly along the county line to the intersection of the Otis - Mariaville town line, thence southerly along the Otis - Mariaville town line to the Ellsworth city line, thence southerly along the Ellsworth city line to the intersection of the Surry - Trenton town line, thence southerly along the easterly town lines of Surry, Blue Hill, Brooklin, Deer Isle, and Stonington to the Knox County line, thence following the Knox County line to the boundary of the State of Maine as determined by Maritime law, thence following the State boundary westerly to the intersection of the Sagadahoc - Lincoln county line, thence northerly along the easterly boundary of the Maine 2000 West Zone, as defined, to the point of beginning.</v>
      </c>
      <c r="K3362" s="11">
        <v>0</v>
      </c>
    </row>
    <row r="3363" spans="5:11" x14ac:dyDescent="0.35">
      <c r="E3363" s="9" t="str">
        <v>EPSG</v>
      </c>
      <c r="F3363" s="7" t="str">
        <v>6481</v>
      </c>
      <c r="G3363" t="str">
        <v>ProjectedCrs</v>
      </c>
      <c r="H3363" t="str">
        <v>Transverse Mercator</v>
      </c>
      <c r="I3363" t="str">
        <v>NAD83(2011) / Maine CS2000 East</v>
      </c>
      <c r="J3363" t="str">
        <v>United States (USA) - Maine east of approximately 68°25'W. The area is bounded by the following: Beginning at the point determined by the intersection of the Maine State line and the Fort Kent - Frenchville town line, thence continuing easterly and then southerly along the state line to the boundary of the State of Maine as determined by Maritime law, thence following the State boundary westerly to the intersection of the Knox and Hancock County line, thence northerly along the easterly boundary of the Maine 2000 Central Zone, as defined, to the point of beginning.</v>
      </c>
      <c r="K3363" s="11">
        <v>0</v>
      </c>
    </row>
    <row r="3364" spans="5:11" x14ac:dyDescent="0.35">
      <c r="E3364" s="9" t="str">
        <v>EPSG</v>
      </c>
      <c r="F3364" s="7" t="str">
        <v>6482</v>
      </c>
      <c r="G3364" t="str">
        <v>ProjectedCrs</v>
      </c>
      <c r="H3364" t="str">
        <v>Transverse Mercator</v>
      </c>
      <c r="I3364" t="str">
        <v>NAD83(2011) / Maine CS2000 West</v>
      </c>
      <c r="J3364" t="str">
        <v>United States (USA) - Maine west of approximately 69°40'W. The area is bounded by the following: Beginning at the point determined by the intersection of the Maine State line and the County Line between Aroostook and Somerset Counties, thence following the Somerset County line Easterly to the Northwest corner of the Somerset and Piscataquis county line, thence Southerly along this county line to the northeast corner of the Athens town line, thence westerly along the town line between Brighton Plantation and Athens to the westerly corner of Athens, and continuing southerly to the southwest corner of the town of Athens where it meets the Cornville town line, thence westerly along the Cornville - Solon town line to the intersection of the Cornville - Madison town line, thence southerly and westerly following the Madison town line to the intersection of the Norridgewock - Skowhegan town line, thence southerly along the Skowhegan town line to the Fairfield town line, thence easterly along the Fairfield town line to the Clinton town line (being determined by the Kennebec River), thence southerly along the Kennebec River to the Augusta city line, thence easterly along the city line to the Windsor town line, thence southerly along the Augusta - Windsor town line to the northwest corner of the Lincoln County line, thence southerly along the westerly Lincoln county line to the boundary of the State of Maine as determined by Maritime law, thence following the State boundary on the westerly side of the state to the point of beginning.</v>
      </c>
      <c r="K3364" s="11">
        <v>0</v>
      </c>
    </row>
    <row r="3365" spans="5:11" x14ac:dyDescent="0.35">
      <c r="E3365" s="9" t="str">
        <v>EPSG</v>
      </c>
      <c r="F3365" s="7" t="str">
        <v>6483</v>
      </c>
      <c r="G3365" t="str">
        <v>ProjectedCrs</v>
      </c>
      <c r="H3365" t="str">
        <v>Transverse Mercator</v>
      </c>
      <c r="I3365" t="str">
        <v>NAD83(2011) / Maine East</v>
      </c>
      <c r="J3365" t="str">
        <v>United States (USA) - Maine - counties of Aroostook; Hancock; Knox; Penobscot; Piscataquis; Waldo; Washington.</v>
      </c>
      <c r="K3365" s="11">
        <v>0</v>
      </c>
    </row>
    <row r="3366" spans="5:11" x14ac:dyDescent="0.35">
      <c r="E3366" s="9" t="str">
        <v>EPSG</v>
      </c>
      <c r="F3366" s="7" t="str">
        <v>6484</v>
      </c>
      <c r="G3366" t="str">
        <v>ProjectedCrs</v>
      </c>
      <c r="H3366" t="str">
        <v>Transverse Mercator</v>
      </c>
      <c r="I3366" t="str">
        <v>NAD83(2011) / Maine East (ftUS)</v>
      </c>
      <c r="J3366" t="str">
        <v>United States (USA) - Maine - counties of Aroostook; Hancock; Knox; Penobscot; Piscataquis; Waldo; Washington.</v>
      </c>
      <c r="K3366" s="11">
        <v>0</v>
      </c>
    </row>
    <row r="3367" spans="5:11" x14ac:dyDescent="0.35">
      <c r="E3367" s="9" t="str">
        <v>EPSG</v>
      </c>
      <c r="F3367" s="7" t="str">
        <v>6485</v>
      </c>
      <c r="G3367" t="str">
        <v>ProjectedCrs</v>
      </c>
      <c r="H3367" t="str">
        <v>Transverse Mercator</v>
      </c>
      <c r="I3367" t="str">
        <v>NAD83(2011) / Maine West</v>
      </c>
      <c r="J3367" t="str">
        <v>United States (USA) - Maine - counties of Androscoggin; Cumberland; Franklin; Kennebec; Lincoln; Oxford; Sagadahoc; Somerset; York.</v>
      </c>
      <c r="K3367" s="11">
        <v>0</v>
      </c>
    </row>
    <row r="3368" spans="5:11" x14ac:dyDescent="0.35">
      <c r="E3368" s="9" t="str">
        <v>EPSG</v>
      </c>
      <c r="F3368" s="7" t="str">
        <v>6486</v>
      </c>
      <c r="G3368" t="str">
        <v>ProjectedCrs</v>
      </c>
      <c r="H3368" t="str">
        <v>Transverse Mercator</v>
      </c>
      <c r="I3368" t="str">
        <v>NAD83(2011) / Maine West (ftUS)</v>
      </c>
      <c r="J3368" t="str">
        <v>United States (USA) - Maine - counties of Androscoggin; Cumberland; Franklin; Kennebec; Lincoln; Oxford; Sagadahoc; Somerset; York.</v>
      </c>
      <c r="K3368" s="11">
        <v>0</v>
      </c>
    </row>
    <row r="3369" spans="5:11" x14ac:dyDescent="0.35">
      <c r="E3369" s="9" t="str">
        <v>EPSG</v>
      </c>
      <c r="F3369" s="7" t="str">
        <v>6487</v>
      </c>
      <c r="G3369" t="str">
        <v>ProjectedCrs</v>
      </c>
      <c r="H3369" t="str">
        <v>Lambert Conic Conformal (2SP)</v>
      </c>
      <c r="I3369" t="str">
        <v>NAD83(2011) / Maryland</v>
      </c>
      <c r="J3369" t="str">
        <v>United States (USA) - Maryland - counties of Allegany; Anne Arundel; Baltimore; Calvert; Caroline; Carroll; Cecil; Charles; Dorchester; Frederick; Garrett; Harford; Howard; Kent; Montgomery; Prince Georges; Queen Annes; Somerset; St Marys; Talbot; Washington; Wicomico; Worcester.</v>
      </c>
      <c r="K3369" s="11">
        <v>0</v>
      </c>
    </row>
    <row r="3370" spans="5:11" x14ac:dyDescent="0.35">
      <c r="E3370" s="9" t="str">
        <v>EPSG</v>
      </c>
      <c r="F3370" s="7" t="str">
        <v>6488</v>
      </c>
      <c r="G3370" t="str">
        <v>ProjectedCrs</v>
      </c>
      <c r="H3370" t="str">
        <v>Lambert Conic Conformal (2SP)</v>
      </c>
      <c r="I3370" t="str">
        <v>NAD83(2011) / Maryland (ftUS)</v>
      </c>
      <c r="J3370" t="str">
        <v>United States (USA) - Maryland - counties of Allegany; Anne Arundel; Baltimore; Calvert; Caroline; Carroll; Cecil; Charles; Dorchester; Frederick; Garrett; Harford; Howard; Kent; Montgomery; Prince Georges; Queen Annes; Somerset; St Marys; Talbot; Washington; Wicomico; Worcester.</v>
      </c>
      <c r="K3370" s="11">
        <v>0</v>
      </c>
    </row>
    <row r="3371" spans="5:11" x14ac:dyDescent="0.35">
      <c r="E3371" s="9" t="str">
        <v>EPSG</v>
      </c>
      <c r="F3371" s="7" t="str">
        <v>6489</v>
      </c>
      <c r="G3371" t="str">
        <v>ProjectedCrs</v>
      </c>
      <c r="H3371" t="str">
        <v>Lambert Conic Conformal (2SP)</v>
      </c>
      <c r="I3371" t="str">
        <v>NAD83(2011) / Massachusetts Island</v>
      </c>
      <c r="J3371" t="str">
        <v>United States (USA) - Massachusetts offshore - counties of Dukes; Nantucket.</v>
      </c>
      <c r="K3371" s="11">
        <v>0</v>
      </c>
    </row>
    <row r="3372" spans="5:11" x14ac:dyDescent="0.35">
      <c r="E3372" s="9" t="str">
        <v>EPSG</v>
      </c>
      <c r="F3372" s="7" t="str">
        <v>6490</v>
      </c>
      <c r="G3372" t="str">
        <v>ProjectedCrs</v>
      </c>
      <c r="H3372" t="str">
        <v>Lambert Conic Conformal (2SP)</v>
      </c>
      <c r="I3372" t="str">
        <v>NAD83(2011) / Massachusetts Island (ftUS)</v>
      </c>
      <c r="J3372" t="str">
        <v>United States (USA) - Massachusetts offshore - counties of Dukes; Nantucket.</v>
      </c>
      <c r="K3372" s="11">
        <v>0</v>
      </c>
    </row>
    <row r="3373" spans="5:11" x14ac:dyDescent="0.35">
      <c r="E3373" s="9" t="str">
        <v>EPSG</v>
      </c>
      <c r="F3373" s="7" t="str">
        <v>6491</v>
      </c>
      <c r="G3373" t="str">
        <v>ProjectedCrs</v>
      </c>
      <c r="H3373" t="str">
        <v>Lambert Conic Conformal (2SP)</v>
      </c>
      <c r="I3373" t="str">
        <v>NAD83(2011) / Massachusetts Mainland</v>
      </c>
      <c r="J3373" t="str">
        <v>United States (USA) - Massachusetts onshore - counties of Barnstable; Berkshire; Bristol; Essex; Franklin; Hampden; Hampshire; Middlesex; Norfolk; Plymouth; Suffolk; Worcester.</v>
      </c>
      <c r="K3373" s="11">
        <v>0</v>
      </c>
    </row>
    <row r="3374" spans="5:11" x14ac:dyDescent="0.35">
      <c r="E3374" s="9" t="str">
        <v>EPSG</v>
      </c>
      <c r="F3374" s="7" t="str">
        <v>6492</v>
      </c>
      <c r="G3374" t="str">
        <v>ProjectedCrs</v>
      </c>
      <c r="H3374" t="str">
        <v>Lambert Conic Conformal (2SP)</v>
      </c>
      <c r="I3374" t="str">
        <v>NAD83(2011) / Massachusetts Mainland (ftUS)</v>
      </c>
      <c r="J3374" t="str">
        <v>United States (USA) - Massachusetts onshore - counties of Barnstable; Berkshire; Bristol; Essex; Franklin; Hampden; Hampshire; Middlesex; Norfolk; Plymouth; Suffolk; Worcester.</v>
      </c>
      <c r="K3374" s="11">
        <v>0</v>
      </c>
    </row>
    <row r="3375" spans="5:11" x14ac:dyDescent="0.35">
      <c r="E3375" s="9" t="str">
        <v>EPSG</v>
      </c>
      <c r="F3375" s="7" t="str">
        <v>6493</v>
      </c>
      <c r="G3375" t="str">
        <v>ProjectedCrs</v>
      </c>
      <c r="H3375" t="str">
        <v>Lambert Conic Conformal (2SP)</v>
      </c>
      <c r="I3375" t="str">
        <v>NAD83(2011) / Michigan Central</v>
      </c>
      <c r="J3375"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3375" s="11">
        <v>0</v>
      </c>
    </row>
    <row r="3376" spans="5:11" x14ac:dyDescent="0.35">
      <c r="E3376" s="9" t="str">
        <v>EPSG</v>
      </c>
      <c r="F3376" s="7" t="str">
        <v>6494</v>
      </c>
      <c r="G3376" t="str">
        <v>ProjectedCrs</v>
      </c>
      <c r="H3376" t="str">
        <v>Lambert Conic Conformal (2SP)</v>
      </c>
      <c r="I3376" t="str">
        <v>NAD83(2011) / Michigan Central (ft)</v>
      </c>
      <c r="J3376"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3376" s="11">
        <v>0</v>
      </c>
    </row>
    <row r="3377" spans="5:11" x14ac:dyDescent="0.35">
      <c r="E3377" s="9" t="str">
        <v>EPSG</v>
      </c>
      <c r="F3377" s="7" t="str">
        <v>6495</v>
      </c>
      <c r="G3377" t="str">
        <v>ProjectedCrs</v>
      </c>
      <c r="H3377" t="str">
        <v>Lambert Conic Conformal (2SP)</v>
      </c>
      <c r="I3377" t="str">
        <v>NAD83(2011) / Michigan North</v>
      </c>
      <c r="J3377" t="str">
        <v>United States (USA) - Michigan north of approximately 45°45'N - counties of Alger; Baraga; Chippewa; Delta; Dickinson; Gogebic; Houghton; Iron; Keweenaw; Luce; Mackinac; Marquette; Menominee; Ontonagon; Schoolcraft.</v>
      </c>
      <c r="K3377" s="11">
        <v>0</v>
      </c>
    </row>
    <row r="3378" spans="5:11" x14ac:dyDescent="0.35">
      <c r="E3378" s="9" t="str">
        <v>EPSG</v>
      </c>
      <c r="F3378" s="7" t="str">
        <v>6496</v>
      </c>
      <c r="G3378" t="str">
        <v>ProjectedCrs</v>
      </c>
      <c r="H3378" t="str">
        <v>Lambert Conic Conformal (2SP)</v>
      </c>
      <c r="I3378" t="str">
        <v>NAD83(2011) / Michigan North (ft)</v>
      </c>
      <c r="J3378" t="str">
        <v>United States (USA) - Michigan north of approximately 45°45'N - counties of Alger; Baraga; Chippewa; Delta; Dickinson; Gogebic; Houghton; Iron; Keweenaw; Luce; Mackinac; Marquette; Menominee; Ontonagon; Schoolcraft.</v>
      </c>
      <c r="K3378" s="11">
        <v>0</v>
      </c>
    </row>
    <row r="3379" spans="5:11" x14ac:dyDescent="0.35">
      <c r="E3379" s="9" t="str">
        <v>EPSG</v>
      </c>
      <c r="F3379" s="7" t="str">
        <v>6497</v>
      </c>
      <c r="G3379" t="str">
        <v>ProjectedCrs</v>
      </c>
      <c r="H3379" t="str">
        <v>Hotine Oblique Mercator (variant A)</v>
      </c>
      <c r="I3379" t="str">
        <v>NAD83(2011) / Michigan Oblique Mercator</v>
      </c>
      <c r="J3379" t="str">
        <v>United States (USA) - Michigan.</v>
      </c>
      <c r="K3379" s="11">
        <v>0</v>
      </c>
    </row>
    <row r="3380" spans="5:11" x14ac:dyDescent="0.35">
      <c r="E3380" s="9" t="str">
        <v>EPSG</v>
      </c>
      <c r="F3380" s="7" t="str">
        <v>6498</v>
      </c>
      <c r="G3380" t="str">
        <v>ProjectedCrs</v>
      </c>
      <c r="H3380" t="str">
        <v>Lambert Conic Conformal (2SP)</v>
      </c>
      <c r="I3380" t="str">
        <v>NAD83(2011) / Michigan South</v>
      </c>
      <c r="J3380"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3380" s="11">
        <v>0</v>
      </c>
    </row>
    <row r="3381" spans="5:11" x14ac:dyDescent="0.35">
      <c r="E3381" s="9" t="str">
        <v>EPSG</v>
      </c>
      <c r="F3381" s="7" t="str">
        <v>6499</v>
      </c>
      <c r="G3381" t="str">
        <v>ProjectedCrs</v>
      </c>
      <c r="H3381" t="str">
        <v>Lambert Conic Conformal (2SP)</v>
      </c>
      <c r="I3381" t="str">
        <v>NAD83(2011) / Michigan South (ft)</v>
      </c>
      <c r="J3381"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3381" s="11">
        <v>0</v>
      </c>
    </row>
    <row r="3382" spans="5:11" x14ac:dyDescent="0.35">
      <c r="E3382" s="9" t="str">
        <v>EPSG</v>
      </c>
      <c r="F3382" s="7" t="str">
        <v>6500</v>
      </c>
      <c r="G3382" t="str">
        <v>ProjectedCrs</v>
      </c>
      <c r="H3382" t="str">
        <v>Lambert Conic Conformal (2SP)</v>
      </c>
      <c r="I3382" t="str">
        <v>NAD83(2011) / Minnesota Central</v>
      </c>
      <c r="J3382" t="str">
        <v>United States (USA) - Minnesota - counties of Aitkin; Becker; Benton; Carlton; Cass; Chisago; Clay; Crow Wing; Douglas; Grant; Hubbard; Isanti; Kanabec; Mille Lacs; Morrison; Otter Tail; Pine; Pope; Stearns; Stevens; Todd; Traverse; Wadena; Wilkin.</v>
      </c>
      <c r="K3382" s="11">
        <v>0</v>
      </c>
    </row>
    <row r="3383" spans="5:11" x14ac:dyDescent="0.35">
      <c r="E3383" s="9" t="str">
        <v>EPSG</v>
      </c>
      <c r="F3383" s="7" t="str">
        <v>6501</v>
      </c>
      <c r="G3383" t="str">
        <v>ProjectedCrs</v>
      </c>
      <c r="H3383" t="str">
        <v>Lambert Conic Conformal (2SP)</v>
      </c>
      <c r="I3383" t="str">
        <v>NAD83(2011) / Minnesota Central (ftUS)</v>
      </c>
      <c r="J3383" t="str">
        <v>United States (USA) - Minnesota - counties of Aitkin; Becker; Benton; Carlton; Cass; Chisago; Clay; Crow Wing; Douglas; Grant; Hubbard; Isanti; Kanabec; Mille Lacs; Morrison; Otter Tail; Pine; Pope; Stearns; Stevens; Todd; Traverse; Wadena; Wilkin.</v>
      </c>
      <c r="K3383" s="11">
        <v>0</v>
      </c>
    </row>
    <row r="3384" spans="5:11" x14ac:dyDescent="0.35">
      <c r="E3384" s="9" t="str">
        <v>EPSG</v>
      </c>
      <c r="F3384" s="7" t="str">
        <v>6502</v>
      </c>
      <c r="G3384" t="str">
        <v>ProjectedCrs</v>
      </c>
      <c r="H3384" t="str">
        <v>Lambert Conic Conformal (2SP)</v>
      </c>
      <c r="I3384" t="str">
        <v>NAD83(2011) / Minnesota North</v>
      </c>
      <c r="J3384" t="str">
        <v>United States (USA) - Minnesota - counties of Beltrami; Clearwater; Cook; Itasca; Kittson; Koochiching; Lake; Lake of the Woods; Mahnomen; Marshall; Norman; Pennington; Polk; Red Lake; Roseau; St Louis.</v>
      </c>
      <c r="K3384" s="11">
        <v>0</v>
      </c>
    </row>
    <row r="3385" spans="5:11" x14ac:dyDescent="0.35">
      <c r="E3385" s="9" t="str">
        <v>EPSG</v>
      </c>
      <c r="F3385" s="7" t="str">
        <v>6503</v>
      </c>
      <c r="G3385" t="str">
        <v>ProjectedCrs</v>
      </c>
      <c r="H3385" t="str">
        <v>Lambert Conic Conformal (2SP)</v>
      </c>
      <c r="I3385" t="str">
        <v>NAD83(2011) / Minnesota North (ftUS)</v>
      </c>
      <c r="J3385" t="str">
        <v>United States (USA) - Minnesota - counties of Beltrami; Clearwater; Cook; Itasca; Kittson; Koochiching; Lake; Lake of the Woods; Mahnomen; Marshall; Norman; Pennington; Polk; Red Lake; Roseau; St Louis.</v>
      </c>
      <c r="K3385" s="11">
        <v>0</v>
      </c>
    </row>
    <row r="3386" spans="5:11" x14ac:dyDescent="0.35">
      <c r="E3386" s="9" t="str">
        <v>EPSG</v>
      </c>
      <c r="F3386" s="7" t="str">
        <v>6504</v>
      </c>
      <c r="G3386" t="str">
        <v>ProjectedCrs</v>
      </c>
      <c r="H3386" t="str">
        <v>Lambert Conic Conformal (2SP)</v>
      </c>
      <c r="I3386" t="str">
        <v>NAD83(2011) / Minnesota South</v>
      </c>
      <c r="J3386"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3386" s="11">
        <v>0</v>
      </c>
    </row>
    <row r="3387" spans="5:11" x14ac:dyDescent="0.35">
      <c r="E3387" s="9" t="str">
        <v>EPSG</v>
      </c>
      <c r="F3387" s="7" t="str">
        <v>6505</v>
      </c>
      <c r="G3387" t="str">
        <v>ProjectedCrs</v>
      </c>
      <c r="H3387" t="str">
        <v>Lambert Conic Conformal (2SP)</v>
      </c>
      <c r="I3387" t="str">
        <v>NAD83(2011) / Minnesota South (ftUS)</v>
      </c>
      <c r="J3387"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3387" s="11">
        <v>0</v>
      </c>
    </row>
    <row r="3388" spans="5:11" x14ac:dyDescent="0.35">
      <c r="E3388" s="9" t="str">
        <v>EPSG</v>
      </c>
      <c r="F3388" s="7" t="str">
        <v>6506</v>
      </c>
      <c r="G3388" t="str">
        <v>ProjectedCrs</v>
      </c>
      <c r="H3388" t="str">
        <v>Transverse Mercator</v>
      </c>
      <c r="I3388" t="str">
        <v>NAD83(2011) / Mississippi East</v>
      </c>
      <c r="J3388"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3388" s="11">
        <v>0</v>
      </c>
    </row>
    <row r="3389" spans="5:11" x14ac:dyDescent="0.35">
      <c r="E3389" s="9" t="str">
        <v>EPSG</v>
      </c>
      <c r="F3389" s="7" t="str">
        <v>6507</v>
      </c>
      <c r="G3389" t="str">
        <v>ProjectedCrs</v>
      </c>
      <c r="H3389" t="str">
        <v>Transverse Mercator</v>
      </c>
      <c r="I3389" t="str">
        <v>NAD83(2011) / Mississippi East (ftUS)</v>
      </c>
      <c r="J3389"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3389" s="11">
        <v>0</v>
      </c>
    </row>
    <row r="3390" spans="5:11" x14ac:dyDescent="0.35">
      <c r="E3390" s="9" t="str">
        <v>EPSG</v>
      </c>
      <c r="F3390" s="7" t="str">
        <v>6508</v>
      </c>
      <c r="G3390" t="str">
        <v>ProjectedCrs</v>
      </c>
      <c r="H3390" t="str">
        <v>Transverse Mercator</v>
      </c>
      <c r="I3390" t="str">
        <v>NAD83(2011) / Mississippi TM</v>
      </c>
      <c r="J3390" t="str">
        <v>United States (USA) - Mississippi.</v>
      </c>
      <c r="K3390" s="11">
        <v>0</v>
      </c>
    </row>
    <row r="3391" spans="5:11" x14ac:dyDescent="0.35">
      <c r="E3391" s="9" t="str">
        <v>EPSG</v>
      </c>
      <c r="F3391" s="7" t="str">
        <v>6509</v>
      </c>
      <c r="G3391" t="str">
        <v>ProjectedCrs</v>
      </c>
      <c r="H3391" t="str">
        <v>Transverse Mercator</v>
      </c>
      <c r="I3391" t="str">
        <v>NAD83(2011) / Mississippi West</v>
      </c>
      <c r="J3391"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3391" s="11">
        <v>0</v>
      </c>
    </row>
    <row r="3392" spans="5:11" x14ac:dyDescent="0.35">
      <c r="E3392" s="9" t="str">
        <v>EPSG</v>
      </c>
      <c r="F3392" s="7" t="str">
        <v>6510</v>
      </c>
      <c r="G3392" t="str">
        <v>ProjectedCrs</v>
      </c>
      <c r="H3392" t="str">
        <v>Transverse Mercator</v>
      </c>
      <c r="I3392" t="str">
        <v>NAD83(2011) / Mississippi West (ftUS)</v>
      </c>
      <c r="J3392"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3392" s="11">
        <v>0</v>
      </c>
    </row>
    <row r="3393" spans="5:11" x14ac:dyDescent="0.35">
      <c r="E3393" s="9" t="str">
        <v>EPSG</v>
      </c>
      <c r="F3393" s="7" t="str">
        <v>6511</v>
      </c>
      <c r="G3393" t="str">
        <v>ProjectedCrs</v>
      </c>
      <c r="H3393" t="str">
        <v>Transverse Mercator</v>
      </c>
      <c r="I3393" t="str">
        <v>NAD83(2011) / Missouri Central</v>
      </c>
      <c r="J3393" t="str">
        <v>United States (USA) - Missouri - counties of Adair; Audrain; Benton; Boone; Callaway; Camden; Carroll; Chariton; Christian; Cole; Cooper; Dallas; Douglas; Greene; Grundy; Hickory; Howard; Howell; Knox; Laclede; Linn; Livingston; Macon; Maries; Mercer; Miller; Moniteau; Monroe; Morgan; Osage; Ozark; Pettis; Phelps; Polk; Pulaski; Putnam; Randolph; Saline; Schuyler; Scotland; Shelby; Stone; Sullivan; Taney; Texas; Webster; Wright.</v>
      </c>
      <c r="K3393" s="11">
        <v>0</v>
      </c>
    </row>
    <row r="3394" spans="5:11" x14ac:dyDescent="0.35">
      <c r="E3394" s="9" t="str">
        <v>EPSG</v>
      </c>
      <c r="F3394" s="7" t="str">
        <v>6512</v>
      </c>
      <c r="G3394" t="str">
        <v>ProjectedCrs</v>
      </c>
      <c r="H3394" t="str">
        <v>Transverse Mercator</v>
      </c>
      <c r="I3394" t="str">
        <v>NAD83(2011) / Missouri East</v>
      </c>
      <c r="J3394" t="str">
        <v>United States (USA) - Missouri - counties of Bollinger; Butler; Cape Girardeau; Carter; Clark; Crawford; Dent; Dunklin; Franklin; Gasconade; Iron; Jefferson; Lewis; Lincoln; Madison; Marion; Mississippi; Montgomery; New Madrid; Oregon; Pemiscot; Perry; Pike; Ralls; Reynolds; Ripley; Scott; Shannon; St Charles; St Francois; St Louis; Ste. Genevieve; Stoddard; Warren; Washington; Wayne.</v>
      </c>
      <c r="K3394" s="11">
        <v>0</v>
      </c>
    </row>
    <row r="3395" spans="5:11" x14ac:dyDescent="0.35">
      <c r="E3395" s="9" t="str">
        <v>EPSG</v>
      </c>
      <c r="F3395" s="7" t="str">
        <v>6513</v>
      </c>
      <c r="G3395" t="str">
        <v>ProjectedCrs</v>
      </c>
      <c r="H3395" t="str">
        <v>Transverse Mercator</v>
      </c>
      <c r="I3395" t="str">
        <v>NAD83(2011) / Missouri West</v>
      </c>
      <c r="J3395" t="str">
        <v>United States (USA) - Missouri - counties of Andrew; Atchison; Barry; Barton; Bates; Buchanan; Caldwell; Cass; Cedar; Clay; Clinton; Dade; Daviess; De Kalb; Gentry; Harrison; Henry; Holt; Jackson; Jasper; Johnson; Lafayette; Lawrence; McDonald; Newton; Nodaway; Platte; Ray; St Clair; Vernon; Worth.</v>
      </c>
      <c r="K3395" s="11">
        <v>0</v>
      </c>
    </row>
    <row r="3396" spans="5:11" x14ac:dyDescent="0.35">
      <c r="E3396" s="9" t="str">
        <v>EPSG</v>
      </c>
      <c r="F3396" s="7" t="str">
        <v>6514</v>
      </c>
      <c r="G3396" t="str">
        <v>ProjectedCrs</v>
      </c>
      <c r="H3396" t="str">
        <v>Lambert Conic Conformal (2SP)</v>
      </c>
      <c r="I3396" t="str">
        <v>NAD83(2011) / Montana</v>
      </c>
      <c r="J3396"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3396" s="11">
        <v>0</v>
      </c>
    </row>
    <row r="3397" spans="5:11" x14ac:dyDescent="0.35">
      <c r="E3397" s="9" t="str">
        <v>EPSG</v>
      </c>
      <c r="F3397" s="7" t="str">
        <v>6515</v>
      </c>
      <c r="G3397" t="str">
        <v>ProjectedCrs</v>
      </c>
      <c r="H3397" t="str">
        <v>Lambert Conic Conformal (2SP)</v>
      </c>
      <c r="I3397" t="str">
        <v>NAD83(2011) / Montana (ft)</v>
      </c>
      <c r="J3397"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3397" s="11">
        <v>0</v>
      </c>
    </row>
    <row r="3398" spans="5:11" x14ac:dyDescent="0.35">
      <c r="E3398" s="9" t="str">
        <v>EPSG</v>
      </c>
      <c r="F3398" s="7" t="str">
        <v>6516</v>
      </c>
      <c r="G3398" t="str">
        <v>ProjectedCrs</v>
      </c>
      <c r="H3398" t="str">
        <v>Lambert Conic Conformal (2SP)</v>
      </c>
      <c r="I3398" t="str">
        <v>NAD83(2011) / Nebraska</v>
      </c>
      <c r="J3398"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3398" s="11">
        <v>0</v>
      </c>
    </row>
    <row r="3399" spans="5:11" x14ac:dyDescent="0.35">
      <c r="E3399" s="9" t="str">
        <v>EPSG</v>
      </c>
      <c r="F3399" s="7" t="str">
        <v>6518</v>
      </c>
      <c r="G3399" t="str">
        <v>ProjectedCrs</v>
      </c>
      <c r="H3399" t="str">
        <v>Transverse Mercator</v>
      </c>
      <c r="I3399" t="str">
        <v>NAD83(2011) / Nevada Central</v>
      </c>
      <c r="J3399" t="str">
        <v>United States (USA) - Nevada - counties of Lander; Nye.</v>
      </c>
      <c r="K3399" s="11">
        <v>0</v>
      </c>
    </row>
    <row r="3400" spans="5:11" x14ac:dyDescent="0.35">
      <c r="E3400" s="9" t="str">
        <v>EPSG</v>
      </c>
      <c r="F3400" s="7" t="str">
        <v>6519</v>
      </c>
      <c r="G3400" t="str">
        <v>ProjectedCrs</v>
      </c>
      <c r="H3400" t="str">
        <v>Transverse Mercator</v>
      </c>
      <c r="I3400" t="str">
        <v>NAD83(2011) / Nevada Central (ftUS)</v>
      </c>
      <c r="J3400" t="str">
        <v>United States (USA) - Nevada - counties of Lander; Nye.</v>
      </c>
      <c r="K3400" s="11">
        <v>0</v>
      </c>
    </row>
    <row r="3401" spans="5:11" x14ac:dyDescent="0.35">
      <c r="E3401" s="9" t="str">
        <v>EPSG</v>
      </c>
      <c r="F3401" s="7" t="str">
        <v>6520</v>
      </c>
      <c r="G3401" t="str">
        <v>ProjectedCrs</v>
      </c>
      <c r="H3401" t="str">
        <v>Transverse Mercator</v>
      </c>
      <c r="I3401" t="str">
        <v>NAD83(2011) / Nevada East</v>
      </c>
      <c r="J3401" t="str">
        <v>United States (USA) - Nevada - counties of Clark; Elko; Eureka; Lincoln; White Pine.</v>
      </c>
      <c r="K3401" s="11">
        <v>0</v>
      </c>
    </row>
    <row r="3402" spans="5:11" x14ac:dyDescent="0.35">
      <c r="E3402" s="9" t="str">
        <v>EPSG</v>
      </c>
      <c r="F3402" s="7" t="str">
        <v>6521</v>
      </c>
      <c r="G3402" t="str">
        <v>ProjectedCrs</v>
      </c>
      <c r="H3402" t="str">
        <v>Transverse Mercator</v>
      </c>
      <c r="I3402" t="str">
        <v>NAD83(2011) / Nevada East (ftUS)</v>
      </c>
      <c r="J3402" t="str">
        <v>United States (USA) - Nevada - counties of Clark; Elko; Eureka; Lincoln; White Pine.</v>
      </c>
      <c r="K3402" s="11">
        <v>0</v>
      </c>
    </row>
    <row r="3403" spans="5:11" x14ac:dyDescent="0.35">
      <c r="E3403" s="9" t="str">
        <v>EPSG</v>
      </c>
      <c r="F3403" s="7" t="str">
        <v>6522</v>
      </c>
      <c r="G3403" t="str">
        <v>ProjectedCrs</v>
      </c>
      <c r="H3403" t="str">
        <v>Transverse Mercator</v>
      </c>
      <c r="I3403" t="str">
        <v>NAD83(2011) / Nevada West</v>
      </c>
      <c r="J3403" t="str">
        <v>United States (USA) - Nevada - counties of Churchill; Douglas; Esmeralda; Humboldt; Lyon; Mineral; Pershing; Storey; Washoe.</v>
      </c>
      <c r="K3403" s="11">
        <v>0</v>
      </c>
    </row>
    <row r="3404" spans="5:11" x14ac:dyDescent="0.35">
      <c r="E3404" s="9" t="str">
        <v>EPSG</v>
      </c>
      <c r="F3404" s="7" t="str">
        <v>6523</v>
      </c>
      <c r="G3404" t="str">
        <v>ProjectedCrs</v>
      </c>
      <c r="H3404" t="str">
        <v>Transverse Mercator</v>
      </c>
      <c r="I3404" t="str">
        <v>NAD83(2011) / Nevada West (ftUS)</v>
      </c>
      <c r="J3404" t="str">
        <v>United States (USA) - Nevada - counties of Churchill; Douglas; Esmeralda; Humboldt; Lyon; Mineral; Pershing; Storey; Washoe.</v>
      </c>
      <c r="K3404" s="11">
        <v>0</v>
      </c>
    </row>
    <row r="3405" spans="5:11" x14ac:dyDescent="0.35">
      <c r="E3405" s="9" t="str">
        <v>EPSG</v>
      </c>
      <c r="F3405" s="7" t="str">
        <v>6524</v>
      </c>
      <c r="G3405" t="str">
        <v>ProjectedCrs</v>
      </c>
      <c r="H3405" t="str">
        <v>Transverse Mercator</v>
      </c>
      <c r="I3405" t="str">
        <v>NAD83(2011) / New Hampshire</v>
      </c>
      <c r="J3405" t="str">
        <v>United States (USA) - New Hampshire - counties of Belknap; Carroll; Cheshire; Coos; Grafton; Hillsborough; Merrimack; Rockingham; Strafford; Sullivan.</v>
      </c>
      <c r="K3405" s="11">
        <v>0</v>
      </c>
    </row>
    <row r="3406" spans="5:11" x14ac:dyDescent="0.35">
      <c r="E3406" s="9" t="str">
        <v>EPSG</v>
      </c>
      <c r="F3406" s="7" t="str">
        <v>6525</v>
      </c>
      <c r="G3406" t="str">
        <v>ProjectedCrs</v>
      </c>
      <c r="H3406" t="str">
        <v>Transverse Mercator</v>
      </c>
      <c r="I3406" t="str">
        <v>NAD83(2011) / New Hampshire (ftUS)</v>
      </c>
      <c r="J3406" t="str">
        <v>United States (USA) - New Hampshire - counties of Belknap; Carroll; Cheshire; Coos; Grafton; Hillsborough; Merrimack; Rockingham; Strafford; Sullivan.</v>
      </c>
      <c r="K3406" s="11">
        <v>0</v>
      </c>
    </row>
    <row r="3407" spans="5:11" x14ac:dyDescent="0.35">
      <c r="E3407" s="9" t="str">
        <v>EPSG</v>
      </c>
      <c r="F3407" s="7" t="str">
        <v>6526</v>
      </c>
      <c r="G3407" t="str">
        <v>ProjectedCrs</v>
      </c>
      <c r="H3407" t="str">
        <v>Transverse Mercator</v>
      </c>
      <c r="I3407" t="str">
        <v>NAD83(2011) / New Jersey</v>
      </c>
      <c r="J3407" t="str">
        <v>United States (USA) - New Jersey - counties of Atlantic; Bergen; Burlington; Camden; Cape May; Cumberland; Essex; Gloucester; Hudson; Hunterdon; Mercer; Middlesex; Monmouth; Morris; Ocean; Passaic; Salem; Somerset; Sussex; Union; Warren.</v>
      </c>
      <c r="K3407" s="11">
        <v>0</v>
      </c>
    </row>
    <row r="3408" spans="5:11" x14ac:dyDescent="0.35">
      <c r="E3408" s="9" t="str">
        <v>EPSG</v>
      </c>
      <c r="F3408" s="7" t="str">
        <v>6527</v>
      </c>
      <c r="G3408" t="str">
        <v>ProjectedCrs</v>
      </c>
      <c r="H3408" t="str">
        <v>Transverse Mercator</v>
      </c>
      <c r="I3408" t="str">
        <v>NAD83(2011) / New Jersey (ftUS)</v>
      </c>
      <c r="J3408" t="str">
        <v>United States (USA) - New Jersey - counties of Atlantic; Bergen; Burlington; Camden; Cape May; Cumberland; Essex; Gloucester; Hudson; Hunterdon; Mercer; Middlesex; Monmouth; Morris; Ocean; Passaic; Salem; Somerset; Sussex; Union; Warren.</v>
      </c>
      <c r="K3408" s="11">
        <v>0</v>
      </c>
    </row>
    <row r="3409" spans="5:11" x14ac:dyDescent="0.35">
      <c r="E3409" s="9" t="str">
        <v>EPSG</v>
      </c>
      <c r="F3409" s="7" t="str">
        <v>6528</v>
      </c>
      <c r="G3409" t="str">
        <v>ProjectedCrs</v>
      </c>
      <c r="H3409" t="str">
        <v>Transverse Mercator</v>
      </c>
      <c r="I3409" t="str">
        <v>NAD83(2011) / New Mexico Central</v>
      </c>
      <c r="J3409" t="str">
        <v>United States (USA) - New Mexico - counties of Bernalillo; Dona Ana; Lincoln; Los Alamos; Otero; Rio Arriba; Sandoval; Santa Fe; Socorro; Taos; Torrance; Valencia.</v>
      </c>
      <c r="K3409" s="11">
        <v>0</v>
      </c>
    </row>
    <row r="3410" spans="5:11" x14ac:dyDescent="0.35">
      <c r="E3410" s="9" t="str">
        <v>EPSG</v>
      </c>
      <c r="F3410" s="7" t="str">
        <v>6529</v>
      </c>
      <c r="G3410" t="str">
        <v>ProjectedCrs</v>
      </c>
      <c r="H3410" t="str">
        <v>Transverse Mercator</v>
      </c>
      <c r="I3410" t="str">
        <v>NAD83(2011) / New Mexico Central (ftUS)</v>
      </c>
      <c r="J3410" t="str">
        <v>United States (USA) - New Mexico - counties of Bernalillo; Dona Ana; Lincoln; Los Alamos; Otero; Rio Arriba; Sandoval; Santa Fe; Socorro; Taos; Torrance; Valencia.</v>
      </c>
      <c r="K3410" s="11">
        <v>0</v>
      </c>
    </row>
    <row r="3411" spans="5:11" x14ac:dyDescent="0.35">
      <c r="E3411" s="9" t="str">
        <v>EPSG</v>
      </c>
      <c r="F3411" s="7" t="str">
        <v>6530</v>
      </c>
      <c r="G3411" t="str">
        <v>ProjectedCrs</v>
      </c>
      <c r="H3411" t="str">
        <v>Transverse Mercator</v>
      </c>
      <c r="I3411" t="str">
        <v>NAD83(2011) / New Mexico East</v>
      </c>
      <c r="J3411" t="str">
        <v>United States (USA) - New Mexico - counties of Chaves; Colfax; Curry; De Baca; Eddy; Guadalupe; Harding; Lea; Mora; Quay; Roosevelt; San Miguel; Union.</v>
      </c>
      <c r="K3411" s="11">
        <v>0</v>
      </c>
    </row>
    <row r="3412" spans="5:11" x14ac:dyDescent="0.35">
      <c r="E3412" s="9" t="str">
        <v>EPSG</v>
      </c>
      <c r="F3412" s="7" t="str">
        <v>6531</v>
      </c>
      <c r="G3412" t="str">
        <v>ProjectedCrs</v>
      </c>
      <c r="H3412" t="str">
        <v>Transverse Mercator</v>
      </c>
      <c r="I3412" t="str">
        <v>NAD83(2011) / New Mexico East (ftUS)</v>
      </c>
      <c r="J3412" t="str">
        <v>United States (USA) - New Mexico - counties of Chaves; Colfax; Curry; De Baca; Eddy; Guadalupe; Harding; Lea; Mora; Quay; Roosevelt; San Miguel; Union.</v>
      </c>
      <c r="K3412" s="11">
        <v>0</v>
      </c>
    </row>
    <row r="3413" spans="5:11" x14ac:dyDescent="0.35">
      <c r="E3413" s="9" t="str">
        <v>EPSG</v>
      </c>
      <c r="F3413" s="7" t="str">
        <v>6532</v>
      </c>
      <c r="G3413" t="str">
        <v>ProjectedCrs</v>
      </c>
      <c r="H3413" t="str">
        <v>Transverse Mercator</v>
      </c>
      <c r="I3413" t="str">
        <v>NAD83(2011) / New Mexico West</v>
      </c>
      <c r="J3413" t="str">
        <v>United States (USA) - New Mexico - counties of Catron; Cibola; Grant; Hidalgo; Luna; McKinley; San Juan; Sierra.</v>
      </c>
      <c r="K3413" s="11">
        <v>0</v>
      </c>
    </row>
    <row r="3414" spans="5:11" x14ac:dyDescent="0.35">
      <c r="E3414" s="9" t="str">
        <v>EPSG</v>
      </c>
      <c r="F3414" s="7" t="str">
        <v>6533</v>
      </c>
      <c r="G3414" t="str">
        <v>ProjectedCrs</v>
      </c>
      <c r="H3414" t="str">
        <v>Transverse Mercator</v>
      </c>
      <c r="I3414" t="str">
        <v>NAD83(2011) / New Mexico West (ftUS)</v>
      </c>
      <c r="J3414" t="str">
        <v>United States (USA) - New Mexico - counties of Catron; Cibola; Grant; Hidalgo; Luna; McKinley; San Juan; Sierra.</v>
      </c>
      <c r="K3414" s="11">
        <v>0</v>
      </c>
    </row>
    <row r="3415" spans="5:11" x14ac:dyDescent="0.35">
      <c r="E3415" s="9" t="str">
        <v>EPSG</v>
      </c>
      <c r="F3415" s="7" t="str">
        <v>6534</v>
      </c>
      <c r="G3415" t="str">
        <v>ProjectedCrs</v>
      </c>
      <c r="H3415" t="str">
        <v>Transverse Mercator</v>
      </c>
      <c r="I3415" t="str">
        <v>NAD83(2011) / New York Central</v>
      </c>
      <c r="J3415" t="str">
        <v>United States (USA) - New York - counties of Broome; Cayuga; Chemung; Chenango; Cortland; Jefferson; Lewis; Madison; Oneida; Onondaga; Ontario; Oswego; Schuyler; Seneca; Steuben; Tioga; Tompkins; Wayne; Yates.</v>
      </c>
      <c r="K3415" s="11">
        <v>0</v>
      </c>
    </row>
    <row r="3416" spans="5:11" x14ac:dyDescent="0.35">
      <c r="E3416" s="9" t="str">
        <v>EPSG</v>
      </c>
      <c r="F3416" s="7" t="str">
        <v>6535</v>
      </c>
      <c r="G3416" t="str">
        <v>ProjectedCrs</v>
      </c>
      <c r="H3416" t="str">
        <v>Transverse Mercator</v>
      </c>
      <c r="I3416" t="str">
        <v>NAD83(2011) / New York Central (ftUS)</v>
      </c>
      <c r="J3416" t="str">
        <v>United States (USA) - New York - counties of Broome; Cayuga; Chemung; Chenango; Cortland; Jefferson; Lewis; Madison; Oneida; Onondaga; Ontario; Oswego; Schuyler; Seneca; Steuben; Tioga; Tompkins; Wayne; Yates.</v>
      </c>
      <c r="K3416" s="11">
        <v>0</v>
      </c>
    </row>
    <row r="3417" spans="5:11" x14ac:dyDescent="0.35">
      <c r="E3417" s="9" t="str">
        <v>EPSG</v>
      </c>
      <c r="F3417" s="7" t="str">
        <v>6536</v>
      </c>
      <c r="G3417" t="str">
        <v>ProjectedCrs</v>
      </c>
      <c r="H3417" t="str">
        <v>Transverse Mercator</v>
      </c>
      <c r="I3417" t="str">
        <v>NAD83(2011) / New York East</v>
      </c>
      <c r="J3417"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3417" s="11">
        <v>0</v>
      </c>
    </row>
    <row r="3418" spans="5:11" x14ac:dyDescent="0.35">
      <c r="E3418" s="9" t="str">
        <v>EPSG</v>
      </c>
      <c r="F3418" s="7" t="str">
        <v>6537</v>
      </c>
      <c r="G3418" t="str">
        <v>ProjectedCrs</v>
      </c>
      <c r="H3418" t="str">
        <v>Transverse Mercator</v>
      </c>
      <c r="I3418" t="str">
        <v>NAD83(2011) / New York East (ftUS)</v>
      </c>
      <c r="J3418"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3418" s="11">
        <v>0</v>
      </c>
    </row>
    <row r="3419" spans="5:11" x14ac:dyDescent="0.35">
      <c r="E3419" s="9" t="str">
        <v>EPSG</v>
      </c>
      <c r="F3419" s="7" t="str">
        <v>6538</v>
      </c>
      <c r="G3419" t="str">
        <v>ProjectedCrs</v>
      </c>
      <c r="H3419" t="str">
        <v>Lambert Conic Conformal (2SP)</v>
      </c>
      <c r="I3419" t="str">
        <v>NAD83(2011) / New York Long Island</v>
      </c>
      <c r="J3419" t="str">
        <v>United States (USA) - New York - counties of Bronx; Kings; Nassau; New York; Queens; Richmond; Suffolk.</v>
      </c>
      <c r="K3419" s="11">
        <v>0</v>
      </c>
    </row>
    <row r="3420" spans="5:11" x14ac:dyDescent="0.35">
      <c r="E3420" s="9" t="str">
        <v>EPSG</v>
      </c>
      <c r="F3420" s="7" t="str">
        <v>6539</v>
      </c>
      <c r="G3420" t="str">
        <v>ProjectedCrs</v>
      </c>
      <c r="H3420" t="str">
        <v>Lambert Conic Conformal (2SP)</v>
      </c>
      <c r="I3420" t="str">
        <v>NAD83(2011) / New York Long Island (ftUS)</v>
      </c>
      <c r="J3420" t="str">
        <v>United States (USA) - New York - counties of Bronx; Kings; Nassau; New York; Queens; Richmond; Suffolk.</v>
      </c>
      <c r="K3420" s="11">
        <v>0</v>
      </c>
    </row>
    <row r="3421" spans="5:11" x14ac:dyDescent="0.35">
      <c r="E3421" s="9" t="str">
        <v>EPSG</v>
      </c>
      <c r="F3421" s="7" t="str">
        <v>6540</v>
      </c>
      <c r="G3421" t="str">
        <v>ProjectedCrs</v>
      </c>
      <c r="H3421" t="str">
        <v>Transverse Mercator</v>
      </c>
      <c r="I3421" t="str">
        <v>NAD83(2011) / New York West</v>
      </c>
      <c r="J3421" t="str">
        <v>United States (USA) - New York - counties of Allegany; Cattaraugus; Chautauqua; Erie; Genesee; Livingston; Monroe; Niagara; Orleans; Wyoming.</v>
      </c>
      <c r="K3421" s="11">
        <v>0</v>
      </c>
    </row>
    <row r="3422" spans="5:11" x14ac:dyDescent="0.35">
      <c r="E3422" s="9" t="str">
        <v>EPSG</v>
      </c>
      <c r="F3422" s="7" t="str">
        <v>6541</v>
      </c>
      <c r="G3422" t="str">
        <v>ProjectedCrs</v>
      </c>
      <c r="H3422" t="str">
        <v>Transverse Mercator</v>
      </c>
      <c r="I3422" t="str">
        <v>NAD83(2011) / New York West (ftUS)</v>
      </c>
      <c r="J3422" t="str">
        <v>United States (USA) - New York - counties of Allegany; Cattaraugus; Chautauqua; Erie; Genesee; Livingston; Monroe; Niagara; Orleans; Wyoming.</v>
      </c>
      <c r="K3422" s="11">
        <v>0</v>
      </c>
    </row>
    <row r="3423" spans="5:11" x14ac:dyDescent="0.35">
      <c r="E3423" s="9" t="str">
        <v>EPSG</v>
      </c>
      <c r="F3423" s="7" t="str">
        <v>6542</v>
      </c>
      <c r="G3423" t="str">
        <v>ProjectedCrs</v>
      </c>
      <c r="H3423" t="str">
        <v>Lambert Conic Conformal (2SP)</v>
      </c>
      <c r="I3423" t="str">
        <v>NAD83(2011) / North Carolina</v>
      </c>
      <c r="J3423"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3423" s="11">
        <v>0</v>
      </c>
    </row>
    <row r="3424" spans="5:11" x14ac:dyDescent="0.35">
      <c r="E3424" s="9" t="str">
        <v>EPSG</v>
      </c>
      <c r="F3424" s="7" t="str">
        <v>6543</v>
      </c>
      <c r="G3424" t="str">
        <v>ProjectedCrs</v>
      </c>
      <c r="H3424" t="str">
        <v>Lambert Conic Conformal (2SP)</v>
      </c>
      <c r="I3424" t="str">
        <v>NAD83(2011) / North Carolina (ftUS)</v>
      </c>
      <c r="J3424"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3424" s="11">
        <v>0</v>
      </c>
    </row>
    <row r="3425" spans="5:11" x14ac:dyDescent="0.35">
      <c r="E3425" s="9" t="str">
        <v>EPSG</v>
      </c>
      <c r="F3425" s="7" t="str">
        <v>6544</v>
      </c>
      <c r="G3425" t="str">
        <v>ProjectedCrs</v>
      </c>
      <c r="H3425" t="str">
        <v>Lambert Conic Conformal (2SP)</v>
      </c>
      <c r="I3425" t="str">
        <v>NAD83(2011) / North Dakota North</v>
      </c>
      <c r="J3425" t="str">
        <v>United States (USA) - North Dakota - counties of Benson; Bottineau; Burke; Cavalier; Divide; Eddy; Foster; Grand Forks; Griggs; McHenry; McKenzie; McLean; Mountrial; Nelson; Pembina; Pierce; Ramsey; Renville; Rolette; Sheridan; Steele; Towner; Traill; Walsh; Ward; Wells; Williams.</v>
      </c>
      <c r="K3425" s="11">
        <v>0</v>
      </c>
    </row>
    <row r="3426" spans="5:11" x14ac:dyDescent="0.35">
      <c r="E3426" s="9" t="str">
        <v>EPSG</v>
      </c>
      <c r="F3426" s="7" t="str">
        <v>6545</v>
      </c>
      <c r="G3426" t="str">
        <v>ProjectedCrs</v>
      </c>
      <c r="H3426" t="str">
        <v>Lambert Conic Conformal (2SP)</v>
      </c>
      <c r="I3426" t="str">
        <v>NAD83(2011) / North Dakota North (ft)</v>
      </c>
      <c r="J3426" t="str">
        <v>United States (USA) - North Dakota - counties of Benson; Bottineau; Burke; Cavalier; Divide; Eddy; Foster; Grand Forks; Griggs; McHenry; McKenzie; McLean; Mountrial; Nelson; Pembina; Pierce; Ramsey; Renville; Rolette; Sheridan; Steele; Towner; Traill; Walsh; Ward; Wells; Williams.</v>
      </c>
      <c r="K3426" s="11">
        <v>0</v>
      </c>
    </row>
    <row r="3427" spans="5:11" x14ac:dyDescent="0.35">
      <c r="E3427" s="9" t="str">
        <v>EPSG</v>
      </c>
      <c r="F3427" s="7" t="str">
        <v>6546</v>
      </c>
      <c r="G3427" t="str">
        <v>ProjectedCrs</v>
      </c>
      <c r="H3427" t="str">
        <v>Lambert Conic Conformal (2SP)</v>
      </c>
      <c r="I3427" t="str">
        <v>NAD83(2011) / North Dakota South</v>
      </c>
      <c r="J3427" t="str">
        <v>United States (USA) - North Dakota - counties of Adams; Barnes; Billings; Bowman; Burleigh; Cass; Dickey; Dunn; Emmons; Golden Valley; Grant; Hettinger; Kidder; La Moure; Logan; McIntosh; Mercer; Morton; Oliver; Ransom; Richland; Sargent; Sioux; Slope; Stark; Stutsman.</v>
      </c>
      <c r="K3427" s="11">
        <v>0</v>
      </c>
    </row>
    <row r="3428" spans="5:11" x14ac:dyDescent="0.35">
      <c r="E3428" s="9" t="str">
        <v>EPSG</v>
      </c>
      <c r="F3428" s="7" t="str">
        <v>6547</v>
      </c>
      <c r="G3428" t="str">
        <v>ProjectedCrs</v>
      </c>
      <c r="H3428" t="str">
        <v>Lambert Conic Conformal (2SP)</v>
      </c>
      <c r="I3428" t="str">
        <v>NAD83(2011) / North Dakota South (ft)</v>
      </c>
      <c r="J3428" t="str">
        <v>United States (USA) - North Dakota - counties of Adams; Barnes; Billings; Bowman; Burleigh; Cass; Dickey; Dunn; Emmons; Golden Valley; Grant; Hettinger; Kidder; La Moure; Logan; McIntosh; Mercer; Morton; Oliver; Ransom; Richland; Sargent; Sioux; Slope; Stark; Stutsman.</v>
      </c>
      <c r="K3428" s="11">
        <v>0</v>
      </c>
    </row>
    <row r="3429" spans="5:11" x14ac:dyDescent="0.35">
      <c r="E3429" s="9" t="str">
        <v>EPSG</v>
      </c>
      <c r="F3429" s="7" t="str">
        <v>6548</v>
      </c>
      <c r="G3429" t="str">
        <v>ProjectedCrs</v>
      </c>
      <c r="H3429" t="str">
        <v>Lambert Conic Conformal (2SP)</v>
      </c>
      <c r="I3429" t="str">
        <v>NAD83(2011) / Ohio North</v>
      </c>
      <c r="J3429"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3429" s="11">
        <v>0</v>
      </c>
    </row>
    <row r="3430" spans="5:11" x14ac:dyDescent="0.35">
      <c r="E3430" s="9" t="str">
        <v>EPSG</v>
      </c>
      <c r="F3430" s="7" t="str">
        <v>6549</v>
      </c>
      <c r="G3430" t="str">
        <v>ProjectedCrs</v>
      </c>
      <c r="H3430" t="str">
        <v>Lambert Conic Conformal (2SP)</v>
      </c>
      <c r="I3430" t="str">
        <v>NAD83(2011) / Ohio North (ftUS)</v>
      </c>
      <c r="J3430"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3430" s="11">
        <v>0</v>
      </c>
    </row>
    <row r="3431" spans="5:11" x14ac:dyDescent="0.35">
      <c r="E3431" s="9" t="str">
        <v>EPSG</v>
      </c>
      <c r="F3431" s="7" t="str">
        <v>6550</v>
      </c>
      <c r="G3431" t="str">
        <v>ProjectedCrs</v>
      </c>
      <c r="H3431" t="str">
        <v>Lambert Conic Conformal (2SP)</v>
      </c>
      <c r="I3431" t="str">
        <v>NAD83(2011) / Ohio South</v>
      </c>
      <c r="J3431"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3431" s="11">
        <v>0</v>
      </c>
    </row>
    <row r="3432" spans="5:11" x14ac:dyDescent="0.35">
      <c r="E3432" s="9" t="str">
        <v>EPSG</v>
      </c>
      <c r="F3432" s="7" t="str">
        <v>6551</v>
      </c>
      <c r="G3432" t="str">
        <v>ProjectedCrs</v>
      </c>
      <c r="H3432" t="str">
        <v>Lambert Conic Conformal (2SP)</v>
      </c>
      <c r="I3432" t="str">
        <v>NAD83(2011) / Ohio South (ftUS)</v>
      </c>
      <c r="J3432"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3432" s="11">
        <v>0</v>
      </c>
    </row>
    <row r="3433" spans="5:11" x14ac:dyDescent="0.35">
      <c r="E3433" s="9" t="str">
        <v>EPSG</v>
      </c>
      <c r="F3433" s="7" t="str">
        <v>6552</v>
      </c>
      <c r="G3433" t="str">
        <v>ProjectedCrs</v>
      </c>
      <c r="H3433" t="str">
        <v>Lambert Conic Conformal (2SP)</v>
      </c>
      <c r="I3433" t="str">
        <v>NAD83(2011) / Oklahoma North</v>
      </c>
      <c r="J3433"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3433" s="11">
        <v>0</v>
      </c>
    </row>
    <row r="3434" spans="5:11" x14ac:dyDescent="0.35">
      <c r="E3434" s="9" t="str">
        <v>EPSG</v>
      </c>
      <c r="F3434" s="7" t="str">
        <v>6553</v>
      </c>
      <c r="G3434" t="str">
        <v>ProjectedCrs</v>
      </c>
      <c r="H3434" t="str">
        <v>Lambert Conic Conformal (2SP)</v>
      </c>
      <c r="I3434" t="str">
        <v>NAD83(2011) / Oklahoma North (ftUS)</v>
      </c>
      <c r="J3434"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3434" s="11">
        <v>0</v>
      </c>
    </row>
    <row r="3435" spans="5:11" x14ac:dyDescent="0.35">
      <c r="E3435" s="9" t="str">
        <v>EPSG</v>
      </c>
      <c r="F3435" s="7" t="str">
        <v>6554</v>
      </c>
      <c r="G3435" t="str">
        <v>ProjectedCrs</v>
      </c>
      <c r="H3435" t="str">
        <v>Lambert Conic Conformal (2SP)</v>
      </c>
      <c r="I3435" t="str">
        <v>NAD83(2011) / Oklahoma South</v>
      </c>
      <c r="J3435"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3435" s="11">
        <v>0</v>
      </c>
    </row>
    <row r="3436" spans="5:11" x14ac:dyDescent="0.35">
      <c r="E3436" s="9" t="str">
        <v>EPSG</v>
      </c>
      <c r="F3436" s="7" t="str">
        <v>6555</v>
      </c>
      <c r="G3436" t="str">
        <v>ProjectedCrs</v>
      </c>
      <c r="H3436" t="str">
        <v>Lambert Conic Conformal (2SP)</v>
      </c>
      <c r="I3436" t="str">
        <v>NAD83(2011) / Oklahoma South (ftUS)</v>
      </c>
      <c r="J3436"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3436" s="11">
        <v>0</v>
      </c>
    </row>
    <row r="3437" spans="5:11" x14ac:dyDescent="0.35">
      <c r="E3437" s="9" t="str">
        <v>EPSG</v>
      </c>
      <c r="F3437" s="7" t="str">
        <v>6556</v>
      </c>
      <c r="G3437" t="str">
        <v>ProjectedCrs</v>
      </c>
      <c r="H3437" t="str">
        <v>Lambert Conic Conformal (2SP)</v>
      </c>
      <c r="I3437" t="str">
        <v>NAD83(2011) / Oregon LCC (m)</v>
      </c>
      <c r="J3437" t="str">
        <v>United States (USA) - Oregon.</v>
      </c>
      <c r="K3437" s="11">
        <v>0</v>
      </c>
    </row>
    <row r="3438" spans="5:11" x14ac:dyDescent="0.35">
      <c r="E3438" s="9" t="str">
        <v>EPSG</v>
      </c>
      <c r="F3438" s="7" t="str">
        <v>6557</v>
      </c>
      <c r="G3438" t="str">
        <v>ProjectedCrs</v>
      </c>
      <c r="H3438" t="str">
        <v>Lambert Conic Conformal (2SP)</v>
      </c>
      <c r="I3438" t="str">
        <v>NAD83(2011) / Oregon GIC Lambert (ft)</v>
      </c>
      <c r="J3438" t="str">
        <v>United States (USA) - Oregon.</v>
      </c>
      <c r="K3438" s="11">
        <v>0</v>
      </c>
    </row>
    <row r="3439" spans="5:11" x14ac:dyDescent="0.35">
      <c r="E3439" s="9" t="str">
        <v>EPSG</v>
      </c>
      <c r="F3439" s="7" t="str">
        <v>6558</v>
      </c>
      <c r="G3439" t="str">
        <v>ProjectedCrs</v>
      </c>
      <c r="H3439" t="str">
        <v>Lambert Conic Conformal (2SP)</v>
      </c>
      <c r="I3439" t="str">
        <v>NAD83(2011) / Oregon North</v>
      </c>
      <c r="J3439" t="str">
        <v>United States (USA) - Oregon - counties of Baker; Benton; Clackamas; Clatsop; Columbia; Gilliam; Grant; Hood River; Jefferson; Lincoln; Linn; Marion; Morrow; Multnomah; Polk; Sherman; Tillamook; Umatilla; Union; Wallowa; Wasco; Washington; Wheeler; Yamhill.</v>
      </c>
      <c r="K3439" s="11">
        <v>0</v>
      </c>
    </row>
    <row r="3440" spans="5:11" x14ac:dyDescent="0.35">
      <c r="E3440" s="9" t="str">
        <v>EPSG</v>
      </c>
      <c r="F3440" s="7" t="str">
        <v>6559</v>
      </c>
      <c r="G3440" t="str">
        <v>ProjectedCrs</v>
      </c>
      <c r="H3440" t="str">
        <v>Lambert Conic Conformal (2SP)</v>
      </c>
      <c r="I3440" t="str">
        <v>NAD83(2011) / Oregon North (ft)</v>
      </c>
      <c r="J3440" t="str">
        <v>United States (USA) - Oregon - counties of Baker; Benton; Clackamas; Clatsop; Columbia; Gilliam; Grant; Hood River; Jefferson; Lincoln; Linn; Marion; Morrow; Multnomah; Polk; Sherman; Tillamook; Umatilla; Union; Wallowa; Wasco; Washington; Wheeler; Yamhill.</v>
      </c>
      <c r="K3440" s="11">
        <v>0</v>
      </c>
    </row>
    <row r="3441" spans="5:11" x14ac:dyDescent="0.35">
      <c r="E3441" s="9" t="str">
        <v>EPSG</v>
      </c>
      <c r="F3441" s="7" t="str">
        <v>6560</v>
      </c>
      <c r="G3441" t="str">
        <v>ProjectedCrs</v>
      </c>
      <c r="H3441" t="str">
        <v>Lambert Conic Conformal (2SP)</v>
      </c>
      <c r="I3441" t="str">
        <v>NAD83(2011) / Oregon South</v>
      </c>
      <c r="J3441" t="str">
        <v>United States (USA) - Oregon - counties of Coos; Crook; Curry; Deschutes; Douglas; Harney; Jackson; Josephine; Klamath; Lake; Lane; Malheur.</v>
      </c>
      <c r="K3441" s="11">
        <v>0</v>
      </c>
    </row>
    <row r="3442" spans="5:11" x14ac:dyDescent="0.35">
      <c r="E3442" s="9" t="str">
        <v>EPSG</v>
      </c>
      <c r="F3442" s="7" t="str">
        <v>6561</v>
      </c>
      <c r="G3442" t="str">
        <v>ProjectedCrs</v>
      </c>
      <c r="H3442" t="str">
        <v>Lambert Conic Conformal (2SP)</v>
      </c>
      <c r="I3442" t="str">
        <v>NAD83(2011) / Oregon South (ft)</v>
      </c>
      <c r="J3442" t="str">
        <v>United States (USA) - Oregon - counties of Coos; Crook; Curry; Deschutes; Douglas; Harney; Jackson; Josephine; Klamath; Lake; Lane; Malheur.</v>
      </c>
      <c r="K3442" s="11">
        <v>0</v>
      </c>
    </row>
    <row r="3443" spans="5:11" x14ac:dyDescent="0.35">
      <c r="E3443" s="9" t="str">
        <v>EPSG</v>
      </c>
      <c r="F3443" s="7" t="str">
        <v>6562</v>
      </c>
      <c r="G3443" t="str">
        <v>ProjectedCrs</v>
      </c>
      <c r="H3443" t="str">
        <v>Lambert Conic Conformal (2SP)</v>
      </c>
      <c r="I3443" t="str">
        <v>NAD83(2011) / Pennsylvania North</v>
      </c>
      <c r="J3443"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3443" s="11">
        <v>0</v>
      </c>
    </row>
    <row r="3444" spans="5:11" x14ac:dyDescent="0.35">
      <c r="E3444" s="9" t="str">
        <v>EPSG</v>
      </c>
      <c r="F3444" s="7" t="str">
        <v>6563</v>
      </c>
      <c r="G3444" t="str">
        <v>ProjectedCrs</v>
      </c>
      <c r="H3444" t="str">
        <v>Lambert Conic Conformal (2SP)</v>
      </c>
      <c r="I3444" t="str">
        <v>NAD83(2011) / Pennsylvania North (ftUS)</v>
      </c>
      <c r="J3444"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3444" s="11">
        <v>0</v>
      </c>
    </row>
    <row r="3445" spans="5:11" x14ac:dyDescent="0.35">
      <c r="E3445" s="9" t="str">
        <v>EPSG</v>
      </c>
      <c r="F3445" s="7" t="str">
        <v>6564</v>
      </c>
      <c r="G3445" t="str">
        <v>ProjectedCrs</v>
      </c>
      <c r="H3445" t="str">
        <v>Lambert Conic Conformal (2SP)</v>
      </c>
      <c r="I3445" t="str">
        <v>NAD83(2011) / Pennsylvania South</v>
      </c>
      <c r="J3445"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3445" s="11">
        <v>0</v>
      </c>
    </row>
    <row r="3446" spans="5:11" x14ac:dyDescent="0.35">
      <c r="E3446" s="9" t="str">
        <v>EPSG</v>
      </c>
      <c r="F3446" s="7" t="str">
        <v>6565</v>
      </c>
      <c r="G3446" t="str">
        <v>ProjectedCrs</v>
      </c>
      <c r="H3446" t="str">
        <v>Lambert Conic Conformal (2SP)</v>
      </c>
      <c r="I3446" t="str">
        <v>NAD83(2011) / Pennsylvania South (ftUS)</v>
      </c>
      <c r="J3446"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3446" s="11">
        <v>0</v>
      </c>
    </row>
    <row r="3447" spans="5:11" x14ac:dyDescent="0.35">
      <c r="E3447" s="9" t="str">
        <v>EPSG</v>
      </c>
      <c r="F3447" s="7" t="str">
        <v>6566</v>
      </c>
      <c r="G3447" t="str">
        <v>ProjectedCrs</v>
      </c>
      <c r="H3447" t="str">
        <v>Lambert Conic Conformal (2SP)</v>
      </c>
      <c r="I3447" t="str">
        <v>NAD83(2011) / Puerto Rico and Virgin Is.</v>
      </c>
      <c r="J3447" t="str">
        <v>Puerto Rico and US Virgin Islands - onshore.</v>
      </c>
      <c r="K3447" s="11">
        <v>0</v>
      </c>
    </row>
    <row r="3448" spans="5:11" x14ac:dyDescent="0.35">
      <c r="E3448" s="9" t="str">
        <v>EPSG</v>
      </c>
      <c r="F3448" s="7" t="str">
        <v>6567</v>
      </c>
      <c r="G3448" t="str">
        <v>ProjectedCrs</v>
      </c>
      <c r="H3448" t="str">
        <v>Transverse Mercator</v>
      </c>
      <c r="I3448" t="str">
        <v>NAD83(2011) / Rhode Island</v>
      </c>
      <c r="J3448" t="str">
        <v>United States (USA) - Rhode Island - counties of Bristol; Kent; Newport; Providence; Washington.</v>
      </c>
      <c r="K3448" s="11">
        <v>0</v>
      </c>
    </row>
    <row r="3449" spans="5:11" x14ac:dyDescent="0.35">
      <c r="E3449" s="9" t="str">
        <v>EPSG</v>
      </c>
      <c r="F3449" s="7" t="str">
        <v>6568</v>
      </c>
      <c r="G3449" t="str">
        <v>ProjectedCrs</v>
      </c>
      <c r="H3449" t="str">
        <v>Transverse Mercator</v>
      </c>
      <c r="I3449" t="str">
        <v>NAD83(2011) / Rhode Island (ftUS)</v>
      </c>
      <c r="J3449" t="str">
        <v>United States (USA) - Rhode Island - counties of Bristol; Kent; Newport; Providence; Washington.</v>
      </c>
      <c r="K3449" s="11">
        <v>0</v>
      </c>
    </row>
    <row r="3450" spans="5:11" x14ac:dyDescent="0.35">
      <c r="E3450" s="9" t="str">
        <v>EPSG</v>
      </c>
      <c r="F3450" s="7" t="str">
        <v>6569</v>
      </c>
      <c r="G3450" t="str">
        <v>ProjectedCrs</v>
      </c>
      <c r="H3450" t="str">
        <v>Lambert Conic Conformal (2SP)</v>
      </c>
      <c r="I3450" t="str">
        <v>NAD83(2011) / South Carolina</v>
      </c>
      <c r="J3450"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3450" s="11">
        <v>0</v>
      </c>
    </row>
    <row r="3451" spans="5:11" x14ac:dyDescent="0.35">
      <c r="E3451" s="9" t="str">
        <v>EPSG</v>
      </c>
      <c r="F3451" s="7" t="str">
        <v>6570</v>
      </c>
      <c r="G3451" t="str">
        <v>ProjectedCrs</v>
      </c>
      <c r="H3451" t="str">
        <v>Lambert Conic Conformal (2SP)</v>
      </c>
      <c r="I3451" t="str">
        <v>NAD83(2011) / South Carolina (ft)</v>
      </c>
      <c r="J3451"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3451" s="11">
        <v>0</v>
      </c>
    </row>
    <row r="3452" spans="5:11" x14ac:dyDescent="0.35">
      <c r="E3452" s="9" t="str">
        <v>EPSG</v>
      </c>
      <c r="F3452" s="7" t="str">
        <v>6571</v>
      </c>
      <c r="G3452" t="str">
        <v>ProjectedCrs</v>
      </c>
      <c r="H3452" t="str">
        <v>Lambert Conic Conformal (2SP)</v>
      </c>
      <c r="I3452" t="str">
        <v>NAD83(2011) / South Dakota North</v>
      </c>
      <c r="J3452" t="str">
        <v>United States (USA) - South Dakota - counties of Beadle; Brookings; Brown; Butte; Campbell; Clark; Codington; Corson; Day; Deuel; Dewey; Edmunds; Faulk; Grant; Hamlin; Hand; Harding; Hyde; Kingsbury; Lawrence; Marshall; McPherson; Meade; Perkins; Potter; Roberts; Spink; Sully; Walworth; Ziebach.</v>
      </c>
      <c r="K3452" s="11">
        <v>0</v>
      </c>
    </row>
    <row r="3453" spans="5:11" x14ac:dyDescent="0.35">
      <c r="E3453" s="9" t="str">
        <v>EPSG</v>
      </c>
      <c r="F3453" s="7" t="str">
        <v>6572</v>
      </c>
      <c r="G3453" t="str">
        <v>ProjectedCrs</v>
      </c>
      <c r="H3453" t="str">
        <v>Lambert Conic Conformal (2SP)</v>
      </c>
      <c r="I3453" t="str">
        <v>NAD83(2011) / South Dakota North (ftUS)</v>
      </c>
      <c r="J3453" t="str">
        <v>United States (USA) - South Dakota - counties of Beadle; Brookings; Brown; Butte; Campbell; Clark; Codington; Corson; Day; Deuel; Dewey; Edmunds; Faulk; Grant; Hamlin; Hand; Harding; Hyde; Kingsbury; Lawrence; Marshall; McPherson; Meade; Perkins; Potter; Roberts; Spink; Sully; Walworth; Ziebach.</v>
      </c>
      <c r="K3453" s="11">
        <v>0</v>
      </c>
    </row>
    <row r="3454" spans="5:11" x14ac:dyDescent="0.35">
      <c r="E3454" s="9" t="str">
        <v>EPSG</v>
      </c>
      <c r="F3454" s="7" t="str">
        <v>6573</v>
      </c>
      <c r="G3454" t="str">
        <v>ProjectedCrs</v>
      </c>
      <c r="H3454" t="str">
        <v>Lambert Conic Conformal (2SP)</v>
      </c>
      <c r="I3454" t="str">
        <v>NAD83(2011) / South Dakota South</v>
      </c>
      <c r="J3454"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3454" s="11">
        <v>0</v>
      </c>
    </row>
    <row r="3455" spans="5:11" x14ac:dyDescent="0.35">
      <c r="E3455" s="9" t="str">
        <v>EPSG</v>
      </c>
      <c r="F3455" s="7" t="str">
        <v>6574</v>
      </c>
      <c r="G3455" t="str">
        <v>ProjectedCrs</v>
      </c>
      <c r="H3455" t="str">
        <v>Lambert Conic Conformal (2SP)</v>
      </c>
      <c r="I3455" t="str">
        <v>NAD83(2011) / South Dakota South (ftUS)</v>
      </c>
      <c r="J3455"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3455" s="11">
        <v>0</v>
      </c>
    </row>
    <row r="3456" spans="5:11" x14ac:dyDescent="0.35">
      <c r="E3456" s="9" t="str">
        <v>EPSG</v>
      </c>
      <c r="F3456" s="7" t="str">
        <v>6575</v>
      </c>
      <c r="G3456" t="str">
        <v>ProjectedCrs</v>
      </c>
      <c r="H3456" t="str">
        <v>Lambert Conic Conformal (2SP)</v>
      </c>
      <c r="I3456" t="str">
        <v>NAD83(2011) / Tennessee</v>
      </c>
      <c r="J3456"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3456" s="11">
        <v>0</v>
      </c>
    </row>
    <row r="3457" spans="5:11" x14ac:dyDescent="0.35">
      <c r="E3457" s="9" t="str">
        <v>EPSG</v>
      </c>
      <c r="F3457" s="7" t="str">
        <v>6576</v>
      </c>
      <c r="G3457" t="str">
        <v>ProjectedCrs</v>
      </c>
      <c r="H3457" t="str">
        <v>Lambert Conic Conformal (2SP)</v>
      </c>
      <c r="I3457" t="str">
        <v>NAD83(2011) / Tennessee (ftUS)</v>
      </c>
      <c r="J3457"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3457" s="11">
        <v>0</v>
      </c>
    </row>
    <row r="3458" spans="5:11" x14ac:dyDescent="0.35">
      <c r="E3458" s="9" t="str">
        <v>EPSG</v>
      </c>
      <c r="F3458" s="7" t="str">
        <v>6577</v>
      </c>
      <c r="G3458" t="str">
        <v>ProjectedCrs</v>
      </c>
      <c r="H3458" t="str">
        <v>Lambert Conic Conformal (2SP)</v>
      </c>
      <c r="I3458" t="str">
        <v>NAD83(2011) / Texas Central</v>
      </c>
      <c r="J3458"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3458" s="11">
        <v>0</v>
      </c>
    </row>
    <row r="3459" spans="5:11" x14ac:dyDescent="0.35">
      <c r="E3459" s="9" t="str">
        <v>EPSG</v>
      </c>
      <c r="F3459" s="7" t="str">
        <v>6578</v>
      </c>
      <c r="G3459" t="str">
        <v>ProjectedCrs</v>
      </c>
      <c r="H3459" t="str">
        <v>Lambert Conic Conformal (2SP)</v>
      </c>
      <c r="I3459" t="str">
        <v>NAD83(2011) / Texas Central (ftUS)</v>
      </c>
      <c r="J3459"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3459" s="11">
        <v>0</v>
      </c>
    </row>
    <row r="3460" spans="5:11" x14ac:dyDescent="0.35">
      <c r="E3460" s="9" t="str">
        <v>EPSG</v>
      </c>
      <c r="F3460" s="7" t="str">
        <v>6579</v>
      </c>
      <c r="G3460" t="str">
        <v>ProjectedCrs</v>
      </c>
      <c r="H3460" t="str">
        <v>Albers Equal Area</v>
      </c>
      <c r="I3460" t="str">
        <v>NAD83(2011) / Texas Centric Albers Equal Area</v>
      </c>
      <c r="J3460" t="str">
        <v>United States (USA) - Texas.</v>
      </c>
      <c r="K3460" s="11">
        <v>0</v>
      </c>
    </row>
    <row r="3461" spans="5:11" x14ac:dyDescent="0.35">
      <c r="E3461" s="9" t="str">
        <v>EPSG</v>
      </c>
      <c r="F3461" s="7" t="str">
        <v>6580</v>
      </c>
      <c r="G3461" t="str">
        <v>ProjectedCrs</v>
      </c>
      <c r="H3461" t="str">
        <v>Lambert Conic Conformal (2SP)</v>
      </c>
      <c r="I3461" t="str">
        <v>NAD83(2011) / Texas Centric Lambert Conformal</v>
      </c>
      <c r="J3461" t="str">
        <v>United States (USA) - Texas.</v>
      </c>
      <c r="K3461" s="11">
        <v>0</v>
      </c>
    </row>
    <row r="3462" spans="5:11" x14ac:dyDescent="0.35">
      <c r="E3462" s="9" t="str">
        <v>EPSG</v>
      </c>
      <c r="F3462" s="7" t="str">
        <v>6581</v>
      </c>
      <c r="G3462" t="str">
        <v>ProjectedCrs</v>
      </c>
      <c r="H3462" t="str">
        <v>Lambert Conic Conformal (2SP)</v>
      </c>
      <c r="I3462" t="str">
        <v>NAD83(2011) / Texas North</v>
      </c>
      <c r="J3462" t="str">
        <v>United States (USA) - Texas - counties of: Armstrong; Briscoe; Carson; Castro; Childress; Collingsworth; Dallam; Deaf Smith; Donley; Gray; Hall; Hansford; Hartley; Hemphill; Hutchinson; Lipscomb; Moore; Ochiltree; Oldham; Parmer; Potter; Randall; Roberts; Sherman; Swisher; Wheeler.</v>
      </c>
      <c r="K3462" s="11">
        <v>0</v>
      </c>
    </row>
    <row r="3463" spans="5:11" x14ac:dyDescent="0.35">
      <c r="E3463" s="9" t="str">
        <v>EPSG</v>
      </c>
      <c r="F3463" s="7" t="str">
        <v>6582</v>
      </c>
      <c r="G3463" t="str">
        <v>ProjectedCrs</v>
      </c>
      <c r="H3463" t="str">
        <v>Lambert Conic Conformal (2SP)</v>
      </c>
      <c r="I3463" t="str">
        <v>NAD83(2011) / Texas North (ftUS)</v>
      </c>
      <c r="J3463" t="str">
        <v>United States (USA) - Texas - counties of: Armstrong; Briscoe; Carson; Castro; Childress; Collingsworth; Dallam; Deaf Smith; Donley; Gray; Hall; Hansford; Hartley; Hemphill; Hutchinson; Lipscomb; Moore; Ochiltree; Oldham; Parmer; Potter; Randall; Roberts; Sherman; Swisher; Wheeler.</v>
      </c>
      <c r="K3463" s="11">
        <v>0</v>
      </c>
    </row>
    <row r="3464" spans="5:11" x14ac:dyDescent="0.35">
      <c r="E3464" s="9" t="str">
        <v>EPSG</v>
      </c>
      <c r="F3464" s="7" t="str">
        <v>6583</v>
      </c>
      <c r="G3464" t="str">
        <v>ProjectedCrs</v>
      </c>
      <c r="H3464" t="str">
        <v>Lambert Conic Conformal (2SP)</v>
      </c>
      <c r="I3464" t="str">
        <v>NAD83(2011) / Texas North Central</v>
      </c>
      <c r="J3464"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3464" s="11">
        <v>0</v>
      </c>
    </row>
    <row r="3465" spans="5:11" x14ac:dyDescent="0.35">
      <c r="E3465" s="9" t="str">
        <v>EPSG</v>
      </c>
      <c r="F3465" s="7" t="str">
        <v>6584</v>
      </c>
      <c r="G3465" t="str">
        <v>ProjectedCrs</v>
      </c>
      <c r="H3465" t="str">
        <v>Lambert Conic Conformal (2SP)</v>
      </c>
      <c r="I3465" t="str">
        <v>NAD83(2011) / Texas North Central (ftUS)</v>
      </c>
      <c r="J3465"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3465" s="11">
        <v>0</v>
      </c>
    </row>
    <row r="3466" spans="5:11" x14ac:dyDescent="0.35">
      <c r="E3466" s="9" t="str">
        <v>EPSG</v>
      </c>
      <c r="F3466" s="7" t="str">
        <v>6585</v>
      </c>
      <c r="G3466" t="str">
        <v>ProjectedCrs</v>
      </c>
      <c r="H3466" t="str">
        <v>Lambert Conic Conformal (2SP)</v>
      </c>
      <c r="I3466" t="str">
        <v>NAD83(2011) / Texas South</v>
      </c>
      <c r="J3466" t="str">
        <v>United States (USA) - Texas - counties of Brooks; Cameron; Duval; Hidalgo; Jim Hogg; Jim Wells; Kenedy; Kleberg; Nueces; San Patricio; Starr; Webb; Willacy; Zapata.</v>
      </c>
      <c r="K3466" s="11">
        <v>0</v>
      </c>
    </row>
    <row r="3467" spans="5:11" x14ac:dyDescent="0.35">
      <c r="E3467" s="9" t="str">
        <v>EPSG</v>
      </c>
      <c r="F3467" s="7" t="str">
        <v>6586</v>
      </c>
      <c r="G3467" t="str">
        <v>ProjectedCrs</v>
      </c>
      <c r="H3467" t="str">
        <v>Lambert Conic Conformal (2SP)</v>
      </c>
      <c r="I3467" t="str">
        <v>NAD83(2011) / Texas South (ftUS)</v>
      </c>
      <c r="J3467" t="str">
        <v>United States (USA) - Texas - counties of Brooks; Cameron; Duval; Hidalgo; Jim Hogg; Jim Wells; Kenedy; Kleberg; Nueces; San Patricio; Starr; Webb; Willacy; Zapata.</v>
      </c>
      <c r="K3467" s="11">
        <v>0</v>
      </c>
    </row>
    <row r="3468" spans="5:11" x14ac:dyDescent="0.35">
      <c r="E3468" s="9" t="str">
        <v>EPSG</v>
      </c>
      <c r="F3468" s="7" t="str">
        <v>6587</v>
      </c>
      <c r="G3468" t="str">
        <v>ProjectedCrs</v>
      </c>
      <c r="H3468" t="str">
        <v>Lambert Conic Conformal (2SP)</v>
      </c>
      <c r="I3468" t="str">
        <v>NAD83(2011) / Texas South Central</v>
      </c>
      <c r="J3468"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3468" s="11">
        <v>0</v>
      </c>
    </row>
    <row r="3469" spans="5:11" x14ac:dyDescent="0.35">
      <c r="E3469" s="9" t="str">
        <v>EPSG</v>
      </c>
      <c r="F3469" s="7" t="str">
        <v>6588</v>
      </c>
      <c r="G3469" t="str">
        <v>ProjectedCrs</v>
      </c>
      <c r="H3469" t="str">
        <v>Lambert Conic Conformal (2SP)</v>
      </c>
      <c r="I3469" t="str">
        <v>NAD83(2011) / Texas South Central (ftUS)</v>
      </c>
      <c r="J3469"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3469" s="11">
        <v>0</v>
      </c>
    </row>
    <row r="3470" spans="5:11" x14ac:dyDescent="0.35">
      <c r="E3470" s="9" t="str">
        <v>EPSG</v>
      </c>
      <c r="F3470" s="7" t="str">
        <v>6589</v>
      </c>
      <c r="G3470" t="str">
        <v>ProjectedCrs</v>
      </c>
      <c r="H3470" t="str">
        <v>Transverse Mercator</v>
      </c>
      <c r="I3470" t="str">
        <v>NAD83(2011) / Vermont</v>
      </c>
      <c r="J3470" t="str">
        <v>United States (USA) - Vermont - counties of Addison; Bennington; Caledonia; Chittenden; Essex; Franklin; Grand Isle; Lamoille; Orange; Orleans; Rutland; Washington; Windham; Windsor.</v>
      </c>
      <c r="K3470" s="11">
        <v>0</v>
      </c>
    </row>
    <row r="3471" spans="5:11" x14ac:dyDescent="0.35">
      <c r="E3471" s="9" t="str">
        <v>EPSG</v>
      </c>
      <c r="F3471" s="7" t="str">
        <v>6590</v>
      </c>
      <c r="G3471" t="str">
        <v>ProjectedCrs</v>
      </c>
      <c r="H3471" t="str">
        <v>Transverse Mercator</v>
      </c>
      <c r="I3471" t="str">
        <v>NAD83(2011) / Vermont (ftUS)</v>
      </c>
      <c r="J3471" t="str">
        <v>United States (USA) - Vermont - counties of Addison; Bennington; Caledonia; Chittenden; Essex; Franklin; Grand Isle; Lamoille; Orange; Orleans; Rutland; Washington; Windham; Windsor.</v>
      </c>
      <c r="K3471" s="11">
        <v>0</v>
      </c>
    </row>
    <row r="3472" spans="5:11" x14ac:dyDescent="0.35">
      <c r="E3472" s="9" t="str">
        <v>EPSG</v>
      </c>
      <c r="F3472" s="7" t="str">
        <v>6591</v>
      </c>
      <c r="G3472" t="str">
        <v>ProjectedCrs</v>
      </c>
      <c r="H3472" t="str">
        <v>Lambert Conic Conformal (2SP)</v>
      </c>
      <c r="I3472" t="str">
        <v>NAD83(2011) / Virginia Lambert</v>
      </c>
      <c r="J3472" t="str">
        <v>United States (USA) - Virginia.</v>
      </c>
      <c r="K3472" s="11">
        <v>0</v>
      </c>
    </row>
    <row r="3473" spans="5:11" x14ac:dyDescent="0.35">
      <c r="E3473" s="9" t="str">
        <v>EPSG</v>
      </c>
      <c r="F3473" s="7" t="str">
        <v>6592</v>
      </c>
      <c r="G3473" t="str">
        <v>ProjectedCrs</v>
      </c>
      <c r="H3473" t="str">
        <v>Lambert Conic Conformal (2SP)</v>
      </c>
      <c r="I3473" t="str">
        <v>NAD83(2011) / Virginia North</v>
      </c>
      <c r="J3473" t="str">
        <v>United States (USA) - Virginia - counties of Arlington; Augusta; Bath; Caroline; Clarke; Culpeper; Fairfax; Fauquier; Frederick; Greene; Highland; King George; Loudoun; Madison; Orange; Page; Prince William; Rappahannock; Rockingham; Shenandoah; Spotsylvania; Stafford; Warren; Westmoreland.</v>
      </c>
      <c r="K3473" s="11">
        <v>0</v>
      </c>
    </row>
    <row r="3474" spans="5:11" x14ac:dyDescent="0.35">
      <c r="E3474" s="9" t="str">
        <v>EPSG</v>
      </c>
      <c r="F3474" s="7" t="str">
        <v>6593</v>
      </c>
      <c r="G3474" t="str">
        <v>ProjectedCrs</v>
      </c>
      <c r="H3474" t="str">
        <v>Lambert Conic Conformal (2SP)</v>
      </c>
      <c r="I3474" t="str">
        <v>NAD83(2011) / Virginia North (ftUS)</v>
      </c>
      <c r="J3474" t="str">
        <v>United States (USA) - Virginia - counties of Arlington; Augusta; Bath; Caroline; Clarke; Culpeper; Fairfax; Fauquier; Frederick; Greene; Highland; King George; Loudoun; Madison; Orange; Page; Prince William; Rappahannock; Rockingham; Shenandoah; Spotsylvania; Stafford; Warren; Westmoreland.</v>
      </c>
      <c r="K3474" s="11">
        <v>0</v>
      </c>
    </row>
    <row r="3475" spans="5:11" x14ac:dyDescent="0.35">
      <c r="E3475" s="9" t="str">
        <v>EPSG</v>
      </c>
      <c r="F3475" s="7" t="str">
        <v>6594</v>
      </c>
      <c r="G3475" t="str">
        <v>ProjectedCrs</v>
      </c>
      <c r="H3475" t="str">
        <v>Lambert Conic Conformal (2SP)</v>
      </c>
      <c r="I3475" t="str">
        <v>NAD83(2011) / Virginia South</v>
      </c>
      <c r="J3475"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3475" s="11">
        <v>0</v>
      </c>
    </row>
    <row r="3476" spans="5:11" x14ac:dyDescent="0.35">
      <c r="E3476" s="9" t="str">
        <v>EPSG</v>
      </c>
      <c r="F3476" s="7" t="str">
        <v>6595</v>
      </c>
      <c r="G3476" t="str">
        <v>ProjectedCrs</v>
      </c>
      <c r="H3476" t="str">
        <v>Lambert Conic Conformal (2SP)</v>
      </c>
      <c r="I3476" t="str">
        <v>NAD83(2011) / Virginia South (ftUS)</v>
      </c>
      <c r="J3476"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3476" s="11">
        <v>0</v>
      </c>
    </row>
    <row r="3477" spans="5:11" x14ac:dyDescent="0.35">
      <c r="E3477" s="9" t="str">
        <v>EPSG</v>
      </c>
      <c r="F3477" s="7" t="str">
        <v>6596</v>
      </c>
      <c r="G3477" t="str">
        <v>ProjectedCrs</v>
      </c>
      <c r="H3477" t="str">
        <v>Lambert Conic Conformal (2SP)</v>
      </c>
      <c r="I3477" t="str">
        <v>NAD83(2011) / Washington North</v>
      </c>
      <c r="J3477" t="str">
        <v>United States (USA) - Washington - counties of Chelan; Clallam; Douglas; Ferry; Grant north of approximately 47°30'N; Island; Jefferson; King; Kitsap; Lincoln; Okanogan; Pend Oreille; San Juan; Skagit; Snohomish; Spokane; Stevens; Whatcom.</v>
      </c>
      <c r="K3477" s="11">
        <v>0</v>
      </c>
    </row>
    <row r="3478" spans="5:11" x14ac:dyDescent="0.35">
      <c r="E3478" s="9" t="str">
        <v>EPSG</v>
      </c>
      <c r="F3478" s="7" t="str">
        <v>6597</v>
      </c>
      <c r="G3478" t="str">
        <v>ProjectedCrs</v>
      </c>
      <c r="H3478" t="str">
        <v>Lambert Conic Conformal (2SP)</v>
      </c>
      <c r="I3478" t="str">
        <v>NAD83(2011) / Washington North (ftUS)</v>
      </c>
      <c r="J3478" t="str">
        <v>United States (USA) - Washington - counties of Chelan; Clallam; Douglas; Ferry; Grant north of approximately 47°30'N; Island; Jefferson; King; Kitsap; Lincoln; Okanogan; Pend Oreille; San Juan; Skagit; Snohomish; Spokane; Stevens; Whatcom.</v>
      </c>
      <c r="K3478" s="11">
        <v>0</v>
      </c>
    </row>
    <row r="3479" spans="5:11" x14ac:dyDescent="0.35">
      <c r="E3479" s="9" t="str">
        <v>EPSG</v>
      </c>
      <c r="F3479" s="7" t="str">
        <v>6598</v>
      </c>
      <c r="G3479" t="str">
        <v>ProjectedCrs</v>
      </c>
      <c r="H3479" t="str">
        <v>Lambert Conic Conformal (2SP)</v>
      </c>
      <c r="I3479" t="str">
        <v>NAD83(2011) / Washington South</v>
      </c>
      <c r="J3479" t="str">
        <v>United States (USA) - Washington - counties of Adams; Asotin; Benton; Clark; Columbia; Cowlitz; Franklin; Garfield; Grant south of approximately 47°30'N; Grays Harbor; Kittitas; Klickitat; Lewis; Mason; Pacific; Pierce; Skamania; Thurston; Wahkiakum; Walla Walla; Whitman; Yakima.</v>
      </c>
      <c r="K3479" s="11">
        <v>0</v>
      </c>
    </row>
    <row r="3480" spans="5:11" x14ac:dyDescent="0.35">
      <c r="E3480" s="9" t="str">
        <v>EPSG</v>
      </c>
      <c r="F3480" s="7" t="str">
        <v>6599</v>
      </c>
      <c r="G3480" t="str">
        <v>ProjectedCrs</v>
      </c>
      <c r="H3480" t="str">
        <v>Lambert Conic Conformal (2SP)</v>
      </c>
      <c r="I3480" t="str">
        <v>NAD83(2011) / Washington South (ftUS)</v>
      </c>
      <c r="J3480" t="str">
        <v>United States (USA) - Washington - counties of Adams; Asotin; Benton; Clark; Columbia; Cowlitz; Franklin; Garfield; Grant south of approximately 47°30'N; Grays Harbor; Kittitas; Klickitat; Lewis; Mason; Pacific; Pierce; Skamania; Thurston; Wahkiakum; Walla Walla; Whitman; Yakima.</v>
      </c>
      <c r="K3480" s="11">
        <v>0</v>
      </c>
    </row>
    <row r="3481" spans="5:11" x14ac:dyDescent="0.35">
      <c r="E3481" s="9" t="str">
        <v>EPSG</v>
      </c>
      <c r="F3481" s="7" t="str">
        <v>6600</v>
      </c>
      <c r="G3481" t="str">
        <v>ProjectedCrs</v>
      </c>
      <c r="H3481" t="str">
        <v>Lambert Conic Conformal (2SP)</v>
      </c>
      <c r="I3481" t="str">
        <v>NAD83(2011) / West Virginia North</v>
      </c>
      <c r="J3481" t="str">
        <v>United States (USA) - West Virginia - counties of Barbour; Berkeley; Brooke; Doddridge; Grant; Hampshire; Hancock; Hardy; Harrison; Jefferson; Marion; Marshall; Mineral; Monongalia; Morgan; Ohio; Pleasants; Preston; Ritchie; Taylor; Tucker; Tyler; Wetzel; Wirt; Wood.</v>
      </c>
      <c r="K3481" s="11">
        <v>0</v>
      </c>
    </row>
    <row r="3482" spans="5:11" x14ac:dyDescent="0.35">
      <c r="E3482" s="9" t="str">
        <v>EPSG</v>
      </c>
      <c r="F3482" s="7" t="str">
        <v>6601</v>
      </c>
      <c r="G3482" t="str">
        <v>ProjectedCrs</v>
      </c>
      <c r="H3482" t="str">
        <v>Lambert Conic Conformal (2SP)</v>
      </c>
      <c r="I3482" t="str">
        <v>NAD83(2011) / West Virginia North (ftUS)</v>
      </c>
      <c r="J3482" t="str">
        <v>United States (USA) - West Virginia - counties of Barbour; Berkeley; Brooke; Doddridge; Grant; Hampshire; Hancock; Hardy; Harrison; Jefferson; Marion; Marshall; Mineral; Monongalia; Morgan; Ohio; Pleasants; Preston; Ritchie; Taylor; Tucker; Tyler; Wetzel; Wirt; Wood.</v>
      </c>
      <c r="K3482" s="11">
        <v>0</v>
      </c>
    </row>
    <row r="3483" spans="5:11" x14ac:dyDescent="0.35">
      <c r="E3483" s="9" t="str">
        <v>EPSG</v>
      </c>
      <c r="F3483" s="7" t="str">
        <v>6602</v>
      </c>
      <c r="G3483" t="str">
        <v>ProjectedCrs</v>
      </c>
      <c r="H3483" t="str">
        <v>Lambert Conic Conformal (2SP)</v>
      </c>
      <c r="I3483" t="str">
        <v>NAD83(2011) / West Virginia South</v>
      </c>
      <c r="J3483"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3483" s="11">
        <v>0</v>
      </c>
    </row>
    <row r="3484" spans="5:11" x14ac:dyDescent="0.35">
      <c r="E3484" s="9" t="str">
        <v>EPSG</v>
      </c>
      <c r="F3484" s="7" t="str">
        <v>6603</v>
      </c>
      <c r="G3484" t="str">
        <v>ProjectedCrs</v>
      </c>
      <c r="H3484" t="str">
        <v>Lambert Conic Conformal (2SP)</v>
      </c>
      <c r="I3484" t="str">
        <v>NAD83(2011) / West Virginia South (ftUS)</v>
      </c>
      <c r="J3484"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3484" s="11">
        <v>0</v>
      </c>
    </row>
    <row r="3485" spans="5:11" x14ac:dyDescent="0.35">
      <c r="E3485" s="9" t="str">
        <v>EPSG</v>
      </c>
      <c r="F3485" s="7" t="str">
        <v>6605</v>
      </c>
      <c r="G3485" t="str">
        <v>ProjectedCrs</v>
      </c>
      <c r="H3485" t="str">
        <v>Lambert Conic Conformal (2SP)</v>
      </c>
      <c r="I3485" t="str">
        <v>NAD83(2011) / Wisconsin Central (ftUS)</v>
      </c>
      <c r="J3485" t="str">
        <v>United States (USA) - Wisconsin - counties of Barron; Brown; Buffalo; Chippewa; Clark; Door; Dunn; Eau Claire; Jackson; Kewaunee; Langlade; Lincoln; Marathon; Marinette; Menominee; Oconto; Outagamie; Pepin; Pierce; Polk; Portage; Rusk; Shawano; St Croix; Taylor; Trempealeau; Waupaca; Wood.</v>
      </c>
      <c r="K3485" s="11">
        <v>0</v>
      </c>
    </row>
    <row r="3486" spans="5:11" x14ac:dyDescent="0.35">
      <c r="E3486" s="9" t="str">
        <v>EPSG</v>
      </c>
      <c r="F3486" s="7" t="str">
        <v>6606</v>
      </c>
      <c r="G3486" t="str">
        <v>ProjectedCrs</v>
      </c>
      <c r="H3486" t="str">
        <v>Lambert Conic Conformal (2SP)</v>
      </c>
      <c r="I3486" t="str">
        <v>NAD83(2011) / Wisconsin North</v>
      </c>
      <c r="J3486" t="str">
        <v>United States (USA) - Wisconsin - counties of Ashland; Bayfield; Burnett; Douglas; Florence; Forest; Iron; Oneida; Price; Sawyer; Vilas; Washburn.</v>
      </c>
      <c r="K3486" s="11">
        <v>0</v>
      </c>
    </row>
    <row r="3487" spans="5:11" x14ac:dyDescent="0.35">
      <c r="E3487" s="9" t="str">
        <v>EPSG</v>
      </c>
      <c r="F3487" s="7" t="str">
        <v>6607</v>
      </c>
      <c r="G3487" t="str">
        <v>ProjectedCrs</v>
      </c>
      <c r="H3487" t="str">
        <v>Lambert Conic Conformal (2SP)</v>
      </c>
      <c r="I3487" t="str">
        <v>NAD83(2011) / Wisconsin North (ftUS)</v>
      </c>
      <c r="J3487" t="str">
        <v>United States (USA) - Wisconsin - counties of Ashland; Bayfield; Burnett; Douglas; Florence; Forest; Iron; Oneida; Price; Sawyer; Vilas; Washburn.</v>
      </c>
      <c r="K3487" s="11">
        <v>0</v>
      </c>
    </row>
    <row r="3488" spans="5:11" x14ac:dyDescent="0.35">
      <c r="E3488" s="9" t="str">
        <v>EPSG</v>
      </c>
      <c r="F3488" s="7" t="str">
        <v>6608</v>
      </c>
      <c r="G3488" t="str">
        <v>ProjectedCrs</v>
      </c>
      <c r="H3488" t="str">
        <v>Lambert Conic Conformal (2SP)</v>
      </c>
      <c r="I3488" t="str">
        <v>NAD83(2011) / Wisconsin South</v>
      </c>
      <c r="J3488"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3488" s="11">
        <v>0</v>
      </c>
    </row>
    <row r="3489" spans="5:11" x14ac:dyDescent="0.35">
      <c r="E3489" s="9" t="str">
        <v>EPSG</v>
      </c>
      <c r="F3489" s="7" t="str">
        <v>6609</v>
      </c>
      <c r="G3489" t="str">
        <v>ProjectedCrs</v>
      </c>
      <c r="H3489" t="str">
        <v>Lambert Conic Conformal (2SP)</v>
      </c>
      <c r="I3489" t="str">
        <v>NAD83(2011) / Wisconsin South (ftUS)</v>
      </c>
      <c r="J3489"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3489" s="11">
        <v>0</v>
      </c>
    </row>
    <row r="3490" spans="5:11" x14ac:dyDescent="0.35">
      <c r="E3490" s="9" t="str">
        <v>EPSG</v>
      </c>
      <c r="F3490" s="7" t="str">
        <v>6610</v>
      </c>
      <c r="G3490" t="str">
        <v>ProjectedCrs</v>
      </c>
      <c r="H3490" t="str">
        <v>Transverse Mercator</v>
      </c>
      <c r="I3490" t="str">
        <v>NAD83(2011) / Wisconsin Transverse Mercator</v>
      </c>
      <c r="J3490" t="str">
        <v>United States (USA) - Wisconsin.</v>
      </c>
      <c r="K3490" s="11">
        <v>0</v>
      </c>
    </row>
    <row r="3491" spans="5:11" x14ac:dyDescent="0.35">
      <c r="E3491" s="9" t="str">
        <v>EPSG</v>
      </c>
      <c r="F3491" s="7" t="str">
        <v>6611</v>
      </c>
      <c r="G3491" t="str">
        <v>ProjectedCrs</v>
      </c>
      <c r="H3491" t="str">
        <v>Transverse Mercator</v>
      </c>
      <c r="I3491" t="str">
        <v>NAD83(2011) / Wyoming East</v>
      </c>
      <c r="J3491" t="str">
        <v>United States (USA) - Wyoming - counties of Albany; Campbell; Converse; Crook; Goshen; Laramie; Niobrara; Platte; Weston.</v>
      </c>
      <c r="K3491" s="11">
        <v>0</v>
      </c>
    </row>
    <row r="3492" spans="5:11" x14ac:dyDescent="0.35">
      <c r="E3492" s="9" t="str">
        <v>EPSG</v>
      </c>
      <c r="F3492" s="7" t="str">
        <v>6612</v>
      </c>
      <c r="G3492" t="str">
        <v>ProjectedCrs</v>
      </c>
      <c r="H3492" t="str">
        <v>Transverse Mercator</v>
      </c>
      <c r="I3492" t="str">
        <v>NAD83(2011) / Wyoming East (ftUS)</v>
      </c>
      <c r="J3492" t="str">
        <v>United States (USA) - Wyoming - counties of Albany; Campbell; Converse; Crook; Goshen; Laramie; Niobrara; Platte; Weston.</v>
      </c>
      <c r="K3492" s="11">
        <v>0</v>
      </c>
    </row>
    <row r="3493" spans="5:11" x14ac:dyDescent="0.35">
      <c r="E3493" s="9" t="str">
        <v>EPSG</v>
      </c>
      <c r="F3493" s="7" t="str">
        <v>6613</v>
      </c>
      <c r="G3493" t="str">
        <v>ProjectedCrs</v>
      </c>
      <c r="H3493" t="str">
        <v>Transverse Mercator</v>
      </c>
      <c r="I3493" t="str">
        <v>NAD83(2011) / Wyoming East Central</v>
      </c>
      <c r="J3493" t="str">
        <v>United States (USA) - Wyoming - counties of Big Horn; Carbon; Johnson; Natrona; Sheridan; Washakie.</v>
      </c>
      <c r="K3493" s="11">
        <v>0</v>
      </c>
    </row>
    <row r="3494" spans="5:11" x14ac:dyDescent="0.35">
      <c r="E3494" s="9" t="str">
        <v>EPSG</v>
      </c>
      <c r="F3494" s="7" t="str">
        <v>6614</v>
      </c>
      <c r="G3494" t="str">
        <v>ProjectedCrs</v>
      </c>
      <c r="H3494" t="str">
        <v>Transverse Mercator</v>
      </c>
      <c r="I3494" t="str">
        <v>NAD83(2011) / Wyoming East Central (ftUS)</v>
      </c>
      <c r="J3494" t="str">
        <v>United States (USA) - Wyoming - counties of Big Horn; Carbon; Johnson; Natrona; Sheridan; Washakie.</v>
      </c>
      <c r="K3494" s="11">
        <v>0</v>
      </c>
    </row>
    <row r="3495" spans="5:11" x14ac:dyDescent="0.35">
      <c r="E3495" s="9" t="str">
        <v>EPSG</v>
      </c>
      <c r="F3495" s="7" t="str">
        <v>6615</v>
      </c>
      <c r="G3495" t="str">
        <v>ProjectedCrs</v>
      </c>
      <c r="H3495" t="str">
        <v>Transverse Mercator</v>
      </c>
      <c r="I3495" t="str">
        <v>NAD83(2011) / Wyoming West</v>
      </c>
      <c r="J3495" t="str">
        <v>United States (USA) - Wyoming - counties of Lincoln; Sublette; Teton; Uinta.</v>
      </c>
      <c r="K3495" s="11">
        <v>0</v>
      </c>
    </row>
    <row r="3496" spans="5:11" x14ac:dyDescent="0.35">
      <c r="E3496" s="9" t="str">
        <v>EPSG</v>
      </c>
      <c r="F3496" s="7" t="str">
        <v>6616</v>
      </c>
      <c r="G3496" t="str">
        <v>ProjectedCrs</v>
      </c>
      <c r="H3496" t="str">
        <v>Transverse Mercator</v>
      </c>
      <c r="I3496" t="str">
        <v>NAD83(2011) / Wyoming West (ftUS)</v>
      </c>
      <c r="J3496" t="str">
        <v>United States (USA) - Wyoming - counties of Lincoln; Sublette; Teton; Uinta.</v>
      </c>
      <c r="K3496" s="11">
        <v>0</v>
      </c>
    </row>
    <row r="3497" spans="5:11" x14ac:dyDescent="0.35">
      <c r="E3497" s="9" t="str">
        <v>EPSG</v>
      </c>
      <c r="F3497" s="7" t="str">
        <v>6617</v>
      </c>
      <c r="G3497" t="str">
        <v>ProjectedCrs</v>
      </c>
      <c r="H3497" t="str">
        <v>Transverse Mercator</v>
      </c>
      <c r="I3497" t="str">
        <v>NAD83(2011) / Wyoming West Central</v>
      </c>
      <c r="J3497" t="str">
        <v>United States (USA) - Wyoming - counties of Fremont; Hot Springs; Park; Sweetwater.</v>
      </c>
      <c r="K3497" s="11">
        <v>0</v>
      </c>
    </row>
    <row r="3498" spans="5:11" x14ac:dyDescent="0.35">
      <c r="E3498" s="9" t="str">
        <v>EPSG</v>
      </c>
      <c r="F3498" s="7" t="str">
        <v>6618</v>
      </c>
      <c r="G3498" t="str">
        <v>ProjectedCrs</v>
      </c>
      <c r="H3498" t="str">
        <v>Transverse Mercator</v>
      </c>
      <c r="I3498" t="str">
        <v>NAD83(2011) / Wyoming West Central (ftUS)</v>
      </c>
      <c r="J3498" t="str">
        <v>United States (USA) - Wyoming - counties of Fremont; Hot Springs; Park; Sweetwater.</v>
      </c>
      <c r="K3498" s="11">
        <v>0</v>
      </c>
    </row>
    <row r="3499" spans="5:11" x14ac:dyDescent="0.35">
      <c r="E3499" s="9" t="str">
        <v>EPSG</v>
      </c>
      <c r="F3499" s="7" t="str">
        <v>6619</v>
      </c>
      <c r="G3499" t="str">
        <v>ProjectedCrs</v>
      </c>
      <c r="H3499" t="str">
        <v>Lambert Conic Conformal (2SP)</v>
      </c>
      <c r="I3499" t="str">
        <v>NAD83(2011) / Utah Central</v>
      </c>
      <c r="J3499" t="str">
        <v>United States (USA) - Utah - counties of Carbon; Duchesne; Emery; Grand; Juab; Millard; Salt Lake; Sanpete; Sevier; Tooele; Uintah; Utah; Wasatch.</v>
      </c>
      <c r="K3499" s="11">
        <v>0</v>
      </c>
    </row>
    <row r="3500" spans="5:11" x14ac:dyDescent="0.35">
      <c r="E3500" s="9" t="str">
        <v>EPSG</v>
      </c>
      <c r="F3500" s="7" t="str">
        <v>6620</v>
      </c>
      <c r="G3500" t="str">
        <v>ProjectedCrs</v>
      </c>
      <c r="H3500" t="str">
        <v>Lambert Conic Conformal (2SP)</v>
      </c>
      <c r="I3500" t="str">
        <v>NAD83(2011) / Utah North</v>
      </c>
      <c r="J3500" t="str">
        <v>United States (USA) - Utah - counties of Box Elder; Cache; Daggett; Davis; Morgan; Rich; Summit; Weber.</v>
      </c>
      <c r="K3500" s="11">
        <v>0</v>
      </c>
    </row>
    <row r="3501" spans="5:11" x14ac:dyDescent="0.35">
      <c r="E3501" s="9" t="str">
        <v>EPSG</v>
      </c>
      <c r="F3501" s="7" t="str">
        <v>6621</v>
      </c>
      <c r="G3501" t="str">
        <v>ProjectedCrs</v>
      </c>
      <c r="H3501" t="str">
        <v>Lambert Conic Conformal (2SP)</v>
      </c>
      <c r="I3501" t="str">
        <v>NAD83(2011) / Utah South</v>
      </c>
      <c r="J3501" t="str">
        <v>United States (USA) - Utah - counties of Beaver; Garfield; Iron; Kane; Piute; San Juan; Washington; Wayne.</v>
      </c>
      <c r="K3501" s="11">
        <v>0</v>
      </c>
    </row>
    <row r="3502" spans="5:11" x14ac:dyDescent="0.35">
      <c r="E3502" s="9" t="str">
        <v>EPSG</v>
      </c>
      <c r="F3502" s="7" t="str">
        <v>6622</v>
      </c>
      <c r="G3502" t="str">
        <v>ProjectedCrs</v>
      </c>
      <c r="H3502" t="str">
        <v>Lambert Conic Conformal (2SP)</v>
      </c>
      <c r="I3502" t="str">
        <v>NAD83(CSRS)v2 / Quebec Lambert</v>
      </c>
      <c r="J3502" t="str">
        <v>Canada - Quebec.</v>
      </c>
      <c r="K3502" s="11">
        <v>0</v>
      </c>
    </row>
    <row r="3503" spans="5:11" x14ac:dyDescent="0.35">
      <c r="E3503" s="9" t="str">
        <v>EPSG</v>
      </c>
      <c r="F3503" s="7" t="str">
        <v>6623</v>
      </c>
      <c r="G3503" t="str">
        <v>ProjectedCrs</v>
      </c>
      <c r="H3503" t="str">
        <v>Albers Equal Area</v>
      </c>
      <c r="I3503" t="str">
        <v>NAD83 / Quebec Albers</v>
      </c>
      <c r="J3503" t="str">
        <v>Canada - Quebec.</v>
      </c>
      <c r="K3503" s="11">
        <v>0</v>
      </c>
    </row>
    <row r="3504" spans="5:11" x14ac:dyDescent="0.35">
      <c r="E3504" s="9" t="str">
        <v>EPSG</v>
      </c>
      <c r="F3504" s="7" t="str">
        <v>6624</v>
      </c>
      <c r="G3504" t="str">
        <v>ProjectedCrs</v>
      </c>
      <c r="H3504" t="str">
        <v>Albers Equal Area</v>
      </c>
      <c r="I3504" t="str">
        <v>NAD83(CSRS)v2 / Quebec Albers</v>
      </c>
      <c r="J3504" t="str">
        <v>Canada - Quebec.</v>
      </c>
      <c r="K3504" s="11">
        <v>0</v>
      </c>
    </row>
    <row r="3505" spans="5:11" x14ac:dyDescent="0.35">
      <c r="E3505" s="9" t="str">
        <v>EPSG</v>
      </c>
      <c r="F3505" s="7" t="str">
        <v>6625</v>
      </c>
      <c r="G3505" t="str">
        <v>ProjectedCrs</v>
      </c>
      <c r="H3505" t="str">
        <v>Lambert Conic Conformal (2SP)</v>
      </c>
      <c r="I3505" t="str">
        <v>NAD83(2011) / Utah Central (ftUS)</v>
      </c>
      <c r="J3505" t="str">
        <v>United States (USA) - Utah - counties of Carbon; Duchesne; Emery; Grand; Juab; Millard; Salt Lake; Sanpete; Sevier; Tooele; Uintah; Utah; Wasatch.</v>
      </c>
      <c r="K3505" s="11">
        <v>0</v>
      </c>
    </row>
    <row r="3506" spans="5:11" x14ac:dyDescent="0.35">
      <c r="E3506" s="9" t="str">
        <v>EPSG</v>
      </c>
      <c r="F3506" s="7" t="str">
        <v>6626</v>
      </c>
      <c r="G3506" t="str">
        <v>ProjectedCrs</v>
      </c>
      <c r="H3506" t="str">
        <v>Lambert Conic Conformal (2SP)</v>
      </c>
      <c r="I3506" t="str">
        <v>NAD83(2011) / Utah North (ftUS)</v>
      </c>
      <c r="J3506" t="str">
        <v>United States (USA) - Utah - counties of Box Elder; Cache; Daggett; Davis; Morgan; Rich; Summit; Weber.</v>
      </c>
      <c r="K3506" s="11">
        <v>0</v>
      </c>
    </row>
    <row r="3507" spans="5:11" x14ac:dyDescent="0.35">
      <c r="E3507" s="9" t="str">
        <v>EPSG</v>
      </c>
      <c r="F3507" s="7" t="str">
        <v>6627</v>
      </c>
      <c r="G3507" t="str">
        <v>ProjectedCrs</v>
      </c>
      <c r="H3507" t="str">
        <v>Lambert Conic Conformal (2SP)</v>
      </c>
      <c r="I3507" t="str">
        <v>NAD83(2011) / Utah South (ftUS)</v>
      </c>
      <c r="J3507" t="str">
        <v>United States (USA) - Utah - counties of Beaver; Garfield; Iron; Kane; Piute; San Juan; Washington; Wayne.</v>
      </c>
      <c r="K3507" s="11">
        <v>0</v>
      </c>
    </row>
    <row r="3508" spans="5:11" x14ac:dyDescent="0.35">
      <c r="E3508" s="9" t="str">
        <v>EPSG</v>
      </c>
      <c r="F3508" s="7" t="str">
        <v>6628</v>
      </c>
      <c r="G3508" t="str">
        <v>ProjectedCrs</v>
      </c>
      <c r="H3508" t="str">
        <v>Transverse Mercator</v>
      </c>
      <c r="I3508" t="str">
        <v>NAD83(PA11) / Hawaii zone 1</v>
      </c>
      <c r="J3508" t="str">
        <v>United States (USA) - Hawaii - island of Hawaii - onshore.</v>
      </c>
      <c r="K3508" s="11">
        <v>0</v>
      </c>
    </row>
    <row r="3509" spans="5:11" x14ac:dyDescent="0.35">
      <c r="E3509" s="9" t="str">
        <v>EPSG</v>
      </c>
      <c r="F3509" s="7" t="str">
        <v>6629</v>
      </c>
      <c r="G3509" t="str">
        <v>ProjectedCrs</v>
      </c>
      <c r="H3509" t="str">
        <v>Transverse Mercator</v>
      </c>
      <c r="I3509" t="str">
        <v>NAD83(PA11) / Hawaii zone 2</v>
      </c>
      <c r="J3509" t="str">
        <v>United States (USA) - Hawaii - Maui; Kahoolawe; Lanai; Molokai - onshore.</v>
      </c>
      <c r="K3509" s="11">
        <v>0</v>
      </c>
    </row>
    <row r="3510" spans="5:11" x14ac:dyDescent="0.35">
      <c r="E3510" s="9" t="str">
        <v>EPSG</v>
      </c>
      <c r="F3510" s="7" t="str">
        <v>6630</v>
      </c>
      <c r="G3510" t="str">
        <v>ProjectedCrs</v>
      </c>
      <c r="H3510" t="str">
        <v>Transverse Mercator</v>
      </c>
      <c r="I3510" t="str">
        <v>NAD83(PA11) / Hawaii zone 3</v>
      </c>
      <c r="J3510" t="str">
        <v>United States (USA) - Hawaii - Oahu - onshore.</v>
      </c>
      <c r="K3510" s="11">
        <v>0</v>
      </c>
    </row>
    <row r="3511" spans="5:11" x14ac:dyDescent="0.35">
      <c r="E3511" s="9" t="str">
        <v>EPSG</v>
      </c>
      <c r="F3511" s="7" t="str">
        <v>6631</v>
      </c>
      <c r="G3511" t="str">
        <v>ProjectedCrs</v>
      </c>
      <c r="H3511" t="str">
        <v>Transverse Mercator</v>
      </c>
      <c r="I3511" t="str">
        <v>NAD83(PA11) / Hawaii zone 4</v>
      </c>
      <c r="J3511" t="str">
        <v>United States (USA) - Hawaii - Kauai - onshore.</v>
      </c>
      <c r="K3511" s="11">
        <v>0</v>
      </c>
    </row>
    <row r="3512" spans="5:11" x14ac:dyDescent="0.35">
      <c r="E3512" s="9" t="str">
        <v>EPSG</v>
      </c>
      <c r="F3512" s="7" t="str">
        <v>6632</v>
      </c>
      <c r="G3512" t="str">
        <v>ProjectedCrs</v>
      </c>
      <c r="H3512" t="str">
        <v>Transverse Mercator</v>
      </c>
      <c r="I3512" t="str">
        <v>NAD83(PA11) / Hawaii zone 5</v>
      </c>
      <c r="J3512" t="str">
        <v>United States (USA) - Hawaii - Niihau - onshore.</v>
      </c>
      <c r="K3512" s="11">
        <v>0</v>
      </c>
    </row>
    <row r="3513" spans="5:11" x14ac:dyDescent="0.35">
      <c r="E3513" s="9" t="str">
        <v>EPSG</v>
      </c>
      <c r="F3513" s="7" t="str">
        <v>6633</v>
      </c>
      <c r="G3513" t="str">
        <v>ProjectedCrs</v>
      </c>
      <c r="H3513" t="str">
        <v>Transverse Mercator</v>
      </c>
      <c r="I3513" t="str">
        <v>NAD83(PA11) / Hawaii zone 3 (ftUS)</v>
      </c>
      <c r="J3513" t="str">
        <v>United States (USA) - Hawaii - Oahu - onshore.</v>
      </c>
      <c r="K3513" s="11">
        <v>0</v>
      </c>
    </row>
    <row r="3514" spans="5:11" x14ac:dyDescent="0.35">
      <c r="E3514" s="9" t="str">
        <v>EPSG</v>
      </c>
      <c r="F3514" s="7" t="str">
        <v>6634</v>
      </c>
      <c r="G3514" t="str">
        <v>ProjectedCrs</v>
      </c>
      <c r="H3514" t="str">
        <v>Transverse Mercator</v>
      </c>
      <c r="I3514" t="str">
        <v>NAD83(PA11) / UTM zone 4N</v>
      </c>
      <c r="J3514" t="str">
        <v>United States (USA) - between 162°W and 156°W onshore - Hawaii.</v>
      </c>
      <c r="K3514" s="11">
        <v>0</v>
      </c>
    </row>
    <row r="3515" spans="5:11" x14ac:dyDescent="0.35">
      <c r="E3515" s="9" t="str">
        <v>EPSG</v>
      </c>
      <c r="F3515" s="7" t="str">
        <v>6635</v>
      </c>
      <c r="G3515" t="str">
        <v>ProjectedCrs</v>
      </c>
      <c r="H3515" t="str">
        <v>Transverse Mercator</v>
      </c>
      <c r="I3515" t="str">
        <v>NAD83(PA11) / UTM zone 5N</v>
      </c>
      <c r="J3515" t="str">
        <v>United States (USA) - between 156°W and 150°W onshore - Hawaii.</v>
      </c>
      <c r="K3515" s="11">
        <v>0</v>
      </c>
    </row>
    <row r="3516" spans="5:11" x14ac:dyDescent="0.35">
      <c r="E3516" s="9" t="str">
        <v>EPSG</v>
      </c>
      <c r="F3516" s="7" t="str">
        <v>6636</v>
      </c>
      <c r="G3516" t="str">
        <v>ProjectedCrs</v>
      </c>
      <c r="H3516" t="str">
        <v>Transverse Mercator</v>
      </c>
      <c r="I3516" t="str">
        <v>NAD83(PA11) / UTM zone 2S</v>
      </c>
      <c r="J3516" t="str">
        <v>American Samoa - Tutuila, Aunu'u, Ofu, Olesega, Ta'u and Rose islands.</v>
      </c>
      <c r="K3516" s="11">
        <v>0</v>
      </c>
    </row>
    <row r="3517" spans="5:11" x14ac:dyDescent="0.35">
      <c r="E3517" s="9" t="str">
        <v>EPSG</v>
      </c>
      <c r="F3517" s="7" t="str">
        <v>6637</v>
      </c>
      <c r="G3517" t="str">
        <v>ProjectedCrs</v>
      </c>
      <c r="H3517" t="str">
        <v>Transverse Mercator</v>
      </c>
      <c r="I3517" t="str">
        <v>NAD83(MA11) / Guam Map Grid</v>
      </c>
      <c r="J3517" t="str">
        <v>Guam - onshore.</v>
      </c>
      <c r="K3517" s="11">
        <v>0</v>
      </c>
    </row>
    <row r="3518" spans="5:11" x14ac:dyDescent="0.35">
      <c r="E3518" s="9" t="str">
        <v>EPSG</v>
      </c>
      <c r="F3518" s="7" t="str">
        <v>6638</v>
      </c>
      <c r="G3518" t="str">
        <v>VerticalCrs</v>
      </c>
      <c r="H3518" t="str">
        <v>&lt;undefined&gt;</v>
      </c>
      <c r="I3518" t="str">
        <v>Tutuila 1962 height</v>
      </c>
      <c r="J3518" t="str">
        <v>American Samoa - Tutuila island.</v>
      </c>
      <c r="K3518" s="11">
        <v>0</v>
      </c>
    </row>
    <row r="3519" spans="5:11" x14ac:dyDescent="0.35">
      <c r="E3519" s="9" t="str">
        <v>EPSG</v>
      </c>
      <c r="F3519" s="7" t="str">
        <v>6639</v>
      </c>
      <c r="G3519" t="str">
        <v>VerticalCrs</v>
      </c>
      <c r="H3519" t="str">
        <v>&lt;undefined&gt;</v>
      </c>
      <c r="I3519" t="str">
        <v>Guam 1963 height</v>
      </c>
      <c r="J3519" t="str">
        <v>Guam - onshore.</v>
      </c>
      <c r="K3519" s="11">
        <v>0</v>
      </c>
    </row>
    <row r="3520" spans="5:11" x14ac:dyDescent="0.35">
      <c r="E3520" s="9" t="str">
        <v>EPSG</v>
      </c>
      <c r="F3520" s="7" t="str">
        <v>6640</v>
      </c>
      <c r="G3520" t="str">
        <v>VerticalCrs</v>
      </c>
      <c r="H3520" t="str">
        <v>&lt;undefined&gt;</v>
      </c>
      <c r="I3520" t="str">
        <v>NMVD03 height</v>
      </c>
      <c r="J3520" t="str">
        <v>Northern Mariana Islands - onshore - Rota, Saipan and Tinian.</v>
      </c>
      <c r="K3520" s="11">
        <v>2</v>
      </c>
    </row>
    <row r="3521" spans="5:11" x14ac:dyDescent="0.35">
      <c r="E3521" s="9" t="str">
        <v>EPSG</v>
      </c>
      <c r="F3521" s="7" t="str">
        <v>6641</v>
      </c>
      <c r="G3521" t="str">
        <v>VerticalCrs</v>
      </c>
      <c r="H3521" t="str">
        <v>&lt;undefined&gt;</v>
      </c>
      <c r="I3521" t="str">
        <v>PRVD02 height</v>
      </c>
      <c r="J3521" t="str">
        <v>Puerto Rico - onshore.</v>
      </c>
      <c r="K3521" s="11">
        <v>3</v>
      </c>
    </row>
    <row r="3522" spans="5:11" x14ac:dyDescent="0.35">
      <c r="E3522" s="9" t="str">
        <v>EPSG</v>
      </c>
      <c r="F3522" s="7" t="str">
        <v>6642</v>
      </c>
      <c r="G3522" t="str">
        <v>VerticalCrs</v>
      </c>
      <c r="H3522" t="str">
        <v>&lt;undefined&gt;</v>
      </c>
      <c r="I3522" t="str">
        <v>VIVD09 height</v>
      </c>
      <c r="J3522" t="str">
        <v>US Virgin Islands - onshore - St Croix, St John, and St Thomas.</v>
      </c>
      <c r="K3522" s="11">
        <v>3</v>
      </c>
    </row>
    <row r="3523" spans="5:11" x14ac:dyDescent="0.35">
      <c r="E3523" s="9" t="str">
        <v>EPSG</v>
      </c>
      <c r="F3523" s="7" t="str">
        <v>6643</v>
      </c>
      <c r="G3523" t="str">
        <v>VerticalCrs</v>
      </c>
      <c r="H3523" t="str">
        <v>&lt;undefined&gt;</v>
      </c>
      <c r="I3523" t="str">
        <v>ASVD02 height</v>
      </c>
      <c r="J3523" t="str">
        <v>American Samoa - Tutuila island.</v>
      </c>
      <c r="K3523" s="11">
        <v>2</v>
      </c>
    </row>
    <row r="3524" spans="5:11" x14ac:dyDescent="0.35">
      <c r="E3524" s="9" t="str">
        <v>EPSG</v>
      </c>
      <c r="F3524" s="7" t="str">
        <v>6644</v>
      </c>
      <c r="G3524" t="str">
        <v>VerticalCrs</v>
      </c>
      <c r="H3524" t="str">
        <v>&lt;undefined&gt;</v>
      </c>
      <c r="I3524" t="str">
        <v>GUVD04 height</v>
      </c>
      <c r="J3524" t="str">
        <v>Guam - onshore.</v>
      </c>
      <c r="K3524" s="11">
        <v>2</v>
      </c>
    </row>
    <row r="3525" spans="5:11" x14ac:dyDescent="0.35">
      <c r="E3525" s="9" t="str">
        <v>EPSG</v>
      </c>
      <c r="F3525" s="7" t="str">
        <v>6646</v>
      </c>
      <c r="G3525" t="str">
        <v>ProjectedCrs</v>
      </c>
      <c r="H3525" t="str">
        <v>Transverse Mercator</v>
      </c>
      <c r="I3525" t="str">
        <v>Karbala 1979 / Iraq National Grid</v>
      </c>
      <c r="J3525" t="str">
        <v>Iraq - onshore.</v>
      </c>
      <c r="K3525" s="11">
        <v>0</v>
      </c>
    </row>
    <row r="3526" spans="5:11" x14ac:dyDescent="0.35">
      <c r="E3526" s="9" t="str">
        <v>EPSG</v>
      </c>
      <c r="F3526" s="7" t="str">
        <v>6647</v>
      </c>
      <c r="G3526" t="str">
        <v>VerticalCrs</v>
      </c>
      <c r="H3526" t="str">
        <v>&lt;undefined&gt;</v>
      </c>
      <c r="I3526" t="str">
        <v>CGVD2013(CGG2013) height</v>
      </c>
      <c r="J3526" t="str">
        <v>Canada - onshore and offshore - Alberta; British Columbia; Manitoba; New Brunswick; Newfoundland and Labrador; Northwest Territories; Nova Scotia; Nunavut; Ontario; Prince Edward Island; Quebec; Saskatchewan; Yukon.</v>
      </c>
      <c r="K3526" s="11">
        <v>0</v>
      </c>
    </row>
    <row r="3527" spans="5:11" x14ac:dyDescent="0.35">
      <c r="E3527" s="9" t="str">
        <v>EPSG</v>
      </c>
      <c r="F3527" s="7" t="str">
        <v>6649</v>
      </c>
      <c r="G3527" t="str">
        <v>CompoundCrs</v>
      </c>
      <c r="H3527" t="str">
        <v>&lt;undefined&gt;</v>
      </c>
      <c r="I3527" t="str">
        <v>NAD83(CSRS) + CGVD2013(CGG2013) height</v>
      </c>
      <c r="J3527" t="str">
        <v>Canada - onshore and offshore - Alberta; British Columbia; Manitoba; New Brunswick; Newfoundland and Labrador; Northwest Territories; Nova Scotia; Nunavut; Ontario; Prince Edward Island; Quebec; Saskatchewan; Yukon.</v>
      </c>
      <c r="K3527" s="11">
        <v>0</v>
      </c>
    </row>
    <row r="3528" spans="5:11" x14ac:dyDescent="0.35">
      <c r="E3528" s="9" t="str">
        <v>EPSG</v>
      </c>
      <c r="F3528" s="7" t="str">
        <v>6650</v>
      </c>
      <c r="G3528" t="str">
        <v>CompoundCrs</v>
      </c>
      <c r="H3528" t="str">
        <v>&lt;undefined&gt;</v>
      </c>
      <c r="I3528" t="str">
        <v>NAD83(CSRS) / UTM zone 7N + CGVD2013 height</v>
      </c>
      <c r="J3528" t="str">
        <v>Canada west of 138°W, onshore and offshore south of 84°N - British Columbia, Yukon.</v>
      </c>
      <c r="K3528" s="11">
        <v>0</v>
      </c>
    </row>
    <row r="3529" spans="5:11" x14ac:dyDescent="0.35">
      <c r="E3529" s="9" t="str">
        <v>EPSG</v>
      </c>
      <c r="F3529" s="7" t="str">
        <v>6651</v>
      </c>
      <c r="G3529" t="str">
        <v>CompoundCrs</v>
      </c>
      <c r="H3529" t="str">
        <v>&lt;undefined&gt;</v>
      </c>
      <c r="I3529" t="str">
        <v>NAD83(CSRS) / UTM zone 8N + CGVD2013 height</v>
      </c>
      <c r="J3529" t="str">
        <v>Canada between 138°W and 132°W, onshore and offshore south of 84°N - British Columbia, Northwest Territories, Yukon.</v>
      </c>
      <c r="K3529" s="11">
        <v>0</v>
      </c>
    </row>
    <row r="3530" spans="5:11" x14ac:dyDescent="0.35">
      <c r="E3530" s="9" t="str">
        <v>EPSG</v>
      </c>
      <c r="F3530" s="7" t="str">
        <v>6652</v>
      </c>
      <c r="G3530" t="str">
        <v>CompoundCrs</v>
      </c>
      <c r="H3530" t="str">
        <v>&lt;undefined&gt;</v>
      </c>
      <c r="I3530" t="str">
        <v>NAD83(CSRS) / UTM zone 9N + CGVD2013 height</v>
      </c>
      <c r="J3530" t="str">
        <v>Canada - between 132°W and 126°W, onshore and offshore south of 84°N - British Columbia, Northwest Territories, Yukon.</v>
      </c>
      <c r="K3530" s="11">
        <v>0</v>
      </c>
    </row>
    <row r="3531" spans="5:11" x14ac:dyDescent="0.35">
      <c r="E3531" s="9" t="str">
        <v>EPSG</v>
      </c>
      <c r="F3531" s="7" t="str">
        <v>6653</v>
      </c>
      <c r="G3531" t="str">
        <v>CompoundCrs</v>
      </c>
      <c r="H3531" t="str">
        <v>&lt;undefined&gt;</v>
      </c>
      <c r="I3531" t="str">
        <v>NAD83(CSRS) / UTM zone 10N + CGVD2013 height</v>
      </c>
      <c r="J3531" t="str">
        <v>Canada between 126°W and 120°W, onshore and offshore south of 84°N - British Columbia, Northwest Territories, Yukon.</v>
      </c>
      <c r="K3531" s="11">
        <v>0</v>
      </c>
    </row>
    <row r="3532" spans="5:11" x14ac:dyDescent="0.35">
      <c r="E3532" s="9" t="str">
        <v>EPSG</v>
      </c>
      <c r="F3532" s="7" t="str">
        <v>6654</v>
      </c>
      <c r="G3532" t="str">
        <v>CompoundCrs</v>
      </c>
      <c r="H3532" t="str">
        <v>&lt;undefined&gt;</v>
      </c>
      <c r="I3532" t="str">
        <v>NAD83(CSRS) / UTM zone 11N + CGVD2013 height</v>
      </c>
      <c r="J3532" t="str">
        <v>Canada between 120°W and 114°W onshore and offshore - Alberta, British Columbia, Northwest Territories, Nunavut.</v>
      </c>
      <c r="K3532" s="11">
        <v>0</v>
      </c>
    </row>
    <row r="3533" spans="5:11" x14ac:dyDescent="0.35">
      <c r="E3533" s="9" t="str">
        <v>EPSG</v>
      </c>
      <c r="F3533" s="7" t="str">
        <v>6655</v>
      </c>
      <c r="G3533" t="str">
        <v>CompoundCrs</v>
      </c>
      <c r="H3533" t="str">
        <v>&lt;undefined&gt;</v>
      </c>
      <c r="I3533" t="str">
        <v>NAD83(CSRS) / UTM zone 12N + CGVD2013 height</v>
      </c>
      <c r="J3533" t="str">
        <v>Canada between 114°W and 108°W onshore and offshore - Alberta, Northwest Territories, Nunavut, Saskatchewan.</v>
      </c>
      <c r="K3533" s="11">
        <v>0</v>
      </c>
    </row>
    <row r="3534" spans="5:11" x14ac:dyDescent="0.35">
      <c r="E3534" s="9" t="str">
        <v>EPSG</v>
      </c>
      <c r="F3534" s="7" t="str">
        <v>6656</v>
      </c>
      <c r="G3534" t="str">
        <v>CompoundCrs</v>
      </c>
      <c r="H3534" t="str">
        <v>&lt;undefined&gt;</v>
      </c>
      <c r="I3534" t="str">
        <v>NAD83(CSRS) / UTM zone 13N + CGVD2013 height</v>
      </c>
      <c r="J3534" t="str">
        <v>Canada between 108°W and 102°W onshore and offshore - Northwest Territories, Nunavut, Saskatchewan.</v>
      </c>
      <c r="K3534" s="11">
        <v>0</v>
      </c>
    </row>
    <row r="3535" spans="5:11" x14ac:dyDescent="0.35">
      <c r="E3535" s="9" t="str">
        <v>EPSG</v>
      </c>
      <c r="F3535" s="7" t="str">
        <v>6657</v>
      </c>
      <c r="G3535" t="str">
        <v>CompoundCrs</v>
      </c>
      <c r="H3535" t="str">
        <v>&lt;undefined&gt;</v>
      </c>
      <c r="I3535" t="str">
        <v>NAD83(CSRS) / UTM zone 14N + CGVD2013 height</v>
      </c>
      <c r="J3535" t="str">
        <v>Canada between 102°W and 96°W, onshore and offshore south of 84°N - Manitoba, Nunavut, Saskatchewan.</v>
      </c>
      <c r="K3535" s="11">
        <v>0</v>
      </c>
    </row>
    <row r="3536" spans="5:11" x14ac:dyDescent="0.35">
      <c r="E3536" s="9" t="str">
        <v>EPSG</v>
      </c>
      <c r="F3536" s="7" t="str">
        <v>6658</v>
      </c>
      <c r="G3536" t="str">
        <v>CompoundCrs</v>
      </c>
      <c r="H3536" t="str">
        <v>&lt;undefined&gt;</v>
      </c>
      <c r="I3536" t="str">
        <v>NAD83(CSRS) / UTM zone 15N + CGVD2013 height</v>
      </c>
      <c r="J3536" t="str">
        <v>Canada between 96°W and 90°W, onshore and offshore south of 84°N - Manitoba, Nunavut, Ontario.</v>
      </c>
      <c r="K3536" s="11">
        <v>0</v>
      </c>
    </row>
    <row r="3537" spans="5:11" x14ac:dyDescent="0.35">
      <c r="E3537" s="9" t="str">
        <v>EPSG</v>
      </c>
      <c r="F3537" s="7" t="str">
        <v>6659</v>
      </c>
      <c r="G3537" t="str">
        <v>CompoundCrs</v>
      </c>
      <c r="H3537" t="str">
        <v>&lt;undefined&gt;</v>
      </c>
      <c r="I3537" t="str">
        <v>NAD83(CSRS) / UTM zone 16N + CGVD2013 height</v>
      </c>
      <c r="J3537" t="str">
        <v>Canada between 90°W and 84°W, onshore and offshore south of 84°N - Manitoba, Nunavut, Ontario.</v>
      </c>
      <c r="K3537" s="11">
        <v>0</v>
      </c>
    </row>
    <row r="3538" spans="5:11" x14ac:dyDescent="0.35">
      <c r="E3538" s="9" t="str">
        <v>EPSG</v>
      </c>
      <c r="F3538" s="7" t="str">
        <v>6660</v>
      </c>
      <c r="G3538" t="str">
        <v>CompoundCrs</v>
      </c>
      <c r="H3538" t="str">
        <v>&lt;undefined&gt;</v>
      </c>
      <c r="I3538" t="str">
        <v>NAD83(CSRS) / UTM zone 17N + CGVD2013 height</v>
      </c>
      <c r="J3538" t="str">
        <v>Canada between 84°W and 78°W, onshore and offshore south of 84°N - Nunavut, Ontario and Quebec.</v>
      </c>
      <c r="K3538" s="11">
        <v>0</v>
      </c>
    </row>
    <row r="3539" spans="5:11" x14ac:dyDescent="0.35">
      <c r="E3539" s="9" t="str">
        <v>EPSG</v>
      </c>
      <c r="F3539" s="7" t="str">
        <v>6661</v>
      </c>
      <c r="G3539" t="str">
        <v>CompoundCrs</v>
      </c>
      <c r="H3539" t="str">
        <v>&lt;undefined&gt;</v>
      </c>
      <c r="I3539" t="str">
        <v>NAD83(CSRS) / UTM zone 18N + CGVD2013 height</v>
      </c>
      <c r="J3539" t="str">
        <v>Canada between 78°W and 72°W, onshore and offshore south of 84°N - Nunavut, Ontario and Quebec.</v>
      </c>
      <c r="K3539" s="11">
        <v>0</v>
      </c>
    </row>
    <row r="3540" spans="5:11" x14ac:dyDescent="0.35">
      <c r="E3540" s="9" t="str">
        <v>EPSG</v>
      </c>
      <c r="F3540" s="7" t="str">
        <v>6662</v>
      </c>
      <c r="G3540" t="str">
        <v>CompoundCrs</v>
      </c>
      <c r="H3540" t="str">
        <v>&lt;undefined&gt;</v>
      </c>
      <c r="I3540" t="str">
        <v>NAD83(CSRS) / UTM zone 19N + CGVD2013 height</v>
      </c>
      <c r="J3540" t="str">
        <v>Canada between 72°W and 66°W onshore and offshore - New Brunswick, Labrador, Nova Scotia, Nunavut, Quebec.</v>
      </c>
      <c r="K3540" s="11">
        <v>0</v>
      </c>
    </row>
    <row r="3541" spans="5:11" x14ac:dyDescent="0.35">
      <c r="E3541" s="9" t="str">
        <v>EPSG</v>
      </c>
      <c r="F3541" s="7" t="str">
        <v>6663</v>
      </c>
      <c r="G3541" t="str">
        <v>CompoundCrs</v>
      </c>
      <c r="H3541" t="str">
        <v>&lt;undefined&gt;</v>
      </c>
      <c r="I3541" t="str">
        <v>NAD83(CSRS) / UTM zone 20N + CGVD2013 height</v>
      </c>
      <c r="J3541" t="str">
        <v>Canada between 66°W and 60°W onshore and offshore - New Brunswick, Labrador, Nova Scotia, Nunavut, Prince Edward Island, Quebec.</v>
      </c>
      <c r="K3541" s="11">
        <v>0</v>
      </c>
    </row>
    <row r="3542" spans="5:11" x14ac:dyDescent="0.35">
      <c r="E3542" s="9" t="str">
        <v>EPSG</v>
      </c>
      <c r="F3542" s="7" t="str">
        <v>6664</v>
      </c>
      <c r="G3542" t="str">
        <v>CompoundCrs</v>
      </c>
      <c r="H3542" t="str">
        <v>&lt;undefined&gt;</v>
      </c>
      <c r="I3542" t="str">
        <v>NAD83(CSRS) / UTM zone 21N + CGVD2013 height</v>
      </c>
      <c r="J3542" t="str">
        <v>Canada between 60°W and 54°W - Newfoundland and Labrador; Nunavut; Quebec.</v>
      </c>
      <c r="K3542" s="11">
        <v>0</v>
      </c>
    </row>
    <row r="3543" spans="5:11" x14ac:dyDescent="0.35">
      <c r="E3543" s="9" t="str">
        <v>EPSG</v>
      </c>
      <c r="F3543" s="7" t="str">
        <v>6665</v>
      </c>
      <c r="G3543" t="str">
        <v>CompoundCrs</v>
      </c>
      <c r="H3543" t="str">
        <v>&lt;undefined&gt;</v>
      </c>
      <c r="I3543" t="str">
        <v>NAD83(CSRS) / UTM zone 22N + CGVD2013 height</v>
      </c>
      <c r="J3543" t="str">
        <v>Canada between 54°W and 48°W onshore and offshore - Newfoundland and Labrador.</v>
      </c>
      <c r="K3543" s="11">
        <v>0</v>
      </c>
    </row>
    <row r="3544" spans="5:11" x14ac:dyDescent="0.35">
      <c r="E3544" s="9" t="str">
        <v>EPSG</v>
      </c>
      <c r="F3544" s="7" t="str">
        <v>6666</v>
      </c>
      <c r="G3544" t="str">
        <v>GeocentricCrs</v>
      </c>
      <c r="H3544" t="str">
        <v>&lt;undefined&gt;</v>
      </c>
      <c r="I3544" t="str">
        <v>JGD2011</v>
      </c>
      <c r="J3544" t="str">
        <v>Japan - onshore and offshore.</v>
      </c>
      <c r="K3544" s="11">
        <v>0</v>
      </c>
    </row>
    <row r="3545" spans="5:11" x14ac:dyDescent="0.35">
      <c r="E3545" s="9" t="str">
        <v>EPSG</v>
      </c>
      <c r="F3545" s="7" t="str">
        <v>6667</v>
      </c>
      <c r="G3545" t="str">
        <v>Geographic3DCrs</v>
      </c>
      <c r="H3545" t="str">
        <v>&lt;undefined&gt;</v>
      </c>
      <c r="I3545" t="str">
        <v>JGD2011</v>
      </c>
      <c r="J3545" t="str">
        <v>Japan - onshore and offshore.</v>
      </c>
      <c r="K3545" s="11">
        <v>0</v>
      </c>
    </row>
    <row r="3546" spans="5:11" x14ac:dyDescent="0.35">
      <c r="E3546" s="9" t="str">
        <v>EPSG</v>
      </c>
      <c r="F3546" s="7" t="str">
        <v>6668</v>
      </c>
      <c r="G3546" t="str">
        <v>Geographic2DCrs</v>
      </c>
      <c r="H3546" t="str">
        <v>&lt;undefined&gt;</v>
      </c>
      <c r="I3546" t="str">
        <v>JGD2011</v>
      </c>
      <c r="J3546" t="str">
        <v>Japan - onshore and offshore.</v>
      </c>
      <c r="K3546" s="11">
        <v>0</v>
      </c>
    </row>
    <row r="3547" spans="5:11" x14ac:dyDescent="0.35">
      <c r="E3547" s="9" t="str">
        <v>EPSG</v>
      </c>
      <c r="F3547" s="7" t="str">
        <v>6669</v>
      </c>
      <c r="G3547" t="str">
        <v>ProjectedCrs</v>
      </c>
      <c r="H3547" t="str">
        <v>Transverse Mercator</v>
      </c>
      <c r="I3547" t="str">
        <v>JGD2011 / Japan Plane Rectangular CS I</v>
      </c>
      <c r="J3547" t="str">
        <v>Japan - onshore - Kyushu west of approximately 130°E - Nagasaki-ken; islands of Kagoshima-ken between 27°N and 32°N and between 128°18'E and 130°E (between 128°18'E and 30°13'E for Amami islands).</v>
      </c>
      <c r="K3547" s="11">
        <v>0</v>
      </c>
    </row>
    <row r="3548" spans="5:11" x14ac:dyDescent="0.35">
      <c r="E3548" s="9" t="str">
        <v>EPSG</v>
      </c>
      <c r="F3548" s="7" t="str">
        <v>6670</v>
      </c>
      <c r="G3548" t="str">
        <v>ProjectedCrs</v>
      </c>
      <c r="H3548" t="str">
        <v>Transverse Mercator</v>
      </c>
      <c r="I3548" t="str">
        <v>JGD2011 / Japan Plane Rectangular CS II</v>
      </c>
      <c r="J3548" t="str">
        <v>Japan - onshore - Kyushu east of approximately 130°E - Fukuoka-ken; Saga-ken; Kumamoto-ken; Oita-ken; Miyazaki-ken; Kagoshima-ken (except for area within Japan Plane Rectangular Coordinate System zone I).</v>
      </c>
      <c r="K3548" s="11">
        <v>0</v>
      </c>
    </row>
    <row r="3549" spans="5:11" x14ac:dyDescent="0.35">
      <c r="E3549" s="9" t="str">
        <v>EPSG</v>
      </c>
      <c r="F3549" s="7" t="str">
        <v>6671</v>
      </c>
      <c r="G3549" t="str">
        <v>ProjectedCrs</v>
      </c>
      <c r="H3549" t="str">
        <v>Transverse Mercator</v>
      </c>
      <c r="I3549" t="str">
        <v>JGD2011 / Japan Plane Rectangular CS III</v>
      </c>
      <c r="J3549" t="str">
        <v>Japan - onshore - Honshu west of approximately 133°15'E - Yamaguchi-ken; Shimane-ken; Hiroshima-ken.</v>
      </c>
      <c r="K3549" s="11">
        <v>0</v>
      </c>
    </row>
    <row r="3550" spans="5:11" x14ac:dyDescent="0.35">
      <c r="E3550" s="9" t="str">
        <v>EPSG</v>
      </c>
      <c r="F3550" s="7" t="str">
        <v>6672</v>
      </c>
      <c r="G3550" t="str">
        <v>ProjectedCrs</v>
      </c>
      <c r="H3550" t="str">
        <v>Transverse Mercator</v>
      </c>
      <c r="I3550" t="str">
        <v>JGD2011 / Japan Plane Rectangular CS IV</v>
      </c>
      <c r="J3550" t="str">
        <v>Japan - onshore - Shikoku - Kagawa-ken; Ehime-ken; Tokushima-ken; Kochi-ken.</v>
      </c>
      <c r="K3550" s="11">
        <v>0</v>
      </c>
    </row>
    <row r="3551" spans="5:11" x14ac:dyDescent="0.35">
      <c r="E3551" s="9" t="str">
        <v>EPSG</v>
      </c>
      <c r="F3551" s="7" t="str">
        <v>6673</v>
      </c>
      <c r="G3551" t="str">
        <v>ProjectedCrs</v>
      </c>
      <c r="H3551" t="str">
        <v>Transverse Mercator</v>
      </c>
      <c r="I3551" t="str">
        <v>JGD2011 / Japan Plane Rectangular CS V</v>
      </c>
      <c r="J3551" t="str">
        <v>Japan - onshore - Honshu between approximately 133°15'E and 135°10'E - Hyogo-ken; Tottori-ken; Okayama-ken.</v>
      </c>
      <c r="K3551" s="11">
        <v>0</v>
      </c>
    </row>
    <row r="3552" spans="5:11" x14ac:dyDescent="0.35">
      <c r="E3552" s="9" t="str">
        <v>EPSG</v>
      </c>
      <c r="F3552" s="7" t="str">
        <v>6674</v>
      </c>
      <c r="G3552" t="str">
        <v>ProjectedCrs</v>
      </c>
      <c r="H3552" t="str">
        <v>Transverse Mercator</v>
      </c>
      <c r="I3552" t="str">
        <v>JGD2011 / Japan Plane Rectangular CS VI</v>
      </c>
      <c r="J3552" t="str">
        <v>Japan - onshore - Honshu between approximately 135°10'E and 136°45'E - Kyoto-fu; Osaka-fu; Fukui-ken; Shiga-ken; Mie-ken; Nara-ken; Wakayama-ken.</v>
      </c>
      <c r="K3552" s="11">
        <v>0</v>
      </c>
    </row>
    <row r="3553" spans="5:11" x14ac:dyDescent="0.35">
      <c r="E3553" s="9" t="str">
        <v>EPSG</v>
      </c>
      <c r="F3553" s="7" t="str">
        <v>6675</v>
      </c>
      <c r="G3553" t="str">
        <v>ProjectedCrs</v>
      </c>
      <c r="H3553" t="str">
        <v>Transverse Mercator</v>
      </c>
      <c r="I3553" t="str">
        <v>JGD2011 / Japan Plane Rectangular CS VII</v>
      </c>
      <c r="J3553" t="str">
        <v>Japan - onshore - Honshu between approximately 136°15'E and 137°45'E - Ishikawa-ken; Toyama-ken; Gifu-ken; Aichi-ken.</v>
      </c>
      <c r="K3553" s="11">
        <v>0</v>
      </c>
    </row>
    <row r="3554" spans="5:11" x14ac:dyDescent="0.35">
      <c r="E3554" s="9" t="str">
        <v>EPSG</v>
      </c>
      <c r="F3554" s="7" t="str">
        <v>6676</v>
      </c>
      <c r="G3554" t="str">
        <v>ProjectedCrs</v>
      </c>
      <c r="H3554" t="str">
        <v>Transverse Mercator</v>
      </c>
      <c r="I3554" t="str">
        <v>JGD2011 / Japan Plane Rectangular CS VIII</v>
      </c>
      <c r="J3554" t="str">
        <v>Japan - onshore - Honshu between approximately 137°45'E and 139°E - Niigata-ken; Nagano-ken; Yamanashi-ken; Shizuoka-ken.</v>
      </c>
      <c r="K3554" s="11">
        <v>0</v>
      </c>
    </row>
    <row r="3555" spans="5:11" x14ac:dyDescent="0.35">
      <c r="E3555" s="9" t="str">
        <v>EPSG</v>
      </c>
      <c r="F3555" s="7" t="str">
        <v>6677</v>
      </c>
      <c r="G3555" t="str">
        <v>ProjectedCrs</v>
      </c>
      <c r="H3555" t="str">
        <v>Transverse Mercator</v>
      </c>
      <c r="I3555" t="str">
        <v>JGD2011 / Japan Plane Rectangular CS IX</v>
      </c>
      <c r="J3555" t="str">
        <v>Japan - onshore - Honshu - Tokyo-to. (Excludes offshore island areas of Tokyo-to covered by Japan Plane Rectangular Coordinate System zones XIV, XVIII and XIX).</v>
      </c>
      <c r="K3555" s="11">
        <v>0</v>
      </c>
    </row>
    <row r="3556" spans="5:11" x14ac:dyDescent="0.35">
      <c r="E3556" s="9" t="str">
        <v>EPSG</v>
      </c>
      <c r="F3556" s="7" t="str">
        <v>6678</v>
      </c>
      <c r="G3556" t="str">
        <v>ProjectedCrs</v>
      </c>
      <c r="H3556" t="str">
        <v>Transverse Mercator</v>
      </c>
      <c r="I3556" t="str">
        <v>JGD2011 / Japan Plane Rectangular CS X</v>
      </c>
      <c r="J3556" t="str">
        <v>Japan - onshore - Honshu north of 38°N approximately - Aomori-ken; Akita-ken; Yamagata-ken; Iwate-ken; Miyagi-ken.</v>
      </c>
      <c r="K3556" s="11">
        <v>0</v>
      </c>
    </row>
    <row r="3557" spans="5:11" x14ac:dyDescent="0.35">
      <c r="E3557" s="9" t="str">
        <v>EPSG</v>
      </c>
      <c r="F3557" s="7" t="str">
        <v>6679</v>
      </c>
      <c r="G3557" t="str">
        <v>ProjectedCrs</v>
      </c>
      <c r="H3557" t="str">
        <v>Transverse Mercator</v>
      </c>
      <c r="I3557" t="str">
        <v>JGD2011 / Japan Plane Rectangular CS XI</v>
      </c>
      <c r="J3557" t="str">
        <v>Japan - onshore - Hokkaido west of approximately 141°E - Otaru city; Hakodate city; Date city; Usu-gun and Abuta-gun of Iburi-shicho; Hiyama-shicho; Shiribeshi-shicho; Oshima-shicho.</v>
      </c>
      <c r="K3557" s="11">
        <v>0</v>
      </c>
    </row>
    <row r="3558" spans="5:11" x14ac:dyDescent="0.35">
      <c r="E3558" s="9" t="str">
        <v>EPSG</v>
      </c>
      <c r="F3558" s="7" t="str">
        <v>6680</v>
      </c>
      <c r="G3558" t="str">
        <v>ProjectedCrs</v>
      </c>
      <c r="H3558" t="str">
        <v>Transverse Mercator</v>
      </c>
      <c r="I3558" t="str">
        <v>JGD2011 / Japan Plane Rectangular CS XII</v>
      </c>
      <c r="J3558" t="str">
        <v>Japan - onshore - Hokkaido between approximately 141°E and 143°E - Sapporo city; Asahikawa city; Wakkanai city; Rumoi city; Bibai city; Yubari city; Iwamizawa city; Tomakomai city; Muroran city; Shibetsu city; Nayoro city; Ashibetsu city; Akabira city; Mikasa city; Takikawa city; Sunagawa city; Ebetsu city; Chitose city; Utashinai city; Fukagawa city; Monbetsu city; Furano city; Noboribetsu city; Eniwa city; Ishikari-shicho; Monbetsu-gun of Abashiri-shicho; Kamikawa-shicho; Soya-shicho; Hidaka-shicho; Iburi-shicho (except Usu-gun and Abuta-gun); Sorachi-shicho; Rumoi-shicho.</v>
      </c>
      <c r="K3558" s="11">
        <v>0</v>
      </c>
    </row>
    <row r="3559" spans="5:11" x14ac:dyDescent="0.35">
      <c r="E3559" s="9" t="str">
        <v>EPSG</v>
      </c>
      <c r="F3559" s="7" t="str">
        <v>6681</v>
      </c>
      <c r="G3559" t="str">
        <v>ProjectedCrs</v>
      </c>
      <c r="H3559" t="str">
        <v>Transverse Mercator</v>
      </c>
      <c r="I3559" t="str">
        <v>JGD2011 / Japan Plane Rectangular CS XIII</v>
      </c>
      <c r="J3559" t="str">
        <v>Japan - onshore - Hokkaido east of approximately 143°E - Kitami city; Obihiro city; Kushiro city; Abashiri city; Nemuro city; Nemuro-shicho; Kushiro-shicho; Abashiri-shicho (except Monbetsu-gun); Tokachi-shicho.</v>
      </c>
      <c r="K3559" s="11">
        <v>0</v>
      </c>
    </row>
    <row r="3560" spans="5:11" x14ac:dyDescent="0.35">
      <c r="E3560" s="9" t="str">
        <v>EPSG</v>
      </c>
      <c r="F3560" s="7" t="str">
        <v>6682</v>
      </c>
      <c r="G3560" t="str">
        <v>ProjectedCrs</v>
      </c>
      <c r="H3560" t="str">
        <v>Transverse Mercator</v>
      </c>
      <c r="I3560" t="str">
        <v>JGD2011 / Japan Plane Rectangular CS XIV</v>
      </c>
      <c r="J3560" t="str">
        <v>Japan - onshore - Tokyo-to south of 28°N and between 140°30'E and 143°E.</v>
      </c>
      <c r="K3560" s="11">
        <v>0</v>
      </c>
    </row>
    <row r="3561" spans="5:11" x14ac:dyDescent="0.35">
      <c r="E3561" s="9" t="str">
        <v>EPSG</v>
      </c>
      <c r="F3561" s="7" t="str">
        <v>6683</v>
      </c>
      <c r="G3561" t="str">
        <v>ProjectedCrs</v>
      </c>
      <c r="H3561" t="str">
        <v>Transverse Mercator</v>
      </c>
      <c r="I3561" t="str">
        <v>JGD2011 / Japan Plane Rectangular CS XV</v>
      </c>
      <c r="J3561" t="str">
        <v>Japan - onshore - Okinawa-ken between 126°E and 130°E.</v>
      </c>
      <c r="K3561" s="11">
        <v>0</v>
      </c>
    </row>
    <row r="3562" spans="5:11" x14ac:dyDescent="0.35">
      <c r="E3562" s="9" t="str">
        <v>EPSG</v>
      </c>
      <c r="F3562" s="7" t="str">
        <v>6684</v>
      </c>
      <c r="G3562" t="str">
        <v>ProjectedCrs</v>
      </c>
      <c r="H3562" t="str">
        <v>Transverse Mercator</v>
      </c>
      <c r="I3562" t="str">
        <v>JGD2011 / Japan Plane Rectangular CS XVI</v>
      </c>
      <c r="J3562" t="str">
        <v>Japan - onshore - Okinawa-ken west of 126°E.</v>
      </c>
      <c r="K3562" s="11">
        <v>0</v>
      </c>
    </row>
    <row r="3563" spans="5:11" x14ac:dyDescent="0.35">
      <c r="E3563" s="9" t="str">
        <v>EPSG</v>
      </c>
      <c r="F3563" s="7" t="str">
        <v>6685</v>
      </c>
      <c r="G3563" t="str">
        <v>ProjectedCrs</v>
      </c>
      <c r="H3563" t="str">
        <v>Transverse Mercator</v>
      </c>
      <c r="I3563" t="str">
        <v>JGD2011 / Japan Plane Rectangular CS XVII</v>
      </c>
      <c r="J3563" t="str">
        <v>Japan - onshore Okinawa-ken east of 130°E.</v>
      </c>
      <c r="K3563" s="11">
        <v>0</v>
      </c>
    </row>
    <row r="3564" spans="5:11" x14ac:dyDescent="0.35">
      <c r="E3564" s="9" t="str">
        <v>EPSG</v>
      </c>
      <c r="F3564" s="7" t="str">
        <v>6686</v>
      </c>
      <c r="G3564" t="str">
        <v>ProjectedCrs</v>
      </c>
      <c r="H3564" t="str">
        <v>Transverse Mercator</v>
      </c>
      <c r="I3564" t="str">
        <v>JGD2011 / Japan Plane Rectangular CS XVIII</v>
      </c>
      <c r="J3564" t="str">
        <v>Japan - onshore - Tokyo-to south of 28°N and west of 140°30'E.</v>
      </c>
      <c r="K3564" s="11">
        <v>0</v>
      </c>
    </row>
    <row r="3565" spans="5:11" x14ac:dyDescent="0.35">
      <c r="E3565" s="9" t="str">
        <v>EPSG</v>
      </c>
      <c r="F3565" s="7" t="str">
        <v>6687</v>
      </c>
      <c r="G3565" t="str">
        <v>ProjectedCrs</v>
      </c>
      <c r="H3565" t="str">
        <v>Transverse Mercator</v>
      </c>
      <c r="I3565" t="str">
        <v>JGD2011 / Japan Plane Rectangular CS XIX</v>
      </c>
      <c r="J3565" t="str">
        <v>Japan - onshore - Tokyo-to south of 28°N and east of 143°E - Minamitori-shima (Marcus Island).</v>
      </c>
      <c r="K3565" s="11">
        <v>0</v>
      </c>
    </row>
    <row r="3566" spans="5:11" x14ac:dyDescent="0.35">
      <c r="E3566" s="9" t="str">
        <v>EPSG</v>
      </c>
      <c r="F3566" s="7" t="str">
        <v>6688</v>
      </c>
      <c r="G3566" t="str">
        <v>ProjectedCrs</v>
      </c>
      <c r="H3566" t="str">
        <v>Transverse Mercator</v>
      </c>
      <c r="I3566" t="str">
        <v>JGD2011 / UTM zone 51N</v>
      </c>
      <c r="J3566" t="str">
        <v>Japan - west of 126°E, onshore and offshore.</v>
      </c>
      <c r="K3566" s="11">
        <v>0</v>
      </c>
    </row>
    <row r="3567" spans="5:11" x14ac:dyDescent="0.35">
      <c r="E3567" s="9" t="str">
        <v>EPSG</v>
      </c>
      <c r="F3567" s="7" t="str">
        <v>6689</v>
      </c>
      <c r="G3567" t="str">
        <v>ProjectedCrs</v>
      </c>
      <c r="H3567" t="str">
        <v>Transverse Mercator</v>
      </c>
      <c r="I3567" t="str">
        <v>JGD2011 / UTM zone 52N</v>
      </c>
      <c r="J3567" t="str">
        <v>Japan - between 126°E and 132°E, onshore and offshore.</v>
      </c>
      <c r="K3567" s="11">
        <v>0</v>
      </c>
    </row>
    <row r="3568" spans="5:11" x14ac:dyDescent="0.35">
      <c r="E3568" s="9" t="str">
        <v>EPSG</v>
      </c>
      <c r="F3568" s="7" t="str">
        <v>6690</v>
      </c>
      <c r="G3568" t="str">
        <v>ProjectedCrs</v>
      </c>
      <c r="H3568" t="str">
        <v>Transverse Mercator</v>
      </c>
      <c r="I3568" t="str">
        <v>JGD2011 / UTM zone 53N</v>
      </c>
      <c r="J3568" t="str">
        <v>Japan - between 132°E and 138°E, onshore and offshore.</v>
      </c>
      <c r="K3568" s="11">
        <v>0</v>
      </c>
    </row>
    <row r="3569" spans="5:11" x14ac:dyDescent="0.35">
      <c r="E3569" s="9" t="str">
        <v>EPSG</v>
      </c>
      <c r="F3569" s="7" t="str">
        <v>6691</v>
      </c>
      <c r="G3569" t="str">
        <v>ProjectedCrs</v>
      </c>
      <c r="H3569" t="str">
        <v>Transverse Mercator</v>
      </c>
      <c r="I3569" t="str">
        <v>JGD2011 / UTM zone 54N</v>
      </c>
      <c r="J3569" t="str">
        <v>Japan - between 138°E and 144°E, onshore and offshore.</v>
      </c>
      <c r="K3569" s="11">
        <v>0</v>
      </c>
    </row>
    <row r="3570" spans="5:11" x14ac:dyDescent="0.35">
      <c r="E3570" s="9" t="str">
        <v>EPSG</v>
      </c>
      <c r="F3570" s="7" t="str">
        <v>6692</v>
      </c>
      <c r="G3570" t="str">
        <v>ProjectedCrs</v>
      </c>
      <c r="H3570" t="str">
        <v>Transverse Mercator</v>
      </c>
      <c r="I3570" t="str">
        <v>JGD2011 / UTM zone 55N</v>
      </c>
      <c r="J3570" t="str">
        <v>Japan - east of 144°E, onshore and offshore.</v>
      </c>
      <c r="K3570" s="11">
        <v>0</v>
      </c>
    </row>
    <row r="3571" spans="5:11" x14ac:dyDescent="0.35">
      <c r="E3571" s="9" t="str">
        <v>EPSG</v>
      </c>
      <c r="F3571" s="7" t="str">
        <v>6693</v>
      </c>
      <c r="G3571" t="str">
        <v>VerticalCrs</v>
      </c>
      <c r="H3571" t="str">
        <v>&lt;undefined&gt;</v>
      </c>
      <c r="I3571" t="str">
        <v>JSLD72 height</v>
      </c>
      <c r="J3571" t="str">
        <v>Japan - onshore mainland - Hokkaido.</v>
      </c>
      <c r="K3571" s="11">
        <v>0</v>
      </c>
    </row>
    <row r="3572" spans="5:11" x14ac:dyDescent="0.35">
      <c r="E3572" s="9" t="str">
        <v>EPSG</v>
      </c>
      <c r="F3572" s="7" t="str">
        <v>6694</v>
      </c>
      <c r="G3572" t="str">
        <v>VerticalCrs</v>
      </c>
      <c r="H3572" t="str">
        <v>&lt;undefined&gt;</v>
      </c>
      <c r="I3572" t="str">
        <v>JGD2000 (vertical) height</v>
      </c>
      <c r="J3572" t="str">
        <v>Japan - onshore mainland - Hokkaido, Honshu, Shikoku, Kyushu.</v>
      </c>
      <c r="K3572" s="11">
        <v>0</v>
      </c>
    </row>
    <row r="3573" spans="5:11" x14ac:dyDescent="0.35">
      <c r="E3573" s="9" t="str">
        <v>EPSG</v>
      </c>
      <c r="F3573" s="7" t="str">
        <v>6695</v>
      </c>
      <c r="G3573" t="str">
        <v>VerticalCrs</v>
      </c>
      <c r="H3573" t="str">
        <v>&lt;undefined&gt;</v>
      </c>
      <c r="I3573" t="str">
        <v>JGD2011 (vertical) height</v>
      </c>
      <c r="J3573" t="str">
        <v>Japan - onshore mainland - Hokkaido, Honshu, Shikoku, Kyushu.</v>
      </c>
      <c r="K3573" s="11">
        <v>0</v>
      </c>
    </row>
    <row r="3574" spans="5:11" x14ac:dyDescent="0.35">
      <c r="E3574" s="9" t="str">
        <v>EPSG</v>
      </c>
      <c r="F3574" s="7" t="str">
        <v>6696</v>
      </c>
      <c r="G3574" t="str">
        <v>CompoundCrs</v>
      </c>
      <c r="H3574" t="str">
        <v>&lt;undefined&gt;</v>
      </c>
      <c r="I3574" t="str">
        <v>JGD2000 + JGD2000 (vertical) height</v>
      </c>
      <c r="J3574" t="str">
        <v>Japan - onshore mainland - Hokkaido, Honshu, Shikoku, Kyushu.</v>
      </c>
      <c r="K3574" s="11">
        <v>0</v>
      </c>
    </row>
    <row r="3575" spans="5:11" x14ac:dyDescent="0.35">
      <c r="E3575" s="9" t="str">
        <v>EPSG</v>
      </c>
      <c r="F3575" s="7" t="str">
        <v>6697</v>
      </c>
      <c r="G3575" t="str">
        <v>CompoundCrs</v>
      </c>
      <c r="H3575" t="str">
        <v>&lt;undefined&gt;</v>
      </c>
      <c r="I3575" t="str">
        <v>JGD2011 + JGD2011 (vertical) height</v>
      </c>
      <c r="J3575" t="str">
        <v>Japan - onshore mainland - Hokkaido, Honshu, Shikoku, Kyushu.</v>
      </c>
      <c r="K3575" s="11">
        <v>0</v>
      </c>
    </row>
    <row r="3576" spans="5:11" x14ac:dyDescent="0.35">
      <c r="E3576" s="9" t="str">
        <v>EPSG</v>
      </c>
      <c r="F3576" s="7" t="str">
        <v>6700</v>
      </c>
      <c r="G3576" t="str">
        <v>CompoundCrs</v>
      </c>
      <c r="H3576" t="str">
        <v>&lt;undefined&gt;</v>
      </c>
      <c r="I3576" t="str">
        <v>Tokyo + JSLD72 height</v>
      </c>
      <c r="J3576" t="str">
        <v>Japan - onshore mainland - Hokkaido.</v>
      </c>
      <c r="K3576" s="11">
        <v>0</v>
      </c>
    </row>
    <row r="3577" spans="5:11" x14ac:dyDescent="0.35">
      <c r="E3577" s="9" t="str">
        <v>EPSG</v>
      </c>
      <c r="F3577" s="7" t="str">
        <v>6703</v>
      </c>
      <c r="G3577" t="str">
        <v>ProjectedCrs</v>
      </c>
      <c r="H3577" t="str">
        <v>Transverse Mercator</v>
      </c>
      <c r="I3577" t="str">
        <v>WGS 84 / TM 60 SW</v>
      </c>
      <c r="J3577" t="str">
        <v>Falkland Islands (Malvinas) - offshore - between 63°W and 57°W.</v>
      </c>
      <c r="K3577" s="11">
        <v>0</v>
      </c>
    </row>
    <row r="3578" spans="5:11" x14ac:dyDescent="0.35">
      <c r="E3578" s="9" t="str">
        <v>EPSG</v>
      </c>
      <c r="F3578" s="7" t="str">
        <v>6704</v>
      </c>
      <c r="G3578" t="str">
        <v>GeocentricCrs</v>
      </c>
      <c r="H3578" t="str">
        <v>&lt;undefined&gt;</v>
      </c>
      <c r="I3578" t="str">
        <v>RDN2008</v>
      </c>
      <c r="J3578" t="str">
        <v>Italy - onshore and offshore; San Marino, Vatican City State.</v>
      </c>
      <c r="K3578" s="11">
        <v>0</v>
      </c>
    </row>
    <row r="3579" spans="5:11" x14ac:dyDescent="0.35">
      <c r="E3579" s="9" t="str">
        <v>EPSG</v>
      </c>
      <c r="F3579" s="7" t="str">
        <v>6705</v>
      </c>
      <c r="G3579" t="str">
        <v>Geographic3DCrs</v>
      </c>
      <c r="H3579" t="str">
        <v>&lt;undefined&gt;</v>
      </c>
      <c r="I3579" t="str">
        <v>RDN2008</v>
      </c>
      <c r="J3579" t="str">
        <v>Italy - onshore and offshore; San Marino, Vatican City State.</v>
      </c>
      <c r="K3579" s="11">
        <v>0</v>
      </c>
    </row>
    <row r="3580" spans="5:11" x14ac:dyDescent="0.35">
      <c r="E3580" s="9" t="str">
        <v>EPSG</v>
      </c>
      <c r="F3580" s="7" t="str">
        <v>6706</v>
      </c>
      <c r="G3580" t="str">
        <v>Geographic2DCrs</v>
      </c>
      <c r="H3580" t="str">
        <v>&lt;undefined&gt;</v>
      </c>
      <c r="I3580" t="str">
        <v>RDN2008</v>
      </c>
      <c r="J3580" t="str">
        <v>Italy - onshore and offshore; San Marino, Vatican City State.</v>
      </c>
      <c r="K3580" s="11">
        <v>0</v>
      </c>
    </row>
    <row r="3581" spans="5:11" x14ac:dyDescent="0.35">
      <c r="E3581" s="9" t="str">
        <v>EPSG</v>
      </c>
      <c r="F3581" s="7" t="str">
        <v>6707</v>
      </c>
      <c r="G3581" t="str">
        <v>ProjectedCrs</v>
      </c>
      <c r="H3581" t="str">
        <v>Transverse Mercator</v>
      </c>
      <c r="I3581" t="str">
        <v>RDN2008 / UTM zone 32N (N-E)</v>
      </c>
      <c r="J3581" t="str">
        <v>Italy - onshore and offshore - west of 12°E.</v>
      </c>
      <c r="K3581" s="11">
        <v>0</v>
      </c>
    </row>
    <row r="3582" spans="5:11" x14ac:dyDescent="0.35">
      <c r="E3582" s="9" t="str">
        <v>EPSG</v>
      </c>
      <c r="F3582" s="7" t="str">
        <v>6708</v>
      </c>
      <c r="G3582" t="str">
        <v>ProjectedCrs</v>
      </c>
      <c r="H3582" t="str">
        <v>Transverse Mercator</v>
      </c>
      <c r="I3582" t="str">
        <v>RDN2008 / UTM zone 33N (N-E)</v>
      </c>
      <c r="J3582" t="str">
        <v>Italy - onshore and offshore - between 12°E and 18°E including San Marino and Vatican City State.</v>
      </c>
      <c r="K3582" s="11">
        <v>0</v>
      </c>
    </row>
    <row r="3583" spans="5:11" x14ac:dyDescent="0.35">
      <c r="E3583" s="9" t="str">
        <v>EPSG</v>
      </c>
      <c r="F3583" s="7" t="str">
        <v>6709</v>
      </c>
      <c r="G3583" t="str">
        <v>ProjectedCrs</v>
      </c>
      <c r="H3583" t="str">
        <v>Transverse Mercator</v>
      </c>
      <c r="I3583" t="str">
        <v>RDN2008 / UTM zone 34N (N-E)</v>
      </c>
      <c r="J3583" t="str">
        <v>Italy - onshore and offshore - east of 18°E.</v>
      </c>
      <c r="K3583" s="11">
        <v>0</v>
      </c>
    </row>
    <row r="3584" spans="5:11" x14ac:dyDescent="0.35">
      <c r="E3584" s="9" t="str">
        <v>EPSG</v>
      </c>
      <c r="F3584" s="7" t="str">
        <v>6720</v>
      </c>
      <c r="G3584" t="str">
        <v>ProjectedCrs</v>
      </c>
      <c r="H3584" t="str">
        <v>Transverse Mercator</v>
      </c>
      <c r="I3584" t="str">
        <v>WGS 84 / CIG92</v>
      </c>
      <c r="J3584" t="str">
        <v>Christmas Island - onshore.</v>
      </c>
      <c r="K3584" s="11">
        <v>0</v>
      </c>
    </row>
    <row r="3585" spans="5:11" x14ac:dyDescent="0.35">
      <c r="E3585" s="9" t="str">
        <v>EPSG</v>
      </c>
      <c r="F3585" s="7" t="str">
        <v>6721</v>
      </c>
      <c r="G3585" t="str">
        <v>ProjectedCrs</v>
      </c>
      <c r="H3585" t="str">
        <v>Transverse Mercator</v>
      </c>
      <c r="I3585" t="str">
        <v>GDA94 / CIG94</v>
      </c>
      <c r="J3585" t="str">
        <v>Christmas Island - onshore.</v>
      </c>
      <c r="K3585" s="11">
        <v>0</v>
      </c>
    </row>
    <row r="3586" spans="5:11" x14ac:dyDescent="0.35">
      <c r="E3586" s="9" t="str">
        <v>EPSG</v>
      </c>
      <c r="F3586" s="7" t="str">
        <v>6722</v>
      </c>
      <c r="G3586" t="str">
        <v>ProjectedCrs</v>
      </c>
      <c r="H3586" t="str">
        <v>Transverse Mercator</v>
      </c>
      <c r="I3586" t="str">
        <v>WGS 84 / CKIG92</v>
      </c>
      <c r="J3586" t="str">
        <v>Cocos (Keeling) Islands - onshore.</v>
      </c>
      <c r="K3586" s="11">
        <v>0</v>
      </c>
    </row>
    <row r="3587" spans="5:11" x14ac:dyDescent="0.35">
      <c r="E3587" s="9" t="str">
        <v>EPSG</v>
      </c>
      <c r="F3587" s="7" t="str">
        <v>6723</v>
      </c>
      <c r="G3587" t="str">
        <v>ProjectedCrs</v>
      </c>
      <c r="H3587" t="str">
        <v>Transverse Mercator</v>
      </c>
      <c r="I3587" t="str">
        <v>GDA94 / CKIG94</v>
      </c>
      <c r="J3587" t="str">
        <v>Cocos (Keeling) Islands - onshore.</v>
      </c>
      <c r="K3587" s="11">
        <v>0</v>
      </c>
    </row>
    <row r="3588" spans="5:11" x14ac:dyDescent="0.35">
      <c r="E3588" s="9" t="str">
        <v>EPSG</v>
      </c>
      <c r="F3588" s="7" t="str">
        <v>6736</v>
      </c>
      <c r="G3588" t="str">
        <v>ProjectedCrs</v>
      </c>
      <c r="H3588" t="str">
        <v>Transverse Mercator</v>
      </c>
      <c r="I3588" t="str">
        <v>GDA94 / MGA zone 46</v>
      </c>
      <c r="J3588" t="str">
        <v>Cocos (Keeling) Islands - offshore west of 96°E.</v>
      </c>
      <c r="K3588" s="11">
        <v>0</v>
      </c>
    </row>
    <row r="3589" spans="5:11" x14ac:dyDescent="0.35">
      <c r="E3589" s="9" t="str">
        <v>EPSG</v>
      </c>
      <c r="F3589" s="7" t="str">
        <v>6737</v>
      </c>
      <c r="G3589" t="str">
        <v>ProjectedCrs</v>
      </c>
      <c r="H3589" t="str">
        <v>Transverse Mercator</v>
      </c>
      <c r="I3589" t="str">
        <v>GDA94 / MGA zone 47</v>
      </c>
      <c r="J3589" t="str">
        <v>Cocos (Keeling) Islands - onshore and offshore east of 96°E.</v>
      </c>
      <c r="K3589" s="11">
        <v>0</v>
      </c>
    </row>
    <row r="3590" spans="5:11" x14ac:dyDescent="0.35">
      <c r="E3590" s="9" t="str">
        <v>EPSG</v>
      </c>
      <c r="F3590" s="7" t="str">
        <v>6738</v>
      </c>
      <c r="G3590" t="str">
        <v>ProjectedCrs</v>
      </c>
      <c r="H3590" t="str">
        <v>Transverse Mercator</v>
      </c>
      <c r="I3590" t="str">
        <v>GDA94 / MGA zone 59</v>
      </c>
      <c r="J3590" t="str">
        <v>Norfolk Island - offshore east of 168°E.</v>
      </c>
      <c r="K3590" s="11">
        <v>0</v>
      </c>
    </row>
    <row r="3591" spans="5:11" x14ac:dyDescent="0.35">
      <c r="E3591" s="9" t="str">
        <v>EPSG</v>
      </c>
      <c r="F3591" s="7" t="str">
        <v>6781</v>
      </c>
      <c r="G3591" t="str">
        <v>GeocentricCrs</v>
      </c>
      <c r="H3591" t="str">
        <v>&lt;undefined&gt;</v>
      </c>
      <c r="I3591" t="str">
        <v>NAD83(CORS96)</v>
      </c>
      <c r="J3591"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3591" s="11">
        <v>0</v>
      </c>
    </row>
    <row r="3592" spans="5:11" x14ac:dyDescent="0.35">
      <c r="E3592" s="9" t="str">
        <v>EPSG</v>
      </c>
      <c r="F3592" s="7" t="str">
        <v>6782</v>
      </c>
      <c r="G3592" t="str">
        <v>Geographic3DCrs</v>
      </c>
      <c r="H3592" t="str">
        <v>&lt;undefined&gt;</v>
      </c>
      <c r="I3592" t="str">
        <v>NAD83(CORS96)</v>
      </c>
      <c r="J3592"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3592" s="11">
        <v>0</v>
      </c>
    </row>
    <row r="3593" spans="5:11" x14ac:dyDescent="0.35">
      <c r="E3593" s="9" t="str">
        <v>EPSG</v>
      </c>
      <c r="F3593" s="7" t="str">
        <v>6783</v>
      </c>
      <c r="G3593" t="str">
        <v>Geographic2DCrs</v>
      </c>
      <c r="H3593" t="str">
        <v>&lt;undefined&gt;</v>
      </c>
      <c r="I3593" t="str">
        <v>NAD83(CORS96)</v>
      </c>
      <c r="J3593"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3593" s="11">
        <v>0</v>
      </c>
    </row>
    <row r="3594" spans="5:11" x14ac:dyDescent="0.35">
      <c r="E3594" s="9" t="str">
        <v>EPSG</v>
      </c>
      <c r="F3594" s="7" t="str">
        <v>6784</v>
      </c>
      <c r="G3594" t="str">
        <v>ProjectedCrs</v>
      </c>
      <c r="H3594" t="str">
        <v>Transverse Mercator</v>
      </c>
      <c r="I3594" t="str">
        <v>NAD83(CORS96) / Oregon Baker zone (m)</v>
      </c>
      <c r="J3594" t="str">
        <v>United States (USA) - Oregon - Baker City area.</v>
      </c>
      <c r="K3594" s="11">
        <v>0</v>
      </c>
    </row>
    <row r="3595" spans="5:11" x14ac:dyDescent="0.35">
      <c r="E3595" s="9" t="str">
        <v>EPSG</v>
      </c>
      <c r="F3595" s="7" t="str">
        <v>6785</v>
      </c>
      <c r="G3595" t="str">
        <v>ProjectedCrs</v>
      </c>
      <c r="H3595" t="str">
        <v>Transverse Mercator</v>
      </c>
      <c r="I3595" t="str">
        <v>NAD83(CORS96) / Oregon Baker zone (ft)</v>
      </c>
      <c r="J3595" t="str">
        <v>United States (USA) - Oregon - Baker City area.</v>
      </c>
      <c r="K3595" s="11">
        <v>0</v>
      </c>
    </row>
    <row r="3596" spans="5:11" x14ac:dyDescent="0.35">
      <c r="E3596" s="9" t="str">
        <v>EPSG</v>
      </c>
      <c r="F3596" s="7" t="str">
        <v>6786</v>
      </c>
      <c r="G3596" t="str">
        <v>ProjectedCrs</v>
      </c>
      <c r="H3596" t="str">
        <v>Transverse Mercator</v>
      </c>
      <c r="I3596" t="str">
        <v>NAD83(2011) / Oregon Baker zone (m)</v>
      </c>
      <c r="J3596" t="str">
        <v>United States (USA) - Oregon - Baker City area.</v>
      </c>
      <c r="K3596" s="11">
        <v>0</v>
      </c>
    </row>
    <row r="3597" spans="5:11" x14ac:dyDescent="0.35">
      <c r="E3597" s="9" t="str">
        <v>EPSG</v>
      </c>
      <c r="F3597" s="7" t="str">
        <v>6787</v>
      </c>
      <c r="G3597" t="str">
        <v>ProjectedCrs</v>
      </c>
      <c r="H3597" t="str">
        <v>Transverse Mercator</v>
      </c>
      <c r="I3597" t="str">
        <v>NAD83(2011) / Oregon Baker zone (ft)</v>
      </c>
      <c r="J3597" t="str">
        <v>United States (USA) - Oregon - Baker City area.</v>
      </c>
      <c r="K3597" s="11">
        <v>0</v>
      </c>
    </row>
    <row r="3598" spans="5:11" x14ac:dyDescent="0.35">
      <c r="E3598" s="9" t="str">
        <v>EPSG</v>
      </c>
      <c r="F3598" s="7" t="str">
        <v>6788</v>
      </c>
      <c r="G3598" t="str">
        <v>ProjectedCrs</v>
      </c>
      <c r="H3598" t="str">
        <v>Transverse Mercator</v>
      </c>
      <c r="I3598" t="str">
        <v>NAD83(CORS96) / Oregon Bend-Klamath Falls zone (m)</v>
      </c>
      <c r="J3598" t="str">
        <v>United States (USA) - Oregon - Bend-Klamath Falls area.</v>
      </c>
      <c r="K3598" s="11">
        <v>0</v>
      </c>
    </row>
    <row r="3599" spans="5:11" x14ac:dyDescent="0.35">
      <c r="E3599" s="9" t="str">
        <v>EPSG</v>
      </c>
      <c r="F3599" s="7" t="str">
        <v>6789</v>
      </c>
      <c r="G3599" t="str">
        <v>ProjectedCrs</v>
      </c>
      <c r="H3599" t="str">
        <v>Transverse Mercator</v>
      </c>
      <c r="I3599" t="str">
        <v>NAD83(CORS96) / Oregon Bend-Klamath Falls zone (ft)</v>
      </c>
      <c r="J3599" t="str">
        <v>United States (USA) - Oregon - Bend-Klamath Falls area.</v>
      </c>
      <c r="K3599" s="11">
        <v>0</v>
      </c>
    </row>
    <row r="3600" spans="5:11" x14ac:dyDescent="0.35">
      <c r="E3600" s="9" t="str">
        <v>EPSG</v>
      </c>
      <c r="F3600" s="7" t="str">
        <v>6790</v>
      </c>
      <c r="G3600" t="str">
        <v>ProjectedCrs</v>
      </c>
      <c r="H3600" t="str">
        <v>Transverse Mercator</v>
      </c>
      <c r="I3600" t="str">
        <v>NAD83(2011) / Oregon Bend-Klamath Falls zone (m)</v>
      </c>
      <c r="J3600" t="str">
        <v>United States (USA) - Oregon - Bend-Klamath Falls area.</v>
      </c>
      <c r="K3600" s="11">
        <v>0</v>
      </c>
    </row>
    <row r="3601" spans="5:11" x14ac:dyDescent="0.35">
      <c r="E3601" s="9" t="str">
        <v>EPSG</v>
      </c>
      <c r="F3601" s="7" t="str">
        <v>6791</v>
      </c>
      <c r="G3601" t="str">
        <v>ProjectedCrs</v>
      </c>
      <c r="H3601" t="str">
        <v>Transverse Mercator</v>
      </c>
      <c r="I3601" t="str">
        <v>NAD83(2011) / Oregon Bend-Klamath Falls zone (ft)</v>
      </c>
      <c r="J3601" t="str">
        <v>United States (USA) - Oregon - Bend-Klamath Falls area.</v>
      </c>
      <c r="K3601" s="11">
        <v>0</v>
      </c>
    </row>
    <row r="3602" spans="5:11" x14ac:dyDescent="0.35">
      <c r="E3602" s="9" t="str">
        <v>EPSG</v>
      </c>
      <c r="F3602" s="7" t="str">
        <v>6792</v>
      </c>
      <c r="G3602" t="str">
        <v>ProjectedCrs</v>
      </c>
      <c r="H3602" t="str">
        <v>Lambert Conic Conformal (1SP)</v>
      </c>
      <c r="I3602" t="str">
        <v>NAD83(CORS96) / Oregon Bend-Redmond-Prineville zone (m)</v>
      </c>
      <c r="J3602" t="str">
        <v>United States (USA) - Oregon - Bend-Redmond-Prineville area.</v>
      </c>
      <c r="K3602" s="11">
        <v>0</v>
      </c>
    </row>
    <row r="3603" spans="5:11" x14ac:dyDescent="0.35">
      <c r="E3603" s="9" t="str">
        <v>EPSG</v>
      </c>
      <c r="F3603" s="7" t="str">
        <v>6793</v>
      </c>
      <c r="G3603" t="str">
        <v>ProjectedCrs</v>
      </c>
      <c r="H3603" t="str">
        <v>Lambert Conic Conformal (1SP)</v>
      </c>
      <c r="I3603" t="str">
        <v>NAD83(CORS96) / Oregon Bend-Redmond-Prineville zone (ft)</v>
      </c>
      <c r="J3603" t="str">
        <v>United States (USA) - Oregon - Bend-Redmond-Prineville area.</v>
      </c>
      <c r="K3603" s="11">
        <v>0</v>
      </c>
    </row>
    <row r="3604" spans="5:11" x14ac:dyDescent="0.35">
      <c r="E3604" s="9" t="str">
        <v>EPSG</v>
      </c>
      <c r="F3604" s="7" t="str">
        <v>6794</v>
      </c>
      <c r="G3604" t="str">
        <v>ProjectedCrs</v>
      </c>
      <c r="H3604" t="str">
        <v>Lambert Conic Conformal (1SP)</v>
      </c>
      <c r="I3604" t="str">
        <v>NAD83(2011) / Oregon Bend-Redmond-Prineville zone (m)</v>
      </c>
      <c r="J3604" t="str">
        <v>United States (USA) - Oregon - Bend-Redmond-Prineville area.</v>
      </c>
      <c r="K3604" s="11">
        <v>0</v>
      </c>
    </row>
    <row r="3605" spans="5:11" x14ac:dyDescent="0.35">
      <c r="E3605" s="9" t="str">
        <v>EPSG</v>
      </c>
      <c r="F3605" s="7" t="str">
        <v>6795</v>
      </c>
      <c r="G3605" t="str">
        <v>ProjectedCrs</v>
      </c>
      <c r="H3605" t="str">
        <v>Lambert Conic Conformal (1SP)</v>
      </c>
      <c r="I3605" t="str">
        <v>NAD83(2011) / Oregon Bend-Redmond-Prineville zone (ft)</v>
      </c>
      <c r="J3605" t="str">
        <v>United States (USA) - Oregon - Bend-Redmond-Prineville area.</v>
      </c>
      <c r="K3605" s="11">
        <v>0</v>
      </c>
    </row>
    <row r="3606" spans="5:11" x14ac:dyDescent="0.35">
      <c r="E3606" s="9" t="str">
        <v>EPSG</v>
      </c>
      <c r="F3606" s="7" t="str">
        <v>6796</v>
      </c>
      <c r="G3606" t="str">
        <v>ProjectedCrs</v>
      </c>
      <c r="H3606" t="str">
        <v>Lambert Conic Conformal (1SP)</v>
      </c>
      <c r="I3606" t="str">
        <v>NAD83(CORS96) / Oregon Bend-Burns zone (m)</v>
      </c>
      <c r="J3606" t="str">
        <v>United States (USA) - Oregon - Bend-Burns area.</v>
      </c>
      <c r="K3606" s="11">
        <v>0</v>
      </c>
    </row>
    <row r="3607" spans="5:11" x14ac:dyDescent="0.35">
      <c r="E3607" s="9" t="str">
        <v>EPSG</v>
      </c>
      <c r="F3607" s="7" t="str">
        <v>6797</v>
      </c>
      <c r="G3607" t="str">
        <v>ProjectedCrs</v>
      </c>
      <c r="H3607" t="str">
        <v>Lambert Conic Conformal (1SP)</v>
      </c>
      <c r="I3607" t="str">
        <v>NAD83(CORS96) / Oregon Bend-Burns zone (ft)</v>
      </c>
      <c r="J3607" t="str">
        <v>United States (USA) - Oregon - Bend-Burns area.</v>
      </c>
      <c r="K3607" s="11">
        <v>0</v>
      </c>
    </row>
    <row r="3608" spans="5:11" x14ac:dyDescent="0.35">
      <c r="E3608" s="9" t="str">
        <v>EPSG</v>
      </c>
      <c r="F3608" s="7" t="str">
        <v>6798</v>
      </c>
      <c r="G3608" t="str">
        <v>ProjectedCrs</v>
      </c>
      <c r="H3608" t="str">
        <v>Lambert Conic Conformal (1SP)</v>
      </c>
      <c r="I3608" t="str">
        <v>NAD83(2011) / Oregon Bend-Burns zone (m)</v>
      </c>
      <c r="J3608" t="str">
        <v>United States (USA) - Oregon - Bend-Burns area.</v>
      </c>
      <c r="K3608" s="11">
        <v>0</v>
      </c>
    </row>
    <row r="3609" spans="5:11" x14ac:dyDescent="0.35">
      <c r="E3609" s="9" t="str">
        <v>EPSG</v>
      </c>
      <c r="F3609" s="7" t="str">
        <v>6799</v>
      </c>
      <c r="G3609" t="str">
        <v>ProjectedCrs</v>
      </c>
      <c r="H3609" t="str">
        <v>Lambert Conic Conformal (1SP)</v>
      </c>
      <c r="I3609" t="str">
        <v>NAD83(2011) / Oregon Bend-Burns zone (ft)</v>
      </c>
      <c r="J3609" t="str">
        <v>United States (USA) - Oregon - Bend-Burns area.</v>
      </c>
      <c r="K3609" s="11">
        <v>0</v>
      </c>
    </row>
    <row r="3610" spans="5:11" x14ac:dyDescent="0.35">
      <c r="E3610" s="9" t="str">
        <v>EPSG</v>
      </c>
      <c r="F3610" s="7" t="str">
        <v>6800</v>
      </c>
      <c r="G3610" t="str">
        <v>ProjectedCrs</v>
      </c>
      <c r="H3610" t="str">
        <v>Transverse Mercator</v>
      </c>
      <c r="I3610" t="str">
        <v>NAD83(CORS96) / Oregon Canyonville-Grants Pass zone (m)</v>
      </c>
      <c r="J3610" t="str">
        <v>United States (USA) - Oregon - Canyonville-Grants Pass area.</v>
      </c>
      <c r="K3610" s="11">
        <v>0</v>
      </c>
    </row>
    <row r="3611" spans="5:11" x14ac:dyDescent="0.35">
      <c r="E3611" s="9" t="str">
        <v>EPSG</v>
      </c>
      <c r="F3611" s="7" t="str">
        <v>6801</v>
      </c>
      <c r="G3611" t="str">
        <v>ProjectedCrs</v>
      </c>
      <c r="H3611" t="str">
        <v>Transverse Mercator</v>
      </c>
      <c r="I3611" t="str">
        <v>NAD83(CORS96) / Oregon Canyonville-Grants Pass zone (ft)</v>
      </c>
      <c r="J3611" t="str">
        <v>United States (USA) - Oregon - Canyonville-Grants Pass area.</v>
      </c>
      <c r="K3611" s="11">
        <v>0</v>
      </c>
    </row>
    <row r="3612" spans="5:11" x14ac:dyDescent="0.35">
      <c r="E3612" s="9" t="str">
        <v>EPSG</v>
      </c>
      <c r="F3612" s="7" t="str">
        <v>6802</v>
      </c>
      <c r="G3612" t="str">
        <v>ProjectedCrs</v>
      </c>
      <c r="H3612" t="str">
        <v>Transverse Mercator</v>
      </c>
      <c r="I3612" t="str">
        <v>NAD83(2011) / Oregon Canyonville-Grants Pass zone (m)</v>
      </c>
      <c r="J3612" t="str">
        <v>United States (USA) - Oregon - Canyonville-Grants Pass area.</v>
      </c>
      <c r="K3612" s="11">
        <v>0</v>
      </c>
    </row>
    <row r="3613" spans="5:11" x14ac:dyDescent="0.35">
      <c r="E3613" s="9" t="str">
        <v>EPSG</v>
      </c>
      <c r="F3613" s="7" t="str">
        <v>6803</v>
      </c>
      <c r="G3613" t="str">
        <v>ProjectedCrs</v>
      </c>
      <c r="H3613" t="str">
        <v>Transverse Mercator</v>
      </c>
      <c r="I3613" t="str">
        <v>NAD83(2011) / Oregon Canyonville-Grants Pass zone (ft)</v>
      </c>
      <c r="J3613" t="str">
        <v>United States (USA) - Oregon - Canyonville-Grants Pass area.</v>
      </c>
      <c r="K3613" s="11">
        <v>0</v>
      </c>
    </row>
    <row r="3614" spans="5:11" x14ac:dyDescent="0.35">
      <c r="E3614" s="9" t="str">
        <v>EPSG</v>
      </c>
      <c r="F3614" s="7" t="str">
        <v>6804</v>
      </c>
      <c r="G3614" t="str">
        <v>ProjectedCrs</v>
      </c>
      <c r="H3614" t="str">
        <v>Lambert Conic Conformal (1SP)</v>
      </c>
      <c r="I3614" t="str">
        <v>NAD83(CORS96) / Oregon Columbia River East zone (m)</v>
      </c>
      <c r="J3614" t="str">
        <v>United States (USA) - Oregon - Columbia River area between approximately 122°03'W and 118°53'W.</v>
      </c>
      <c r="K3614" s="11">
        <v>0</v>
      </c>
    </row>
    <row r="3615" spans="5:11" x14ac:dyDescent="0.35">
      <c r="E3615" s="9" t="str">
        <v>EPSG</v>
      </c>
      <c r="F3615" s="7" t="str">
        <v>6805</v>
      </c>
      <c r="G3615" t="str">
        <v>ProjectedCrs</v>
      </c>
      <c r="H3615" t="str">
        <v>Lambert Conic Conformal (1SP)</v>
      </c>
      <c r="I3615" t="str">
        <v>NAD83(CORS96) / Oregon Columbia River East zone (ft)</v>
      </c>
      <c r="J3615" t="str">
        <v>United States (USA) - Oregon - Columbia River area between approximately 122°03'W and 118°53'W.</v>
      </c>
      <c r="K3615" s="11">
        <v>0</v>
      </c>
    </row>
    <row r="3616" spans="5:11" x14ac:dyDescent="0.35">
      <c r="E3616" s="9" t="str">
        <v>EPSG</v>
      </c>
      <c r="F3616" s="7" t="str">
        <v>6806</v>
      </c>
      <c r="G3616" t="str">
        <v>ProjectedCrs</v>
      </c>
      <c r="H3616" t="str">
        <v>Lambert Conic Conformal (1SP)</v>
      </c>
      <c r="I3616" t="str">
        <v>NAD83(2011) / Oregon Columbia River East zone (m)</v>
      </c>
      <c r="J3616" t="str">
        <v>United States (USA) - Oregon - Columbia River area between approximately 122°03'W and 118°53'W.</v>
      </c>
      <c r="K3616" s="11">
        <v>0</v>
      </c>
    </row>
    <row r="3617" spans="5:11" x14ac:dyDescent="0.35">
      <c r="E3617" s="9" t="str">
        <v>EPSG</v>
      </c>
      <c r="F3617" s="7" t="str">
        <v>6807</v>
      </c>
      <c r="G3617" t="str">
        <v>ProjectedCrs</v>
      </c>
      <c r="H3617" t="str">
        <v>Lambert Conic Conformal (1SP)</v>
      </c>
      <c r="I3617" t="str">
        <v>NAD83(2011) / Oregon Columbia River East zone (ft)</v>
      </c>
      <c r="J3617" t="str">
        <v>United States (USA) - Oregon - Columbia River area between approximately 122°03'W and 118°53'W.</v>
      </c>
      <c r="K3617" s="11">
        <v>0</v>
      </c>
    </row>
    <row r="3618" spans="5:11" x14ac:dyDescent="0.35">
      <c r="E3618" s="9" t="str">
        <v>EPSG</v>
      </c>
      <c r="F3618" s="7" t="str">
        <v>6808</v>
      </c>
      <c r="G3618" t="str">
        <v>ProjectedCrs</v>
      </c>
      <c r="H3618" t="str">
        <v>Hotine Oblique Mercator (variant A)</v>
      </c>
      <c r="I3618" t="str">
        <v>NAD83(CORS96) / Oregon Columbia River West zone (m)</v>
      </c>
      <c r="J3618" t="str">
        <v>United States (USA) - Oregon - Columbia River area west of approximately 121°30'W.</v>
      </c>
      <c r="K3618" s="11">
        <v>0</v>
      </c>
    </row>
    <row r="3619" spans="5:11" x14ac:dyDescent="0.35">
      <c r="E3619" s="9" t="str">
        <v>EPSG</v>
      </c>
      <c r="F3619" s="7" t="str">
        <v>6809</v>
      </c>
      <c r="G3619" t="str">
        <v>ProjectedCrs</v>
      </c>
      <c r="H3619" t="str">
        <v>Hotine Oblique Mercator (variant A)</v>
      </c>
      <c r="I3619" t="str">
        <v>NAD83(CORS96) / Oregon Columbia River West zone (ft)</v>
      </c>
      <c r="J3619" t="str">
        <v>United States (USA) - Oregon - Columbia River area west of approximately 121°30'W.</v>
      </c>
      <c r="K3619" s="11">
        <v>0</v>
      </c>
    </row>
    <row r="3620" spans="5:11" x14ac:dyDescent="0.35">
      <c r="E3620" s="9" t="str">
        <v>EPSG</v>
      </c>
      <c r="F3620" s="7" t="str">
        <v>6810</v>
      </c>
      <c r="G3620" t="str">
        <v>ProjectedCrs</v>
      </c>
      <c r="H3620" t="str">
        <v>Hotine Oblique Mercator (variant A)</v>
      </c>
      <c r="I3620" t="str">
        <v>NAD83(2011) / Oregon Columbia River West zone (m)</v>
      </c>
      <c r="J3620" t="str">
        <v>United States (USA) - Oregon - Columbia River area west of approximately 121°30'W.</v>
      </c>
      <c r="K3620" s="11">
        <v>0</v>
      </c>
    </row>
    <row r="3621" spans="5:11" x14ac:dyDescent="0.35">
      <c r="E3621" s="9" t="str">
        <v>EPSG</v>
      </c>
      <c r="F3621" s="7" t="str">
        <v>6811</v>
      </c>
      <c r="G3621" t="str">
        <v>ProjectedCrs</v>
      </c>
      <c r="H3621" t="str">
        <v>Hotine Oblique Mercator (variant A)</v>
      </c>
      <c r="I3621" t="str">
        <v>NAD83(2011) / Oregon Columbia River West zone (ft)</v>
      </c>
      <c r="J3621" t="str">
        <v>United States (USA) - Oregon - Columbia River area west of approximately 121°30'W.</v>
      </c>
      <c r="K3621" s="11">
        <v>0</v>
      </c>
    </row>
    <row r="3622" spans="5:11" x14ac:dyDescent="0.35">
      <c r="E3622" s="9" t="str">
        <v>EPSG</v>
      </c>
      <c r="F3622" s="7" t="str">
        <v>6812</v>
      </c>
      <c r="G3622" t="str">
        <v>ProjectedCrs</v>
      </c>
      <c r="H3622" t="str">
        <v>Transverse Mercator</v>
      </c>
      <c r="I3622" t="str">
        <v>NAD83(CORS96) / Oregon Cottage Grove-Canyonville zone (m)</v>
      </c>
      <c r="J3622" t="str">
        <v>United States (USA) - Oregon - Cottage Grove-Canyonville area.</v>
      </c>
      <c r="K3622" s="11">
        <v>0</v>
      </c>
    </row>
    <row r="3623" spans="5:11" x14ac:dyDescent="0.35">
      <c r="E3623" s="9" t="str">
        <v>EPSG</v>
      </c>
      <c r="F3623" s="7" t="str">
        <v>6813</v>
      </c>
      <c r="G3623" t="str">
        <v>ProjectedCrs</v>
      </c>
      <c r="H3623" t="str">
        <v>Transverse Mercator</v>
      </c>
      <c r="I3623" t="str">
        <v>NAD83(CORS96) / Oregon Cottage Grove-Canyonville zone (ft)</v>
      </c>
      <c r="J3623" t="str">
        <v>United States (USA) - Oregon - Cottage Grove-Canyonville area.</v>
      </c>
      <c r="K3623" s="11">
        <v>0</v>
      </c>
    </row>
    <row r="3624" spans="5:11" x14ac:dyDescent="0.35">
      <c r="E3624" s="9" t="str">
        <v>EPSG</v>
      </c>
      <c r="F3624" s="7" t="str">
        <v>6814</v>
      </c>
      <c r="G3624" t="str">
        <v>ProjectedCrs</v>
      </c>
      <c r="H3624" t="str">
        <v>Transverse Mercator</v>
      </c>
      <c r="I3624" t="str">
        <v>NAD83(2011) / Oregon Cottage Grove-Canyonville zone (m)</v>
      </c>
      <c r="J3624" t="str">
        <v>United States (USA) - Oregon - Cottage Grove-Canyonville area.</v>
      </c>
      <c r="K3624" s="11">
        <v>0</v>
      </c>
    </row>
    <row r="3625" spans="5:11" x14ac:dyDescent="0.35">
      <c r="E3625" s="9" t="str">
        <v>EPSG</v>
      </c>
      <c r="F3625" s="7" t="str">
        <v>6815</v>
      </c>
      <c r="G3625" t="str">
        <v>ProjectedCrs</v>
      </c>
      <c r="H3625" t="str">
        <v>Transverse Mercator</v>
      </c>
      <c r="I3625" t="str">
        <v>NAD83(2011) / Oregon Cottage Grove-Canyonville zone (ft)</v>
      </c>
      <c r="J3625" t="str">
        <v>United States (USA) - Oregon - Cottage Grove-Canyonville area.</v>
      </c>
      <c r="K3625" s="11">
        <v>0</v>
      </c>
    </row>
    <row r="3626" spans="5:11" x14ac:dyDescent="0.35">
      <c r="E3626" s="9" t="str">
        <v>EPSG</v>
      </c>
      <c r="F3626" s="7" t="str">
        <v>6816</v>
      </c>
      <c r="G3626" t="str">
        <v>ProjectedCrs</v>
      </c>
      <c r="H3626" t="str">
        <v>Transverse Mercator</v>
      </c>
      <c r="I3626" t="str">
        <v>NAD83(CORS96) / Oregon Dufur-Madras zone (m)</v>
      </c>
      <c r="J3626" t="str">
        <v>United States (USA) - Oregon - Dufur-Madras area.</v>
      </c>
      <c r="K3626" s="11">
        <v>0</v>
      </c>
    </row>
    <row r="3627" spans="5:11" x14ac:dyDescent="0.35">
      <c r="E3627" s="9" t="str">
        <v>EPSG</v>
      </c>
      <c r="F3627" s="7" t="str">
        <v>6817</v>
      </c>
      <c r="G3627" t="str">
        <v>ProjectedCrs</v>
      </c>
      <c r="H3627" t="str">
        <v>Transverse Mercator</v>
      </c>
      <c r="I3627" t="str">
        <v>NAD83(CORS96) / Oregon Dufur-Madras zone (ft)</v>
      </c>
      <c r="J3627" t="str">
        <v>United States (USA) - Oregon - Dufur-Madras area.</v>
      </c>
      <c r="K3627" s="11">
        <v>0</v>
      </c>
    </row>
    <row r="3628" spans="5:11" x14ac:dyDescent="0.35">
      <c r="E3628" s="9" t="str">
        <v>EPSG</v>
      </c>
      <c r="F3628" s="7" t="str">
        <v>6818</v>
      </c>
      <c r="G3628" t="str">
        <v>ProjectedCrs</v>
      </c>
      <c r="H3628" t="str">
        <v>Transverse Mercator</v>
      </c>
      <c r="I3628" t="str">
        <v>NAD83(2011) / Oregon Dufur-Madras zone (m)</v>
      </c>
      <c r="J3628" t="str">
        <v>United States (USA) - Oregon - Dufur-Madras area.</v>
      </c>
      <c r="K3628" s="11">
        <v>0</v>
      </c>
    </row>
    <row r="3629" spans="5:11" x14ac:dyDescent="0.35">
      <c r="E3629" s="9" t="str">
        <v>EPSG</v>
      </c>
      <c r="F3629" s="7" t="str">
        <v>6819</v>
      </c>
      <c r="G3629" t="str">
        <v>ProjectedCrs</v>
      </c>
      <c r="H3629" t="str">
        <v>Transverse Mercator</v>
      </c>
      <c r="I3629" t="str">
        <v>NAD83(2011) / Oregon Dufur-Madras zone (ft)</v>
      </c>
      <c r="J3629" t="str">
        <v>United States (USA) - Oregon - Dufur-Madras area.</v>
      </c>
      <c r="K3629" s="11">
        <v>0</v>
      </c>
    </row>
    <row r="3630" spans="5:11" x14ac:dyDescent="0.35">
      <c r="E3630" s="9" t="str">
        <v>EPSG</v>
      </c>
      <c r="F3630" s="7" t="str">
        <v>6820</v>
      </c>
      <c r="G3630" t="str">
        <v>ProjectedCrs</v>
      </c>
      <c r="H3630" t="str">
        <v>Transverse Mercator</v>
      </c>
      <c r="I3630" t="str">
        <v>NAD83(CORS96) / Oregon Eugene zone (m)</v>
      </c>
      <c r="J3630" t="str">
        <v>United States (USA) - Oregon - Eugene area.</v>
      </c>
      <c r="K3630" s="11">
        <v>0</v>
      </c>
    </row>
    <row r="3631" spans="5:11" x14ac:dyDescent="0.35">
      <c r="E3631" s="9" t="str">
        <v>EPSG</v>
      </c>
      <c r="F3631" s="7" t="str">
        <v>6821</v>
      </c>
      <c r="G3631" t="str">
        <v>ProjectedCrs</v>
      </c>
      <c r="H3631" t="str">
        <v>Transverse Mercator</v>
      </c>
      <c r="I3631" t="str">
        <v>NAD83(CORS96) / Oregon Eugene zone (ft)</v>
      </c>
      <c r="J3631" t="str">
        <v>United States (USA) - Oregon - Eugene area.</v>
      </c>
      <c r="K3631" s="11">
        <v>0</v>
      </c>
    </row>
    <row r="3632" spans="5:11" x14ac:dyDescent="0.35">
      <c r="E3632" s="9" t="str">
        <v>EPSG</v>
      </c>
      <c r="F3632" s="7" t="str">
        <v>6822</v>
      </c>
      <c r="G3632" t="str">
        <v>ProjectedCrs</v>
      </c>
      <c r="H3632" t="str">
        <v>Transverse Mercator</v>
      </c>
      <c r="I3632" t="str">
        <v>NAD83(2011) / Oregon Eugene zone (m)</v>
      </c>
      <c r="J3632" t="str">
        <v>United States (USA) - Oregon - Eugene area.</v>
      </c>
      <c r="K3632" s="11">
        <v>0</v>
      </c>
    </row>
    <row r="3633" spans="5:11" x14ac:dyDescent="0.35">
      <c r="E3633" s="9" t="str">
        <v>EPSG</v>
      </c>
      <c r="F3633" s="7" t="str">
        <v>6823</v>
      </c>
      <c r="G3633" t="str">
        <v>ProjectedCrs</v>
      </c>
      <c r="H3633" t="str">
        <v>Transverse Mercator</v>
      </c>
      <c r="I3633" t="str">
        <v>NAD83(2011) / Oregon Eugene zone (ft)</v>
      </c>
      <c r="J3633" t="str">
        <v>United States (USA) - Oregon - Eugene area.</v>
      </c>
      <c r="K3633" s="11">
        <v>0</v>
      </c>
    </row>
    <row r="3634" spans="5:11" x14ac:dyDescent="0.35">
      <c r="E3634" s="9" t="str">
        <v>EPSG</v>
      </c>
      <c r="F3634" s="7" t="str">
        <v>6824</v>
      </c>
      <c r="G3634" t="str">
        <v>ProjectedCrs</v>
      </c>
      <c r="H3634" t="str">
        <v>Transverse Mercator</v>
      </c>
      <c r="I3634" t="str">
        <v>NAD83(CORS96) / Oregon Grants Pass-Ashland zone (m)</v>
      </c>
      <c r="J3634" t="str">
        <v>United States (USA) - Oregon - Grants Pass-Ashland area.</v>
      </c>
      <c r="K3634" s="11">
        <v>0</v>
      </c>
    </row>
    <row r="3635" spans="5:11" x14ac:dyDescent="0.35">
      <c r="E3635" s="9" t="str">
        <v>EPSG</v>
      </c>
      <c r="F3635" s="7" t="str">
        <v>6825</v>
      </c>
      <c r="G3635" t="str">
        <v>ProjectedCrs</v>
      </c>
      <c r="H3635" t="str">
        <v>Transverse Mercator</v>
      </c>
      <c r="I3635" t="str">
        <v>NAD83(CORS96) / Oregon Grants Pass-Ashland zone (ft)</v>
      </c>
      <c r="J3635" t="str">
        <v>United States (USA) - Oregon - Grants Pass-Ashland area.</v>
      </c>
      <c r="K3635" s="11">
        <v>0</v>
      </c>
    </row>
    <row r="3636" spans="5:11" x14ac:dyDescent="0.35">
      <c r="E3636" s="9" t="str">
        <v>EPSG</v>
      </c>
      <c r="F3636" s="7" t="str">
        <v>6826</v>
      </c>
      <c r="G3636" t="str">
        <v>ProjectedCrs</v>
      </c>
      <c r="H3636" t="str">
        <v>Transverse Mercator</v>
      </c>
      <c r="I3636" t="str">
        <v>NAD83(2011) / Oregon Grants Pass-Ashland zone (m)</v>
      </c>
      <c r="J3636" t="str">
        <v>United States (USA) - Oregon - Grants Pass-Ashland area.</v>
      </c>
      <c r="K3636" s="11">
        <v>0</v>
      </c>
    </row>
    <row r="3637" spans="5:11" x14ac:dyDescent="0.35">
      <c r="E3637" s="9" t="str">
        <v>EPSG</v>
      </c>
      <c r="F3637" s="7" t="str">
        <v>6827</v>
      </c>
      <c r="G3637" t="str">
        <v>ProjectedCrs</v>
      </c>
      <c r="H3637" t="str">
        <v>Transverse Mercator</v>
      </c>
      <c r="I3637" t="str">
        <v>NAD83(2011) / Oregon Grants Pass-Ashland zone (ft)</v>
      </c>
      <c r="J3637" t="str">
        <v>United States (USA) - Oregon - Grants Pass-Ashland area.</v>
      </c>
      <c r="K3637" s="11">
        <v>0</v>
      </c>
    </row>
    <row r="3638" spans="5:11" x14ac:dyDescent="0.35">
      <c r="E3638" s="9" t="str">
        <v>EPSG</v>
      </c>
      <c r="F3638" s="7" t="str">
        <v>6828</v>
      </c>
      <c r="G3638" t="str">
        <v>ProjectedCrs</v>
      </c>
      <c r="H3638" t="str">
        <v>Transverse Mercator</v>
      </c>
      <c r="I3638" t="str">
        <v>NAD83(CORS96) / Oregon Gresham-Warm Springs zone (m)</v>
      </c>
      <c r="J3638" t="str">
        <v>United States (USA) - Oregon - Gresham-Warm Springs area.</v>
      </c>
      <c r="K3638" s="11">
        <v>0</v>
      </c>
    </row>
    <row r="3639" spans="5:11" x14ac:dyDescent="0.35">
      <c r="E3639" s="9" t="str">
        <v>EPSG</v>
      </c>
      <c r="F3639" s="7" t="str">
        <v>6829</v>
      </c>
      <c r="G3639" t="str">
        <v>ProjectedCrs</v>
      </c>
      <c r="H3639" t="str">
        <v>Transverse Mercator</v>
      </c>
      <c r="I3639" t="str">
        <v>NAD83(CORS96) / Oregon Gresham-Warm Springs zone (ft)</v>
      </c>
      <c r="J3639" t="str">
        <v>United States (USA) - Oregon - Gresham-Warm Springs area.</v>
      </c>
      <c r="K3639" s="11">
        <v>0</v>
      </c>
    </row>
    <row r="3640" spans="5:11" x14ac:dyDescent="0.35">
      <c r="E3640" s="9" t="str">
        <v>EPSG</v>
      </c>
      <c r="F3640" s="7" t="str">
        <v>6830</v>
      </c>
      <c r="G3640" t="str">
        <v>ProjectedCrs</v>
      </c>
      <c r="H3640" t="str">
        <v>Transverse Mercator</v>
      </c>
      <c r="I3640" t="str">
        <v>NAD83(2011) / Oregon Gresham-Warm Springs zone (m)</v>
      </c>
      <c r="J3640" t="str">
        <v>United States (USA) - Oregon - Gresham-Warm Springs area.</v>
      </c>
      <c r="K3640" s="11">
        <v>0</v>
      </c>
    </row>
    <row r="3641" spans="5:11" x14ac:dyDescent="0.35">
      <c r="E3641" s="9" t="str">
        <v>EPSG</v>
      </c>
      <c r="F3641" s="7" t="str">
        <v>6831</v>
      </c>
      <c r="G3641" t="str">
        <v>ProjectedCrs</v>
      </c>
      <c r="H3641" t="str">
        <v>Transverse Mercator</v>
      </c>
      <c r="I3641" t="str">
        <v>NAD83(2011) / Oregon Gresham-Warm Springs zone (ft)</v>
      </c>
      <c r="J3641" t="str">
        <v>United States (USA) - Oregon - Gresham-Warm Springs area.</v>
      </c>
      <c r="K3641" s="11">
        <v>0</v>
      </c>
    </row>
    <row r="3642" spans="5:11" x14ac:dyDescent="0.35">
      <c r="E3642" s="9" t="str">
        <v>EPSG</v>
      </c>
      <c r="F3642" s="7" t="str">
        <v>6832</v>
      </c>
      <c r="G3642" t="str">
        <v>ProjectedCrs</v>
      </c>
      <c r="H3642" t="str">
        <v>Transverse Mercator</v>
      </c>
      <c r="I3642" t="str">
        <v>NAD83(CORS96) / Oregon La Grande zone (m)</v>
      </c>
      <c r="J3642" t="str">
        <v>United States (USA) - Oregon - La Grande area.</v>
      </c>
      <c r="K3642" s="11">
        <v>0</v>
      </c>
    </row>
    <row r="3643" spans="5:11" x14ac:dyDescent="0.35">
      <c r="E3643" s="9" t="str">
        <v>EPSG</v>
      </c>
      <c r="F3643" s="7" t="str">
        <v>6833</v>
      </c>
      <c r="G3643" t="str">
        <v>ProjectedCrs</v>
      </c>
      <c r="H3643" t="str">
        <v>Transverse Mercator</v>
      </c>
      <c r="I3643" t="str">
        <v>NAD83(CORS96) / Oregon La Grande zone (ft)</v>
      </c>
      <c r="J3643" t="str">
        <v>United States (USA) - Oregon - La Grande area.</v>
      </c>
      <c r="K3643" s="11">
        <v>0</v>
      </c>
    </row>
    <row r="3644" spans="5:11" x14ac:dyDescent="0.35">
      <c r="E3644" s="9" t="str">
        <v>EPSG</v>
      </c>
      <c r="F3644" s="7" t="str">
        <v>6834</v>
      </c>
      <c r="G3644" t="str">
        <v>ProjectedCrs</v>
      </c>
      <c r="H3644" t="str">
        <v>Transverse Mercator</v>
      </c>
      <c r="I3644" t="str">
        <v>NAD83(2011) / Oregon La Grande zone (m)</v>
      </c>
      <c r="J3644" t="str">
        <v>United States (USA) - Oregon - La Grande area.</v>
      </c>
      <c r="K3644" s="11">
        <v>0</v>
      </c>
    </row>
    <row r="3645" spans="5:11" x14ac:dyDescent="0.35">
      <c r="E3645" s="9" t="str">
        <v>EPSG</v>
      </c>
      <c r="F3645" s="7" t="str">
        <v>6835</v>
      </c>
      <c r="G3645" t="str">
        <v>ProjectedCrs</v>
      </c>
      <c r="H3645" t="str">
        <v>Transverse Mercator</v>
      </c>
      <c r="I3645" t="str">
        <v>NAD83(2011) / Oregon La Grande zone (ft)</v>
      </c>
      <c r="J3645" t="str">
        <v>United States (USA) - Oregon - La Grande area.</v>
      </c>
      <c r="K3645" s="11">
        <v>0</v>
      </c>
    </row>
    <row r="3646" spans="5:11" x14ac:dyDescent="0.35">
      <c r="E3646" s="9" t="str">
        <v>EPSG</v>
      </c>
      <c r="F3646" s="7" t="str">
        <v>6836</v>
      </c>
      <c r="G3646" t="str">
        <v>ProjectedCrs</v>
      </c>
      <c r="H3646" t="str">
        <v>Transverse Mercator</v>
      </c>
      <c r="I3646" t="str">
        <v>NAD83(CORS96) / Oregon Ontario zone (m)</v>
      </c>
      <c r="J3646" t="str">
        <v>United States (USA) - Oregon - Ontario area.</v>
      </c>
      <c r="K3646" s="11">
        <v>0</v>
      </c>
    </row>
    <row r="3647" spans="5:11" x14ac:dyDescent="0.35">
      <c r="E3647" s="9" t="str">
        <v>EPSG</v>
      </c>
      <c r="F3647" s="7" t="str">
        <v>6837</v>
      </c>
      <c r="G3647" t="str">
        <v>ProjectedCrs</v>
      </c>
      <c r="H3647" t="str">
        <v>Transverse Mercator</v>
      </c>
      <c r="I3647" t="str">
        <v>NAD83(CORS96) / Oregon Ontario zone (ft)</v>
      </c>
      <c r="J3647" t="str">
        <v>United States (USA) - Oregon - Ontario area.</v>
      </c>
      <c r="K3647" s="11">
        <v>0</v>
      </c>
    </row>
    <row r="3648" spans="5:11" x14ac:dyDescent="0.35">
      <c r="E3648" s="9" t="str">
        <v>EPSG</v>
      </c>
      <c r="F3648" s="7" t="str">
        <v>6838</v>
      </c>
      <c r="G3648" t="str">
        <v>ProjectedCrs</v>
      </c>
      <c r="H3648" t="str">
        <v>Transverse Mercator</v>
      </c>
      <c r="I3648" t="str">
        <v>NAD83(2011) / Oregon Ontario zone (m)</v>
      </c>
      <c r="J3648" t="str">
        <v>United States (USA) - Oregon - Ontario area.</v>
      </c>
      <c r="K3648" s="11">
        <v>0</v>
      </c>
    </row>
    <row r="3649" spans="5:11" x14ac:dyDescent="0.35">
      <c r="E3649" s="9" t="str">
        <v>EPSG</v>
      </c>
      <c r="F3649" s="7" t="str">
        <v>6839</v>
      </c>
      <c r="G3649" t="str">
        <v>ProjectedCrs</v>
      </c>
      <c r="H3649" t="str">
        <v>Transverse Mercator</v>
      </c>
      <c r="I3649" t="str">
        <v>NAD83(2011) / Oregon Ontario zone (ft)</v>
      </c>
      <c r="J3649" t="str">
        <v>United States (USA) - Oregon - Ontario area.</v>
      </c>
      <c r="K3649" s="11">
        <v>0</v>
      </c>
    </row>
    <row r="3650" spans="5:11" x14ac:dyDescent="0.35">
      <c r="E3650" s="9" t="str">
        <v>EPSG</v>
      </c>
      <c r="F3650" s="7" t="str">
        <v>6840</v>
      </c>
      <c r="G3650" t="str">
        <v>ProjectedCrs</v>
      </c>
      <c r="H3650" t="str">
        <v>Hotine Oblique Mercator (variant A)</v>
      </c>
      <c r="I3650" t="str">
        <v>NAD83(CORS96) / Oregon Coast zone (m)</v>
      </c>
      <c r="J3650" t="str">
        <v>United States (USA) - Oregon - coastal area.</v>
      </c>
      <c r="K3650" s="11">
        <v>0</v>
      </c>
    </row>
    <row r="3651" spans="5:11" x14ac:dyDescent="0.35">
      <c r="E3651" s="9" t="str">
        <v>EPSG</v>
      </c>
      <c r="F3651" s="7" t="str">
        <v>6841</v>
      </c>
      <c r="G3651" t="str">
        <v>ProjectedCrs</v>
      </c>
      <c r="H3651" t="str">
        <v>Hotine Oblique Mercator (variant A)</v>
      </c>
      <c r="I3651" t="str">
        <v>NAD83(CORS96) / Oregon Coast zone (ft)</v>
      </c>
      <c r="J3651" t="str">
        <v>United States (USA) - Oregon - coastal area.</v>
      </c>
      <c r="K3651" s="11">
        <v>0</v>
      </c>
    </row>
    <row r="3652" spans="5:11" x14ac:dyDescent="0.35">
      <c r="E3652" s="9" t="str">
        <v>EPSG</v>
      </c>
      <c r="F3652" s="7" t="str">
        <v>6842</v>
      </c>
      <c r="G3652" t="str">
        <v>ProjectedCrs</v>
      </c>
      <c r="H3652" t="str">
        <v>Hotine Oblique Mercator (variant A)</v>
      </c>
      <c r="I3652" t="str">
        <v>NAD83(2011) / Oregon Coast zone (m)</v>
      </c>
      <c r="J3652" t="str">
        <v>United States (USA) - Oregon - coastal area.</v>
      </c>
      <c r="K3652" s="11">
        <v>0</v>
      </c>
    </row>
    <row r="3653" spans="5:11" x14ac:dyDescent="0.35">
      <c r="E3653" s="9" t="str">
        <v>EPSG</v>
      </c>
      <c r="F3653" s="7" t="str">
        <v>6843</v>
      </c>
      <c r="G3653" t="str">
        <v>ProjectedCrs</v>
      </c>
      <c r="H3653" t="str">
        <v>Hotine Oblique Mercator (variant A)</v>
      </c>
      <c r="I3653" t="str">
        <v>NAD83(2011) / Oregon Coast zone (ft)</v>
      </c>
      <c r="J3653" t="str">
        <v>United States (USA) - Oregon - coastal area.</v>
      </c>
      <c r="K3653" s="11">
        <v>0</v>
      </c>
    </row>
    <row r="3654" spans="5:11" x14ac:dyDescent="0.35">
      <c r="E3654" s="9" t="str">
        <v>EPSG</v>
      </c>
      <c r="F3654" s="7" t="str">
        <v>6844</v>
      </c>
      <c r="G3654" t="str">
        <v>ProjectedCrs</v>
      </c>
      <c r="H3654" t="str">
        <v>Transverse Mercator</v>
      </c>
      <c r="I3654" t="str">
        <v>NAD83(CORS96) / Oregon Pendleton zone (m)</v>
      </c>
      <c r="J3654" t="str">
        <v>United States (USA) - Oregon - Pendleton area.</v>
      </c>
      <c r="K3654" s="11">
        <v>0</v>
      </c>
    </row>
    <row r="3655" spans="5:11" x14ac:dyDescent="0.35">
      <c r="E3655" s="9" t="str">
        <v>EPSG</v>
      </c>
      <c r="F3655" s="7" t="str">
        <v>6845</v>
      </c>
      <c r="G3655" t="str">
        <v>ProjectedCrs</v>
      </c>
      <c r="H3655" t="str">
        <v>Transverse Mercator</v>
      </c>
      <c r="I3655" t="str">
        <v>NAD83(CORS96) / Oregon Pendleton zone (ft)</v>
      </c>
      <c r="J3655" t="str">
        <v>United States (USA) - Oregon - Pendleton area.</v>
      </c>
      <c r="K3655" s="11">
        <v>0</v>
      </c>
    </row>
    <row r="3656" spans="5:11" x14ac:dyDescent="0.35">
      <c r="E3656" s="9" t="str">
        <v>EPSG</v>
      </c>
      <c r="F3656" s="7" t="str">
        <v>6846</v>
      </c>
      <c r="G3656" t="str">
        <v>ProjectedCrs</v>
      </c>
      <c r="H3656" t="str">
        <v>Transverse Mercator</v>
      </c>
      <c r="I3656" t="str">
        <v>NAD83(2011) / Oregon Pendleton zone (m)</v>
      </c>
      <c r="J3656" t="str">
        <v>United States (USA) - Oregon - Pendleton area.</v>
      </c>
      <c r="K3656" s="11">
        <v>0</v>
      </c>
    </row>
    <row r="3657" spans="5:11" x14ac:dyDescent="0.35">
      <c r="E3657" s="9" t="str">
        <v>EPSG</v>
      </c>
      <c r="F3657" s="7" t="str">
        <v>6847</v>
      </c>
      <c r="G3657" t="str">
        <v>ProjectedCrs</v>
      </c>
      <c r="H3657" t="str">
        <v>Transverse Mercator</v>
      </c>
      <c r="I3657" t="str">
        <v>NAD83(2011) / Oregon Pendleton zone (ft)</v>
      </c>
      <c r="J3657" t="str">
        <v>United States (USA) - Oregon - Pendleton area.</v>
      </c>
      <c r="K3657" s="11">
        <v>0</v>
      </c>
    </row>
    <row r="3658" spans="5:11" x14ac:dyDescent="0.35">
      <c r="E3658" s="9" t="str">
        <v>EPSG</v>
      </c>
      <c r="F3658" s="7" t="str">
        <v>6848</v>
      </c>
      <c r="G3658" t="str">
        <v>ProjectedCrs</v>
      </c>
      <c r="H3658" t="str">
        <v>Transverse Mercator</v>
      </c>
      <c r="I3658" t="str">
        <v>NAD83(CORS96) / Oregon Pendleton-La Grande zone (m)</v>
      </c>
      <c r="J3658" t="str">
        <v>United States (USA) - Oregon - Pendleton-La Grande area.</v>
      </c>
      <c r="K3658" s="11">
        <v>0</v>
      </c>
    </row>
    <row r="3659" spans="5:11" x14ac:dyDescent="0.35">
      <c r="E3659" s="9" t="str">
        <v>EPSG</v>
      </c>
      <c r="F3659" s="7" t="str">
        <v>6849</v>
      </c>
      <c r="G3659" t="str">
        <v>ProjectedCrs</v>
      </c>
      <c r="H3659" t="str">
        <v>Transverse Mercator</v>
      </c>
      <c r="I3659" t="str">
        <v>NAD83(CORS96) / Oregon Pendleton-La Grande zone (ft)</v>
      </c>
      <c r="J3659" t="str">
        <v>United States (USA) - Oregon - Pendleton-La Grande area.</v>
      </c>
      <c r="K3659" s="11">
        <v>0</v>
      </c>
    </row>
    <row r="3660" spans="5:11" x14ac:dyDescent="0.35">
      <c r="E3660" s="9" t="str">
        <v>EPSG</v>
      </c>
      <c r="F3660" s="7" t="str">
        <v>6850</v>
      </c>
      <c r="G3660" t="str">
        <v>ProjectedCrs</v>
      </c>
      <c r="H3660" t="str">
        <v>Transverse Mercator</v>
      </c>
      <c r="I3660" t="str">
        <v>NAD83(2011) / Oregon Pendleton-La Grande zone (m)</v>
      </c>
      <c r="J3660" t="str">
        <v>United States (USA) - Oregon - Pendleton-La Grande area.</v>
      </c>
      <c r="K3660" s="11">
        <v>0</v>
      </c>
    </row>
    <row r="3661" spans="5:11" x14ac:dyDescent="0.35">
      <c r="E3661" s="9" t="str">
        <v>EPSG</v>
      </c>
      <c r="F3661" s="7" t="str">
        <v>6851</v>
      </c>
      <c r="G3661" t="str">
        <v>ProjectedCrs</v>
      </c>
      <c r="H3661" t="str">
        <v>Transverse Mercator</v>
      </c>
      <c r="I3661" t="str">
        <v>NAD83(2011) / Oregon Pendleton-La Grande zone (ft)</v>
      </c>
      <c r="J3661" t="str">
        <v>United States (USA) - Oregon - Pendleton-La Grande area.</v>
      </c>
      <c r="K3661" s="11">
        <v>0</v>
      </c>
    </row>
    <row r="3662" spans="5:11" x14ac:dyDescent="0.35">
      <c r="E3662" s="9" t="str">
        <v>EPSG</v>
      </c>
      <c r="F3662" s="7" t="str">
        <v>6852</v>
      </c>
      <c r="G3662" t="str">
        <v>ProjectedCrs</v>
      </c>
      <c r="H3662" t="str">
        <v>Lambert Conic Conformal (1SP)</v>
      </c>
      <c r="I3662" t="str">
        <v>NAD83(CORS96) / Oregon Portland zone (m)</v>
      </c>
      <c r="J3662" t="str">
        <v>United States (USA) - Oregon - Portland area.</v>
      </c>
      <c r="K3662" s="11">
        <v>0</v>
      </c>
    </row>
    <row r="3663" spans="5:11" x14ac:dyDescent="0.35">
      <c r="E3663" s="9" t="str">
        <v>EPSG</v>
      </c>
      <c r="F3663" s="7" t="str">
        <v>6853</v>
      </c>
      <c r="G3663" t="str">
        <v>ProjectedCrs</v>
      </c>
      <c r="H3663" t="str">
        <v>Lambert Conic Conformal (1SP)</v>
      </c>
      <c r="I3663" t="str">
        <v>NAD83(CORS96) / Oregon Portland zone (ft)</v>
      </c>
      <c r="J3663" t="str">
        <v>United States (USA) - Oregon - Portland area.</v>
      </c>
      <c r="K3663" s="11">
        <v>0</v>
      </c>
    </row>
    <row r="3664" spans="5:11" x14ac:dyDescent="0.35">
      <c r="E3664" s="9" t="str">
        <v>EPSG</v>
      </c>
      <c r="F3664" s="7" t="str">
        <v>6854</v>
      </c>
      <c r="G3664" t="str">
        <v>ProjectedCrs</v>
      </c>
      <c r="H3664" t="str">
        <v>Lambert Conic Conformal (1SP)</v>
      </c>
      <c r="I3664" t="str">
        <v>NAD83(2011) / Oregon Portland zone (m)</v>
      </c>
      <c r="J3664" t="str">
        <v>United States (USA) - Oregon - Portland area.</v>
      </c>
      <c r="K3664" s="11">
        <v>0</v>
      </c>
    </row>
    <row r="3665" spans="5:11" x14ac:dyDescent="0.35">
      <c r="E3665" s="9" t="str">
        <v>EPSG</v>
      </c>
      <c r="F3665" s="7" t="str">
        <v>6855</v>
      </c>
      <c r="G3665" t="str">
        <v>ProjectedCrs</v>
      </c>
      <c r="H3665" t="str">
        <v>Lambert Conic Conformal (1SP)</v>
      </c>
      <c r="I3665" t="str">
        <v>NAD83(2011) / Oregon Portland zone (ft)</v>
      </c>
      <c r="J3665" t="str">
        <v>United States (USA) - Oregon - Portland area.</v>
      </c>
      <c r="K3665" s="11">
        <v>0</v>
      </c>
    </row>
    <row r="3666" spans="5:11" x14ac:dyDescent="0.35">
      <c r="E3666" s="9" t="str">
        <v>EPSG</v>
      </c>
      <c r="F3666" s="7" t="str">
        <v>6856</v>
      </c>
      <c r="G3666" t="str">
        <v>ProjectedCrs</v>
      </c>
      <c r="H3666" t="str">
        <v>Transverse Mercator</v>
      </c>
      <c r="I3666" t="str">
        <v>NAD83(CORS96) / Oregon Salem zone (m)</v>
      </c>
      <c r="J3666" t="str">
        <v>United States (USA) - Oregon - Salem area.</v>
      </c>
      <c r="K3666" s="11">
        <v>0</v>
      </c>
    </row>
    <row r="3667" spans="5:11" x14ac:dyDescent="0.35">
      <c r="E3667" s="9" t="str">
        <v>EPSG</v>
      </c>
      <c r="F3667" s="7" t="str">
        <v>6857</v>
      </c>
      <c r="G3667" t="str">
        <v>ProjectedCrs</v>
      </c>
      <c r="H3667" t="str">
        <v>Transverse Mercator</v>
      </c>
      <c r="I3667" t="str">
        <v>NAD83(CORS96) / Oregon Salem zone (ft)</v>
      </c>
      <c r="J3667" t="str">
        <v>United States (USA) - Oregon - Salem area.</v>
      </c>
      <c r="K3667" s="11">
        <v>0</v>
      </c>
    </row>
    <row r="3668" spans="5:11" x14ac:dyDescent="0.35">
      <c r="E3668" s="9" t="str">
        <v>EPSG</v>
      </c>
      <c r="F3668" s="7" t="str">
        <v>6858</v>
      </c>
      <c r="G3668" t="str">
        <v>ProjectedCrs</v>
      </c>
      <c r="H3668" t="str">
        <v>Transverse Mercator</v>
      </c>
      <c r="I3668" t="str">
        <v>NAD83(2011) / Oregon Salem zone (m)</v>
      </c>
      <c r="J3668" t="str">
        <v>United States (USA) - Oregon - Salem area.</v>
      </c>
      <c r="K3668" s="11">
        <v>0</v>
      </c>
    </row>
    <row r="3669" spans="5:11" x14ac:dyDescent="0.35">
      <c r="E3669" s="9" t="str">
        <v>EPSG</v>
      </c>
      <c r="F3669" s="7" t="str">
        <v>6859</v>
      </c>
      <c r="G3669" t="str">
        <v>ProjectedCrs</v>
      </c>
      <c r="H3669" t="str">
        <v>Transverse Mercator</v>
      </c>
      <c r="I3669" t="str">
        <v>NAD83(2011) / Oregon Salem zone (ft)</v>
      </c>
      <c r="J3669" t="str">
        <v>United States (USA) - Oregon - Salem area.</v>
      </c>
      <c r="K3669" s="11">
        <v>0</v>
      </c>
    </row>
    <row r="3670" spans="5:11" x14ac:dyDescent="0.35">
      <c r="E3670" s="9" t="str">
        <v>EPSG</v>
      </c>
      <c r="F3670" s="7" t="str">
        <v>6860</v>
      </c>
      <c r="G3670" t="str">
        <v>ProjectedCrs</v>
      </c>
      <c r="H3670" t="str">
        <v>Transverse Mercator</v>
      </c>
      <c r="I3670" t="str">
        <v>NAD83(CORS96) / Oregon Santiam Pass zone (m)</v>
      </c>
      <c r="J3670" t="str">
        <v>United States (USA) - Oregon - Sweet Home-Santiam Pass-Sisters area.</v>
      </c>
      <c r="K3670" s="11">
        <v>0</v>
      </c>
    </row>
    <row r="3671" spans="5:11" x14ac:dyDescent="0.35">
      <c r="E3671" s="9" t="str">
        <v>EPSG</v>
      </c>
      <c r="F3671" s="7" t="str">
        <v>6861</v>
      </c>
      <c r="G3671" t="str">
        <v>ProjectedCrs</v>
      </c>
      <c r="H3671" t="str">
        <v>Transverse Mercator</v>
      </c>
      <c r="I3671" t="str">
        <v>NAD83(CORS96) / Oregon Santiam Pass zone (ft)</v>
      </c>
      <c r="J3671" t="str">
        <v>United States (USA) - Oregon - Sweet Home-Santiam Pass-Sisters area.</v>
      </c>
      <c r="K3671" s="11">
        <v>0</v>
      </c>
    </row>
    <row r="3672" spans="5:11" x14ac:dyDescent="0.35">
      <c r="E3672" s="9" t="str">
        <v>EPSG</v>
      </c>
      <c r="F3672" s="7" t="str">
        <v>6862</v>
      </c>
      <c r="G3672" t="str">
        <v>ProjectedCrs</v>
      </c>
      <c r="H3672" t="str">
        <v>Transverse Mercator</v>
      </c>
      <c r="I3672" t="str">
        <v>NAD83(2011) / Oregon Santiam Pass zone (m)</v>
      </c>
      <c r="J3672" t="str">
        <v>United States (USA) - Oregon - Sweet Home-Santiam Pass-Sisters area.</v>
      </c>
      <c r="K3672" s="11">
        <v>0</v>
      </c>
    </row>
    <row r="3673" spans="5:11" x14ac:dyDescent="0.35">
      <c r="E3673" s="9" t="str">
        <v>EPSG</v>
      </c>
      <c r="F3673" s="7" t="str">
        <v>6863</v>
      </c>
      <c r="G3673" t="str">
        <v>ProjectedCrs</v>
      </c>
      <c r="H3673" t="str">
        <v>Transverse Mercator</v>
      </c>
      <c r="I3673" t="str">
        <v>NAD83(2011) / Oregon Santiam Pass zone (ft)</v>
      </c>
      <c r="J3673" t="str">
        <v>United States (USA) - Oregon - Sweet Home-Santiam Pass-Sisters area.</v>
      </c>
      <c r="K3673" s="11">
        <v>0</v>
      </c>
    </row>
    <row r="3674" spans="5:11" x14ac:dyDescent="0.35">
      <c r="E3674" s="9" t="str">
        <v>EPSG</v>
      </c>
      <c r="F3674" s="7" t="str">
        <v>6867</v>
      </c>
      <c r="G3674" t="str">
        <v>ProjectedCrs</v>
      </c>
      <c r="H3674" t="str">
        <v>Lambert Conic Conformal (2SP)</v>
      </c>
      <c r="I3674" t="str">
        <v>NAD83(CORS96) / Oregon LCC (m)</v>
      </c>
      <c r="J3674" t="str">
        <v>United States (USA) - Oregon.</v>
      </c>
      <c r="K3674" s="11">
        <v>0</v>
      </c>
    </row>
    <row r="3675" spans="5:11" x14ac:dyDescent="0.35">
      <c r="E3675" s="9" t="str">
        <v>EPSG</v>
      </c>
      <c r="F3675" s="7" t="str">
        <v>6868</v>
      </c>
      <c r="G3675" t="str">
        <v>ProjectedCrs</v>
      </c>
      <c r="H3675" t="str">
        <v>Lambert Conic Conformal (2SP)</v>
      </c>
      <c r="I3675" t="str">
        <v>NAD83(CORS96) / Oregon GIC Lambert (ft)</v>
      </c>
      <c r="J3675" t="str">
        <v>United States (USA) - Oregon.</v>
      </c>
      <c r="K3675" s="11">
        <v>0</v>
      </c>
    </row>
    <row r="3676" spans="5:11" x14ac:dyDescent="0.35">
      <c r="E3676" s="9" t="str">
        <v>EPSG</v>
      </c>
      <c r="F3676" s="7" t="str">
        <v>6870</v>
      </c>
      <c r="G3676" t="str">
        <v>ProjectedCrs</v>
      </c>
      <c r="H3676" t="str">
        <v>Transverse Mercator</v>
      </c>
      <c r="I3676" t="str">
        <v>ETRS89 / Albania TM 2010</v>
      </c>
      <c r="J3676" t="str">
        <v>Albania - onshore.</v>
      </c>
      <c r="K3676" s="11">
        <v>0</v>
      </c>
    </row>
    <row r="3677" spans="5:11" x14ac:dyDescent="0.35">
      <c r="E3677" s="9" t="str">
        <v>EPSG</v>
      </c>
      <c r="F3677" s="7" t="str">
        <v>6875</v>
      </c>
      <c r="G3677" t="str">
        <v>ProjectedCrs</v>
      </c>
      <c r="H3677" t="str">
        <v>Transverse Mercator</v>
      </c>
      <c r="I3677" t="str">
        <v>RDN2008 / Italy zone (N-E)</v>
      </c>
      <c r="J3677" t="str">
        <v>Italy - onshore and offshore.</v>
      </c>
      <c r="K3677" s="11">
        <v>0</v>
      </c>
    </row>
    <row r="3678" spans="5:11" x14ac:dyDescent="0.35">
      <c r="E3678" s="9" t="str">
        <v>EPSG</v>
      </c>
      <c r="F3678" s="7" t="str">
        <v>6876</v>
      </c>
      <c r="G3678" t="str">
        <v>ProjectedCrs</v>
      </c>
      <c r="H3678" t="str">
        <v>Transverse Mercator</v>
      </c>
      <c r="I3678" t="str">
        <v>RDN2008 / Zone 12 (N-E)</v>
      </c>
      <c r="J3678" t="str">
        <v>Italy - onshore and offshore.</v>
      </c>
      <c r="K3678" s="11">
        <v>0</v>
      </c>
    </row>
    <row r="3679" spans="5:11" x14ac:dyDescent="0.35">
      <c r="E3679" s="9" t="str">
        <v>EPSG</v>
      </c>
      <c r="F3679" s="7" t="str">
        <v>6879</v>
      </c>
      <c r="G3679" t="str">
        <v>ProjectedCrs</v>
      </c>
      <c r="H3679" t="str">
        <v>Lambert Conic Conformal (2SP)</v>
      </c>
      <c r="I3679" t="str">
        <v>NAD83(2011) / Wisconsin Central</v>
      </c>
      <c r="J3679" t="str">
        <v>United States (USA) - Wisconsin - counties of Barron; Brown; Buffalo; Chippewa; Clark; Door; Dunn; Eau Claire; Jackson; Kewaunee; Langlade; Lincoln; Marathon; Marinette; Menominee; Oconto; Outagamie; Pepin; Pierce; Polk; Portage; Rusk; Shawano; St Croix; Taylor; Trempealeau; Waupaca; Wood.</v>
      </c>
      <c r="K3679" s="11">
        <v>0</v>
      </c>
    </row>
    <row r="3680" spans="5:11" x14ac:dyDescent="0.35">
      <c r="E3680" s="9" t="str">
        <v>EPSG</v>
      </c>
      <c r="F3680" s="7" t="str">
        <v>6880</v>
      </c>
      <c r="G3680" t="str">
        <v>ProjectedCrs</v>
      </c>
      <c r="H3680" t="str">
        <v>Lambert Conic Conformal (2SP)</v>
      </c>
      <c r="I3680" t="str">
        <v>NAD83(2011) / Nebraska (ftUS)</v>
      </c>
      <c r="J3680"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3680" s="11">
        <v>0</v>
      </c>
    </row>
    <row r="3681" spans="5:11" x14ac:dyDescent="0.35">
      <c r="E3681" s="9" t="str">
        <v>EPSG</v>
      </c>
      <c r="F3681" s="7" t="str">
        <v>6881</v>
      </c>
      <c r="G3681" t="str">
        <v>Geographic2DCrs</v>
      </c>
      <c r="H3681" t="str">
        <v>&lt;undefined&gt;</v>
      </c>
      <c r="I3681" t="str">
        <v>Aden 1925</v>
      </c>
      <c r="J3681" t="str">
        <v>Yemen - South Yemen onshore mainland.</v>
      </c>
      <c r="K3681" s="11">
        <v>0</v>
      </c>
    </row>
    <row r="3682" spans="5:11" x14ac:dyDescent="0.35">
      <c r="E3682" s="9" t="str">
        <v>EPSG</v>
      </c>
      <c r="F3682" s="7" t="str">
        <v>6882</v>
      </c>
      <c r="G3682" t="str">
        <v>Geographic2DCrs</v>
      </c>
      <c r="H3682" t="str">
        <v>&lt;undefined&gt;</v>
      </c>
      <c r="I3682" t="str">
        <v>Bekaa Valley 1920</v>
      </c>
      <c r="J3682" t="str">
        <v>Lebanon - onshore.</v>
      </c>
      <c r="K3682" s="11">
        <v>0</v>
      </c>
    </row>
    <row r="3683" spans="5:11" x14ac:dyDescent="0.35">
      <c r="E3683" s="9" t="str">
        <v>EPSG</v>
      </c>
      <c r="F3683" s="7" t="str">
        <v>6883</v>
      </c>
      <c r="G3683" t="str">
        <v>Geographic2DCrs</v>
      </c>
      <c r="H3683" t="str">
        <v>&lt;undefined&gt;</v>
      </c>
      <c r="I3683" t="str">
        <v>Bioko</v>
      </c>
      <c r="J3683" t="str">
        <v>Equatorial Guinea - Bioko onshore.</v>
      </c>
      <c r="K3683" s="11">
        <v>0</v>
      </c>
    </row>
    <row r="3684" spans="5:11" x14ac:dyDescent="0.35">
      <c r="E3684" s="9" t="str">
        <v>EPSG</v>
      </c>
      <c r="F3684" s="7" t="str">
        <v>6884</v>
      </c>
      <c r="G3684" t="str">
        <v>ProjectedCrs</v>
      </c>
      <c r="H3684" t="str">
        <v>Lambert Conic Conformal (2SP)</v>
      </c>
      <c r="I3684" t="str">
        <v>NAD83(CORS96) / Oregon North</v>
      </c>
      <c r="J3684" t="str">
        <v>United States (USA) - Oregon - counties of Baker; Benton; Clackamas; Clatsop; Columbia; Gilliam; Grant; Hood River; Jefferson; Lincoln; Linn; Marion; Morrow; Multnomah; Polk; Sherman; Tillamook; Umatilla; Union; Wallowa; Wasco; Washington; Wheeler; Yamhill.</v>
      </c>
      <c r="K3684" s="11">
        <v>0</v>
      </c>
    </row>
    <row r="3685" spans="5:11" x14ac:dyDescent="0.35">
      <c r="E3685" s="9" t="str">
        <v>EPSG</v>
      </c>
      <c r="F3685" s="7" t="str">
        <v>6885</v>
      </c>
      <c r="G3685" t="str">
        <v>ProjectedCrs</v>
      </c>
      <c r="H3685" t="str">
        <v>Lambert Conic Conformal (2SP)</v>
      </c>
      <c r="I3685" t="str">
        <v>NAD83(CORS96) / Oregon North (ft)</v>
      </c>
      <c r="J3685" t="str">
        <v>United States (USA) - Oregon - counties of Baker; Benton; Clackamas; Clatsop; Columbia; Gilliam; Grant; Hood River; Jefferson; Lincoln; Linn; Marion; Morrow; Multnomah; Polk; Sherman; Tillamook; Umatilla; Union; Wallowa; Wasco; Washington; Wheeler; Yamhill.</v>
      </c>
      <c r="K3685" s="11">
        <v>0</v>
      </c>
    </row>
    <row r="3686" spans="5:11" x14ac:dyDescent="0.35">
      <c r="E3686" s="9" t="str">
        <v>EPSG</v>
      </c>
      <c r="F3686" s="7" t="str">
        <v>6886</v>
      </c>
      <c r="G3686" t="str">
        <v>ProjectedCrs</v>
      </c>
      <c r="H3686" t="str">
        <v>Lambert Conic Conformal (2SP)</v>
      </c>
      <c r="I3686" t="str">
        <v>NAD83(CORS96) / Oregon South</v>
      </c>
      <c r="J3686" t="str">
        <v>United States (USA) - Oregon - counties of Coos; Crook; Curry; Deschutes; Douglas; Harney; Jackson; Josephine; Klamath; Lake; Lane; Malheur.</v>
      </c>
      <c r="K3686" s="11">
        <v>0</v>
      </c>
    </row>
    <row r="3687" spans="5:11" x14ac:dyDescent="0.35">
      <c r="E3687" s="9" t="str">
        <v>EPSG</v>
      </c>
      <c r="F3687" s="7" t="str">
        <v>6887</v>
      </c>
      <c r="G3687" t="str">
        <v>ProjectedCrs</v>
      </c>
      <c r="H3687" t="str">
        <v>Lambert Conic Conformal (2SP)</v>
      </c>
      <c r="I3687" t="str">
        <v>NAD83(CORS96) / Oregon South (ft)</v>
      </c>
      <c r="J3687" t="str">
        <v>United States (USA) - Oregon - counties of Coos; Crook; Curry; Deschutes; Douglas; Harney; Jackson; Josephine; Klamath; Lake; Lane; Malheur.</v>
      </c>
      <c r="K3687" s="11">
        <v>0</v>
      </c>
    </row>
    <row r="3688" spans="5:11" x14ac:dyDescent="0.35">
      <c r="E3688" s="9" t="str">
        <v>EPSG</v>
      </c>
      <c r="F3688" s="7" t="str">
        <v>6892</v>
      </c>
      <c r="G3688" t="str">
        <v>Geographic2DCrs</v>
      </c>
      <c r="H3688" t="str">
        <v>&lt;undefined&gt;</v>
      </c>
      <c r="I3688" t="str">
        <v>South East Island 1943</v>
      </c>
      <c r="J3688" t="str">
        <v>Seychelles - Mahe, Silhouette, North, Aride Island, Praslin, La Digue and Frigate islands including adjacent smaller granitic islands on the Seychelles Bank, Bird Island and Denis Island.</v>
      </c>
      <c r="K3688" s="11">
        <v>0</v>
      </c>
    </row>
    <row r="3689" spans="5:11" x14ac:dyDescent="0.35">
      <c r="E3689" s="9" t="str">
        <v>EPSG</v>
      </c>
      <c r="F3689" s="7" t="str">
        <v>6893</v>
      </c>
      <c r="G3689" t="str">
        <v>CompoundCrs</v>
      </c>
      <c r="H3689" t="str">
        <v>&lt;undefined&gt;</v>
      </c>
      <c r="I3689" t="str">
        <v>WGS 84 / World Mercator + EGM2008 height</v>
      </c>
      <c r="J3689" t="str">
        <v>World.</v>
      </c>
      <c r="K3689" s="11">
        <v>0</v>
      </c>
    </row>
    <row r="3690" spans="5:11" x14ac:dyDescent="0.35">
      <c r="E3690" s="9" t="str">
        <v>EPSG</v>
      </c>
      <c r="F3690" s="7" t="str">
        <v>6894</v>
      </c>
      <c r="G3690" t="str">
        <v>Geographic2DCrs</v>
      </c>
      <c r="H3690" t="str">
        <v>&lt;undefined&gt;</v>
      </c>
      <c r="I3690" t="str">
        <v>Gambia</v>
      </c>
      <c r="J3690" t="str">
        <v>Gambia - onshore.</v>
      </c>
      <c r="K3690" s="11">
        <v>0</v>
      </c>
    </row>
    <row r="3691" spans="5:11" x14ac:dyDescent="0.35">
      <c r="E3691" s="9" t="str">
        <v>EPSG</v>
      </c>
      <c r="F3691" s="7" t="str">
        <v>6915</v>
      </c>
      <c r="G3691" t="str">
        <v>ProjectedCrs</v>
      </c>
      <c r="H3691" t="str">
        <v>Transverse Mercator</v>
      </c>
      <c r="I3691" t="str">
        <v>South East Island 1943 / UTM zone 40N</v>
      </c>
      <c r="J3691" t="str">
        <v>Seychelles - Mahe, Silhouette, North, Aride Island, Praslin, La Digue and Frigate islands including adjacent smaller granitic islands on the Seychelles Bank, Bird Island and Denis Island.</v>
      </c>
      <c r="K3691" s="11">
        <v>0</v>
      </c>
    </row>
    <row r="3692" spans="5:11" x14ac:dyDescent="0.35">
      <c r="E3692" s="9" t="str">
        <v>EPSG</v>
      </c>
      <c r="F3692" s="7" t="str">
        <v>6916</v>
      </c>
      <c r="G3692" t="str">
        <v>VerticalCrs</v>
      </c>
      <c r="H3692" t="str">
        <v>&lt;undefined&gt;</v>
      </c>
      <c r="I3692" t="str">
        <v>SHD height</v>
      </c>
      <c r="J3692" t="str">
        <v>Singapore - onshore and offshore.</v>
      </c>
      <c r="K3692" s="11">
        <v>0</v>
      </c>
    </row>
    <row r="3693" spans="5:11" x14ac:dyDescent="0.35">
      <c r="E3693" s="9" t="str">
        <v>EPSG</v>
      </c>
      <c r="F3693" s="7" t="str">
        <v>6917</v>
      </c>
      <c r="G3693" t="str">
        <v>CompoundCrs</v>
      </c>
      <c r="H3693" t="str">
        <v>&lt;undefined&gt;</v>
      </c>
      <c r="I3693" t="str">
        <v>SVY21 + SHD height</v>
      </c>
      <c r="J3693" t="str">
        <v>Singapore - onshore and offshore.</v>
      </c>
      <c r="K3693" s="11">
        <v>0</v>
      </c>
    </row>
    <row r="3694" spans="5:11" x14ac:dyDescent="0.35">
      <c r="E3694" s="9" t="str">
        <v>EPSG</v>
      </c>
      <c r="F3694" s="7" t="str">
        <v>6922</v>
      </c>
      <c r="G3694" t="str">
        <v>ProjectedCrs</v>
      </c>
      <c r="H3694" t="str">
        <v>Lambert Conic Conformal (2SP)</v>
      </c>
      <c r="I3694" t="str">
        <v>NAD83 / Kansas LCC</v>
      </c>
      <c r="J3694" t="str">
        <v>United States (USA) - Kansas.</v>
      </c>
      <c r="K3694" s="11">
        <v>0</v>
      </c>
    </row>
    <row r="3695" spans="5:11" x14ac:dyDescent="0.35">
      <c r="E3695" s="9" t="str">
        <v>EPSG</v>
      </c>
      <c r="F3695" s="7" t="str">
        <v>6923</v>
      </c>
      <c r="G3695" t="str">
        <v>ProjectedCrs</v>
      </c>
      <c r="H3695" t="str">
        <v>Lambert Conic Conformal (2SP)</v>
      </c>
      <c r="I3695" t="str">
        <v>NAD83 / Kansas LCC (ftUS)</v>
      </c>
      <c r="J3695" t="str">
        <v>United States (USA) - Kansas.</v>
      </c>
      <c r="K3695" s="11">
        <v>0</v>
      </c>
    </row>
    <row r="3696" spans="5:11" x14ac:dyDescent="0.35">
      <c r="E3696" s="9" t="str">
        <v>EPSG</v>
      </c>
      <c r="F3696" s="7" t="str">
        <v>6924</v>
      </c>
      <c r="G3696" t="str">
        <v>ProjectedCrs</v>
      </c>
      <c r="H3696" t="str">
        <v>Lambert Conic Conformal (2SP)</v>
      </c>
      <c r="I3696" t="str">
        <v>NAD83(2011) / Kansas LCC</v>
      </c>
      <c r="J3696" t="str">
        <v>United States (USA) - Kansas.</v>
      </c>
      <c r="K3696" s="11">
        <v>0</v>
      </c>
    </row>
    <row r="3697" spans="5:11" x14ac:dyDescent="0.35">
      <c r="E3697" s="9" t="str">
        <v>EPSG</v>
      </c>
      <c r="F3697" s="7" t="str">
        <v>6925</v>
      </c>
      <c r="G3697" t="str">
        <v>ProjectedCrs</v>
      </c>
      <c r="H3697" t="str">
        <v>Lambert Conic Conformal (2SP)</v>
      </c>
      <c r="I3697" t="str">
        <v>NAD83(2011) / Kansas LCC (ftUS)</v>
      </c>
      <c r="J3697" t="str">
        <v>United States (USA) - Kansas.</v>
      </c>
      <c r="K3697" s="11">
        <v>0</v>
      </c>
    </row>
    <row r="3698" spans="5:11" x14ac:dyDescent="0.35">
      <c r="E3698" s="9" t="str">
        <v>EPSG</v>
      </c>
      <c r="F3698" s="7" t="str">
        <v>6927</v>
      </c>
      <c r="G3698" t="str">
        <v>CompoundCrs</v>
      </c>
      <c r="H3698" t="str">
        <v>&lt;undefined&gt;</v>
      </c>
      <c r="I3698" t="str">
        <v>SVY21 / Singapore TM + SHD height</v>
      </c>
      <c r="J3698" t="str">
        <v>Singapore - onshore and offshore.</v>
      </c>
      <c r="K3698" s="11">
        <v>0</v>
      </c>
    </row>
    <row r="3699" spans="5:11" x14ac:dyDescent="0.35">
      <c r="E3699" s="9" t="str">
        <v>EPSG</v>
      </c>
      <c r="F3699" s="7" t="str">
        <v>6931</v>
      </c>
      <c r="G3699" t="str">
        <v>ProjectedCrs</v>
      </c>
      <c r="H3699" t="str">
        <v>Lambert Azimuthal Equal Area</v>
      </c>
      <c r="I3699" t="str">
        <v>WGS 84 / NSIDC EASE-Grid 2.0 North</v>
      </c>
      <c r="J3699" t="str">
        <v>Northern hemisphere.</v>
      </c>
      <c r="K3699" s="11">
        <v>0</v>
      </c>
    </row>
    <row r="3700" spans="5:11" x14ac:dyDescent="0.35">
      <c r="E3700" s="9" t="str">
        <v>EPSG</v>
      </c>
      <c r="F3700" s="7" t="str">
        <v>6932</v>
      </c>
      <c r="G3700" t="str">
        <v>ProjectedCrs</v>
      </c>
      <c r="H3700" t="str">
        <v>Lambert Azimuthal Equal Area</v>
      </c>
      <c r="I3700" t="str">
        <v>WGS 84 / NSIDC EASE-Grid 2.0 South</v>
      </c>
      <c r="J3700" t="str">
        <v>Southern hemisphere.</v>
      </c>
      <c r="K3700" s="11">
        <v>0</v>
      </c>
    </row>
    <row r="3701" spans="5:11" x14ac:dyDescent="0.35">
      <c r="E3701" s="9" t="str">
        <v>EPSG</v>
      </c>
      <c r="F3701" s="7" t="str">
        <v>6933</v>
      </c>
      <c r="G3701" t="str">
        <v>ProjectedCrs</v>
      </c>
      <c r="H3701" t="str">
        <v>Lambert Cylindrical Equal Area</v>
      </c>
      <c r="I3701" t="str">
        <v>WGS 84 / NSIDC EASE-Grid 2.0 Global</v>
      </c>
      <c r="J3701" t="str">
        <v>World between 86°S and 86°N.</v>
      </c>
      <c r="K3701" s="11">
        <v>0</v>
      </c>
    </row>
    <row r="3702" spans="5:11" x14ac:dyDescent="0.35">
      <c r="E3702" s="9" t="str">
        <v>EPSG</v>
      </c>
      <c r="F3702" s="7" t="str">
        <v>6934</v>
      </c>
      <c r="G3702" t="str">
        <v>GeocentricCrs</v>
      </c>
      <c r="H3702" t="str">
        <v>&lt;undefined&gt;</v>
      </c>
      <c r="I3702" t="str">
        <v>IGS08</v>
      </c>
      <c r="J3702" t="str">
        <v>World.</v>
      </c>
      <c r="K3702" s="11">
        <v>0</v>
      </c>
    </row>
    <row r="3703" spans="5:11" x14ac:dyDescent="0.35">
      <c r="E3703" s="9" t="str">
        <v>EPSG</v>
      </c>
      <c r="F3703" s="7" t="str">
        <v>6962</v>
      </c>
      <c r="G3703" t="str">
        <v>ProjectedCrs</v>
      </c>
      <c r="H3703" t="str">
        <v>Lambert Conic Conformal (2SP)</v>
      </c>
      <c r="I3703" t="str">
        <v>ETRS89 / Albania LCC 2010</v>
      </c>
      <c r="J3703" t="str">
        <v>Albania - onshore.</v>
      </c>
      <c r="K3703" s="11">
        <v>0</v>
      </c>
    </row>
    <row r="3704" spans="5:11" x14ac:dyDescent="0.35">
      <c r="E3704" s="9" t="str">
        <v>EPSG</v>
      </c>
      <c r="F3704" s="7" t="str">
        <v>6966</v>
      </c>
      <c r="G3704" t="str">
        <v>ProjectedCrs</v>
      </c>
      <c r="H3704" t="str">
        <v>Lambert Conic Conformal (2SP Michigan)</v>
      </c>
      <c r="I3704" t="str">
        <v>NAD27 / Michigan North</v>
      </c>
      <c r="J3704" t="str">
        <v>United States (USA) - Michigan north of approximately 45°45'N - counties of Alger; Baraga; Chippewa; Delta; Dickinson; Gogebic; Houghton; Iron; Keweenaw; Luce; Mackinac; Marquette; Menominee; Ontonagon; Schoolcraft.</v>
      </c>
      <c r="K3704" s="11">
        <v>0</v>
      </c>
    </row>
    <row r="3705" spans="5:11" x14ac:dyDescent="0.35">
      <c r="E3705" s="9" t="str">
        <v>EPSG</v>
      </c>
      <c r="F3705" s="7" t="str">
        <v>6981</v>
      </c>
      <c r="G3705" t="str">
        <v>GeocentricCrs</v>
      </c>
      <c r="H3705" t="str">
        <v>&lt;undefined&gt;</v>
      </c>
      <c r="I3705" t="str">
        <v>IG05 Intermediate CRS</v>
      </c>
      <c r="J3705" t="str">
        <v>Israel - onshore; Palestine Territory - onshore.</v>
      </c>
      <c r="K3705" s="11">
        <v>0</v>
      </c>
    </row>
    <row r="3706" spans="5:11" x14ac:dyDescent="0.35">
      <c r="E3706" s="9" t="str">
        <v>EPSG</v>
      </c>
      <c r="F3706" s="7" t="str">
        <v>6982</v>
      </c>
      <c r="G3706" t="str">
        <v>Geographic3DCrs</v>
      </c>
      <c r="H3706" t="str">
        <v>&lt;undefined&gt;</v>
      </c>
      <c r="I3706" t="str">
        <v>IG05 Intermediate CRS</v>
      </c>
      <c r="J3706" t="str">
        <v>Israel - onshore; Palestine Territory - onshore.</v>
      </c>
      <c r="K3706" s="11">
        <v>0</v>
      </c>
    </row>
    <row r="3707" spans="5:11" x14ac:dyDescent="0.35">
      <c r="E3707" s="9" t="str">
        <v>EPSG</v>
      </c>
      <c r="F3707" s="7" t="str">
        <v>6983</v>
      </c>
      <c r="G3707" t="str">
        <v>Geographic2DCrs</v>
      </c>
      <c r="H3707" t="str">
        <v>&lt;undefined&gt;</v>
      </c>
      <c r="I3707" t="str">
        <v>IG05 Intermediate CRS</v>
      </c>
      <c r="J3707" t="str">
        <v>Israel - onshore; Palestine Territory - onshore.</v>
      </c>
      <c r="K3707" s="11">
        <v>0</v>
      </c>
    </row>
    <row r="3708" spans="5:11" x14ac:dyDescent="0.35">
      <c r="E3708" s="9" t="str">
        <v>EPSG</v>
      </c>
      <c r="F3708" s="7" t="str">
        <v>6984</v>
      </c>
      <c r="G3708" t="str">
        <v>ProjectedCrs</v>
      </c>
      <c r="H3708" t="str">
        <v>Transverse Mercator</v>
      </c>
      <c r="I3708" t="str">
        <v>Israeli Grid 05</v>
      </c>
      <c r="J3708" t="str">
        <v>Israel - onshore; Palestine Territory - onshore.</v>
      </c>
      <c r="K3708" s="11">
        <v>0</v>
      </c>
    </row>
    <row r="3709" spans="5:11" x14ac:dyDescent="0.35">
      <c r="E3709" s="9" t="str">
        <v>EPSG</v>
      </c>
      <c r="F3709" s="7" t="str">
        <v>6988</v>
      </c>
      <c r="G3709" t="str">
        <v>GeocentricCrs</v>
      </c>
      <c r="H3709" t="str">
        <v>&lt;undefined&gt;</v>
      </c>
      <c r="I3709" t="str">
        <v>IG05/12 Intermediate CRS</v>
      </c>
      <c r="J3709" t="str">
        <v>Israel - onshore; Palestine Territory - onshore.</v>
      </c>
      <c r="K3709" s="11">
        <v>0</v>
      </c>
    </row>
    <row r="3710" spans="5:11" x14ac:dyDescent="0.35">
      <c r="E3710" s="9" t="str">
        <v>EPSG</v>
      </c>
      <c r="F3710" s="7" t="str">
        <v>6989</v>
      </c>
      <c r="G3710" t="str">
        <v>Geographic3DCrs</v>
      </c>
      <c r="H3710" t="str">
        <v>&lt;undefined&gt;</v>
      </c>
      <c r="I3710" t="str">
        <v>IG05/12 Intermediate CRS</v>
      </c>
      <c r="J3710" t="str">
        <v>Israel - onshore; Palestine Territory - onshore.</v>
      </c>
      <c r="K3710" s="11">
        <v>0</v>
      </c>
    </row>
    <row r="3711" spans="5:11" x14ac:dyDescent="0.35">
      <c r="E3711" s="9" t="str">
        <v>EPSG</v>
      </c>
      <c r="F3711" s="7" t="str">
        <v>6990</v>
      </c>
      <c r="G3711" t="str">
        <v>Geographic2DCrs</v>
      </c>
      <c r="H3711" t="str">
        <v>&lt;undefined&gt;</v>
      </c>
      <c r="I3711" t="str">
        <v>IG05/12 Intermediate CRS</v>
      </c>
      <c r="J3711" t="str">
        <v>Israel - onshore; Palestine Territory - onshore.</v>
      </c>
      <c r="K3711" s="11">
        <v>0</v>
      </c>
    </row>
    <row r="3712" spans="5:11" x14ac:dyDescent="0.35">
      <c r="E3712" s="9" t="str">
        <v>EPSG</v>
      </c>
      <c r="F3712" s="7" t="str">
        <v>6991</v>
      </c>
      <c r="G3712" t="str">
        <v>ProjectedCrs</v>
      </c>
      <c r="H3712" t="str">
        <v>Transverse Mercator</v>
      </c>
      <c r="I3712" t="str">
        <v>Israeli Grid 05/12</v>
      </c>
      <c r="J3712" t="str">
        <v>Israel - onshore; Palestine Territory - onshore.</v>
      </c>
      <c r="K3712" s="11">
        <v>0</v>
      </c>
    </row>
    <row r="3713" spans="5:11" x14ac:dyDescent="0.35">
      <c r="E3713" s="9" t="str">
        <v>EPSG</v>
      </c>
      <c r="F3713" s="7" t="str">
        <v>7005</v>
      </c>
      <c r="G3713" t="str">
        <v>ProjectedCrs</v>
      </c>
      <c r="H3713" t="str">
        <v>Transverse Mercator</v>
      </c>
      <c r="I3713" t="str">
        <v>Nahrwan 1934 / UTM zone 37N</v>
      </c>
      <c r="J3713" t="str">
        <v>Iraq - west of 42°E.</v>
      </c>
      <c r="K3713" s="11">
        <v>0</v>
      </c>
    </row>
    <row r="3714" spans="5:11" x14ac:dyDescent="0.35">
      <c r="E3714" s="9" t="str">
        <v>EPSG</v>
      </c>
      <c r="F3714" s="7" t="str">
        <v>7006</v>
      </c>
      <c r="G3714" t="str">
        <v>ProjectedCrs</v>
      </c>
      <c r="H3714" t="str">
        <v>Transverse Mercator</v>
      </c>
      <c r="I3714" t="str">
        <v>Nahrwan 1934 / UTM zone 38N</v>
      </c>
      <c r="J3714" t="str">
        <v>Iraq - between 42°E and 48°E.</v>
      </c>
      <c r="K3714" s="11">
        <v>0</v>
      </c>
    </row>
    <row r="3715" spans="5:11" x14ac:dyDescent="0.35">
      <c r="E3715" s="9" t="str">
        <v>EPSG</v>
      </c>
      <c r="F3715" s="7" t="str">
        <v>7007</v>
      </c>
      <c r="G3715" t="str">
        <v>ProjectedCrs</v>
      </c>
      <c r="H3715" t="str">
        <v>Transverse Mercator</v>
      </c>
      <c r="I3715" t="str">
        <v>Nahrwan 1934 / UTM zone 39N</v>
      </c>
      <c r="J3715" t="str">
        <v>Iraq - east of 48°E, onshore and offshore.</v>
      </c>
      <c r="K3715" s="11">
        <v>0</v>
      </c>
    </row>
    <row r="3716" spans="5:11" x14ac:dyDescent="0.35">
      <c r="E3716" s="9" t="str">
        <v>EPSG</v>
      </c>
      <c r="F3716" s="7" t="str">
        <v>7034</v>
      </c>
      <c r="G3716" t="str">
        <v>Geographic3DCrs</v>
      </c>
      <c r="H3716" t="str">
        <v>&lt;undefined&gt;</v>
      </c>
      <c r="I3716" t="str">
        <v>RGSPM06 (lon-lat)</v>
      </c>
      <c r="J3716" t="str">
        <v>St Pierre and Miquelon - onshore and offshore.</v>
      </c>
      <c r="K3716" s="11">
        <v>0</v>
      </c>
    </row>
    <row r="3717" spans="5:11" x14ac:dyDescent="0.35">
      <c r="E3717" s="9" t="str">
        <v>EPSG</v>
      </c>
      <c r="F3717" s="7" t="str">
        <v>7035</v>
      </c>
      <c r="G3717" t="str">
        <v>Geographic2DCrs</v>
      </c>
      <c r="H3717" t="str">
        <v>&lt;undefined&gt;</v>
      </c>
      <c r="I3717" t="str">
        <v>RGSPM06 (lon-lat)</v>
      </c>
      <c r="J3717" t="str">
        <v>St Pierre and Miquelon - onshore and offshore.</v>
      </c>
      <c r="K3717" s="11">
        <v>0</v>
      </c>
    </row>
    <row r="3718" spans="5:11" x14ac:dyDescent="0.35">
      <c r="E3718" s="9" t="str">
        <v>EPSG</v>
      </c>
      <c r="F3718" s="7" t="str">
        <v>7036</v>
      </c>
      <c r="G3718" t="str">
        <v>Geographic3DCrs</v>
      </c>
      <c r="H3718" t="str">
        <v>&lt;undefined&gt;</v>
      </c>
      <c r="I3718" t="str">
        <v>RGR92 (lon-lat)</v>
      </c>
      <c r="J3718" t="str">
        <v>Reunion - onshore and offshore.</v>
      </c>
      <c r="K3718" s="11">
        <v>0</v>
      </c>
    </row>
    <row r="3719" spans="5:11" x14ac:dyDescent="0.35">
      <c r="E3719" s="9" t="str">
        <v>EPSG</v>
      </c>
      <c r="F3719" s="7" t="str">
        <v>7037</v>
      </c>
      <c r="G3719" t="str">
        <v>Geographic2DCrs</v>
      </c>
      <c r="H3719" t="str">
        <v>&lt;undefined&gt;</v>
      </c>
      <c r="I3719" t="str">
        <v>RGR92 (lon-lat)</v>
      </c>
      <c r="J3719" t="str">
        <v>Reunion - onshore and offshore.</v>
      </c>
      <c r="K3719" s="11">
        <v>0</v>
      </c>
    </row>
    <row r="3720" spans="5:11" x14ac:dyDescent="0.35">
      <c r="E3720" s="9" t="str">
        <v>EPSG</v>
      </c>
      <c r="F3720" s="7" t="str">
        <v>7038</v>
      </c>
      <c r="G3720" t="str">
        <v>Geographic3DCrs</v>
      </c>
      <c r="H3720" t="str">
        <v>&lt;undefined&gt;</v>
      </c>
      <c r="I3720" t="str">
        <v>RGM04 (lon-lat)</v>
      </c>
      <c r="J3720" t="str">
        <v>Mayotte - onshore and offshore.</v>
      </c>
      <c r="K3720" s="11">
        <v>0</v>
      </c>
    </row>
    <row r="3721" spans="5:11" x14ac:dyDescent="0.35">
      <c r="E3721" s="9" t="str">
        <v>EPSG</v>
      </c>
      <c r="F3721" s="7" t="str">
        <v>7039</v>
      </c>
      <c r="G3721" t="str">
        <v>Geographic2DCrs</v>
      </c>
      <c r="H3721" t="str">
        <v>&lt;undefined&gt;</v>
      </c>
      <c r="I3721" t="str">
        <v>RGM04 (lon-lat)</v>
      </c>
      <c r="J3721" t="str">
        <v>Mayotte - onshore and offshore.</v>
      </c>
      <c r="K3721" s="11">
        <v>0</v>
      </c>
    </row>
    <row r="3722" spans="5:11" x14ac:dyDescent="0.35">
      <c r="E3722" s="9" t="str">
        <v>EPSG</v>
      </c>
      <c r="F3722" s="7" t="str">
        <v>7040</v>
      </c>
      <c r="G3722" t="str">
        <v>Geographic3DCrs</v>
      </c>
      <c r="H3722" t="str">
        <v>&lt;undefined&gt;</v>
      </c>
      <c r="I3722" t="str">
        <v>RGFG95 (lon-lat)</v>
      </c>
      <c r="J3722" t="str">
        <v>French Guiana - onshore and offshore.</v>
      </c>
      <c r="K3722" s="11">
        <v>0</v>
      </c>
    </row>
    <row r="3723" spans="5:11" x14ac:dyDescent="0.35">
      <c r="E3723" s="9" t="str">
        <v>EPSG</v>
      </c>
      <c r="F3723" s="7" t="str">
        <v>7041</v>
      </c>
      <c r="G3723" t="str">
        <v>Geographic2DCrs</v>
      </c>
      <c r="H3723" t="str">
        <v>&lt;undefined&gt;</v>
      </c>
      <c r="I3723" t="str">
        <v>RGFG95 (lon-lat)</v>
      </c>
      <c r="J3723" t="str">
        <v>French Guiana - onshore and offshore.</v>
      </c>
      <c r="K3723" s="11">
        <v>0</v>
      </c>
    </row>
    <row r="3724" spans="5:11" x14ac:dyDescent="0.35">
      <c r="E3724" s="9" t="str">
        <v>EPSG</v>
      </c>
      <c r="F3724" s="7" t="str">
        <v>7042</v>
      </c>
      <c r="G3724" t="str">
        <v>Geographic3DCrs</v>
      </c>
      <c r="H3724" t="str">
        <v>&lt;undefined&gt;</v>
      </c>
      <c r="I3724" t="str">
        <v>RGF93 v1 (lon-lat)</v>
      </c>
      <c r="J3724" t="str">
        <v>France - onshore and offshore, mainland and Corsica (France métropolitaine including Corsica).</v>
      </c>
      <c r="K3724" s="11">
        <v>0</v>
      </c>
    </row>
    <row r="3725" spans="5:11" x14ac:dyDescent="0.35">
      <c r="E3725" s="9" t="str">
        <v>EPSG</v>
      </c>
      <c r="F3725" s="7" t="str">
        <v>7057</v>
      </c>
      <c r="G3725" t="str">
        <v>ProjectedCrs</v>
      </c>
      <c r="H3725" t="str">
        <v>Lambert Conic Conformal (1SP)</v>
      </c>
      <c r="I3725" t="str">
        <v>NAD83(2011) / IaRCS zone 1</v>
      </c>
      <c r="J3725" t="str">
        <v>United States (USA) - Iowa - counties of Clay; Dickinson; Emmet; Kossuth; Lyon; O'Brien; Osceola; Palo Alto; Sioux.</v>
      </c>
      <c r="K3725" s="11">
        <v>0</v>
      </c>
    </row>
    <row r="3726" spans="5:11" x14ac:dyDescent="0.35">
      <c r="E3726" s="9" t="str">
        <v>EPSG</v>
      </c>
      <c r="F3726" s="7" t="str">
        <v>7058</v>
      </c>
      <c r="G3726" t="str">
        <v>ProjectedCrs</v>
      </c>
      <c r="H3726" t="str">
        <v>Lambert Conic Conformal (1SP)</v>
      </c>
      <c r="I3726" t="str">
        <v>NAD83(2011) / IaRCS zone 2</v>
      </c>
      <c r="J3726" t="str">
        <v>United States (USA) - Iowa - counties of Cerro Gordo; Chickasaw; Floyd; Hancock; Howard; Mitchell; Winnebago; Winneshiek; Worth.</v>
      </c>
      <c r="K3726" s="11">
        <v>0</v>
      </c>
    </row>
    <row r="3727" spans="5:11" x14ac:dyDescent="0.35">
      <c r="E3727" s="9" t="str">
        <v>EPSG</v>
      </c>
      <c r="F3727" s="7" t="str">
        <v>7059</v>
      </c>
      <c r="G3727" t="str">
        <v>ProjectedCrs</v>
      </c>
      <c r="H3727" t="str">
        <v>Transverse Mercator</v>
      </c>
      <c r="I3727" t="str">
        <v>NAD83(2011) / IaRCS zone 3</v>
      </c>
      <c r="J3727" t="str">
        <v>United States (USA) - Iowa - counties of Allamakee; Clayton; Delaware.</v>
      </c>
      <c r="K3727" s="11">
        <v>0</v>
      </c>
    </row>
    <row r="3728" spans="5:11" x14ac:dyDescent="0.35">
      <c r="E3728" s="9" t="str">
        <v>EPSG</v>
      </c>
      <c r="F3728" s="7" t="str">
        <v>7060</v>
      </c>
      <c r="G3728" t="str">
        <v>ProjectedCrs</v>
      </c>
      <c r="H3728" t="str">
        <v>Lambert Conic Conformal (1SP)</v>
      </c>
      <c r="I3728" t="str">
        <v>NAD83(2011) / IaRCS zone 4</v>
      </c>
      <c r="J3728" t="str">
        <v>United States (USA) - Iowa - counties of Buena Vista; Calhoun; Cherokee; Franklin; Hamilton; Hardin; Humboldt; Ida; Plymouth; Pocahontas; Sac; Webster; Woodbury; Wright.</v>
      </c>
      <c r="K3728" s="11">
        <v>0</v>
      </c>
    </row>
    <row r="3729" spans="5:11" x14ac:dyDescent="0.35">
      <c r="E3729" s="9" t="str">
        <v>EPSG</v>
      </c>
      <c r="F3729" s="7" t="str">
        <v>7061</v>
      </c>
      <c r="G3729" t="str">
        <v>ProjectedCrs</v>
      </c>
      <c r="H3729" t="str">
        <v>Lambert Conic Conformal (1SP)</v>
      </c>
      <c r="I3729" t="str">
        <v>NAD83(2011) / IaRCS zone 5</v>
      </c>
      <c r="J3729" t="str">
        <v>United States (USA) - Iowa - counties of Black Hawk; Bremer; Buchanan; Butler; Fayette; Grundy.</v>
      </c>
      <c r="K3729" s="11">
        <v>0</v>
      </c>
    </row>
    <row r="3730" spans="5:11" x14ac:dyDescent="0.35">
      <c r="E3730" s="9" t="str">
        <v>EPSG</v>
      </c>
      <c r="F3730" s="7" t="str">
        <v>7062</v>
      </c>
      <c r="G3730" t="str">
        <v>ProjectedCrs</v>
      </c>
      <c r="H3730" t="str">
        <v>Transverse Mercator</v>
      </c>
      <c r="I3730" t="str">
        <v>NAD83(2011) / IaRCS zone 6</v>
      </c>
      <c r="J3730" t="str">
        <v>United States (USA) - Iowa - counties of Crawford; Fremont; Harrison; Mills; Monona; Pottawattamie; Shelby.</v>
      </c>
      <c r="K3730" s="11">
        <v>0</v>
      </c>
    </row>
    <row r="3731" spans="5:11" x14ac:dyDescent="0.35">
      <c r="E3731" s="9" t="str">
        <v>EPSG</v>
      </c>
      <c r="F3731" s="7" t="str">
        <v>7063</v>
      </c>
      <c r="G3731" t="str">
        <v>ProjectedCrs</v>
      </c>
      <c r="H3731" t="str">
        <v>Transverse Mercator</v>
      </c>
      <c r="I3731" t="str">
        <v>NAD83(2011) / IaRCS zone 7</v>
      </c>
      <c r="J3731" t="str">
        <v>United States (USA) - Iowa - counties of Adair; Audubon; Carroll; Cass; Greene; Guthrie.</v>
      </c>
      <c r="K3731" s="11">
        <v>0</v>
      </c>
    </row>
    <row r="3732" spans="5:11" x14ac:dyDescent="0.35">
      <c r="E3732" s="9" t="str">
        <v>EPSG</v>
      </c>
      <c r="F3732" s="7" t="str">
        <v>7064</v>
      </c>
      <c r="G3732" t="str">
        <v>ProjectedCrs</v>
      </c>
      <c r="H3732" t="str">
        <v>Transverse Mercator</v>
      </c>
      <c r="I3732" t="str">
        <v>NAD83(2011) / IaRCS zone 8</v>
      </c>
      <c r="J3732" t="str">
        <v>United States (USA) - Iowa - counties of Boone; Dallas; Madison; Polk; Story; Warren.</v>
      </c>
      <c r="K3732" s="11">
        <v>0</v>
      </c>
    </row>
    <row r="3733" spans="5:11" x14ac:dyDescent="0.35">
      <c r="E3733" s="9" t="str">
        <v>EPSG</v>
      </c>
      <c r="F3733" s="7" t="str">
        <v>7065</v>
      </c>
      <c r="G3733" t="str">
        <v>ProjectedCrs</v>
      </c>
      <c r="H3733" t="str">
        <v>Transverse Mercator</v>
      </c>
      <c r="I3733" t="str">
        <v>NAD83(2011) / IaRCS zone 9</v>
      </c>
      <c r="J3733" t="str">
        <v>United States (USA) - Iowa - counties of Jasper; Mahaska; Marion; Marshall; Poweshiek; Tama.</v>
      </c>
      <c r="K3733" s="11">
        <v>0</v>
      </c>
    </row>
    <row r="3734" spans="5:11" x14ac:dyDescent="0.35">
      <c r="E3734" s="9" t="str">
        <v>EPSG</v>
      </c>
      <c r="F3734" s="7" t="str">
        <v>7066</v>
      </c>
      <c r="G3734" t="str">
        <v>ProjectedCrs</v>
      </c>
      <c r="H3734" t="str">
        <v>Lambert Conic Conformal (1SP)</v>
      </c>
      <c r="I3734" t="str">
        <v>NAD83(2011) / IaRCS zone 10</v>
      </c>
      <c r="J3734" t="str">
        <v>United States (USA) - Iowa - counties of Benton; Cedar; Iowa; Johnson; Jones; Linn.</v>
      </c>
      <c r="K3734" s="11">
        <v>0</v>
      </c>
    </row>
    <row r="3735" spans="5:11" x14ac:dyDescent="0.35">
      <c r="E3735" s="9" t="str">
        <v>EPSG</v>
      </c>
      <c r="F3735" s="7" t="str">
        <v>7067</v>
      </c>
      <c r="G3735" t="str">
        <v>ProjectedCrs</v>
      </c>
      <c r="H3735" t="str">
        <v>Transverse Mercator</v>
      </c>
      <c r="I3735" t="str">
        <v>NAD83(2011) / IaRCS zone 11</v>
      </c>
      <c r="J3735" t="str">
        <v>United States (USA) - Iowa - counties of Clinton; Dubuque; Jackson; Scott.</v>
      </c>
      <c r="K3735" s="11">
        <v>0</v>
      </c>
    </row>
    <row r="3736" spans="5:11" x14ac:dyDescent="0.35">
      <c r="E3736" s="9" t="str">
        <v>EPSG</v>
      </c>
      <c r="F3736" s="7" t="str">
        <v>7068</v>
      </c>
      <c r="G3736" t="str">
        <v>ProjectedCrs</v>
      </c>
      <c r="H3736" t="str">
        <v>Lambert Conic Conformal (1SP)</v>
      </c>
      <c r="I3736" t="str">
        <v>NAD83(2011) / IaRCS zone 12</v>
      </c>
      <c r="J3736" t="str">
        <v>United States (USA) - Iowa - counties of Adams; Appanoose; Clarke; Davis; Decatur; Lucas; Monroe; Montgomery; Page; Ringgold; Taylor; Union; Wapello; Wayne.</v>
      </c>
      <c r="K3736" s="11">
        <v>0</v>
      </c>
    </row>
    <row r="3737" spans="5:11" x14ac:dyDescent="0.35">
      <c r="E3737" s="9" t="str">
        <v>EPSG</v>
      </c>
      <c r="F3737" s="7" t="str">
        <v>7069</v>
      </c>
      <c r="G3737" t="str">
        <v>ProjectedCrs</v>
      </c>
      <c r="H3737" t="str">
        <v>Transverse Mercator</v>
      </c>
      <c r="I3737" t="str">
        <v>NAD83(2011) / IaRCS zone 13</v>
      </c>
      <c r="J3737" t="str">
        <v>United States (USA) - Iowa - counties of Jefferson; Keokuk; Van Buren; Washington.</v>
      </c>
      <c r="K3737" s="11">
        <v>0</v>
      </c>
    </row>
    <row r="3738" spans="5:11" x14ac:dyDescent="0.35">
      <c r="E3738" s="9" t="str">
        <v>EPSG</v>
      </c>
      <c r="F3738" s="7" t="str">
        <v>7070</v>
      </c>
      <c r="G3738" t="str">
        <v>ProjectedCrs</v>
      </c>
      <c r="H3738" t="str">
        <v>Transverse Mercator</v>
      </c>
      <c r="I3738" t="str">
        <v>NAD83(2011) / IaRCS zone 14</v>
      </c>
      <c r="J3738" t="str">
        <v>United States (USA) - Iowa - counties of Des Moines; Henry; Lee; Louisa; Muscatine.</v>
      </c>
      <c r="K3738" s="11">
        <v>0</v>
      </c>
    </row>
    <row r="3739" spans="5:11" x14ac:dyDescent="0.35">
      <c r="E3739" s="9" t="str">
        <v>EPSG</v>
      </c>
      <c r="F3739" s="7" t="str">
        <v>7071</v>
      </c>
      <c r="G3739" t="str">
        <v>GeocentricCrs</v>
      </c>
      <c r="H3739" t="str">
        <v>&lt;undefined&gt;</v>
      </c>
      <c r="I3739" t="str">
        <v>RGTAAF07</v>
      </c>
      <c r="J3739" t="str">
        <v>French Southern Territories - onshore and offshore: Amsterdam and St Paul, Crozet, Europa and Kerguelen. Antarctica - Adelie Land coastal area.</v>
      </c>
      <c r="K3739" s="11">
        <v>0</v>
      </c>
    </row>
    <row r="3740" spans="5:11" x14ac:dyDescent="0.35">
      <c r="E3740" s="9" t="str">
        <v>EPSG</v>
      </c>
      <c r="F3740" s="7" t="str">
        <v>7072</v>
      </c>
      <c r="G3740" t="str">
        <v>Geographic3DCrs</v>
      </c>
      <c r="H3740" t="str">
        <v>&lt;undefined&gt;</v>
      </c>
      <c r="I3740" t="str">
        <v>RGTAAF07</v>
      </c>
      <c r="J3740" t="str">
        <v>French Southern Territories - onshore and offshore: Amsterdam and St Paul, Crozet, Europa and Kerguelen. Antarctica - Adelie Land coastal area.</v>
      </c>
      <c r="K3740" s="11">
        <v>0</v>
      </c>
    </row>
    <row r="3741" spans="5:11" x14ac:dyDescent="0.35">
      <c r="E3741" s="9" t="str">
        <v>EPSG</v>
      </c>
      <c r="F3741" s="7" t="str">
        <v>7073</v>
      </c>
      <c r="G3741" t="str">
        <v>Geographic2DCrs</v>
      </c>
      <c r="H3741" t="str">
        <v>&lt;undefined&gt;</v>
      </c>
      <c r="I3741" t="str">
        <v>RGTAAF07</v>
      </c>
      <c r="J3741" t="str">
        <v>French Southern Territories - onshore and offshore: Amsterdam and St Paul, Crozet, Europa and Kerguelen. Antarctica - Adelie Land coastal area.</v>
      </c>
      <c r="K3741" s="11">
        <v>0</v>
      </c>
    </row>
    <row r="3742" spans="5:11" x14ac:dyDescent="0.35">
      <c r="E3742" s="9" t="str">
        <v>EPSG</v>
      </c>
      <c r="F3742" s="7" t="str">
        <v>7074</v>
      </c>
      <c r="G3742" t="str">
        <v>ProjectedCrs</v>
      </c>
      <c r="H3742" t="str">
        <v>Transverse Mercator</v>
      </c>
      <c r="I3742" t="str">
        <v>RGTAAF07 / UTM zone 37S</v>
      </c>
      <c r="J3742" t="str">
        <v>French Southern Territories - Europa onshore and offshore.</v>
      </c>
      <c r="K3742" s="11">
        <v>0</v>
      </c>
    </row>
    <row r="3743" spans="5:11" x14ac:dyDescent="0.35">
      <c r="E3743" s="9" t="str">
        <v>EPSG</v>
      </c>
      <c r="F3743" s="7" t="str">
        <v>7075</v>
      </c>
      <c r="G3743" t="str">
        <v>ProjectedCrs</v>
      </c>
      <c r="H3743" t="str">
        <v>Transverse Mercator</v>
      </c>
      <c r="I3743" t="str">
        <v>RGTAAF07 / UTM zone 38S</v>
      </c>
      <c r="J3743" t="str">
        <v>French Southern Territories - Crozet offshore west of 48°E.</v>
      </c>
      <c r="K3743" s="11">
        <v>0</v>
      </c>
    </row>
    <row r="3744" spans="5:11" x14ac:dyDescent="0.35">
      <c r="E3744" s="9" t="str">
        <v>EPSG</v>
      </c>
      <c r="F3744" s="7" t="str">
        <v>7076</v>
      </c>
      <c r="G3744" t="str">
        <v>ProjectedCrs</v>
      </c>
      <c r="H3744" t="str">
        <v>Transverse Mercator</v>
      </c>
      <c r="I3744" t="str">
        <v>RGTAAF07 / UTM zone 39S</v>
      </c>
      <c r="J3744" t="str">
        <v>French Southern Territories - Crozet onshore and offshore between 48°E to 54°E.</v>
      </c>
      <c r="K3744" s="11">
        <v>0</v>
      </c>
    </row>
    <row r="3745" spans="5:11" x14ac:dyDescent="0.35">
      <c r="E3745" s="9" t="str">
        <v>EPSG</v>
      </c>
      <c r="F3745" s="7" t="str">
        <v>7077</v>
      </c>
      <c r="G3745" t="str">
        <v>ProjectedCrs</v>
      </c>
      <c r="H3745" t="str">
        <v>Transverse Mercator</v>
      </c>
      <c r="I3745" t="str">
        <v>RGTAAF07 / UTM zone 40S</v>
      </c>
      <c r="J3745" t="str">
        <v>French Southern Territories - Crozet offshore east of 54°E.</v>
      </c>
      <c r="K3745" s="11">
        <v>0</v>
      </c>
    </row>
    <row r="3746" spans="5:11" x14ac:dyDescent="0.35">
      <c r="E3746" s="9" t="str">
        <v>EPSG</v>
      </c>
      <c r="F3746" s="7" t="str">
        <v>7078</v>
      </c>
      <c r="G3746" t="str">
        <v>ProjectedCrs</v>
      </c>
      <c r="H3746" t="str">
        <v>Transverse Mercator</v>
      </c>
      <c r="I3746" t="str">
        <v>RGTAAF07 / UTM zone 41S</v>
      </c>
      <c r="J3746" t="str">
        <v>French Southern Territories - Kerguelen offshore west of 66°E.</v>
      </c>
      <c r="K3746" s="11">
        <v>0</v>
      </c>
    </row>
    <row r="3747" spans="5:11" x14ac:dyDescent="0.35">
      <c r="E3747" s="9" t="str">
        <v>EPSG</v>
      </c>
      <c r="F3747" s="7" t="str">
        <v>7079</v>
      </c>
      <c r="G3747" t="str">
        <v>ProjectedCrs</v>
      </c>
      <c r="H3747" t="str">
        <v>Transverse Mercator</v>
      </c>
      <c r="I3747" t="str">
        <v>RGTAAF07 / UTM zone 42S</v>
      </c>
      <c r="J3747" t="str">
        <v>French Southern Territories - Kerguelen onshore and offshore between 66°E and 72°E.</v>
      </c>
      <c r="K3747" s="11">
        <v>0</v>
      </c>
    </row>
    <row r="3748" spans="5:11" x14ac:dyDescent="0.35">
      <c r="E3748" s="9" t="str">
        <v>EPSG</v>
      </c>
      <c r="F3748" s="7" t="str">
        <v>7080</v>
      </c>
      <c r="G3748" t="str">
        <v>ProjectedCrs</v>
      </c>
      <c r="H3748" t="str">
        <v>Transverse Mercator</v>
      </c>
      <c r="I3748" t="str">
        <v>RGTAAF07 / UTM zone 43S</v>
      </c>
      <c r="J3748" t="str">
        <v>French Southern Territories - Kerguelen offshore east of 72°E and Amsterdam &amp; St Paul onshore and offshore west of 78°E.</v>
      </c>
      <c r="K3748" s="11">
        <v>0</v>
      </c>
    </row>
    <row r="3749" spans="5:11" x14ac:dyDescent="0.35">
      <c r="E3749" s="9" t="str">
        <v>EPSG</v>
      </c>
      <c r="F3749" s="7" t="str">
        <v>7081</v>
      </c>
      <c r="G3749" t="str">
        <v>ProjectedCrs</v>
      </c>
      <c r="H3749" t="str">
        <v>Transverse Mercator</v>
      </c>
      <c r="I3749" t="str">
        <v>RGTAAF07 / UTM zone 44S</v>
      </c>
      <c r="J3749" t="str">
        <v>French Southern Territories - Amsterdam &amp; St Paul offshore east of 78°E.</v>
      </c>
      <c r="K3749" s="11">
        <v>0</v>
      </c>
    </row>
    <row r="3750" spans="5:11" x14ac:dyDescent="0.35">
      <c r="E3750" s="9" t="str">
        <v>EPSG</v>
      </c>
      <c r="F3750" s="7" t="str">
        <v>7084</v>
      </c>
      <c r="G3750" t="str">
        <v>Geographic2DCrs</v>
      </c>
      <c r="H3750" t="str">
        <v>&lt;undefined&gt;</v>
      </c>
      <c r="I3750" t="str">
        <v>RGF93 v1 (lon-lat)</v>
      </c>
      <c r="J3750" t="str">
        <v>France - onshore and offshore, mainland and Corsica (France métropolitaine including Corsica).</v>
      </c>
      <c r="K3750" s="11">
        <v>0</v>
      </c>
    </row>
    <row r="3751" spans="5:11" x14ac:dyDescent="0.35">
      <c r="E3751" s="9" t="str">
        <v>EPSG</v>
      </c>
      <c r="F3751" s="7" t="str">
        <v>7085</v>
      </c>
      <c r="G3751" t="str">
        <v>Geographic3DCrs</v>
      </c>
      <c r="H3751" t="str">
        <v>&lt;undefined&gt;</v>
      </c>
      <c r="I3751" t="str">
        <v>RGAF09 (lon-lat)</v>
      </c>
      <c r="J3751" t="str">
        <v>French Antilles onshore and offshore - Guadeloupe (including Grande Terre, Basse Terre, Marie Galante, Les Saintes, Iles de la Petite Terre, La Desirade); Martinique; St Barthélemy; St Martin.</v>
      </c>
      <c r="K3751" s="11">
        <v>0</v>
      </c>
    </row>
    <row r="3752" spans="5:11" x14ac:dyDescent="0.35">
      <c r="E3752" s="9" t="str">
        <v>EPSG</v>
      </c>
      <c r="F3752" s="7" t="str">
        <v>7086</v>
      </c>
      <c r="G3752" t="str">
        <v>Geographic2DCrs</v>
      </c>
      <c r="H3752" t="str">
        <v>&lt;undefined&gt;</v>
      </c>
      <c r="I3752" t="str">
        <v>RGAF09 (lon-lat)</v>
      </c>
      <c r="J3752" t="str">
        <v>French Antilles onshore and offshore - Guadeloupe (including Grande Terre, Basse Terre, Marie Galante, Les Saintes, Iles de la Petite Terre, La Desirade); Martinique; St Barthélemy; St Martin.</v>
      </c>
      <c r="K3752" s="11">
        <v>0</v>
      </c>
    </row>
    <row r="3753" spans="5:11" x14ac:dyDescent="0.35">
      <c r="E3753" s="9" t="str">
        <v>EPSG</v>
      </c>
      <c r="F3753" s="7" t="str">
        <v>7087</v>
      </c>
      <c r="G3753" t="str">
        <v>Geographic3DCrs</v>
      </c>
      <c r="H3753" t="str">
        <v>&lt;undefined&gt;</v>
      </c>
      <c r="I3753" t="str">
        <v>RGTAAF07 (lon-lat)</v>
      </c>
      <c r="J3753" t="str">
        <v>French Southern Territories - onshore and offshore: Amsterdam and St Paul, Crozet, Europa and Kerguelen. Antarctica - Adelie Land coastal area.</v>
      </c>
      <c r="K3753" s="11">
        <v>0</v>
      </c>
    </row>
    <row r="3754" spans="5:11" x14ac:dyDescent="0.35">
      <c r="E3754" s="9" t="str">
        <v>EPSG</v>
      </c>
      <c r="F3754" s="7" t="str">
        <v>7109</v>
      </c>
      <c r="G3754" t="str">
        <v>ProjectedCrs</v>
      </c>
      <c r="H3754" t="str">
        <v>Transverse Mercator</v>
      </c>
      <c r="I3754" t="str">
        <v>NAD83(2011) / RMTCRS St Mary (m)</v>
      </c>
      <c r="J3754" t="str">
        <v>United States (USA) - Montana - St Mary's Valley area.</v>
      </c>
      <c r="K3754" s="11">
        <v>0</v>
      </c>
    </row>
    <row r="3755" spans="5:11" x14ac:dyDescent="0.35">
      <c r="E3755" s="9" t="str">
        <v>EPSG</v>
      </c>
      <c r="F3755" s="7" t="str">
        <v>7110</v>
      </c>
      <c r="G3755" t="str">
        <v>ProjectedCrs</v>
      </c>
      <c r="H3755" t="str">
        <v>Transverse Mercator</v>
      </c>
      <c r="I3755" t="str">
        <v>NAD83(2011) / RMTCRS Blackfeet (m)</v>
      </c>
      <c r="J3755" t="str">
        <v>United States (USA) - Montana - Blackfeet Indian Reservation.</v>
      </c>
      <c r="K3755" s="11">
        <v>0</v>
      </c>
    </row>
    <row r="3756" spans="5:11" x14ac:dyDescent="0.35">
      <c r="E3756" s="9" t="str">
        <v>EPSG</v>
      </c>
      <c r="F3756" s="7" t="str">
        <v>7111</v>
      </c>
      <c r="G3756" t="str">
        <v>ProjectedCrs</v>
      </c>
      <c r="H3756" t="str">
        <v>Lambert Conic Conformal (1SP)</v>
      </c>
      <c r="I3756" t="str">
        <v>NAD83(2011) / RMTCRS Milk River (m)</v>
      </c>
      <c r="J3756" t="str">
        <v>United States (USA) - Montana - Milk River area.</v>
      </c>
      <c r="K3756" s="11">
        <v>0</v>
      </c>
    </row>
    <row r="3757" spans="5:11" x14ac:dyDescent="0.35">
      <c r="E3757" s="9" t="str">
        <v>EPSG</v>
      </c>
      <c r="F3757" s="7" t="str">
        <v>7112</v>
      </c>
      <c r="G3757" t="str">
        <v>ProjectedCrs</v>
      </c>
      <c r="H3757" t="str">
        <v>Lambert Conic Conformal (1SP)</v>
      </c>
      <c r="I3757" t="str">
        <v>NAD83(2011) / RMTCRS Fort Belknap (m)</v>
      </c>
      <c r="J3757" t="str">
        <v>United States (USA) - Montana - Fort Belknap Indian Reservation area.</v>
      </c>
      <c r="K3757" s="11">
        <v>0</v>
      </c>
    </row>
    <row r="3758" spans="5:11" x14ac:dyDescent="0.35">
      <c r="E3758" s="9" t="str">
        <v>EPSG</v>
      </c>
      <c r="F3758" s="7" t="str">
        <v>7113</v>
      </c>
      <c r="G3758" t="str">
        <v>ProjectedCrs</v>
      </c>
      <c r="H3758" t="str">
        <v>Lambert Conic Conformal (1SP)</v>
      </c>
      <c r="I3758" t="str">
        <v>NAD83(2011) / RMTCRS Fort Peck Assiniboine (m)</v>
      </c>
      <c r="J3758" t="str">
        <v>United States (USA) - Montana - Fort Peck Indian Reservation - higher areas, notably in west and north.</v>
      </c>
      <c r="K3758" s="11">
        <v>0</v>
      </c>
    </row>
    <row r="3759" spans="5:11" x14ac:dyDescent="0.35">
      <c r="E3759" s="9" t="str">
        <v>EPSG</v>
      </c>
      <c r="F3759" s="7" t="str">
        <v>7114</v>
      </c>
      <c r="G3759" t="str">
        <v>ProjectedCrs</v>
      </c>
      <c r="H3759" t="str">
        <v>Lambert Conic Conformal (1SP)</v>
      </c>
      <c r="I3759" t="str">
        <v>NAD83(2011) / RMTCRS Fort Peck Sioux (m)</v>
      </c>
      <c r="J3759" t="str">
        <v>United States (USA) - Montana - Fort Peck Indian Reservation - lower areas, notably in south and east.</v>
      </c>
      <c r="K3759" s="11">
        <v>0</v>
      </c>
    </row>
    <row r="3760" spans="5:11" x14ac:dyDescent="0.35">
      <c r="E3760" s="9" t="str">
        <v>EPSG</v>
      </c>
      <c r="F3760" s="7" t="str">
        <v>7115</v>
      </c>
      <c r="G3760" t="str">
        <v>ProjectedCrs</v>
      </c>
      <c r="H3760" t="str">
        <v>Transverse Mercator</v>
      </c>
      <c r="I3760" t="str">
        <v>NAD83(2011) / RMTCRS Crow (m)</v>
      </c>
      <c r="J3760" t="str">
        <v>United States (USA) - Montana - Crow Indian Reservation.</v>
      </c>
      <c r="K3760" s="11">
        <v>0</v>
      </c>
    </row>
    <row r="3761" spans="5:11" x14ac:dyDescent="0.35">
      <c r="E3761" s="9" t="str">
        <v>EPSG</v>
      </c>
      <c r="F3761" s="7" t="str">
        <v>7116</v>
      </c>
      <c r="G3761" t="str">
        <v>ProjectedCrs</v>
      </c>
      <c r="H3761" t="str">
        <v>Lambert Conic Conformal (1SP)</v>
      </c>
      <c r="I3761" t="str">
        <v>NAD83(2011) / RMTCRS Bobcat (m)</v>
      </c>
      <c r="J3761" t="str">
        <v>United States (USA) - Montana - Three Forks area.</v>
      </c>
      <c r="K3761" s="11">
        <v>0</v>
      </c>
    </row>
    <row r="3762" spans="5:11" x14ac:dyDescent="0.35">
      <c r="E3762" s="9" t="str">
        <v>EPSG</v>
      </c>
      <c r="F3762" s="7" t="str">
        <v>7117</v>
      </c>
      <c r="G3762" t="str">
        <v>ProjectedCrs</v>
      </c>
      <c r="H3762" t="str">
        <v>Lambert Conic Conformal (1SP)</v>
      </c>
      <c r="I3762" t="str">
        <v>NAD83(2011) / RMTCRS Billings (m)</v>
      </c>
      <c r="J3762" t="str">
        <v>United States (USA) - Montana - Billings area.</v>
      </c>
      <c r="K3762" s="11">
        <v>0</v>
      </c>
    </row>
    <row r="3763" spans="5:11" x14ac:dyDescent="0.35">
      <c r="E3763" s="9" t="str">
        <v>EPSG</v>
      </c>
      <c r="F3763" s="7" t="str">
        <v>7118</v>
      </c>
      <c r="G3763" t="str">
        <v>ProjectedCrs</v>
      </c>
      <c r="H3763" t="str">
        <v>Transverse Mercator</v>
      </c>
      <c r="I3763" t="str">
        <v>NAD83(2011) / RMTCRS Wind River (m)</v>
      </c>
      <c r="J3763" t="str">
        <v>United States (USA) - Wyoming - Wind River Indian Reservation.</v>
      </c>
      <c r="K3763" s="11">
        <v>0</v>
      </c>
    </row>
    <row r="3764" spans="5:11" x14ac:dyDescent="0.35">
      <c r="E3764" s="9" t="str">
        <v>EPSG</v>
      </c>
      <c r="F3764" s="7" t="str">
        <v>7119</v>
      </c>
      <c r="G3764" t="str">
        <v>ProjectedCrs</v>
      </c>
      <c r="H3764" t="str">
        <v>Transverse Mercator</v>
      </c>
      <c r="I3764" t="str">
        <v>NAD83(2011) / RMTCRS St Mary (ft)</v>
      </c>
      <c r="J3764" t="str">
        <v>United States (USA) - Montana - St Mary's Valley area.</v>
      </c>
      <c r="K3764" s="11">
        <v>0</v>
      </c>
    </row>
    <row r="3765" spans="5:11" x14ac:dyDescent="0.35">
      <c r="E3765" s="9" t="str">
        <v>EPSG</v>
      </c>
      <c r="F3765" s="7" t="str">
        <v>7120</v>
      </c>
      <c r="G3765" t="str">
        <v>ProjectedCrs</v>
      </c>
      <c r="H3765" t="str">
        <v>Transverse Mercator</v>
      </c>
      <c r="I3765" t="str">
        <v>NAD83(2011) / RMTCRS Blackfeet (ft)</v>
      </c>
      <c r="J3765" t="str">
        <v>United States (USA) - Montana - Blackfeet Indian Reservation.</v>
      </c>
      <c r="K3765" s="11">
        <v>0</v>
      </c>
    </row>
    <row r="3766" spans="5:11" x14ac:dyDescent="0.35">
      <c r="E3766" s="9" t="str">
        <v>EPSG</v>
      </c>
      <c r="F3766" s="7" t="str">
        <v>7121</v>
      </c>
      <c r="G3766" t="str">
        <v>ProjectedCrs</v>
      </c>
      <c r="H3766" t="str">
        <v>Lambert Conic Conformal (1SP)</v>
      </c>
      <c r="I3766" t="str">
        <v>NAD83(2011) / RMTCRS Milk River (ft)</v>
      </c>
      <c r="J3766" t="str">
        <v>United States (USA) - Montana - Milk River area.</v>
      </c>
      <c r="K3766" s="11">
        <v>0</v>
      </c>
    </row>
    <row r="3767" spans="5:11" x14ac:dyDescent="0.35">
      <c r="E3767" s="9" t="str">
        <v>EPSG</v>
      </c>
      <c r="F3767" s="7" t="str">
        <v>7122</v>
      </c>
      <c r="G3767" t="str">
        <v>ProjectedCrs</v>
      </c>
      <c r="H3767" t="str">
        <v>Lambert Conic Conformal (1SP)</v>
      </c>
      <c r="I3767" t="str">
        <v>NAD83(2011) / RMTCRS Fort Belknap (ft)</v>
      </c>
      <c r="J3767" t="str">
        <v>United States (USA) - Montana - Fort Belknap Indian Reservation area.</v>
      </c>
      <c r="K3767" s="11">
        <v>0</v>
      </c>
    </row>
    <row r="3768" spans="5:11" x14ac:dyDescent="0.35">
      <c r="E3768" s="9" t="str">
        <v>EPSG</v>
      </c>
      <c r="F3768" s="7" t="str">
        <v>7123</v>
      </c>
      <c r="G3768" t="str">
        <v>ProjectedCrs</v>
      </c>
      <c r="H3768" t="str">
        <v>Lambert Conic Conformal (1SP)</v>
      </c>
      <c r="I3768" t="str">
        <v>NAD83(2011) / RMTCRS Fort Peck Assiniboine (ft)</v>
      </c>
      <c r="J3768" t="str">
        <v>United States (USA) - Montana - Fort Peck Indian Reservation - higher areas, notably in west and north.</v>
      </c>
      <c r="K3768" s="11">
        <v>0</v>
      </c>
    </row>
    <row r="3769" spans="5:11" x14ac:dyDescent="0.35">
      <c r="E3769" s="9" t="str">
        <v>EPSG</v>
      </c>
      <c r="F3769" s="7" t="str">
        <v>7124</v>
      </c>
      <c r="G3769" t="str">
        <v>ProjectedCrs</v>
      </c>
      <c r="H3769" t="str">
        <v>Lambert Conic Conformal (1SP)</v>
      </c>
      <c r="I3769" t="str">
        <v>NAD83(2011) / RMTCRS Fort Peck Sioux (ft)</v>
      </c>
      <c r="J3769" t="str">
        <v>United States (USA) - Montana - Fort Peck Indian Reservation - lower areas, notably in south and east.</v>
      </c>
      <c r="K3769" s="11">
        <v>0</v>
      </c>
    </row>
    <row r="3770" spans="5:11" x14ac:dyDescent="0.35">
      <c r="E3770" s="9" t="str">
        <v>EPSG</v>
      </c>
      <c r="F3770" s="7" t="str">
        <v>7125</v>
      </c>
      <c r="G3770" t="str">
        <v>ProjectedCrs</v>
      </c>
      <c r="H3770" t="str">
        <v>Transverse Mercator</v>
      </c>
      <c r="I3770" t="str">
        <v>NAD83(2011) / RMTCRS Crow (ft)</v>
      </c>
      <c r="J3770" t="str">
        <v>United States (USA) - Montana - Crow Indian Reservation.</v>
      </c>
      <c r="K3770" s="11">
        <v>0</v>
      </c>
    </row>
    <row r="3771" spans="5:11" x14ac:dyDescent="0.35">
      <c r="E3771" s="9" t="str">
        <v>EPSG</v>
      </c>
      <c r="F3771" s="7" t="str">
        <v>7126</v>
      </c>
      <c r="G3771" t="str">
        <v>ProjectedCrs</v>
      </c>
      <c r="H3771" t="str">
        <v>Lambert Conic Conformal (1SP)</v>
      </c>
      <c r="I3771" t="str">
        <v>NAD83(2011) / RMTCRS Bobcat (ft)</v>
      </c>
      <c r="J3771" t="str">
        <v>United States (USA) - Montana - Three Forks area.</v>
      </c>
      <c r="K3771" s="11">
        <v>0</v>
      </c>
    </row>
    <row r="3772" spans="5:11" x14ac:dyDescent="0.35">
      <c r="E3772" s="9" t="str">
        <v>EPSG</v>
      </c>
      <c r="F3772" s="7" t="str">
        <v>7127</v>
      </c>
      <c r="G3772" t="str">
        <v>ProjectedCrs</v>
      </c>
      <c r="H3772" t="str">
        <v>Lambert Conic Conformal (1SP)</v>
      </c>
      <c r="I3772" t="str">
        <v>NAD83(2011) / RMTCRS Billings (ft)</v>
      </c>
      <c r="J3772" t="str">
        <v>United States (USA) - Montana - Billings area.</v>
      </c>
      <c r="K3772" s="11">
        <v>0</v>
      </c>
    </row>
    <row r="3773" spans="5:11" x14ac:dyDescent="0.35">
      <c r="E3773" s="9" t="str">
        <v>EPSG</v>
      </c>
      <c r="F3773" s="7" t="str">
        <v>7128</v>
      </c>
      <c r="G3773" t="str">
        <v>ProjectedCrs</v>
      </c>
      <c r="H3773" t="str">
        <v>Transverse Mercator</v>
      </c>
      <c r="I3773" t="str">
        <v>NAD83(2011) / RMTCRS Wind River (ftUS)</v>
      </c>
      <c r="J3773" t="str">
        <v>United States (USA) - Wyoming - Wind River Indian Reservation.</v>
      </c>
      <c r="K3773" s="11">
        <v>0</v>
      </c>
    </row>
    <row r="3774" spans="5:11" x14ac:dyDescent="0.35">
      <c r="E3774" s="9" t="str">
        <v>EPSG</v>
      </c>
      <c r="F3774" s="7" t="str">
        <v>7131</v>
      </c>
      <c r="G3774" t="str">
        <v>ProjectedCrs</v>
      </c>
      <c r="H3774" t="str">
        <v>Transverse Mercator</v>
      </c>
      <c r="I3774" t="str">
        <v>NAD83(2011) / San Francisco CS13</v>
      </c>
      <c r="J3774" t="str">
        <v>United States (USA) - California - San Francisco bay area - counties of Alameda, Contra Costa, Marin, Napa, San Francisco, San Mateo, Santa Clara, Santa Cruz, Solano and Sonoma.</v>
      </c>
      <c r="K3774" s="11">
        <v>0</v>
      </c>
    </row>
    <row r="3775" spans="5:11" x14ac:dyDescent="0.35">
      <c r="E3775" s="9" t="str">
        <v>EPSG</v>
      </c>
      <c r="F3775" s="7" t="str">
        <v>7132</v>
      </c>
      <c r="G3775" t="str">
        <v>ProjectedCrs</v>
      </c>
      <c r="H3775" t="str">
        <v>Transverse Mercator</v>
      </c>
      <c r="I3775" t="str">
        <v>NAD83(2011) / San Francisco CS13 (ftUS)</v>
      </c>
      <c r="J3775" t="str">
        <v>United States (USA) - California - San Francisco bay area - counties of Alameda, Contra Costa, Marin, Napa, San Francisco, San Mateo, Santa Clara, Santa Cruz, Solano and Sonoma.</v>
      </c>
      <c r="K3775" s="11">
        <v>0</v>
      </c>
    </row>
    <row r="3776" spans="5:11" x14ac:dyDescent="0.35">
      <c r="E3776" s="9" t="str">
        <v>EPSG</v>
      </c>
      <c r="F3776" s="7" t="str">
        <v>7133</v>
      </c>
      <c r="G3776" t="str">
        <v>Geographic2DCrs</v>
      </c>
      <c r="H3776" t="str">
        <v>&lt;undefined&gt;</v>
      </c>
      <c r="I3776" t="str">
        <v>RGTAAF07 (lon-lat)</v>
      </c>
      <c r="J3776" t="str">
        <v>French Southern Territories - onshore and offshore: Amsterdam and St Paul, Crozet, Europa and Kerguelen. Antarctica - Adelie Land coastal area.</v>
      </c>
      <c r="K3776" s="11">
        <v>0</v>
      </c>
    </row>
    <row r="3777" spans="5:11" x14ac:dyDescent="0.35">
      <c r="E3777" s="9" t="str">
        <v>EPSG</v>
      </c>
      <c r="F3777" s="7" t="str">
        <v>7134</v>
      </c>
      <c r="G3777" t="str">
        <v>GeocentricCrs</v>
      </c>
      <c r="H3777" t="str">
        <v>&lt;undefined&gt;</v>
      </c>
      <c r="I3777" t="str">
        <v>IGD05</v>
      </c>
      <c r="J3777" t="str">
        <v>Israel - onshore and offshore.</v>
      </c>
      <c r="K3777" s="11">
        <v>0</v>
      </c>
    </row>
    <row r="3778" spans="5:11" x14ac:dyDescent="0.35">
      <c r="E3778" s="9" t="str">
        <v>EPSG</v>
      </c>
      <c r="F3778" s="7" t="str">
        <v>7135</v>
      </c>
      <c r="G3778" t="str">
        <v>Geographic3DCrs</v>
      </c>
      <c r="H3778" t="str">
        <v>&lt;undefined&gt;</v>
      </c>
      <c r="I3778" t="str">
        <v>IGD05</v>
      </c>
      <c r="J3778" t="str">
        <v>Israel - onshore and offshore.</v>
      </c>
      <c r="K3778" s="11">
        <v>0</v>
      </c>
    </row>
    <row r="3779" spans="5:11" x14ac:dyDescent="0.35">
      <c r="E3779" s="9" t="str">
        <v>EPSG</v>
      </c>
      <c r="F3779" s="7" t="str">
        <v>7136</v>
      </c>
      <c r="G3779" t="str">
        <v>Geographic2DCrs</v>
      </c>
      <c r="H3779" t="str">
        <v>&lt;undefined&gt;</v>
      </c>
      <c r="I3779" t="str">
        <v>IGD05</v>
      </c>
      <c r="J3779" t="str">
        <v>Israel - onshore and offshore.</v>
      </c>
      <c r="K3779" s="11">
        <v>0</v>
      </c>
    </row>
    <row r="3780" spans="5:11" x14ac:dyDescent="0.35">
      <c r="E3780" s="9" t="str">
        <v>EPSG</v>
      </c>
      <c r="F3780" s="7" t="str">
        <v>7137</v>
      </c>
      <c r="G3780" t="str">
        <v>GeocentricCrs</v>
      </c>
      <c r="H3780" t="str">
        <v>&lt;undefined&gt;</v>
      </c>
      <c r="I3780" t="str">
        <v>IGD05/12</v>
      </c>
      <c r="J3780" t="str">
        <v>Israel - onshore and offshore.</v>
      </c>
      <c r="K3780" s="11">
        <v>0</v>
      </c>
    </row>
    <row r="3781" spans="5:11" x14ac:dyDescent="0.35">
      <c r="E3781" s="9" t="str">
        <v>EPSG</v>
      </c>
      <c r="F3781" s="7" t="str">
        <v>7138</v>
      </c>
      <c r="G3781" t="str">
        <v>Geographic3DCrs</v>
      </c>
      <c r="H3781" t="str">
        <v>&lt;undefined&gt;</v>
      </c>
      <c r="I3781" t="str">
        <v>IGD05/12</v>
      </c>
      <c r="J3781" t="str">
        <v>Israel - onshore and offshore.</v>
      </c>
      <c r="K3781" s="11">
        <v>0</v>
      </c>
    </row>
    <row r="3782" spans="5:11" x14ac:dyDescent="0.35">
      <c r="E3782" s="9" t="str">
        <v>EPSG</v>
      </c>
      <c r="F3782" s="7" t="str">
        <v>7139</v>
      </c>
      <c r="G3782" t="str">
        <v>Geographic2DCrs</v>
      </c>
      <c r="H3782" t="str">
        <v>&lt;undefined&gt;</v>
      </c>
      <c r="I3782" t="str">
        <v>IGD05/12</v>
      </c>
      <c r="J3782" t="str">
        <v>Israel - onshore and offshore.</v>
      </c>
      <c r="K3782" s="11">
        <v>0</v>
      </c>
    </row>
    <row r="3783" spans="5:11" x14ac:dyDescent="0.35">
      <c r="E3783" s="9" t="str">
        <v>EPSG</v>
      </c>
      <c r="F3783" s="7" t="str">
        <v>7142</v>
      </c>
      <c r="G3783" t="str">
        <v>ProjectedCrs</v>
      </c>
      <c r="H3783" t="str">
        <v>Transverse Mercator</v>
      </c>
      <c r="I3783" t="str">
        <v>Palestine 1923 / Palestine Grid modified</v>
      </c>
      <c r="J3783" t="str">
        <v>Israel - onshore; Jordan; Palestine Territory - onshore.</v>
      </c>
      <c r="K3783" s="11">
        <v>0</v>
      </c>
    </row>
    <row r="3784" spans="5:11" x14ac:dyDescent="0.35">
      <c r="E3784" s="9" t="str">
        <v>EPSG</v>
      </c>
      <c r="F3784" s="7" t="str">
        <v>7257</v>
      </c>
      <c r="G3784" t="str">
        <v>ProjectedCrs</v>
      </c>
      <c r="H3784" t="str">
        <v>Transverse Mercator</v>
      </c>
      <c r="I3784" t="str">
        <v>NAD83(2011) / InGCS Adams (m)</v>
      </c>
      <c r="J3784" t="str">
        <v>United States (USA) - Indiana - Adams county.</v>
      </c>
      <c r="K3784" s="11">
        <v>0</v>
      </c>
    </row>
    <row r="3785" spans="5:11" x14ac:dyDescent="0.35">
      <c r="E3785" s="9" t="str">
        <v>EPSG</v>
      </c>
      <c r="F3785" s="7" t="str">
        <v>7258</v>
      </c>
      <c r="G3785" t="str">
        <v>ProjectedCrs</v>
      </c>
      <c r="H3785" t="str">
        <v>Transverse Mercator</v>
      </c>
      <c r="I3785" t="str">
        <v>NAD83(2011) / InGCS Adams (ftUS)</v>
      </c>
      <c r="J3785" t="str">
        <v>United States (USA) - Indiana - Adams county.</v>
      </c>
      <c r="K3785" s="11">
        <v>0</v>
      </c>
    </row>
    <row r="3786" spans="5:11" x14ac:dyDescent="0.35">
      <c r="E3786" s="9" t="str">
        <v>EPSG</v>
      </c>
      <c r="F3786" s="7" t="str">
        <v>7259</v>
      </c>
      <c r="G3786" t="str">
        <v>ProjectedCrs</v>
      </c>
      <c r="H3786" t="str">
        <v>Transverse Mercator</v>
      </c>
      <c r="I3786" t="str">
        <v>NAD83(2011) / InGCS Allen (m)</v>
      </c>
      <c r="J3786" t="str">
        <v>United States (USA) - Indiana - Allen county.</v>
      </c>
      <c r="K3786" s="11">
        <v>0</v>
      </c>
    </row>
    <row r="3787" spans="5:11" x14ac:dyDescent="0.35">
      <c r="E3787" s="9" t="str">
        <v>EPSG</v>
      </c>
      <c r="F3787" s="7" t="str">
        <v>7260</v>
      </c>
      <c r="G3787" t="str">
        <v>ProjectedCrs</v>
      </c>
      <c r="H3787" t="str">
        <v>Transverse Mercator</v>
      </c>
      <c r="I3787" t="str">
        <v>NAD83(2011) / InGCS Allen (ftUS)</v>
      </c>
      <c r="J3787" t="str">
        <v>United States (USA) - Indiana - Allen county.</v>
      </c>
      <c r="K3787" s="11">
        <v>0</v>
      </c>
    </row>
    <row r="3788" spans="5:11" x14ac:dyDescent="0.35">
      <c r="E3788" s="9" t="str">
        <v>EPSG</v>
      </c>
      <c r="F3788" s="7" t="str">
        <v>7261</v>
      </c>
      <c r="G3788" t="str">
        <v>ProjectedCrs</v>
      </c>
      <c r="H3788" t="str">
        <v>Transverse Mercator</v>
      </c>
      <c r="I3788" t="str">
        <v>NAD83(2011) / InGCS Bartholomew (m)</v>
      </c>
      <c r="J3788" t="str">
        <v>United States (USA) - Indiana - Bartholomew county.</v>
      </c>
      <c r="K3788" s="11">
        <v>0</v>
      </c>
    </row>
    <row r="3789" spans="5:11" x14ac:dyDescent="0.35">
      <c r="E3789" s="9" t="str">
        <v>EPSG</v>
      </c>
      <c r="F3789" s="7" t="str">
        <v>7262</v>
      </c>
      <c r="G3789" t="str">
        <v>ProjectedCrs</v>
      </c>
      <c r="H3789" t="str">
        <v>Transverse Mercator</v>
      </c>
      <c r="I3789" t="str">
        <v>NAD83(2011) / InGCS Bartholomew (ftUS)</v>
      </c>
      <c r="J3789" t="str">
        <v>United States (USA) - Indiana - Bartholomew county.</v>
      </c>
      <c r="K3789" s="11">
        <v>0</v>
      </c>
    </row>
    <row r="3790" spans="5:11" x14ac:dyDescent="0.35">
      <c r="E3790" s="9" t="str">
        <v>EPSG</v>
      </c>
      <c r="F3790" s="7" t="str">
        <v>7263</v>
      </c>
      <c r="G3790" t="str">
        <v>ProjectedCrs</v>
      </c>
      <c r="H3790" t="str">
        <v>Transverse Mercator</v>
      </c>
      <c r="I3790" t="str">
        <v>NAD83(2011) / InGCS Benton (m)</v>
      </c>
      <c r="J3790" t="str">
        <v>United States (USA) - Indiana - Benton county.</v>
      </c>
      <c r="K3790" s="11">
        <v>0</v>
      </c>
    </row>
    <row r="3791" spans="5:11" x14ac:dyDescent="0.35">
      <c r="E3791" s="9" t="str">
        <v>EPSG</v>
      </c>
      <c r="F3791" s="7" t="str">
        <v>7264</v>
      </c>
      <c r="G3791" t="str">
        <v>ProjectedCrs</v>
      </c>
      <c r="H3791" t="str">
        <v>Transverse Mercator</v>
      </c>
      <c r="I3791" t="str">
        <v>NAD83(2011) / InGCS Benton (ftUS)</v>
      </c>
      <c r="J3791" t="str">
        <v>United States (USA) - Indiana - Benton county.</v>
      </c>
      <c r="K3791" s="11">
        <v>0</v>
      </c>
    </row>
    <row r="3792" spans="5:11" x14ac:dyDescent="0.35">
      <c r="E3792" s="9" t="str">
        <v>EPSG</v>
      </c>
      <c r="F3792" s="7" t="str">
        <v>7265</v>
      </c>
      <c r="G3792" t="str">
        <v>ProjectedCrs</v>
      </c>
      <c r="H3792" t="str">
        <v>Transverse Mercator</v>
      </c>
      <c r="I3792" t="str">
        <v>NAD83(2011) / InGCS Blackford-Delaware (m)</v>
      </c>
      <c r="J3792" t="str">
        <v>United States (USA) - Indiana - counties of Blackford and Delaware.</v>
      </c>
      <c r="K3792" s="11">
        <v>0</v>
      </c>
    </row>
    <row r="3793" spans="5:11" x14ac:dyDescent="0.35">
      <c r="E3793" s="9" t="str">
        <v>EPSG</v>
      </c>
      <c r="F3793" s="7" t="str">
        <v>7266</v>
      </c>
      <c r="G3793" t="str">
        <v>ProjectedCrs</v>
      </c>
      <c r="H3793" t="str">
        <v>Transverse Mercator</v>
      </c>
      <c r="I3793" t="str">
        <v>NAD83(2011) / InGCS Blackford-Delaware (ftUS)</v>
      </c>
      <c r="J3793" t="str">
        <v>United States (USA) - Indiana - counties of Blackford and Delaware.</v>
      </c>
      <c r="K3793" s="11">
        <v>0</v>
      </c>
    </row>
    <row r="3794" spans="5:11" x14ac:dyDescent="0.35">
      <c r="E3794" s="9" t="str">
        <v>EPSG</v>
      </c>
      <c r="F3794" s="7" t="str">
        <v>7267</v>
      </c>
      <c r="G3794" t="str">
        <v>ProjectedCrs</v>
      </c>
      <c r="H3794" t="str">
        <v>Transverse Mercator</v>
      </c>
      <c r="I3794" t="str">
        <v>NAD83(2011) / InGCS Boone-Hendricks (m)</v>
      </c>
      <c r="J3794" t="str">
        <v>United States (USA) - Indiana - counties of Boone and Hendricks.</v>
      </c>
      <c r="K3794" s="11">
        <v>0</v>
      </c>
    </row>
    <row r="3795" spans="5:11" x14ac:dyDescent="0.35">
      <c r="E3795" s="9" t="str">
        <v>EPSG</v>
      </c>
      <c r="F3795" s="7" t="str">
        <v>7268</v>
      </c>
      <c r="G3795" t="str">
        <v>ProjectedCrs</v>
      </c>
      <c r="H3795" t="str">
        <v>Transverse Mercator</v>
      </c>
      <c r="I3795" t="str">
        <v>NAD83(2011) / InGCS Boone-Hendricks (ftUS)</v>
      </c>
      <c r="J3795" t="str">
        <v>United States (USA) - Indiana - counties of Boone and Hendricks.</v>
      </c>
      <c r="K3795" s="11">
        <v>0</v>
      </c>
    </row>
    <row r="3796" spans="5:11" x14ac:dyDescent="0.35">
      <c r="E3796" s="9" t="str">
        <v>EPSG</v>
      </c>
      <c r="F3796" s="7" t="str">
        <v>7269</v>
      </c>
      <c r="G3796" t="str">
        <v>ProjectedCrs</v>
      </c>
      <c r="H3796" t="str">
        <v>Transverse Mercator</v>
      </c>
      <c r="I3796" t="str">
        <v>NAD83(2011) / InGCS Brown (m)</v>
      </c>
      <c r="J3796" t="str">
        <v>United States (USA) - Indiana - Brown county.</v>
      </c>
      <c r="K3796" s="11">
        <v>0</v>
      </c>
    </row>
    <row r="3797" spans="5:11" x14ac:dyDescent="0.35">
      <c r="E3797" s="9" t="str">
        <v>EPSG</v>
      </c>
      <c r="F3797" s="7" t="str">
        <v>7270</v>
      </c>
      <c r="G3797" t="str">
        <v>ProjectedCrs</v>
      </c>
      <c r="H3797" t="str">
        <v>Transverse Mercator</v>
      </c>
      <c r="I3797" t="str">
        <v>NAD83(2011) / InGCS Brown (ftUS)</v>
      </c>
      <c r="J3797" t="str">
        <v>United States (USA) - Indiana - Brown county.</v>
      </c>
      <c r="K3797" s="11">
        <v>0</v>
      </c>
    </row>
    <row r="3798" spans="5:11" x14ac:dyDescent="0.35">
      <c r="E3798" s="9" t="str">
        <v>EPSG</v>
      </c>
      <c r="F3798" s="7" t="str">
        <v>7271</v>
      </c>
      <c r="G3798" t="str">
        <v>ProjectedCrs</v>
      </c>
      <c r="H3798" t="str">
        <v>Transverse Mercator</v>
      </c>
      <c r="I3798" t="str">
        <v>NAD83(2011) / InGCS Carroll (m)</v>
      </c>
      <c r="J3798" t="str">
        <v>United States (USA) - Indiana - Carroll county.</v>
      </c>
      <c r="K3798" s="11">
        <v>0</v>
      </c>
    </row>
    <row r="3799" spans="5:11" x14ac:dyDescent="0.35">
      <c r="E3799" s="9" t="str">
        <v>EPSG</v>
      </c>
      <c r="F3799" s="7" t="str">
        <v>7272</v>
      </c>
      <c r="G3799" t="str">
        <v>ProjectedCrs</v>
      </c>
      <c r="H3799" t="str">
        <v>Transverse Mercator</v>
      </c>
      <c r="I3799" t="str">
        <v>NAD83(2011) / InGCS Carroll (ftUS)</v>
      </c>
      <c r="J3799" t="str">
        <v>United States (USA) - Indiana - Carroll county.</v>
      </c>
      <c r="K3799" s="11">
        <v>0</v>
      </c>
    </row>
    <row r="3800" spans="5:11" x14ac:dyDescent="0.35">
      <c r="E3800" s="9" t="str">
        <v>EPSG</v>
      </c>
      <c r="F3800" s="7" t="str">
        <v>7273</v>
      </c>
      <c r="G3800" t="str">
        <v>ProjectedCrs</v>
      </c>
      <c r="H3800" t="str">
        <v>Transverse Mercator</v>
      </c>
      <c r="I3800" t="str">
        <v>NAD83(2011) / InGCS Cass (m)</v>
      </c>
      <c r="J3800" t="str">
        <v>United States (USA) - Indiana - Cass county.</v>
      </c>
      <c r="K3800" s="11">
        <v>0</v>
      </c>
    </row>
    <row r="3801" spans="5:11" x14ac:dyDescent="0.35">
      <c r="E3801" s="9" t="str">
        <v>EPSG</v>
      </c>
      <c r="F3801" s="7" t="str">
        <v>7274</v>
      </c>
      <c r="G3801" t="str">
        <v>ProjectedCrs</v>
      </c>
      <c r="H3801" t="str">
        <v>Transverse Mercator</v>
      </c>
      <c r="I3801" t="str">
        <v>NAD83(2011) / InGCS Cass (ftUS)</v>
      </c>
      <c r="J3801" t="str">
        <v>United States (USA) - Indiana - Cass county.</v>
      </c>
      <c r="K3801" s="11">
        <v>0</v>
      </c>
    </row>
    <row r="3802" spans="5:11" x14ac:dyDescent="0.35">
      <c r="E3802" s="9" t="str">
        <v>EPSG</v>
      </c>
      <c r="F3802" s="7" t="str">
        <v>7275</v>
      </c>
      <c r="G3802" t="str">
        <v>ProjectedCrs</v>
      </c>
      <c r="H3802" t="str">
        <v>Transverse Mercator</v>
      </c>
      <c r="I3802" t="str">
        <v>NAD83(2011) / InGCS Clark-Floyd-Scott (m)</v>
      </c>
      <c r="J3802" t="str">
        <v>United States (USA) - Indiana - counties of Clark, Floyd and Scott.</v>
      </c>
      <c r="K3802" s="11">
        <v>0</v>
      </c>
    </row>
    <row r="3803" spans="5:11" x14ac:dyDescent="0.35">
      <c r="E3803" s="9" t="str">
        <v>EPSG</v>
      </c>
      <c r="F3803" s="7" t="str">
        <v>7276</v>
      </c>
      <c r="G3803" t="str">
        <v>ProjectedCrs</v>
      </c>
      <c r="H3803" t="str">
        <v>Transverse Mercator</v>
      </c>
      <c r="I3803" t="str">
        <v>NAD83(2011) / InGCS Clark-Floyd-Scott (ftUS)</v>
      </c>
      <c r="J3803" t="str">
        <v>United States (USA) - Indiana - counties of Clark, Floyd and Scott.</v>
      </c>
      <c r="K3803" s="11">
        <v>0</v>
      </c>
    </row>
    <row r="3804" spans="5:11" x14ac:dyDescent="0.35">
      <c r="E3804" s="9" t="str">
        <v>EPSG</v>
      </c>
      <c r="F3804" s="7" t="str">
        <v>7277</v>
      </c>
      <c r="G3804" t="str">
        <v>ProjectedCrs</v>
      </c>
      <c r="H3804" t="str">
        <v>Transverse Mercator</v>
      </c>
      <c r="I3804" t="str">
        <v>NAD83(2011) / InGCS Clay (m)</v>
      </c>
      <c r="J3804" t="str">
        <v>United States (USA) - Indiana - Clay county.</v>
      </c>
      <c r="K3804" s="11">
        <v>0</v>
      </c>
    </row>
    <row r="3805" spans="5:11" x14ac:dyDescent="0.35">
      <c r="E3805" s="9" t="str">
        <v>EPSG</v>
      </c>
      <c r="F3805" s="7" t="str">
        <v>7278</v>
      </c>
      <c r="G3805" t="str">
        <v>ProjectedCrs</v>
      </c>
      <c r="H3805" t="str">
        <v>Transverse Mercator</v>
      </c>
      <c r="I3805" t="str">
        <v>NAD83(2011) / InGCS Clay (ftUS)</v>
      </c>
      <c r="J3805" t="str">
        <v>United States (USA) - Indiana - Clay county.</v>
      </c>
      <c r="K3805" s="11">
        <v>0</v>
      </c>
    </row>
    <row r="3806" spans="5:11" x14ac:dyDescent="0.35">
      <c r="E3806" s="9" t="str">
        <v>EPSG</v>
      </c>
      <c r="F3806" s="7" t="str">
        <v>7279</v>
      </c>
      <c r="G3806" t="str">
        <v>ProjectedCrs</v>
      </c>
      <c r="H3806" t="str">
        <v>Transverse Mercator</v>
      </c>
      <c r="I3806" t="str">
        <v>NAD83(2011) / InGCS Clinton (m)</v>
      </c>
      <c r="J3806" t="str">
        <v>United States (USA) - Indiana - Clinton county.</v>
      </c>
      <c r="K3806" s="11">
        <v>0</v>
      </c>
    </row>
    <row r="3807" spans="5:11" x14ac:dyDescent="0.35">
      <c r="E3807" s="9" t="str">
        <v>EPSG</v>
      </c>
      <c r="F3807" s="7" t="str">
        <v>7280</v>
      </c>
      <c r="G3807" t="str">
        <v>ProjectedCrs</v>
      </c>
      <c r="H3807" t="str">
        <v>Transverse Mercator</v>
      </c>
      <c r="I3807" t="str">
        <v>NAD83(2011) / InGCS Clinton (ftUS)</v>
      </c>
      <c r="J3807" t="str">
        <v>United States (USA) - Indiana - Clinton county.</v>
      </c>
      <c r="K3807" s="11">
        <v>0</v>
      </c>
    </row>
    <row r="3808" spans="5:11" x14ac:dyDescent="0.35">
      <c r="E3808" s="9" t="str">
        <v>EPSG</v>
      </c>
      <c r="F3808" s="7" t="str">
        <v>7281</v>
      </c>
      <c r="G3808" t="str">
        <v>ProjectedCrs</v>
      </c>
      <c r="H3808" t="str">
        <v>Transverse Mercator</v>
      </c>
      <c r="I3808" t="str">
        <v>NAD83(2011) / InGCS Crawford-Lawrence-Orange (m)</v>
      </c>
      <c r="J3808" t="str">
        <v>United States (USA) - Indiana - counties of Crawford, Lawrence and Orange.</v>
      </c>
      <c r="K3808" s="11">
        <v>0</v>
      </c>
    </row>
    <row r="3809" spans="5:11" x14ac:dyDescent="0.35">
      <c r="E3809" s="9" t="str">
        <v>EPSG</v>
      </c>
      <c r="F3809" s="7" t="str">
        <v>7282</v>
      </c>
      <c r="G3809" t="str">
        <v>ProjectedCrs</v>
      </c>
      <c r="H3809" t="str">
        <v>Transverse Mercator</v>
      </c>
      <c r="I3809" t="str">
        <v>NAD83(2011) / InGCS Crawford-Lawrence-Orange (ftUS)</v>
      </c>
      <c r="J3809" t="str">
        <v>United States (USA) - Indiana - counties of Crawford, Lawrence and Orange.</v>
      </c>
      <c r="K3809" s="11">
        <v>0</v>
      </c>
    </row>
    <row r="3810" spans="5:11" x14ac:dyDescent="0.35">
      <c r="E3810" s="9" t="str">
        <v>EPSG</v>
      </c>
      <c r="F3810" s="7" t="str">
        <v>7283</v>
      </c>
      <c r="G3810" t="str">
        <v>ProjectedCrs</v>
      </c>
      <c r="H3810" t="str">
        <v>Transverse Mercator</v>
      </c>
      <c r="I3810" t="str">
        <v>NAD83(2011) / InGCS Daviess-Greene (m)</v>
      </c>
      <c r="J3810" t="str">
        <v>United States (USA) - Indiana - counties of Daviess and Greene.</v>
      </c>
      <c r="K3810" s="11">
        <v>0</v>
      </c>
    </row>
    <row r="3811" spans="5:11" x14ac:dyDescent="0.35">
      <c r="E3811" s="9" t="str">
        <v>EPSG</v>
      </c>
      <c r="F3811" s="7" t="str">
        <v>7284</v>
      </c>
      <c r="G3811" t="str">
        <v>ProjectedCrs</v>
      </c>
      <c r="H3811" t="str">
        <v>Transverse Mercator</v>
      </c>
      <c r="I3811" t="str">
        <v>NAD83(2011) / InGCS Daviess-Greene (ftUS)</v>
      </c>
      <c r="J3811" t="str">
        <v>United States (USA) - Indiana - counties of Daviess and Greene.</v>
      </c>
      <c r="K3811" s="11">
        <v>0</v>
      </c>
    </row>
    <row r="3812" spans="5:11" x14ac:dyDescent="0.35">
      <c r="E3812" s="9" t="str">
        <v>EPSG</v>
      </c>
      <c r="F3812" s="7" t="str">
        <v>7285</v>
      </c>
      <c r="G3812" t="str">
        <v>ProjectedCrs</v>
      </c>
      <c r="H3812" t="str">
        <v>Transverse Mercator</v>
      </c>
      <c r="I3812" t="str">
        <v>NAD83(2011) / InGCS Dearborn-Ohio-Switzerland (m)</v>
      </c>
      <c r="J3812" t="str">
        <v>United States (USA) - Indiana - counties of Dearborn, Ohio and Switzerland.</v>
      </c>
      <c r="K3812" s="11">
        <v>0</v>
      </c>
    </row>
    <row r="3813" spans="5:11" x14ac:dyDescent="0.35">
      <c r="E3813" s="9" t="str">
        <v>EPSG</v>
      </c>
      <c r="F3813" s="7" t="str">
        <v>7286</v>
      </c>
      <c r="G3813" t="str">
        <v>ProjectedCrs</v>
      </c>
      <c r="H3813" t="str">
        <v>Transverse Mercator</v>
      </c>
      <c r="I3813" t="str">
        <v>NAD83(2011) / InGCS Dearborn-Ohio-Switzerland (ftUS)</v>
      </c>
      <c r="J3813" t="str">
        <v>United States (USA) - Indiana - counties of Dearborn, Ohio and Switzerland.</v>
      </c>
      <c r="K3813" s="11">
        <v>0</v>
      </c>
    </row>
    <row r="3814" spans="5:11" x14ac:dyDescent="0.35">
      <c r="E3814" s="9" t="str">
        <v>EPSG</v>
      </c>
      <c r="F3814" s="7" t="str">
        <v>7287</v>
      </c>
      <c r="G3814" t="str">
        <v>ProjectedCrs</v>
      </c>
      <c r="H3814" t="str">
        <v>Transverse Mercator</v>
      </c>
      <c r="I3814" t="str">
        <v>NAD83(2011) / InGCS Decatur-Rush (m)</v>
      </c>
      <c r="J3814" t="str">
        <v>United States (USA) - Indiana - counties of Decatur and Rush.</v>
      </c>
      <c r="K3814" s="11">
        <v>0</v>
      </c>
    </row>
    <row r="3815" spans="5:11" x14ac:dyDescent="0.35">
      <c r="E3815" s="9" t="str">
        <v>EPSG</v>
      </c>
      <c r="F3815" s="7" t="str">
        <v>7288</v>
      </c>
      <c r="G3815" t="str">
        <v>ProjectedCrs</v>
      </c>
      <c r="H3815" t="str">
        <v>Transverse Mercator</v>
      </c>
      <c r="I3815" t="str">
        <v>NAD83(2011) / InGCS Decatur-Rush (ftUS)</v>
      </c>
      <c r="J3815" t="str">
        <v>United States (USA) - Indiana - counties of Decatur and Rush.</v>
      </c>
      <c r="K3815" s="11">
        <v>0</v>
      </c>
    </row>
    <row r="3816" spans="5:11" x14ac:dyDescent="0.35">
      <c r="E3816" s="9" t="str">
        <v>EPSG</v>
      </c>
      <c r="F3816" s="7" t="str">
        <v>7289</v>
      </c>
      <c r="G3816" t="str">
        <v>ProjectedCrs</v>
      </c>
      <c r="H3816" t="str">
        <v>Transverse Mercator</v>
      </c>
      <c r="I3816" t="str">
        <v>NAD83(2011) / InGCS DeKalb (m)</v>
      </c>
      <c r="J3816" t="str">
        <v>United States (USA) - Indiana - DeKalb county.</v>
      </c>
      <c r="K3816" s="11">
        <v>0</v>
      </c>
    </row>
    <row r="3817" spans="5:11" x14ac:dyDescent="0.35">
      <c r="E3817" s="9" t="str">
        <v>EPSG</v>
      </c>
      <c r="F3817" s="7" t="str">
        <v>7290</v>
      </c>
      <c r="G3817" t="str">
        <v>ProjectedCrs</v>
      </c>
      <c r="H3817" t="str">
        <v>Transverse Mercator</v>
      </c>
      <c r="I3817" t="str">
        <v>NAD83(2011) / InGCS DeKalb (ftUS)</v>
      </c>
      <c r="J3817" t="str">
        <v>United States (USA) - Indiana - DeKalb county.</v>
      </c>
      <c r="K3817" s="11">
        <v>0</v>
      </c>
    </row>
    <row r="3818" spans="5:11" x14ac:dyDescent="0.35">
      <c r="E3818" s="9" t="str">
        <v>EPSG</v>
      </c>
      <c r="F3818" s="7" t="str">
        <v>7291</v>
      </c>
      <c r="G3818" t="str">
        <v>ProjectedCrs</v>
      </c>
      <c r="H3818" t="str">
        <v>Transverse Mercator</v>
      </c>
      <c r="I3818" t="str">
        <v>NAD83(2011) / InGCS Dubois-Martin (m)</v>
      </c>
      <c r="J3818" t="str">
        <v>United States (USA) - Indiana - counties of Dubois and Martin.</v>
      </c>
      <c r="K3818" s="11">
        <v>0</v>
      </c>
    </row>
    <row r="3819" spans="5:11" x14ac:dyDescent="0.35">
      <c r="E3819" s="9" t="str">
        <v>EPSG</v>
      </c>
      <c r="F3819" s="7" t="str">
        <v>7292</v>
      </c>
      <c r="G3819" t="str">
        <v>ProjectedCrs</v>
      </c>
      <c r="H3819" t="str">
        <v>Transverse Mercator</v>
      </c>
      <c r="I3819" t="str">
        <v>NAD83(2011) / InGCS Dubois-Martin (ftUS)</v>
      </c>
      <c r="J3819" t="str">
        <v>United States (USA) - Indiana - counties of Dubois and Martin.</v>
      </c>
      <c r="K3819" s="11">
        <v>0</v>
      </c>
    </row>
    <row r="3820" spans="5:11" x14ac:dyDescent="0.35">
      <c r="E3820" s="9" t="str">
        <v>EPSG</v>
      </c>
      <c r="F3820" s="7" t="str">
        <v>7293</v>
      </c>
      <c r="G3820" t="str">
        <v>ProjectedCrs</v>
      </c>
      <c r="H3820" t="str">
        <v>Transverse Mercator</v>
      </c>
      <c r="I3820" t="str">
        <v>NAD83(2011) / InGCS Elkhart-Kosciusko-Wabash (m)</v>
      </c>
      <c r="J3820" t="str">
        <v>United States (USA) - Indiana - counties of Elkhart, Kosciusko and Wabash.</v>
      </c>
      <c r="K3820" s="11">
        <v>0</v>
      </c>
    </row>
    <row r="3821" spans="5:11" x14ac:dyDescent="0.35">
      <c r="E3821" s="9" t="str">
        <v>EPSG</v>
      </c>
      <c r="F3821" s="7" t="str">
        <v>7294</v>
      </c>
      <c r="G3821" t="str">
        <v>ProjectedCrs</v>
      </c>
      <c r="H3821" t="str">
        <v>Transverse Mercator</v>
      </c>
      <c r="I3821" t="str">
        <v>NAD83(2011) / InGCS Elkhart-Kosciusko-Wabash (ftUS)</v>
      </c>
      <c r="J3821" t="str">
        <v>United States (USA) - Indiana - counties of Elkhart, Kosciusko and Wabash.</v>
      </c>
      <c r="K3821" s="11">
        <v>0</v>
      </c>
    </row>
    <row r="3822" spans="5:11" x14ac:dyDescent="0.35">
      <c r="E3822" s="9" t="str">
        <v>EPSG</v>
      </c>
      <c r="F3822" s="7" t="str">
        <v>7295</v>
      </c>
      <c r="G3822" t="str">
        <v>ProjectedCrs</v>
      </c>
      <c r="H3822" t="str">
        <v>Transverse Mercator</v>
      </c>
      <c r="I3822" t="str">
        <v>NAD83(2011) / InGCS Fayette-Franklin-Union (m)</v>
      </c>
      <c r="J3822" t="str">
        <v>United States (USA) - Indiana - counties of Fayette, Franklin and Union.</v>
      </c>
      <c r="K3822" s="11">
        <v>0</v>
      </c>
    </row>
    <row r="3823" spans="5:11" x14ac:dyDescent="0.35">
      <c r="E3823" s="9" t="str">
        <v>EPSG</v>
      </c>
      <c r="F3823" s="7" t="str">
        <v>7296</v>
      </c>
      <c r="G3823" t="str">
        <v>ProjectedCrs</v>
      </c>
      <c r="H3823" t="str">
        <v>Transverse Mercator</v>
      </c>
      <c r="I3823" t="str">
        <v>NAD83(2011) / InGCS Fayette-Franklin-Union (ftUS)</v>
      </c>
      <c r="J3823" t="str">
        <v>United States (USA) - Indiana - counties of Fayette, Franklin and Union.</v>
      </c>
      <c r="K3823" s="11">
        <v>0</v>
      </c>
    </row>
    <row r="3824" spans="5:11" x14ac:dyDescent="0.35">
      <c r="E3824" s="9" t="str">
        <v>EPSG</v>
      </c>
      <c r="F3824" s="7" t="str">
        <v>7297</v>
      </c>
      <c r="G3824" t="str">
        <v>ProjectedCrs</v>
      </c>
      <c r="H3824" t="str">
        <v>Transverse Mercator</v>
      </c>
      <c r="I3824" t="str">
        <v>NAD83(2011) / InGCS Fountain-Warren (m)</v>
      </c>
      <c r="J3824" t="str">
        <v>United States (USA) - Indiana - counties of Fountain and Warren.</v>
      </c>
      <c r="K3824" s="11">
        <v>0</v>
      </c>
    </row>
    <row r="3825" spans="5:11" x14ac:dyDescent="0.35">
      <c r="E3825" s="9" t="str">
        <v>EPSG</v>
      </c>
      <c r="F3825" s="7" t="str">
        <v>7298</v>
      </c>
      <c r="G3825" t="str">
        <v>ProjectedCrs</v>
      </c>
      <c r="H3825" t="str">
        <v>Transverse Mercator</v>
      </c>
      <c r="I3825" t="str">
        <v>NAD83(2011) / InGCS Fountain-Warren (ftUS)</v>
      </c>
      <c r="J3825" t="str">
        <v>United States (USA) - Indiana - counties of Fountain and Warren.</v>
      </c>
      <c r="K3825" s="11">
        <v>0</v>
      </c>
    </row>
    <row r="3826" spans="5:11" x14ac:dyDescent="0.35">
      <c r="E3826" s="9" t="str">
        <v>EPSG</v>
      </c>
      <c r="F3826" s="7" t="str">
        <v>7299</v>
      </c>
      <c r="G3826" t="str">
        <v>ProjectedCrs</v>
      </c>
      <c r="H3826" t="str">
        <v>Transverse Mercator</v>
      </c>
      <c r="I3826" t="str">
        <v>NAD83(2011) / InGCS Fulton-Marshall-St. Joseph (m)</v>
      </c>
      <c r="J3826" t="str">
        <v>United States (USA) - Indiana - counties of Fulton, Marshall and St Joseph.</v>
      </c>
      <c r="K3826" s="11">
        <v>0</v>
      </c>
    </row>
    <row r="3827" spans="5:11" x14ac:dyDescent="0.35">
      <c r="E3827" s="9" t="str">
        <v>EPSG</v>
      </c>
      <c r="F3827" s="7" t="str">
        <v>7300</v>
      </c>
      <c r="G3827" t="str">
        <v>ProjectedCrs</v>
      </c>
      <c r="H3827" t="str">
        <v>Transverse Mercator</v>
      </c>
      <c r="I3827" t="str">
        <v>NAD83(2011) / InGCS Fulton-Marshall-St. Joseph (ftUS)</v>
      </c>
      <c r="J3827" t="str">
        <v>United States (USA) - Indiana - counties of Fulton, Marshall and St Joseph.</v>
      </c>
      <c r="K3827" s="11">
        <v>0</v>
      </c>
    </row>
    <row r="3828" spans="5:11" x14ac:dyDescent="0.35">
      <c r="E3828" s="9" t="str">
        <v>EPSG</v>
      </c>
      <c r="F3828" s="7" t="str">
        <v>7301</v>
      </c>
      <c r="G3828" t="str">
        <v>ProjectedCrs</v>
      </c>
      <c r="H3828" t="str">
        <v>Transverse Mercator</v>
      </c>
      <c r="I3828" t="str">
        <v>NAD83(2011) / InGCS Gibson (m)</v>
      </c>
      <c r="J3828" t="str">
        <v>United States (USA) - Indiana - Gibson county.</v>
      </c>
      <c r="K3828" s="11">
        <v>0</v>
      </c>
    </row>
    <row r="3829" spans="5:11" x14ac:dyDescent="0.35">
      <c r="E3829" s="9" t="str">
        <v>EPSG</v>
      </c>
      <c r="F3829" s="7" t="str">
        <v>7302</v>
      </c>
      <c r="G3829" t="str">
        <v>ProjectedCrs</v>
      </c>
      <c r="H3829" t="str">
        <v>Transverse Mercator</v>
      </c>
      <c r="I3829" t="str">
        <v>NAD83(2011) / InGCS Gibson (ftUS)</v>
      </c>
      <c r="J3829" t="str">
        <v>United States (USA) - Indiana - Gibson county.</v>
      </c>
      <c r="K3829" s="11">
        <v>0</v>
      </c>
    </row>
    <row r="3830" spans="5:11" x14ac:dyDescent="0.35">
      <c r="E3830" s="9" t="str">
        <v>EPSG</v>
      </c>
      <c r="F3830" s="7" t="str">
        <v>7303</v>
      </c>
      <c r="G3830" t="str">
        <v>ProjectedCrs</v>
      </c>
      <c r="H3830" t="str">
        <v>Transverse Mercator</v>
      </c>
      <c r="I3830" t="str">
        <v>NAD83(2011) / InGCS Grant (m)</v>
      </c>
      <c r="J3830" t="str">
        <v>United States (USA) - Indiana - Grant county.</v>
      </c>
      <c r="K3830" s="11">
        <v>0</v>
      </c>
    </row>
    <row r="3831" spans="5:11" x14ac:dyDescent="0.35">
      <c r="E3831" s="9" t="str">
        <v>EPSG</v>
      </c>
      <c r="F3831" s="7" t="str">
        <v>7304</v>
      </c>
      <c r="G3831" t="str">
        <v>ProjectedCrs</v>
      </c>
      <c r="H3831" t="str">
        <v>Transverse Mercator</v>
      </c>
      <c r="I3831" t="str">
        <v>NAD83(2011) / InGCS Grant (ftUS)</v>
      </c>
      <c r="J3831" t="str">
        <v>United States (USA) - Indiana - Grant county.</v>
      </c>
      <c r="K3831" s="11">
        <v>0</v>
      </c>
    </row>
    <row r="3832" spans="5:11" x14ac:dyDescent="0.35">
      <c r="E3832" s="9" t="str">
        <v>EPSG</v>
      </c>
      <c r="F3832" s="7" t="str">
        <v>7305</v>
      </c>
      <c r="G3832" t="str">
        <v>ProjectedCrs</v>
      </c>
      <c r="H3832" t="str">
        <v>Transverse Mercator</v>
      </c>
      <c r="I3832" t="str">
        <v>NAD83(2011) / InGCS Hamilton-Tipton (m)</v>
      </c>
      <c r="J3832" t="str">
        <v>United States (USA) - Indiana - counties of Hamilton and Tipton.</v>
      </c>
      <c r="K3832" s="11">
        <v>0</v>
      </c>
    </row>
    <row r="3833" spans="5:11" x14ac:dyDescent="0.35">
      <c r="E3833" s="9" t="str">
        <v>EPSG</v>
      </c>
      <c r="F3833" s="7" t="str">
        <v>7306</v>
      </c>
      <c r="G3833" t="str">
        <v>ProjectedCrs</v>
      </c>
      <c r="H3833" t="str">
        <v>Transverse Mercator</v>
      </c>
      <c r="I3833" t="str">
        <v>NAD83(2011) / InGCS Hamilton-Tipton (ftUS)</v>
      </c>
      <c r="J3833" t="str">
        <v>United States (USA) - Indiana - counties of Hamilton and Tipton.</v>
      </c>
      <c r="K3833" s="11">
        <v>0</v>
      </c>
    </row>
    <row r="3834" spans="5:11" x14ac:dyDescent="0.35">
      <c r="E3834" s="9" t="str">
        <v>EPSG</v>
      </c>
      <c r="F3834" s="7" t="str">
        <v>7307</v>
      </c>
      <c r="G3834" t="str">
        <v>ProjectedCrs</v>
      </c>
      <c r="H3834" t="str">
        <v>Transverse Mercator</v>
      </c>
      <c r="I3834" t="str">
        <v>NAD83(2011) / InGCS Hancock-Madison (m)</v>
      </c>
      <c r="J3834" t="str">
        <v>United States (USA) - Indiana - counties of Hancock and Madison.</v>
      </c>
      <c r="K3834" s="11">
        <v>0</v>
      </c>
    </row>
    <row r="3835" spans="5:11" x14ac:dyDescent="0.35">
      <c r="E3835" s="9" t="str">
        <v>EPSG</v>
      </c>
      <c r="F3835" s="7" t="str">
        <v>7308</v>
      </c>
      <c r="G3835" t="str">
        <v>ProjectedCrs</v>
      </c>
      <c r="H3835" t="str">
        <v>Transverse Mercator</v>
      </c>
      <c r="I3835" t="str">
        <v>NAD83(2011) / InGCS Hancock-Madison (ftUS)</v>
      </c>
      <c r="J3835" t="str">
        <v>United States (USA) - Indiana - counties of Hancock and Madison.</v>
      </c>
      <c r="K3835" s="11">
        <v>0</v>
      </c>
    </row>
    <row r="3836" spans="5:11" x14ac:dyDescent="0.35">
      <c r="E3836" s="9" t="str">
        <v>EPSG</v>
      </c>
      <c r="F3836" s="7" t="str">
        <v>7309</v>
      </c>
      <c r="G3836" t="str">
        <v>ProjectedCrs</v>
      </c>
      <c r="H3836" t="str">
        <v>Transverse Mercator</v>
      </c>
      <c r="I3836" t="str">
        <v>NAD83(2011) / InGCS Harrison-Washington (m)</v>
      </c>
      <c r="J3836" t="str">
        <v>United States (USA) - Indiana - counties of Harrison and Washington.</v>
      </c>
      <c r="K3836" s="11">
        <v>0</v>
      </c>
    </row>
    <row r="3837" spans="5:11" x14ac:dyDescent="0.35">
      <c r="E3837" s="9" t="str">
        <v>EPSG</v>
      </c>
      <c r="F3837" s="7" t="str">
        <v>7310</v>
      </c>
      <c r="G3837" t="str">
        <v>ProjectedCrs</v>
      </c>
      <c r="H3837" t="str">
        <v>Transverse Mercator</v>
      </c>
      <c r="I3837" t="str">
        <v>NAD83(2011) / InGCS Harrison-Washington (ftUS)</v>
      </c>
      <c r="J3837" t="str">
        <v>United States (USA) - Indiana - counties of Harrison and Washington.</v>
      </c>
      <c r="K3837" s="11">
        <v>0</v>
      </c>
    </row>
    <row r="3838" spans="5:11" x14ac:dyDescent="0.35">
      <c r="E3838" s="9" t="str">
        <v>EPSG</v>
      </c>
      <c r="F3838" s="7" t="str">
        <v>7311</v>
      </c>
      <c r="G3838" t="str">
        <v>ProjectedCrs</v>
      </c>
      <c r="H3838" t="str">
        <v>Transverse Mercator</v>
      </c>
      <c r="I3838" t="str">
        <v>NAD83(2011) / InGCS Henry (m)</v>
      </c>
      <c r="J3838" t="str">
        <v>United States (USA) - Indiana - Henry county.</v>
      </c>
      <c r="K3838" s="11">
        <v>0</v>
      </c>
    </row>
    <row r="3839" spans="5:11" x14ac:dyDescent="0.35">
      <c r="E3839" s="9" t="str">
        <v>EPSG</v>
      </c>
      <c r="F3839" s="7" t="str">
        <v>7312</v>
      </c>
      <c r="G3839" t="str">
        <v>ProjectedCrs</v>
      </c>
      <c r="H3839" t="str">
        <v>Transverse Mercator</v>
      </c>
      <c r="I3839" t="str">
        <v>NAD83(2011) / InGCS Henry (ftUS)</v>
      </c>
      <c r="J3839" t="str">
        <v>United States (USA) - Indiana - Henry county.</v>
      </c>
      <c r="K3839" s="11">
        <v>0</v>
      </c>
    </row>
    <row r="3840" spans="5:11" x14ac:dyDescent="0.35">
      <c r="E3840" s="9" t="str">
        <v>EPSG</v>
      </c>
      <c r="F3840" s="7" t="str">
        <v>7313</v>
      </c>
      <c r="G3840" t="str">
        <v>ProjectedCrs</v>
      </c>
      <c r="H3840" t="str">
        <v>Transverse Mercator</v>
      </c>
      <c r="I3840" t="str">
        <v>NAD83(2011) / InGCS Howard-Miami (m)</v>
      </c>
      <c r="J3840" t="str">
        <v>United States (USA) - Indiana - counties of Howard and Miami.</v>
      </c>
      <c r="K3840" s="11">
        <v>0</v>
      </c>
    </row>
    <row r="3841" spans="5:11" x14ac:dyDescent="0.35">
      <c r="E3841" s="9" t="str">
        <v>EPSG</v>
      </c>
      <c r="F3841" s="7" t="str">
        <v>7314</v>
      </c>
      <c r="G3841" t="str">
        <v>ProjectedCrs</v>
      </c>
      <c r="H3841" t="str">
        <v>Transverse Mercator</v>
      </c>
      <c r="I3841" t="str">
        <v>NAD83(2011) / InGCS Howard-Miami (ftUS)</v>
      </c>
      <c r="J3841" t="str">
        <v>United States (USA) - Indiana - counties of Howard and Miami.</v>
      </c>
      <c r="K3841" s="11">
        <v>0</v>
      </c>
    </row>
    <row r="3842" spans="5:11" x14ac:dyDescent="0.35">
      <c r="E3842" s="9" t="str">
        <v>EPSG</v>
      </c>
      <c r="F3842" s="7" t="str">
        <v>7315</v>
      </c>
      <c r="G3842" t="str">
        <v>ProjectedCrs</v>
      </c>
      <c r="H3842" t="str">
        <v>Transverse Mercator</v>
      </c>
      <c r="I3842" t="str">
        <v>NAD83(2011) / InGCS Huntington-Whitley (m)</v>
      </c>
      <c r="J3842" t="str">
        <v>United States (USA) - Indiana - counties of Huntington and Whitley.</v>
      </c>
      <c r="K3842" s="11">
        <v>0</v>
      </c>
    </row>
    <row r="3843" spans="5:11" x14ac:dyDescent="0.35">
      <c r="E3843" s="9" t="str">
        <v>EPSG</v>
      </c>
      <c r="F3843" s="7" t="str">
        <v>7316</v>
      </c>
      <c r="G3843" t="str">
        <v>ProjectedCrs</v>
      </c>
      <c r="H3843" t="str">
        <v>Transverse Mercator</v>
      </c>
      <c r="I3843" t="str">
        <v>NAD83(2011) / InGCS Huntington-Whitley (ftUS)</v>
      </c>
      <c r="J3843" t="str">
        <v>United States (USA) - Indiana - counties of Huntington and Whitley.</v>
      </c>
      <c r="K3843" s="11">
        <v>0</v>
      </c>
    </row>
    <row r="3844" spans="5:11" x14ac:dyDescent="0.35">
      <c r="E3844" s="9" t="str">
        <v>EPSG</v>
      </c>
      <c r="F3844" s="7" t="str">
        <v>7317</v>
      </c>
      <c r="G3844" t="str">
        <v>ProjectedCrs</v>
      </c>
      <c r="H3844" t="str">
        <v>Transverse Mercator</v>
      </c>
      <c r="I3844" t="str">
        <v>NAD83(2011) / InGCS Jackson (m)</v>
      </c>
      <c r="J3844" t="str">
        <v>United States (USA) - Indiana - Jackson county.</v>
      </c>
      <c r="K3844" s="11">
        <v>0</v>
      </c>
    </row>
    <row r="3845" spans="5:11" x14ac:dyDescent="0.35">
      <c r="E3845" s="9" t="str">
        <v>EPSG</v>
      </c>
      <c r="F3845" s="7" t="str">
        <v>7318</v>
      </c>
      <c r="G3845" t="str">
        <v>ProjectedCrs</v>
      </c>
      <c r="H3845" t="str">
        <v>Transverse Mercator</v>
      </c>
      <c r="I3845" t="str">
        <v>NAD83(2011) / InGCS Jackson (ftUS)</v>
      </c>
      <c r="J3845" t="str">
        <v>United States (USA) - Indiana - Jackson county.</v>
      </c>
      <c r="K3845" s="11">
        <v>0</v>
      </c>
    </row>
    <row r="3846" spans="5:11" x14ac:dyDescent="0.35">
      <c r="E3846" s="9" t="str">
        <v>EPSG</v>
      </c>
      <c r="F3846" s="7" t="str">
        <v>7319</v>
      </c>
      <c r="G3846" t="str">
        <v>ProjectedCrs</v>
      </c>
      <c r="H3846" t="str">
        <v>Transverse Mercator</v>
      </c>
      <c r="I3846" t="str">
        <v>NAD83(2011) / InGCS Jasper-Porter (m)</v>
      </c>
      <c r="J3846" t="str">
        <v>United States (USA) - Indiana - counties of Jasper and Porter.</v>
      </c>
      <c r="K3846" s="11">
        <v>0</v>
      </c>
    </row>
    <row r="3847" spans="5:11" x14ac:dyDescent="0.35">
      <c r="E3847" s="9" t="str">
        <v>EPSG</v>
      </c>
      <c r="F3847" s="7" t="str">
        <v>7320</v>
      </c>
      <c r="G3847" t="str">
        <v>ProjectedCrs</v>
      </c>
      <c r="H3847" t="str">
        <v>Transverse Mercator</v>
      </c>
      <c r="I3847" t="str">
        <v>NAD83(2011) / InGCS Jasper-Porter (ftUS)</v>
      </c>
      <c r="J3847" t="str">
        <v>United States (USA) - Indiana - counties of Jasper and Porter.</v>
      </c>
      <c r="K3847" s="11">
        <v>0</v>
      </c>
    </row>
    <row r="3848" spans="5:11" x14ac:dyDescent="0.35">
      <c r="E3848" s="9" t="str">
        <v>EPSG</v>
      </c>
      <c r="F3848" s="7" t="str">
        <v>7321</v>
      </c>
      <c r="G3848" t="str">
        <v>ProjectedCrs</v>
      </c>
      <c r="H3848" t="str">
        <v>Transverse Mercator</v>
      </c>
      <c r="I3848" t="str">
        <v>NAD83(2011) / InGCS Jay (m)</v>
      </c>
      <c r="J3848" t="str">
        <v>United States (USA) - Indiana - Jay county.</v>
      </c>
      <c r="K3848" s="11">
        <v>0</v>
      </c>
    </row>
    <row r="3849" spans="5:11" x14ac:dyDescent="0.35">
      <c r="E3849" s="9" t="str">
        <v>EPSG</v>
      </c>
      <c r="F3849" s="7" t="str">
        <v>7322</v>
      </c>
      <c r="G3849" t="str">
        <v>ProjectedCrs</v>
      </c>
      <c r="H3849" t="str">
        <v>Transverse Mercator</v>
      </c>
      <c r="I3849" t="str">
        <v>NAD83(2011) / InGCS Jay (ftUS)</v>
      </c>
      <c r="J3849" t="str">
        <v>United States (USA) - Indiana - Jay county.</v>
      </c>
      <c r="K3849" s="11">
        <v>0</v>
      </c>
    </row>
    <row r="3850" spans="5:11" x14ac:dyDescent="0.35">
      <c r="E3850" s="9" t="str">
        <v>EPSG</v>
      </c>
      <c r="F3850" s="7" t="str">
        <v>7323</v>
      </c>
      <c r="G3850" t="str">
        <v>ProjectedCrs</v>
      </c>
      <c r="H3850" t="str">
        <v>Transverse Mercator</v>
      </c>
      <c r="I3850" t="str">
        <v>NAD83(2011) / InGCS Jefferson (m)</v>
      </c>
      <c r="J3850" t="str">
        <v>United States (USA) - Indiana - Jefferson county.</v>
      </c>
      <c r="K3850" s="11">
        <v>0</v>
      </c>
    </row>
    <row r="3851" spans="5:11" x14ac:dyDescent="0.35">
      <c r="E3851" s="9" t="str">
        <v>EPSG</v>
      </c>
      <c r="F3851" s="7" t="str">
        <v>7324</v>
      </c>
      <c r="G3851" t="str">
        <v>ProjectedCrs</v>
      </c>
      <c r="H3851" t="str">
        <v>Transverse Mercator</v>
      </c>
      <c r="I3851" t="str">
        <v>NAD83(2011) / InGCS Jefferson (ftUS)</v>
      </c>
      <c r="J3851" t="str">
        <v>United States (USA) - Indiana - Jefferson county.</v>
      </c>
      <c r="K3851" s="11">
        <v>0</v>
      </c>
    </row>
    <row r="3852" spans="5:11" x14ac:dyDescent="0.35">
      <c r="E3852" s="9" t="str">
        <v>EPSG</v>
      </c>
      <c r="F3852" s="7" t="str">
        <v>7325</v>
      </c>
      <c r="G3852" t="str">
        <v>ProjectedCrs</v>
      </c>
      <c r="H3852" t="str">
        <v>Transverse Mercator</v>
      </c>
      <c r="I3852" t="str">
        <v>NAD83(2011) / InGCS Jennings (m)</v>
      </c>
      <c r="J3852" t="str">
        <v>United States (USA) - Indiana - Jennings county.</v>
      </c>
      <c r="K3852" s="11">
        <v>0</v>
      </c>
    </row>
    <row r="3853" spans="5:11" x14ac:dyDescent="0.35">
      <c r="E3853" s="9" t="str">
        <v>EPSG</v>
      </c>
      <c r="F3853" s="7" t="str">
        <v>7326</v>
      </c>
      <c r="G3853" t="str">
        <v>ProjectedCrs</v>
      </c>
      <c r="H3853" t="str">
        <v>Transverse Mercator</v>
      </c>
      <c r="I3853" t="str">
        <v>NAD83(2011) / InGCS Jennings (ftUS)</v>
      </c>
      <c r="J3853" t="str">
        <v>United States (USA) - Indiana - Jennings county.</v>
      </c>
      <c r="K3853" s="11">
        <v>0</v>
      </c>
    </row>
    <row r="3854" spans="5:11" x14ac:dyDescent="0.35">
      <c r="E3854" s="9" t="str">
        <v>EPSG</v>
      </c>
      <c r="F3854" s="7" t="str">
        <v>7327</v>
      </c>
      <c r="G3854" t="str">
        <v>ProjectedCrs</v>
      </c>
      <c r="H3854" t="str">
        <v>Transverse Mercator</v>
      </c>
      <c r="I3854" t="str">
        <v>NAD83(2011) / InGCS Johnson-Marion (m)</v>
      </c>
      <c r="J3854" t="str">
        <v>United States (USA) - Indiana - counties of Johnson and Marion.</v>
      </c>
      <c r="K3854" s="11">
        <v>0</v>
      </c>
    </row>
    <row r="3855" spans="5:11" x14ac:dyDescent="0.35">
      <c r="E3855" s="9" t="str">
        <v>EPSG</v>
      </c>
      <c r="F3855" s="7" t="str">
        <v>7328</v>
      </c>
      <c r="G3855" t="str">
        <v>ProjectedCrs</v>
      </c>
      <c r="H3855" t="str">
        <v>Transverse Mercator</v>
      </c>
      <c r="I3855" t="str">
        <v>NAD83(2011) / InGCS Johnson-Marion (ftUS)</v>
      </c>
      <c r="J3855" t="str">
        <v>United States (USA) - Indiana - counties of Johnson and Marion.</v>
      </c>
      <c r="K3855" s="11">
        <v>0</v>
      </c>
    </row>
    <row r="3856" spans="5:11" x14ac:dyDescent="0.35">
      <c r="E3856" s="9" t="str">
        <v>EPSG</v>
      </c>
      <c r="F3856" s="7" t="str">
        <v>7329</v>
      </c>
      <c r="G3856" t="str">
        <v>ProjectedCrs</v>
      </c>
      <c r="H3856" t="str">
        <v>Transverse Mercator</v>
      </c>
      <c r="I3856" t="str">
        <v>NAD83(2011) / InGCS Knox (m)</v>
      </c>
      <c r="J3856" t="str">
        <v>United States (USA) - Indiana - Knox county.</v>
      </c>
      <c r="K3856" s="11">
        <v>0</v>
      </c>
    </row>
    <row r="3857" spans="5:11" x14ac:dyDescent="0.35">
      <c r="E3857" s="9" t="str">
        <v>EPSG</v>
      </c>
      <c r="F3857" s="7" t="str">
        <v>7330</v>
      </c>
      <c r="G3857" t="str">
        <v>ProjectedCrs</v>
      </c>
      <c r="H3857" t="str">
        <v>Transverse Mercator</v>
      </c>
      <c r="I3857" t="str">
        <v>NAD83(2011) / InGCS Knox (ftUS)</v>
      </c>
      <c r="J3857" t="str">
        <v>United States (USA) - Indiana - Knox county.</v>
      </c>
      <c r="K3857" s="11">
        <v>0</v>
      </c>
    </row>
    <row r="3858" spans="5:11" x14ac:dyDescent="0.35">
      <c r="E3858" s="9" t="str">
        <v>EPSG</v>
      </c>
      <c r="F3858" s="7" t="str">
        <v>7331</v>
      </c>
      <c r="G3858" t="str">
        <v>ProjectedCrs</v>
      </c>
      <c r="H3858" t="str">
        <v>Transverse Mercator</v>
      </c>
      <c r="I3858" t="str">
        <v>NAD83(2011) / InGCS LaGrange-Noble (m)</v>
      </c>
      <c r="J3858" t="str">
        <v>United States (USA) - Indiana - counties of LaGrange and Noble.</v>
      </c>
      <c r="K3858" s="11">
        <v>0</v>
      </c>
    </row>
    <row r="3859" spans="5:11" x14ac:dyDescent="0.35">
      <c r="E3859" s="9" t="str">
        <v>EPSG</v>
      </c>
      <c r="F3859" s="7" t="str">
        <v>7332</v>
      </c>
      <c r="G3859" t="str">
        <v>ProjectedCrs</v>
      </c>
      <c r="H3859" t="str">
        <v>Transverse Mercator</v>
      </c>
      <c r="I3859" t="str">
        <v>NAD83(2011) / InGCS LaGrange-Noble (ftUS)</v>
      </c>
      <c r="J3859" t="str">
        <v>United States (USA) - Indiana - counties of LaGrange and Noble.</v>
      </c>
      <c r="K3859" s="11">
        <v>0</v>
      </c>
    </row>
    <row r="3860" spans="5:11" x14ac:dyDescent="0.35">
      <c r="E3860" s="9" t="str">
        <v>EPSG</v>
      </c>
      <c r="F3860" s="7" t="str">
        <v>7333</v>
      </c>
      <c r="G3860" t="str">
        <v>ProjectedCrs</v>
      </c>
      <c r="H3860" t="str">
        <v>Transverse Mercator</v>
      </c>
      <c r="I3860" t="str">
        <v>NAD83(2011) / InGCS Lake-Newton (m)</v>
      </c>
      <c r="J3860" t="str">
        <v>United States (USA) - Indiana - counties of Lake and Newton.</v>
      </c>
      <c r="K3860" s="11">
        <v>0</v>
      </c>
    </row>
    <row r="3861" spans="5:11" x14ac:dyDescent="0.35">
      <c r="E3861" s="9" t="str">
        <v>EPSG</v>
      </c>
      <c r="F3861" s="7" t="str">
        <v>7334</v>
      </c>
      <c r="G3861" t="str">
        <v>ProjectedCrs</v>
      </c>
      <c r="H3861" t="str">
        <v>Transverse Mercator</v>
      </c>
      <c r="I3861" t="str">
        <v>NAD83(2011) / InGCS Lake-Newton (ftUS)</v>
      </c>
      <c r="J3861" t="str">
        <v>United States (USA) - Indiana - counties of Lake and Newton.</v>
      </c>
      <c r="K3861" s="11">
        <v>0</v>
      </c>
    </row>
    <row r="3862" spans="5:11" x14ac:dyDescent="0.35">
      <c r="E3862" s="9" t="str">
        <v>EPSG</v>
      </c>
      <c r="F3862" s="7" t="str">
        <v>7335</v>
      </c>
      <c r="G3862" t="str">
        <v>ProjectedCrs</v>
      </c>
      <c r="H3862" t="str">
        <v>Transverse Mercator</v>
      </c>
      <c r="I3862" t="str">
        <v>NAD83(2011) / InGCS LaPorte-Pulaski-Starke (m)</v>
      </c>
      <c r="J3862" t="str">
        <v>United States (USA) - Indiana - counties of LaPorte, Pulaski and Starke.</v>
      </c>
      <c r="K3862" s="11">
        <v>0</v>
      </c>
    </row>
    <row r="3863" spans="5:11" x14ac:dyDescent="0.35">
      <c r="E3863" s="9" t="str">
        <v>EPSG</v>
      </c>
      <c r="F3863" s="7" t="str">
        <v>7336</v>
      </c>
      <c r="G3863" t="str">
        <v>ProjectedCrs</v>
      </c>
      <c r="H3863" t="str">
        <v>Transverse Mercator</v>
      </c>
      <c r="I3863" t="str">
        <v>NAD83(2011) / InGCS LaPorte-Pulaski-Starke (ftUS)</v>
      </c>
      <c r="J3863" t="str">
        <v>United States (USA) - Indiana - counties of LaPorte, Pulaski and Starke.</v>
      </c>
      <c r="K3863" s="11">
        <v>0</v>
      </c>
    </row>
    <row r="3864" spans="5:11" x14ac:dyDescent="0.35">
      <c r="E3864" s="9" t="str">
        <v>EPSG</v>
      </c>
      <c r="F3864" s="7" t="str">
        <v>7337</v>
      </c>
      <c r="G3864" t="str">
        <v>ProjectedCrs</v>
      </c>
      <c r="H3864" t="str">
        <v>Transverse Mercator</v>
      </c>
      <c r="I3864" t="str">
        <v>NAD83(2011) / InGCS Monroe-Morgan (m)</v>
      </c>
      <c r="J3864" t="str">
        <v>United States (USA) - Indiana - counties of Monroe and Morgan.</v>
      </c>
      <c r="K3864" s="11">
        <v>0</v>
      </c>
    </row>
    <row r="3865" spans="5:11" x14ac:dyDescent="0.35">
      <c r="E3865" s="9" t="str">
        <v>EPSG</v>
      </c>
      <c r="F3865" s="7" t="str">
        <v>7338</v>
      </c>
      <c r="G3865" t="str">
        <v>ProjectedCrs</v>
      </c>
      <c r="H3865" t="str">
        <v>Transverse Mercator</v>
      </c>
      <c r="I3865" t="str">
        <v>NAD83(2011) / InGCS Monroe-Morgan (ftUS)</v>
      </c>
      <c r="J3865" t="str">
        <v>United States (USA) - Indiana - counties of Monroe and Morgan.</v>
      </c>
      <c r="K3865" s="11">
        <v>0</v>
      </c>
    </row>
    <row r="3866" spans="5:11" x14ac:dyDescent="0.35">
      <c r="E3866" s="9" t="str">
        <v>EPSG</v>
      </c>
      <c r="F3866" s="7" t="str">
        <v>7339</v>
      </c>
      <c r="G3866" t="str">
        <v>ProjectedCrs</v>
      </c>
      <c r="H3866" t="str">
        <v>Transverse Mercator</v>
      </c>
      <c r="I3866" t="str">
        <v>NAD83(2011) / InGCS Montgomery-Putnam (m)</v>
      </c>
      <c r="J3866" t="str">
        <v>United States (USA) - Indiana - counties of Montgomery and Putnam.</v>
      </c>
      <c r="K3866" s="11">
        <v>0</v>
      </c>
    </row>
    <row r="3867" spans="5:11" x14ac:dyDescent="0.35">
      <c r="E3867" s="9" t="str">
        <v>EPSG</v>
      </c>
      <c r="F3867" s="7" t="str">
        <v>7340</v>
      </c>
      <c r="G3867" t="str">
        <v>ProjectedCrs</v>
      </c>
      <c r="H3867" t="str">
        <v>Transverse Mercator</v>
      </c>
      <c r="I3867" t="str">
        <v>NAD83(2011) / InGCS Montgomery-Putnam (ftUS)</v>
      </c>
      <c r="J3867" t="str">
        <v>United States (USA) - Indiana - counties of Montgomery and Putnam.</v>
      </c>
      <c r="K3867" s="11">
        <v>0</v>
      </c>
    </row>
    <row r="3868" spans="5:11" x14ac:dyDescent="0.35">
      <c r="E3868" s="9" t="str">
        <v>EPSG</v>
      </c>
      <c r="F3868" s="7" t="str">
        <v>7341</v>
      </c>
      <c r="G3868" t="str">
        <v>ProjectedCrs</v>
      </c>
      <c r="H3868" t="str">
        <v>Transverse Mercator</v>
      </c>
      <c r="I3868" t="str">
        <v>NAD83(2011) / InGCS Owen (m)</v>
      </c>
      <c r="J3868" t="str">
        <v>United States (USA) - Indiana - Owen county.</v>
      </c>
      <c r="K3868" s="11">
        <v>0</v>
      </c>
    </row>
    <row r="3869" spans="5:11" x14ac:dyDescent="0.35">
      <c r="E3869" s="9" t="str">
        <v>EPSG</v>
      </c>
      <c r="F3869" s="7" t="str">
        <v>7342</v>
      </c>
      <c r="G3869" t="str">
        <v>ProjectedCrs</v>
      </c>
      <c r="H3869" t="str">
        <v>Transverse Mercator</v>
      </c>
      <c r="I3869" t="str">
        <v>NAD83(2011) / InGCS Owen (ftUS)</v>
      </c>
      <c r="J3869" t="str">
        <v>United States (USA) - Indiana - Owen county.</v>
      </c>
      <c r="K3869" s="11">
        <v>0</v>
      </c>
    </row>
    <row r="3870" spans="5:11" x14ac:dyDescent="0.35">
      <c r="E3870" s="9" t="str">
        <v>EPSG</v>
      </c>
      <c r="F3870" s="7" t="str">
        <v>7343</v>
      </c>
      <c r="G3870" t="str">
        <v>ProjectedCrs</v>
      </c>
      <c r="H3870" t="str">
        <v>Transverse Mercator</v>
      </c>
      <c r="I3870" t="str">
        <v>NAD83(2011) / InGCS Parke-Vermillion (m)</v>
      </c>
      <c r="J3870" t="str">
        <v>United States (USA) - Indiana - counties of Parke and Vermillion.</v>
      </c>
      <c r="K3870" s="11">
        <v>0</v>
      </c>
    </row>
    <row r="3871" spans="5:11" x14ac:dyDescent="0.35">
      <c r="E3871" s="9" t="str">
        <v>EPSG</v>
      </c>
      <c r="F3871" s="7" t="str">
        <v>7344</v>
      </c>
      <c r="G3871" t="str">
        <v>ProjectedCrs</v>
      </c>
      <c r="H3871" t="str">
        <v>Transverse Mercator</v>
      </c>
      <c r="I3871" t="str">
        <v>NAD83(2011) / InGCS Parke-Vermillion (ftUS)</v>
      </c>
      <c r="J3871" t="str">
        <v>United States (USA) - Indiana - counties of Parke and Vermillion.</v>
      </c>
      <c r="K3871" s="11">
        <v>0</v>
      </c>
    </row>
    <row r="3872" spans="5:11" x14ac:dyDescent="0.35">
      <c r="E3872" s="9" t="str">
        <v>EPSG</v>
      </c>
      <c r="F3872" s="7" t="str">
        <v>7345</v>
      </c>
      <c r="G3872" t="str">
        <v>ProjectedCrs</v>
      </c>
      <c r="H3872" t="str">
        <v>Transverse Mercator</v>
      </c>
      <c r="I3872" t="str">
        <v>NAD83(2011) / InGCS Perry (m)</v>
      </c>
      <c r="J3872" t="str">
        <v>United States (USA) - Indiana - Perry county.</v>
      </c>
      <c r="K3872" s="11">
        <v>0</v>
      </c>
    </row>
    <row r="3873" spans="5:11" x14ac:dyDescent="0.35">
      <c r="E3873" s="9" t="str">
        <v>EPSG</v>
      </c>
      <c r="F3873" s="7" t="str">
        <v>7346</v>
      </c>
      <c r="G3873" t="str">
        <v>ProjectedCrs</v>
      </c>
      <c r="H3873" t="str">
        <v>Transverse Mercator</v>
      </c>
      <c r="I3873" t="str">
        <v>NAD83(2011) / InGCS Perry (ftUS)</v>
      </c>
      <c r="J3873" t="str">
        <v>United States (USA) - Indiana - Perry county.</v>
      </c>
      <c r="K3873" s="11">
        <v>0</v>
      </c>
    </row>
    <row r="3874" spans="5:11" x14ac:dyDescent="0.35">
      <c r="E3874" s="9" t="str">
        <v>EPSG</v>
      </c>
      <c r="F3874" s="7" t="str">
        <v>7347</v>
      </c>
      <c r="G3874" t="str">
        <v>ProjectedCrs</v>
      </c>
      <c r="H3874" t="str">
        <v>Transverse Mercator</v>
      </c>
      <c r="I3874" t="str">
        <v>NAD83(2011) / InGCS Pike-Warrick (m)</v>
      </c>
      <c r="J3874" t="str">
        <v>United States (USA) - Indiana - counties of Pike and Warrick.</v>
      </c>
      <c r="K3874" s="11">
        <v>0</v>
      </c>
    </row>
    <row r="3875" spans="5:11" x14ac:dyDescent="0.35">
      <c r="E3875" s="9" t="str">
        <v>EPSG</v>
      </c>
      <c r="F3875" s="7" t="str">
        <v>7348</v>
      </c>
      <c r="G3875" t="str">
        <v>ProjectedCrs</v>
      </c>
      <c r="H3875" t="str">
        <v>Transverse Mercator</v>
      </c>
      <c r="I3875" t="str">
        <v>NAD83(2011) / InGCS Pike-Warrick (ftUS)</v>
      </c>
      <c r="J3875" t="str">
        <v>United States (USA) - Indiana - counties of Pike and Warrick.</v>
      </c>
      <c r="K3875" s="11">
        <v>0</v>
      </c>
    </row>
    <row r="3876" spans="5:11" x14ac:dyDescent="0.35">
      <c r="E3876" s="9" t="str">
        <v>EPSG</v>
      </c>
      <c r="F3876" s="7" t="str">
        <v>7349</v>
      </c>
      <c r="G3876" t="str">
        <v>ProjectedCrs</v>
      </c>
      <c r="H3876" t="str">
        <v>Transverse Mercator</v>
      </c>
      <c r="I3876" t="str">
        <v>NAD83(2011) / InGCS Posey (m)</v>
      </c>
      <c r="J3876" t="str">
        <v>United States (USA) - Indiana - Posey county.</v>
      </c>
      <c r="K3876" s="11">
        <v>0</v>
      </c>
    </row>
    <row r="3877" spans="5:11" x14ac:dyDescent="0.35">
      <c r="E3877" s="9" t="str">
        <v>EPSG</v>
      </c>
      <c r="F3877" s="7" t="str">
        <v>7350</v>
      </c>
      <c r="G3877" t="str">
        <v>ProjectedCrs</v>
      </c>
      <c r="H3877" t="str">
        <v>Transverse Mercator</v>
      </c>
      <c r="I3877" t="str">
        <v>NAD83(2011) / InGCS Posey (ftUS)</v>
      </c>
      <c r="J3877" t="str">
        <v>United States (USA) - Indiana - Posey county.</v>
      </c>
      <c r="K3877" s="11">
        <v>0</v>
      </c>
    </row>
    <row r="3878" spans="5:11" x14ac:dyDescent="0.35">
      <c r="E3878" s="9" t="str">
        <v>EPSG</v>
      </c>
      <c r="F3878" s="7" t="str">
        <v>7351</v>
      </c>
      <c r="G3878" t="str">
        <v>ProjectedCrs</v>
      </c>
      <c r="H3878" t="str">
        <v>Transverse Mercator</v>
      </c>
      <c r="I3878" t="str">
        <v>NAD83(2011) / InGCS Randolph-Wayne (m)</v>
      </c>
      <c r="J3878" t="str">
        <v>United States (USA) - Indiana - counties of Randolph and Wayne.</v>
      </c>
      <c r="K3878" s="11">
        <v>0</v>
      </c>
    </row>
    <row r="3879" spans="5:11" x14ac:dyDescent="0.35">
      <c r="E3879" s="9" t="str">
        <v>EPSG</v>
      </c>
      <c r="F3879" s="7" t="str">
        <v>7352</v>
      </c>
      <c r="G3879" t="str">
        <v>ProjectedCrs</v>
      </c>
      <c r="H3879" t="str">
        <v>Transverse Mercator</v>
      </c>
      <c r="I3879" t="str">
        <v>NAD83(2011) / InGCS Randolph-Wayne (ftUS)</v>
      </c>
      <c r="J3879" t="str">
        <v>United States (USA) - Indiana - counties of Randolph and Wayne.</v>
      </c>
      <c r="K3879" s="11">
        <v>0</v>
      </c>
    </row>
    <row r="3880" spans="5:11" x14ac:dyDescent="0.35">
      <c r="E3880" s="9" t="str">
        <v>EPSG</v>
      </c>
      <c r="F3880" s="7" t="str">
        <v>7353</v>
      </c>
      <c r="G3880" t="str">
        <v>ProjectedCrs</v>
      </c>
      <c r="H3880" t="str">
        <v>Transverse Mercator</v>
      </c>
      <c r="I3880" t="str">
        <v>NAD83(2011) / InGCS Ripley (m)</v>
      </c>
      <c r="J3880" t="str">
        <v>United States (USA) - Indiana - Ripley county.</v>
      </c>
      <c r="K3880" s="11">
        <v>0</v>
      </c>
    </row>
    <row r="3881" spans="5:11" x14ac:dyDescent="0.35">
      <c r="E3881" s="9" t="str">
        <v>EPSG</v>
      </c>
      <c r="F3881" s="7" t="str">
        <v>7354</v>
      </c>
      <c r="G3881" t="str">
        <v>ProjectedCrs</v>
      </c>
      <c r="H3881" t="str">
        <v>Transverse Mercator</v>
      </c>
      <c r="I3881" t="str">
        <v>NAD83(2011) / InGCS Ripley (ftUS)</v>
      </c>
      <c r="J3881" t="str">
        <v>United States (USA) - Indiana - Ripley county.</v>
      </c>
      <c r="K3881" s="11">
        <v>0</v>
      </c>
    </row>
    <row r="3882" spans="5:11" x14ac:dyDescent="0.35">
      <c r="E3882" s="9" t="str">
        <v>EPSG</v>
      </c>
      <c r="F3882" s="7" t="str">
        <v>7355</v>
      </c>
      <c r="G3882" t="str">
        <v>ProjectedCrs</v>
      </c>
      <c r="H3882" t="str">
        <v>Transverse Mercator</v>
      </c>
      <c r="I3882" t="str">
        <v>NAD83(2011) / InGCS Shelby (m)</v>
      </c>
      <c r="J3882" t="str">
        <v>United States (USA) - Indiana - Shelby county.</v>
      </c>
      <c r="K3882" s="11">
        <v>0</v>
      </c>
    </row>
    <row r="3883" spans="5:11" x14ac:dyDescent="0.35">
      <c r="E3883" s="9" t="str">
        <v>EPSG</v>
      </c>
      <c r="F3883" s="7" t="str">
        <v>7356</v>
      </c>
      <c r="G3883" t="str">
        <v>ProjectedCrs</v>
      </c>
      <c r="H3883" t="str">
        <v>Transverse Mercator</v>
      </c>
      <c r="I3883" t="str">
        <v>NAD83(2011) / InGCS Shelby (ftUS)</v>
      </c>
      <c r="J3883" t="str">
        <v>United States (USA) - Indiana - Shelby county.</v>
      </c>
      <c r="K3883" s="11">
        <v>0</v>
      </c>
    </row>
    <row r="3884" spans="5:11" x14ac:dyDescent="0.35">
      <c r="E3884" s="9" t="str">
        <v>EPSG</v>
      </c>
      <c r="F3884" s="7" t="str">
        <v>7357</v>
      </c>
      <c r="G3884" t="str">
        <v>ProjectedCrs</v>
      </c>
      <c r="H3884" t="str">
        <v>Transverse Mercator</v>
      </c>
      <c r="I3884" t="str">
        <v>NAD83(2011) / InGCS Spencer (m)</v>
      </c>
      <c r="J3884" t="str">
        <v>United States (USA) - Indiana - Spencer county.</v>
      </c>
      <c r="K3884" s="11">
        <v>0</v>
      </c>
    </row>
    <row r="3885" spans="5:11" x14ac:dyDescent="0.35">
      <c r="E3885" s="9" t="str">
        <v>EPSG</v>
      </c>
      <c r="F3885" s="7" t="str">
        <v>7358</v>
      </c>
      <c r="G3885" t="str">
        <v>ProjectedCrs</v>
      </c>
      <c r="H3885" t="str">
        <v>Transverse Mercator</v>
      </c>
      <c r="I3885" t="str">
        <v>NAD83(2011) / InGCS Spencer (ftUS)</v>
      </c>
      <c r="J3885" t="str">
        <v>United States (USA) - Indiana - Spencer county.</v>
      </c>
      <c r="K3885" s="11">
        <v>0</v>
      </c>
    </row>
    <row r="3886" spans="5:11" x14ac:dyDescent="0.35">
      <c r="E3886" s="9" t="str">
        <v>EPSG</v>
      </c>
      <c r="F3886" s="7" t="str">
        <v>7359</v>
      </c>
      <c r="G3886" t="str">
        <v>ProjectedCrs</v>
      </c>
      <c r="H3886" t="str">
        <v>Transverse Mercator</v>
      </c>
      <c r="I3886" t="str">
        <v>NAD83(2011) / InGCS Steuben (m)</v>
      </c>
      <c r="J3886" t="str">
        <v>United States (USA) - Indiana - Steuben county.</v>
      </c>
      <c r="K3886" s="11">
        <v>0</v>
      </c>
    </row>
    <row r="3887" spans="5:11" x14ac:dyDescent="0.35">
      <c r="E3887" s="9" t="str">
        <v>EPSG</v>
      </c>
      <c r="F3887" s="7" t="str">
        <v>7360</v>
      </c>
      <c r="G3887" t="str">
        <v>ProjectedCrs</v>
      </c>
      <c r="H3887" t="str">
        <v>Transverse Mercator</v>
      </c>
      <c r="I3887" t="str">
        <v>NAD83(2011) / InGCS Steuben (ftUS)</v>
      </c>
      <c r="J3887" t="str">
        <v>United States (USA) - Indiana - Steuben county.</v>
      </c>
      <c r="K3887" s="11">
        <v>0</v>
      </c>
    </row>
    <row r="3888" spans="5:11" x14ac:dyDescent="0.35">
      <c r="E3888" s="9" t="str">
        <v>EPSG</v>
      </c>
      <c r="F3888" s="7" t="str">
        <v>7361</v>
      </c>
      <c r="G3888" t="str">
        <v>ProjectedCrs</v>
      </c>
      <c r="H3888" t="str">
        <v>Transverse Mercator</v>
      </c>
      <c r="I3888" t="str">
        <v>NAD83(2011) / InGCS Sullivan (m)</v>
      </c>
      <c r="J3888" t="str">
        <v>United States (USA) - Indiana - Sullivan county.</v>
      </c>
      <c r="K3888" s="11">
        <v>0</v>
      </c>
    </row>
    <row r="3889" spans="5:11" x14ac:dyDescent="0.35">
      <c r="E3889" s="9" t="str">
        <v>EPSG</v>
      </c>
      <c r="F3889" s="7" t="str">
        <v>7362</v>
      </c>
      <c r="G3889" t="str">
        <v>ProjectedCrs</v>
      </c>
      <c r="H3889" t="str">
        <v>Transverse Mercator</v>
      </c>
      <c r="I3889" t="str">
        <v>NAD83(2011) / InGCS Sullivan (ftUS)</v>
      </c>
      <c r="J3889" t="str">
        <v>United States (USA) - Indiana - Sullivan county.</v>
      </c>
      <c r="K3889" s="11">
        <v>0</v>
      </c>
    </row>
    <row r="3890" spans="5:11" x14ac:dyDescent="0.35">
      <c r="E3890" s="9" t="str">
        <v>EPSG</v>
      </c>
      <c r="F3890" s="7" t="str">
        <v>7363</v>
      </c>
      <c r="G3890" t="str">
        <v>ProjectedCrs</v>
      </c>
      <c r="H3890" t="str">
        <v>Transverse Mercator</v>
      </c>
      <c r="I3890" t="str">
        <v>NAD83(2011) / InGCS Tippecanoe-White (m)</v>
      </c>
      <c r="J3890" t="str">
        <v>United States (USA) - Indiana - counties of Tippecanoe and White.</v>
      </c>
      <c r="K3890" s="11">
        <v>0</v>
      </c>
    </row>
    <row r="3891" spans="5:11" x14ac:dyDescent="0.35">
      <c r="E3891" s="9" t="str">
        <v>EPSG</v>
      </c>
      <c r="F3891" s="7" t="str">
        <v>7364</v>
      </c>
      <c r="G3891" t="str">
        <v>ProjectedCrs</v>
      </c>
      <c r="H3891" t="str">
        <v>Transverse Mercator</v>
      </c>
      <c r="I3891" t="str">
        <v>NAD83(2011) / InGCS Tippecanoe-White (ftUS)</v>
      </c>
      <c r="J3891" t="str">
        <v>United States (USA) - Indiana - counties of Tippecanoe and White.</v>
      </c>
      <c r="K3891" s="11">
        <v>0</v>
      </c>
    </row>
    <row r="3892" spans="5:11" x14ac:dyDescent="0.35">
      <c r="E3892" s="9" t="str">
        <v>EPSG</v>
      </c>
      <c r="F3892" s="7" t="str">
        <v>7365</v>
      </c>
      <c r="G3892" t="str">
        <v>ProjectedCrs</v>
      </c>
      <c r="H3892" t="str">
        <v>Transverse Mercator</v>
      </c>
      <c r="I3892" t="str">
        <v>NAD83(2011) / InGCS Vanderburgh (m)</v>
      </c>
      <c r="J3892" t="str">
        <v>United States (USA) - Indiana - Vanderburgh county.</v>
      </c>
      <c r="K3892" s="11">
        <v>0</v>
      </c>
    </row>
    <row r="3893" spans="5:11" x14ac:dyDescent="0.35">
      <c r="E3893" s="9" t="str">
        <v>EPSG</v>
      </c>
      <c r="F3893" s="7" t="str">
        <v>7366</v>
      </c>
      <c r="G3893" t="str">
        <v>ProjectedCrs</v>
      </c>
      <c r="H3893" t="str">
        <v>Transverse Mercator</v>
      </c>
      <c r="I3893" t="str">
        <v>NAD83(2011) / InGCS Vanderburgh (ftUS)</v>
      </c>
      <c r="J3893" t="str">
        <v>United States (USA) - Indiana - Vanderburgh county.</v>
      </c>
      <c r="K3893" s="11">
        <v>0</v>
      </c>
    </row>
    <row r="3894" spans="5:11" x14ac:dyDescent="0.35">
      <c r="E3894" s="9" t="str">
        <v>EPSG</v>
      </c>
      <c r="F3894" s="7" t="str">
        <v>7367</v>
      </c>
      <c r="G3894" t="str">
        <v>ProjectedCrs</v>
      </c>
      <c r="H3894" t="str">
        <v>Transverse Mercator</v>
      </c>
      <c r="I3894" t="str">
        <v>NAD83(2011) / InGCS Vigo (m)</v>
      </c>
      <c r="J3894" t="str">
        <v>United States (USA) - Indiana - Vigo county.</v>
      </c>
      <c r="K3894" s="11">
        <v>0</v>
      </c>
    </row>
    <row r="3895" spans="5:11" x14ac:dyDescent="0.35">
      <c r="E3895" s="9" t="str">
        <v>EPSG</v>
      </c>
      <c r="F3895" s="7" t="str">
        <v>7368</v>
      </c>
      <c r="G3895" t="str">
        <v>ProjectedCrs</v>
      </c>
      <c r="H3895" t="str">
        <v>Transverse Mercator</v>
      </c>
      <c r="I3895" t="str">
        <v>NAD83(2011) / InGCS Vigo (ftUS)</v>
      </c>
      <c r="J3895" t="str">
        <v>United States (USA) - Indiana - Vigo county.</v>
      </c>
      <c r="K3895" s="11">
        <v>0</v>
      </c>
    </row>
    <row r="3896" spans="5:11" x14ac:dyDescent="0.35">
      <c r="E3896" s="9" t="str">
        <v>EPSG</v>
      </c>
      <c r="F3896" s="7" t="str">
        <v>7369</v>
      </c>
      <c r="G3896" t="str">
        <v>ProjectedCrs</v>
      </c>
      <c r="H3896" t="str">
        <v>Transverse Mercator</v>
      </c>
      <c r="I3896" t="str">
        <v>NAD83(2011) / InGCS Wells (m)</v>
      </c>
      <c r="J3896" t="str">
        <v>United States (USA) - Indiana - Wells county.</v>
      </c>
      <c r="K3896" s="11">
        <v>0</v>
      </c>
    </row>
    <row r="3897" spans="5:11" x14ac:dyDescent="0.35">
      <c r="E3897" s="9" t="str">
        <v>EPSG</v>
      </c>
      <c r="F3897" s="7" t="str">
        <v>7370</v>
      </c>
      <c r="G3897" t="str">
        <v>ProjectedCrs</v>
      </c>
      <c r="H3897" t="str">
        <v>Transverse Mercator</v>
      </c>
      <c r="I3897" t="str">
        <v>NAD83(2011) / InGCS Wells (ftUS)</v>
      </c>
      <c r="J3897" t="str">
        <v>United States (USA) - Indiana - Wells county.</v>
      </c>
      <c r="K3897" s="11">
        <v>0</v>
      </c>
    </row>
    <row r="3898" spans="5:11" x14ac:dyDescent="0.35">
      <c r="E3898" s="9" t="str">
        <v>EPSG</v>
      </c>
      <c r="F3898" s="7" t="str">
        <v>7371</v>
      </c>
      <c r="G3898" t="str">
        <v>GeocentricCrs</v>
      </c>
      <c r="H3898" t="str">
        <v>&lt;undefined&gt;</v>
      </c>
      <c r="I3898" t="str">
        <v>ONGD14</v>
      </c>
      <c r="J3898" t="str">
        <v>Oman - onshore and offshore.</v>
      </c>
      <c r="K3898" s="11">
        <v>0</v>
      </c>
    </row>
    <row r="3899" spans="5:11" x14ac:dyDescent="0.35">
      <c r="E3899" s="9" t="str">
        <v>EPSG</v>
      </c>
      <c r="F3899" s="7" t="str">
        <v>7372</v>
      </c>
      <c r="G3899" t="str">
        <v>Geographic3DCrs</v>
      </c>
      <c r="H3899" t="str">
        <v>&lt;undefined&gt;</v>
      </c>
      <c r="I3899" t="str">
        <v>ONGD14</v>
      </c>
      <c r="J3899" t="str">
        <v>Oman - onshore and offshore.</v>
      </c>
      <c r="K3899" s="11">
        <v>0</v>
      </c>
    </row>
    <row r="3900" spans="5:11" x14ac:dyDescent="0.35">
      <c r="E3900" s="9" t="str">
        <v>EPSG</v>
      </c>
      <c r="F3900" s="7" t="str">
        <v>7373</v>
      </c>
      <c r="G3900" t="str">
        <v>Geographic2DCrs</v>
      </c>
      <c r="H3900" t="str">
        <v>&lt;undefined&gt;</v>
      </c>
      <c r="I3900" t="str">
        <v>ONGD14</v>
      </c>
      <c r="J3900" t="str">
        <v>Oman - onshore and offshore.</v>
      </c>
      <c r="K3900" s="11">
        <v>0</v>
      </c>
    </row>
    <row r="3901" spans="5:11" x14ac:dyDescent="0.35">
      <c r="E3901" s="9" t="str">
        <v>EPSG</v>
      </c>
      <c r="F3901" s="7" t="str">
        <v>7374</v>
      </c>
      <c r="G3901" t="str">
        <v>ProjectedCrs</v>
      </c>
      <c r="H3901" t="str">
        <v>Transverse Mercator</v>
      </c>
      <c r="I3901" t="str">
        <v>ONGD14 / UTM zone 39N</v>
      </c>
      <c r="J3901" t="str">
        <v>Oman - onshore and offshore west of 54°E.</v>
      </c>
      <c r="K3901" s="11">
        <v>0</v>
      </c>
    </row>
    <row r="3902" spans="5:11" x14ac:dyDescent="0.35">
      <c r="E3902" s="9" t="str">
        <v>EPSG</v>
      </c>
      <c r="F3902" s="7" t="str">
        <v>7375</v>
      </c>
      <c r="G3902" t="str">
        <v>ProjectedCrs</v>
      </c>
      <c r="H3902" t="str">
        <v>Transverse Mercator</v>
      </c>
      <c r="I3902" t="str">
        <v>ONGD14 / UTM zone 40N</v>
      </c>
      <c r="J3902" t="str">
        <v>Oman - onshore and offshore between 54°E and 60°E.</v>
      </c>
      <c r="K3902" s="11">
        <v>0</v>
      </c>
    </row>
    <row r="3903" spans="5:11" x14ac:dyDescent="0.35">
      <c r="E3903" s="9" t="str">
        <v>EPSG</v>
      </c>
      <c r="F3903" s="7" t="str">
        <v>7376</v>
      </c>
      <c r="G3903" t="str">
        <v>ProjectedCrs</v>
      </c>
      <c r="H3903" t="str">
        <v>Transverse Mercator</v>
      </c>
      <c r="I3903" t="str">
        <v>ONGD14 / UTM zone 41N</v>
      </c>
      <c r="J3903" t="str">
        <v>Oman - offshore east of 60°E.</v>
      </c>
      <c r="K3903" s="11">
        <v>0</v>
      </c>
    </row>
    <row r="3904" spans="5:11" x14ac:dyDescent="0.35">
      <c r="E3904" s="9" t="str">
        <v>EPSG</v>
      </c>
      <c r="F3904" s="7" t="str">
        <v>7400</v>
      </c>
      <c r="G3904" t="str">
        <v>CompoundCrs</v>
      </c>
      <c r="H3904" t="str">
        <v>&lt;undefined&gt;</v>
      </c>
      <c r="I3904" t="str">
        <v>NTF (Paris) + NGF-IGN69 height</v>
      </c>
      <c r="J3904" t="str">
        <v>France - mainland onshore.</v>
      </c>
      <c r="K3904" s="11">
        <v>0</v>
      </c>
    </row>
    <row r="3905" spans="5:11" x14ac:dyDescent="0.35">
      <c r="E3905" s="9" t="str">
        <v>EPSG</v>
      </c>
      <c r="F3905" s="7" t="str">
        <v>7404</v>
      </c>
      <c r="G3905" t="str">
        <v>CompoundCrs</v>
      </c>
      <c r="H3905" t="str">
        <v>&lt;undefined&gt;</v>
      </c>
      <c r="I3905" t="str">
        <v>RT90 + RH70 height</v>
      </c>
      <c r="J3905" t="str">
        <v>Sweden - onshore.</v>
      </c>
      <c r="K3905" s="11">
        <v>0</v>
      </c>
    </row>
    <row r="3906" spans="5:11" x14ac:dyDescent="0.35">
      <c r="E3906" s="9" t="str">
        <v>EPSG</v>
      </c>
      <c r="F3906" s="7" t="str">
        <v>7405</v>
      </c>
      <c r="G3906" t="str">
        <v>CompoundCrs</v>
      </c>
      <c r="H3906" t="str">
        <v>&lt;undefined&gt;</v>
      </c>
      <c r="I3906" t="str">
        <v>OSGB36 / British National Grid + ODN height</v>
      </c>
      <c r="J3906" t="str">
        <v>United Kingdom (UK) - Great Britain onshore - England and Wales - mainland; Scotland - mainland and Inner Hebrides.</v>
      </c>
      <c r="K3906" s="11">
        <v>0</v>
      </c>
    </row>
    <row r="3907" spans="5:11" x14ac:dyDescent="0.35">
      <c r="E3907" s="9" t="str">
        <v>EPSG</v>
      </c>
      <c r="F3907" s="7" t="str">
        <v>7406</v>
      </c>
      <c r="G3907" t="str">
        <v>CompoundCrs</v>
      </c>
      <c r="H3907" t="str">
        <v>&lt;undefined&gt;</v>
      </c>
      <c r="I3907" t="str">
        <v>NAD27 + NGVD29 height (ftUS)</v>
      </c>
      <c r="J3907"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3907" s="11">
        <v>0</v>
      </c>
    </row>
    <row r="3908" spans="5:11" x14ac:dyDescent="0.35">
      <c r="E3908" s="9" t="str">
        <v>EPSG</v>
      </c>
      <c r="F3908" s="7" t="str">
        <v>7407</v>
      </c>
      <c r="G3908" t="str">
        <v>CompoundCrs</v>
      </c>
      <c r="H3908" t="str">
        <v>&lt;undefined&gt;</v>
      </c>
      <c r="I3908" t="str">
        <v>NAD27 / Texas North + NGVD29 height (ftUS)</v>
      </c>
      <c r="J3908" t="str">
        <v>United States (USA) - Texas - counties of: Armstrong; Briscoe; Carson; Castro; Childress; Collingsworth; Dallam; Deaf Smith; Donley; Gray; Hall; Hansford; Hartley; Hemphill; Hutchinson; Lipscomb; Moore; Ochiltree; Oldham; Parmer; Potter; Randall; Roberts; Sherman; Swisher; Wheeler.</v>
      </c>
      <c r="K3908" s="11">
        <v>0</v>
      </c>
    </row>
    <row r="3909" spans="5:11" x14ac:dyDescent="0.35">
      <c r="E3909" s="9" t="str">
        <v>EPSG</v>
      </c>
      <c r="F3909" s="7" t="str">
        <v>7409</v>
      </c>
      <c r="G3909" t="str">
        <v>CompoundCrs</v>
      </c>
      <c r="H3909" t="str">
        <v>&lt;undefined&gt;</v>
      </c>
      <c r="I3909" t="str">
        <v>ETRS89 + EVRF2000 height</v>
      </c>
      <c r="J3909" t="str">
        <v>Europe - onshore - Andorra; Austria; Belgium; Bosnia and Herzegovina; Croatia; Czechia; Denmark; Estonia; Finland; France - mainland; Germany; Gibraltar; Hungary; Italy - mainland and Sicily; Latvia; Liechtenstein; Lithuania; Luxembourg; Netherlands; Norway; Poland; Portugal - mainland; Romania; San Marino; Slovakia; Slovenia; Spain - mainland; Sweden; Switzerland; United Kingdom (UK) - Great Britain mainland; Vatican City State.</v>
      </c>
      <c r="K3909" s="11">
        <v>0</v>
      </c>
    </row>
    <row r="3910" spans="5:11" x14ac:dyDescent="0.35">
      <c r="E3910" s="9" t="str">
        <v>EPSG</v>
      </c>
      <c r="F3910" s="7" t="str">
        <v>7410</v>
      </c>
      <c r="G3910" t="str">
        <v>CompoundCrs</v>
      </c>
      <c r="H3910" t="str">
        <v>&lt;undefined&gt;</v>
      </c>
      <c r="I3910" t="str">
        <v>PSHD93</v>
      </c>
      <c r="J3910" t="str">
        <v>Oman - onshore. Includes Musandam and the Kuria Muria (Al Hallaniyah) islands.</v>
      </c>
      <c r="K3910" s="11">
        <v>0</v>
      </c>
    </row>
    <row r="3911" spans="5:11" x14ac:dyDescent="0.35">
      <c r="E3911" s="9" t="str">
        <v>EPSG</v>
      </c>
      <c r="F3911" s="7" t="str">
        <v>7411</v>
      </c>
      <c r="G3911" t="str">
        <v>CompoundCrs</v>
      </c>
      <c r="H3911" t="str">
        <v>&lt;undefined&gt;</v>
      </c>
      <c r="I3911" t="str">
        <v>NTF (Paris) / Lambert zone II + NGF Lallemand height</v>
      </c>
      <c r="J3911" t="str">
        <v>France - mainland onshore.</v>
      </c>
      <c r="K3911" s="11">
        <v>0</v>
      </c>
    </row>
    <row r="3912" spans="5:11" x14ac:dyDescent="0.35">
      <c r="E3912" s="9" t="str">
        <v>EPSG</v>
      </c>
      <c r="F3912" s="7" t="str">
        <v>7414</v>
      </c>
      <c r="G3912" t="str">
        <v>CompoundCrs</v>
      </c>
      <c r="H3912" t="str">
        <v>&lt;undefined&gt;</v>
      </c>
      <c r="I3912" t="str">
        <v>Tokyo + JSLD69 height</v>
      </c>
      <c r="J3912" t="str">
        <v>Japan - onshore mainland - Honshu, Shikoku, Kyushu.</v>
      </c>
      <c r="K3912" s="11">
        <v>0</v>
      </c>
    </row>
    <row r="3913" spans="5:11" x14ac:dyDescent="0.35">
      <c r="E3913" s="9" t="str">
        <v>EPSG</v>
      </c>
      <c r="F3913" s="7" t="str">
        <v>7415</v>
      </c>
      <c r="G3913" t="str">
        <v>CompoundCrs</v>
      </c>
      <c r="H3913" t="str">
        <v>&lt;undefined&gt;</v>
      </c>
      <c r="I3913" t="str">
        <v>Amersfoort / RD New + NAP height</v>
      </c>
      <c r="J3913" t="str">
        <v>Netherlands - onshore, including Waddenzee, Dutch Wadden Islands and 12-mile offshore coastal zone.</v>
      </c>
      <c r="K3913" s="11">
        <v>0</v>
      </c>
    </row>
    <row r="3914" spans="5:11" x14ac:dyDescent="0.35">
      <c r="E3914" s="9" t="str">
        <v>EPSG</v>
      </c>
      <c r="F3914" s="7" t="str">
        <v>7416</v>
      </c>
      <c r="G3914" t="str">
        <v>CompoundCrs</v>
      </c>
      <c r="H3914" t="str">
        <v>&lt;undefined&gt;</v>
      </c>
      <c r="I3914" t="str">
        <v>ETRS89 / UTM zone 32N + DVR90 height</v>
      </c>
      <c r="J3914" t="str">
        <v>Denmark - onshore west of 12°E - Zealand, Jutland, Fuen and Lolland.</v>
      </c>
      <c r="K3914" s="11">
        <v>0</v>
      </c>
    </row>
    <row r="3915" spans="5:11" x14ac:dyDescent="0.35">
      <c r="E3915" s="9" t="str">
        <v>EPSG</v>
      </c>
      <c r="F3915" s="7" t="str">
        <v>7417</v>
      </c>
      <c r="G3915" t="str">
        <v>CompoundCrs</v>
      </c>
      <c r="H3915" t="str">
        <v>&lt;undefined&gt;</v>
      </c>
      <c r="I3915" t="str">
        <v>ETRS89 / UTM zone 33N + DVR90 height</v>
      </c>
      <c r="J3915" t="str">
        <v>Denmark - onshore east of 12°E - Zealand and Falster, Bornholm.</v>
      </c>
      <c r="K3915" s="11">
        <v>0</v>
      </c>
    </row>
    <row r="3916" spans="5:11" x14ac:dyDescent="0.35">
      <c r="E3916" s="9" t="str">
        <v>EPSG</v>
      </c>
      <c r="F3916" s="7" t="str">
        <v>7418</v>
      </c>
      <c r="G3916" t="str">
        <v>CompoundCrs</v>
      </c>
      <c r="H3916" t="str">
        <v>&lt;undefined&gt;</v>
      </c>
      <c r="I3916" t="str">
        <v>ETRS89 / Kp2000 Jutland + DVR90 height</v>
      </c>
      <c r="J3916" t="str">
        <v>Denmark - Jutland and Funen - onshore.</v>
      </c>
      <c r="K3916" s="11">
        <v>0</v>
      </c>
    </row>
    <row r="3917" spans="5:11" x14ac:dyDescent="0.35">
      <c r="E3917" s="9" t="str">
        <v>EPSG</v>
      </c>
      <c r="F3917" s="7" t="str">
        <v>7419</v>
      </c>
      <c r="G3917" t="str">
        <v>CompoundCrs</v>
      </c>
      <c r="H3917" t="str">
        <v>&lt;undefined&gt;</v>
      </c>
      <c r="I3917" t="str">
        <v>ETRS89 / Kp2000 Zealand + DVR90 height</v>
      </c>
      <c r="J3917" t="str">
        <v>Denmark - Zealand and Lolland (onshore).</v>
      </c>
      <c r="K3917" s="11">
        <v>0</v>
      </c>
    </row>
    <row r="3918" spans="5:11" x14ac:dyDescent="0.35">
      <c r="E3918" s="9" t="str">
        <v>EPSG</v>
      </c>
      <c r="F3918" s="7" t="str">
        <v>7420</v>
      </c>
      <c r="G3918" t="str">
        <v>CompoundCrs</v>
      </c>
      <c r="H3918" t="str">
        <v>&lt;undefined&gt;</v>
      </c>
      <c r="I3918" t="str">
        <v>ETRS89 / Kp2000 Bornholm + DVR90 height</v>
      </c>
      <c r="J3918" t="str">
        <v>Denmark - Bornholm onshore.</v>
      </c>
      <c r="K3918" s="11">
        <v>0</v>
      </c>
    </row>
    <row r="3919" spans="5:11" x14ac:dyDescent="0.35">
      <c r="E3919" s="9" t="str">
        <v>EPSG</v>
      </c>
      <c r="F3919" s="7" t="str">
        <v>7421</v>
      </c>
      <c r="G3919" t="str">
        <v>CompoundCrs</v>
      </c>
      <c r="H3919" t="str">
        <v>&lt;undefined&gt;</v>
      </c>
      <c r="I3919" t="str">
        <v>NTF (Paris) / Lambert zone II + NGF-IGN69 height</v>
      </c>
      <c r="J3919" t="str">
        <v>France - mainland onshore.</v>
      </c>
      <c r="K3919" s="11">
        <v>0</v>
      </c>
    </row>
    <row r="3920" spans="5:11" x14ac:dyDescent="0.35">
      <c r="E3920" s="9" t="str">
        <v>EPSG</v>
      </c>
      <c r="F3920" s="7" t="str">
        <v>7422</v>
      </c>
      <c r="G3920" t="str">
        <v>CompoundCrs</v>
      </c>
      <c r="H3920" t="str">
        <v>&lt;undefined&gt;</v>
      </c>
      <c r="I3920" t="str">
        <v>NTF (Paris) / Lambert zone III + NGF-IGN69 height</v>
      </c>
      <c r="J3920" t="str">
        <v>France - mainland onshore south of 50.5 grads North (45°27'N).</v>
      </c>
      <c r="K3920" s="11">
        <v>0</v>
      </c>
    </row>
    <row r="3921" spans="5:11" x14ac:dyDescent="0.35">
      <c r="E3921" s="9" t="str">
        <v>EPSG</v>
      </c>
      <c r="F3921" s="7" t="str">
        <v>7423</v>
      </c>
      <c r="G3921" t="str">
        <v>CompoundCrs</v>
      </c>
      <c r="H3921" t="str">
        <v>&lt;undefined&gt;</v>
      </c>
      <c r="I3921" t="str">
        <v>ETRS89 + EVRF2007 height</v>
      </c>
      <c r="J3921" t="str">
        <v>Europe - onshore - Andorra; Austria; Belgium; Bosnia and Herzegovina; Bulgaria; Croatia; Czechia; Denmark; Estonia; Finland; France - mainland; Germany; Gibraltar, Hungary; Italy - mainland and Sicily; Latvia; Liechtenstein; Lithuania; Luxembourg; Netherlands; Norway; Poland; Portugal - mainland; Romania; San Marino; Slovakia; Slovenia; Spain - mainland; Sweden; Switzerland; United Kingdom (UK) - Great Britain mainland; Vatican City State.</v>
      </c>
      <c r="K3921" s="11">
        <v>0</v>
      </c>
    </row>
    <row r="3922" spans="5:11" x14ac:dyDescent="0.35">
      <c r="E3922" s="9" t="str">
        <v>EPSG</v>
      </c>
      <c r="F3922" s="7" t="str">
        <v>7446</v>
      </c>
      <c r="G3922" t="str">
        <v>VerticalCrs</v>
      </c>
      <c r="H3922" t="str">
        <v>&lt;undefined&gt;</v>
      </c>
      <c r="I3922" t="str">
        <v>Famagusta 1960 height</v>
      </c>
      <c r="J3922" t="str">
        <v>Cyprus - onshore.</v>
      </c>
      <c r="K3922" s="11">
        <v>0</v>
      </c>
    </row>
    <row r="3923" spans="5:11" x14ac:dyDescent="0.35">
      <c r="E3923" s="9" t="str">
        <v>EPSG</v>
      </c>
      <c r="F3923" s="7" t="str">
        <v>7447</v>
      </c>
      <c r="G3923" t="str">
        <v>VerticalCrs</v>
      </c>
      <c r="H3923" t="str">
        <v>&lt;undefined&gt;</v>
      </c>
      <c r="I3923" t="str">
        <v>PNG08 height</v>
      </c>
      <c r="J3923" t="str">
        <v>Papua New Guinea - between 0°N and 12°S and 140°E and 158°E - onshore and offshore.</v>
      </c>
      <c r="K3923" s="11">
        <v>0</v>
      </c>
    </row>
    <row r="3924" spans="5:11" x14ac:dyDescent="0.35">
      <c r="E3924" s="9" t="str">
        <v>EPSG</v>
      </c>
      <c r="F3924" s="7" t="str">
        <v>7528</v>
      </c>
      <c r="G3924" t="str">
        <v>ProjectedCrs</v>
      </c>
      <c r="H3924" t="str">
        <v>Transverse Mercator</v>
      </c>
      <c r="I3924" t="str">
        <v>NAD83(2011) / WISCRS Adams and Juneau (m)</v>
      </c>
      <c r="J3924" t="str">
        <v>United States (USA) - Wisconsin - counties of Adams and Juneau.</v>
      </c>
      <c r="K3924" s="11">
        <v>0</v>
      </c>
    </row>
    <row r="3925" spans="5:11" x14ac:dyDescent="0.35">
      <c r="E3925" s="9" t="str">
        <v>EPSG</v>
      </c>
      <c r="F3925" s="7" t="str">
        <v>7529</v>
      </c>
      <c r="G3925" t="str">
        <v>ProjectedCrs</v>
      </c>
      <c r="H3925" t="str">
        <v>Transverse Mercator</v>
      </c>
      <c r="I3925" t="str">
        <v>NAD83(2011) / WISCRS Ashland (m)</v>
      </c>
      <c r="J3925" t="str">
        <v>United States (USA) - Wisconsin - Ashland county.</v>
      </c>
      <c r="K3925" s="11">
        <v>0</v>
      </c>
    </row>
    <row r="3926" spans="5:11" x14ac:dyDescent="0.35">
      <c r="E3926" s="9" t="str">
        <v>EPSG</v>
      </c>
      <c r="F3926" s="7" t="str">
        <v>7530</v>
      </c>
      <c r="G3926" t="str">
        <v>ProjectedCrs</v>
      </c>
      <c r="H3926" t="str">
        <v>Transverse Mercator</v>
      </c>
      <c r="I3926" t="str">
        <v>NAD83(2011) / WISCRS Barron (m)</v>
      </c>
      <c r="J3926" t="str">
        <v>United States (USA) - Wisconsin - Barron county.</v>
      </c>
      <c r="K3926" s="11">
        <v>0</v>
      </c>
    </row>
    <row r="3927" spans="5:11" x14ac:dyDescent="0.35">
      <c r="E3927" s="9" t="str">
        <v>EPSG</v>
      </c>
      <c r="F3927" s="7" t="str">
        <v>7531</v>
      </c>
      <c r="G3927" t="str">
        <v>ProjectedCrs</v>
      </c>
      <c r="H3927" t="str">
        <v>Lambert Conic Conformal (1SP)</v>
      </c>
      <c r="I3927" t="str">
        <v>NAD83(2011) / WISCRS Bayfield (m)</v>
      </c>
      <c r="J3927" t="str">
        <v>United States (USA) - Wisconsin - Bayfield county.</v>
      </c>
      <c r="K3927" s="11">
        <v>0</v>
      </c>
    </row>
    <row r="3928" spans="5:11" x14ac:dyDescent="0.35">
      <c r="E3928" s="9" t="str">
        <v>EPSG</v>
      </c>
      <c r="F3928" s="7" t="str">
        <v>7532</v>
      </c>
      <c r="G3928" t="str">
        <v>ProjectedCrs</v>
      </c>
      <c r="H3928" t="str">
        <v>Transverse Mercator</v>
      </c>
      <c r="I3928" t="str">
        <v>NAD83(2011) / WISCRS Brown (m)</v>
      </c>
      <c r="J3928" t="str">
        <v>United States (USA) - Wisconsin - Brown county.</v>
      </c>
      <c r="K3928" s="11">
        <v>0</v>
      </c>
    </row>
    <row r="3929" spans="5:11" x14ac:dyDescent="0.35">
      <c r="E3929" s="9" t="str">
        <v>EPSG</v>
      </c>
      <c r="F3929" s="7" t="str">
        <v>7533</v>
      </c>
      <c r="G3929" t="str">
        <v>ProjectedCrs</v>
      </c>
      <c r="H3929" t="str">
        <v>Transverse Mercator</v>
      </c>
      <c r="I3929" t="str">
        <v>NAD83(2011) / WISCRS Buffalo (m)</v>
      </c>
      <c r="J3929" t="str">
        <v>United States (USA) - Wisconsin - Buffalo county.</v>
      </c>
      <c r="K3929" s="11">
        <v>0</v>
      </c>
    </row>
    <row r="3930" spans="5:11" x14ac:dyDescent="0.35">
      <c r="E3930" s="9" t="str">
        <v>EPSG</v>
      </c>
      <c r="F3930" s="7" t="str">
        <v>7534</v>
      </c>
      <c r="G3930" t="str">
        <v>ProjectedCrs</v>
      </c>
      <c r="H3930" t="str">
        <v>Lambert Conic Conformal (1SP)</v>
      </c>
      <c r="I3930" t="str">
        <v>NAD83(2011) / WISCRS Burnett (m)</v>
      </c>
      <c r="J3930" t="str">
        <v>United States (USA) - Wisconsin - Burnett county.</v>
      </c>
      <c r="K3930" s="11">
        <v>0</v>
      </c>
    </row>
    <row r="3931" spans="5:11" x14ac:dyDescent="0.35">
      <c r="E3931" s="9" t="str">
        <v>EPSG</v>
      </c>
      <c r="F3931" s="7" t="str">
        <v>7535</v>
      </c>
      <c r="G3931" t="str">
        <v>ProjectedCrs</v>
      </c>
      <c r="H3931" t="str">
        <v>Transverse Mercator</v>
      </c>
      <c r="I3931" t="str">
        <v>NAD83(2011) / WISCRS Calumet, Fond du Lac, Outagamie and Winnebago (m)</v>
      </c>
      <c r="J3931" t="str">
        <v>United States (USA) - Wisconsin - counties of Calumet, Fond du Lac, Outagamie and Winnebago.</v>
      </c>
      <c r="K3931" s="11">
        <v>0</v>
      </c>
    </row>
    <row r="3932" spans="5:11" x14ac:dyDescent="0.35">
      <c r="E3932" s="9" t="str">
        <v>EPSG</v>
      </c>
      <c r="F3932" s="7" t="str">
        <v>7536</v>
      </c>
      <c r="G3932" t="str">
        <v>ProjectedCrs</v>
      </c>
      <c r="H3932" t="str">
        <v>Lambert Conic Conformal (1SP)</v>
      </c>
      <c r="I3932" t="str">
        <v>NAD83(2011) / WISCRS Chippewa (m)</v>
      </c>
      <c r="J3932" t="str">
        <v>United States (USA) - Wisconsin - Chippewa county.</v>
      </c>
      <c r="K3932" s="11">
        <v>0</v>
      </c>
    </row>
    <row r="3933" spans="5:11" x14ac:dyDescent="0.35">
      <c r="E3933" s="9" t="str">
        <v>EPSG</v>
      </c>
      <c r="F3933" s="7" t="str">
        <v>7537</v>
      </c>
      <c r="G3933" t="str">
        <v>ProjectedCrs</v>
      </c>
      <c r="H3933" t="str">
        <v>Transverse Mercator</v>
      </c>
      <c r="I3933" t="str">
        <v>NAD83(2011) / WISCRS Clark (m)</v>
      </c>
      <c r="J3933" t="str">
        <v>United States (USA) - Wisconsin - Clark county.</v>
      </c>
      <c r="K3933" s="11">
        <v>0</v>
      </c>
    </row>
    <row r="3934" spans="5:11" x14ac:dyDescent="0.35">
      <c r="E3934" s="9" t="str">
        <v>EPSG</v>
      </c>
      <c r="F3934" s="7" t="str">
        <v>7538</v>
      </c>
      <c r="G3934" t="str">
        <v>ProjectedCrs</v>
      </c>
      <c r="H3934" t="str">
        <v>Lambert Conic Conformal (1SP)</v>
      </c>
      <c r="I3934" t="str">
        <v>NAD83(2011) / WISCRS Columbia (m)</v>
      </c>
      <c r="J3934" t="str">
        <v>United States (USA) - Wisconsin - Columbia county.</v>
      </c>
      <c r="K3934" s="11">
        <v>0</v>
      </c>
    </row>
    <row r="3935" spans="5:11" x14ac:dyDescent="0.35">
      <c r="E3935" s="9" t="str">
        <v>EPSG</v>
      </c>
      <c r="F3935" s="7" t="str">
        <v>7539</v>
      </c>
      <c r="G3935" t="str">
        <v>ProjectedCrs</v>
      </c>
      <c r="H3935" t="str">
        <v>Lambert Conic Conformal (1SP)</v>
      </c>
      <c r="I3935" t="str">
        <v>NAD83(2011) / WISCRS Crawford (m)</v>
      </c>
      <c r="J3935" t="str">
        <v>United States (USA) - Wisconsin - Crawford county.</v>
      </c>
      <c r="K3935" s="11">
        <v>0</v>
      </c>
    </row>
    <row r="3936" spans="5:11" x14ac:dyDescent="0.35">
      <c r="E3936" s="9" t="str">
        <v>EPSG</v>
      </c>
      <c r="F3936" s="7" t="str">
        <v>7540</v>
      </c>
      <c r="G3936" t="str">
        <v>ProjectedCrs</v>
      </c>
      <c r="H3936" t="str">
        <v>Lambert Conic Conformal (1SP)</v>
      </c>
      <c r="I3936" t="str">
        <v>NAD83(2011) / WISCRS Dane (m)</v>
      </c>
      <c r="J3936" t="str">
        <v>United States (USA) - Wisconsin - Dane county.</v>
      </c>
      <c r="K3936" s="11">
        <v>0</v>
      </c>
    </row>
    <row r="3937" spans="5:11" x14ac:dyDescent="0.35">
      <c r="E3937" s="9" t="str">
        <v>EPSG</v>
      </c>
      <c r="F3937" s="7" t="str">
        <v>7541</v>
      </c>
      <c r="G3937" t="str">
        <v>ProjectedCrs</v>
      </c>
      <c r="H3937" t="str">
        <v>Transverse Mercator</v>
      </c>
      <c r="I3937" t="str">
        <v>NAD83(2011) / WISCRS Dodge and Jefferson (m)</v>
      </c>
      <c r="J3937" t="str">
        <v>United States (USA) - Wisconsin - counties of Dodge and Jefferson.</v>
      </c>
      <c r="K3937" s="11">
        <v>0</v>
      </c>
    </row>
    <row r="3938" spans="5:11" x14ac:dyDescent="0.35">
      <c r="E3938" s="9" t="str">
        <v>EPSG</v>
      </c>
      <c r="F3938" s="7" t="str">
        <v>7542</v>
      </c>
      <c r="G3938" t="str">
        <v>ProjectedCrs</v>
      </c>
      <c r="H3938" t="str">
        <v>Transverse Mercator</v>
      </c>
      <c r="I3938" t="str">
        <v>NAD83(2011) / WISCRS Door (m)</v>
      </c>
      <c r="J3938" t="str">
        <v>United States (USA) - Wisconsin - Door county.</v>
      </c>
      <c r="K3938" s="11">
        <v>0</v>
      </c>
    </row>
    <row r="3939" spans="5:11" x14ac:dyDescent="0.35">
      <c r="E3939" s="9" t="str">
        <v>EPSG</v>
      </c>
      <c r="F3939" s="7" t="str">
        <v>7543</v>
      </c>
      <c r="G3939" t="str">
        <v>ProjectedCrs</v>
      </c>
      <c r="H3939" t="str">
        <v>Transverse Mercator</v>
      </c>
      <c r="I3939" t="str">
        <v>NAD83(2011) / WISCRS Douglas (m)</v>
      </c>
      <c r="J3939" t="str">
        <v>United States (USA) - Wisconsin - Douglas county.</v>
      </c>
      <c r="K3939" s="11">
        <v>0</v>
      </c>
    </row>
    <row r="3940" spans="5:11" x14ac:dyDescent="0.35">
      <c r="E3940" s="9" t="str">
        <v>EPSG</v>
      </c>
      <c r="F3940" s="7" t="str">
        <v>7544</v>
      </c>
      <c r="G3940" t="str">
        <v>ProjectedCrs</v>
      </c>
      <c r="H3940" t="str">
        <v>Transverse Mercator</v>
      </c>
      <c r="I3940" t="str">
        <v>NAD83(2011) / WISCRS Dunn (m)</v>
      </c>
      <c r="J3940" t="str">
        <v>United States (USA) - Wisconsin - Dunn county.</v>
      </c>
      <c r="K3940" s="11">
        <v>0</v>
      </c>
    </row>
    <row r="3941" spans="5:11" x14ac:dyDescent="0.35">
      <c r="E3941" s="9" t="str">
        <v>EPSG</v>
      </c>
      <c r="F3941" s="7" t="str">
        <v>7545</v>
      </c>
      <c r="G3941" t="str">
        <v>ProjectedCrs</v>
      </c>
      <c r="H3941" t="str">
        <v>Lambert Conic Conformal (1SP)</v>
      </c>
      <c r="I3941" t="str">
        <v>NAD83(2011) / WISCRS Eau Claire (m)</v>
      </c>
      <c r="J3941" t="str">
        <v>United States (USA) - Wisconsin - Eau Claire county.</v>
      </c>
      <c r="K3941" s="11">
        <v>0</v>
      </c>
    </row>
    <row r="3942" spans="5:11" x14ac:dyDescent="0.35">
      <c r="E3942" s="9" t="str">
        <v>EPSG</v>
      </c>
      <c r="F3942" s="7" t="str">
        <v>7546</v>
      </c>
      <c r="G3942" t="str">
        <v>ProjectedCrs</v>
      </c>
      <c r="H3942" t="str">
        <v>Transverse Mercator</v>
      </c>
      <c r="I3942" t="str">
        <v>NAD83(2011) / WISCRS Florence (m)</v>
      </c>
      <c r="J3942" t="str">
        <v>United States (USA) - Wisconsin - Florence county.</v>
      </c>
      <c r="K3942" s="11">
        <v>0</v>
      </c>
    </row>
    <row r="3943" spans="5:11" x14ac:dyDescent="0.35">
      <c r="E3943" s="9" t="str">
        <v>EPSG</v>
      </c>
      <c r="F3943" s="7" t="str">
        <v>7547</v>
      </c>
      <c r="G3943" t="str">
        <v>ProjectedCrs</v>
      </c>
      <c r="H3943" t="str">
        <v>Transverse Mercator</v>
      </c>
      <c r="I3943" t="str">
        <v>NAD83(2011) / WISCRS Forest (m)</v>
      </c>
      <c r="J3943" t="str">
        <v>United States (USA) - Wisconsin - Forest county.</v>
      </c>
      <c r="K3943" s="11">
        <v>0</v>
      </c>
    </row>
    <row r="3944" spans="5:11" x14ac:dyDescent="0.35">
      <c r="E3944" s="9" t="str">
        <v>EPSG</v>
      </c>
      <c r="F3944" s="7" t="str">
        <v>7548</v>
      </c>
      <c r="G3944" t="str">
        <v>ProjectedCrs</v>
      </c>
      <c r="H3944" t="str">
        <v>Transverse Mercator</v>
      </c>
      <c r="I3944" t="str">
        <v>NAD83(2011) / WISCRS Grant (m)</v>
      </c>
      <c r="J3944" t="str">
        <v>United States (USA) - Wisconsin - Grant county.</v>
      </c>
      <c r="K3944" s="11">
        <v>0</v>
      </c>
    </row>
    <row r="3945" spans="5:11" x14ac:dyDescent="0.35">
      <c r="E3945" s="9" t="str">
        <v>EPSG</v>
      </c>
      <c r="F3945" s="7" t="str">
        <v>7549</v>
      </c>
      <c r="G3945" t="str">
        <v>ProjectedCrs</v>
      </c>
      <c r="H3945" t="str">
        <v>Lambert Conic Conformal (1SP)</v>
      </c>
      <c r="I3945" t="str">
        <v>NAD83(2011) / WISCRS Green and Lafayette (m)</v>
      </c>
      <c r="J3945" t="str">
        <v>United States (USA) - Wisconsin - counties of Green and Lafayette.</v>
      </c>
      <c r="K3945" s="11">
        <v>0</v>
      </c>
    </row>
    <row r="3946" spans="5:11" x14ac:dyDescent="0.35">
      <c r="E3946" s="9" t="str">
        <v>EPSG</v>
      </c>
      <c r="F3946" s="7" t="str">
        <v>7550</v>
      </c>
      <c r="G3946" t="str">
        <v>ProjectedCrs</v>
      </c>
      <c r="H3946" t="str">
        <v>Lambert Conic Conformal (1SP)</v>
      </c>
      <c r="I3946" t="str">
        <v>NAD83(2011) / WISCRS Green Lake and Marquette (m)</v>
      </c>
      <c r="J3946" t="str">
        <v>United States (USA) - Wisconsin - counties of Green Lake and Marquette.</v>
      </c>
      <c r="K3946" s="11">
        <v>0</v>
      </c>
    </row>
    <row r="3947" spans="5:11" x14ac:dyDescent="0.35">
      <c r="E3947" s="9" t="str">
        <v>EPSG</v>
      </c>
      <c r="F3947" s="7" t="str">
        <v>7551</v>
      </c>
      <c r="G3947" t="str">
        <v>ProjectedCrs</v>
      </c>
      <c r="H3947" t="str">
        <v>Transverse Mercator</v>
      </c>
      <c r="I3947" t="str">
        <v>NAD83(2011) / WISCRS Iowa (m)</v>
      </c>
      <c r="J3947" t="str">
        <v>United States (USA) - Wisconsin - Iowa county.</v>
      </c>
      <c r="K3947" s="11">
        <v>0</v>
      </c>
    </row>
    <row r="3948" spans="5:11" x14ac:dyDescent="0.35">
      <c r="E3948" s="9" t="str">
        <v>EPSG</v>
      </c>
      <c r="F3948" s="7" t="str">
        <v>7552</v>
      </c>
      <c r="G3948" t="str">
        <v>ProjectedCrs</v>
      </c>
      <c r="H3948" t="str">
        <v>Transverse Mercator</v>
      </c>
      <c r="I3948" t="str">
        <v>NAD83(2011) / WISCRS Iron (m)</v>
      </c>
      <c r="J3948" t="str">
        <v>United States (USA) - Wisconsin - Iron county.</v>
      </c>
      <c r="K3948" s="11">
        <v>0</v>
      </c>
    </row>
    <row r="3949" spans="5:11" x14ac:dyDescent="0.35">
      <c r="E3949" s="9" t="str">
        <v>EPSG</v>
      </c>
      <c r="F3949" s="7" t="str">
        <v>7553</v>
      </c>
      <c r="G3949" t="str">
        <v>ProjectedCrs</v>
      </c>
      <c r="H3949" t="str">
        <v>Transverse Mercator</v>
      </c>
      <c r="I3949" t="str">
        <v>NAD83(2011) / WISCRS Jackson (m)</v>
      </c>
      <c r="J3949" t="str">
        <v>United States (USA) - Wisconsin - Jackson county.</v>
      </c>
      <c r="K3949" s="11">
        <v>0</v>
      </c>
    </row>
    <row r="3950" spans="5:11" x14ac:dyDescent="0.35">
      <c r="E3950" s="9" t="str">
        <v>EPSG</v>
      </c>
      <c r="F3950" s="7" t="str">
        <v>7554</v>
      </c>
      <c r="G3950" t="str">
        <v>ProjectedCrs</v>
      </c>
      <c r="H3950" t="str">
        <v>Transverse Mercator</v>
      </c>
      <c r="I3950" t="str">
        <v>NAD83(2011) / WISCRS Kenosha, Milwaukee, Ozaukee and Racine (m)</v>
      </c>
      <c r="J3950" t="str">
        <v>United States (USA) - Wisconsin - counties of Kenosha, Milwaukee, Ozaukee and Racine.</v>
      </c>
      <c r="K3950" s="11">
        <v>0</v>
      </c>
    </row>
    <row r="3951" spans="5:11" x14ac:dyDescent="0.35">
      <c r="E3951" s="9" t="str">
        <v>EPSG</v>
      </c>
      <c r="F3951" s="7" t="str">
        <v>7555</v>
      </c>
      <c r="G3951" t="str">
        <v>ProjectedCrs</v>
      </c>
      <c r="H3951" t="str">
        <v>Transverse Mercator</v>
      </c>
      <c r="I3951" t="str">
        <v>NAD83(2011) / WISCRS Kewaunee, Manitowoc and Sheboygan (m)</v>
      </c>
      <c r="J3951" t="str">
        <v>United States (USA) - Wisconsin - counties of Kewaunee, Manitowoc and Sheboygan.</v>
      </c>
      <c r="K3951" s="11">
        <v>0</v>
      </c>
    </row>
    <row r="3952" spans="5:11" x14ac:dyDescent="0.35">
      <c r="E3952" s="9" t="str">
        <v>EPSG</v>
      </c>
      <c r="F3952" s="7" t="str">
        <v>7556</v>
      </c>
      <c r="G3952" t="str">
        <v>ProjectedCrs</v>
      </c>
      <c r="H3952" t="str">
        <v>Transverse Mercator</v>
      </c>
      <c r="I3952" t="str">
        <v>NAD83(2011) / WISCRS La Crosse (m)</v>
      </c>
      <c r="J3952" t="str">
        <v>United States (USA) - Wisconsin - La Crosse county.</v>
      </c>
      <c r="K3952" s="11">
        <v>0</v>
      </c>
    </row>
    <row r="3953" spans="5:11" x14ac:dyDescent="0.35">
      <c r="E3953" s="9" t="str">
        <v>EPSG</v>
      </c>
      <c r="F3953" s="7" t="str">
        <v>7557</v>
      </c>
      <c r="G3953" t="str">
        <v>ProjectedCrs</v>
      </c>
      <c r="H3953" t="str">
        <v>Lambert Conic Conformal (1SP)</v>
      </c>
      <c r="I3953" t="str">
        <v>NAD83(2011) / WISCRS Langlade (m)</v>
      </c>
      <c r="J3953" t="str">
        <v>United States (USA) - Wisconsin - Langlade county.</v>
      </c>
      <c r="K3953" s="11">
        <v>0</v>
      </c>
    </row>
    <row r="3954" spans="5:11" x14ac:dyDescent="0.35">
      <c r="E3954" s="9" t="str">
        <v>EPSG</v>
      </c>
      <c r="F3954" s="7" t="str">
        <v>7558</v>
      </c>
      <c r="G3954" t="str">
        <v>ProjectedCrs</v>
      </c>
      <c r="H3954" t="str">
        <v>Transverse Mercator</v>
      </c>
      <c r="I3954" t="str">
        <v>NAD83(2011) / WISCRS Lincoln (m)</v>
      </c>
      <c r="J3954" t="str">
        <v>United States (USA) - Wisconsin - Lincoln county.</v>
      </c>
      <c r="K3954" s="11">
        <v>0</v>
      </c>
    </row>
    <row r="3955" spans="5:11" x14ac:dyDescent="0.35">
      <c r="E3955" s="9" t="str">
        <v>EPSG</v>
      </c>
      <c r="F3955" s="7" t="str">
        <v>7559</v>
      </c>
      <c r="G3955" t="str">
        <v>ProjectedCrs</v>
      </c>
      <c r="H3955" t="str">
        <v>Lambert Conic Conformal (1SP)</v>
      </c>
      <c r="I3955" t="str">
        <v>NAD83(2011) / WISCRS Marathon (m)</v>
      </c>
      <c r="J3955" t="str">
        <v>United States (USA) - Wisconsin - Marathon county.</v>
      </c>
      <c r="K3955" s="11">
        <v>0</v>
      </c>
    </row>
    <row r="3956" spans="5:11" x14ac:dyDescent="0.35">
      <c r="E3956" s="9" t="str">
        <v>EPSG</v>
      </c>
      <c r="F3956" s="7" t="str">
        <v>7560</v>
      </c>
      <c r="G3956" t="str">
        <v>ProjectedCrs</v>
      </c>
      <c r="H3956" t="str">
        <v>Transverse Mercator</v>
      </c>
      <c r="I3956" t="str">
        <v>NAD83(2011) / WISCRS Marinette (m)</v>
      </c>
      <c r="J3956" t="str">
        <v>United States (USA) - Wisconsin - Marinette county.</v>
      </c>
      <c r="K3956" s="11">
        <v>0</v>
      </c>
    </row>
    <row r="3957" spans="5:11" x14ac:dyDescent="0.35">
      <c r="E3957" s="9" t="str">
        <v>EPSG</v>
      </c>
      <c r="F3957" s="7" t="str">
        <v>7561</v>
      </c>
      <c r="G3957" t="str">
        <v>ProjectedCrs</v>
      </c>
      <c r="H3957" t="str">
        <v>Transverse Mercator</v>
      </c>
      <c r="I3957" t="str">
        <v>NAD83(2011) / WISCRS Menominee (m)</v>
      </c>
      <c r="J3957" t="str">
        <v>United States (USA) - Wisconsin - Menominee county.</v>
      </c>
      <c r="K3957" s="11">
        <v>0</v>
      </c>
    </row>
    <row r="3958" spans="5:11" x14ac:dyDescent="0.35">
      <c r="E3958" s="9" t="str">
        <v>EPSG</v>
      </c>
      <c r="F3958" s="7" t="str">
        <v>7562</v>
      </c>
      <c r="G3958" t="str">
        <v>ProjectedCrs</v>
      </c>
      <c r="H3958" t="str">
        <v>Lambert Conic Conformal (1SP)</v>
      </c>
      <c r="I3958" t="str">
        <v>NAD83(2011) / WISCRS Monroe (m)</v>
      </c>
      <c r="J3958" t="str">
        <v>United States (USA) - Wisconsin - Monroe county.</v>
      </c>
      <c r="K3958" s="11">
        <v>0</v>
      </c>
    </row>
    <row r="3959" spans="5:11" x14ac:dyDescent="0.35">
      <c r="E3959" s="9" t="str">
        <v>EPSG</v>
      </c>
      <c r="F3959" s="7" t="str">
        <v>7563</v>
      </c>
      <c r="G3959" t="str">
        <v>ProjectedCrs</v>
      </c>
      <c r="H3959" t="str">
        <v>Transverse Mercator</v>
      </c>
      <c r="I3959" t="str">
        <v>NAD83(2011) / WISCRS Oconto (m)</v>
      </c>
      <c r="J3959" t="str">
        <v>United States (USA) - Wisconsin - Oconto county.</v>
      </c>
      <c r="K3959" s="11">
        <v>0</v>
      </c>
    </row>
    <row r="3960" spans="5:11" x14ac:dyDescent="0.35">
      <c r="E3960" s="9" t="str">
        <v>EPSG</v>
      </c>
      <c r="F3960" s="7" t="str">
        <v>7564</v>
      </c>
      <c r="G3960" t="str">
        <v>ProjectedCrs</v>
      </c>
      <c r="H3960" t="str">
        <v>Lambert Conic Conformal (1SP)</v>
      </c>
      <c r="I3960" t="str">
        <v>NAD83(2011) / WISCRS Oneida (m)</v>
      </c>
      <c r="J3960" t="str">
        <v>United States (USA) - Wisconsin - Oneida county.</v>
      </c>
      <c r="K3960" s="11">
        <v>0</v>
      </c>
    </row>
    <row r="3961" spans="5:11" x14ac:dyDescent="0.35">
      <c r="E3961" s="9" t="str">
        <v>EPSG</v>
      </c>
      <c r="F3961" s="7" t="str">
        <v>7565</v>
      </c>
      <c r="G3961" t="str">
        <v>ProjectedCrs</v>
      </c>
      <c r="H3961" t="str">
        <v>Lambert Conic Conformal (1SP)</v>
      </c>
      <c r="I3961" t="str">
        <v>NAD83(2011) / WISCRS Pepin and Pierce (m)</v>
      </c>
      <c r="J3961" t="str">
        <v>United States (USA) - Wisconsin - counties of Pepin and Pierce.</v>
      </c>
      <c r="K3961" s="11">
        <v>0</v>
      </c>
    </row>
    <row r="3962" spans="5:11" x14ac:dyDescent="0.35">
      <c r="E3962" s="9" t="str">
        <v>EPSG</v>
      </c>
      <c r="F3962" s="7" t="str">
        <v>7566</v>
      </c>
      <c r="G3962" t="str">
        <v>ProjectedCrs</v>
      </c>
      <c r="H3962" t="str">
        <v>Transverse Mercator</v>
      </c>
      <c r="I3962" t="str">
        <v>NAD83(2011) / WISCRS Polk (m)</v>
      </c>
      <c r="J3962" t="str">
        <v>United States (USA) - Wisconsin - Polk county.</v>
      </c>
      <c r="K3962" s="11">
        <v>0</v>
      </c>
    </row>
    <row r="3963" spans="5:11" x14ac:dyDescent="0.35">
      <c r="E3963" s="9" t="str">
        <v>EPSG</v>
      </c>
      <c r="F3963" s="7" t="str">
        <v>7567</v>
      </c>
      <c r="G3963" t="str">
        <v>ProjectedCrs</v>
      </c>
      <c r="H3963" t="str">
        <v>Lambert Conic Conformal (1SP)</v>
      </c>
      <c r="I3963" t="str">
        <v>NAD83(2011) / WISCRS Portage (m)</v>
      </c>
      <c r="J3963" t="str">
        <v>United States (USA) - Wisconsin - Portage county.</v>
      </c>
      <c r="K3963" s="11">
        <v>0</v>
      </c>
    </row>
    <row r="3964" spans="5:11" x14ac:dyDescent="0.35">
      <c r="E3964" s="9" t="str">
        <v>EPSG</v>
      </c>
      <c r="F3964" s="7" t="str">
        <v>7568</v>
      </c>
      <c r="G3964" t="str">
        <v>ProjectedCrs</v>
      </c>
      <c r="H3964" t="str">
        <v>Transverse Mercator</v>
      </c>
      <c r="I3964" t="str">
        <v>NAD83(2011) / WISCRS Price (m)</v>
      </c>
      <c r="J3964" t="str">
        <v>United States (USA) - Wisconsin - Price county.</v>
      </c>
      <c r="K3964" s="11">
        <v>0</v>
      </c>
    </row>
    <row r="3965" spans="5:11" x14ac:dyDescent="0.35">
      <c r="E3965" s="9" t="str">
        <v>EPSG</v>
      </c>
      <c r="F3965" s="7" t="str">
        <v>7569</v>
      </c>
      <c r="G3965" t="str">
        <v>ProjectedCrs</v>
      </c>
      <c r="H3965" t="str">
        <v>Lambert Conic Conformal (1SP)</v>
      </c>
      <c r="I3965" t="str">
        <v>NAD83(2011) / WISCRS Richland (m)</v>
      </c>
      <c r="J3965" t="str">
        <v>United States (USA) - Wisconsin - Richland county.</v>
      </c>
      <c r="K3965" s="11">
        <v>0</v>
      </c>
    </row>
    <row r="3966" spans="5:11" x14ac:dyDescent="0.35">
      <c r="E3966" s="9" t="str">
        <v>EPSG</v>
      </c>
      <c r="F3966" s="7" t="str">
        <v>7570</v>
      </c>
      <c r="G3966" t="str">
        <v>ProjectedCrs</v>
      </c>
      <c r="H3966" t="str">
        <v>Transverse Mercator</v>
      </c>
      <c r="I3966" t="str">
        <v>NAD83(2011) / WISCRS Rock (m)</v>
      </c>
      <c r="J3966" t="str">
        <v>United States (USA) - Wisconsin - Rock county.</v>
      </c>
      <c r="K3966" s="11">
        <v>0</v>
      </c>
    </row>
    <row r="3967" spans="5:11" x14ac:dyDescent="0.35">
      <c r="E3967" s="9" t="str">
        <v>EPSG</v>
      </c>
      <c r="F3967" s="7" t="str">
        <v>7571</v>
      </c>
      <c r="G3967" t="str">
        <v>ProjectedCrs</v>
      </c>
      <c r="H3967" t="str">
        <v>Transverse Mercator</v>
      </c>
      <c r="I3967" t="str">
        <v>NAD83(2011) / WISCRS Rusk (m)</v>
      </c>
      <c r="J3967" t="str">
        <v>United States (USA) - Wisconsin - Rusk county.</v>
      </c>
      <c r="K3967" s="11">
        <v>0</v>
      </c>
    </row>
    <row r="3968" spans="5:11" x14ac:dyDescent="0.35">
      <c r="E3968" s="9" t="str">
        <v>EPSG</v>
      </c>
      <c r="F3968" s="7" t="str">
        <v>7572</v>
      </c>
      <c r="G3968" t="str">
        <v>ProjectedCrs</v>
      </c>
      <c r="H3968" t="str">
        <v>Transverse Mercator</v>
      </c>
      <c r="I3968" t="str">
        <v>NAD83(2011) / WISCRS Sauk (m)</v>
      </c>
      <c r="J3968" t="str">
        <v>United States (USA) - Wisconsin - Sauk county.</v>
      </c>
      <c r="K3968" s="11">
        <v>0</v>
      </c>
    </row>
    <row r="3969" spans="5:11" x14ac:dyDescent="0.35">
      <c r="E3969" s="9" t="str">
        <v>EPSG</v>
      </c>
      <c r="F3969" s="7" t="str">
        <v>7573</v>
      </c>
      <c r="G3969" t="str">
        <v>ProjectedCrs</v>
      </c>
      <c r="H3969" t="str">
        <v>Lambert Conic Conformal (1SP)</v>
      </c>
      <c r="I3969" t="str">
        <v>NAD83(2011) / WISCRS Sawyer (m)</v>
      </c>
      <c r="J3969" t="str">
        <v>United States (USA) - Wisconsin - Sawyer county.</v>
      </c>
      <c r="K3969" s="11">
        <v>0</v>
      </c>
    </row>
    <row r="3970" spans="5:11" x14ac:dyDescent="0.35">
      <c r="E3970" s="9" t="str">
        <v>EPSG</v>
      </c>
      <c r="F3970" s="7" t="str">
        <v>7574</v>
      </c>
      <c r="G3970" t="str">
        <v>ProjectedCrs</v>
      </c>
      <c r="H3970" t="str">
        <v>Transverse Mercator</v>
      </c>
      <c r="I3970" t="str">
        <v>NAD83(2011) / WISCRS Shawano (m)</v>
      </c>
      <c r="J3970" t="str">
        <v>United States (USA) - Wisconsin - Shawano county.</v>
      </c>
      <c r="K3970" s="11">
        <v>0</v>
      </c>
    </row>
    <row r="3971" spans="5:11" x14ac:dyDescent="0.35">
      <c r="E3971" s="9" t="str">
        <v>EPSG</v>
      </c>
      <c r="F3971" s="7" t="str">
        <v>7575</v>
      </c>
      <c r="G3971" t="str">
        <v>ProjectedCrs</v>
      </c>
      <c r="H3971" t="str">
        <v>Transverse Mercator</v>
      </c>
      <c r="I3971" t="str">
        <v>NAD83(2011) / WISCRS St. Croix (m)</v>
      </c>
      <c r="J3971" t="str">
        <v>United States (USA) - Wisconsin - St. Croix county.</v>
      </c>
      <c r="K3971" s="11">
        <v>0</v>
      </c>
    </row>
    <row r="3972" spans="5:11" x14ac:dyDescent="0.35">
      <c r="E3972" s="9" t="str">
        <v>EPSG</v>
      </c>
      <c r="F3972" s="7" t="str">
        <v>7576</v>
      </c>
      <c r="G3972" t="str">
        <v>ProjectedCrs</v>
      </c>
      <c r="H3972" t="str">
        <v>Lambert Conic Conformal (1SP)</v>
      </c>
      <c r="I3972" t="str">
        <v>NAD83(2011) / WISCRS Taylor (m)</v>
      </c>
      <c r="J3972" t="str">
        <v>United States (USA) - Wisconsin - Taylor county.</v>
      </c>
      <c r="K3972" s="11">
        <v>0</v>
      </c>
    </row>
    <row r="3973" spans="5:11" x14ac:dyDescent="0.35">
      <c r="E3973" s="9" t="str">
        <v>EPSG</v>
      </c>
      <c r="F3973" s="7" t="str">
        <v>7577</v>
      </c>
      <c r="G3973" t="str">
        <v>ProjectedCrs</v>
      </c>
      <c r="H3973" t="str">
        <v>Transverse Mercator</v>
      </c>
      <c r="I3973" t="str">
        <v>NAD83(2011) / WISCRS Trempealeau (m)</v>
      </c>
      <c r="J3973" t="str">
        <v>United States (USA) - Wisconsin - Trempealeau county.</v>
      </c>
      <c r="K3973" s="11">
        <v>0</v>
      </c>
    </row>
    <row r="3974" spans="5:11" x14ac:dyDescent="0.35">
      <c r="E3974" s="9" t="str">
        <v>EPSG</v>
      </c>
      <c r="F3974" s="7" t="str">
        <v>7578</v>
      </c>
      <c r="G3974" t="str">
        <v>ProjectedCrs</v>
      </c>
      <c r="H3974" t="str">
        <v>Lambert Conic Conformal (1SP)</v>
      </c>
      <c r="I3974" t="str">
        <v>NAD83(2011) / WISCRS Vernon (m)</v>
      </c>
      <c r="J3974" t="str">
        <v>United States (USA) - Wisconsin - Vernon county.</v>
      </c>
      <c r="K3974" s="11">
        <v>0</v>
      </c>
    </row>
    <row r="3975" spans="5:11" x14ac:dyDescent="0.35">
      <c r="E3975" s="9" t="str">
        <v>EPSG</v>
      </c>
      <c r="F3975" s="7" t="str">
        <v>7579</v>
      </c>
      <c r="G3975" t="str">
        <v>ProjectedCrs</v>
      </c>
      <c r="H3975" t="str">
        <v>Lambert Conic Conformal (1SP)</v>
      </c>
      <c r="I3975" t="str">
        <v>NAD83(2011) / WISCRS Vilas (m)</v>
      </c>
      <c r="J3975" t="str">
        <v>United States (USA) - Wisconsin - Vilas county.</v>
      </c>
      <c r="K3975" s="11">
        <v>0</v>
      </c>
    </row>
    <row r="3976" spans="5:11" x14ac:dyDescent="0.35">
      <c r="E3976" s="9" t="str">
        <v>EPSG</v>
      </c>
      <c r="F3976" s="7" t="str">
        <v>7580</v>
      </c>
      <c r="G3976" t="str">
        <v>ProjectedCrs</v>
      </c>
      <c r="H3976" t="str">
        <v>Lambert Conic Conformal (1SP)</v>
      </c>
      <c r="I3976" t="str">
        <v>NAD83(2011) / WISCRS Walworth (m)</v>
      </c>
      <c r="J3976" t="str">
        <v>United States (USA) - Wisconsin - Walworth county.</v>
      </c>
      <c r="K3976" s="11">
        <v>0</v>
      </c>
    </row>
    <row r="3977" spans="5:11" x14ac:dyDescent="0.35">
      <c r="E3977" s="9" t="str">
        <v>EPSG</v>
      </c>
      <c r="F3977" s="7" t="str">
        <v>7581</v>
      </c>
      <c r="G3977" t="str">
        <v>ProjectedCrs</v>
      </c>
      <c r="H3977" t="str">
        <v>Lambert Conic Conformal (1SP)</v>
      </c>
      <c r="I3977" t="str">
        <v>NAD83(2011) / WISCRS Washburn (m)</v>
      </c>
      <c r="J3977" t="str">
        <v>United States (USA) - Wisconsin - Washburn county.</v>
      </c>
      <c r="K3977" s="11">
        <v>0</v>
      </c>
    </row>
    <row r="3978" spans="5:11" x14ac:dyDescent="0.35">
      <c r="E3978" s="9" t="str">
        <v>EPSG</v>
      </c>
      <c r="F3978" s="7" t="str">
        <v>7582</v>
      </c>
      <c r="G3978" t="str">
        <v>ProjectedCrs</v>
      </c>
      <c r="H3978" t="str">
        <v>Transverse Mercator</v>
      </c>
      <c r="I3978" t="str">
        <v>NAD83(2011) / WISCRS Washington (m)</v>
      </c>
      <c r="J3978" t="str">
        <v>United States (USA) - Wisconsin - Washington county.</v>
      </c>
      <c r="K3978" s="11">
        <v>0</v>
      </c>
    </row>
    <row r="3979" spans="5:11" x14ac:dyDescent="0.35">
      <c r="E3979" s="9" t="str">
        <v>EPSG</v>
      </c>
      <c r="F3979" s="7" t="str">
        <v>7583</v>
      </c>
      <c r="G3979" t="str">
        <v>ProjectedCrs</v>
      </c>
      <c r="H3979" t="str">
        <v>Transverse Mercator</v>
      </c>
      <c r="I3979" t="str">
        <v>NAD83(2011) / WISCRS Waukesha (m)</v>
      </c>
      <c r="J3979" t="str">
        <v>United States (USA) - Wisconsin - Waukesha county.</v>
      </c>
      <c r="K3979" s="11">
        <v>0</v>
      </c>
    </row>
    <row r="3980" spans="5:11" x14ac:dyDescent="0.35">
      <c r="E3980" s="9" t="str">
        <v>EPSG</v>
      </c>
      <c r="F3980" s="7" t="str">
        <v>7584</v>
      </c>
      <c r="G3980" t="str">
        <v>ProjectedCrs</v>
      </c>
      <c r="H3980" t="str">
        <v>Transverse Mercator</v>
      </c>
      <c r="I3980" t="str">
        <v>NAD83(2011) / WISCRS Waupaca (m)</v>
      </c>
      <c r="J3980" t="str">
        <v>United States (USA) - Wisconsin - Waupaca county.</v>
      </c>
      <c r="K3980" s="11">
        <v>0</v>
      </c>
    </row>
    <row r="3981" spans="5:11" x14ac:dyDescent="0.35">
      <c r="E3981" s="9" t="str">
        <v>EPSG</v>
      </c>
      <c r="F3981" s="7" t="str">
        <v>7585</v>
      </c>
      <c r="G3981" t="str">
        <v>ProjectedCrs</v>
      </c>
      <c r="H3981" t="str">
        <v>Lambert Conic Conformal (1SP)</v>
      </c>
      <c r="I3981" t="str">
        <v>NAD83(2011) / WISCRS Waushara (m)</v>
      </c>
      <c r="J3981" t="str">
        <v>United States (USA) - Wisconsin - Waushara county.</v>
      </c>
      <c r="K3981" s="11">
        <v>0</v>
      </c>
    </row>
    <row r="3982" spans="5:11" x14ac:dyDescent="0.35">
      <c r="E3982" s="9" t="str">
        <v>EPSG</v>
      </c>
      <c r="F3982" s="7" t="str">
        <v>7586</v>
      </c>
      <c r="G3982" t="str">
        <v>ProjectedCrs</v>
      </c>
      <c r="H3982" t="str">
        <v>Lambert Conic Conformal (1SP)</v>
      </c>
      <c r="I3982" t="str">
        <v>NAD83(2011) / WISCRS Wood (m)</v>
      </c>
      <c r="J3982" t="str">
        <v>United States (USA) - Wisconsin - Wood county.</v>
      </c>
      <c r="K3982" s="11">
        <v>0</v>
      </c>
    </row>
    <row r="3983" spans="5:11" x14ac:dyDescent="0.35">
      <c r="E3983" s="9" t="str">
        <v>EPSG</v>
      </c>
      <c r="F3983" s="7" t="str">
        <v>7587</v>
      </c>
      <c r="G3983" t="str">
        <v>ProjectedCrs</v>
      </c>
      <c r="H3983" t="str">
        <v>Transverse Mercator</v>
      </c>
      <c r="I3983" t="str">
        <v>NAD83(2011) / WISCRS Adams and Juneau (ftUS)</v>
      </c>
      <c r="J3983" t="str">
        <v>United States (USA) - Wisconsin - counties of Adams and Juneau.</v>
      </c>
      <c r="K3983" s="11">
        <v>0</v>
      </c>
    </row>
    <row r="3984" spans="5:11" x14ac:dyDescent="0.35">
      <c r="E3984" s="9" t="str">
        <v>EPSG</v>
      </c>
      <c r="F3984" s="7" t="str">
        <v>7588</v>
      </c>
      <c r="G3984" t="str">
        <v>ProjectedCrs</v>
      </c>
      <c r="H3984" t="str">
        <v>Transverse Mercator</v>
      </c>
      <c r="I3984" t="str">
        <v>NAD83(2011) / WISCRS Ashland (ftUS)</v>
      </c>
      <c r="J3984" t="str">
        <v>United States (USA) - Wisconsin - Ashland county.</v>
      </c>
      <c r="K3984" s="11">
        <v>0</v>
      </c>
    </row>
    <row r="3985" spans="5:11" x14ac:dyDescent="0.35">
      <c r="E3985" s="9" t="str">
        <v>EPSG</v>
      </c>
      <c r="F3985" s="7" t="str">
        <v>7589</v>
      </c>
      <c r="G3985" t="str">
        <v>ProjectedCrs</v>
      </c>
      <c r="H3985" t="str">
        <v>Transverse Mercator</v>
      </c>
      <c r="I3985" t="str">
        <v>NAD83(2011) / WISCRS Barron (ftUS)</v>
      </c>
      <c r="J3985" t="str">
        <v>United States (USA) - Wisconsin - Barron county.</v>
      </c>
      <c r="K3985" s="11">
        <v>0</v>
      </c>
    </row>
    <row r="3986" spans="5:11" x14ac:dyDescent="0.35">
      <c r="E3986" s="9" t="str">
        <v>EPSG</v>
      </c>
      <c r="F3986" s="7" t="str">
        <v>7590</v>
      </c>
      <c r="G3986" t="str">
        <v>ProjectedCrs</v>
      </c>
      <c r="H3986" t="str">
        <v>Lambert Conic Conformal (1SP)</v>
      </c>
      <c r="I3986" t="str">
        <v>NAD83(2011) / WISCRS Bayfield (ftUS)</v>
      </c>
      <c r="J3986" t="str">
        <v>United States (USA) - Wisconsin - Bayfield county.</v>
      </c>
      <c r="K3986" s="11">
        <v>0</v>
      </c>
    </row>
    <row r="3987" spans="5:11" x14ac:dyDescent="0.35">
      <c r="E3987" s="9" t="str">
        <v>EPSG</v>
      </c>
      <c r="F3987" s="7" t="str">
        <v>7591</v>
      </c>
      <c r="G3987" t="str">
        <v>ProjectedCrs</v>
      </c>
      <c r="H3987" t="str">
        <v>Transverse Mercator</v>
      </c>
      <c r="I3987" t="str">
        <v>NAD83(2011) / WISCRS Brown (ftUS)</v>
      </c>
      <c r="J3987" t="str">
        <v>United States (USA) - Wisconsin - Brown county.</v>
      </c>
      <c r="K3987" s="11">
        <v>0</v>
      </c>
    </row>
    <row r="3988" spans="5:11" x14ac:dyDescent="0.35">
      <c r="E3988" s="9" t="str">
        <v>EPSG</v>
      </c>
      <c r="F3988" s="7" t="str">
        <v>7592</v>
      </c>
      <c r="G3988" t="str">
        <v>ProjectedCrs</v>
      </c>
      <c r="H3988" t="str">
        <v>Transverse Mercator</v>
      </c>
      <c r="I3988" t="str">
        <v>NAD83(2011) / WISCRS Buffalo (ftUS)</v>
      </c>
      <c r="J3988" t="str">
        <v>United States (USA) - Wisconsin - Buffalo county.</v>
      </c>
      <c r="K3988" s="11">
        <v>0</v>
      </c>
    </row>
    <row r="3989" spans="5:11" x14ac:dyDescent="0.35">
      <c r="E3989" s="9" t="str">
        <v>EPSG</v>
      </c>
      <c r="F3989" s="7" t="str">
        <v>7593</v>
      </c>
      <c r="G3989" t="str">
        <v>ProjectedCrs</v>
      </c>
      <c r="H3989" t="str">
        <v>Lambert Conic Conformal (1SP)</v>
      </c>
      <c r="I3989" t="str">
        <v>NAD83(2011) / WISCRS Burnett (ftUS)</v>
      </c>
      <c r="J3989" t="str">
        <v>United States (USA) - Wisconsin - Burnett county.</v>
      </c>
      <c r="K3989" s="11">
        <v>0</v>
      </c>
    </row>
    <row r="3990" spans="5:11" x14ac:dyDescent="0.35">
      <c r="E3990" s="9" t="str">
        <v>EPSG</v>
      </c>
      <c r="F3990" s="7" t="str">
        <v>7594</v>
      </c>
      <c r="G3990" t="str">
        <v>ProjectedCrs</v>
      </c>
      <c r="H3990" t="str">
        <v>Transverse Mercator</v>
      </c>
      <c r="I3990" t="str">
        <v>NAD83(2011) / WISCRS Calumet, Fond du Lac, Outagamie and Winnebago (ftUS)</v>
      </c>
      <c r="J3990" t="str">
        <v>United States (USA) - Wisconsin - counties of Calumet, Fond du Lac, Outagamie and Winnebago.</v>
      </c>
      <c r="K3990" s="11">
        <v>0</v>
      </c>
    </row>
    <row r="3991" spans="5:11" x14ac:dyDescent="0.35">
      <c r="E3991" s="9" t="str">
        <v>EPSG</v>
      </c>
      <c r="F3991" s="7" t="str">
        <v>7595</v>
      </c>
      <c r="G3991" t="str">
        <v>ProjectedCrs</v>
      </c>
      <c r="H3991" t="str">
        <v>Lambert Conic Conformal (1SP)</v>
      </c>
      <c r="I3991" t="str">
        <v>NAD83(2011) / WISCRS Chippewa (ftUS)</v>
      </c>
      <c r="J3991" t="str">
        <v>United States (USA) - Wisconsin - Chippewa county.</v>
      </c>
      <c r="K3991" s="11">
        <v>0</v>
      </c>
    </row>
    <row r="3992" spans="5:11" x14ac:dyDescent="0.35">
      <c r="E3992" s="9" t="str">
        <v>EPSG</v>
      </c>
      <c r="F3992" s="7" t="str">
        <v>7596</v>
      </c>
      <c r="G3992" t="str">
        <v>ProjectedCrs</v>
      </c>
      <c r="H3992" t="str">
        <v>Transverse Mercator</v>
      </c>
      <c r="I3992" t="str">
        <v>NAD83(2011) / WISCRS Clark (ftUS)</v>
      </c>
      <c r="J3992" t="str">
        <v>United States (USA) - Wisconsin - Clark county.</v>
      </c>
      <c r="K3992" s="11">
        <v>0</v>
      </c>
    </row>
    <row r="3993" spans="5:11" x14ac:dyDescent="0.35">
      <c r="E3993" s="9" t="str">
        <v>EPSG</v>
      </c>
      <c r="F3993" s="7" t="str">
        <v>7597</v>
      </c>
      <c r="G3993" t="str">
        <v>ProjectedCrs</v>
      </c>
      <c r="H3993" t="str">
        <v>Lambert Conic Conformal (1SP)</v>
      </c>
      <c r="I3993" t="str">
        <v>NAD83(2011) / WISCRS Columbia (ftUS)</v>
      </c>
      <c r="J3993" t="str">
        <v>United States (USA) - Wisconsin - Columbia county.</v>
      </c>
      <c r="K3993" s="11">
        <v>0</v>
      </c>
    </row>
    <row r="3994" spans="5:11" x14ac:dyDescent="0.35">
      <c r="E3994" s="9" t="str">
        <v>EPSG</v>
      </c>
      <c r="F3994" s="7" t="str">
        <v>7598</v>
      </c>
      <c r="G3994" t="str">
        <v>ProjectedCrs</v>
      </c>
      <c r="H3994" t="str">
        <v>Lambert Conic Conformal (1SP)</v>
      </c>
      <c r="I3994" t="str">
        <v>NAD83(2011) / WISCRS Crawford (ftUS)</v>
      </c>
      <c r="J3994" t="str">
        <v>United States (USA) - Wisconsin - Crawford county.</v>
      </c>
      <c r="K3994" s="11">
        <v>0</v>
      </c>
    </row>
    <row r="3995" spans="5:11" x14ac:dyDescent="0.35">
      <c r="E3995" s="9" t="str">
        <v>EPSG</v>
      </c>
      <c r="F3995" s="7" t="str">
        <v>7599</v>
      </c>
      <c r="G3995" t="str">
        <v>ProjectedCrs</v>
      </c>
      <c r="H3995" t="str">
        <v>Lambert Conic Conformal (1SP)</v>
      </c>
      <c r="I3995" t="str">
        <v>NAD83(2011) / WISCRS Dane (ftUS)</v>
      </c>
      <c r="J3995" t="str">
        <v>United States (USA) - Wisconsin - Dane county.</v>
      </c>
      <c r="K3995" s="11">
        <v>0</v>
      </c>
    </row>
    <row r="3996" spans="5:11" x14ac:dyDescent="0.35">
      <c r="E3996" s="9" t="str">
        <v>EPSG</v>
      </c>
      <c r="F3996" s="7" t="str">
        <v>7600</v>
      </c>
      <c r="G3996" t="str">
        <v>ProjectedCrs</v>
      </c>
      <c r="H3996" t="str">
        <v>Transverse Mercator</v>
      </c>
      <c r="I3996" t="str">
        <v>NAD83(2011) / WISCRS Dodge and Jefferson (ftUS)</v>
      </c>
      <c r="J3996" t="str">
        <v>United States (USA) - Wisconsin - counties of Dodge and Jefferson.</v>
      </c>
      <c r="K3996" s="11">
        <v>0</v>
      </c>
    </row>
    <row r="3997" spans="5:11" x14ac:dyDescent="0.35">
      <c r="E3997" s="9" t="str">
        <v>EPSG</v>
      </c>
      <c r="F3997" s="7" t="str">
        <v>7601</v>
      </c>
      <c r="G3997" t="str">
        <v>ProjectedCrs</v>
      </c>
      <c r="H3997" t="str">
        <v>Transverse Mercator</v>
      </c>
      <c r="I3997" t="str">
        <v>NAD83(2011) / WISCRS Door (ftUS)</v>
      </c>
      <c r="J3997" t="str">
        <v>United States (USA) - Wisconsin - Door county.</v>
      </c>
      <c r="K3997" s="11">
        <v>0</v>
      </c>
    </row>
    <row r="3998" spans="5:11" x14ac:dyDescent="0.35">
      <c r="E3998" s="9" t="str">
        <v>EPSG</v>
      </c>
      <c r="F3998" s="7" t="str">
        <v>7602</v>
      </c>
      <c r="G3998" t="str">
        <v>ProjectedCrs</v>
      </c>
      <c r="H3998" t="str">
        <v>Transverse Mercator</v>
      </c>
      <c r="I3998" t="str">
        <v>NAD83(2011) / WISCRS Douglas (ftUS)</v>
      </c>
      <c r="J3998" t="str">
        <v>United States (USA) - Wisconsin - Douglas county.</v>
      </c>
      <c r="K3998" s="11">
        <v>0</v>
      </c>
    </row>
    <row r="3999" spans="5:11" x14ac:dyDescent="0.35">
      <c r="E3999" s="9" t="str">
        <v>EPSG</v>
      </c>
      <c r="F3999" s="7" t="str">
        <v>7603</v>
      </c>
      <c r="G3999" t="str">
        <v>ProjectedCrs</v>
      </c>
      <c r="H3999" t="str">
        <v>Transverse Mercator</v>
      </c>
      <c r="I3999" t="str">
        <v>NAD83(2011) / WISCRS Dunn (ftUS)</v>
      </c>
      <c r="J3999" t="str">
        <v>United States (USA) - Wisconsin - Dunn county.</v>
      </c>
      <c r="K3999" s="11">
        <v>0</v>
      </c>
    </row>
    <row r="4000" spans="5:11" x14ac:dyDescent="0.35">
      <c r="E4000" s="9" t="str">
        <v>EPSG</v>
      </c>
      <c r="F4000" s="7" t="str">
        <v>7604</v>
      </c>
      <c r="G4000" t="str">
        <v>ProjectedCrs</v>
      </c>
      <c r="H4000" t="str">
        <v>Lambert Conic Conformal (1SP)</v>
      </c>
      <c r="I4000" t="str">
        <v>NAD83(2011) / WISCRS Eau Claire (ftUS)</v>
      </c>
      <c r="J4000" t="str">
        <v>United States (USA) - Wisconsin - Eau Claire county.</v>
      </c>
      <c r="K4000" s="11">
        <v>0</v>
      </c>
    </row>
    <row r="4001" spans="5:11" x14ac:dyDescent="0.35">
      <c r="E4001" s="9" t="str">
        <v>EPSG</v>
      </c>
      <c r="F4001" s="7" t="str">
        <v>7605</v>
      </c>
      <c r="G4001" t="str">
        <v>ProjectedCrs</v>
      </c>
      <c r="H4001" t="str">
        <v>Transverse Mercator</v>
      </c>
      <c r="I4001" t="str">
        <v>NAD83(2011) / WISCRS Florence (ftUS)</v>
      </c>
      <c r="J4001" t="str">
        <v>United States (USA) - Wisconsin - Florence county.</v>
      </c>
      <c r="K4001" s="11">
        <v>0</v>
      </c>
    </row>
    <row r="4002" spans="5:11" x14ac:dyDescent="0.35">
      <c r="E4002" s="9" t="str">
        <v>EPSG</v>
      </c>
      <c r="F4002" s="7" t="str">
        <v>7606</v>
      </c>
      <c r="G4002" t="str">
        <v>ProjectedCrs</v>
      </c>
      <c r="H4002" t="str">
        <v>Transverse Mercator</v>
      </c>
      <c r="I4002" t="str">
        <v>NAD83(2011) / WISCRS Forest (ftUS)</v>
      </c>
      <c r="J4002" t="str">
        <v>United States (USA) - Wisconsin - Forest county.</v>
      </c>
      <c r="K4002" s="11">
        <v>0</v>
      </c>
    </row>
    <row r="4003" spans="5:11" x14ac:dyDescent="0.35">
      <c r="E4003" s="9" t="str">
        <v>EPSG</v>
      </c>
      <c r="F4003" s="7" t="str">
        <v>7607</v>
      </c>
      <c r="G4003" t="str">
        <v>ProjectedCrs</v>
      </c>
      <c r="H4003" t="str">
        <v>Transverse Mercator</v>
      </c>
      <c r="I4003" t="str">
        <v>NAD83(2011) / WISCRS Grant (ftUS)</v>
      </c>
      <c r="J4003" t="str">
        <v>United States (USA) - Wisconsin - Grant county.</v>
      </c>
      <c r="K4003" s="11">
        <v>0</v>
      </c>
    </row>
    <row r="4004" spans="5:11" x14ac:dyDescent="0.35">
      <c r="E4004" s="9" t="str">
        <v>EPSG</v>
      </c>
      <c r="F4004" s="7" t="str">
        <v>7608</v>
      </c>
      <c r="G4004" t="str">
        <v>ProjectedCrs</v>
      </c>
      <c r="H4004" t="str">
        <v>Lambert Conic Conformal (1SP)</v>
      </c>
      <c r="I4004" t="str">
        <v>NAD83(2011) / WISCRS Green and Lafayette (ftUS)</v>
      </c>
      <c r="J4004" t="str">
        <v>United States (USA) - Wisconsin - counties of Green and Lafayette.</v>
      </c>
      <c r="K4004" s="11">
        <v>0</v>
      </c>
    </row>
    <row r="4005" spans="5:11" x14ac:dyDescent="0.35">
      <c r="E4005" s="9" t="str">
        <v>EPSG</v>
      </c>
      <c r="F4005" s="7" t="str">
        <v>7609</v>
      </c>
      <c r="G4005" t="str">
        <v>ProjectedCrs</v>
      </c>
      <c r="H4005" t="str">
        <v>Lambert Conic Conformal (1SP)</v>
      </c>
      <c r="I4005" t="str">
        <v>NAD83(2011) / WISCRS Green Lake and Marquette (ftUS)</v>
      </c>
      <c r="J4005" t="str">
        <v>United States (USA) - Wisconsin - counties of Green Lake and Marquette.</v>
      </c>
      <c r="K4005" s="11">
        <v>0</v>
      </c>
    </row>
    <row r="4006" spans="5:11" x14ac:dyDescent="0.35">
      <c r="E4006" s="9" t="str">
        <v>EPSG</v>
      </c>
      <c r="F4006" s="7" t="str">
        <v>7610</v>
      </c>
      <c r="G4006" t="str">
        <v>ProjectedCrs</v>
      </c>
      <c r="H4006" t="str">
        <v>Transverse Mercator</v>
      </c>
      <c r="I4006" t="str">
        <v>NAD83(2011) / WISCRS Iowa (ftUS)</v>
      </c>
      <c r="J4006" t="str">
        <v>United States (USA) - Wisconsin - Iowa county.</v>
      </c>
      <c r="K4006" s="11">
        <v>0</v>
      </c>
    </row>
    <row r="4007" spans="5:11" x14ac:dyDescent="0.35">
      <c r="E4007" s="9" t="str">
        <v>EPSG</v>
      </c>
      <c r="F4007" s="7" t="str">
        <v>7611</v>
      </c>
      <c r="G4007" t="str">
        <v>ProjectedCrs</v>
      </c>
      <c r="H4007" t="str">
        <v>Transverse Mercator</v>
      </c>
      <c r="I4007" t="str">
        <v>NAD83(2011) / WISCRS Iron (ftUS)</v>
      </c>
      <c r="J4007" t="str">
        <v>United States (USA) - Wisconsin - Iron county.</v>
      </c>
      <c r="K4007" s="11">
        <v>0</v>
      </c>
    </row>
    <row r="4008" spans="5:11" x14ac:dyDescent="0.35">
      <c r="E4008" s="9" t="str">
        <v>EPSG</v>
      </c>
      <c r="F4008" s="7" t="str">
        <v>7612</v>
      </c>
      <c r="G4008" t="str">
        <v>ProjectedCrs</v>
      </c>
      <c r="H4008" t="str">
        <v>Transverse Mercator</v>
      </c>
      <c r="I4008" t="str">
        <v>NAD83(2011) / WISCRS Jackson (ftUS)</v>
      </c>
      <c r="J4008" t="str">
        <v>United States (USA) - Wisconsin - Jackson county.</v>
      </c>
      <c r="K4008" s="11">
        <v>0</v>
      </c>
    </row>
    <row r="4009" spans="5:11" x14ac:dyDescent="0.35">
      <c r="E4009" s="9" t="str">
        <v>EPSG</v>
      </c>
      <c r="F4009" s="7" t="str">
        <v>7613</v>
      </c>
      <c r="G4009" t="str">
        <v>ProjectedCrs</v>
      </c>
      <c r="H4009" t="str">
        <v>Transverse Mercator</v>
      </c>
      <c r="I4009" t="str">
        <v>NAD83(2011) / WISCRS Kenosha, Milwaukee, Ozaukee and Racine (ftUS)</v>
      </c>
      <c r="J4009" t="str">
        <v>United States (USA) - Wisconsin - counties of Kenosha, Milwaukee, Ozaukee and Racine.</v>
      </c>
      <c r="K4009" s="11">
        <v>0</v>
      </c>
    </row>
    <row r="4010" spans="5:11" x14ac:dyDescent="0.35">
      <c r="E4010" s="9" t="str">
        <v>EPSG</v>
      </c>
      <c r="F4010" s="7" t="str">
        <v>7614</v>
      </c>
      <c r="G4010" t="str">
        <v>ProjectedCrs</v>
      </c>
      <c r="H4010" t="str">
        <v>Transverse Mercator</v>
      </c>
      <c r="I4010" t="str">
        <v>NAD83(2011) / WISCRS Kewaunee, Manitowoc and Sheboygan (ftUS)</v>
      </c>
      <c r="J4010" t="str">
        <v>United States (USA) - Wisconsin - counties of Kewaunee, Manitowoc and Sheboygan.</v>
      </c>
      <c r="K4010" s="11">
        <v>0</v>
      </c>
    </row>
    <row r="4011" spans="5:11" x14ac:dyDescent="0.35">
      <c r="E4011" s="9" t="str">
        <v>EPSG</v>
      </c>
      <c r="F4011" s="7" t="str">
        <v>7615</v>
      </c>
      <c r="G4011" t="str">
        <v>ProjectedCrs</v>
      </c>
      <c r="H4011" t="str">
        <v>Transverse Mercator</v>
      </c>
      <c r="I4011" t="str">
        <v>NAD83(2011) / WISCRS La Crosse (ftUS)</v>
      </c>
      <c r="J4011" t="str">
        <v>United States (USA) - Wisconsin - La Crosse county.</v>
      </c>
      <c r="K4011" s="11">
        <v>0</v>
      </c>
    </row>
    <row r="4012" spans="5:11" x14ac:dyDescent="0.35">
      <c r="E4012" s="9" t="str">
        <v>EPSG</v>
      </c>
      <c r="F4012" s="7" t="str">
        <v>7616</v>
      </c>
      <c r="G4012" t="str">
        <v>ProjectedCrs</v>
      </c>
      <c r="H4012" t="str">
        <v>Lambert Conic Conformal (1SP)</v>
      </c>
      <c r="I4012" t="str">
        <v>NAD83(2011) / WISCRS Langlade (ftUS)</v>
      </c>
      <c r="J4012" t="str">
        <v>United States (USA) - Wisconsin - Langlade county.</v>
      </c>
      <c r="K4012" s="11">
        <v>0</v>
      </c>
    </row>
    <row r="4013" spans="5:11" x14ac:dyDescent="0.35">
      <c r="E4013" s="9" t="str">
        <v>EPSG</v>
      </c>
      <c r="F4013" s="7" t="str">
        <v>7617</v>
      </c>
      <c r="G4013" t="str">
        <v>ProjectedCrs</v>
      </c>
      <c r="H4013" t="str">
        <v>Transverse Mercator</v>
      </c>
      <c r="I4013" t="str">
        <v>NAD83(2011) / WISCRS Lincoln (ftUS)</v>
      </c>
      <c r="J4013" t="str">
        <v>United States (USA) - Wisconsin - Lincoln county.</v>
      </c>
      <c r="K4013" s="11">
        <v>0</v>
      </c>
    </row>
    <row r="4014" spans="5:11" x14ac:dyDescent="0.35">
      <c r="E4014" s="9" t="str">
        <v>EPSG</v>
      </c>
      <c r="F4014" s="7" t="str">
        <v>7618</v>
      </c>
      <c r="G4014" t="str">
        <v>ProjectedCrs</v>
      </c>
      <c r="H4014" t="str">
        <v>Lambert Conic Conformal (1SP)</v>
      </c>
      <c r="I4014" t="str">
        <v>NAD83(2011) / WISCRS Marathon (ftUS)</v>
      </c>
      <c r="J4014" t="str">
        <v>United States (USA) - Wisconsin - Marathon county.</v>
      </c>
      <c r="K4014" s="11">
        <v>0</v>
      </c>
    </row>
    <row r="4015" spans="5:11" x14ac:dyDescent="0.35">
      <c r="E4015" s="9" t="str">
        <v>EPSG</v>
      </c>
      <c r="F4015" s="7" t="str">
        <v>7619</v>
      </c>
      <c r="G4015" t="str">
        <v>ProjectedCrs</v>
      </c>
      <c r="H4015" t="str">
        <v>Transverse Mercator</v>
      </c>
      <c r="I4015" t="str">
        <v>NAD83(2011) / WISCRS Marinette (ftUS)</v>
      </c>
      <c r="J4015" t="str">
        <v>United States (USA) - Wisconsin - Marinette county.</v>
      </c>
      <c r="K4015" s="11">
        <v>0</v>
      </c>
    </row>
    <row r="4016" spans="5:11" x14ac:dyDescent="0.35">
      <c r="E4016" s="9" t="str">
        <v>EPSG</v>
      </c>
      <c r="F4016" s="7" t="str">
        <v>7620</v>
      </c>
      <c r="G4016" t="str">
        <v>ProjectedCrs</v>
      </c>
      <c r="H4016" t="str">
        <v>Transverse Mercator</v>
      </c>
      <c r="I4016" t="str">
        <v>NAD83(2011) / WISCRS Menominee (ftUS)</v>
      </c>
      <c r="J4016" t="str">
        <v>United States (USA) - Wisconsin - Menominee county.</v>
      </c>
      <c r="K4016" s="11">
        <v>0</v>
      </c>
    </row>
    <row r="4017" spans="5:11" x14ac:dyDescent="0.35">
      <c r="E4017" s="9" t="str">
        <v>EPSG</v>
      </c>
      <c r="F4017" s="7" t="str">
        <v>7621</v>
      </c>
      <c r="G4017" t="str">
        <v>ProjectedCrs</v>
      </c>
      <c r="H4017" t="str">
        <v>Lambert Conic Conformal (1SP)</v>
      </c>
      <c r="I4017" t="str">
        <v>NAD83(2011) / WISCRS Monroe (ftUS)</v>
      </c>
      <c r="J4017" t="str">
        <v>United States (USA) - Wisconsin - Monroe county.</v>
      </c>
      <c r="K4017" s="11">
        <v>0</v>
      </c>
    </row>
    <row r="4018" spans="5:11" x14ac:dyDescent="0.35">
      <c r="E4018" s="9" t="str">
        <v>EPSG</v>
      </c>
      <c r="F4018" s="7" t="str">
        <v>7622</v>
      </c>
      <c r="G4018" t="str">
        <v>ProjectedCrs</v>
      </c>
      <c r="H4018" t="str">
        <v>Transverse Mercator</v>
      </c>
      <c r="I4018" t="str">
        <v>NAD83(2011) / WISCRS Oconto (ftUS)</v>
      </c>
      <c r="J4018" t="str">
        <v>United States (USA) - Wisconsin - Oconto county.</v>
      </c>
      <c r="K4018" s="11">
        <v>0</v>
      </c>
    </row>
    <row r="4019" spans="5:11" x14ac:dyDescent="0.35">
      <c r="E4019" s="9" t="str">
        <v>EPSG</v>
      </c>
      <c r="F4019" s="7" t="str">
        <v>7623</v>
      </c>
      <c r="G4019" t="str">
        <v>ProjectedCrs</v>
      </c>
      <c r="H4019" t="str">
        <v>Lambert Conic Conformal (1SP)</v>
      </c>
      <c r="I4019" t="str">
        <v>NAD83(2011) / WISCRS Oneida (ftUS)</v>
      </c>
      <c r="J4019" t="str">
        <v>United States (USA) - Wisconsin - Oneida county.</v>
      </c>
      <c r="K4019" s="11">
        <v>0</v>
      </c>
    </row>
    <row r="4020" spans="5:11" x14ac:dyDescent="0.35">
      <c r="E4020" s="9" t="str">
        <v>EPSG</v>
      </c>
      <c r="F4020" s="7" t="str">
        <v>7624</v>
      </c>
      <c r="G4020" t="str">
        <v>ProjectedCrs</v>
      </c>
      <c r="H4020" t="str">
        <v>Lambert Conic Conformal (1SP)</v>
      </c>
      <c r="I4020" t="str">
        <v>NAD83(2011) / WISCRS Pepin and Pierce (ftUS)</v>
      </c>
      <c r="J4020" t="str">
        <v>United States (USA) - Wisconsin - counties of Pepin and Pierce.</v>
      </c>
      <c r="K4020" s="11">
        <v>0</v>
      </c>
    </row>
    <row r="4021" spans="5:11" x14ac:dyDescent="0.35">
      <c r="E4021" s="9" t="str">
        <v>EPSG</v>
      </c>
      <c r="F4021" s="7" t="str">
        <v>7625</v>
      </c>
      <c r="G4021" t="str">
        <v>ProjectedCrs</v>
      </c>
      <c r="H4021" t="str">
        <v>Transverse Mercator</v>
      </c>
      <c r="I4021" t="str">
        <v>NAD83(2011) / WISCRS Polk (ftUS)</v>
      </c>
      <c r="J4021" t="str">
        <v>United States (USA) - Wisconsin - Polk county.</v>
      </c>
      <c r="K4021" s="11">
        <v>0</v>
      </c>
    </row>
    <row r="4022" spans="5:11" x14ac:dyDescent="0.35">
      <c r="E4022" s="9" t="str">
        <v>EPSG</v>
      </c>
      <c r="F4022" s="7" t="str">
        <v>7626</v>
      </c>
      <c r="G4022" t="str">
        <v>ProjectedCrs</v>
      </c>
      <c r="H4022" t="str">
        <v>Lambert Conic Conformal (1SP)</v>
      </c>
      <c r="I4022" t="str">
        <v>NAD83(2011) / WISCRS Portage (ftUS)</v>
      </c>
      <c r="J4022" t="str">
        <v>United States (USA) - Wisconsin - Portage county.</v>
      </c>
      <c r="K4022" s="11">
        <v>0</v>
      </c>
    </row>
    <row r="4023" spans="5:11" x14ac:dyDescent="0.35">
      <c r="E4023" s="9" t="str">
        <v>EPSG</v>
      </c>
      <c r="F4023" s="7" t="str">
        <v>7627</v>
      </c>
      <c r="G4023" t="str">
        <v>ProjectedCrs</v>
      </c>
      <c r="H4023" t="str">
        <v>Transverse Mercator</v>
      </c>
      <c r="I4023" t="str">
        <v>NAD83(2011) / WISCRS Price (ftUS)</v>
      </c>
      <c r="J4023" t="str">
        <v>United States (USA) - Wisconsin - Price county.</v>
      </c>
      <c r="K4023" s="11">
        <v>0</v>
      </c>
    </row>
    <row r="4024" spans="5:11" x14ac:dyDescent="0.35">
      <c r="E4024" s="9" t="str">
        <v>EPSG</v>
      </c>
      <c r="F4024" s="7" t="str">
        <v>7628</v>
      </c>
      <c r="G4024" t="str">
        <v>ProjectedCrs</v>
      </c>
      <c r="H4024" t="str">
        <v>Lambert Conic Conformal (1SP)</v>
      </c>
      <c r="I4024" t="str">
        <v>NAD83(2011) / WISCRS Richland (ftUS)</v>
      </c>
      <c r="J4024" t="str">
        <v>United States (USA) - Wisconsin - Richland county.</v>
      </c>
      <c r="K4024" s="11">
        <v>0</v>
      </c>
    </row>
    <row r="4025" spans="5:11" x14ac:dyDescent="0.35">
      <c r="E4025" s="9" t="str">
        <v>EPSG</v>
      </c>
      <c r="F4025" s="7" t="str">
        <v>7629</v>
      </c>
      <c r="G4025" t="str">
        <v>ProjectedCrs</v>
      </c>
      <c r="H4025" t="str">
        <v>Transverse Mercator</v>
      </c>
      <c r="I4025" t="str">
        <v>NAD83(2011) / WISCRS Rock (ftUS)</v>
      </c>
      <c r="J4025" t="str">
        <v>United States (USA) - Wisconsin - Rock county.</v>
      </c>
      <c r="K4025" s="11">
        <v>0</v>
      </c>
    </row>
    <row r="4026" spans="5:11" x14ac:dyDescent="0.35">
      <c r="E4026" s="9" t="str">
        <v>EPSG</v>
      </c>
      <c r="F4026" s="7" t="str">
        <v>7630</v>
      </c>
      <c r="G4026" t="str">
        <v>ProjectedCrs</v>
      </c>
      <c r="H4026" t="str">
        <v>Transverse Mercator</v>
      </c>
      <c r="I4026" t="str">
        <v>NAD83(2011) / WISCRS Rusk (ftUS)</v>
      </c>
      <c r="J4026" t="str">
        <v>United States (USA) - Wisconsin - Rusk county.</v>
      </c>
      <c r="K4026" s="11">
        <v>0</v>
      </c>
    </row>
    <row r="4027" spans="5:11" x14ac:dyDescent="0.35">
      <c r="E4027" s="9" t="str">
        <v>EPSG</v>
      </c>
      <c r="F4027" s="7" t="str">
        <v>7631</v>
      </c>
      <c r="G4027" t="str">
        <v>ProjectedCrs</v>
      </c>
      <c r="H4027" t="str">
        <v>Transverse Mercator</v>
      </c>
      <c r="I4027" t="str">
        <v>NAD83(2011) / WISCRS Sauk (ftUS)</v>
      </c>
      <c r="J4027" t="str">
        <v>United States (USA) - Wisconsin - Sauk county.</v>
      </c>
      <c r="K4027" s="11">
        <v>0</v>
      </c>
    </row>
    <row r="4028" spans="5:11" x14ac:dyDescent="0.35">
      <c r="E4028" s="9" t="str">
        <v>EPSG</v>
      </c>
      <c r="F4028" s="7" t="str">
        <v>7632</v>
      </c>
      <c r="G4028" t="str">
        <v>ProjectedCrs</v>
      </c>
      <c r="H4028" t="str">
        <v>Lambert Conic Conformal (1SP)</v>
      </c>
      <c r="I4028" t="str">
        <v>NAD83(2011) / WISCRS Sawyer (ftUS)</v>
      </c>
      <c r="J4028" t="str">
        <v>United States (USA) - Wisconsin - Sawyer county.</v>
      </c>
      <c r="K4028" s="11">
        <v>0</v>
      </c>
    </row>
    <row r="4029" spans="5:11" x14ac:dyDescent="0.35">
      <c r="E4029" s="9" t="str">
        <v>EPSG</v>
      </c>
      <c r="F4029" s="7" t="str">
        <v>7633</v>
      </c>
      <c r="G4029" t="str">
        <v>ProjectedCrs</v>
      </c>
      <c r="H4029" t="str">
        <v>Transverse Mercator</v>
      </c>
      <c r="I4029" t="str">
        <v>NAD83(2011) / WISCRS Shawano (ftUS)</v>
      </c>
      <c r="J4029" t="str">
        <v>United States (USA) - Wisconsin - Shawano county.</v>
      </c>
      <c r="K4029" s="11">
        <v>0</v>
      </c>
    </row>
    <row r="4030" spans="5:11" x14ac:dyDescent="0.35">
      <c r="E4030" s="9" t="str">
        <v>EPSG</v>
      </c>
      <c r="F4030" s="7" t="str">
        <v>7634</v>
      </c>
      <c r="G4030" t="str">
        <v>ProjectedCrs</v>
      </c>
      <c r="H4030" t="str">
        <v>Transverse Mercator</v>
      </c>
      <c r="I4030" t="str">
        <v>NAD83(2011) / WISCRS St. Croix (ftUS)</v>
      </c>
      <c r="J4030" t="str">
        <v>United States (USA) - Wisconsin - St. Croix county.</v>
      </c>
      <c r="K4030" s="11">
        <v>0</v>
      </c>
    </row>
    <row r="4031" spans="5:11" x14ac:dyDescent="0.35">
      <c r="E4031" s="9" t="str">
        <v>EPSG</v>
      </c>
      <c r="F4031" s="7" t="str">
        <v>7635</v>
      </c>
      <c r="G4031" t="str">
        <v>ProjectedCrs</v>
      </c>
      <c r="H4031" t="str">
        <v>Lambert Conic Conformal (1SP)</v>
      </c>
      <c r="I4031" t="str">
        <v>NAD83(2011) / WISCRS Taylor (ftUS)</v>
      </c>
      <c r="J4031" t="str">
        <v>United States (USA) - Wisconsin - Taylor county.</v>
      </c>
      <c r="K4031" s="11">
        <v>0</v>
      </c>
    </row>
    <row r="4032" spans="5:11" x14ac:dyDescent="0.35">
      <c r="E4032" s="9" t="str">
        <v>EPSG</v>
      </c>
      <c r="F4032" s="7" t="str">
        <v>7636</v>
      </c>
      <c r="G4032" t="str">
        <v>ProjectedCrs</v>
      </c>
      <c r="H4032" t="str">
        <v>Transverse Mercator</v>
      </c>
      <c r="I4032" t="str">
        <v>NAD83(2011) / WISCRS Trempealeau (ftUS)</v>
      </c>
      <c r="J4032" t="str">
        <v>United States (USA) - Wisconsin - Trempealeau county.</v>
      </c>
      <c r="K4032" s="11">
        <v>0</v>
      </c>
    </row>
    <row r="4033" spans="5:11" x14ac:dyDescent="0.35">
      <c r="E4033" s="9" t="str">
        <v>EPSG</v>
      </c>
      <c r="F4033" s="7" t="str">
        <v>7637</v>
      </c>
      <c r="G4033" t="str">
        <v>ProjectedCrs</v>
      </c>
      <c r="H4033" t="str">
        <v>Lambert Conic Conformal (1SP)</v>
      </c>
      <c r="I4033" t="str">
        <v>NAD83(2011) / WISCRS Vernon (ftUS)</v>
      </c>
      <c r="J4033" t="str">
        <v>United States (USA) - Wisconsin - Vernon county.</v>
      </c>
      <c r="K4033" s="11">
        <v>0</v>
      </c>
    </row>
    <row r="4034" spans="5:11" x14ac:dyDescent="0.35">
      <c r="E4034" s="9" t="str">
        <v>EPSG</v>
      </c>
      <c r="F4034" s="7" t="str">
        <v>7638</v>
      </c>
      <c r="G4034" t="str">
        <v>ProjectedCrs</v>
      </c>
      <c r="H4034" t="str">
        <v>Lambert Conic Conformal (1SP)</v>
      </c>
      <c r="I4034" t="str">
        <v>NAD83(2011) / WISCRS Vilas (ftUS)</v>
      </c>
      <c r="J4034" t="str">
        <v>United States (USA) - Wisconsin - Vilas county.</v>
      </c>
      <c r="K4034" s="11">
        <v>0</v>
      </c>
    </row>
    <row r="4035" spans="5:11" x14ac:dyDescent="0.35">
      <c r="E4035" s="9" t="str">
        <v>EPSG</v>
      </c>
      <c r="F4035" s="7" t="str">
        <v>7639</v>
      </c>
      <c r="G4035" t="str">
        <v>ProjectedCrs</v>
      </c>
      <c r="H4035" t="str">
        <v>Lambert Conic Conformal (1SP)</v>
      </c>
      <c r="I4035" t="str">
        <v>NAD83(2011) / WISCRS Walworth (ftUS)</v>
      </c>
      <c r="J4035" t="str">
        <v>United States (USA) - Wisconsin - Walworth county.</v>
      </c>
      <c r="K4035" s="11">
        <v>0</v>
      </c>
    </row>
    <row r="4036" spans="5:11" x14ac:dyDescent="0.35">
      <c r="E4036" s="9" t="str">
        <v>EPSG</v>
      </c>
      <c r="F4036" s="7" t="str">
        <v>7640</v>
      </c>
      <c r="G4036" t="str">
        <v>ProjectedCrs</v>
      </c>
      <c r="H4036" t="str">
        <v>Lambert Conic Conformal (1SP)</v>
      </c>
      <c r="I4036" t="str">
        <v>NAD83(2011) / WISCRS Washburn (ftUS)</v>
      </c>
      <c r="J4036" t="str">
        <v>United States (USA) - Wisconsin - Washburn county.</v>
      </c>
      <c r="K4036" s="11">
        <v>0</v>
      </c>
    </row>
    <row r="4037" spans="5:11" x14ac:dyDescent="0.35">
      <c r="E4037" s="9" t="str">
        <v>EPSG</v>
      </c>
      <c r="F4037" s="7" t="str">
        <v>7641</v>
      </c>
      <c r="G4037" t="str">
        <v>ProjectedCrs</v>
      </c>
      <c r="H4037" t="str">
        <v>Transverse Mercator</v>
      </c>
      <c r="I4037" t="str">
        <v>NAD83(2011) / WISCRS Washington (ftUS)</v>
      </c>
      <c r="J4037" t="str">
        <v>United States (USA) - Wisconsin - Washington county.</v>
      </c>
      <c r="K4037" s="11">
        <v>0</v>
      </c>
    </row>
    <row r="4038" spans="5:11" x14ac:dyDescent="0.35">
      <c r="E4038" s="9" t="str">
        <v>EPSG</v>
      </c>
      <c r="F4038" s="7" t="str">
        <v>7642</v>
      </c>
      <c r="G4038" t="str">
        <v>ProjectedCrs</v>
      </c>
      <c r="H4038" t="str">
        <v>Transverse Mercator</v>
      </c>
      <c r="I4038" t="str">
        <v>NAD83(2011) / WISCRS Waukesha (ftUS)</v>
      </c>
      <c r="J4038" t="str">
        <v>United States (USA) - Wisconsin - Waukesha county.</v>
      </c>
      <c r="K4038" s="11">
        <v>0</v>
      </c>
    </row>
    <row r="4039" spans="5:11" x14ac:dyDescent="0.35">
      <c r="E4039" s="9" t="str">
        <v>EPSG</v>
      </c>
      <c r="F4039" s="7" t="str">
        <v>7643</v>
      </c>
      <c r="G4039" t="str">
        <v>ProjectedCrs</v>
      </c>
      <c r="H4039" t="str">
        <v>Transverse Mercator</v>
      </c>
      <c r="I4039" t="str">
        <v>NAD83(2011) / WISCRS Waupaca (ftUS)</v>
      </c>
      <c r="J4039" t="str">
        <v>United States (USA) - Wisconsin - Waupaca county.</v>
      </c>
      <c r="K4039" s="11">
        <v>0</v>
      </c>
    </row>
    <row r="4040" spans="5:11" x14ac:dyDescent="0.35">
      <c r="E4040" s="9" t="str">
        <v>EPSG</v>
      </c>
      <c r="F4040" s="7" t="str">
        <v>7644</v>
      </c>
      <c r="G4040" t="str">
        <v>ProjectedCrs</v>
      </c>
      <c r="H4040" t="str">
        <v>Lambert Conic Conformal (1SP)</v>
      </c>
      <c r="I4040" t="str">
        <v>NAD83(2011) / WISCRS Waushara (ftUS)</v>
      </c>
      <c r="J4040" t="str">
        <v>United States (USA) - Wisconsin - Waushara county.</v>
      </c>
      <c r="K4040" s="11">
        <v>0</v>
      </c>
    </row>
    <row r="4041" spans="5:11" x14ac:dyDescent="0.35">
      <c r="E4041" s="9" t="str">
        <v>EPSG</v>
      </c>
      <c r="F4041" s="7" t="str">
        <v>7645</v>
      </c>
      <c r="G4041" t="str">
        <v>ProjectedCrs</v>
      </c>
      <c r="H4041" t="str">
        <v>Lambert Conic Conformal (1SP)</v>
      </c>
      <c r="I4041" t="str">
        <v>NAD83(2011) / WISCRS Wood (ftUS)</v>
      </c>
      <c r="J4041" t="str">
        <v>United States (USA) - Wisconsin - Wood county.</v>
      </c>
      <c r="K4041" s="11">
        <v>0</v>
      </c>
    </row>
    <row r="4042" spans="5:11" x14ac:dyDescent="0.35">
      <c r="E4042" s="9" t="str">
        <v>EPSG</v>
      </c>
      <c r="F4042" s="7" t="str">
        <v>7651</v>
      </c>
      <c r="G4042" t="str">
        <v>VerticalCrs</v>
      </c>
      <c r="H4042" t="str">
        <v>&lt;undefined&gt;</v>
      </c>
      <c r="I4042" t="str">
        <v>Kumul 34 height</v>
      </c>
      <c r="J4042" t="str">
        <v>Papua New Guinea - Papuan fold and thrust belt.</v>
      </c>
      <c r="K4042" s="11">
        <v>0</v>
      </c>
    </row>
    <row r="4043" spans="5:11" x14ac:dyDescent="0.35">
      <c r="E4043" s="9" t="str">
        <v>EPSG</v>
      </c>
      <c r="F4043" s="7" t="str">
        <v>7652</v>
      </c>
      <c r="G4043" t="str">
        <v>VerticalCrs</v>
      </c>
      <c r="H4043" t="str">
        <v>&lt;undefined&gt;</v>
      </c>
      <c r="I4043" t="str">
        <v>Kiunga height</v>
      </c>
      <c r="J4043" t="str">
        <v>Papua New Guinea - onshore south of 5°S and west of 144°E.</v>
      </c>
      <c r="K4043" s="11">
        <v>0</v>
      </c>
    </row>
    <row r="4044" spans="5:11" x14ac:dyDescent="0.35">
      <c r="E4044" s="9" t="str">
        <v>EPSG</v>
      </c>
      <c r="F4044" s="7" t="str">
        <v>7656</v>
      </c>
      <c r="G4044" t="str">
        <v>GeocentricCrs</v>
      </c>
      <c r="H4044" t="str">
        <v>&lt;undefined&gt;</v>
      </c>
      <c r="I4044" t="str">
        <v>WGS 84 (G730)</v>
      </c>
      <c r="J4044" t="str">
        <v>World.</v>
      </c>
      <c r="K4044" s="11">
        <v>0</v>
      </c>
    </row>
    <row r="4045" spans="5:11" x14ac:dyDescent="0.35">
      <c r="E4045" s="9" t="str">
        <v>EPSG</v>
      </c>
      <c r="F4045" s="7" t="str">
        <v>7657</v>
      </c>
      <c r="G4045" t="str">
        <v>Geographic3DCrs</v>
      </c>
      <c r="H4045" t="str">
        <v>&lt;undefined&gt;</v>
      </c>
      <c r="I4045" t="str">
        <v>WGS 84 (G730)</v>
      </c>
      <c r="J4045" t="str">
        <v>World.</v>
      </c>
      <c r="K4045" s="11">
        <v>0</v>
      </c>
    </row>
    <row r="4046" spans="5:11" x14ac:dyDescent="0.35">
      <c r="E4046" s="9" t="str">
        <v>EPSG</v>
      </c>
      <c r="F4046" s="7" t="str">
        <v>7658</v>
      </c>
      <c r="G4046" t="str">
        <v>GeocentricCrs</v>
      </c>
      <c r="H4046" t="str">
        <v>&lt;undefined&gt;</v>
      </c>
      <c r="I4046" t="str">
        <v>WGS 84 (G873)</v>
      </c>
      <c r="J4046" t="str">
        <v>World.</v>
      </c>
      <c r="K4046" s="11">
        <v>0</v>
      </c>
    </row>
    <row r="4047" spans="5:11" x14ac:dyDescent="0.35">
      <c r="E4047" s="9" t="str">
        <v>EPSG</v>
      </c>
      <c r="F4047" s="7" t="str">
        <v>7659</v>
      </c>
      <c r="G4047" t="str">
        <v>Geographic3DCrs</v>
      </c>
      <c r="H4047" t="str">
        <v>&lt;undefined&gt;</v>
      </c>
      <c r="I4047" t="str">
        <v>WGS 84 (G873)</v>
      </c>
      <c r="J4047" t="str">
        <v>World.</v>
      </c>
      <c r="K4047" s="11">
        <v>0</v>
      </c>
    </row>
    <row r="4048" spans="5:11" x14ac:dyDescent="0.35">
      <c r="E4048" s="9" t="str">
        <v>EPSG</v>
      </c>
      <c r="F4048" s="7" t="str">
        <v>7660</v>
      </c>
      <c r="G4048" t="str">
        <v>GeocentricCrs</v>
      </c>
      <c r="H4048" t="str">
        <v>&lt;undefined&gt;</v>
      </c>
      <c r="I4048" t="str">
        <v>WGS 84 (G1150)</v>
      </c>
      <c r="J4048" t="str">
        <v>World.</v>
      </c>
      <c r="K4048" s="11">
        <v>0</v>
      </c>
    </row>
    <row r="4049" spans="5:11" x14ac:dyDescent="0.35">
      <c r="E4049" s="9" t="str">
        <v>EPSG</v>
      </c>
      <c r="F4049" s="7" t="str">
        <v>7661</v>
      </c>
      <c r="G4049" t="str">
        <v>Geographic3DCrs</v>
      </c>
      <c r="H4049" t="str">
        <v>&lt;undefined&gt;</v>
      </c>
      <c r="I4049" t="str">
        <v>WGS 84 (G1150)</v>
      </c>
      <c r="J4049" t="str">
        <v>World.</v>
      </c>
      <c r="K4049" s="11">
        <v>0</v>
      </c>
    </row>
    <row r="4050" spans="5:11" x14ac:dyDescent="0.35">
      <c r="E4050" s="9" t="str">
        <v>EPSG</v>
      </c>
      <c r="F4050" s="7" t="str">
        <v>7662</v>
      </c>
      <c r="G4050" t="str">
        <v>GeocentricCrs</v>
      </c>
      <c r="H4050" t="str">
        <v>&lt;undefined&gt;</v>
      </c>
      <c r="I4050" t="str">
        <v>WGS 84 (G1674)</v>
      </c>
      <c r="J4050" t="str">
        <v>World.</v>
      </c>
      <c r="K4050" s="11">
        <v>0</v>
      </c>
    </row>
    <row r="4051" spans="5:11" x14ac:dyDescent="0.35">
      <c r="E4051" s="9" t="str">
        <v>EPSG</v>
      </c>
      <c r="F4051" s="7" t="str">
        <v>7663</v>
      </c>
      <c r="G4051" t="str">
        <v>Geographic3DCrs</v>
      </c>
      <c r="H4051" t="str">
        <v>&lt;undefined&gt;</v>
      </c>
      <c r="I4051" t="str">
        <v>WGS 84 (G1674)</v>
      </c>
      <c r="J4051" t="str">
        <v>World.</v>
      </c>
      <c r="K4051" s="11">
        <v>0</v>
      </c>
    </row>
    <row r="4052" spans="5:11" x14ac:dyDescent="0.35">
      <c r="E4052" s="9" t="str">
        <v>EPSG</v>
      </c>
      <c r="F4052" s="7" t="str">
        <v>7664</v>
      </c>
      <c r="G4052" t="str">
        <v>GeocentricCrs</v>
      </c>
      <c r="H4052" t="str">
        <v>&lt;undefined&gt;</v>
      </c>
      <c r="I4052" t="str">
        <v>WGS 84 (G1762)</v>
      </c>
      <c r="J4052" t="str">
        <v>World.</v>
      </c>
      <c r="K4052" s="11">
        <v>0</v>
      </c>
    </row>
    <row r="4053" spans="5:11" x14ac:dyDescent="0.35">
      <c r="E4053" s="9" t="str">
        <v>EPSG</v>
      </c>
      <c r="F4053" s="7" t="str">
        <v>7665</v>
      </c>
      <c r="G4053" t="str">
        <v>Geographic3DCrs</v>
      </c>
      <c r="H4053" t="str">
        <v>&lt;undefined&gt;</v>
      </c>
      <c r="I4053" t="str">
        <v>WGS 84 (G1762)</v>
      </c>
      <c r="J4053" t="str">
        <v>World.</v>
      </c>
      <c r="K4053" s="11">
        <v>0</v>
      </c>
    </row>
    <row r="4054" spans="5:11" x14ac:dyDescent="0.35">
      <c r="E4054" s="9" t="str">
        <v>EPSG</v>
      </c>
      <c r="F4054" s="7" t="str">
        <v>7677</v>
      </c>
      <c r="G4054" t="str">
        <v>GeocentricCrs</v>
      </c>
      <c r="H4054" t="str">
        <v>&lt;undefined&gt;</v>
      </c>
      <c r="I4054" t="str">
        <v>PZ-90.02</v>
      </c>
      <c r="J4054" t="str">
        <v>World.</v>
      </c>
      <c r="K4054" s="11">
        <v>0</v>
      </c>
    </row>
    <row r="4055" spans="5:11" x14ac:dyDescent="0.35">
      <c r="E4055" s="9" t="str">
        <v>EPSG</v>
      </c>
      <c r="F4055" s="7" t="str">
        <v>7678</v>
      </c>
      <c r="G4055" t="str">
        <v>Geographic3DCrs</v>
      </c>
      <c r="H4055" t="str">
        <v>&lt;undefined&gt;</v>
      </c>
      <c r="I4055" t="str">
        <v>PZ-90.02</v>
      </c>
      <c r="J4055" t="str">
        <v>World.</v>
      </c>
      <c r="K4055" s="11">
        <v>0</v>
      </c>
    </row>
    <row r="4056" spans="5:11" x14ac:dyDescent="0.35">
      <c r="E4056" s="9" t="str">
        <v>EPSG</v>
      </c>
      <c r="F4056" s="7" t="str">
        <v>7679</v>
      </c>
      <c r="G4056" t="str">
        <v>GeocentricCrs</v>
      </c>
      <c r="H4056" t="str">
        <v>&lt;undefined&gt;</v>
      </c>
      <c r="I4056" t="str">
        <v>PZ-90.11</v>
      </c>
      <c r="J4056" t="str">
        <v>World.</v>
      </c>
      <c r="K4056" s="11">
        <v>0</v>
      </c>
    </row>
    <row r="4057" spans="5:11" x14ac:dyDescent="0.35">
      <c r="E4057" s="9" t="str">
        <v>EPSG</v>
      </c>
      <c r="F4057" s="7" t="str">
        <v>7680</v>
      </c>
      <c r="G4057" t="str">
        <v>Geographic3DCrs</v>
      </c>
      <c r="H4057" t="str">
        <v>&lt;undefined&gt;</v>
      </c>
      <c r="I4057" t="str">
        <v>PZ-90.11</v>
      </c>
      <c r="J4057" t="str">
        <v>World.</v>
      </c>
      <c r="K4057" s="11">
        <v>0</v>
      </c>
    </row>
    <row r="4058" spans="5:11" x14ac:dyDescent="0.35">
      <c r="E4058" s="9" t="str">
        <v>EPSG</v>
      </c>
      <c r="F4058" s="7" t="str">
        <v>7681</v>
      </c>
      <c r="G4058" t="str">
        <v>GeocentricCrs</v>
      </c>
      <c r="H4058" t="str">
        <v>&lt;undefined&gt;</v>
      </c>
      <c r="I4058" t="str">
        <v>GSK-2011</v>
      </c>
      <c r="J4058" t="str">
        <v>Russian Federation - onshore and offshore.</v>
      </c>
      <c r="K4058" s="11">
        <v>0</v>
      </c>
    </row>
    <row r="4059" spans="5:11" x14ac:dyDescent="0.35">
      <c r="E4059" s="9" t="str">
        <v>EPSG</v>
      </c>
      <c r="F4059" s="7" t="str">
        <v>7682</v>
      </c>
      <c r="G4059" t="str">
        <v>Geographic3DCrs</v>
      </c>
      <c r="H4059" t="str">
        <v>&lt;undefined&gt;</v>
      </c>
      <c r="I4059" t="str">
        <v>GSK-2011</v>
      </c>
      <c r="J4059" t="str">
        <v>Russian Federation - onshore and offshore.</v>
      </c>
      <c r="K4059" s="11">
        <v>0</v>
      </c>
    </row>
    <row r="4060" spans="5:11" x14ac:dyDescent="0.35">
      <c r="E4060" s="9" t="str">
        <v>EPSG</v>
      </c>
      <c r="F4060" s="7" t="str">
        <v>7683</v>
      </c>
      <c r="G4060" t="str">
        <v>Geographic2DCrs</v>
      </c>
      <c r="H4060" t="str">
        <v>&lt;undefined&gt;</v>
      </c>
      <c r="I4060" t="str">
        <v>GSK-2011</v>
      </c>
      <c r="J4060" t="str">
        <v>Russian Federation - onshore and offshore.</v>
      </c>
      <c r="K4060" s="11">
        <v>0</v>
      </c>
    </row>
    <row r="4061" spans="5:11" x14ac:dyDescent="0.35">
      <c r="E4061" s="9" t="str">
        <v>EPSG</v>
      </c>
      <c r="F4061" s="7" t="str">
        <v>7684</v>
      </c>
      <c r="G4061" t="str">
        <v>GeocentricCrs</v>
      </c>
      <c r="H4061" t="str">
        <v>&lt;undefined&gt;</v>
      </c>
      <c r="I4061" t="str">
        <v>Kyrg-06</v>
      </c>
      <c r="J4061" t="str">
        <v>Kyrgyzstan.</v>
      </c>
      <c r="K4061" s="11">
        <v>0</v>
      </c>
    </row>
    <row r="4062" spans="5:11" x14ac:dyDescent="0.35">
      <c r="E4062" s="9" t="str">
        <v>EPSG</v>
      </c>
      <c r="F4062" s="7" t="str">
        <v>7685</v>
      </c>
      <c r="G4062" t="str">
        <v>Geographic3DCrs</v>
      </c>
      <c r="H4062" t="str">
        <v>&lt;undefined&gt;</v>
      </c>
      <c r="I4062" t="str">
        <v>Kyrg-06</v>
      </c>
      <c r="J4062" t="str">
        <v>Kyrgyzstan.</v>
      </c>
      <c r="K4062" s="11">
        <v>0</v>
      </c>
    </row>
    <row r="4063" spans="5:11" x14ac:dyDescent="0.35">
      <c r="E4063" s="9" t="str">
        <v>EPSG</v>
      </c>
      <c r="F4063" s="7" t="str">
        <v>7686</v>
      </c>
      <c r="G4063" t="str">
        <v>Geographic2DCrs</v>
      </c>
      <c r="H4063" t="str">
        <v>&lt;undefined&gt;</v>
      </c>
      <c r="I4063" t="str">
        <v>Kyrg-06</v>
      </c>
      <c r="J4063" t="str">
        <v>Kyrgyzstan.</v>
      </c>
      <c r="K4063" s="11">
        <v>0</v>
      </c>
    </row>
    <row r="4064" spans="5:11" x14ac:dyDescent="0.35">
      <c r="E4064" s="9" t="str">
        <v>EPSG</v>
      </c>
      <c r="F4064" s="7" t="str">
        <v>7692</v>
      </c>
      <c r="G4064" t="str">
        <v>ProjectedCrs</v>
      </c>
      <c r="H4064" t="str">
        <v>Transverse Mercator</v>
      </c>
      <c r="I4064" t="str">
        <v>Kyrg-06 / zone 1</v>
      </c>
      <c r="J4064" t="str">
        <v>Kyrgyzstan - west of 70°01'E.</v>
      </c>
      <c r="K4064" s="11">
        <v>0</v>
      </c>
    </row>
    <row r="4065" spans="5:11" x14ac:dyDescent="0.35">
      <c r="E4065" s="9" t="str">
        <v>EPSG</v>
      </c>
      <c r="F4065" s="7" t="str">
        <v>7693</v>
      </c>
      <c r="G4065" t="str">
        <v>ProjectedCrs</v>
      </c>
      <c r="H4065" t="str">
        <v>Transverse Mercator</v>
      </c>
      <c r="I4065" t="str">
        <v>Kyrg-06 / zone 2</v>
      </c>
      <c r="J4065" t="str">
        <v>Kyrgyzstan - between 70°01'E and 73°01'E.</v>
      </c>
      <c r="K4065" s="11">
        <v>0</v>
      </c>
    </row>
    <row r="4066" spans="5:11" x14ac:dyDescent="0.35">
      <c r="E4066" s="9" t="str">
        <v>EPSG</v>
      </c>
      <c r="F4066" s="7" t="str">
        <v>7694</v>
      </c>
      <c r="G4066" t="str">
        <v>ProjectedCrs</v>
      </c>
      <c r="H4066" t="str">
        <v>Transverse Mercator</v>
      </c>
      <c r="I4066" t="str">
        <v>Kyrg-06 / zone 3</v>
      </c>
      <c r="J4066" t="str">
        <v>Kyrgyzstan - between 73°01'E and 76°01'E.</v>
      </c>
      <c r="K4066" s="11">
        <v>0</v>
      </c>
    </row>
    <row r="4067" spans="5:11" x14ac:dyDescent="0.35">
      <c r="E4067" s="9" t="str">
        <v>EPSG</v>
      </c>
      <c r="F4067" s="7" t="str">
        <v>7695</v>
      </c>
      <c r="G4067" t="str">
        <v>ProjectedCrs</v>
      </c>
      <c r="H4067" t="str">
        <v>Transverse Mercator</v>
      </c>
      <c r="I4067" t="str">
        <v>Kyrg-06 / zone 4</v>
      </c>
      <c r="J4067" t="str">
        <v>Kyrgyzstan - between 76°01'E and 79°01'E.</v>
      </c>
      <c r="K4067" s="11">
        <v>0</v>
      </c>
    </row>
    <row r="4068" spans="5:11" x14ac:dyDescent="0.35">
      <c r="E4068" s="9" t="str">
        <v>EPSG</v>
      </c>
      <c r="F4068" s="7" t="str">
        <v>7696</v>
      </c>
      <c r="G4068" t="str">
        <v>ProjectedCrs</v>
      </c>
      <c r="H4068" t="str">
        <v>Transverse Mercator</v>
      </c>
      <c r="I4068" t="str">
        <v>Kyrg-06 / zone 5</v>
      </c>
      <c r="J4068" t="str">
        <v>Kyrgyzstan - east of 79°01'E.</v>
      </c>
      <c r="K4068" s="11">
        <v>0</v>
      </c>
    </row>
    <row r="4069" spans="5:11" x14ac:dyDescent="0.35">
      <c r="E4069" s="9" t="str">
        <v>EPSG</v>
      </c>
      <c r="F4069" s="7" t="str">
        <v>7699</v>
      </c>
      <c r="G4069" t="str">
        <v>VerticalCrs</v>
      </c>
      <c r="H4069" t="str">
        <v>&lt;undefined&gt;</v>
      </c>
      <c r="I4069" t="str">
        <v>DHHN12 height</v>
      </c>
      <c r="J4069" t="str">
        <v>Germany - onshore - states of Baden-Wurtemberg, Bayern, Berlin, Brandenburg, Bremen, Hamburg, Hessen, Mecklenburg-Vorpommern, Niedersachsen, Nordrhein-Westfalen, Rheinland-Pfalz, Saarland, Sachsen, Sachsen-Anhalt, Schleswig-Holstein, Thuringen.</v>
      </c>
      <c r="K4069" s="11">
        <v>0</v>
      </c>
    </row>
    <row r="4070" spans="5:11" x14ac:dyDescent="0.35">
      <c r="E4070" s="9" t="str">
        <v>EPSG</v>
      </c>
      <c r="F4070" s="7" t="str">
        <v>7700</v>
      </c>
      <c r="G4070" t="str">
        <v>VerticalCrs</v>
      </c>
      <c r="H4070" t="str">
        <v>&lt;undefined&gt;</v>
      </c>
      <c r="I4070" t="str">
        <v>Latvia 2000 height</v>
      </c>
      <c r="J4070" t="str">
        <v>Latvia - onshore.</v>
      </c>
      <c r="K4070" s="11">
        <v>0</v>
      </c>
    </row>
    <row r="4071" spans="5:11" x14ac:dyDescent="0.35">
      <c r="E4071" s="9" t="str">
        <v>EPSG</v>
      </c>
      <c r="F4071" s="7" t="str">
        <v>7707</v>
      </c>
      <c r="G4071" t="str">
        <v>VerticalCrs</v>
      </c>
      <c r="H4071" t="str">
        <v>&lt;undefined&gt;</v>
      </c>
      <c r="I4071" t="str">
        <v>ODN (Offshore) height</v>
      </c>
      <c r="J4071" t="str">
        <v>United Kingdom (UK) - offshore between 2km from shore and boundary of UKCS within 49°45'N to 61°N and 9°W to 2°E.</v>
      </c>
      <c r="K4071" s="11">
        <v>1</v>
      </c>
    </row>
    <row r="4072" spans="5:11" x14ac:dyDescent="0.35">
      <c r="E4072" s="9" t="str">
        <v>EPSG</v>
      </c>
      <c r="F4072" s="7" t="str">
        <v>7755</v>
      </c>
      <c r="G4072" t="str">
        <v>ProjectedCrs</v>
      </c>
      <c r="H4072" t="str">
        <v>Lambert Conic Conformal (2SP)</v>
      </c>
      <c r="I4072" t="str">
        <v>WGS 84 / India NSF LCC</v>
      </c>
      <c r="J4072" t="str">
        <v>India - onshore and offshore. Includes Amandivis, Laccadives, Minicoy, Andaman Islands, Nicobar Islands, and Sikkim.</v>
      </c>
      <c r="K4072" s="11">
        <v>0</v>
      </c>
    </row>
    <row r="4073" spans="5:11" x14ac:dyDescent="0.35">
      <c r="E4073" s="9" t="str">
        <v>EPSG</v>
      </c>
      <c r="F4073" s="7" t="str">
        <v>7756</v>
      </c>
      <c r="G4073" t="str">
        <v>ProjectedCrs</v>
      </c>
      <c r="H4073" t="str">
        <v>Lambert Conic Conformal (2SP)</v>
      </c>
      <c r="I4073" t="str">
        <v>WGS 84 / Andhra Pradesh</v>
      </c>
      <c r="J4073" t="str">
        <v>India - Andhra Pradesh; Telangana; Yanam area of Pudacherry territory.</v>
      </c>
      <c r="K4073" s="11">
        <v>0</v>
      </c>
    </row>
    <row r="4074" spans="5:11" x14ac:dyDescent="0.35">
      <c r="E4074" s="9" t="str">
        <v>EPSG</v>
      </c>
      <c r="F4074" s="7" t="str">
        <v>7757</v>
      </c>
      <c r="G4074" t="str">
        <v>ProjectedCrs</v>
      </c>
      <c r="H4074" t="str">
        <v>Lambert Conic Conformal (2SP)</v>
      </c>
      <c r="I4074" t="str">
        <v>WGS 84 / Arunachal Pradesh</v>
      </c>
      <c r="J4074" t="str">
        <v>India - Arunachal Pradesh.</v>
      </c>
      <c r="K4074" s="11">
        <v>0</v>
      </c>
    </row>
    <row r="4075" spans="5:11" x14ac:dyDescent="0.35">
      <c r="E4075" s="9" t="str">
        <v>EPSG</v>
      </c>
      <c r="F4075" s="7" t="str">
        <v>7758</v>
      </c>
      <c r="G4075" t="str">
        <v>ProjectedCrs</v>
      </c>
      <c r="H4075" t="str">
        <v>Lambert Conic Conformal (2SP)</v>
      </c>
      <c r="I4075" t="str">
        <v>WGS 84 / Assam</v>
      </c>
      <c r="J4075" t="str">
        <v>India - Assam.</v>
      </c>
      <c r="K4075" s="11">
        <v>0</v>
      </c>
    </row>
    <row r="4076" spans="5:11" x14ac:dyDescent="0.35">
      <c r="E4076" s="9" t="str">
        <v>EPSG</v>
      </c>
      <c r="F4076" s="7" t="str">
        <v>7759</v>
      </c>
      <c r="G4076" t="str">
        <v>ProjectedCrs</v>
      </c>
      <c r="H4076" t="str">
        <v>Lambert Conic Conformal (2SP)</v>
      </c>
      <c r="I4076" t="str">
        <v>WGS 84 / Bihar</v>
      </c>
      <c r="J4076" t="str">
        <v>India - Bihar.</v>
      </c>
      <c r="K4076" s="11">
        <v>0</v>
      </c>
    </row>
    <row r="4077" spans="5:11" x14ac:dyDescent="0.35">
      <c r="E4077" s="9" t="str">
        <v>EPSG</v>
      </c>
      <c r="F4077" s="7" t="str">
        <v>7760</v>
      </c>
      <c r="G4077" t="str">
        <v>ProjectedCrs</v>
      </c>
      <c r="H4077" t="str">
        <v>Lambert Conic Conformal (2SP)</v>
      </c>
      <c r="I4077" t="str">
        <v>WGS 84 / Delhi</v>
      </c>
      <c r="J4077" t="str">
        <v>India - Delhi national capital territory.</v>
      </c>
      <c r="K4077" s="11">
        <v>0</v>
      </c>
    </row>
    <row r="4078" spans="5:11" x14ac:dyDescent="0.35">
      <c r="E4078" s="9" t="str">
        <v>EPSG</v>
      </c>
      <c r="F4078" s="7" t="str">
        <v>7761</v>
      </c>
      <c r="G4078" t="str">
        <v>ProjectedCrs</v>
      </c>
      <c r="H4078" t="str">
        <v>Lambert Conic Conformal (2SP)</v>
      </c>
      <c r="I4078" t="str">
        <v>WGS 84 / Gujarat</v>
      </c>
      <c r="J4078" t="str">
        <v>India - Gujarat and union territories of Daman, Diu, Dadra and Nagar Haveli.</v>
      </c>
      <c r="K4078" s="11">
        <v>0</v>
      </c>
    </row>
    <row r="4079" spans="5:11" x14ac:dyDescent="0.35">
      <c r="E4079" s="9" t="str">
        <v>EPSG</v>
      </c>
      <c r="F4079" s="7" t="str">
        <v>7762</v>
      </c>
      <c r="G4079" t="str">
        <v>ProjectedCrs</v>
      </c>
      <c r="H4079" t="str">
        <v>Lambert Conic Conformal (2SP)</v>
      </c>
      <c r="I4079" t="str">
        <v>WGS 84 / Haryana</v>
      </c>
      <c r="J4079" t="str">
        <v>India - Haryana including Chandigarh.</v>
      </c>
      <c r="K4079" s="11">
        <v>0</v>
      </c>
    </row>
    <row r="4080" spans="5:11" x14ac:dyDescent="0.35">
      <c r="E4080" s="9" t="str">
        <v>EPSG</v>
      </c>
      <c r="F4080" s="7" t="str">
        <v>7763</v>
      </c>
      <c r="G4080" t="str">
        <v>ProjectedCrs</v>
      </c>
      <c r="H4080" t="str">
        <v>Lambert Conic Conformal (2SP)</v>
      </c>
      <c r="I4080" t="str">
        <v>WGS 84 / Himachal Pradesh</v>
      </c>
      <c r="J4080" t="str">
        <v>India - Himachal Pradesh.</v>
      </c>
      <c r="K4080" s="11">
        <v>0</v>
      </c>
    </row>
    <row r="4081" spans="5:11" x14ac:dyDescent="0.35">
      <c r="E4081" s="9" t="str">
        <v>EPSG</v>
      </c>
      <c r="F4081" s="7" t="str">
        <v>7764</v>
      </c>
      <c r="G4081" t="str">
        <v>ProjectedCrs</v>
      </c>
      <c r="H4081" t="str">
        <v>Lambert Conic Conformal (2SP)</v>
      </c>
      <c r="I4081" t="str">
        <v>WGS 84 / Jammu and Kashmir</v>
      </c>
      <c r="J4081" t="str">
        <v>India - Jammu and Kashmir.</v>
      </c>
      <c r="K4081" s="11">
        <v>0</v>
      </c>
    </row>
    <row r="4082" spans="5:11" x14ac:dyDescent="0.35">
      <c r="E4082" s="9" t="str">
        <v>EPSG</v>
      </c>
      <c r="F4082" s="7" t="str">
        <v>7765</v>
      </c>
      <c r="G4082" t="str">
        <v>ProjectedCrs</v>
      </c>
      <c r="H4082" t="str">
        <v>Lambert Conic Conformal (2SP)</v>
      </c>
      <c r="I4082" t="str">
        <v>WGS 84 / Jharkhand</v>
      </c>
      <c r="J4082" t="str">
        <v>India - Jharkhand.</v>
      </c>
      <c r="K4082" s="11">
        <v>0</v>
      </c>
    </row>
    <row r="4083" spans="5:11" x14ac:dyDescent="0.35">
      <c r="E4083" s="9" t="str">
        <v>EPSG</v>
      </c>
      <c r="F4083" s="7" t="str">
        <v>7766</v>
      </c>
      <c r="G4083" t="str">
        <v>ProjectedCrs</v>
      </c>
      <c r="H4083" t="str">
        <v>Lambert Conic Conformal (2SP)</v>
      </c>
      <c r="I4083" t="str">
        <v>WGS 84 / Madhya Pradesh</v>
      </c>
      <c r="J4083" t="str">
        <v>India - Madhya Pradesh.</v>
      </c>
      <c r="K4083" s="11">
        <v>0</v>
      </c>
    </row>
    <row r="4084" spans="5:11" x14ac:dyDescent="0.35">
      <c r="E4084" s="9" t="str">
        <v>EPSG</v>
      </c>
      <c r="F4084" s="7" t="str">
        <v>7767</v>
      </c>
      <c r="G4084" t="str">
        <v>ProjectedCrs</v>
      </c>
      <c r="H4084" t="str">
        <v>Lambert Conic Conformal (2SP)</v>
      </c>
      <c r="I4084" t="str">
        <v>WGS 84 / Maharashtra</v>
      </c>
      <c r="J4084" t="str">
        <v>India - Maharashtra.</v>
      </c>
      <c r="K4084" s="11">
        <v>0</v>
      </c>
    </row>
    <row r="4085" spans="5:11" x14ac:dyDescent="0.35">
      <c r="E4085" s="9" t="str">
        <v>EPSG</v>
      </c>
      <c r="F4085" s="7" t="str">
        <v>7768</v>
      </c>
      <c r="G4085" t="str">
        <v>ProjectedCrs</v>
      </c>
      <c r="H4085" t="str">
        <v>Lambert Conic Conformal (2SP)</v>
      </c>
      <c r="I4085" t="str">
        <v>WGS 84 / Manipur</v>
      </c>
      <c r="J4085" t="str">
        <v>India - Manipur.</v>
      </c>
      <c r="K4085" s="11">
        <v>0</v>
      </c>
    </row>
    <row r="4086" spans="5:11" x14ac:dyDescent="0.35">
      <c r="E4086" s="9" t="str">
        <v>EPSG</v>
      </c>
      <c r="F4086" s="7" t="str">
        <v>7769</v>
      </c>
      <c r="G4086" t="str">
        <v>ProjectedCrs</v>
      </c>
      <c r="H4086" t="str">
        <v>Lambert Conic Conformal (2SP)</v>
      </c>
      <c r="I4086" t="str">
        <v>WGS 84 / Meghalaya</v>
      </c>
      <c r="J4086" t="str">
        <v>India - Meghalaya.</v>
      </c>
      <c r="K4086" s="11">
        <v>0</v>
      </c>
    </row>
    <row r="4087" spans="5:11" x14ac:dyDescent="0.35">
      <c r="E4087" s="9" t="str">
        <v>EPSG</v>
      </c>
      <c r="F4087" s="7" t="str">
        <v>7770</v>
      </c>
      <c r="G4087" t="str">
        <v>ProjectedCrs</v>
      </c>
      <c r="H4087" t="str">
        <v>Lambert Conic Conformal (2SP)</v>
      </c>
      <c r="I4087" t="str">
        <v>WGS 84 / Nagaland</v>
      </c>
      <c r="J4087" t="str">
        <v>India - Nagaland.</v>
      </c>
      <c r="K4087" s="11">
        <v>0</v>
      </c>
    </row>
    <row r="4088" spans="5:11" x14ac:dyDescent="0.35">
      <c r="E4088" s="9" t="str">
        <v>EPSG</v>
      </c>
      <c r="F4088" s="7" t="str">
        <v>7771</v>
      </c>
      <c r="G4088" t="str">
        <v>ProjectedCrs</v>
      </c>
      <c r="H4088" t="str">
        <v>Lambert Conic Conformal (2SP)</v>
      </c>
      <c r="I4088" t="str">
        <v>WGS 84 / India Northeast</v>
      </c>
      <c r="J4088" t="str">
        <v>India - Arunachal Pradesh, Assam, Manipur, Meghalaya, Mizoram, Nagaland and Tripura.</v>
      </c>
      <c r="K4088" s="11">
        <v>0</v>
      </c>
    </row>
    <row r="4089" spans="5:11" x14ac:dyDescent="0.35">
      <c r="E4089" s="9" t="str">
        <v>EPSG</v>
      </c>
      <c r="F4089" s="7" t="str">
        <v>7772</v>
      </c>
      <c r="G4089" t="str">
        <v>ProjectedCrs</v>
      </c>
      <c r="H4089" t="str">
        <v>Lambert Conic Conformal (2SP)</v>
      </c>
      <c r="I4089" t="str">
        <v>WGS 84 / Orissa</v>
      </c>
      <c r="J4089" t="str">
        <v>India - Odisha (Orissa).</v>
      </c>
      <c r="K4089" s="11">
        <v>0</v>
      </c>
    </row>
    <row r="4090" spans="5:11" x14ac:dyDescent="0.35">
      <c r="E4090" s="9" t="str">
        <v>EPSG</v>
      </c>
      <c r="F4090" s="7" t="str">
        <v>7773</v>
      </c>
      <c r="G4090" t="str">
        <v>ProjectedCrs</v>
      </c>
      <c r="H4090" t="str">
        <v>Lambert Conic Conformal (2SP)</v>
      </c>
      <c r="I4090" t="str">
        <v>WGS 84 / Punjab</v>
      </c>
      <c r="J4090" t="str">
        <v>India - Punjab including Chandigarh.</v>
      </c>
      <c r="K4090" s="11">
        <v>0</v>
      </c>
    </row>
    <row r="4091" spans="5:11" x14ac:dyDescent="0.35">
      <c r="E4091" s="9" t="str">
        <v>EPSG</v>
      </c>
      <c r="F4091" s="7" t="str">
        <v>7774</v>
      </c>
      <c r="G4091" t="str">
        <v>ProjectedCrs</v>
      </c>
      <c r="H4091" t="str">
        <v>Lambert Conic Conformal (2SP)</v>
      </c>
      <c r="I4091" t="str">
        <v>WGS 84 / Rajasthan</v>
      </c>
      <c r="J4091" t="str">
        <v>India - Rajasthan.</v>
      </c>
      <c r="K4091" s="11">
        <v>0</v>
      </c>
    </row>
    <row r="4092" spans="5:11" x14ac:dyDescent="0.35">
      <c r="E4092" s="9" t="str">
        <v>EPSG</v>
      </c>
      <c r="F4092" s="7" t="str">
        <v>7775</v>
      </c>
      <c r="G4092" t="str">
        <v>ProjectedCrs</v>
      </c>
      <c r="H4092" t="str">
        <v>Lambert Conic Conformal (2SP)</v>
      </c>
      <c r="I4092" t="str">
        <v>WGS 84 / Uttar Pradesh</v>
      </c>
      <c r="J4092" t="str">
        <v>India - Uttar Pradesh.</v>
      </c>
      <c r="K4092" s="11">
        <v>0</v>
      </c>
    </row>
    <row r="4093" spans="5:11" x14ac:dyDescent="0.35">
      <c r="E4093" s="9" t="str">
        <v>EPSG</v>
      </c>
      <c r="F4093" s="7" t="str">
        <v>7776</v>
      </c>
      <c r="G4093" t="str">
        <v>ProjectedCrs</v>
      </c>
      <c r="H4093" t="str">
        <v>Lambert Conic Conformal (2SP)</v>
      </c>
      <c r="I4093" t="str">
        <v>WGS 84 / Uttaranchal</v>
      </c>
      <c r="J4093" t="str">
        <v>India - Uttarakhand (Uttaranchal).</v>
      </c>
      <c r="K4093" s="11">
        <v>0</v>
      </c>
    </row>
    <row r="4094" spans="5:11" x14ac:dyDescent="0.35">
      <c r="E4094" s="9" t="str">
        <v>EPSG</v>
      </c>
      <c r="F4094" s="7" t="str">
        <v>7777</v>
      </c>
      <c r="G4094" t="str">
        <v>ProjectedCrs</v>
      </c>
      <c r="H4094" t="str">
        <v>Transverse Mercator</v>
      </c>
      <c r="I4094" t="str">
        <v>WGS 84 / Andaman and Nicobar</v>
      </c>
      <c r="J4094" t="str">
        <v>India - Andaman and Nicobar Islands.</v>
      </c>
      <c r="K4094" s="11">
        <v>0</v>
      </c>
    </row>
    <row r="4095" spans="5:11" x14ac:dyDescent="0.35">
      <c r="E4095" s="9" t="str">
        <v>EPSG</v>
      </c>
      <c r="F4095" s="7" t="str">
        <v>7778</v>
      </c>
      <c r="G4095" t="str">
        <v>ProjectedCrs</v>
      </c>
      <c r="H4095" t="str">
        <v>Transverse Mercator</v>
      </c>
      <c r="I4095" t="str">
        <v>WGS 84 / Chhattisgarh</v>
      </c>
      <c r="J4095" t="str">
        <v>India - Chhattisgarh.</v>
      </c>
      <c r="K4095" s="11">
        <v>0</v>
      </c>
    </row>
    <row r="4096" spans="5:11" x14ac:dyDescent="0.35">
      <c r="E4096" s="9" t="str">
        <v>EPSG</v>
      </c>
      <c r="F4096" s="7" t="str">
        <v>7779</v>
      </c>
      <c r="G4096" t="str">
        <v>ProjectedCrs</v>
      </c>
      <c r="H4096" t="str">
        <v>Transverse Mercator</v>
      </c>
      <c r="I4096" t="str">
        <v>WGS 84 / Goa</v>
      </c>
      <c r="J4096" t="str">
        <v>India - Goa.</v>
      </c>
      <c r="K4096" s="11">
        <v>0</v>
      </c>
    </row>
    <row r="4097" spans="5:11" x14ac:dyDescent="0.35">
      <c r="E4097" s="9" t="str">
        <v>EPSG</v>
      </c>
      <c r="F4097" s="7" t="str">
        <v>7780</v>
      </c>
      <c r="G4097" t="str">
        <v>ProjectedCrs</v>
      </c>
      <c r="H4097" t="str">
        <v>Transverse Mercator</v>
      </c>
      <c r="I4097" t="str">
        <v>WGS 84 / Karnataka</v>
      </c>
      <c r="J4097" t="str">
        <v>India - Karnataka.</v>
      </c>
      <c r="K4097" s="11">
        <v>0</v>
      </c>
    </row>
    <row r="4098" spans="5:11" x14ac:dyDescent="0.35">
      <c r="E4098" s="9" t="str">
        <v>EPSG</v>
      </c>
      <c r="F4098" s="7" t="str">
        <v>7781</v>
      </c>
      <c r="G4098" t="str">
        <v>ProjectedCrs</v>
      </c>
      <c r="H4098" t="str">
        <v>Transverse Mercator</v>
      </c>
      <c r="I4098" t="str">
        <v>WGS 84 / Kerala</v>
      </c>
      <c r="J4098" t="str">
        <v>India - Kerala; Mayyazhi (Mahe) area of Pudacherry territory.</v>
      </c>
      <c r="K4098" s="11">
        <v>0</v>
      </c>
    </row>
    <row r="4099" spans="5:11" x14ac:dyDescent="0.35">
      <c r="E4099" s="9" t="str">
        <v>EPSG</v>
      </c>
      <c r="F4099" s="7" t="str">
        <v>7782</v>
      </c>
      <c r="G4099" t="str">
        <v>ProjectedCrs</v>
      </c>
      <c r="H4099" t="str">
        <v>Transverse Mercator</v>
      </c>
      <c r="I4099" t="str">
        <v>WGS 84 / Lakshadweep</v>
      </c>
      <c r="J4099" t="str">
        <v>India - Lakshadweep (Laccadive, Minicoy, and Aminidivi Islands).</v>
      </c>
      <c r="K4099" s="11">
        <v>0</v>
      </c>
    </row>
    <row r="4100" spans="5:11" x14ac:dyDescent="0.35">
      <c r="E4100" s="9" t="str">
        <v>EPSG</v>
      </c>
      <c r="F4100" s="7" t="str">
        <v>7783</v>
      </c>
      <c r="G4100" t="str">
        <v>ProjectedCrs</v>
      </c>
      <c r="H4100" t="str">
        <v>Transverse Mercator</v>
      </c>
      <c r="I4100" t="str">
        <v>WGS 84 / Mizoram</v>
      </c>
      <c r="J4100" t="str">
        <v>India - Mizoram.</v>
      </c>
      <c r="K4100" s="11">
        <v>0</v>
      </c>
    </row>
    <row r="4101" spans="5:11" x14ac:dyDescent="0.35">
      <c r="E4101" s="9" t="str">
        <v>EPSG</v>
      </c>
      <c r="F4101" s="7" t="str">
        <v>7784</v>
      </c>
      <c r="G4101" t="str">
        <v>ProjectedCrs</v>
      </c>
      <c r="H4101" t="str">
        <v>Transverse Mercator</v>
      </c>
      <c r="I4101" t="str">
        <v>WGS 84 / Sikkim</v>
      </c>
      <c r="J4101" t="str">
        <v>India - Sikkim.</v>
      </c>
      <c r="K4101" s="11">
        <v>0</v>
      </c>
    </row>
    <row r="4102" spans="5:11" x14ac:dyDescent="0.35">
      <c r="E4102" s="9" t="str">
        <v>EPSG</v>
      </c>
      <c r="F4102" s="7" t="str">
        <v>7785</v>
      </c>
      <c r="G4102" t="str">
        <v>ProjectedCrs</v>
      </c>
      <c r="H4102" t="str">
        <v>Transverse Mercator</v>
      </c>
      <c r="I4102" t="str">
        <v>WGS 84 / Tamil Nadu</v>
      </c>
      <c r="J4102" t="str">
        <v>India - Tamil Nadu; Pudacherry and Karaikal areas of Pudacherry territory.</v>
      </c>
      <c r="K4102" s="11">
        <v>0</v>
      </c>
    </row>
    <row r="4103" spans="5:11" x14ac:dyDescent="0.35">
      <c r="E4103" s="9" t="str">
        <v>EPSG</v>
      </c>
      <c r="F4103" s="7" t="str">
        <v>7786</v>
      </c>
      <c r="G4103" t="str">
        <v>ProjectedCrs</v>
      </c>
      <c r="H4103" t="str">
        <v>Transverse Mercator</v>
      </c>
      <c r="I4103" t="str">
        <v>WGS 84 / Tripura</v>
      </c>
      <c r="J4103" t="str">
        <v>India - Tripura.</v>
      </c>
      <c r="K4103" s="11">
        <v>0</v>
      </c>
    </row>
    <row r="4104" spans="5:11" x14ac:dyDescent="0.35">
      <c r="E4104" s="9" t="str">
        <v>EPSG</v>
      </c>
      <c r="F4104" s="7" t="str">
        <v>7787</v>
      </c>
      <c r="G4104" t="str">
        <v>ProjectedCrs</v>
      </c>
      <c r="H4104" t="str">
        <v>Transverse Mercator</v>
      </c>
      <c r="I4104" t="str">
        <v>WGS 84 / West Bengal</v>
      </c>
      <c r="J4104" t="str">
        <v>India - West Bengal.</v>
      </c>
      <c r="K4104" s="11">
        <v>0</v>
      </c>
    </row>
    <row r="4105" spans="5:11" x14ac:dyDescent="0.35">
      <c r="E4105" s="9" t="str">
        <v>EPSG</v>
      </c>
      <c r="F4105" s="7" t="str">
        <v>7789</v>
      </c>
      <c r="G4105" t="str">
        <v>GeocentricCrs</v>
      </c>
      <c r="H4105" t="str">
        <v>&lt;undefined&gt;</v>
      </c>
      <c r="I4105" t="str">
        <v>ITRF2014</v>
      </c>
      <c r="J4105" t="str">
        <v>World.</v>
      </c>
      <c r="K4105" s="11">
        <v>0</v>
      </c>
    </row>
    <row r="4106" spans="5:11" x14ac:dyDescent="0.35">
      <c r="E4106" s="9" t="str">
        <v>EPSG</v>
      </c>
      <c r="F4106" s="7" t="str">
        <v>7791</v>
      </c>
      <c r="G4106" t="str">
        <v>ProjectedCrs</v>
      </c>
      <c r="H4106" t="str">
        <v>Transverse Mercator</v>
      </c>
      <c r="I4106" t="str">
        <v>RDN2008 / UTM zone 32N</v>
      </c>
      <c r="J4106" t="str">
        <v>Italy - onshore and offshore - west of 12°E.</v>
      </c>
      <c r="K4106" s="11">
        <v>0</v>
      </c>
    </row>
    <row r="4107" spans="5:11" x14ac:dyDescent="0.35">
      <c r="E4107" s="9" t="str">
        <v>EPSG</v>
      </c>
      <c r="F4107" s="7" t="str">
        <v>7792</v>
      </c>
      <c r="G4107" t="str">
        <v>ProjectedCrs</v>
      </c>
      <c r="H4107" t="str">
        <v>Transverse Mercator</v>
      </c>
      <c r="I4107" t="str">
        <v>RDN2008 / UTM zone 33N</v>
      </c>
      <c r="J4107" t="str">
        <v>Italy - onshore and offshore - between 12°E and 18°E including San Marino and Vatican City State.</v>
      </c>
      <c r="K4107" s="11">
        <v>0</v>
      </c>
    </row>
    <row r="4108" spans="5:11" x14ac:dyDescent="0.35">
      <c r="E4108" s="9" t="str">
        <v>EPSG</v>
      </c>
      <c r="F4108" s="7" t="str">
        <v>7793</v>
      </c>
      <c r="G4108" t="str">
        <v>ProjectedCrs</v>
      </c>
      <c r="H4108" t="str">
        <v>Transverse Mercator</v>
      </c>
      <c r="I4108" t="str">
        <v>RDN2008 / UTM zone 34N</v>
      </c>
      <c r="J4108" t="str">
        <v>Italy - onshore and offshore - east of 18°E.</v>
      </c>
      <c r="K4108" s="11">
        <v>0</v>
      </c>
    </row>
    <row r="4109" spans="5:11" x14ac:dyDescent="0.35">
      <c r="E4109" s="9" t="str">
        <v>EPSG</v>
      </c>
      <c r="F4109" s="7" t="str">
        <v>7794</v>
      </c>
      <c r="G4109" t="str">
        <v>ProjectedCrs</v>
      </c>
      <c r="H4109" t="str">
        <v>Transverse Mercator</v>
      </c>
      <c r="I4109" t="str">
        <v>RDN2008 / Italy zone (E-N)</v>
      </c>
      <c r="J4109" t="str">
        <v>Italy - onshore and offshore.</v>
      </c>
      <c r="K4109" s="11">
        <v>0</v>
      </c>
    </row>
    <row r="4110" spans="5:11" x14ac:dyDescent="0.35">
      <c r="E4110" s="9" t="str">
        <v>EPSG</v>
      </c>
      <c r="F4110" s="7" t="str">
        <v>7795</v>
      </c>
      <c r="G4110" t="str">
        <v>ProjectedCrs</v>
      </c>
      <c r="H4110" t="str">
        <v>Transverse Mercator</v>
      </c>
      <c r="I4110" t="str">
        <v>RDN2008 / Zone 12 (E-N)</v>
      </c>
      <c r="J4110" t="str">
        <v>Italy - onshore and offshore.</v>
      </c>
      <c r="K4110" s="11">
        <v>0</v>
      </c>
    </row>
    <row r="4111" spans="5:11" x14ac:dyDescent="0.35">
      <c r="E4111" s="9" t="str">
        <v>EPSG</v>
      </c>
      <c r="F4111" s="7" t="str">
        <v>7796</v>
      </c>
      <c r="G4111" t="str">
        <v>GeocentricCrs</v>
      </c>
      <c r="H4111" t="str">
        <v>&lt;undefined&gt;</v>
      </c>
      <c r="I4111" t="str">
        <v>BGS2005</v>
      </c>
      <c r="J4111" t="str">
        <v>Bulgaria - onshore and offshore.</v>
      </c>
      <c r="K4111" s="11">
        <v>0</v>
      </c>
    </row>
    <row r="4112" spans="5:11" x14ac:dyDescent="0.35">
      <c r="E4112" s="9" t="str">
        <v>EPSG</v>
      </c>
      <c r="F4112" s="7" t="str">
        <v>7797</v>
      </c>
      <c r="G4112" t="str">
        <v>Geographic3DCrs</v>
      </c>
      <c r="H4112" t="str">
        <v>&lt;undefined&gt;</v>
      </c>
      <c r="I4112" t="str">
        <v>BGS2005</v>
      </c>
      <c r="J4112" t="str">
        <v>Bulgaria - onshore and offshore.</v>
      </c>
      <c r="K4112" s="11">
        <v>0</v>
      </c>
    </row>
    <row r="4113" spans="5:11" x14ac:dyDescent="0.35">
      <c r="E4113" s="9" t="str">
        <v>EPSG</v>
      </c>
      <c r="F4113" s="7" t="str">
        <v>7798</v>
      </c>
      <c r="G4113" t="str">
        <v>Geographic2DCrs</v>
      </c>
      <c r="H4113" t="str">
        <v>&lt;undefined&gt;</v>
      </c>
      <c r="I4113" t="str">
        <v>BGS2005</v>
      </c>
      <c r="J4113" t="str">
        <v>Bulgaria - onshore and offshore.</v>
      </c>
      <c r="K4113" s="11">
        <v>0</v>
      </c>
    </row>
    <row r="4114" spans="5:11" x14ac:dyDescent="0.35">
      <c r="E4114" s="9" t="str">
        <v>EPSG</v>
      </c>
      <c r="F4114" s="7" t="str">
        <v>7799</v>
      </c>
      <c r="G4114" t="str">
        <v>ProjectedCrs</v>
      </c>
      <c r="H4114" t="str">
        <v>Transverse Mercator</v>
      </c>
      <c r="I4114" t="str">
        <v>BGS2005 / UTM zone 34N (N-E)</v>
      </c>
      <c r="J4114" t="str">
        <v>Bulgaria - west of 24°E.</v>
      </c>
      <c r="K4114" s="11">
        <v>0</v>
      </c>
    </row>
    <row r="4115" spans="5:11" x14ac:dyDescent="0.35">
      <c r="E4115" s="9" t="str">
        <v>EPSG</v>
      </c>
      <c r="F4115" s="7" t="str">
        <v>7800</v>
      </c>
      <c r="G4115" t="str">
        <v>ProjectedCrs</v>
      </c>
      <c r="H4115" t="str">
        <v>Transverse Mercator</v>
      </c>
      <c r="I4115" t="str">
        <v>BGS2005 / UTM zone 35N (N-E)</v>
      </c>
      <c r="J4115" t="str">
        <v>Bulgaria - onshore east of 24°E, offshore west of 30°E.</v>
      </c>
      <c r="K4115" s="11">
        <v>0</v>
      </c>
    </row>
    <row r="4116" spans="5:11" x14ac:dyDescent="0.35">
      <c r="E4116" s="9" t="str">
        <v>EPSG</v>
      </c>
      <c r="F4116" s="7" t="str">
        <v>7801</v>
      </c>
      <c r="G4116" t="str">
        <v>ProjectedCrs</v>
      </c>
      <c r="H4116" t="str">
        <v>Lambert Conic Conformal (2SP)</v>
      </c>
      <c r="I4116" t="str">
        <v>BGS2005 / CCS2005</v>
      </c>
      <c r="J4116" t="str">
        <v>Bulgaria - onshore.</v>
      </c>
      <c r="K4116" s="11">
        <v>0</v>
      </c>
    </row>
    <row r="4117" spans="5:11" x14ac:dyDescent="0.35">
      <c r="E4117" s="9" t="str">
        <v>EPSG</v>
      </c>
      <c r="F4117" s="7" t="str">
        <v>7803</v>
      </c>
      <c r="G4117" t="str">
        <v>ProjectedCrs</v>
      </c>
      <c r="H4117" t="str">
        <v>Transverse Mercator</v>
      </c>
      <c r="I4117" t="str">
        <v>BGS2005 / UTM zone 34N</v>
      </c>
      <c r="J4117" t="str">
        <v>Bulgaria - west of 24°E.</v>
      </c>
      <c r="K4117" s="11">
        <v>0</v>
      </c>
    </row>
    <row r="4118" spans="5:11" x14ac:dyDescent="0.35">
      <c r="E4118" s="9" t="str">
        <v>EPSG</v>
      </c>
      <c r="F4118" s="7" t="str">
        <v>7805</v>
      </c>
      <c r="G4118" t="str">
        <v>ProjectedCrs</v>
      </c>
      <c r="H4118" t="str">
        <v>Transverse Mercator</v>
      </c>
      <c r="I4118" t="str">
        <v>BGS2005 / UTM zone 36N</v>
      </c>
      <c r="J4118" t="str">
        <v>Bulgaria - offshore east of 30°E.</v>
      </c>
      <c r="K4118" s="11">
        <v>0</v>
      </c>
    </row>
    <row r="4119" spans="5:11" x14ac:dyDescent="0.35">
      <c r="E4119" s="9" t="str">
        <v>EPSG</v>
      </c>
      <c r="F4119" s="7" t="str">
        <v>7815</v>
      </c>
      <c r="G4119" t="str">
        <v>GeocentricCrs</v>
      </c>
      <c r="H4119" t="str">
        <v>&lt;undefined&gt;</v>
      </c>
      <c r="I4119" t="str">
        <v>WGS 84 (Transit)</v>
      </c>
      <c r="J4119" t="str">
        <v>World.</v>
      </c>
      <c r="K4119" s="11">
        <v>0</v>
      </c>
    </row>
    <row r="4120" spans="5:11" x14ac:dyDescent="0.35">
      <c r="E4120" s="9" t="str">
        <v>EPSG</v>
      </c>
      <c r="F4120" s="7" t="str">
        <v>7816</v>
      </c>
      <c r="G4120" t="str">
        <v>Geographic3DCrs</v>
      </c>
      <c r="H4120" t="str">
        <v>&lt;undefined&gt;</v>
      </c>
      <c r="I4120" t="str">
        <v>WGS 84 (Transit)</v>
      </c>
      <c r="J4120" t="str">
        <v>World.</v>
      </c>
      <c r="K4120" s="11">
        <v>0</v>
      </c>
    </row>
    <row r="4121" spans="5:11" x14ac:dyDescent="0.35">
      <c r="E4121" s="9" t="str">
        <v>EPSG</v>
      </c>
      <c r="F4121" s="7" t="str">
        <v>7825</v>
      </c>
      <c r="G4121" t="str">
        <v>ProjectedCrs</v>
      </c>
      <c r="H4121" t="str">
        <v>Transverse Mercator</v>
      </c>
      <c r="I4121" t="str">
        <v>Pulkovo 1942 / CS63 zone X1</v>
      </c>
      <c r="J4121" t="str">
        <v>Ukraine - west of 25°E.</v>
      </c>
      <c r="K4121" s="11">
        <v>0</v>
      </c>
    </row>
    <row r="4122" spans="5:11" x14ac:dyDescent="0.35">
      <c r="E4122" s="9" t="str">
        <v>EPSG</v>
      </c>
      <c r="F4122" s="7" t="str">
        <v>7826</v>
      </c>
      <c r="G4122" t="str">
        <v>ProjectedCrs</v>
      </c>
      <c r="H4122" t="str">
        <v>Transverse Mercator</v>
      </c>
      <c r="I4122" t="str">
        <v>Pulkovo 1942 / CS63 zone X2</v>
      </c>
      <c r="J4122" t="str">
        <v>Ukraine - between 25°E and 28°E.</v>
      </c>
      <c r="K4122" s="11">
        <v>0</v>
      </c>
    </row>
    <row r="4123" spans="5:11" x14ac:dyDescent="0.35">
      <c r="E4123" s="9" t="str">
        <v>EPSG</v>
      </c>
      <c r="F4123" s="7" t="str">
        <v>7827</v>
      </c>
      <c r="G4123" t="str">
        <v>ProjectedCrs</v>
      </c>
      <c r="H4123" t="str">
        <v>Transverse Mercator</v>
      </c>
      <c r="I4123" t="str">
        <v>Pulkovo 1942 / CS63 zone X3</v>
      </c>
      <c r="J4123" t="str">
        <v>Ukraine - between 28°E and 31°E, onshore.</v>
      </c>
      <c r="K4123" s="11">
        <v>0</v>
      </c>
    </row>
    <row r="4124" spans="5:11" x14ac:dyDescent="0.35">
      <c r="E4124" s="9" t="str">
        <v>EPSG</v>
      </c>
      <c r="F4124" s="7" t="str">
        <v>7828</v>
      </c>
      <c r="G4124" t="str">
        <v>ProjectedCrs</v>
      </c>
      <c r="H4124" t="str">
        <v>Transverse Mercator</v>
      </c>
      <c r="I4124" t="str">
        <v>Pulkovo 1942 / CS63 zone X4</v>
      </c>
      <c r="J4124" t="str">
        <v>Ukraine - between 31°E and 34°E, onshore.</v>
      </c>
      <c r="K4124" s="11">
        <v>0</v>
      </c>
    </row>
    <row r="4125" spans="5:11" x14ac:dyDescent="0.35">
      <c r="E4125" s="9" t="str">
        <v>EPSG</v>
      </c>
      <c r="F4125" s="7" t="str">
        <v>7829</v>
      </c>
      <c r="G4125" t="str">
        <v>ProjectedCrs</v>
      </c>
      <c r="H4125" t="str">
        <v>Transverse Mercator</v>
      </c>
      <c r="I4125" t="str">
        <v>Pulkovo 1942 / CS63 zone X5</v>
      </c>
      <c r="J4125" t="str">
        <v>Ukraine - between 34°E and 37°E, onshore.</v>
      </c>
      <c r="K4125" s="11">
        <v>0</v>
      </c>
    </row>
    <row r="4126" spans="5:11" x14ac:dyDescent="0.35">
      <c r="E4126" s="9" t="str">
        <v>EPSG</v>
      </c>
      <c r="F4126" s="7" t="str">
        <v>7830</v>
      </c>
      <c r="G4126" t="str">
        <v>ProjectedCrs</v>
      </c>
      <c r="H4126" t="str">
        <v>Transverse Mercator</v>
      </c>
      <c r="I4126" t="str">
        <v>Pulkovo 1942 / CS63 zone X6</v>
      </c>
      <c r="J4126" t="str">
        <v>Ukraine - between 37°E and 40°E, onshore.</v>
      </c>
      <c r="K4126" s="11">
        <v>0</v>
      </c>
    </row>
    <row r="4127" spans="5:11" x14ac:dyDescent="0.35">
      <c r="E4127" s="9" t="str">
        <v>EPSG</v>
      </c>
      <c r="F4127" s="7" t="str">
        <v>7831</v>
      </c>
      <c r="G4127" t="str">
        <v>ProjectedCrs</v>
      </c>
      <c r="H4127" t="str">
        <v>Transverse Mercator</v>
      </c>
      <c r="I4127" t="str">
        <v>Pulkovo 1942 / CS63 zone X7</v>
      </c>
      <c r="J4127" t="str">
        <v>Ukraine - east of 40°E.</v>
      </c>
      <c r="K4127" s="11">
        <v>0</v>
      </c>
    </row>
    <row r="4128" spans="5:11" x14ac:dyDescent="0.35">
      <c r="E4128" s="9" t="str">
        <v>EPSG</v>
      </c>
      <c r="F4128" s="7" t="str">
        <v>7832</v>
      </c>
      <c r="G4128" t="str">
        <v>VerticalCrs</v>
      </c>
      <c r="H4128" t="str">
        <v>&lt;undefined&gt;</v>
      </c>
      <c r="I4128" t="str">
        <v>POM96 height</v>
      </c>
      <c r="J4128" t="str">
        <v>Papua New Guinea - onshore - Gulf province east of 144°24'E, Central province and National Capital District.</v>
      </c>
      <c r="K4128" s="11">
        <v>0</v>
      </c>
    </row>
    <row r="4129" spans="5:11" x14ac:dyDescent="0.35">
      <c r="E4129" s="9" t="str">
        <v>EPSG</v>
      </c>
      <c r="F4129" s="7" t="str">
        <v>7837</v>
      </c>
      <c r="G4129" t="str">
        <v>VerticalCrs</v>
      </c>
      <c r="H4129" t="str">
        <v>&lt;undefined&gt;</v>
      </c>
      <c r="I4129" t="str">
        <v>DHHN2016 height</v>
      </c>
      <c r="J4129" t="str">
        <v>Germany - onshore and offshore.</v>
      </c>
      <c r="K4129" s="11">
        <v>0</v>
      </c>
    </row>
    <row r="4130" spans="5:11" x14ac:dyDescent="0.35">
      <c r="E4130" s="9" t="str">
        <v>EPSG</v>
      </c>
      <c r="F4130" s="7" t="str">
        <v>7839</v>
      </c>
      <c r="G4130" t="str">
        <v>VerticalCrs</v>
      </c>
      <c r="H4130" t="str">
        <v>&lt;undefined&gt;</v>
      </c>
      <c r="I4130" t="str">
        <v>NZVD2016 height</v>
      </c>
      <c r="J4130" t="str">
        <v>New Zealand - onshore and offshore. Includes Antipodes Islands, Auckland Islands, Bounty Islands, Chatham Islands, Cambell Island, Kermadec Islands, Raoul Island and Snares Islands.</v>
      </c>
      <c r="K4130" s="11">
        <v>0</v>
      </c>
    </row>
    <row r="4131" spans="5:11" x14ac:dyDescent="0.35">
      <c r="E4131" s="9" t="str">
        <v>EPSG</v>
      </c>
      <c r="F4131" s="7" t="str">
        <v>7841</v>
      </c>
      <c r="G4131" t="str">
        <v>VerticalCrs</v>
      </c>
      <c r="H4131" t="str">
        <v>&lt;undefined&gt;</v>
      </c>
      <c r="I4131" t="str">
        <v>POM08 height</v>
      </c>
      <c r="J4131" t="str">
        <v>Papua New Guinea - onshore - Gulf province east of 144°24'E, Central province and National Capital District.</v>
      </c>
      <c r="K4131" s="11">
        <v>0</v>
      </c>
    </row>
    <row r="4132" spans="5:11" x14ac:dyDescent="0.35">
      <c r="E4132" s="9" t="str">
        <v>EPSG</v>
      </c>
      <c r="F4132" s="7" t="str">
        <v>7842</v>
      </c>
      <c r="G4132" t="str">
        <v>GeocentricCrs</v>
      </c>
      <c r="H4132" t="str">
        <v>&lt;undefined&gt;</v>
      </c>
      <c r="I4132" t="str">
        <v>GDA2020</v>
      </c>
      <c r="J4132" t="str">
        <v>Australia including Lord Howe Island, Macquarie Island, Ashmore and Cartier Islands, Christmas Island, Cocos (Keeling) Islands, Norfolk Island. All onshore and offshore.</v>
      </c>
      <c r="K4132" s="11">
        <v>0</v>
      </c>
    </row>
    <row r="4133" spans="5:11" x14ac:dyDescent="0.35">
      <c r="E4133" s="9" t="str">
        <v>EPSG</v>
      </c>
      <c r="F4133" s="7" t="str">
        <v>7843</v>
      </c>
      <c r="G4133" t="str">
        <v>Geographic3DCrs</v>
      </c>
      <c r="H4133" t="str">
        <v>&lt;undefined&gt;</v>
      </c>
      <c r="I4133" t="str">
        <v>GDA2020</v>
      </c>
      <c r="J4133" t="str">
        <v>Australia including Lord Howe Island, Macquarie Island, Ashmore and Cartier Islands, Christmas Island, Cocos (Keeling) Islands, Norfolk Island. All onshore and offshore.</v>
      </c>
      <c r="K4133" s="11">
        <v>0</v>
      </c>
    </row>
    <row r="4134" spans="5:11" x14ac:dyDescent="0.35">
      <c r="E4134" s="9" t="str">
        <v>EPSG</v>
      </c>
      <c r="F4134" s="7" t="str">
        <v>7844</v>
      </c>
      <c r="G4134" t="str">
        <v>Geographic2DCrs</v>
      </c>
      <c r="H4134" t="str">
        <v>&lt;undefined&gt;</v>
      </c>
      <c r="I4134" t="str">
        <v>GDA2020</v>
      </c>
      <c r="J4134" t="str">
        <v>Australia including Lord Howe Island, Macquarie Island, Ashmore and Cartier Islands, Christmas Island, Cocos (Keeling) Islands, Norfolk Island. All onshore and offshore.</v>
      </c>
      <c r="K4134" s="11">
        <v>0</v>
      </c>
    </row>
    <row r="4135" spans="5:11" x14ac:dyDescent="0.35">
      <c r="E4135" s="9" t="str">
        <v>EPSG</v>
      </c>
      <c r="F4135" s="7" t="str">
        <v>7845</v>
      </c>
      <c r="G4135" t="str">
        <v>ProjectedCrs</v>
      </c>
      <c r="H4135" t="str">
        <v>Lambert Conic Conformal (2SP)</v>
      </c>
      <c r="I4135" t="str">
        <v>GDA2020 / GA LCC</v>
      </c>
      <c r="J4135" t="str">
        <v>Australia - Australian Capital Territory; New South Wales; Northern Territory; Queensland; South Australia; Tasmania; Western Australia; Victoria.</v>
      </c>
      <c r="K4135" s="11">
        <v>0</v>
      </c>
    </row>
    <row r="4136" spans="5:11" x14ac:dyDescent="0.35">
      <c r="E4136" s="9" t="str">
        <v>EPSG</v>
      </c>
      <c r="F4136" s="7" t="str">
        <v>7846</v>
      </c>
      <c r="G4136" t="str">
        <v>ProjectedCrs</v>
      </c>
      <c r="H4136" t="str">
        <v>Transverse Mercator</v>
      </c>
      <c r="I4136" t="str">
        <v>GDA2020 / MGA zone 46</v>
      </c>
      <c r="J4136" t="str">
        <v>Cocos (Keeling) Islands - offshore west of 96°E.</v>
      </c>
      <c r="K4136" s="11">
        <v>0</v>
      </c>
    </row>
    <row r="4137" spans="5:11" x14ac:dyDescent="0.35">
      <c r="E4137" s="9" t="str">
        <v>EPSG</v>
      </c>
      <c r="F4137" s="7" t="str">
        <v>7847</v>
      </c>
      <c r="G4137" t="str">
        <v>ProjectedCrs</v>
      </c>
      <c r="H4137" t="str">
        <v>Transverse Mercator</v>
      </c>
      <c r="I4137" t="str">
        <v>GDA2020 / MGA zone 47</v>
      </c>
      <c r="J4137" t="str">
        <v>Cocos (Keeling) Islands - onshore and offshore east of 96°E.</v>
      </c>
      <c r="K4137" s="11">
        <v>0</v>
      </c>
    </row>
    <row r="4138" spans="5:11" x14ac:dyDescent="0.35">
      <c r="E4138" s="9" t="str">
        <v>EPSG</v>
      </c>
      <c r="F4138" s="7" t="str">
        <v>7848</v>
      </c>
      <c r="G4138" t="str">
        <v>ProjectedCrs</v>
      </c>
      <c r="H4138" t="str">
        <v>Transverse Mercator</v>
      </c>
      <c r="I4138" t="str">
        <v>GDA2020 / MGA zone 48</v>
      </c>
      <c r="J4138" t="str">
        <v>Australia - offshore west of 108°E. Christmas Island - onshore and offshore west of 108°E.</v>
      </c>
      <c r="K4138" s="11">
        <v>0</v>
      </c>
    </row>
    <row r="4139" spans="5:11" x14ac:dyDescent="0.35">
      <c r="E4139" s="9" t="str">
        <v>EPSG</v>
      </c>
      <c r="F4139" s="7" t="str">
        <v>7849</v>
      </c>
      <c r="G4139" t="str">
        <v>ProjectedCrs</v>
      </c>
      <c r="H4139" t="str">
        <v>Transverse Mercator</v>
      </c>
      <c r="I4139" t="str">
        <v>GDA2020 / MGA zone 49</v>
      </c>
      <c r="J4139" t="str">
        <v>Australia - onshore and offshore west of 114°E. Christmas Island - offshore east of 108°E.</v>
      </c>
      <c r="K4139" s="11">
        <v>0</v>
      </c>
    </row>
    <row r="4140" spans="5:11" x14ac:dyDescent="0.35">
      <c r="E4140" s="9" t="str">
        <v>EPSG</v>
      </c>
      <c r="F4140" s="7" t="str">
        <v>7850</v>
      </c>
      <c r="G4140" t="str">
        <v>ProjectedCrs</v>
      </c>
      <c r="H4140" t="str">
        <v>Transverse Mercator</v>
      </c>
      <c r="I4140" t="str">
        <v>GDA2020 / MGA zone 50</v>
      </c>
      <c r="J4140" t="str">
        <v>Australia - onshore and offshore between 114°E and 120°E.</v>
      </c>
      <c r="K4140" s="11">
        <v>0</v>
      </c>
    </row>
    <row r="4141" spans="5:11" x14ac:dyDescent="0.35">
      <c r="E4141" s="9" t="str">
        <v>EPSG</v>
      </c>
      <c r="F4141" s="7" t="str">
        <v>7851</v>
      </c>
      <c r="G4141" t="str">
        <v>ProjectedCrs</v>
      </c>
      <c r="H4141" t="str">
        <v>Transverse Mercator</v>
      </c>
      <c r="I4141" t="str">
        <v>GDA2020 / MGA zone 51</v>
      </c>
      <c r="J4141" t="str">
        <v>Australia - onshore and offshore between 120°E and 126°E.</v>
      </c>
      <c r="K4141" s="11">
        <v>0</v>
      </c>
    </row>
    <row r="4142" spans="5:11" x14ac:dyDescent="0.35">
      <c r="E4142" s="9" t="str">
        <v>EPSG</v>
      </c>
      <c r="F4142" s="7" t="str">
        <v>7852</v>
      </c>
      <c r="G4142" t="str">
        <v>ProjectedCrs</v>
      </c>
      <c r="H4142" t="str">
        <v>Transverse Mercator</v>
      </c>
      <c r="I4142" t="str">
        <v>GDA2020 / MGA zone 52</v>
      </c>
      <c r="J4142" t="str">
        <v>Australia - onshore and offshore between 126°E and 132°E.</v>
      </c>
      <c r="K4142" s="11">
        <v>0</v>
      </c>
    </row>
    <row r="4143" spans="5:11" x14ac:dyDescent="0.35">
      <c r="E4143" s="9" t="str">
        <v>EPSG</v>
      </c>
      <c r="F4143" s="7" t="str">
        <v>7853</v>
      </c>
      <c r="G4143" t="str">
        <v>ProjectedCrs</v>
      </c>
      <c r="H4143" t="str">
        <v>Transverse Mercator</v>
      </c>
      <c r="I4143" t="str">
        <v>GDA2020 / MGA zone 53</v>
      </c>
      <c r="J4143" t="str">
        <v>Australia - onshore and offshore between 132°E and 138°E.</v>
      </c>
      <c r="K4143" s="11">
        <v>0</v>
      </c>
    </row>
    <row r="4144" spans="5:11" x14ac:dyDescent="0.35">
      <c r="E4144" s="9" t="str">
        <v>EPSG</v>
      </c>
      <c r="F4144" s="7" t="str">
        <v>7854</v>
      </c>
      <c r="G4144" t="str">
        <v>ProjectedCrs</v>
      </c>
      <c r="H4144" t="str">
        <v>Transverse Mercator</v>
      </c>
      <c r="I4144" t="str">
        <v>GDA2020 / MGA zone 54</v>
      </c>
      <c r="J4144" t="str">
        <v>Australia - onshore and offshore between 138°E and 144°E.</v>
      </c>
      <c r="K4144" s="11">
        <v>0</v>
      </c>
    </row>
    <row r="4145" spans="5:11" x14ac:dyDescent="0.35">
      <c r="E4145" s="9" t="str">
        <v>EPSG</v>
      </c>
      <c r="F4145" s="7" t="str">
        <v>7855</v>
      </c>
      <c r="G4145" t="str">
        <v>ProjectedCrs</v>
      </c>
      <c r="H4145" t="str">
        <v>Transverse Mercator</v>
      </c>
      <c r="I4145" t="str">
        <v>GDA2020 / MGA zone 55</v>
      </c>
      <c r="J4145" t="str">
        <v>Australia - onshore and offshore between 144°E and 150°E.</v>
      </c>
      <c r="K4145" s="11">
        <v>0</v>
      </c>
    </row>
    <row r="4146" spans="5:11" x14ac:dyDescent="0.35">
      <c r="E4146" s="9" t="str">
        <v>EPSG</v>
      </c>
      <c r="F4146" s="7" t="str">
        <v>7856</v>
      </c>
      <c r="G4146" t="str">
        <v>ProjectedCrs</v>
      </c>
      <c r="H4146" t="str">
        <v>Transverse Mercator</v>
      </c>
      <c r="I4146" t="str">
        <v>GDA2020 / MGA zone 56</v>
      </c>
      <c r="J4146" t="str">
        <v>Australia - onshore and offshore between 150°E and 156°E.</v>
      </c>
      <c r="K4146" s="11">
        <v>0</v>
      </c>
    </row>
    <row r="4147" spans="5:11" x14ac:dyDescent="0.35">
      <c r="E4147" s="9" t="str">
        <v>EPSG</v>
      </c>
      <c r="F4147" s="7" t="str">
        <v>7857</v>
      </c>
      <c r="G4147" t="str">
        <v>ProjectedCrs</v>
      </c>
      <c r="H4147" t="str">
        <v>Transverse Mercator</v>
      </c>
      <c r="I4147" t="str">
        <v>GDA2020 / MGA zone 57</v>
      </c>
      <c r="J4147" t="str">
        <v>Australia including Lord Howe Island and Macquarie Island - onshore and offshore between 156°E and 162°E.</v>
      </c>
      <c r="K4147" s="11">
        <v>0</v>
      </c>
    </row>
    <row r="4148" spans="5:11" x14ac:dyDescent="0.35">
      <c r="E4148" s="9" t="str">
        <v>EPSG</v>
      </c>
      <c r="F4148" s="7" t="str">
        <v>7858</v>
      </c>
      <c r="G4148" t="str">
        <v>ProjectedCrs</v>
      </c>
      <c r="H4148" t="str">
        <v>Transverse Mercator</v>
      </c>
      <c r="I4148" t="str">
        <v>GDA2020 / MGA zone 58</v>
      </c>
      <c r="J4148" t="str">
        <v>Australia - offshore east of 162°E. Norfolk Island - onshore and offshore west of 168°E.</v>
      </c>
      <c r="K4148" s="11">
        <v>0</v>
      </c>
    </row>
    <row r="4149" spans="5:11" x14ac:dyDescent="0.35">
      <c r="E4149" s="9" t="str">
        <v>EPSG</v>
      </c>
      <c r="F4149" s="7" t="str">
        <v>7859</v>
      </c>
      <c r="G4149" t="str">
        <v>ProjectedCrs</v>
      </c>
      <c r="H4149" t="str">
        <v>Transverse Mercator</v>
      </c>
      <c r="I4149" t="str">
        <v>GDA2020 / MGA zone 59</v>
      </c>
      <c r="J4149" t="str">
        <v>Norfolk Island - offshore east of 168°E.</v>
      </c>
      <c r="K4149" s="11">
        <v>0</v>
      </c>
    </row>
    <row r="4150" spans="5:11" x14ac:dyDescent="0.35">
      <c r="E4150" s="9" t="str">
        <v>EPSG</v>
      </c>
      <c r="F4150" s="7" t="str">
        <v>7877</v>
      </c>
      <c r="G4150" t="str">
        <v>ProjectedCrs</v>
      </c>
      <c r="H4150" t="str">
        <v>Transverse Mercator</v>
      </c>
      <c r="I4150" t="str">
        <v>Astro DOS 71 / SHLG71</v>
      </c>
      <c r="J4150" t="str">
        <v>St Helena, Ascension and Tristan da Cunha - St Helena Island - onshore.</v>
      </c>
      <c r="K4150" s="11">
        <v>0</v>
      </c>
    </row>
    <row r="4151" spans="5:11" x14ac:dyDescent="0.35">
      <c r="E4151" s="9" t="str">
        <v>EPSG</v>
      </c>
      <c r="F4151" s="7" t="str">
        <v>7878</v>
      </c>
      <c r="G4151" t="str">
        <v>ProjectedCrs</v>
      </c>
      <c r="H4151" t="str">
        <v>Transverse Mercator</v>
      </c>
      <c r="I4151" t="str">
        <v>Astro DOS 71 / UTM zone 30S</v>
      </c>
      <c r="J4151" t="str">
        <v>St Helena, Ascension and Tristan da Cunha - St Helena Island - onshore.</v>
      </c>
      <c r="K4151" s="11">
        <v>0</v>
      </c>
    </row>
    <row r="4152" spans="5:11" x14ac:dyDescent="0.35">
      <c r="E4152" s="9" t="str">
        <v>EPSG</v>
      </c>
      <c r="F4152" s="7" t="str">
        <v>7879</v>
      </c>
      <c r="G4152" t="str">
        <v>GeocentricCrs</v>
      </c>
      <c r="H4152" t="str">
        <v>&lt;undefined&gt;</v>
      </c>
      <c r="I4152" t="str">
        <v>St. Helena Tritan</v>
      </c>
      <c r="J4152" t="str">
        <v>St Helena, Ascension and Tristan da Cunha - St Helena Island - onshore.</v>
      </c>
      <c r="K4152" s="11">
        <v>0</v>
      </c>
    </row>
    <row r="4153" spans="5:11" x14ac:dyDescent="0.35">
      <c r="E4153" s="9" t="str">
        <v>EPSG</v>
      </c>
      <c r="F4153" s="7" t="str">
        <v>7880</v>
      </c>
      <c r="G4153" t="str">
        <v>Geographic3DCrs</v>
      </c>
      <c r="H4153" t="str">
        <v>&lt;undefined&gt;</v>
      </c>
      <c r="I4153" t="str">
        <v>St. Helena Tritan</v>
      </c>
      <c r="J4153" t="str">
        <v>St Helena, Ascension and Tristan da Cunha - St Helena Island - onshore.</v>
      </c>
      <c r="K4153" s="11">
        <v>0</v>
      </c>
    </row>
    <row r="4154" spans="5:11" x14ac:dyDescent="0.35">
      <c r="E4154" s="9" t="str">
        <v>EPSG</v>
      </c>
      <c r="F4154" s="7" t="str">
        <v>7881</v>
      </c>
      <c r="G4154" t="str">
        <v>Geographic2DCrs</v>
      </c>
      <c r="H4154" t="str">
        <v>&lt;undefined&gt;</v>
      </c>
      <c r="I4154" t="str">
        <v>St. Helena Tritan</v>
      </c>
      <c r="J4154" t="str">
        <v>St Helena, Ascension and Tristan da Cunha - St Helena Island - onshore.</v>
      </c>
      <c r="K4154" s="11">
        <v>0</v>
      </c>
    </row>
    <row r="4155" spans="5:11" x14ac:dyDescent="0.35">
      <c r="E4155" s="9" t="str">
        <v>EPSG</v>
      </c>
      <c r="F4155" s="7" t="str">
        <v>7882</v>
      </c>
      <c r="G4155" t="str">
        <v>ProjectedCrs</v>
      </c>
      <c r="H4155" t="str">
        <v>Transverse Mercator</v>
      </c>
      <c r="I4155" t="str">
        <v>St. Helena Tritan / SHLG(Tritan)</v>
      </c>
      <c r="J4155" t="str">
        <v>St Helena, Ascension and Tristan da Cunha - St Helena Island - onshore.</v>
      </c>
      <c r="K4155" s="11">
        <v>0</v>
      </c>
    </row>
    <row r="4156" spans="5:11" x14ac:dyDescent="0.35">
      <c r="E4156" s="9" t="str">
        <v>EPSG</v>
      </c>
      <c r="F4156" s="7" t="str">
        <v>7883</v>
      </c>
      <c r="G4156" t="str">
        <v>ProjectedCrs</v>
      </c>
      <c r="H4156" t="str">
        <v>Transverse Mercator</v>
      </c>
      <c r="I4156" t="str">
        <v>St. Helena Tritan / UTM zone 30S</v>
      </c>
      <c r="J4156" t="str">
        <v>St Helena, Ascension and Tristan da Cunha - St Helena Island - onshore.</v>
      </c>
      <c r="K4156" s="11">
        <v>0</v>
      </c>
    </row>
    <row r="4157" spans="5:11" x14ac:dyDescent="0.35">
      <c r="E4157" s="9" t="str">
        <v>EPSG</v>
      </c>
      <c r="F4157" s="7" t="str">
        <v>7884</v>
      </c>
      <c r="G4157" t="str">
        <v>GeocentricCrs</v>
      </c>
      <c r="H4157" t="str">
        <v>&lt;undefined&gt;</v>
      </c>
      <c r="I4157" t="str">
        <v>SHGD2015</v>
      </c>
      <c r="J4157" t="str">
        <v>St Helena, Ascension and Tristan da Cunha - St Helena Island - onshore.</v>
      </c>
      <c r="K4157" s="11">
        <v>0</v>
      </c>
    </row>
    <row r="4158" spans="5:11" x14ac:dyDescent="0.35">
      <c r="E4158" s="9" t="str">
        <v>EPSG</v>
      </c>
      <c r="F4158" s="7" t="str">
        <v>7885</v>
      </c>
      <c r="G4158" t="str">
        <v>Geographic3DCrs</v>
      </c>
      <c r="H4158" t="str">
        <v>&lt;undefined&gt;</v>
      </c>
      <c r="I4158" t="str">
        <v>SHGD2015</v>
      </c>
      <c r="J4158" t="str">
        <v>St Helena, Ascension and Tristan da Cunha - St Helena Island - onshore.</v>
      </c>
      <c r="K4158" s="11">
        <v>0</v>
      </c>
    </row>
    <row r="4159" spans="5:11" x14ac:dyDescent="0.35">
      <c r="E4159" s="9" t="str">
        <v>EPSG</v>
      </c>
      <c r="F4159" s="7" t="str">
        <v>7886</v>
      </c>
      <c r="G4159" t="str">
        <v>Geographic2DCrs</v>
      </c>
      <c r="H4159" t="str">
        <v>&lt;undefined&gt;</v>
      </c>
      <c r="I4159" t="str">
        <v>SHGD2015</v>
      </c>
      <c r="J4159" t="str">
        <v>St Helena, Ascension and Tristan da Cunha - St Helena Island - onshore.</v>
      </c>
      <c r="K4159" s="11">
        <v>0</v>
      </c>
    </row>
    <row r="4160" spans="5:11" x14ac:dyDescent="0.35">
      <c r="E4160" s="9" t="str">
        <v>EPSG</v>
      </c>
      <c r="F4160" s="7" t="str">
        <v>7887</v>
      </c>
      <c r="G4160" t="str">
        <v>ProjectedCrs</v>
      </c>
      <c r="H4160" t="str">
        <v>Transverse Mercator</v>
      </c>
      <c r="I4160" t="str">
        <v>SHMG2015</v>
      </c>
      <c r="J4160" t="str">
        <v>St Helena, Ascension and Tristan da Cunha - St Helena Island - onshore.</v>
      </c>
      <c r="K4160" s="11">
        <v>0</v>
      </c>
    </row>
    <row r="4161" spans="5:11" x14ac:dyDescent="0.35">
      <c r="E4161" s="9" t="str">
        <v>EPSG</v>
      </c>
      <c r="F4161" s="7" t="str">
        <v>7888</v>
      </c>
      <c r="G4161" t="str">
        <v>VerticalCrs</v>
      </c>
      <c r="H4161" t="str">
        <v>&lt;undefined&gt;</v>
      </c>
      <c r="I4161" t="str">
        <v>Jamestown 1971 height</v>
      </c>
      <c r="J4161" t="str">
        <v>St Helena, Ascension and Tristan da Cunha - St Helena Island - onshore.</v>
      </c>
      <c r="K4161" s="11">
        <v>0</v>
      </c>
    </row>
    <row r="4162" spans="5:11" x14ac:dyDescent="0.35">
      <c r="E4162" s="9" t="str">
        <v>EPSG</v>
      </c>
      <c r="F4162" s="7" t="str">
        <v>7889</v>
      </c>
      <c r="G4162" t="str">
        <v>VerticalCrs</v>
      </c>
      <c r="H4162" t="str">
        <v>&lt;undefined&gt;</v>
      </c>
      <c r="I4162" t="str">
        <v>St. Helena Tritan 2011 height</v>
      </c>
      <c r="J4162" t="str">
        <v>St Helena, Ascension and Tristan da Cunha - St Helena Island - onshore.</v>
      </c>
      <c r="K4162" s="11">
        <v>0</v>
      </c>
    </row>
    <row r="4163" spans="5:11" x14ac:dyDescent="0.35">
      <c r="E4163" s="9" t="str">
        <v>EPSG</v>
      </c>
      <c r="F4163" s="7" t="str">
        <v>7890</v>
      </c>
      <c r="G4163" t="str">
        <v>VerticalCrs</v>
      </c>
      <c r="H4163" t="str">
        <v>&lt;undefined&gt;</v>
      </c>
      <c r="I4163" t="str">
        <v>SHVD2015 height</v>
      </c>
      <c r="J4163" t="str">
        <v>St Helena, Ascension and Tristan da Cunha - St Helena Island - onshore.</v>
      </c>
      <c r="K4163" s="11">
        <v>0</v>
      </c>
    </row>
    <row r="4164" spans="5:11" x14ac:dyDescent="0.35">
      <c r="E4164" s="9" t="str">
        <v>EPSG</v>
      </c>
      <c r="F4164" s="7" t="str">
        <v>7899</v>
      </c>
      <c r="G4164" t="str">
        <v>ProjectedCrs</v>
      </c>
      <c r="H4164" t="str">
        <v>Lambert Conic Conformal (2SP)</v>
      </c>
      <c r="I4164" t="str">
        <v>GDA2020 / Vicgrid</v>
      </c>
      <c r="J4164" t="str">
        <v>Australia - Victoria.</v>
      </c>
      <c r="K4164" s="11">
        <v>0</v>
      </c>
    </row>
    <row r="4165" spans="5:11" x14ac:dyDescent="0.35">
      <c r="E4165" s="9" t="str">
        <v>EPSG</v>
      </c>
      <c r="F4165" s="7" t="str">
        <v>7900</v>
      </c>
      <c r="G4165" t="str">
        <v>Geographic3DCrs</v>
      </c>
      <c r="H4165" t="str">
        <v>&lt;undefined&gt;</v>
      </c>
      <c r="I4165" t="str">
        <v>ITRF88</v>
      </c>
      <c r="J4165" t="str">
        <v>World.</v>
      </c>
      <c r="K4165" s="11">
        <v>0</v>
      </c>
    </row>
    <row r="4166" spans="5:11" x14ac:dyDescent="0.35">
      <c r="E4166" s="9" t="str">
        <v>EPSG</v>
      </c>
      <c r="F4166" s="7" t="str">
        <v>7901</v>
      </c>
      <c r="G4166" t="str">
        <v>Geographic3DCrs</v>
      </c>
      <c r="H4166" t="str">
        <v>&lt;undefined&gt;</v>
      </c>
      <c r="I4166" t="str">
        <v>ITRF89</v>
      </c>
      <c r="J4166" t="str">
        <v>World.</v>
      </c>
      <c r="K4166" s="11">
        <v>0</v>
      </c>
    </row>
    <row r="4167" spans="5:11" x14ac:dyDescent="0.35">
      <c r="E4167" s="9" t="str">
        <v>EPSG</v>
      </c>
      <c r="F4167" s="7" t="str">
        <v>7902</v>
      </c>
      <c r="G4167" t="str">
        <v>Geographic3DCrs</v>
      </c>
      <c r="H4167" t="str">
        <v>&lt;undefined&gt;</v>
      </c>
      <c r="I4167" t="str">
        <v>ITRF90</v>
      </c>
      <c r="J4167" t="str">
        <v>World.</v>
      </c>
      <c r="K4167" s="11">
        <v>0</v>
      </c>
    </row>
    <row r="4168" spans="5:11" x14ac:dyDescent="0.35">
      <c r="E4168" s="9" t="str">
        <v>EPSG</v>
      </c>
      <c r="F4168" s="7" t="str">
        <v>7903</v>
      </c>
      <c r="G4168" t="str">
        <v>Geographic3DCrs</v>
      </c>
      <c r="H4168" t="str">
        <v>&lt;undefined&gt;</v>
      </c>
      <c r="I4168" t="str">
        <v>ITRF91</v>
      </c>
      <c r="J4168" t="str">
        <v>World.</v>
      </c>
      <c r="K4168" s="11">
        <v>0</v>
      </c>
    </row>
    <row r="4169" spans="5:11" x14ac:dyDescent="0.35">
      <c r="E4169" s="9" t="str">
        <v>EPSG</v>
      </c>
      <c r="F4169" s="7" t="str">
        <v>7904</v>
      </c>
      <c r="G4169" t="str">
        <v>Geographic3DCrs</v>
      </c>
      <c r="H4169" t="str">
        <v>&lt;undefined&gt;</v>
      </c>
      <c r="I4169" t="str">
        <v>ITRF92</v>
      </c>
      <c r="J4169" t="str">
        <v>World.</v>
      </c>
      <c r="K4169" s="11">
        <v>0</v>
      </c>
    </row>
    <row r="4170" spans="5:11" x14ac:dyDescent="0.35">
      <c r="E4170" s="9" t="str">
        <v>EPSG</v>
      </c>
      <c r="F4170" s="7" t="str">
        <v>7905</v>
      </c>
      <c r="G4170" t="str">
        <v>Geographic3DCrs</v>
      </c>
      <c r="H4170" t="str">
        <v>&lt;undefined&gt;</v>
      </c>
      <c r="I4170" t="str">
        <v>ITRF93</v>
      </c>
      <c r="J4170" t="str">
        <v>World.</v>
      </c>
      <c r="K4170" s="11">
        <v>0</v>
      </c>
    </row>
    <row r="4171" spans="5:11" x14ac:dyDescent="0.35">
      <c r="E4171" s="9" t="str">
        <v>EPSG</v>
      </c>
      <c r="F4171" s="7" t="str">
        <v>7906</v>
      </c>
      <c r="G4171" t="str">
        <v>Geographic3DCrs</v>
      </c>
      <c r="H4171" t="str">
        <v>&lt;undefined&gt;</v>
      </c>
      <c r="I4171" t="str">
        <v>ITRF94</v>
      </c>
      <c r="J4171" t="str">
        <v>World.</v>
      </c>
      <c r="K4171" s="11">
        <v>0</v>
      </c>
    </row>
    <row r="4172" spans="5:11" x14ac:dyDescent="0.35">
      <c r="E4172" s="9" t="str">
        <v>EPSG</v>
      </c>
      <c r="F4172" s="7" t="str">
        <v>7907</v>
      </c>
      <c r="G4172" t="str">
        <v>Geographic3DCrs</v>
      </c>
      <c r="H4172" t="str">
        <v>&lt;undefined&gt;</v>
      </c>
      <c r="I4172" t="str">
        <v>ITRF96</v>
      </c>
      <c r="J4172" t="str">
        <v>World.</v>
      </c>
      <c r="K4172" s="11">
        <v>0</v>
      </c>
    </row>
    <row r="4173" spans="5:11" x14ac:dyDescent="0.35">
      <c r="E4173" s="9" t="str">
        <v>EPSG</v>
      </c>
      <c r="F4173" s="7" t="str">
        <v>7908</v>
      </c>
      <c r="G4173" t="str">
        <v>Geographic3DCrs</v>
      </c>
      <c r="H4173" t="str">
        <v>&lt;undefined&gt;</v>
      </c>
      <c r="I4173" t="str">
        <v>ITRF97</v>
      </c>
      <c r="J4173" t="str">
        <v>World.</v>
      </c>
      <c r="K4173" s="11">
        <v>0</v>
      </c>
    </row>
    <row r="4174" spans="5:11" x14ac:dyDescent="0.35">
      <c r="E4174" s="9" t="str">
        <v>EPSG</v>
      </c>
      <c r="F4174" s="7" t="str">
        <v>7909</v>
      </c>
      <c r="G4174" t="str">
        <v>Geographic3DCrs</v>
      </c>
      <c r="H4174" t="str">
        <v>&lt;undefined&gt;</v>
      </c>
      <c r="I4174" t="str">
        <v>ITRF2000</v>
      </c>
      <c r="J4174" t="str">
        <v>World.</v>
      </c>
      <c r="K4174" s="11">
        <v>0</v>
      </c>
    </row>
    <row r="4175" spans="5:11" x14ac:dyDescent="0.35">
      <c r="E4175" s="9" t="str">
        <v>EPSG</v>
      </c>
      <c r="F4175" s="7" t="str">
        <v>7910</v>
      </c>
      <c r="G4175" t="str">
        <v>Geographic3DCrs</v>
      </c>
      <c r="H4175" t="str">
        <v>&lt;undefined&gt;</v>
      </c>
      <c r="I4175" t="str">
        <v>ITRF2005</v>
      </c>
      <c r="J4175" t="str">
        <v>World.</v>
      </c>
      <c r="K4175" s="11">
        <v>0</v>
      </c>
    </row>
    <row r="4176" spans="5:11" x14ac:dyDescent="0.35">
      <c r="E4176" s="9" t="str">
        <v>EPSG</v>
      </c>
      <c r="F4176" s="7" t="str">
        <v>7911</v>
      </c>
      <c r="G4176" t="str">
        <v>Geographic3DCrs</v>
      </c>
      <c r="H4176" t="str">
        <v>&lt;undefined&gt;</v>
      </c>
      <c r="I4176" t="str">
        <v>ITRF2008</v>
      </c>
      <c r="J4176" t="str">
        <v>World.</v>
      </c>
      <c r="K4176" s="11">
        <v>0</v>
      </c>
    </row>
    <row r="4177" spans="5:11" x14ac:dyDescent="0.35">
      <c r="E4177" s="9" t="str">
        <v>EPSG</v>
      </c>
      <c r="F4177" s="7" t="str">
        <v>7912</v>
      </c>
      <c r="G4177" t="str">
        <v>Geographic3DCrs</v>
      </c>
      <c r="H4177" t="str">
        <v>&lt;undefined&gt;</v>
      </c>
      <c r="I4177" t="str">
        <v>ITRF2014</v>
      </c>
      <c r="J4177" t="str">
        <v>World.</v>
      </c>
      <c r="K4177" s="11">
        <v>0</v>
      </c>
    </row>
    <row r="4178" spans="5:11" x14ac:dyDescent="0.35">
      <c r="E4178" s="9" t="str">
        <v>EPSG</v>
      </c>
      <c r="F4178" s="7" t="str">
        <v>7914</v>
      </c>
      <c r="G4178" t="str">
        <v>GeocentricCrs</v>
      </c>
      <c r="H4178" t="str">
        <v>&lt;undefined&gt;</v>
      </c>
      <c r="I4178" t="str">
        <v>ETRF89</v>
      </c>
      <c r="J4178" t="str">
        <v>Europe - onshore and offshore - ETRF extent - approximately 16°W to 33°E and 33°N to 84°N.</v>
      </c>
      <c r="K4178" s="11">
        <v>0</v>
      </c>
    </row>
    <row r="4179" spans="5:11" x14ac:dyDescent="0.35">
      <c r="E4179" s="9" t="str">
        <v>EPSG</v>
      </c>
      <c r="F4179" s="7" t="str">
        <v>7915</v>
      </c>
      <c r="G4179" t="str">
        <v>Geographic3DCrs</v>
      </c>
      <c r="H4179" t="str">
        <v>&lt;undefined&gt;</v>
      </c>
      <c r="I4179" t="str">
        <v>ETRF89</v>
      </c>
      <c r="J4179" t="str">
        <v>Europe - onshore and offshore - ETRF extent - approximately 16°W to 33°E and 33°N to 84°N.</v>
      </c>
      <c r="K4179" s="11">
        <v>0</v>
      </c>
    </row>
    <row r="4180" spans="5:11" x14ac:dyDescent="0.35">
      <c r="E4180" s="9" t="str">
        <v>EPSG</v>
      </c>
      <c r="F4180" s="7" t="str">
        <v>7916</v>
      </c>
      <c r="G4180" t="str">
        <v>GeocentricCrs</v>
      </c>
      <c r="H4180" t="str">
        <v>&lt;undefined&gt;</v>
      </c>
      <c r="I4180" t="str">
        <v>ETRF90</v>
      </c>
      <c r="J4180" t="str">
        <v>Europe - onshore and offshore - ETRF extent - approximately 16°W to 33°E and 33°N to 84°N.</v>
      </c>
      <c r="K4180" s="11">
        <v>0</v>
      </c>
    </row>
    <row r="4181" spans="5:11" x14ac:dyDescent="0.35">
      <c r="E4181" s="9" t="str">
        <v>EPSG</v>
      </c>
      <c r="F4181" s="7" t="str">
        <v>7917</v>
      </c>
      <c r="G4181" t="str">
        <v>Geographic3DCrs</v>
      </c>
      <c r="H4181" t="str">
        <v>&lt;undefined&gt;</v>
      </c>
      <c r="I4181" t="str">
        <v>ETRF90</v>
      </c>
      <c r="J4181" t="str">
        <v>Europe - onshore and offshore - ETRF extent - approximately 16°W to 33°E and 33°N to 84°N.</v>
      </c>
      <c r="K4181" s="11">
        <v>0</v>
      </c>
    </row>
    <row r="4182" spans="5:11" x14ac:dyDescent="0.35">
      <c r="E4182" s="9" t="str">
        <v>EPSG</v>
      </c>
      <c r="F4182" s="7" t="str">
        <v>7918</v>
      </c>
      <c r="G4182" t="str">
        <v>GeocentricCrs</v>
      </c>
      <c r="H4182" t="str">
        <v>&lt;undefined&gt;</v>
      </c>
      <c r="I4182" t="str">
        <v>ETRF91</v>
      </c>
      <c r="J4182" t="str">
        <v>Europe - onshore and offshore - ETRF extent - approximately 16°W to 33°E and 33°N to 84°N.</v>
      </c>
      <c r="K4182" s="11">
        <v>0</v>
      </c>
    </row>
    <row r="4183" spans="5:11" x14ac:dyDescent="0.35">
      <c r="E4183" s="9" t="str">
        <v>EPSG</v>
      </c>
      <c r="F4183" s="7" t="str">
        <v>7919</v>
      </c>
      <c r="G4183" t="str">
        <v>Geographic3DCrs</v>
      </c>
      <c r="H4183" t="str">
        <v>&lt;undefined&gt;</v>
      </c>
      <c r="I4183" t="str">
        <v>ETRF91</v>
      </c>
      <c r="J4183" t="str">
        <v>Europe - onshore and offshore - ETRF extent - approximately 16°W to 33°E and 33°N to 84°N.</v>
      </c>
      <c r="K4183" s="11">
        <v>0</v>
      </c>
    </row>
    <row r="4184" spans="5:11" x14ac:dyDescent="0.35">
      <c r="E4184" s="9" t="str">
        <v>EPSG</v>
      </c>
      <c r="F4184" s="7" t="str">
        <v>7920</v>
      </c>
      <c r="G4184" t="str">
        <v>GeocentricCrs</v>
      </c>
      <c r="H4184" t="str">
        <v>&lt;undefined&gt;</v>
      </c>
      <c r="I4184" t="str">
        <v>ETRF92</v>
      </c>
      <c r="J4184" t="str">
        <v>Europe - onshore and offshore - ETRF extent - approximately 16°W to 33°E and 33°N to 84°N.</v>
      </c>
      <c r="K4184" s="11">
        <v>0</v>
      </c>
    </row>
    <row r="4185" spans="5:11" x14ac:dyDescent="0.35">
      <c r="E4185" s="9" t="str">
        <v>EPSG</v>
      </c>
      <c r="F4185" s="7" t="str">
        <v>7921</v>
      </c>
      <c r="G4185" t="str">
        <v>Geographic3DCrs</v>
      </c>
      <c r="H4185" t="str">
        <v>&lt;undefined&gt;</v>
      </c>
      <c r="I4185" t="str">
        <v>ETRF92</v>
      </c>
      <c r="J4185" t="str">
        <v>Europe - onshore and offshore - ETRF extent - approximately 16°W to 33°E and 33°N to 84°N.</v>
      </c>
      <c r="K4185" s="11">
        <v>0</v>
      </c>
    </row>
    <row r="4186" spans="5:11" x14ac:dyDescent="0.35">
      <c r="E4186" s="9" t="str">
        <v>EPSG</v>
      </c>
      <c r="F4186" s="7" t="str">
        <v>7922</v>
      </c>
      <c r="G4186" t="str">
        <v>GeocentricCrs</v>
      </c>
      <c r="H4186" t="str">
        <v>&lt;undefined&gt;</v>
      </c>
      <c r="I4186" t="str">
        <v>ETRF93</v>
      </c>
      <c r="J4186" t="str">
        <v>Europe - onshore and offshore - ETRF extent - approximately 16°W to 33°E and 33°N to 84°N.</v>
      </c>
      <c r="K4186" s="11">
        <v>0</v>
      </c>
    </row>
    <row r="4187" spans="5:11" x14ac:dyDescent="0.35">
      <c r="E4187" s="9" t="str">
        <v>EPSG</v>
      </c>
      <c r="F4187" s="7" t="str">
        <v>7923</v>
      </c>
      <c r="G4187" t="str">
        <v>Geographic3DCrs</v>
      </c>
      <c r="H4187" t="str">
        <v>&lt;undefined&gt;</v>
      </c>
      <c r="I4187" t="str">
        <v>ETRF93</v>
      </c>
      <c r="J4187" t="str">
        <v>Europe - onshore and offshore - ETRF extent - approximately 16°W to 33°E and 33°N to 84°N.</v>
      </c>
      <c r="K4187" s="11">
        <v>0</v>
      </c>
    </row>
    <row r="4188" spans="5:11" x14ac:dyDescent="0.35">
      <c r="E4188" s="9" t="str">
        <v>EPSG</v>
      </c>
      <c r="F4188" s="7" t="str">
        <v>7924</v>
      </c>
      <c r="G4188" t="str">
        <v>GeocentricCrs</v>
      </c>
      <c r="H4188" t="str">
        <v>&lt;undefined&gt;</v>
      </c>
      <c r="I4188" t="str">
        <v>ETRF94</v>
      </c>
      <c r="J4188" t="str">
        <v>Europe - onshore and offshore - ETRF extent - approximately 16°W to 33°E and 33°N to 84°N.</v>
      </c>
      <c r="K4188" s="11">
        <v>0</v>
      </c>
    </row>
    <row r="4189" spans="5:11" x14ac:dyDescent="0.35">
      <c r="E4189" s="9" t="str">
        <v>EPSG</v>
      </c>
      <c r="F4189" s="7" t="str">
        <v>7925</v>
      </c>
      <c r="G4189" t="str">
        <v>Geographic3DCrs</v>
      </c>
      <c r="H4189" t="str">
        <v>&lt;undefined&gt;</v>
      </c>
      <c r="I4189" t="str">
        <v>ETRF94</v>
      </c>
      <c r="J4189" t="str">
        <v>Europe - onshore and offshore - ETRF extent - approximately 16°W to 33°E and 33°N to 84°N.</v>
      </c>
      <c r="K4189" s="11">
        <v>0</v>
      </c>
    </row>
    <row r="4190" spans="5:11" x14ac:dyDescent="0.35">
      <c r="E4190" s="9" t="str">
        <v>EPSG</v>
      </c>
      <c r="F4190" s="7" t="str">
        <v>7926</v>
      </c>
      <c r="G4190" t="str">
        <v>GeocentricCrs</v>
      </c>
      <c r="H4190" t="str">
        <v>&lt;undefined&gt;</v>
      </c>
      <c r="I4190" t="str">
        <v>ETRF96</v>
      </c>
      <c r="J4190" t="str">
        <v>Europe - onshore and offshore - ETRF extent - approximately 16°W to 33°E and 33°N to 84°N.</v>
      </c>
      <c r="K4190" s="11">
        <v>0</v>
      </c>
    </row>
    <row r="4191" spans="5:11" x14ac:dyDescent="0.35">
      <c r="E4191" s="9" t="str">
        <v>EPSG</v>
      </c>
      <c r="F4191" s="7" t="str">
        <v>7927</v>
      </c>
      <c r="G4191" t="str">
        <v>Geographic3DCrs</v>
      </c>
      <c r="H4191" t="str">
        <v>&lt;undefined&gt;</v>
      </c>
      <c r="I4191" t="str">
        <v>ETRF96</v>
      </c>
      <c r="J4191" t="str">
        <v>Europe - onshore and offshore - ETRF extent - approximately 16°W to 33°E and 33°N to 84°N.</v>
      </c>
      <c r="K4191" s="11">
        <v>0</v>
      </c>
    </row>
    <row r="4192" spans="5:11" x14ac:dyDescent="0.35">
      <c r="E4192" s="9" t="str">
        <v>EPSG</v>
      </c>
      <c r="F4192" s="7" t="str">
        <v>7928</v>
      </c>
      <c r="G4192" t="str">
        <v>GeocentricCrs</v>
      </c>
      <c r="H4192" t="str">
        <v>&lt;undefined&gt;</v>
      </c>
      <c r="I4192" t="str">
        <v>ETRF97</v>
      </c>
      <c r="J4192" t="str">
        <v>Europe - onshore and offshore - ETRF extent - approximately 16°W to 33°E and 33°N to 84°N.</v>
      </c>
      <c r="K4192" s="11">
        <v>0</v>
      </c>
    </row>
    <row r="4193" spans="5:11" x14ac:dyDescent="0.35">
      <c r="E4193" s="9" t="str">
        <v>EPSG</v>
      </c>
      <c r="F4193" s="7" t="str">
        <v>7929</v>
      </c>
      <c r="G4193" t="str">
        <v>Geographic3DCrs</v>
      </c>
      <c r="H4193" t="str">
        <v>&lt;undefined&gt;</v>
      </c>
      <c r="I4193" t="str">
        <v>ETRF97</v>
      </c>
      <c r="J4193" t="str">
        <v>Europe - onshore and offshore - ETRF extent - approximately 16°W to 33°E and 33°N to 84°N.</v>
      </c>
      <c r="K4193" s="11">
        <v>0</v>
      </c>
    </row>
    <row r="4194" spans="5:11" x14ac:dyDescent="0.35">
      <c r="E4194" s="9" t="str">
        <v>EPSG</v>
      </c>
      <c r="F4194" s="7" t="str">
        <v>7930</v>
      </c>
      <c r="G4194" t="str">
        <v>GeocentricCrs</v>
      </c>
      <c r="H4194" t="str">
        <v>&lt;undefined&gt;</v>
      </c>
      <c r="I4194" t="str">
        <v>ETRF2000</v>
      </c>
      <c r="J4194" t="str">
        <v>Europe - onshore and offshore: Albania; Andorra; Austria; Belgium; Bosnia and Herzegovina; Bulgaria; Croatia; Czechia; Denmark; Estonia; Faroe Islands; Finland; France; Germany; Gibraltar; Greece; Hungary; Ireland; Italy; Kosovo; Latvia; Liechtenstein; Lithuania; Luxembourg; Malta; Moldova; Monaco; Montenegro; Netherlands; North Macedonia; Norway including Svalbard and Jan Mayen; Poland; Portugal - mainland; Romania; San Marino; Serbia; Slovakia; Slovenia; Spain - mainland and Balearic islands; Sweden; Switzerland; United Kingdom (UK) including Channel Islands and Isle of Man; Vatican City State.</v>
      </c>
      <c r="K4194" s="11">
        <v>0</v>
      </c>
    </row>
    <row r="4195" spans="5:11" x14ac:dyDescent="0.35">
      <c r="E4195" s="9" t="str">
        <v>EPSG</v>
      </c>
      <c r="F4195" s="7" t="str">
        <v>7931</v>
      </c>
      <c r="G4195" t="str">
        <v>Geographic3DCrs</v>
      </c>
      <c r="H4195" t="str">
        <v>&lt;undefined&gt;</v>
      </c>
      <c r="I4195" t="str">
        <v>ETRF2000</v>
      </c>
      <c r="J4195" t="str">
        <v>Europe - onshore and offshore - ETRF extent - approximately 16°W to 33°E and 33°N to 84°N.</v>
      </c>
      <c r="K4195" s="11">
        <v>0</v>
      </c>
    </row>
    <row r="4196" spans="5:11" x14ac:dyDescent="0.35">
      <c r="E4196" s="9" t="str">
        <v>EPSG</v>
      </c>
      <c r="F4196" s="7" t="str">
        <v>7954</v>
      </c>
      <c r="G4196" t="str">
        <v>CompoundCrs</v>
      </c>
      <c r="H4196" t="str">
        <v>&lt;undefined&gt;</v>
      </c>
      <c r="I4196" t="str">
        <v>Astro DOS 71 / UTM zone 30S + Jamestown 1971 height</v>
      </c>
      <c r="J4196" t="str">
        <v>St Helena, Ascension and Tristan da Cunha - St Helena Island - onshore.</v>
      </c>
      <c r="K4196" s="11">
        <v>0</v>
      </c>
    </row>
    <row r="4197" spans="5:11" x14ac:dyDescent="0.35">
      <c r="E4197" s="9" t="str">
        <v>EPSG</v>
      </c>
      <c r="F4197" s="7" t="str">
        <v>7955</v>
      </c>
      <c r="G4197" t="str">
        <v>CompoundCrs</v>
      </c>
      <c r="H4197" t="str">
        <v>&lt;undefined&gt;</v>
      </c>
      <c r="I4197" t="str">
        <v>St. Helena Tritan / UTM zone 30S + Tritan 2011 height</v>
      </c>
      <c r="J4197" t="str">
        <v>St Helena, Ascension and Tristan da Cunha - St Helena Island - onshore.</v>
      </c>
      <c r="K4197" s="11">
        <v>0</v>
      </c>
    </row>
    <row r="4198" spans="5:11" x14ac:dyDescent="0.35">
      <c r="E4198" s="9" t="str">
        <v>EPSG</v>
      </c>
      <c r="F4198" s="7" t="str">
        <v>7956</v>
      </c>
      <c r="G4198" t="str">
        <v>CompoundCrs</v>
      </c>
      <c r="H4198" t="str">
        <v>&lt;undefined&gt;</v>
      </c>
      <c r="I4198" t="str">
        <v>SHMG2015 + SHVD2015 height</v>
      </c>
      <c r="J4198" t="str">
        <v>St Helena, Ascension and Tristan da Cunha - St Helena Island - onshore.</v>
      </c>
      <c r="K4198" s="11">
        <v>0</v>
      </c>
    </row>
    <row r="4199" spans="5:11" x14ac:dyDescent="0.35">
      <c r="E4199" s="9" t="str">
        <v>EPSG</v>
      </c>
      <c r="F4199" s="7" t="str">
        <v>7962</v>
      </c>
      <c r="G4199" t="str">
        <v>VerticalCrs</v>
      </c>
      <c r="H4199" t="str">
        <v>&lt;undefined&gt;</v>
      </c>
      <c r="I4199" t="str">
        <v>Poolbeg height (m)</v>
      </c>
      <c r="J4199" t="str">
        <v>Ireland - onshore. United Kingdom (UK) - Northern Ireland (Ulster) - onshore.</v>
      </c>
      <c r="K4199" s="11">
        <v>0</v>
      </c>
    </row>
    <row r="4200" spans="5:11" x14ac:dyDescent="0.35">
      <c r="E4200" s="9" t="str">
        <v>EPSG</v>
      </c>
      <c r="F4200" s="7" t="str">
        <v>7968</v>
      </c>
      <c r="G4200" t="str">
        <v>VerticalCrs</v>
      </c>
      <c r="H4200" t="str">
        <v>&lt;undefined&gt;</v>
      </c>
      <c r="I4200" t="str">
        <v>NGVD29 height (m)</v>
      </c>
      <c r="J4200"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4200" s="11">
        <v>0</v>
      </c>
    </row>
    <row r="4201" spans="5:11" x14ac:dyDescent="0.35">
      <c r="E4201" s="9" t="str">
        <v>EPSG</v>
      </c>
      <c r="F4201" s="7" t="str">
        <v>7976</v>
      </c>
      <c r="G4201" t="str">
        <v>VerticalCrs</v>
      </c>
      <c r="H4201" t="str">
        <v>&lt;undefined&gt;</v>
      </c>
      <c r="I4201" t="str">
        <v>HKPD depth</v>
      </c>
      <c r="J4201" t="str">
        <v>China - Hong Kong - onshore.</v>
      </c>
      <c r="K4201" s="11">
        <v>0</v>
      </c>
    </row>
    <row r="4202" spans="5:11" x14ac:dyDescent="0.35">
      <c r="E4202" s="9" t="str">
        <v>EPSG</v>
      </c>
      <c r="F4202" s="7" t="str">
        <v>7979</v>
      </c>
      <c r="G4202" t="str">
        <v>VerticalCrs</v>
      </c>
      <c r="H4202" t="str">
        <v>&lt;undefined&gt;</v>
      </c>
      <c r="I4202" t="str">
        <v>KOC WD height</v>
      </c>
      <c r="J4202" t="str">
        <v>Kuwait - onshore.</v>
      </c>
      <c r="K4202" s="11">
        <v>0</v>
      </c>
    </row>
    <row r="4203" spans="5:11" x14ac:dyDescent="0.35">
      <c r="E4203" s="9" t="str">
        <v>EPSG</v>
      </c>
      <c r="F4203" s="7" t="str">
        <v>7991</v>
      </c>
      <c r="G4203" t="str">
        <v>ProjectedCrs</v>
      </c>
      <c r="H4203" t="str">
        <v>Transverse Mercator</v>
      </c>
      <c r="I4203" t="str">
        <v>NAD27 / MTM zone 10</v>
      </c>
      <c r="J4203" t="str">
        <v>Canada - Ontario - between 81°W and 78°W: south of 46°N in area to west of 80°15'W, south of 47°N in area between 80°15'W and 79°30'W, entire province between 79°30'W and 78°W.</v>
      </c>
      <c r="K4203" s="11">
        <v>0</v>
      </c>
    </row>
    <row r="4204" spans="5:11" x14ac:dyDescent="0.35">
      <c r="E4204" s="9" t="str">
        <v>EPSG</v>
      </c>
      <c r="F4204" s="7" t="str">
        <v>7992</v>
      </c>
      <c r="G4204" t="str">
        <v>ProjectedCrs</v>
      </c>
      <c r="H4204" t="str">
        <v>Transverse Mercator</v>
      </c>
      <c r="I4204" t="str">
        <v>Malongo 1987 / UTM zone 33S</v>
      </c>
      <c r="J4204" t="str">
        <v>The Democratic Republic of the Congo (Zaire) - offshore.</v>
      </c>
      <c r="K4204" s="11">
        <v>0</v>
      </c>
    </row>
    <row r="4205" spans="5:11" x14ac:dyDescent="0.35">
      <c r="E4205" s="9" t="str">
        <v>EPSG</v>
      </c>
      <c r="F4205" s="7" t="str">
        <v>8013</v>
      </c>
      <c r="G4205" t="str">
        <v>ProjectedCrs</v>
      </c>
      <c r="H4205" t="str">
        <v>Transverse Mercator</v>
      </c>
      <c r="I4205" t="str">
        <v>GDA2020 / ALB2020</v>
      </c>
      <c r="J4205" t="str">
        <v>Australia - Western Australia - Albany area onshore below 190m AHD.</v>
      </c>
      <c r="K4205" s="11">
        <v>0</v>
      </c>
    </row>
    <row r="4206" spans="5:11" x14ac:dyDescent="0.35">
      <c r="E4206" s="9" t="str">
        <v>EPSG</v>
      </c>
      <c r="F4206" s="7" t="str">
        <v>8014</v>
      </c>
      <c r="G4206" t="str">
        <v>ProjectedCrs</v>
      </c>
      <c r="H4206" t="str">
        <v>Transverse Mercator</v>
      </c>
      <c r="I4206" t="str">
        <v>GDA2020 / BIO2020</v>
      </c>
      <c r="J4206" t="str">
        <v>Australia - Western Australia - Barrow Island and Onslow area onshore.</v>
      </c>
      <c r="K4206" s="11">
        <v>0</v>
      </c>
    </row>
    <row r="4207" spans="5:11" x14ac:dyDescent="0.35">
      <c r="E4207" s="9" t="str">
        <v>EPSG</v>
      </c>
      <c r="F4207" s="7" t="str">
        <v>8015</v>
      </c>
      <c r="G4207" t="str">
        <v>ProjectedCrs</v>
      </c>
      <c r="H4207" t="str">
        <v>Transverse Mercator</v>
      </c>
      <c r="I4207" t="str">
        <v>GDA2020 / BRO2020</v>
      </c>
      <c r="J4207" t="str">
        <v>Australia - Western Australia - Broome area onshore below 130m AHD.</v>
      </c>
      <c r="K4207" s="11">
        <v>0</v>
      </c>
    </row>
    <row r="4208" spans="5:11" x14ac:dyDescent="0.35">
      <c r="E4208" s="9" t="str">
        <v>EPSG</v>
      </c>
      <c r="F4208" s="7" t="str">
        <v>8016</v>
      </c>
      <c r="G4208" t="str">
        <v>ProjectedCrs</v>
      </c>
      <c r="H4208" t="str">
        <v>Transverse Mercator</v>
      </c>
      <c r="I4208" t="str">
        <v>GDA2020 / BCG2020</v>
      </c>
      <c r="J4208" t="str">
        <v>Australia - Western Australia - Busselton area onshore below 250m AHD.</v>
      </c>
      <c r="K4208" s="11">
        <v>0</v>
      </c>
    </row>
    <row r="4209" spans="5:11" x14ac:dyDescent="0.35">
      <c r="E4209" s="9" t="str">
        <v>EPSG</v>
      </c>
      <c r="F4209" s="7" t="str">
        <v>8017</v>
      </c>
      <c r="G4209" t="str">
        <v>ProjectedCrs</v>
      </c>
      <c r="H4209" t="str">
        <v>Transverse Mercator</v>
      </c>
      <c r="I4209" t="str">
        <v>GDA2020 / CARN2020</v>
      </c>
      <c r="J4209" t="str">
        <v>Australia - Western Australia - Carnarvon area onshore.</v>
      </c>
      <c r="K4209" s="11">
        <v>0</v>
      </c>
    </row>
    <row r="4210" spans="5:11" x14ac:dyDescent="0.35">
      <c r="E4210" s="9" t="str">
        <v>EPSG</v>
      </c>
      <c r="F4210" s="7" t="str">
        <v>8018</v>
      </c>
      <c r="G4210" t="str">
        <v>ProjectedCrs</v>
      </c>
      <c r="H4210" t="str">
        <v>Transverse Mercator</v>
      </c>
      <c r="I4210" t="str">
        <v>GDA2020 / CIG2020</v>
      </c>
      <c r="J4210" t="str">
        <v>Christmas Island - onshore.</v>
      </c>
      <c r="K4210" s="11">
        <v>0</v>
      </c>
    </row>
    <row r="4211" spans="5:11" x14ac:dyDescent="0.35">
      <c r="E4211" s="9" t="str">
        <v>EPSG</v>
      </c>
      <c r="F4211" s="7" t="str">
        <v>8019</v>
      </c>
      <c r="G4211" t="str">
        <v>ProjectedCrs</v>
      </c>
      <c r="H4211" t="str">
        <v>Transverse Mercator</v>
      </c>
      <c r="I4211" t="str">
        <v>GDA2020 / CKIG2020</v>
      </c>
      <c r="J4211" t="str">
        <v>Cocos (Keeling) Islands - onshore.</v>
      </c>
      <c r="K4211" s="11">
        <v>0</v>
      </c>
    </row>
    <row r="4212" spans="5:11" x14ac:dyDescent="0.35">
      <c r="E4212" s="9" t="str">
        <v>EPSG</v>
      </c>
      <c r="F4212" s="7" t="str">
        <v>8020</v>
      </c>
      <c r="G4212" t="str">
        <v>ProjectedCrs</v>
      </c>
      <c r="H4212" t="str">
        <v>Transverse Mercator</v>
      </c>
      <c r="I4212" t="str">
        <v>GDA2020 / COL2020</v>
      </c>
      <c r="J4212" t="str">
        <v>Australia - Western Australia - Collie area between 50m and 310m AHD.</v>
      </c>
      <c r="K4212" s="11">
        <v>0</v>
      </c>
    </row>
    <row r="4213" spans="5:11" x14ac:dyDescent="0.35">
      <c r="E4213" s="9" t="str">
        <v>EPSG</v>
      </c>
      <c r="F4213" s="7" t="str">
        <v>8021</v>
      </c>
      <c r="G4213" t="str">
        <v>ProjectedCrs</v>
      </c>
      <c r="H4213" t="str">
        <v>Transverse Mercator</v>
      </c>
      <c r="I4213" t="str">
        <v>GDA2020 / ESP2020</v>
      </c>
      <c r="J4213" t="str">
        <v>Australia - Western Australia - Esperance area onshore.</v>
      </c>
      <c r="K4213" s="11">
        <v>0</v>
      </c>
    </row>
    <row r="4214" spans="5:11" x14ac:dyDescent="0.35">
      <c r="E4214" s="9" t="str">
        <v>EPSG</v>
      </c>
      <c r="F4214" s="7" t="str">
        <v>8022</v>
      </c>
      <c r="G4214" t="str">
        <v>ProjectedCrs</v>
      </c>
      <c r="H4214" t="str">
        <v>Transverse Mercator</v>
      </c>
      <c r="I4214" t="str">
        <v>GDA2020 / EXM2020</v>
      </c>
      <c r="J4214" t="str">
        <v>Australia - Western Australia - Exmouth area onshore below 160m AHD.</v>
      </c>
      <c r="K4214" s="11">
        <v>0</v>
      </c>
    </row>
    <row r="4215" spans="5:11" x14ac:dyDescent="0.35">
      <c r="E4215" s="9" t="str">
        <v>EPSG</v>
      </c>
      <c r="F4215" s="7" t="str">
        <v>8023</v>
      </c>
      <c r="G4215" t="str">
        <v>ProjectedCrs</v>
      </c>
      <c r="H4215" t="str">
        <v>Transverse Mercator</v>
      </c>
      <c r="I4215" t="str">
        <v>GDA2020 / GCG2020</v>
      </c>
      <c r="J4215" t="str">
        <v>Australia - Western Australia - Geraldton area onshore below 195m AHD.</v>
      </c>
      <c r="K4215" s="11">
        <v>0</v>
      </c>
    </row>
    <row r="4216" spans="5:11" x14ac:dyDescent="0.35">
      <c r="E4216" s="9" t="str">
        <v>EPSG</v>
      </c>
      <c r="F4216" s="7" t="str">
        <v>8024</v>
      </c>
      <c r="G4216" t="str">
        <v>ProjectedCrs</v>
      </c>
      <c r="H4216" t="str">
        <v>Transverse Mercator</v>
      </c>
      <c r="I4216" t="str">
        <v>GDA2020 / GOLD2020</v>
      </c>
      <c r="J4216" t="str">
        <v>Australia - Western Australia - Kalgoorlie area.</v>
      </c>
      <c r="K4216" s="11">
        <v>0</v>
      </c>
    </row>
    <row r="4217" spans="5:11" x14ac:dyDescent="0.35">
      <c r="E4217" s="9" t="str">
        <v>EPSG</v>
      </c>
      <c r="F4217" s="7" t="str">
        <v>8025</v>
      </c>
      <c r="G4217" t="str">
        <v>ProjectedCrs</v>
      </c>
      <c r="H4217" t="str">
        <v>Transverse Mercator</v>
      </c>
      <c r="I4217" t="str">
        <v>GDA2020 / JCG2020</v>
      </c>
      <c r="J4217" t="str">
        <v>Australia - Western Australia - Jurien Bay area onshore below 200m AHD.</v>
      </c>
      <c r="K4217" s="11">
        <v>0</v>
      </c>
    </row>
    <row r="4218" spans="5:11" x14ac:dyDescent="0.35">
      <c r="E4218" s="9" t="str">
        <v>EPSG</v>
      </c>
      <c r="F4218" s="7" t="str">
        <v>8026</v>
      </c>
      <c r="G4218" t="str">
        <v>ProjectedCrs</v>
      </c>
      <c r="H4218" t="str">
        <v>Transverse Mercator</v>
      </c>
      <c r="I4218" t="str">
        <v>GDA2020 / KALB2020</v>
      </c>
      <c r="J4218" t="str">
        <v>Australia - Western Australia - Kalbarri area onshore.</v>
      </c>
      <c r="K4218" s="11">
        <v>0</v>
      </c>
    </row>
    <row r="4219" spans="5:11" x14ac:dyDescent="0.35">
      <c r="E4219" s="9" t="str">
        <v>EPSG</v>
      </c>
      <c r="F4219" s="7" t="str">
        <v>8027</v>
      </c>
      <c r="G4219" t="str">
        <v>ProjectedCrs</v>
      </c>
      <c r="H4219" t="str">
        <v>Transverse Mercator</v>
      </c>
      <c r="I4219" t="str">
        <v>GDA2020 / KAR2020</v>
      </c>
      <c r="J4219" t="str">
        <v>Australia - Western Australia - Karratha area onshore.</v>
      </c>
      <c r="K4219" s="11">
        <v>0</v>
      </c>
    </row>
    <row r="4220" spans="5:11" x14ac:dyDescent="0.35">
      <c r="E4220" s="9" t="str">
        <v>EPSG</v>
      </c>
      <c r="F4220" s="7" t="str">
        <v>8028</v>
      </c>
      <c r="G4220" t="str">
        <v>ProjectedCrs</v>
      </c>
      <c r="H4220" t="str">
        <v>Transverse Mercator</v>
      </c>
      <c r="I4220" t="str">
        <v>GDA2020 / KUN2020</v>
      </c>
      <c r="J4220" t="str">
        <v>Australia - Western Australia - Kununurra area onshore below 200m AHD.</v>
      </c>
      <c r="K4220" s="11">
        <v>0</v>
      </c>
    </row>
    <row r="4221" spans="5:11" x14ac:dyDescent="0.35">
      <c r="E4221" s="9" t="str">
        <v>EPSG</v>
      </c>
      <c r="F4221" s="7" t="str">
        <v>8029</v>
      </c>
      <c r="G4221" t="str">
        <v>ProjectedCrs</v>
      </c>
      <c r="H4221" t="str">
        <v>Transverse Mercator</v>
      </c>
      <c r="I4221" t="str">
        <v>GDA2020 / LCG2020</v>
      </c>
      <c r="J4221" t="str">
        <v>Australia - Western Australia - Lancelin area onshore below 200m AHD.</v>
      </c>
      <c r="K4221" s="11">
        <v>0</v>
      </c>
    </row>
    <row r="4222" spans="5:11" x14ac:dyDescent="0.35">
      <c r="E4222" s="9" t="str">
        <v>EPSG</v>
      </c>
      <c r="F4222" s="7" t="str">
        <v>8030</v>
      </c>
      <c r="G4222" t="str">
        <v>ProjectedCrs</v>
      </c>
      <c r="H4222" t="str">
        <v>Transverse Mercator</v>
      </c>
      <c r="I4222" t="str">
        <v>GDA2020 / MRCG2020</v>
      </c>
      <c r="J4222" t="str">
        <v>Australia - Western Australia - Margaret River area onshore below 200m AHD.</v>
      </c>
      <c r="K4222" s="11">
        <v>0</v>
      </c>
    </row>
    <row r="4223" spans="5:11" x14ac:dyDescent="0.35">
      <c r="E4223" s="9" t="str">
        <v>EPSG</v>
      </c>
      <c r="F4223" s="7" t="str">
        <v>8031</v>
      </c>
      <c r="G4223" t="str">
        <v>ProjectedCrs</v>
      </c>
      <c r="H4223" t="str">
        <v>Transverse Mercator</v>
      </c>
      <c r="I4223" t="str">
        <v>GDA2020 / PCG2020</v>
      </c>
      <c r="J4223" t="str">
        <v>Australia - Western Australia - Perth area onshore below 165m AHD.</v>
      </c>
      <c r="K4223" s="11">
        <v>0</v>
      </c>
    </row>
    <row r="4224" spans="5:11" x14ac:dyDescent="0.35">
      <c r="E4224" s="9" t="str">
        <v>EPSG</v>
      </c>
      <c r="F4224" s="7" t="str">
        <v>8032</v>
      </c>
      <c r="G4224" t="str">
        <v>ProjectedCrs</v>
      </c>
      <c r="H4224" t="str">
        <v>Transverse Mercator</v>
      </c>
      <c r="I4224" t="str">
        <v>GDA2020 / PHG2020</v>
      </c>
      <c r="J4224" t="str">
        <v>Australia - Western Australia - Port Hedland area onshore.</v>
      </c>
      <c r="K4224" s="11">
        <v>0</v>
      </c>
    </row>
    <row r="4225" spans="5:11" x14ac:dyDescent="0.35">
      <c r="E4225" s="9" t="str">
        <v>EPSG</v>
      </c>
      <c r="F4225" s="7" t="str">
        <v>8035</v>
      </c>
      <c r="G4225" t="str">
        <v>ProjectedCrs</v>
      </c>
      <c r="H4225" t="str">
        <v>Transverse Mercator</v>
      </c>
      <c r="I4225" t="str">
        <v>WGS 84 / TM Zone 20N (ftUS)</v>
      </c>
      <c r="J4225" t="str">
        <v>Trinidad and Tobago - offshore west of 60°W.</v>
      </c>
      <c r="K4225" s="11">
        <v>0</v>
      </c>
    </row>
    <row r="4226" spans="5:11" x14ac:dyDescent="0.35">
      <c r="E4226" s="9" t="str">
        <v>EPSG</v>
      </c>
      <c r="F4226" s="7" t="str">
        <v>8036</v>
      </c>
      <c r="G4226" t="str">
        <v>ProjectedCrs</v>
      </c>
      <c r="H4226" t="str">
        <v>Transverse Mercator</v>
      </c>
      <c r="I4226" t="str">
        <v>WGS 84 / TM Zone 21N (ftUS)</v>
      </c>
      <c r="J4226" t="str">
        <v>Trinidad and Tobago - offshore east of 60°W.</v>
      </c>
      <c r="K4226" s="11">
        <v>0</v>
      </c>
    </row>
    <row r="4227" spans="5:11" x14ac:dyDescent="0.35">
      <c r="E4227" s="9" t="str">
        <v>EPSG</v>
      </c>
      <c r="F4227" s="7" t="str">
        <v>8042</v>
      </c>
      <c r="G4227" t="str">
        <v>Geographic2DCrs</v>
      </c>
      <c r="H4227" t="str">
        <v>&lt;undefined&gt;</v>
      </c>
      <c r="I4227" t="str">
        <v>Gusterberg (Ferro)</v>
      </c>
      <c r="J4227" t="str">
        <v>Austria - Upper Austria and Salzburg provinces. Czechia - Bohemia.</v>
      </c>
      <c r="K4227" s="11">
        <v>0</v>
      </c>
    </row>
    <row r="4228" spans="5:11" x14ac:dyDescent="0.35">
      <c r="E4228" s="9" t="str">
        <v>EPSG</v>
      </c>
      <c r="F4228" s="7" t="str">
        <v>8043</v>
      </c>
      <c r="G4228" t="str">
        <v>Geographic2DCrs</v>
      </c>
      <c r="H4228" t="str">
        <v>&lt;undefined&gt;</v>
      </c>
      <c r="I4228" t="str">
        <v>St. Stephen (Ferro)</v>
      </c>
      <c r="J4228" t="str">
        <v>Austria - Lower Austria. Czechia - Moravia and Czech Silesia.</v>
      </c>
      <c r="K4228" s="11">
        <v>0</v>
      </c>
    </row>
    <row r="4229" spans="5:11" x14ac:dyDescent="0.35">
      <c r="E4229" s="9" t="str">
        <v>EPSG</v>
      </c>
      <c r="F4229" s="7" t="str">
        <v>8044</v>
      </c>
      <c r="G4229" t="str">
        <v>ProjectedCrs</v>
      </c>
      <c r="H4229" t="str">
        <v>Cassini-Soldner</v>
      </c>
      <c r="I4229" t="str">
        <v>Gusterberg Grid (Ferro)</v>
      </c>
      <c r="J4229" t="str">
        <v>Austria - Upper Austria and Salzburg provinces. Czechia - Bohemia.</v>
      </c>
      <c r="K4229" s="11">
        <v>0</v>
      </c>
    </row>
    <row r="4230" spans="5:11" x14ac:dyDescent="0.35">
      <c r="E4230" s="9" t="str">
        <v>EPSG</v>
      </c>
      <c r="F4230" s="7" t="str">
        <v>8045</v>
      </c>
      <c r="G4230" t="str">
        <v>ProjectedCrs</v>
      </c>
      <c r="H4230" t="str">
        <v>Cassini-Soldner</v>
      </c>
      <c r="I4230" t="str">
        <v>St. Stephen Grid (Ferro)</v>
      </c>
      <c r="J4230" t="str">
        <v>Austria - Lower Austria. Czechia - Moravia and Czech Silesia.</v>
      </c>
      <c r="K4230" s="11">
        <v>0</v>
      </c>
    </row>
    <row r="4231" spans="5:11" x14ac:dyDescent="0.35">
      <c r="E4231" s="9" t="str">
        <v>EPSG</v>
      </c>
      <c r="F4231" s="7" t="str">
        <v>8050</v>
      </c>
      <c r="G4231" t="str">
        <v>VerticalCrs</v>
      </c>
      <c r="H4231" t="str">
        <v>&lt;undefined&gt;</v>
      </c>
      <c r="I4231" t="str">
        <v>MSL height (ft)</v>
      </c>
      <c r="J4231" t="str">
        <v>World.</v>
      </c>
      <c r="K4231" s="11">
        <v>0</v>
      </c>
    </row>
    <row r="4232" spans="5:11" x14ac:dyDescent="0.35">
      <c r="E4232" s="9" t="str">
        <v>EPSG</v>
      </c>
      <c r="F4232" s="7" t="str">
        <v>8051</v>
      </c>
      <c r="G4232" t="str">
        <v>VerticalCrs</v>
      </c>
      <c r="H4232" t="str">
        <v>&lt;undefined&gt;</v>
      </c>
      <c r="I4232" t="str">
        <v>MSL depth (ft)</v>
      </c>
      <c r="J4232" t="str">
        <v>World.</v>
      </c>
      <c r="K4232" s="11">
        <v>0</v>
      </c>
    </row>
    <row r="4233" spans="5:11" x14ac:dyDescent="0.35">
      <c r="E4233" s="9" t="str">
        <v>EPSG</v>
      </c>
      <c r="F4233" s="7" t="str">
        <v>8052</v>
      </c>
      <c r="G4233" t="str">
        <v>VerticalCrs</v>
      </c>
      <c r="H4233" t="str">
        <v>&lt;undefined&gt;</v>
      </c>
      <c r="I4233" t="str">
        <v>MSL height (ftUS)</v>
      </c>
      <c r="J4233" t="str">
        <v>United States (USA) - onshore and offshore.</v>
      </c>
      <c r="K4233" s="11">
        <v>0</v>
      </c>
    </row>
    <row r="4234" spans="5:11" x14ac:dyDescent="0.35">
      <c r="E4234" s="9" t="str">
        <v>EPSG</v>
      </c>
      <c r="F4234" s="7" t="str">
        <v>8053</v>
      </c>
      <c r="G4234" t="str">
        <v>VerticalCrs</v>
      </c>
      <c r="H4234" t="str">
        <v>&lt;undefined&gt;</v>
      </c>
      <c r="I4234" t="str">
        <v>MSL depth (ftUS)</v>
      </c>
      <c r="J4234" t="str">
        <v>United States (USA) - onshore and offshore.</v>
      </c>
      <c r="K4234" s="11">
        <v>0</v>
      </c>
    </row>
    <row r="4235" spans="5:11" x14ac:dyDescent="0.35">
      <c r="E4235" s="9" t="str">
        <v>EPSG</v>
      </c>
      <c r="F4235" s="7" t="str">
        <v>8058</v>
      </c>
      <c r="G4235" t="str">
        <v>ProjectedCrs</v>
      </c>
      <c r="H4235" t="str">
        <v>Lambert Conic Conformal (2SP)</v>
      </c>
      <c r="I4235" t="str">
        <v>GDA2020 / NSW Lambert</v>
      </c>
      <c r="J4235" t="str">
        <v>Australia - New South Wales.</v>
      </c>
      <c r="K4235" s="11">
        <v>0</v>
      </c>
    </row>
    <row r="4236" spans="5:11" x14ac:dyDescent="0.35">
      <c r="E4236" s="9" t="str">
        <v>EPSG</v>
      </c>
      <c r="F4236" s="7" t="str">
        <v>8059</v>
      </c>
      <c r="G4236" t="str">
        <v>ProjectedCrs</v>
      </c>
      <c r="H4236" t="str">
        <v>Lambert Conic Conformal (2SP)</v>
      </c>
      <c r="I4236" t="str">
        <v>GDA2020 / SA Lambert</v>
      </c>
      <c r="J4236" t="str">
        <v>Australia - South Australia.</v>
      </c>
      <c r="K4236" s="11">
        <v>0</v>
      </c>
    </row>
    <row r="4237" spans="5:11" x14ac:dyDescent="0.35">
      <c r="E4237" s="9" t="str">
        <v>EPSG</v>
      </c>
      <c r="F4237" s="7" t="str">
        <v>8065</v>
      </c>
      <c r="G4237" t="str">
        <v>ProjectedCrs</v>
      </c>
      <c r="H4237" t="str">
        <v>Hotine Oblique Mercator (variant B)</v>
      </c>
      <c r="I4237" t="str">
        <v>NAD83(2011) / PCCS zone 1 (ft)</v>
      </c>
      <c r="J4237" t="str">
        <v>United States (USA) - Arizona - Pima county - east of the township line between ranges R7E and R8E, Gila and Salt River Meridian (east of approximately 111°34'W).</v>
      </c>
      <c r="K4237" s="11">
        <v>0</v>
      </c>
    </row>
    <row r="4238" spans="5:11" x14ac:dyDescent="0.35">
      <c r="E4238" s="9" t="str">
        <v>EPSG</v>
      </c>
      <c r="F4238" s="7" t="str">
        <v>8066</v>
      </c>
      <c r="G4238" t="str">
        <v>ProjectedCrs</v>
      </c>
      <c r="H4238" t="str">
        <v>Transverse Mercator</v>
      </c>
      <c r="I4238" t="str">
        <v>NAD83(2011) / PCCS zone 2 (ft)</v>
      </c>
      <c r="J4238" t="str">
        <v>United States (USA) - Arizona - Pima county - between the township line between ranges R2W and R3W and the township line between ranges R7E and R8E, Gila and Salt River Meridian (between approximately 112°31'W and 111°34'W).</v>
      </c>
      <c r="K4238" s="11">
        <v>0</v>
      </c>
    </row>
    <row r="4239" spans="5:11" x14ac:dyDescent="0.35">
      <c r="E4239" s="9" t="str">
        <v>EPSG</v>
      </c>
      <c r="F4239" s="7" t="str">
        <v>8067</v>
      </c>
      <c r="G4239" t="str">
        <v>ProjectedCrs</v>
      </c>
      <c r="H4239" t="str">
        <v>Transverse Mercator</v>
      </c>
      <c r="I4239" t="str">
        <v>NAD83(2011) / PCCS zone 3 (ft)</v>
      </c>
      <c r="J4239" t="str">
        <v>United States (USA) - Arizona - Pima county - west of the township line between ranges R2W and R3W, Gila and Salt River Meridian (west of approximately 112°31'W).</v>
      </c>
      <c r="K4239" s="11">
        <v>0</v>
      </c>
    </row>
    <row r="4240" spans="5:11" x14ac:dyDescent="0.35">
      <c r="E4240" s="9" t="str">
        <v>EPSG</v>
      </c>
      <c r="F4240" s="7" t="str">
        <v>8068</v>
      </c>
      <c r="G4240" t="str">
        <v>ProjectedCrs</v>
      </c>
      <c r="H4240" t="str">
        <v>Lambert Conic Conformal (1SP)</v>
      </c>
      <c r="I4240" t="str">
        <v>NAD83(2011) / PCCS zone 4 (ft)</v>
      </c>
      <c r="J4240" t="str">
        <v>United States (USA) - Arizona - Pima county - Catalina Highway corridor between Mt. Lemmon and Willow Canyon.</v>
      </c>
      <c r="K4240" s="11">
        <v>0</v>
      </c>
    </row>
    <row r="4241" spans="5:11" x14ac:dyDescent="0.35">
      <c r="E4241" s="9" t="str">
        <v>EPSG</v>
      </c>
      <c r="F4241" s="7" t="str">
        <v>8082</v>
      </c>
      <c r="G4241" t="str">
        <v>ProjectedCrs</v>
      </c>
      <c r="H4241" t="str">
        <v>Transverse Mercator</v>
      </c>
      <c r="I4241" t="str">
        <v>NAD83(CSRS)v6 / MTM NS 2010 zone 4</v>
      </c>
      <c r="J4241" t="str">
        <v>Canada - Nova Scotia - east of 63°W.</v>
      </c>
      <c r="K4241" s="11">
        <v>0</v>
      </c>
    </row>
    <row r="4242" spans="5:11" x14ac:dyDescent="0.35">
      <c r="E4242" s="9" t="str">
        <v>EPSG</v>
      </c>
      <c r="F4242" s="7" t="str">
        <v>8083</v>
      </c>
      <c r="G4242" t="str">
        <v>ProjectedCrs</v>
      </c>
      <c r="H4242" t="str">
        <v>Transverse Mercator</v>
      </c>
      <c r="I4242" t="str">
        <v>NAD83(CSRS)v6 / MTM NS 2010 zone 5</v>
      </c>
      <c r="J4242" t="str">
        <v>Canada - Nova Scotia - west of 63°W.</v>
      </c>
      <c r="K4242" s="11">
        <v>0</v>
      </c>
    </row>
    <row r="4243" spans="5:11" x14ac:dyDescent="0.35">
      <c r="E4243" s="9" t="str">
        <v>EPSG</v>
      </c>
      <c r="F4243" s="7" t="str">
        <v>8084</v>
      </c>
      <c r="G4243" t="str">
        <v>GeocentricCrs</v>
      </c>
      <c r="H4243" t="str">
        <v>&lt;undefined&gt;</v>
      </c>
      <c r="I4243" t="str">
        <v>ISN2016</v>
      </c>
      <c r="J4243" t="str">
        <v>Iceland - onshore and offshore.</v>
      </c>
      <c r="K4243" s="11">
        <v>0</v>
      </c>
    </row>
    <row r="4244" spans="5:11" x14ac:dyDescent="0.35">
      <c r="E4244" s="9" t="str">
        <v>EPSG</v>
      </c>
      <c r="F4244" s="7" t="str">
        <v>8085</v>
      </c>
      <c r="G4244" t="str">
        <v>Geographic3DCrs</v>
      </c>
      <c r="H4244" t="str">
        <v>&lt;undefined&gt;</v>
      </c>
      <c r="I4244" t="str">
        <v>ISN2016</v>
      </c>
      <c r="J4244" t="str">
        <v>Iceland - onshore and offshore.</v>
      </c>
      <c r="K4244" s="11">
        <v>0</v>
      </c>
    </row>
    <row r="4245" spans="5:11" x14ac:dyDescent="0.35">
      <c r="E4245" s="9" t="str">
        <v>EPSG</v>
      </c>
      <c r="F4245" s="7" t="str">
        <v>8086</v>
      </c>
      <c r="G4245" t="str">
        <v>Geographic2DCrs</v>
      </c>
      <c r="H4245" t="str">
        <v>&lt;undefined&gt;</v>
      </c>
      <c r="I4245" t="str">
        <v>ISN2016</v>
      </c>
      <c r="J4245" t="str">
        <v>Iceland - onshore and offshore.</v>
      </c>
      <c r="K4245" s="11">
        <v>0</v>
      </c>
    </row>
    <row r="4246" spans="5:11" x14ac:dyDescent="0.35">
      <c r="E4246" s="9" t="str">
        <v>EPSG</v>
      </c>
      <c r="F4246" s="7" t="str">
        <v>8088</v>
      </c>
      <c r="G4246" t="str">
        <v>ProjectedCrs</v>
      </c>
      <c r="H4246" t="str">
        <v>Lambert Conic Conformal (2SP)</v>
      </c>
      <c r="I4246" t="str">
        <v>ISN2016 / Lambert 2016</v>
      </c>
      <c r="J4246" t="str">
        <v>Iceland - onshore and offshore.</v>
      </c>
      <c r="K4246" s="11">
        <v>0</v>
      </c>
    </row>
    <row r="4247" spans="5:11" x14ac:dyDescent="0.35">
      <c r="E4247" s="9" t="str">
        <v>EPSG</v>
      </c>
      <c r="F4247" s="7" t="str">
        <v>8089</v>
      </c>
      <c r="G4247" t="str">
        <v>VerticalCrs</v>
      </c>
      <c r="H4247" t="str">
        <v>&lt;undefined&gt;</v>
      </c>
      <c r="I4247" t="str">
        <v>ISH2004 height</v>
      </c>
      <c r="J4247" t="str">
        <v>Iceland - onshore.</v>
      </c>
      <c r="K4247" s="11">
        <v>0</v>
      </c>
    </row>
    <row r="4248" spans="5:11" x14ac:dyDescent="0.35">
      <c r="E4248" s="9" t="str">
        <v>EPSG</v>
      </c>
      <c r="F4248" s="7" t="str">
        <v>8090</v>
      </c>
      <c r="G4248" t="str">
        <v>ProjectedCrs</v>
      </c>
      <c r="H4248" t="str">
        <v>Transverse Mercator</v>
      </c>
      <c r="I4248" t="str">
        <v>NAD83(HARN) / WISCRS Florence (m)</v>
      </c>
      <c r="J4248" t="str">
        <v>United States (USA) - Wisconsin - Florence county.</v>
      </c>
      <c r="K4248" s="11">
        <v>0</v>
      </c>
    </row>
    <row r="4249" spans="5:11" x14ac:dyDescent="0.35">
      <c r="E4249" s="9" t="str">
        <v>EPSG</v>
      </c>
      <c r="F4249" s="7" t="str">
        <v>8091</v>
      </c>
      <c r="G4249" t="str">
        <v>ProjectedCrs</v>
      </c>
      <c r="H4249" t="str">
        <v>Transverse Mercator</v>
      </c>
      <c r="I4249" t="str">
        <v>NAD83(HARN) / WISCRS Florence (ftUS)</v>
      </c>
      <c r="J4249" t="str">
        <v>United States (USA) - Wisconsin - Florence county.</v>
      </c>
      <c r="K4249" s="11">
        <v>0</v>
      </c>
    </row>
    <row r="4250" spans="5:11" x14ac:dyDescent="0.35">
      <c r="E4250" s="9" t="str">
        <v>EPSG</v>
      </c>
      <c r="F4250" s="7" t="str">
        <v>8092</v>
      </c>
      <c r="G4250" t="str">
        <v>ProjectedCrs</v>
      </c>
      <c r="H4250" t="str">
        <v>Lambert Conic Conformal (1SP)</v>
      </c>
      <c r="I4250" t="str">
        <v>NAD83(HARN) / WISCRS Eau Claire (m)</v>
      </c>
      <c r="J4250" t="str">
        <v>United States (USA) - Wisconsin - Eau Claire county.</v>
      </c>
      <c r="K4250" s="11">
        <v>0</v>
      </c>
    </row>
    <row r="4251" spans="5:11" x14ac:dyDescent="0.35">
      <c r="E4251" s="9" t="str">
        <v>EPSG</v>
      </c>
      <c r="F4251" s="7" t="str">
        <v>8093</v>
      </c>
      <c r="G4251" t="str">
        <v>ProjectedCrs</v>
      </c>
      <c r="H4251" t="str">
        <v>Lambert Conic Conformal (1SP)</v>
      </c>
      <c r="I4251" t="str">
        <v>NAD83(HARN) / WISCRS Eau Claire (ftUS)</v>
      </c>
      <c r="J4251" t="str">
        <v>United States (USA) - Wisconsin - Eau Claire county.</v>
      </c>
      <c r="K4251" s="11">
        <v>0</v>
      </c>
    </row>
    <row r="4252" spans="5:11" x14ac:dyDescent="0.35">
      <c r="E4252" s="9" t="str">
        <v>EPSG</v>
      </c>
      <c r="F4252" s="7" t="str">
        <v>8095</v>
      </c>
      <c r="G4252" t="str">
        <v>ProjectedCrs</v>
      </c>
      <c r="H4252" t="str">
        <v>Lambert Conic Conformal (1SP)</v>
      </c>
      <c r="I4252" t="str">
        <v>NAD83(HARN) / WISCRS Wood (m)</v>
      </c>
      <c r="J4252" t="str">
        <v>United States (USA) - Wisconsin - Wood county.</v>
      </c>
      <c r="K4252" s="11">
        <v>0</v>
      </c>
    </row>
    <row r="4253" spans="5:11" x14ac:dyDescent="0.35">
      <c r="E4253" s="9" t="str">
        <v>EPSG</v>
      </c>
      <c r="F4253" s="7" t="str">
        <v>8096</v>
      </c>
      <c r="G4253" t="str">
        <v>ProjectedCrs</v>
      </c>
      <c r="H4253" t="str">
        <v>Lambert Conic Conformal (1SP)</v>
      </c>
      <c r="I4253" t="str">
        <v>NAD83(HARN) / WISCRS Wood (ftUS)</v>
      </c>
      <c r="J4253" t="str">
        <v>United States (USA) - Wisconsin - Wood county.</v>
      </c>
      <c r="K4253" s="11">
        <v>0</v>
      </c>
    </row>
    <row r="4254" spans="5:11" x14ac:dyDescent="0.35">
      <c r="E4254" s="9" t="str">
        <v>EPSG</v>
      </c>
      <c r="F4254" s="7" t="str">
        <v>8097</v>
      </c>
      <c r="G4254" t="str">
        <v>ProjectedCrs</v>
      </c>
      <c r="H4254" t="str">
        <v>Lambert Conic Conformal (1SP)</v>
      </c>
      <c r="I4254" t="str">
        <v>NAD83(HARN) / WISCRS Waushara (m)</v>
      </c>
      <c r="J4254" t="str">
        <v>United States (USA) - Wisconsin - Waushara county.</v>
      </c>
      <c r="K4254" s="11">
        <v>0</v>
      </c>
    </row>
    <row r="4255" spans="5:11" x14ac:dyDescent="0.35">
      <c r="E4255" s="9" t="str">
        <v>EPSG</v>
      </c>
      <c r="F4255" s="7" t="str">
        <v>8098</v>
      </c>
      <c r="G4255" t="str">
        <v>ProjectedCrs</v>
      </c>
      <c r="H4255" t="str">
        <v>Lambert Conic Conformal (1SP)</v>
      </c>
      <c r="I4255" t="str">
        <v>NAD83(HARN) / WISCRS Waushara (ftUS)</v>
      </c>
      <c r="J4255" t="str">
        <v>United States (USA) - Wisconsin - Waushara county.</v>
      </c>
      <c r="K4255" s="11">
        <v>0</v>
      </c>
    </row>
    <row r="4256" spans="5:11" x14ac:dyDescent="0.35">
      <c r="E4256" s="9" t="str">
        <v>EPSG</v>
      </c>
      <c r="F4256" s="7" t="str">
        <v>8099</v>
      </c>
      <c r="G4256" t="str">
        <v>ProjectedCrs</v>
      </c>
      <c r="H4256" t="str">
        <v>Transverse Mercator</v>
      </c>
      <c r="I4256" t="str">
        <v>NAD83(HARN) / WISCRS Waupaca (m)</v>
      </c>
      <c r="J4256" t="str">
        <v>United States (USA) - Wisconsin - Waupaca county.</v>
      </c>
      <c r="K4256" s="11">
        <v>0</v>
      </c>
    </row>
    <row r="4257" spans="5:11" x14ac:dyDescent="0.35">
      <c r="E4257" s="9" t="str">
        <v>EPSG</v>
      </c>
      <c r="F4257" s="7" t="str">
        <v>8100</v>
      </c>
      <c r="G4257" t="str">
        <v>ProjectedCrs</v>
      </c>
      <c r="H4257" t="str">
        <v>Transverse Mercator</v>
      </c>
      <c r="I4257" t="str">
        <v>NAD83(HARN) / WISCRS Waupaca (ftUS)</v>
      </c>
      <c r="J4257" t="str">
        <v>United States (USA) - Wisconsin - Waupaca county.</v>
      </c>
      <c r="K4257" s="11">
        <v>0</v>
      </c>
    </row>
    <row r="4258" spans="5:11" x14ac:dyDescent="0.35">
      <c r="E4258" s="9" t="str">
        <v>EPSG</v>
      </c>
      <c r="F4258" s="7" t="str">
        <v>8101</v>
      </c>
      <c r="G4258" t="str">
        <v>ProjectedCrs</v>
      </c>
      <c r="H4258" t="str">
        <v>Transverse Mercator</v>
      </c>
      <c r="I4258" t="str">
        <v>NAD83(HARN) / WISCRS Waukesha (m)</v>
      </c>
      <c r="J4258" t="str">
        <v>United States (USA) - Wisconsin - Waukesha county.</v>
      </c>
      <c r="K4258" s="11">
        <v>0</v>
      </c>
    </row>
    <row r="4259" spans="5:11" x14ac:dyDescent="0.35">
      <c r="E4259" s="9" t="str">
        <v>EPSG</v>
      </c>
      <c r="F4259" s="7" t="str">
        <v>8102</v>
      </c>
      <c r="G4259" t="str">
        <v>ProjectedCrs</v>
      </c>
      <c r="H4259" t="str">
        <v>Transverse Mercator</v>
      </c>
      <c r="I4259" t="str">
        <v>NAD83(HARN) / WISCRS Waukesha (ftUS)</v>
      </c>
      <c r="J4259" t="str">
        <v>United States (USA) - Wisconsin - Waukesha county.</v>
      </c>
      <c r="K4259" s="11">
        <v>0</v>
      </c>
    </row>
    <row r="4260" spans="5:11" x14ac:dyDescent="0.35">
      <c r="E4260" s="9" t="str">
        <v>EPSG</v>
      </c>
      <c r="F4260" s="7" t="str">
        <v>8103</v>
      </c>
      <c r="G4260" t="str">
        <v>ProjectedCrs</v>
      </c>
      <c r="H4260" t="str">
        <v>Transverse Mercator</v>
      </c>
      <c r="I4260" t="str">
        <v>NAD83(HARN) / WISCRS Washington (m)</v>
      </c>
      <c r="J4260" t="str">
        <v>United States (USA) - Wisconsin - Washington county.</v>
      </c>
      <c r="K4260" s="11">
        <v>0</v>
      </c>
    </row>
    <row r="4261" spans="5:11" x14ac:dyDescent="0.35">
      <c r="E4261" s="9" t="str">
        <v>EPSG</v>
      </c>
      <c r="F4261" s="7" t="str">
        <v>8104</v>
      </c>
      <c r="G4261" t="str">
        <v>ProjectedCrs</v>
      </c>
      <c r="H4261" t="str">
        <v>Transverse Mercator</v>
      </c>
      <c r="I4261" t="str">
        <v>NAD83(HARN) / WISCRS Washington (ftUS)</v>
      </c>
      <c r="J4261" t="str">
        <v>United States (USA) - Wisconsin - Washington county.</v>
      </c>
      <c r="K4261" s="11">
        <v>0</v>
      </c>
    </row>
    <row r="4262" spans="5:11" x14ac:dyDescent="0.35">
      <c r="E4262" s="9" t="str">
        <v>EPSG</v>
      </c>
      <c r="F4262" s="7" t="str">
        <v>8105</v>
      </c>
      <c r="G4262" t="str">
        <v>ProjectedCrs</v>
      </c>
      <c r="H4262" t="str">
        <v>Lambert Conic Conformal (1SP)</v>
      </c>
      <c r="I4262" t="str">
        <v>NAD83(HARN) / WISCRS Washburn (m)</v>
      </c>
      <c r="J4262" t="str">
        <v>United States (USA) - Wisconsin - Washburn county.</v>
      </c>
      <c r="K4262" s="11">
        <v>0</v>
      </c>
    </row>
    <row r="4263" spans="5:11" x14ac:dyDescent="0.35">
      <c r="E4263" s="9" t="str">
        <v>EPSG</v>
      </c>
      <c r="F4263" s="7" t="str">
        <v>8106</v>
      </c>
      <c r="G4263" t="str">
        <v>ProjectedCrs</v>
      </c>
      <c r="H4263" t="str">
        <v>Lambert Conic Conformal (1SP)</v>
      </c>
      <c r="I4263" t="str">
        <v>NAD83(HARN) / WISCRS Washburn (ftUS)</v>
      </c>
      <c r="J4263" t="str">
        <v>United States (USA) - Wisconsin - Washburn county.</v>
      </c>
      <c r="K4263" s="11">
        <v>0</v>
      </c>
    </row>
    <row r="4264" spans="5:11" x14ac:dyDescent="0.35">
      <c r="E4264" s="9" t="str">
        <v>EPSG</v>
      </c>
      <c r="F4264" s="7" t="str">
        <v>8107</v>
      </c>
      <c r="G4264" t="str">
        <v>ProjectedCrs</v>
      </c>
      <c r="H4264" t="str">
        <v>Lambert Conic Conformal (1SP)</v>
      </c>
      <c r="I4264" t="str">
        <v>NAD83(HARN) / WISCRS Walworth (m)</v>
      </c>
      <c r="J4264" t="str">
        <v>United States (USA) - Wisconsin - Walworth county.</v>
      </c>
      <c r="K4264" s="11">
        <v>0</v>
      </c>
    </row>
    <row r="4265" spans="5:11" x14ac:dyDescent="0.35">
      <c r="E4265" s="9" t="str">
        <v>EPSG</v>
      </c>
      <c r="F4265" s="7" t="str">
        <v>8108</v>
      </c>
      <c r="G4265" t="str">
        <v>ProjectedCrs</v>
      </c>
      <c r="H4265" t="str">
        <v>Lambert Conic Conformal (1SP)</v>
      </c>
      <c r="I4265" t="str">
        <v>NAD83(HARN) / WISCRS Walworth (ftUS)</v>
      </c>
      <c r="J4265" t="str">
        <v>United States (USA) - Wisconsin - Walworth county.</v>
      </c>
      <c r="K4265" s="11">
        <v>0</v>
      </c>
    </row>
    <row r="4266" spans="5:11" x14ac:dyDescent="0.35">
      <c r="E4266" s="9" t="str">
        <v>EPSG</v>
      </c>
      <c r="F4266" s="7" t="str">
        <v>8109</v>
      </c>
      <c r="G4266" t="str">
        <v>ProjectedCrs</v>
      </c>
      <c r="H4266" t="str">
        <v>Lambert Conic Conformal (1SP)</v>
      </c>
      <c r="I4266" t="str">
        <v>NAD83(HARN) / WISCRS Vilas (m)</v>
      </c>
      <c r="J4266" t="str">
        <v>United States (USA) - Wisconsin - Vilas county.</v>
      </c>
      <c r="K4266" s="11">
        <v>0</v>
      </c>
    </row>
    <row r="4267" spans="5:11" x14ac:dyDescent="0.35">
      <c r="E4267" s="9" t="str">
        <v>EPSG</v>
      </c>
      <c r="F4267" s="7" t="str">
        <v>8110</v>
      </c>
      <c r="G4267" t="str">
        <v>ProjectedCrs</v>
      </c>
      <c r="H4267" t="str">
        <v>Lambert Conic Conformal (1SP)</v>
      </c>
      <c r="I4267" t="str">
        <v>NAD83(HARN) / WISCRS Vilas (ftUS)</v>
      </c>
      <c r="J4267" t="str">
        <v>United States (USA) - Wisconsin - Vilas county.</v>
      </c>
      <c r="K4267" s="11">
        <v>0</v>
      </c>
    </row>
    <row r="4268" spans="5:11" x14ac:dyDescent="0.35">
      <c r="E4268" s="9" t="str">
        <v>EPSG</v>
      </c>
      <c r="F4268" s="7" t="str">
        <v>8111</v>
      </c>
      <c r="G4268" t="str">
        <v>ProjectedCrs</v>
      </c>
      <c r="H4268" t="str">
        <v>Lambert Conic Conformal (1SP)</v>
      </c>
      <c r="I4268" t="str">
        <v>NAD83(HARN) / WISCRS Vernon (m)</v>
      </c>
      <c r="J4268" t="str">
        <v>United States (USA) - Wisconsin - Vernon county.</v>
      </c>
      <c r="K4268" s="11">
        <v>0</v>
      </c>
    </row>
    <row r="4269" spans="5:11" x14ac:dyDescent="0.35">
      <c r="E4269" s="9" t="str">
        <v>EPSG</v>
      </c>
      <c r="F4269" s="7" t="str">
        <v>8112</v>
      </c>
      <c r="G4269" t="str">
        <v>ProjectedCrs</v>
      </c>
      <c r="H4269" t="str">
        <v>Lambert Conic Conformal (1SP)</v>
      </c>
      <c r="I4269" t="str">
        <v>NAD83(HARN) / WISCRS Vernon (ftUS)</v>
      </c>
      <c r="J4269" t="str">
        <v>United States (USA) - Wisconsin - Vernon county.</v>
      </c>
      <c r="K4269" s="11">
        <v>0</v>
      </c>
    </row>
    <row r="4270" spans="5:11" x14ac:dyDescent="0.35">
      <c r="E4270" s="9" t="str">
        <v>EPSG</v>
      </c>
      <c r="F4270" s="7" t="str">
        <v>8113</v>
      </c>
      <c r="G4270" t="str">
        <v>ProjectedCrs</v>
      </c>
      <c r="H4270" t="str">
        <v>Transverse Mercator</v>
      </c>
      <c r="I4270" t="str">
        <v>NAD83(HARN) / WISCRS Trempealeau (m)</v>
      </c>
      <c r="J4270" t="str">
        <v>United States (USA) - Wisconsin - Trempealeau county.</v>
      </c>
      <c r="K4270" s="11">
        <v>0</v>
      </c>
    </row>
    <row r="4271" spans="5:11" x14ac:dyDescent="0.35">
      <c r="E4271" s="9" t="str">
        <v>EPSG</v>
      </c>
      <c r="F4271" s="7" t="str">
        <v>8114</v>
      </c>
      <c r="G4271" t="str">
        <v>ProjectedCrs</v>
      </c>
      <c r="H4271" t="str">
        <v>Transverse Mercator</v>
      </c>
      <c r="I4271" t="str">
        <v>NAD83(HARN) / WISCRS Trempealeau (ftUS)</v>
      </c>
      <c r="J4271" t="str">
        <v>United States (USA) - Wisconsin - Trempealeau county.</v>
      </c>
      <c r="K4271" s="11">
        <v>0</v>
      </c>
    </row>
    <row r="4272" spans="5:11" x14ac:dyDescent="0.35">
      <c r="E4272" s="9" t="str">
        <v>EPSG</v>
      </c>
      <c r="F4272" s="7" t="str">
        <v>8115</v>
      </c>
      <c r="G4272" t="str">
        <v>ProjectedCrs</v>
      </c>
      <c r="H4272" t="str">
        <v>Lambert Conic Conformal (1SP)</v>
      </c>
      <c r="I4272" t="str">
        <v>NAD83(HARN) / WISCRS Taylor (m)</v>
      </c>
      <c r="J4272" t="str">
        <v>United States (USA) - Wisconsin - Taylor county.</v>
      </c>
      <c r="K4272" s="11">
        <v>0</v>
      </c>
    </row>
    <row r="4273" spans="5:11" x14ac:dyDescent="0.35">
      <c r="E4273" s="9" t="str">
        <v>EPSG</v>
      </c>
      <c r="F4273" s="7" t="str">
        <v>8116</v>
      </c>
      <c r="G4273" t="str">
        <v>ProjectedCrs</v>
      </c>
      <c r="H4273" t="str">
        <v>Lambert Conic Conformal (1SP)</v>
      </c>
      <c r="I4273" t="str">
        <v>NAD83(HARN) / WISCRS Taylor (ftUS)</v>
      </c>
      <c r="J4273" t="str">
        <v>United States (USA) - Wisconsin - Taylor county.</v>
      </c>
      <c r="K4273" s="11">
        <v>0</v>
      </c>
    </row>
    <row r="4274" spans="5:11" x14ac:dyDescent="0.35">
      <c r="E4274" s="9" t="str">
        <v>EPSG</v>
      </c>
      <c r="F4274" s="7" t="str">
        <v>8117</v>
      </c>
      <c r="G4274" t="str">
        <v>ProjectedCrs</v>
      </c>
      <c r="H4274" t="str">
        <v>Transverse Mercator</v>
      </c>
      <c r="I4274" t="str">
        <v>NAD83(HARN) / WISCRS St. Croix (m)</v>
      </c>
      <c r="J4274" t="str">
        <v>United States (USA) - Wisconsin - St. Croix county.</v>
      </c>
      <c r="K4274" s="11">
        <v>0</v>
      </c>
    </row>
    <row r="4275" spans="5:11" x14ac:dyDescent="0.35">
      <c r="E4275" s="9" t="str">
        <v>EPSG</v>
      </c>
      <c r="F4275" s="7" t="str">
        <v>8118</v>
      </c>
      <c r="G4275" t="str">
        <v>ProjectedCrs</v>
      </c>
      <c r="H4275" t="str">
        <v>Transverse Mercator</v>
      </c>
      <c r="I4275" t="str">
        <v>NAD83(HARN) / WISCRS St. Croix (ftUS)</v>
      </c>
      <c r="J4275" t="str">
        <v>United States (USA) - Wisconsin - St. Croix county.</v>
      </c>
      <c r="K4275" s="11">
        <v>0</v>
      </c>
    </row>
    <row r="4276" spans="5:11" x14ac:dyDescent="0.35">
      <c r="E4276" s="9" t="str">
        <v>EPSG</v>
      </c>
      <c r="F4276" s="7" t="str">
        <v>8119</v>
      </c>
      <c r="G4276" t="str">
        <v>ProjectedCrs</v>
      </c>
      <c r="H4276" t="str">
        <v>Transverse Mercator</v>
      </c>
      <c r="I4276" t="str">
        <v>NAD83(HARN) / WISCRS Shawano (m)</v>
      </c>
      <c r="J4276" t="str">
        <v>United States (USA) - Wisconsin - Shawano county.</v>
      </c>
      <c r="K4276" s="11">
        <v>0</v>
      </c>
    </row>
    <row r="4277" spans="5:11" x14ac:dyDescent="0.35">
      <c r="E4277" s="9" t="str">
        <v>EPSG</v>
      </c>
      <c r="F4277" s="7" t="str">
        <v>8120</v>
      </c>
      <c r="G4277" t="str">
        <v>ProjectedCrs</v>
      </c>
      <c r="H4277" t="str">
        <v>Transverse Mercator</v>
      </c>
      <c r="I4277" t="str">
        <v>NAD83(HARN) / WISCRS Shawano (ftUS)</v>
      </c>
      <c r="J4277" t="str">
        <v>United States (USA) - Wisconsin - Shawano county.</v>
      </c>
      <c r="K4277" s="11">
        <v>0</v>
      </c>
    </row>
    <row r="4278" spans="5:11" x14ac:dyDescent="0.35">
      <c r="E4278" s="9" t="str">
        <v>EPSG</v>
      </c>
      <c r="F4278" s="7" t="str">
        <v>8121</v>
      </c>
      <c r="G4278" t="str">
        <v>ProjectedCrs</v>
      </c>
      <c r="H4278" t="str">
        <v>Lambert Conic Conformal (1SP)</v>
      </c>
      <c r="I4278" t="str">
        <v>NAD83(HARN) / WISCRS Sawyer (m)</v>
      </c>
      <c r="J4278" t="str">
        <v>United States (USA) - Wisconsin - Sawyer county.</v>
      </c>
      <c r="K4278" s="11">
        <v>0</v>
      </c>
    </row>
    <row r="4279" spans="5:11" x14ac:dyDescent="0.35">
      <c r="E4279" s="9" t="str">
        <v>EPSG</v>
      </c>
      <c r="F4279" s="7" t="str">
        <v>8122</v>
      </c>
      <c r="G4279" t="str">
        <v>ProjectedCrs</v>
      </c>
      <c r="H4279" t="str">
        <v>Lambert Conic Conformal (1SP)</v>
      </c>
      <c r="I4279" t="str">
        <v>NAD83(HARN) / WISCRS Sawyer (ftUS)</v>
      </c>
      <c r="J4279" t="str">
        <v>United States (USA) - Wisconsin - Sawyer county.</v>
      </c>
      <c r="K4279" s="11">
        <v>0</v>
      </c>
    </row>
    <row r="4280" spans="5:11" x14ac:dyDescent="0.35">
      <c r="E4280" s="9" t="str">
        <v>EPSG</v>
      </c>
      <c r="F4280" s="7" t="str">
        <v>8123</v>
      </c>
      <c r="G4280" t="str">
        <v>ProjectedCrs</v>
      </c>
      <c r="H4280" t="str">
        <v>Transverse Mercator</v>
      </c>
      <c r="I4280" t="str">
        <v>NAD83(HARN) / WISCRS Sauk (m)</v>
      </c>
      <c r="J4280" t="str">
        <v>United States (USA) - Wisconsin - Sauk county.</v>
      </c>
      <c r="K4280" s="11">
        <v>0</v>
      </c>
    </row>
    <row r="4281" spans="5:11" x14ac:dyDescent="0.35">
      <c r="E4281" s="9" t="str">
        <v>EPSG</v>
      </c>
      <c r="F4281" s="7" t="str">
        <v>8124</v>
      </c>
      <c r="G4281" t="str">
        <v>ProjectedCrs</v>
      </c>
      <c r="H4281" t="str">
        <v>Transverse Mercator</v>
      </c>
      <c r="I4281" t="str">
        <v>NAD83(HARN) / WISCRS Sauk (ftUS)</v>
      </c>
      <c r="J4281" t="str">
        <v>United States (USA) - Wisconsin - Sauk county.</v>
      </c>
      <c r="K4281" s="11">
        <v>0</v>
      </c>
    </row>
    <row r="4282" spans="5:11" x14ac:dyDescent="0.35">
      <c r="E4282" s="9" t="str">
        <v>EPSG</v>
      </c>
      <c r="F4282" s="7" t="str">
        <v>8125</v>
      </c>
      <c r="G4282" t="str">
        <v>ProjectedCrs</v>
      </c>
      <c r="H4282" t="str">
        <v>Transverse Mercator</v>
      </c>
      <c r="I4282" t="str">
        <v>NAD83(HARN) / WISCRS Rusk (m)</v>
      </c>
      <c r="J4282" t="str">
        <v>United States (USA) - Wisconsin - Rusk county.</v>
      </c>
      <c r="K4282" s="11">
        <v>0</v>
      </c>
    </row>
    <row r="4283" spans="5:11" x14ac:dyDescent="0.35">
      <c r="E4283" s="9" t="str">
        <v>EPSG</v>
      </c>
      <c r="F4283" s="7" t="str">
        <v>8126</v>
      </c>
      <c r="G4283" t="str">
        <v>ProjectedCrs</v>
      </c>
      <c r="H4283" t="str">
        <v>Transverse Mercator</v>
      </c>
      <c r="I4283" t="str">
        <v>NAD83(HARN) / WISCRS Rusk (ftUS)</v>
      </c>
      <c r="J4283" t="str">
        <v>United States (USA) - Wisconsin - Rusk county.</v>
      </c>
      <c r="K4283" s="11">
        <v>0</v>
      </c>
    </row>
    <row r="4284" spans="5:11" x14ac:dyDescent="0.35">
      <c r="E4284" s="9" t="str">
        <v>EPSG</v>
      </c>
      <c r="F4284" s="7" t="str">
        <v>8127</v>
      </c>
      <c r="G4284" t="str">
        <v>ProjectedCrs</v>
      </c>
      <c r="H4284" t="str">
        <v>Transverse Mercator</v>
      </c>
      <c r="I4284" t="str">
        <v>NAD83(HARN) / WISCRS Rock (m)</v>
      </c>
      <c r="J4284" t="str">
        <v>United States (USA) - Wisconsin - Rock county.</v>
      </c>
      <c r="K4284" s="11">
        <v>0</v>
      </c>
    </row>
    <row r="4285" spans="5:11" x14ac:dyDescent="0.35">
      <c r="E4285" s="9" t="str">
        <v>EPSG</v>
      </c>
      <c r="F4285" s="7" t="str">
        <v>8128</v>
      </c>
      <c r="G4285" t="str">
        <v>ProjectedCrs</v>
      </c>
      <c r="H4285" t="str">
        <v>Transverse Mercator</v>
      </c>
      <c r="I4285" t="str">
        <v>NAD83(HARN) / WISCRS Rock (ftUS)</v>
      </c>
      <c r="J4285" t="str">
        <v>United States (USA) - Wisconsin - Rock county.</v>
      </c>
      <c r="K4285" s="11">
        <v>0</v>
      </c>
    </row>
    <row r="4286" spans="5:11" x14ac:dyDescent="0.35">
      <c r="E4286" s="9" t="str">
        <v>EPSG</v>
      </c>
      <c r="F4286" s="7" t="str">
        <v>8129</v>
      </c>
      <c r="G4286" t="str">
        <v>ProjectedCrs</v>
      </c>
      <c r="H4286" t="str">
        <v>Lambert Conic Conformal (1SP)</v>
      </c>
      <c r="I4286" t="str">
        <v>NAD83(HARN) / WISCRS Richland (m)</v>
      </c>
      <c r="J4286" t="str">
        <v>United States (USA) - Wisconsin - Richland county.</v>
      </c>
      <c r="K4286" s="11">
        <v>0</v>
      </c>
    </row>
    <row r="4287" spans="5:11" x14ac:dyDescent="0.35">
      <c r="E4287" s="9" t="str">
        <v>EPSG</v>
      </c>
      <c r="F4287" s="7" t="str">
        <v>8130</v>
      </c>
      <c r="G4287" t="str">
        <v>ProjectedCrs</v>
      </c>
      <c r="H4287" t="str">
        <v>Lambert Conic Conformal (1SP)</v>
      </c>
      <c r="I4287" t="str">
        <v>NAD83(HARN) / WISCRS Richland (ftUS)</v>
      </c>
      <c r="J4287" t="str">
        <v>United States (USA) - Wisconsin - Richland county.</v>
      </c>
      <c r="K4287" s="11">
        <v>0</v>
      </c>
    </row>
    <row r="4288" spans="5:11" x14ac:dyDescent="0.35">
      <c r="E4288" s="9" t="str">
        <v>EPSG</v>
      </c>
      <c r="F4288" s="7" t="str">
        <v>8131</v>
      </c>
      <c r="G4288" t="str">
        <v>ProjectedCrs</v>
      </c>
      <c r="H4288" t="str">
        <v>Transverse Mercator</v>
      </c>
      <c r="I4288" t="str">
        <v>NAD83(HARN) / WISCRS Price (m)</v>
      </c>
      <c r="J4288" t="str">
        <v>United States (USA) - Wisconsin - Price county.</v>
      </c>
      <c r="K4288" s="11">
        <v>0</v>
      </c>
    </row>
    <row r="4289" spans="5:11" x14ac:dyDescent="0.35">
      <c r="E4289" s="9" t="str">
        <v>EPSG</v>
      </c>
      <c r="F4289" s="7" t="str">
        <v>8132</v>
      </c>
      <c r="G4289" t="str">
        <v>ProjectedCrs</v>
      </c>
      <c r="H4289" t="str">
        <v>Transverse Mercator</v>
      </c>
      <c r="I4289" t="str">
        <v>NAD83(HARN) / WISCRS Price (ftUS)</v>
      </c>
      <c r="J4289" t="str">
        <v>United States (USA) - Wisconsin - Price county.</v>
      </c>
      <c r="K4289" s="11">
        <v>0</v>
      </c>
    </row>
    <row r="4290" spans="5:11" x14ac:dyDescent="0.35">
      <c r="E4290" s="9" t="str">
        <v>EPSG</v>
      </c>
      <c r="F4290" s="7" t="str">
        <v>8133</v>
      </c>
      <c r="G4290" t="str">
        <v>ProjectedCrs</v>
      </c>
      <c r="H4290" t="str">
        <v>Lambert Conic Conformal (1SP)</v>
      </c>
      <c r="I4290" t="str">
        <v>NAD83(HARN) / WISCRS Portage (m)</v>
      </c>
      <c r="J4290" t="str">
        <v>United States (USA) - Wisconsin - Portage county.</v>
      </c>
      <c r="K4290" s="11">
        <v>0</v>
      </c>
    </row>
    <row r="4291" spans="5:11" x14ac:dyDescent="0.35">
      <c r="E4291" s="9" t="str">
        <v>EPSG</v>
      </c>
      <c r="F4291" s="7" t="str">
        <v>8134</v>
      </c>
      <c r="G4291" t="str">
        <v>ProjectedCrs</v>
      </c>
      <c r="H4291" t="str">
        <v>Lambert Conic Conformal (1SP)</v>
      </c>
      <c r="I4291" t="str">
        <v>NAD83(HARN) / WISCRS Portage (ftUS)</v>
      </c>
      <c r="J4291" t="str">
        <v>United States (USA) - Wisconsin - Portage county.</v>
      </c>
      <c r="K4291" s="11">
        <v>0</v>
      </c>
    </row>
    <row r="4292" spans="5:11" x14ac:dyDescent="0.35">
      <c r="E4292" s="9" t="str">
        <v>EPSG</v>
      </c>
      <c r="F4292" s="7" t="str">
        <v>8135</v>
      </c>
      <c r="G4292" t="str">
        <v>ProjectedCrs</v>
      </c>
      <c r="H4292" t="str">
        <v>Transverse Mercator</v>
      </c>
      <c r="I4292" t="str">
        <v>NAD83(HARN) / WISCRS Polk (m)</v>
      </c>
      <c r="J4292" t="str">
        <v>United States (USA) - Wisconsin - Polk county.</v>
      </c>
      <c r="K4292" s="11">
        <v>0</v>
      </c>
    </row>
    <row r="4293" spans="5:11" x14ac:dyDescent="0.35">
      <c r="E4293" s="9" t="str">
        <v>EPSG</v>
      </c>
      <c r="F4293" s="7" t="str">
        <v>8136</v>
      </c>
      <c r="G4293" t="str">
        <v>ProjectedCrs</v>
      </c>
      <c r="H4293" t="str">
        <v>Transverse Mercator</v>
      </c>
      <c r="I4293" t="str">
        <v>NAD83(HARN) / WISCRS Polk (ftUS)</v>
      </c>
      <c r="J4293" t="str">
        <v>United States (USA) - Wisconsin - Polk county.</v>
      </c>
      <c r="K4293" s="11">
        <v>0</v>
      </c>
    </row>
    <row r="4294" spans="5:11" x14ac:dyDescent="0.35">
      <c r="E4294" s="9" t="str">
        <v>EPSG</v>
      </c>
      <c r="F4294" s="7" t="str">
        <v>8137</v>
      </c>
      <c r="G4294" t="str">
        <v>ProjectedCrs</v>
      </c>
      <c r="H4294" t="str">
        <v>Lambert Conic Conformal (1SP)</v>
      </c>
      <c r="I4294" t="str">
        <v>NAD83(HARN) / WISCRS Pepin and Pierce (m)</v>
      </c>
      <c r="J4294" t="str">
        <v>United States (USA) - Wisconsin - counties of Pepin and Pierce.</v>
      </c>
      <c r="K4294" s="11">
        <v>0</v>
      </c>
    </row>
    <row r="4295" spans="5:11" x14ac:dyDescent="0.35">
      <c r="E4295" s="9" t="str">
        <v>EPSG</v>
      </c>
      <c r="F4295" s="7" t="str">
        <v>8138</v>
      </c>
      <c r="G4295" t="str">
        <v>ProjectedCrs</v>
      </c>
      <c r="H4295" t="str">
        <v>Lambert Conic Conformal (1SP)</v>
      </c>
      <c r="I4295" t="str">
        <v>NAD83(HARN) / WISCRS Pepin and Pierce (ftUS)</v>
      </c>
      <c r="J4295" t="str">
        <v>United States (USA) - Wisconsin - counties of Pepin and Pierce.</v>
      </c>
      <c r="K4295" s="11">
        <v>0</v>
      </c>
    </row>
    <row r="4296" spans="5:11" x14ac:dyDescent="0.35">
      <c r="E4296" s="9" t="str">
        <v>EPSG</v>
      </c>
      <c r="F4296" s="7" t="str">
        <v>8139</v>
      </c>
      <c r="G4296" t="str">
        <v>ProjectedCrs</v>
      </c>
      <c r="H4296" t="str">
        <v>Lambert Conic Conformal (1SP)</v>
      </c>
      <c r="I4296" t="str">
        <v>NAD83(HARN) / WISCRS Oneida (m)</v>
      </c>
      <c r="J4296" t="str">
        <v>United States (USA) - Wisconsin - Oneida county.</v>
      </c>
      <c r="K4296" s="11">
        <v>0</v>
      </c>
    </row>
    <row r="4297" spans="5:11" x14ac:dyDescent="0.35">
      <c r="E4297" s="9" t="str">
        <v>EPSG</v>
      </c>
      <c r="F4297" s="7" t="str">
        <v>8140</v>
      </c>
      <c r="G4297" t="str">
        <v>ProjectedCrs</v>
      </c>
      <c r="H4297" t="str">
        <v>Lambert Conic Conformal (1SP)</v>
      </c>
      <c r="I4297" t="str">
        <v>NAD83(HARN) / WISCRS Oneida (ftUS)</v>
      </c>
      <c r="J4297" t="str">
        <v>United States (USA) - Wisconsin - Oneida county.</v>
      </c>
      <c r="K4297" s="11">
        <v>0</v>
      </c>
    </row>
    <row r="4298" spans="5:11" x14ac:dyDescent="0.35">
      <c r="E4298" s="9" t="str">
        <v>EPSG</v>
      </c>
      <c r="F4298" s="7" t="str">
        <v>8141</v>
      </c>
      <c r="G4298" t="str">
        <v>ProjectedCrs</v>
      </c>
      <c r="H4298" t="str">
        <v>Transverse Mercator</v>
      </c>
      <c r="I4298" t="str">
        <v>NAD83(HARN) / WISCRS Oconto (m)</v>
      </c>
      <c r="J4298" t="str">
        <v>United States (USA) - Wisconsin - Oconto county.</v>
      </c>
      <c r="K4298" s="11">
        <v>0</v>
      </c>
    </row>
    <row r="4299" spans="5:11" x14ac:dyDescent="0.35">
      <c r="E4299" s="9" t="str">
        <v>EPSG</v>
      </c>
      <c r="F4299" s="7" t="str">
        <v>8142</v>
      </c>
      <c r="G4299" t="str">
        <v>ProjectedCrs</v>
      </c>
      <c r="H4299" t="str">
        <v>Transverse Mercator</v>
      </c>
      <c r="I4299" t="str">
        <v>NAD83(HARN) / WISCRS Oconto (ftUS)</v>
      </c>
      <c r="J4299" t="str">
        <v>United States (USA) - Wisconsin - Oconto county.</v>
      </c>
      <c r="K4299" s="11">
        <v>0</v>
      </c>
    </row>
    <row r="4300" spans="5:11" x14ac:dyDescent="0.35">
      <c r="E4300" s="9" t="str">
        <v>EPSG</v>
      </c>
      <c r="F4300" s="7" t="str">
        <v>8143</v>
      </c>
      <c r="G4300" t="str">
        <v>ProjectedCrs</v>
      </c>
      <c r="H4300" t="str">
        <v>Lambert Conic Conformal (1SP)</v>
      </c>
      <c r="I4300" t="str">
        <v>NAD83(HARN) / WISCRS Monroe (m)</v>
      </c>
      <c r="J4300" t="str">
        <v>United States (USA) - Wisconsin - Monroe county.</v>
      </c>
      <c r="K4300" s="11">
        <v>0</v>
      </c>
    </row>
    <row r="4301" spans="5:11" x14ac:dyDescent="0.35">
      <c r="E4301" s="9" t="str">
        <v>EPSG</v>
      </c>
      <c r="F4301" s="7" t="str">
        <v>8144</v>
      </c>
      <c r="G4301" t="str">
        <v>ProjectedCrs</v>
      </c>
      <c r="H4301" t="str">
        <v>Lambert Conic Conformal (1SP)</v>
      </c>
      <c r="I4301" t="str">
        <v>NAD83(HARN) / WISCRS Monroe (ftUS)</v>
      </c>
      <c r="J4301" t="str">
        <v>United States (USA) - Wisconsin - Monroe county.</v>
      </c>
      <c r="K4301" s="11">
        <v>0</v>
      </c>
    </row>
    <row r="4302" spans="5:11" x14ac:dyDescent="0.35">
      <c r="E4302" s="9" t="str">
        <v>EPSG</v>
      </c>
      <c r="F4302" s="7" t="str">
        <v>8145</v>
      </c>
      <c r="G4302" t="str">
        <v>ProjectedCrs</v>
      </c>
      <c r="H4302" t="str">
        <v>Transverse Mercator</v>
      </c>
      <c r="I4302" t="str">
        <v>NAD83(HARN) / WISCRS Menominee (m)</v>
      </c>
      <c r="J4302" t="str">
        <v>United States (USA) - Wisconsin - Menominee county.</v>
      </c>
      <c r="K4302" s="11">
        <v>0</v>
      </c>
    </row>
    <row r="4303" spans="5:11" x14ac:dyDescent="0.35">
      <c r="E4303" s="9" t="str">
        <v>EPSG</v>
      </c>
      <c r="F4303" s="7" t="str">
        <v>8146</v>
      </c>
      <c r="G4303" t="str">
        <v>ProjectedCrs</v>
      </c>
      <c r="H4303" t="str">
        <v>Transverse Mercator</v>
      </c>
      <c r="I4303" t="str">
        <v>NAD83(HARN) / WISCRS Menominee (ftUS)</v>
      </c>
      <c r="J4303" t="str">
        <v>United States (USA) - Wisconsin - Menominee county.</v>
      </c>
      <c r="K4303" s="11">
        <v>0</v>
      </c>
    </row>
    <row r="4304" spans="5:11" x14ac:dyDescent="0.35">
      <c r="E4304" s="9" t="str">
        <v>EPSG</v>
      </c>
      <c r="F4304" s="7" t="str">
        <v>8147</v>
      </c>
      <c r="G4304" t="str">
        <v>ProjectedCrs</v>
      </c>
      <c r="H4304" t="str">
        <v>Transverse Mercator</v>
      </c>
      <c r="I4304" t="str">
        <v>NAD83(HARN) / WISCRS Marinette (m)</v>
      </c>
      <c r="J4304" t="str">
        <v>United States (USA) - Wisconsin - Marinette county.</v>
      </c>
      <c r="K4304" s="11">
        <v>0</v>
      </c>
    </row>
    <row r="4305" spans="5:11" x14ac:dyDescent="0.35">
      <c r="E4305" s="9" t="str">
        <v>EPSG</v>
      </c>
      <c r="F4305" s="7" t="str">
        <v>8148</v>
      </c>
      <c r="G4305" t="str">
        <v>ProjectedCrs</v>
      </c>
      <c r="H4305" t="str">
        <v>Transverse Mercator</v>
      </c>
      <c r="I4305" t="str">
        <v>NAD83(HARN) / WISCRS Marinette (ftUS)</v>
      </c>
      <c r="J4305" t="str">
        <v>United States (USA) - Wisconsin - Marinette county.</v>
      </c>
      <c r="K4305" s="11">
        <v>0</v>
      </c>
    </row>
    <row r="4306" spans="5:11" x14ac:dyDescent="0.35">
      <c r="E4306" s="9" t="str">
        <v>EPSG</v>
      </c>
      <c r="F4306" s="7" t="str">
        <v>8149</v>
      </c>
      <c r="G4306" t="str">
        <v>ProjectedCrs</v>
      </c>
      <c r="H4306" t="str">
        <v>Lambert Conic Conformal (1SP)</v>
      </c>
      <c r="I4306" t="str">
        <v>NAD83(HARN) / WISCRS Marathon (m)</v>
      </c>
      <c r="J4306" t="str">
        <v>United States (USA) - Wisconsin - Marathon county.</v>
      </c>
      <c r="K4306" s="11">
        <v>0</v>
      </c>
    </row>
    <row r="4307" spans="5:11" x14ac:dyDescent="0.35">
      <c r="E4307" s="9" t="str">
        <v>EPSG</v>
      </c>
      <c r="F4307" s="7" t="str">
        <v>8150</v>
      </c>
      <c r="G4307" t="str">
        <v>ProjectedCrs</v>
      </c>
      <c r="H4307" t="str">
        <v>Lambert Conic Conformal (1SP)</v>
      </c>
      <c r="I4307" t="str">
        <v>NAD83(HARN) / WISCRS Marathon (ftUS)</v>
      </c>
      <c r="J4307" t="str">
        <v>United States (USA) - Wisconsin - Marathon county.</v>
      </c>
      <c r="K4307" s="11">
        <v>0</v>
      </c>
    </row>
    <row r="4308" spans="5:11" x14ac:dyDescent="0.35">
      <c r="E4308" s="9" t="str">
        <v>EPSG</v>
      </c>
      <c r="F4308" s="7" t="str">
        <v>8151</v>
      </c>
      <c r="G4308" t="str">
        <v>ProjectedCrs</v>
      </c>
      <c r="H4308" t="str">
        <v>Transverse Mercator</v>
      </c>
      <c r="I4308" t="str">
        <v>NAD83(HARN) / WISCRS Lincoln (m)</v>
      </c>
      <c r="J4308" t="str">
        <v>United States (USA) - Wisconsin - Lincoln county.</v>
      </c>
      <c r="K4308" s="11">
        <v>0</v>
      </c>
    </row>
    <row r="4309" spans="5:11" x14ac:dyDescent="0.35">
      <c r="E4309" s="9" t="str">
        <v>EPSG</v>
      </c>
      <c r="F4309" s="7" t="str">
        <v>8152</v>
      </c>
      <c r="G4309" t="str">
        <v>ProjectedCrs</v>
      </c>
      <c r="H4309" t="str">
        <v>Transverse Mercator</v>
      </c>
      <c r="I4309" t="str">
        <v>NAD83(HARN) / WISCRS Lincoln (ftUS)</v>
      </c>
      <c r="J4309" t="str">
        <v>United States (USA) - Wisconsin - Lincoln county.</v>
      </c>
      <c r="K4309" s="11">
        <v>0</v>
      </c>
    </row>
    <row r="4310" spans="5:11" x14ac:dyDescent="0.35">
      <c r="E4310" s="9" t="str">
        <v>EPSG</v>
      </c>
      <c r="F4310" s="7" t="str">
        <v>8153</v>
      </c>
      <c r="G4310" t="str">
        <v>ProjectedCrs</v>
      </c>
      <c r="H4310" t="str">
        <v>Lambert Conic Conformal (1SP)</v>
      </c>
      <c r="I4310" t="str">
        <v>NAD83(HARN) / WISCRS Langlade (m)</v>
      </c>
      <c r="J4310" t="str">
        <v>United States (USA) - Wisconsin - Langlade county.</v>
      </c>
      <c r="K4310" s="11">
        <v>0</v>
      </c>
    </row>
    <row r="4311" spans="5:11" x14ac:dyDescent="0.35">
      <c r="E4311" s="9" t="str">
        <v>EPSG</v>
      </c>
      <c r="F4311" s="7" t="str">
        <v>8154</v>
      </c>
      <c r="G4311" t="str">
        <v>ProjectedCrs</v>
      </c>
      <c r="H4311" t="str">
        <v>Lambert Conic Conformal (1SP)</v>
      </c>
      <c r="I4311" t="str">
        <v>NAD83(HARN) / WISCRS Langlade (ftUS)</v>
      </c>
      <c r="J4311" t="str">
        <v>United States (USA) - Wisconsin - Langlade county.</v>
      </c>
      <c r="K4311" s="11">
        <v>0</v>
      </c>
    </row>
    <row r="4312" spans="5:11" x14ac:dyDescent="0.35">
      <c r="E4312" s="9" t="str">
        <v>EPSG</v>
      </c>
      <c r="F4312" s="7" t="str">
        <v>8155</v>
      </c>
      <c r="G4312" t="str">
        <v>ProjectedCrs</v>
      </c>
      <c r="H4312" t="str">
        <v>Transverse Mercator</v>
      </c>
      <c r="I4312" t="str">
        <v>NAD83(HARN) / WISCRS La Crosse (m)</v>
      </c>
      <c r="J4312" t="str">
        <v>United States (USA) - Wisconsin - La Crosse county.</v>
      </c>
      <c r="K4312" s="11">
        <v>0</v>
      </c>
    </row>
    <row r="4313" spans="5:11" x14ac:dyDescent="0.35">
      <c r="E4313" s="9" t="str">
        <v>EPSG</v>
      </c>
      <c r="F4313" s="7" t="str">
        <v>8156</v>
      </c>
      <c r="G4313" t="str">
        <v>ProjectedCrs</v>
      </c>
      <c r="H4313" t="str">
        <v>Transverse Mercator</v>
      </c>
      <c r="I4313" t="str">
        <v>NAD83(HARN) / WISCRS La Crosse (ftUS)</v>
      </c>
      <c r="J4313" t="str">
        <v>United States (USA) - Wisconsin - La Crosse county.</v>
      </c>
      <c r="K4313" s="11">
        <v>0</v>
      </c>
    </row>
    <row r="4314" spans="5:11" x14ac:dyDescent="0.35">
      <c r="E4314" s="9" t="str">
        <v>EPSG</v>
      </c>
      <c r="F4314" s="7" t="str">
        <v>8157</v>
      </c>
      <c r="G4314" t="str">
        <v>ProjectedCrs</v>
      </c>
      <c r="H4314" t="str">
        <v>Transverse Mercator</v>
      </c>
      <c r="I4314" t="str">
        <v>NAD83(HARN) / WISCRS Kewaunee, Manitowoc and Sheboygan (m)</v>
      </c>
      <c r="J4314" t="str">
        <v>United States (USA) - Wisconsin - counties of Kewaunee, Manitowoc and Sheboygan.</v>
      </c>
      <c r="K4314" s="11">
        <v>0</v>
      </c>
    </row>
    <row r="4315" spans="5:11" x14ac:dyDescent="0.35">
      <c r="E4315" s="9" t="str">
        <v>EPSG</v>
      </c>
      <c r="F4315" s="7" t="str">
        <v>8158</v>
      </c>
      <c r="G4315" t="str">
        <v>ProjectedCrs</v>
      </c>
      <c r="H4315" t="str">
        <v>Transverse Mercator</v>
      </c>
      <c r="I4315" t="str">
        <v>NAD83(HARN) / WISCRS Kewaunee, Manitowoc and Sheboygan (ftUS)</v>
      </c>
      <c r="J4315" t="str">
        <v>United States (USA) - Wisconsin - counties of Kewaunee, Manitowoc and Sheboygan.</v>
      </c>
      <c r="K4315" s="11">
        <v>0</v>
      </c>
    </row>
    <row r="4316" spans="5:11" x14ac:dyDescent="0.35">
      <c r="E4316" s="9" t="str">
        <v>EPSG</v>
      </c>
      <c r="F4316" s="7" t="str">
        <v>8159</v>
      </c>
      <c r="G4316" t="str">
        <v>ProjectedCrs</v>
      </c>
      <c r="H4316" t="str">
        <v>Transverse Mercator</v>
      </c>
      <c r="I4316" t="str">
        <v>NAD83(HARN) / WISCRS Kenosha, Milwaukee, Ozaukee and Racine (m)</v>
      </c>
      <c r="J4316" t="str">
        <v>United States (USA) - Wisconsin - counties of Kenosha, Milwaukee, Ozaukee and Racine.</v>
      </c>
      <c r="K4316" s="11">
        <v>0</v>
      </c>
    </row>
    <row r="4317" spans="5:11" x14ac:dyDescent="0.35">
      <c r="E4317" s="9" t="str">
        <v>EPSG</v>
      </c>
      <c r="F4317" s="7" t="str">
        <v>8160</v>
      </c>
      <c r="G4317" t="str">
        <v>ProjectedCrs</v>
      </c>
      <c r="H4317" t="str">
        <v>Transverse Mercator</v>
      </c>
      <c r="I4317" t="str">
        <v>NAD83(HARN) / WISCRS Kenosha, Milwaukee, Ozaukee and Racine (ftUS)</v>
      </c>
      <c r="J4317" t="str">
        <v>United States (USA) - Wisconsin - counties of Kenosha, Milwaukee, Ozaukee and Racine.</v>
      </c>
      <c r="K4317" s="11">
        <v>0</v>
      </c>
    </row>
    <row r="4318" spans="5:11" x14ac:dyDescent="0.35">
      <c r="E4318" s="9" t="str">
        <v>EPSG</v>
      </c>
      <c r="F4318" s="7" t="str">
        <v>8161</v>
      </c>
      <c r="G4318" t="str">
        <v>ProjectedCrs</v>
      </c>
      <c r="H4318" t="str">
        <v>Transverse Mercator</v>
      </c>
      <c r="I4318" t="str">
        <v>NAD83(HARN) / WISCRS Jackson (m)</v>
      </c>
      <c r="J4318" t="str">
        <v>United States (USA) - Wisconsin - Jackson county.</v>
      </c>
      <c r="K4318" s="11">
        <v>0</v>
      </c>
    </row>
    <row r="4319" spans="5:11" x14ac:dyDescent="0.35">
      <c r="E4319" s="9" t="str">
        <v>EPSG</v>
      </c>
      <c r="F4319" s="7" t="str">
        <v>8162</v>
      </c>
      <c r="G4319" t="str">
        <v>ProjectedCrs</v>
      </c>
      <c r="H4319" t="str">
        <v>Transverse Mercator</v>
      </c>
      <c r="I4319" t="str">
        <v>NAD83(HARN) / WISCRS Jackson (ftUS)</v>
      </c>
      <c r="J4319" t="str">
        <v>United States (USA) - Wisconsin - Jackson county.</v>
      </c>
      <c r="K4319" s="11">
        <v>0</v>
      </c>
    </row>
    <row r="4320" spans="5:11" x14ac:dyDescent="0.35">
      <c r="E4320" s="9" t="str">
        <v>EPSG</v>
      </c>
      <c r="F4320" s="7" t="str">
        <v>8163</v>
      </c>
      <c r="G4320" t="str">
        <v>ProjectedCrs</v>
      </c>
      <c r="H4320" t="str">
        <v>Transverse Mercator</v>
      </c>
      <c r="I4320" t="str">
        <v>NAD83(HARN) / WISCRS Iron (m)</v>
      </c>
      <c r="J4320" t="str">
        <v>United States (USA) - Wisconsin - Iron county.</v>
      </c>
      <c r="K4320" s="11">
        <v>0</v>
      </c>
    </row>
    <row r="4321" spans="5:11" x14ac:dyDescent="0.35">
      <c r="E4321" s="9" t="str">
        <v>EPSG</v>
      </c>
      <c r="F4321" s="7" t="str">
        <v>8164</v>
      </c>
      <c r="G4321" t="str">
        <v>ProjectedCrs</v>
      </c>
      <c r="H4321" t="str">
        <v>Transverse Mercator</v>
      </c>
      <c r="I4321" t="str">
        <v>NAD83(HARN) / WISCRS Iron (ftUS)</v>
      </c>
      <c r="J4321" t="str">
        <v>United States (USA) - Wisconsin - Iron county.</v>
      </c>
      <c r="K4321" s="11">
        <v>0</v>
      </c>
    </row>
    <row r="4322" spans="5:11" x14ac:dyDescent="0.35">
      <c r="E4322" s="9" t="str">
        <v>EPSG</v>
      </c>
      <c r="F4322" s="7" t="str">
        <v>8165</v>
      </c>
      <c r="G4322" t="str">
        <v>ProjectedCrs</v>
      </c>
      <c r="H4322" t="str">
        <v>Transverse Mercator</v>
      </c>
      <c r="I4322" t="str">
        <v>NAD83(HARN) / WISCRS Iowa (m)</v>
      </c>
      <c r="J4322" t="str">
        <v>United States (USA) - Wisconsin - Iowa county.</v>
      </c>
      <c r="K4322" s="11">
        <v>0</v>
      </c>
    </row>
    <row r="4323" spans="5:11" x14ac:dyDescent="0.35">
      <c r="E4323" s="9" t="str">
        <v>EPSG</v>
      </c>
      <c r="F4323" s="7" t="str">
        <v>8166</v>
      </c>
      <c r="G4323" t="str">
        <v>ProjectedCrs</v>
      </c>
      <c r="H4323" t="str">
        <v>Transverse Mercator</v>
      </c>
      <c r="I4323" t="str">
        <v>NAD83(HARN) / WISCRS Iowa (ftUS)</v>
      </c>
      <c r="J4323" t="str">
        <v>United States (USA) - Wisconsin - Iowa county.</v>
      </c>
      <c r="K4323" s="11">
        <v>0</v>
      </c>
    </row>
    <row r="4324" spans="5:11" x14ac:dyDescent="0.35">
      <c r="E4324" s="9" t="str">
        <v>EPSG</v>
      </c>
      <c r="F4324" s="7" t="str">
        <v>8167</v>
      </c>
      <c r="G4324" t="str">
        <v>ProjectedCrs</v>
      </c>
      <c r="H4324" t="str">
        <v>Lambert Conic Conformal (1SP)</v>
      </c>
      <c r="I4324" t="str">
        <v>NAD83(HARN) / WISCRS Green Lake and Marquette (m)</v>
      </c>
      <c r="J4324" t="str">
        <v>United States (USA) - Wisconsin - counties of Green Lake and Marquette.</v>
      </c>
      <c r="K4324" s="11">
        <v>0</v>
      </c>
    </row>
    <row r="4325" spans="5:11" x14ac:dyDescent="0.35">
      <c r="E4325" s="9" t="str">
        <v>EPSG</v>
      </c>
      <c r="F4325" s="7" t="str">
        <v>8168</v>
      </c>
      <c r="G4325" t="str">
        <v>ProjectedCrs</v>
      </c>
      <c r="H4325" t="str">
        <v>Lambert Conic Conformal (1SP)</v>
      </c>
      <c r="I4325" t="str">
        <v>NAD83(HARN) / WISCRS Green Lake and Marquette (ftUS)</v>
      </c>
      <c r="J4325" t="str">
        <v>United States (USA) - Wisconsin - counties of Green Lake and Marquette.</v>
      </c>
      <c r="K4325" s="11">
        <v>0</v>
      </c>
    </row>
    <row r="4326" spans="5:11" x14ac:dyDescent="0.35">
      <c r="E4326" s="9" t="str">
        <v>EPSG</v>
      </c>
      <c r="F4326" s="7" t="str">
        <v>8169</v>
      </c>
      <c r="G4326" t="str">
        <v>ProjectedCrs</v>
      </c>
      <c r="H4326" t="str">
        <v>Lambert Conic Conformal (1SP)</v>
      </c>
      <c r="I4326" t="str">
        <v>NAD83(HARN) / WISCRS Green and Lafayette (m)</v>
      </c>
      <c r="J4326" t="str">
        <v>United States (USA) - Wisconsin - counties of Green and Lafayette.</v>
      </c>
      <c r="K4326" s="11">
        <v>0</v>
      </c>
    </row>
    <row r="4327" spans="5:11" x14ac:dyDescent="0.35">
      <c r="E4327" s="9" t="str">
        <v>EPSG</v>
      </c>
      <c r="F4327" s="7" t="str">
        <v>8170</v>
      </c>
      <c r="G4327" t="str">
        <v>ProjectedCrs</v>
      </c>
      <c r="H4327" t="str">
        <v>Lambert Conic Conformal (1SP)</v>
      </c>
      <c r="I4327" t="str">
        <v>NAD83(HARN) / WISCRS Green and Lafayette (ftUS)</v>
      </c>
      <c r="J4327" t="str">
        <v>United States (USA) - Wisconsin - counties of Green and Lafayette.</v>
      </c>
      <c r="K4327" s="11">
        <v>0</v>
      </c>
    </row>
    <row r="4328" spans="5:11" x14ac:dyDescent="0.35">
      <c r="E4328" s="9" t="str">
        <v>EPSG</v>
      </c>
      <c r="F4328" s="7" t="str">
        <v>8171</v>
      </c>
      <c r="G4328" t="str">
        <v>ProjectedCrs</v>
      </c>
      <c r="H4328" t="str">
        <v>Transverse Mercator</v>
      </c>
      <c r="I4328" t="str">
        <v>NAD83(HARN) / WISCRS Grant (m)</v>
      </c>
      <c r="J4328" t="str">
        <v>United States (USA) - Wisconsin - Grant county.</v>
      </c>
      <c r="K4328" s="11">
        <v>0</v>
      </c>
    </row>
    <row r="4329" spans="5:11" x14ac:dyDescent="0.35">
      <c r="E4329" s="9" t="str">
        <v>EPSG</v>
      </c>
      <c r="F4329" s="7" t="str">
        <v>8172</v>
      </c>
      <c r="G4329" t="str">
        <v>ProjectedCrs</v>
      </c>
      <c r="H4329" t="str">
        <v>Transverse Mercator</v>
      </c>
      <c r="I4329" t="str">
        <v>NAD83(HARN) / WISCRS Grant (ftUS)</v>
      </c>
      <c r="J4329" t="str">
        <v>United States (USA) - Wisconsin - Grant county.</v>
      </c>
      <c r="K4329" s="11">
        <v>0</v>
      </c>
    </row>
    <row r="4330" spans="5:11" x14ac:dyDescent="0.35">
      <c r="E4330" s="9" t="str">
        <v>EPSG</v>
      </c>
      <c r="F4330" s="7" t="str">
        <v>8173</v>
      </c>
      <c r="G4330" t="str">
        <v>ProjectedCrs</v>
      </c>
      <c r="H4330" t="str">
        <v>Transverse Mercator</v>
      </c>
      <c r="I4330" t="str">
        <v>NAD83(HARN) / WISCRS Forest (m)</v>
      </c>
      <c r="J4330" t="str">
        <v>United States (USA) - Wisconsin - Forest county.</v>
      </c>
      <c r="K4330" s="11">
        <v>0</v>
      </c>
    </row>
    <row r="4331" spans="5:11" x14ac:dyDescent="0.35">
      <c r="E4331" s="9" t="str">
        <v>EPSG</v>
      </c>
      <c r="F4331" s="7" t="str">
        <v>8177</v>
      </c>
      <c r="G4331" t="str">
        <v>ProjectedCrs</v>
      </c>
      <c r="H4331" t="str">
        <v>Transverse Mercator</v>
      </c>
      <c r="I4331" t="str">
        <v>NAD83(HARN) / WISCRS Forest (ftUS)</v>
      </c>
      <c r="J4331" t="str">
        <v>United States (USA) - Wisconsin - Forest county.</v>
      </c>
      <c r="K4331" s="11">
        <v>0</v>
      </c>
    </row>
    <row r="4332" spans="5:11" x14ac:dyDescent="0.35">
      <c r="E4332" s="9" t="str">
        <v>EPSG</v>
      </c>
      <c r="F4332" s="7" t="str">
        <v>8179</v>
      </c>
      <c r="G4332" t="str">
        <v>ProjectedCrs</v>
      </c>
      <c r="H4332" t="str">
        <v>Transverse Mercator</v>
      </c>
      <c r="I4332" t="str">
        <v>NAD83(HARN) / WISCRS Dunn (m)</v>
      </c>
      <c r="J4332" t="str">
        <v>United States (USA) - Wisconsin - Dunn county.</v>
      </c>
      <c r="K4332" s="11">
        <v>0</v>
      </c>
    </row>
    <row r="4333" spans="5:11" x14ac:dyDescent="0.35">
      <c r="E4333" s="9" t="str">
        <v>EPSG</v>
      </c>
      <c r="F4333" s="7" t="str">
        <v>8180</v>
      </c>
      <c r="G4333" t="str">
        <v>ProjectedCrs</v>
      </c>
      <c r="H4333" t="str">
        <v>Transverse Mercator</v>
      </c>
      <c r="I4333" t="str">
        <v>NAD83(HARN) / WISCRS Dunn (ftUS)</v>
      </c>
      <c r="J4333" t="str">
        <v>United States (USA) - Wisconsin - Dunn county.</v>
      </c>
      <c r="K4333" s="11">
        <v>0</v>
      </c>
    </row>
    <row r="4334" spans="5:11" x14ac:dyDescent="0.35">
      <c r="E4334" s="9" t="str">
        <v>EPSG</v>
      </c>
      <c r="F4334" s="7" t="str">
        <v>8181</v>
      </c>
      <c r="G4334" t="str">
        <v>ProjectedCrs</v>
      </c>
      <c r="H4334" t="str">
        <v>Transverse Mercator</v>
      </c>
      <c r="I4334" t="str">
        <v>NAD83(HARN) / WISCRS Douglas (m)</v>
      </c>
      <c r="J4334" t="str">
        <v>United States (USA) - Wisconsin - Douglas county.</v>
      </c>
      <c r="K4334" s="11">
        <v>0</v>
      </c>
    </row>
    <row r="4335" spans="5:11" x14ac:dyDescent="0.35">
      <c r="E4335" s="9" t="str">
        <v>EPSG</v>
      </c>
      <c r="F4335" s="7" t="str">
        <v>8182</v>
      </c>
      <c r="G4335" t="str">
        <v>ProjectedCrs</v>
      </c>
      <c r="H4335" t="str">
        <v>Transverse Mercator</v>
      </c>
      <c r="I4335" t="str">
        <v>NAD83(HARN) / WISCRS Douglas (ftUS)</v>
      </c>
      <c r="J4335" t="str">
        <v>United States (USA) - Wisconsin - Douglas county.</v>
      </c>
      <c r="K4335" s="11">
        <v>0</v>
      </c>
    </row>
    <row r="4336" spans="5:11" x14ac:dyDescent="0.35">
      <c r="E4336" s="9" t="str">
        <v>EPSG</v>
      </c>
      <c r="F4336" s="7" t="str">
        <v>8184</v>
      </c>
      <c r="G4336" t="str">
        <v>ProjectedCrs</v>
      </c>
      <c r="H4336" t="str">
        <v>Transverse Mercator</v>
      </c>
      <c r="I4336" t="str">
        <v>NAD83(HARN) / WISCRS Door (m)</v>
      </c>
      <c r="J4336" t="str">
        <v>United States (USA) - Wisconsin - Door county.</v>
      </c>
      <c r="K4336" s="11">
        <v>0</v>
      </c>
    </row>
    <row r="4337" spans="5:11" x14ac:dyDescent="0.35">
      <c r="E4337" s="9" t="str">
        <v>EPSG</v>
      </c>
      <c r="F4337" s="7" t="str">
        <v>8185</v>
      </c>
      <c r="G4337" t="str">
        <v>ProjectedCrs</v>
      </c>
      <c r="H4337" t="str">
        <v>Transverse Mercator</v>
      </c>
      <c r="I4337" t="str">
        <v>NAD83(HARN) / WISCRS Door (ftUS)</v>
      </c>
      <c r="J4337" t="str">
        <v>United States (USA) - Wisconsin - Door county.</v>
      </c>
      <c r="K4337" s="11">
        <v>0</v>
      </c>
    </row>
    <row r="4338" spans="5:11" x14ac:dyDescent="0.35">
      <c r="E4338" s="9" t="str">
        <v>EPSG</v>
      </c>
      <c r="F4338" s="7" t="str">
        <v>8187</v>
      </c>
      <c r="G4338" t="str">
        <v>ProjectedCrs</v>
      </c>
      <c r="H4338" t="str">
        <v>Transverse Mercator</v>
      </c>
      <c r="I4338" t="str">
        <v>NAD83(HARN) / WISCRS Dodge and Jefferson (m)</v>
      </c>
      <c r="J4338" t="str">
        <v>United States (USA) - Wisconsin - counties of Dodge and Jefferson.</v>
      </c>
      <c r="K4338" s="11">
        <v>0</v>
      </c>
    </row>
    <row r="4339" spans="5:11" x14ac:dyDescent="0.35">
      <c r="E4339" s="9" t="str">
        <v>EPSG</v>
      </c>
      <c r="F4339" s="7" t="str">
        <v>8189</v>
      </c>
      <c r="G4339" t="str">
        <v>ProjectedCrs</v>
      </c>
      <c r="H4339" t="str">
        <v>Transverse Mercator</v>
      </c>
      <c r="I4339" t="str">
        <v>NAD83(HARN) / WISCRS Dodge and Jefferson (ftUS)</v>
      </c>
      <c r="J4339" t="str">
        <v>United States (USA) - Wisconsin - counties of Dodge and Jefferson.</v>
      </c>
      <c r="K4339" s="11">
        <v>0</v>
      </c>
    </row>
    <row r="4340" spans="5:11" x14ac:dyDescent="0.35">
      <c r="E4340" s="9" t="str">
        <v>EPSG</v>
      </c>
      <c r="F4340" s="7" t="str">
        <v>8191</v>
      </c>
      <c r="G4340" t="str">
        <v>ProjectedCrs</v>
      </c>
      <c r="H4340" t="str">
        <v>Lambert Conic Conformal (1SP)</v>
      </c>
      <c r="I4340" t="str">
        <v>NAD83(HARN) / WISCRS Dane (m)</v>
      </c>
      <c r="J4340" t="str">
        <v>United States (USA) - Wisconsin - Dane county.</v>
      </c>
      <c r="K4340" s="11">
        <v>0</v>
      </c>
    </row>
    <row r="4341" spans="5:11" x14ac:dyDescent="0.35">
      <c r="E4341" s="9" t="str">
        <v>EPSG</v>
      </c>
      <c r="F4341" s="7" t="str">
        <v>8193</v>
      </c>
      <c r="G4341" t="str">
        <v>ProjectedCrs</v>
      </c>
      <c r="H4341" t="str">
        <v>Lambert Conic Conformal (1SP)</v>
      </c>
      <c r="I4341" t="str">
        <v>NAD83(HARN) / WISCRS Dane (ftUS)</v>
      </c>
      <c r="J4341" t="str">
        <v>United States (USA) - Wisconsin - Dane county.</v>
      </c>
      <c r="K4341" s="11">
        <v>0</v>
      </c>
    </row>
    <row r="4342" spans="5:11" x14ac:dyDescent="0.35">
      <c r="E4342" s="9" t="str">
        <v>EPSG</v>
      </c>
      <c r="F4342" s="7" t="str">
        <v>8196</v>
      </c>
      <c r="G4342" t="str">
        <v>ProjectedCrs</v>
      </c>
      <c r="H4342" t="str">
        <v>Lambert Conic Conformal (1SP)</v>
      </c>
      <c r="I4342" t="str">
        <v>NAD83(HARN) / WISCRS Crawford (m)</v>
      </c>
      <c r="J4342" t="str">
        <v>United States (USA) - Wisconsin - Crawford county.</v>
      </c>
      <c r="K4342" s="11">
        <v>0</v>
      </c>
    </row>
    <row r="4343" spans="5:11" x14ac:dyDescent="0.35">
      <c r="E4343" s="9" t="str">
        <v>EPSG</v>
      </c>
      <c r="F4343" s="7" t="str">
        <v>8197</v>
      </c>
      <c r="G4343" t="str">
        <v>ProjectedCrs</v>
      </c>
      <c r="H4343" t="str">
        <v>Lambert Conic Conformal (1SP)</v>
      </c>
      <c r="I4343" t="str">
        <v>NAD83(HARN) / WISCRS Crawford (ftUS)</v>
      </c>
      <c r="J4343" t="str">
        <v>United States (USA) - Wisconsin - Crawford county.</v>
      </c>
      <c r="K4343" s="11">
        <v>0</v>
      </c>
    </row>
    <row r="4344" spans="5:11" x14ac:dyDescent="0.35">
      <c r="E4344" s="9" t="str">
        <v>EPSG</v>
      </c>
      <c r="F4344" s="7" t="str">
        <v>8198</v>
      </c>
      <c r="G4344" t="str">
        <v>ProjectedCrs</v>
      </c>
      <c r="H4344" t="str">
        <v>Lambert Conic Conformal (1SP)</v>
      </c>
      <c r="I4344" t="str">
        <v>NAD83(HARN) / WISCRS Columbia (m)</v>
      </c>
      <c r="J4344" t="str">
        <v>United States (USA) - Wisconsin - Columbia county.</v>
      </c>
      <c r="K4344" s="11">
        <v>0</v>
      </c>
    </row>
    <row r="4345" spans="5:11" x14ac:dyDescent="0.35">
      <c r="E4345" s="9" t="str">
        <v>EPSG</v>
      </c>
      <c r="F4345" s="7" t="str">
        <v>8200</v>
      </c>
      <c r="G4345" t="str">
        <v>ProjectedCrs</v>
      </c>
      <c r="H4345" t="str">
        <v>Lambert Conic Conformal (1SP)</v>
      </c>
      <c r="I4345" t="str">
        <v>NAD83(HARN) / WISCRS Columbia (ftUS)</v>
      </c>
      <c r="J4345" t="str">
        <v>United States (USA) - Wisconsin - Columbia county.</v>
      </c>
      <c r="K4345" s="11">
        <v>0</v>
      </c>
    </row>
    <row r="4346" spans="5:11" x14ac:dyDescent="0.35">
      <c r="E4346" s="9" t="str">
        <v>EPSG</v>
      </c>
      <c r="F4346" s="7" t="str">
        <v>8201</v>
      </c>
      <c r="G4346" t="str">
        <v>ProjectedCrs</v>
      </c>
      <c r="H4346" t="str">
        <v>Transverse Mercator</v>
      </c>
      <c r="I4346" t="str">
        <v>NAD83(HARN) / WISCRS Clark (m)</v>
      </c>
      <c r="J4346" t="str">
        <v>United States (USA) - Wisconsin - Clark county.</v>
      </c>
      <c r="K4346" s="11">
        <v>0</v>
      </c>
    </row>
    <row r="4347" spans="5:11" x14ac:dyDescent="0.35">
      <c r="E4347" s="9" t="str">
        <v>EPSG</v>
      </c>
      <c r="F4347" s="7" t="str">
        <v>8202</v>
      </c>
      <c r="G4347" t="str">
        <v>ProjectedCrs</v>
      </c>
      <c r="H4347" t="str">
        <v>Transverse Mercator</v>
      </c>
      <c r="I4347" t="str">
        <v>NAD83(HARN) / WISCRS Clark (ftUS)</v>
      </c>
      <c r="J4347" t="str">
        <v>United States (USA) - Wisconsin - Clark county.</v>
      </c>
      <c r="K4347" s="11">
        <v>0</v>
      </c>
    </row>
    <row r="4348" spans="5:11" x14ac:dyDescent="0.35">
      <c r="E4348" s="9" t="str">
        <v>EPSG</v>
      </c>
      <c r="F4348" s="7" t="str">
        <v>8203</v>
      </c>
      <c r="G4348" t="str">
        <v>ProjectedCrs</v>
      </c>
      <c r="H4348" t="str">
        <v>Lambert Conic Conformal (1SP)</v>
      </c>
      <c r="I4348" t="str">
        <v>NAD83(HARN) / WISCRS Chippewa (m)</v>
      </c>
      <c r="J4348" t="str">
        <v>United States (USA) - Wisconsin - Chippewa county.</v>
      </c>
      <c r="K4348" s="11">
        <v>0</v>
      </c>
    </row>
    <row r="4349" spans="5:11" x14ac:dyDescent="0.35">
      <c r="E4349" s="9" t="str">
        <v>EPSG</v>
      </c>
      <c r="F4349" s="7" t="str">
        <v>8204</v>
      </c>
      <c r="G4349" t="str">
        <v>ProjectedCrs</v>
      </c>
      <c r="H4349" t="str">
        <v>Lambert Conic Conformal (1SP)</v>
      </c>
      <c r="I4349" t="str">
        <v>NAD83(HARN) / WISCRS Chippewa (ftUS)</v>
      </c>
      <c r="J4349" t="str">
        <v>United States (USA) - Wisconsin - Chippewa county.</v>
      </c>
      <c r="K4349" s="11">
        <v>0</v>
      </c>
    </row>
    <row r="4350" spans="5:11" x14ac:dyDescent="0.35">
      <c r="E4350" s="9" t="str">
        <v>EPSG</v>
      </c>
      <c r="F4350" s="7" t="str">
        <v>8205</v>
      </c>
      <c r="G4350" t="str">
        <v>ProjectedCrs</v>
      </c>
      <c r="H4350" t="str">
        <v>Transverse Mercator</v>
      </c>
      <c r="I4350" t="str">
        <v>NAD83(HARN) / WISCRS Calumet, Fond du Lac, Outagamie and Winnebago (m)</v>
      </c>
      <c r="J4350" t="str">
        <v>United States (USA) - Wisconsin - counties of Calumet, Fond du Lac, Outagamie and Winnebago.</v>
      </c>
      <c r="K4350" s="11">
        <v>0</v>
      </c>
    </row>
    <row r="4351" spans="5:11" x14ac:dyDescent="0.35">
      <c r="E4351" s="9" t="str">
        <v>EPSG</v>
      </c>
      <c r="F4351" s="7" t="str">
        <v>8206</v>
      </c>
      <c r="G4351" t="str">
        <v>ProjectedCrs</v>
      </c>
      <c r="H4351" t="str">
        <v>Transverse Mercator</v>
      </c>
      <c r="I4351" t="str">
        <v>NAD83(HARN) / WISCRS Calumet, Fond du Lac, Outagamie and Winnebago (ftUS)</v>
      </c>
      <c r="J4351" t="str">
        <v>United States (USA) - Wisconsin - counties of Calumet, Fond du Lac, Outagamie and Winnebago.</v>
      </c>
      <c r="K4351" s="11">
        <v>0</v>
      </c>
    </row>
    <row r="4352" spans="5:11" x14ac:dyDescent="0.35">
      <c r="E4352" s="9" t="str">
        <v>EPSG</v>
      </c>
      <c r="F4352" s="7" t="str">
        <v>8207</v>
      </c>
      <c r="G4352" t="str">
        <v>ProjectedCrs</v>
      </c>
      <c r="H4352" t="str">
        <v>Lambert Conic Conformal (1SP)</v>
      </c>
      <c r="I4352" t="str">
        <v>NAD83(HARN) / WISCRS Burnett (m)</v>
      </c>
      <c r="J4352" t="str">
        <v>United States (USA) - Wisconsin - Burnett county.</v>
      </c>
      <c r="K4352" s="11">
        <v>0</v>
      </c>
    </row>
    <row r="4353" spans="5:11" x14ac:dyDescent="0.35">
      <c r="E4353" s="9" t="str">
        <v>EPSG</v>
      </c>
      <c r="F4353" s="7" t="str">
        <v>8208</v>
      </c>
      <c r="G4353" t="str">
        <v>ProjectedCrs</v>
      </c>
      <c r="H4353" t="str">
        <v>Lambert Conic Conformal (1SP)</v>
      </c>
      <c r="I4353" t="str">
        <v>NAD83(HARN) / WISCRS Burnett (ftUS)</v>
      </c>
      <c r="J4353" t="str">
        <v>United States (USA) - Wisconsin - Burnett county.</v>
      </c>
      <c r="K4353" s="11">
        <v>0</v>
      </c>
    </row>
    <row r="4354" spans="5:11" x14ac:dyDescent="0.35">
      <c r="E4354" s="9" t="str">
        <v>EPSG</v>
      </c>
      <c r="F4354" s="7" t="str">
        <v>8209</v>
      </c>
      <c r="G4354" t="str">
        <v>ProjectedCrs</v>
      </c>
      <c r="H4354" t="str">
        <v>Transverse Mercator</v>
      </c>
      <c r="I4354" t="str">
        <v>NAD83(HARN) / WISCRS Buffalo (m)</v>
      </c>
      <c r="J4354" t="str">
        <v>United States (USA) - Wisconsin - Buffalo county.</v>
      </c>
      <c r="K4354" s="11">
        <v>0</v>
      </c>
    </row>
    <row r="4355" spans="5:11" x14ac:dyDescent="0.35">
      <c r="E4355" s="9" t="str">
        <v>EPSG</v>
      </c>
      <c r="F4355" s="7" t="str">
        <v>8210</v>
      </c>
      <c r="G4355" t="str">
        <v>ProjectedCrs</v>
      </c>
      <c r="H4355" t="str">
        <v>Transverse Mercator</v>
      </c>
      <c r="I4355" t="str">
        <v>NAD83(HARN) / WISCRS Buffalo (ftUS)</v>
      </c>
      <c r="J4355" t="str">
        <v>United States (USA) - Wisconsin - Buffalo county.</v>
      </c>
      <c r="K4355" s="11">
        <v>0</v>
      </c>
    </row>
    <row r="4356" spans="5:11" x14ac:dyDescent="0.35">
      <c r="E4356" s="9" t="str">
        <v>EPSG</v>
      </c>
      <c r="F4356" s="7" t="str">
        <v>8212</v>
      </c>
      <c r="G4356" t="str">
        <v>ProjectedCrs</v>
      </c>
      <c r="H4356" t="str">
        <v>Transverse Mercator</v>
      </c>
      <c r="I4356" t="str">
        <v>NAD83(HARN) / WISCRS Brown (m)</v>
      </c>
      <c r="J4356" t="str">
        <v>United States (USA) - Wisconsin - Brown county.</v>
      </c>
      <c r="K4356" s="11">
        <v>0</v>
      </c>
    </row>
    <row r="4357" spans="5:11" x14ac:dyDescent="0.35">
      <c r="E4357" s="9" t="str">
        <v>EPSG</v>
      </c>
      <c r="F4357" s="7" t="str">
        <v>8213</v>
      </c>
      <c r="G4357" t="str">
        <v>ProjectedCrs</v>
      </c>
      <c r="H4357" t="str">
        <v>Transverse Mercator</v>
      </c>
      <c r="I4357" t="str">
        <v>NAD83(HARN) / WISCRS Brown (ftUS)</v>
      </c>
      <c r="J4357" t="str">
        <v>United States (USA) - Wisconsin - Brown county.</v>
      </c>
      <c r="K4357" s="11">
        <v>0</v>
      </c>
    </row>
    <row r="4358" spans="5:11" x14ac:dyDescent="0.35">
      <c r="E4358" s="9" t="str">
        <v>EPSG</v>
      </c>
      <c r="F4358" s="7" t="str">
        <v>8214</v>
      </c>
      <c r="G4358" t="str">
        <v>ProjectedCrs</v>
      </c>
      <c r="H4358" t="str">
        <v>Lambert Conic Conformal (1SP)</v>
      </c>
      <c r="I4358" t="str">
        <v>NAD83(HARN) / WISCRS Bayfield (m)</v>
      </c>
      <c r="J4358" t="str">
        <v>United States (USA) - Wisconsin - Bayfield county.</v>
      </c>
      <c r="K4358" s="11">
        <v>0</v>
      </c>
    </row>
    <row r="4359" spans="5:11" x14ac:dyDescent="0.35">
      <c r="E4359" s="9" t="str">
        <v>EPSG</v>
      </c>
      <c r="F4359" s="7" t="str">
        <v>8216</v>
      </c>
      <c r="G4359" t="str">
        <v>ProjectedCrs</v>
      </c>
      <c r="H4359" t="str">
        <v>Lambert Conic Conformal (1SP)</v>
      </c>
      <c r="I4359" t="str">
        <v>NAD83(HARN) / WISCRS Bayfield (ftUS)</v>
      </c>
      <c r="J4359" t="str">
        <v>United States (USA) - Wisconsin - Bayfield county.</v>
      </c>
      <c r="K4359" s="11">
        <v>0</v>
      </c>
    </row>
    <row r="4360" spans="5:11" x14ac:dyDescent="0.35">
      <c r="E4360" s="9" t="str">
        <v>EPSG</v>
      </c>
      <c r="F4360" s="7" t="str">
        <v>8218</v>
      </c>
      <c r="G4360" t="str">
        <v>ProjectedCrs</v>
      </c>
      <c r="H4360" t="str">
        <v>Transverse Mercator</v>
      </c>
      <c r="I4360" t="str">
        <v>NAD83(HARN) / WISCRS Barron (m)</v>
      </c>
      <c r="J4360" t="str">
        <v>United States (USA) - Wisconsin - Barron county.</v>
      </c>
      <c r="K4360" s="11">
        <v>0</v>
      </c>
    </row>
    <row r="4361" spans="5:11" x14ac:dyDescent="0.35">
      <c r="E4361" s="9" t="str">
        <v>EPSG</v>
      </c>
      <c r="F4361" s="7" t="str">
        <v>8220</v>
      </c>
      <c r="G4361" t="str">
        <v>ProjectedCrs</v>
      </c>
      <c r="H4361" t="str">
        <v>Transverse Mercator</v>
      </c>
      <c r="I4361" t="str">
        <v>NAD83(HARN) / WISCRS Barron (ftUS)</v>
      </c>
      <c r="J4361" t="str">
        <v>United States (USA) - Wisconsin - Barron county.</v>
      </c>
      <c r="K4361" s="11">
        <v>0</v>
      </c>
    </row>
    <row r="4362" spans="5:11" x14ac:dyDescent="0.35">
      <c r="E4362" s="9" t="str">
        <v>EPSG</v>
      </c>
      <c r="F4362" s="7" t="str">
        <v>8222</v>
      </c>
      <c r="G4362" t="str">
        <v>ProjectedCrs</v>
      </c>
      <c r="H4362" t="str">
        <v>Transverse Mercator</v>
      </c>
      <c r="I4362" t="str">
        <v>NAD83(HARN) / WISCRS Ashland (m)</v>
      </c>
      <c r="J4362" t="str">
        <v>United States (USA) - Wisconsin - Ashland county.</v>
      </c>
      <c r="K4362" s="11">
        <v>0</v>
      </c>
    </row>
    <row r="4363" spans="5:11" x14ac:dyDescent="0.35">
      <c r="E4363" s="9" t="str">
        <v>EPSG</v>
      </c>
      <c r="F4363" s="7" t="str">
        <v>8224</v>
      </c>
      <c r="G4363" t="str">
        <v>ProjectedCrs</v>
      </c>
      <c r="H4363" t="str">
        <v>Transverse Mercator</v>
      </c>
      <c r="I4363" t="str">
        <v>NAD83(HARN) / WISCRS Ashland (ftUS)</v>
      </c>
      <c r="J4363" t="str">
        <v>United States (USA) - Wisconsin - Ashland county.</v>
      </c>
      <c r="K4363" s="11">
        <v>0</v>
      </c>
    </row>
    <row r="4364" spans="5:11" x14ac:dyDescent="0.35">
      <c r="E4364" s="9" t="str">
        <v>EPSG</v>
      </c>
      <c r="F4364" s="7" t="str">
        <v>8225</v>
      </c>
      <c r="G4364" t="str">
        <v>ProjectedCrs</v>
      </c>
      <c r="H4364" t="str">
        <v>Transverse Mercator</v>
      </c>
      <c r="I4364" t="str">
        <v>NAD83(HARN) / WISCRS Adams and Juneau (m)</v>
      </c>
      <c r="J4364" t="str">
        <v>United States (USA) - Wisconsin - counties of Adams and Juneau.</v>
      </c>
      <c r="K4364" s="11">
        <v>0</v>
      </c>
    </row>
    <row r="4365" spans="5:11" x14ac:dyDescent="0.35">
      <c r="E4365" s="9" t="str">
        <v>EPSG</v>
      </c>
      <c r="F4365" s="7" t="str">
        <v>8226</v>
      </c>
      <c r="G4365" t="str">
        <v>ProjectedCrs</v>
      </c>
      <c r="H4365" t="str">
        <v>Transverse Mercator</v>
      </c>
      <c r="I4365" t="str">
        <v>NAD83(HARN) / WISCRS Adams and Juneau (ftUS)</v>
      </c>
      <c r="J4365" t="str">
        <v>United States (USA) - Wisconsin - counties of Adams and Juneau.</v>
      </c>
      <c r="K4365" s="11">
        <v>0</v>
      </c>
    </row>
    <row r="4366" spans="5:11" x14ac:dyDescent="0.35">
      <c r="E4366" s="9" t="str">
        <v>EPSG</v>
      </c>
      <c r="F4366" s="7" t="str">
        <v>8227</v>
      </c>
      <c r="G4366" t="str">
        <v>GeocentricCrs</v>
      </c>
      <c r="H4366" t="str">
        <v>&lt;undefined&gt;</v>
      </c>
      <c r="I4366" t="str">
        <v>IGS14</v>
      </c>
      <c r="J4366" t="str">
        <v>World.</v>
      </c>
      <c r="K4366" s="11">
        <v>0</v>
      </c>
    </row>
    <row r="4367" spans="5:11" x14ac:dyDescent="0.35">
      <c r="E4367" s="9" t="str">
        <v>EPSG</v>
      </c>
      <c r="F4367" s="7" t="str">
        <v>8228</v>
      </c>
      <c r="G4367" t="str">
        <v>VerticalCrs</v>
      </c>
      <c r="H4367" t="str">
        <v>&lt;undefined&gt;</v>
      </c>
      <c r="I4367" t="str">
        <v>NAVD88 height (ft)</v>
      </c>
      <c r="J4367" t="str">
        <v>United States (USA) - onshore - Arizona; Michigan; Montana; North Dakota; Oregon; South Carolina.</v>
      </c>
      <c r="K4367" s="11">
        <v>8</v>
      </c>
    </row>
    <row r="4368" spans="5:11" x14ac:dyDescent="0.35">
      <c r="E4368" s="9" t="str">
        <v>EPSG</v>
      </c>
      <c r="F4368" s="7" t="str">
        <v>8230</v>
      </c>
      <c r="G4368" t="str">
        <v>GeocentricCrs</v>
      </c>
      <c r="H4368" t="str">
        <v>&lt;undefined&gt;</v>
      </c>
      <c r="I4368" t="str">
        <v>NAD83(CSRS96)</v>
      </c>
      <c r="J4368" t="str">
        <v>Canada - onshore and offshore - Alberta; British Columbia; Manitoba; New Brunswick; Newfoundland and Labrador; Northwest Territories; Nova Scotia; Nunavut; Ontario; Prince Edward Island; Quebec; Saskatchewan; Yukon.</v>
      </c>
      <c r="K4368" s="11">
        <v>0</v>
      </c>
    </row>
    <row r="4369" spans="5:11" x14ac:dyDescent="0.35">
      <c r="E4369" s="9" t="str">
        <v>EPSG</v>
      </c>
      <c r="F4369" s="7" t="str">
        <v>8231</v>
      </c>
      <c r="G4369" t="str">
        <v>Geographic3DCrs</v>
      </c>
      <c r="H4369" t="str">
        <v>&lt;undefined&gt;</v>
      </c>
      <c r="I4369" t="str">
        <v>NAD83(CSRS96)</v>
      </c>
      <c r="J4369" t="str">
        <v>Canada - onshore and offshore - Alberta; British Columbia; Manitoba; New Brunswick; Newfoundland and Labrador; Northwest Territories; Nova Scotia; Nunavut; Ontario; Prince Edward Island; Quebec; Saskatchewan; Yukon.</v>
      </c>
      <c r="K4369" s="11">
        <v>0</v>
      </c>
    </row>
    <row r="4370" spans="5:11" x14ac:dyDescent="0.35">
      <c r="E4370" s="9" t="str">
        <v>EPSG</v>
      </c>
      <c r="F4370" s="7" t="str">
        <v>8232</v>
      </c>
      <c r="G4370" t="str">
        <v>Geographic2DCrs</v>
      </c>
      <c r="H4370" t="str">
        <v>&lt;undefined&gt;</v>
      </c>
      <c r="I4370" t="str">
        <v>NAD83(CSRS96)</v>
      </c>
      <c r="J4370" t="str">
        <v>Canada - onshore and offshore - Alberta; British Columbia; Manitoba; New Brunswick; Newfoundland and Labrador; Northwest Territories; Nova Scotia; Nunavut; Ontario; Prince Edward Island; Quebec; Saskatchewan; Yukon.</v>
      </c>
      <c r="K4370" s="11">
        <v>0</v>
      </c>
    </row>
    <row r="4371" spans="5:11" x14ac:dyDescent="0.35">
      <c r="E4371" s="9" t="str">
        <v>EPSG</v>
      </c>
      <c r="F4371" s="7" t="str">
        <v>8233</v>
      </c>
      <c r="G4371" t="str">
        <v>GeocentricCrs</v>
      </c>
      <c r="H4371" t="str">
        <v>&lt;undefined&gt;</v>
      </c>
      <c r="I4371" t="str">
        <v>NAD83(CSRS)v2</v>
      </c>
      <c r="J4371" t="str">
        <v>Canada - onshore and offshore - Alberta; British Columbia; Manitoba; New Brunswick; Newfoundland and Labrador; Northwest Territories; Nova Scotia; Nunavut; Ontario; Prince Edward Island; Quebec; Saskatchewan; Yukon.</v>
      </c>
      <c r="K4371" s="11">
        <v>0</v>
      </c>
    </row>
    <row r="4372" spans="5:11" x14ac:dyDescent="0.35">
      <c r="E4372" s="9" t="str">
        <v>EPSG</v>
      </c>
      <c r="F4372" s="7" t="str">
        <v>8235</v>
      </c>
      <c r="G4372" t="str">
        <v>Geographic3DCrs</v>
      </c>
      <c r="H4372" t="str">
        <v>&lt;undefined&gt;</v>
      </c>
      <c r="I4372" t="str">
        <v>NAD83(CSRS)v2</v>
      </c>
      <c r="J4372" t="str">
        <v>Canada - onshore and offshore - Alberta; British Columbia; Manitoba; New Brunswick; Newfoundland and Labrador; Northwest Territories; Nova Scotia; Nunavut; Ontario; Prince Edward Island; Quebec; Saskatchewan; Yukon.</v>
      </c>
      <c r="K4372" s="11">
        <v>0</v>
      </c>
    </row>
    <row r="4373" spans="5:11" x14ac:dyDescent="0.35">
      <c r="E4373" s="9" t="str">
        <v>EPSG</v>
      </c>
      <c r="F4373" s="7" t="str">
        <v>8237</v>
      </c>
      <c r="G4373" t="str">
        <v>Geographic2DCrs</v>
      </c>
      <c r="H4373" t="str">
        <v>&lt;undefined&gt;</v>
      </c>
      <c r="I4373" t="str">
        <v>NAD83(CSRS)v2</v>
      </c>
      <c r="J4373" t="str">
        <v>Canada - onshore and offshore - Alberta; British Columbia; Manitoba; New Brunswick; Newfoundland and Labrador; Northwest Territories; Nova Scotia; Nunavut; Ontario; Prince Edward Island; Quebec; Saskatchewan; Yukon.</v>
      </c>
      <c r="K4373" s="11">
        <v>0</v>
      </c>
    </row>
    <row r="4374" spans="5:11" x14ac:dyDescent="0.35">
      <c r="E4374" s="9" t="str">
        <v>EPSG</v>
      </c>
      <c r="F4374" s="7" t="str">
        <v>8238</v>
      </c>
      <c r="G4374" t="str">
        <v>GeocentricCrs</v>
      </c>
      <c r="H4374" t="str">
        <v>&lt;undefined&gt;</v>
      </c>
      <c r="I4374" t="str">
        <v>NAD83(CSRS)v3</v>
      </c>
      <c r="J4374" t="str">
        <v>Canada - onshore and offshore - Alberta; British Columbia; Manitoba; New Brunswick; Newfoundland and Labrador; Northwest Territories; Nova Scotia; Nunavut; Ontario; Prince Edward Island; Quebec; Saskatchewan; Yukon.</v>
      </c>
      <c r="K4374" s="11">
        <v>0</v>
      </c>
    </row>
    <row r="4375" spans="5:11" x14ac:dyDescent="0.35">
      <c r="E4375" s="9" t="str">
        <v>EPSG</v>
      </c>
      <c r="F4375" s="7" t="str">
        <v>8239</v>
      </c>
      <c r="G4375" t="str">
        <v>Geographic3DCrs</v>
      </c>
      <c r="H4375" t="str">
        <v>&lt;undefined&gt;</v>
      </c>
      <c r="I4375" t="str">
        <v>NAD83(CSRS)v3</v>
      </c>
      <c r="J4375" t="str">
        <v>Canada - onshore and offshore - Alberta; British Columbia; Manitoba; New Brunswick; Newfoundland and Labrador; Northwest Territories; Nova Scotia; Nunavut; Ontario; Prince Edward Island; Quebec; Saskatchewan; Yukon.</v>
      </c>
      <c r="K4375" s="11">
        <v>0</v>
      </c>
    </row>
    <row r="4376" spans="5:11" x14ac:dyDescent="0.35">
      <c r="E4376" s="9" t="str">
        <v>EPSG</v>
      </c>
      <c r="F4376" s="7" t="str">
        <v>8240</v>
      </c>
      <c r="G4376" t="str">
        <v>Geographic2DCrs</v>
      </c>
      <c r="H4376" t="str">
        <v>&lt;undefined&gt;</v>
      </c>
      <c r="I4376" t="str">
        <v>NAD83(CSRS)v3</v>
      </c>
      <c r="J4376" t="str">
        <v>Canada - onshore and offshore - Alberta; British Columbia; Manitoba; New Brunswick; Newfoundland and Labrador; Northwest Territories; Nova Scotia; Nunavut; Ontario; Prince Edward Island; Quebec; Saskatchewan; Yukon.</v>
      </c>
      <c r="K4376" s="11">
        <v>0</v>
      </c>
    </row>
    <row r="4377" spans="5:11" x14ac:dyDescent="0.35">
      <c r="E4377" s="9" t="str">
        <v>EPSG</v>
      </c>
      <c r="F4377" s="7" t="str">
        <v>8242</v>
      </c>
      <c r="G4377" t="str">
        <v>GeocentricCrs</v>
      </c>
      <c r="H4377" t="str">
        <v>&lt;undefined&gt;</v>
      </c>
      <c r="I4377" t="str">
        <v>NAD83(CSRS)v4</v>
      </c>
      <c r="J4377" t="str">
        <v>Canada - onshore and offshore - Alberta; British Columbia; Manitoba; New Brunswick; Newfoundland and Labrador; Northwest Territories; Nova Scotia; Nunavut; Ontario; Prince Edward Island; Quebec; Saskatchewan; Yukon.</v>
      </c>
      <c r="K4377" s="11">
        <v>0</v>
      </c>
    </row>
    <row r="4378" spans="5:11" x14ac:dyDescent="0.35">
      <c r="E4378" s="9" t="str">
        <v>EPSG</v>
      </c>
      <c r="F4378" s="7" t="str">
        <v>8244</v>
      </c>
      <c r="G4378" t="str">
        <v>Geographic3DCrs</v>
      </c>
      <c r="H4378" t="str">
        <v>&lt;undefined&gt;</v>
      </c>
      <c r="I4378" t="str">
        <v>NAD83(CSRS)v4</v>
      </c>
      <c r="J4378" t="str">
        <v>Canada - onshore and offshore - Alberta; British Columbia; Manitoba; New Brunswick; Newfoundland and Labrador; Northwest Territories; Nova Scotia; Nunavut; Ontario; Prince Edward Island; Quebec; Saskatchewan; Yukon.</v>
      </c>
      <c r="K4378" s="11">
        <v>0</v>
      </c>
    </row>
    <row r="4379" spans="5:11" x14ac:dyDescent="0.35">
      <c r="E4379" s="9" t="str">
        <v>EPSG</v>
      </c>
      <c r="F4379" s="7" t="str">
        <v>8246</v>
      </c>
      <c r="G4379" t="str">
        <v>Geographic2DCrs</v>
      </c>
      <c r="H4379" t="str">
        <v>&lt;undefined&gt;</v>
      </c>
      <c r="I4379" t="str">
        <v>NAD83(CSRS)v4</v>
      </c>
      <c r="J4379" t="str">
        <v>Canada - onshore and offshore - Alberta; British Columbia; Manitoba; New Brunswick; Newfoundland and Labrador; Northwest Territories; Nova Scotia; Nunavut; Ontario; Prince Edward Island; Quebec; Saskatchewan; Yukon.</v>
      </c>
      <c r="K4379" s="11">
        <v>0</v>
      </c>
    </row>
    <row r="4380" spans="5:11" x14ac:dyDescent="0.35">
      <c r="E4380" s="9" t="str">
        <v>EPSG</v>
      </c>
      <c r="F4380" s="7" t="str">
        <v>8247</v>
      </c>
      <c r="G4380" t="str">
        <v>GeocentricCrs</v>
      </c>
      <c r="H4380" t="str">
        <v>&lt;undefined&gt;</v>
      </c>
      <c r="I4380" t="str">
        <v>NAD83(CSRS)v5</v>
      </c>
      <c r="J4380" t="str">
        <v>Canada - onshore and offshore - Alberta; British Columbia; Manitoba; New Brunswick; Newfoundland and Labrador; Northwest Territories; Nova Scotia; Nunavut; Ontario; Prince Edward Island; Quebec; Saskatchewan; Yukon.</v>
      </c>
      <c r="K4380" s="11">
        <v>0</v>
      </c>
    </row>
    <row r="4381" spans="5:11" x14ac:dyDescent="0.35">
      <c r="E4381" s="9" t="str">
        <v>EPSG</v>
      </c>
      <c r="F4381" s="7" t="str">
        <v>8248</v>
      </c>
      <c r="G4381" t="str">
        <v>Geographic3DCrs</v>
      </c>
      <c r="H4381" t="str">
        <v>&lt;undefined&gt;</v>
      </c>
      <c r="I4381" t="str">
        <v>NAD83(CSRS)v5</v>
      </c>
      <c r="J4381" t="str">
        <v>Canada - onshore and offshore - Alberta; British Columbia; Manitoba; New Brunswick; Newfoundland and Labrador; Northwest Territories; Nova Scotia; Nunavut; Ontario; Prince Edward Island; Quebec; Saskatchewan; Yukon.</v>
      </c>
      <c r="K4381" s="11">
        <v>0</v>
      </c>
    </row>
    <row r="4382" spans="5:11" x14ac:dyDescent="0.35">
      <c r="E4382" s="9" t="str">
        <v>EPSG</v>
      </c>
      <c r="F4382" s="7" t="str">
        <v>8249</v>
      </c>
      <c r="G4382" t="str">
        <v>Geographic2DCrs</v>
      </c>
      <c r="H4382" t="str">
        <v>&lt;undefined&gt;</v>
      </c>
      <c r="I4382" t="str">
        <v>NAD83(CSRS)v5</v>
      </c>
      <c r="J4382" t="str">
        <v>Canada - onshore and offshore - Alberta; British Columbia; Manitoba; New Brunswick; Newfoundland and Labrador; Northwest Territories; Nova Scotia; Nunavut; Ontario; Prince Edward Island; Quebec; Saskatchewan; Yukon.</v>
      </c>
      <c r="K4382" s="11">
        <v>0</v>
      </c>
    </row>
    <row r="4383" spans="5:11" x14ac:dyDescent="0.35">
      <c r="E4383" s="9" t="str">
        <v>EPSG</v>
      </c>
      <c r="F4383" s="7" t="str">
        <v>8250</v>
      </c>
      <c r="G4383" t="str">
        <v>GeocentricCrs</v>
      </c>
      <c r="H4383" t="str">
        <v>&lt;undefined&gt;</v>
      </c>
      <c r="I4383" t="str">
        <v>NAD83(CSRS)v6</v>
      </c>
      <c r="J4383" t="str">
        <v>Canada - onshore and offshore - Alberta; British Columbia; Manitoba; New Brunswick; Newfoundland and Labrador; Northwest Territories; Nova Scotia; Nunavut; Ontario; Prince Edward Island; Quebec; Saskatchewan; Yukon.</v>
      </c>
      <c r="K4383" s="11">
        <v>0</v>
      </c>
    </row>
    <row r="4384" spans="5:11" x14ac:dyDescent="0.35">
      <c r="E4384" s="9" t="str">
        <v>EPSG</v>
      </c>
      <c r="F4384" s="7" t="str">
        <v>8251</v>
      </c>
      <c r="G4384" t="str">
        <v>Geographic3DCrs</v>
      </c>
      <c r="H4384" t="str">
        <v>&lt;undefined&gt;</v>
      </c>
      <c r="I4384" t="str">
        <v>NAD83(CSRS)v6</v>
      </c>
      <c r="J4384" t="str">
        <v>Canada - onshore and offshore - Alberta; British Columbia; Manitoba; New Brunswick; Newfoundland and Labrador; Northwest Territories; Nova Scotia; Nunavut; Ontario; Prince Edward Island; Quebec; Saskatchewan; Yukon.</v>
      </c>
      <c r="K4384" s="11">
        <v>0</v>
      </c>
    </row>
    <row r="4385" spans="5:11" x14ac:dyDescent="0.35">
      <c r="E4385" s="9" t="str">
        <v>EPSG</v>
      </c>
      <c r="F4385" s="7" t="str">
        <v>8252</v>
      </c>
      <c r="G4385" t="str">
        <v>Geographic2DCrs</v>
      </c>
      <c r="H4385" t="str">
        <v>&lt;undefined&gt;</v>
      </c>
      <c r="I4385" t="str">
        <v>NAD83(CSRS)v6</v>
      </c>
      <c r="J4385" t="str">
        <v>Canada - onshore and offshore - Alberta; British Columbia; Manitoba; New Brunswick; Newfoundland and Labrador; Northwest Territories; Nova Scotia; Nunavut; Ontario; Prince Edward Island; Quebec; Saskatchewan; Yukon.</v>
      </c>
      <c r="K4385" s="11">
        <v>0</v>
      </c>
    </row>
    <row r="4386" spans="5:11" x14ac:dyDescent="0.35">
      <c r="E4386" s="9" t="str">
        <v>EPSG</v>
      </c>
      <c r="F4386" s="7" t="str">
        <v>8253</v>
      </c>
      <c r="G4386" t="str">
        <v>GeocentricCrs</v>
      </c>
      <c r="H4386" t="str">
        <v>&lt;undefined&gt;</v>
      </c>
      <c r="I4386" t="str">
        <v>NAD83(CSRS)v7</v>
      </c>
      <c r="J4386" t="str">
        <v>Canada - onshore and offshore - Alberta; British Columbia; Manitoba; New Brunswick; Newfoundland and Labrador; Northwest Territories; Nova Scotia; Nunavut; Ontario; Prince Edward Island; Quebec; Saskatchewan; Yukon.</v>
      </c>
      <c r="K4386" s="11">
        <v>0</v>
      </c>
    </row>
    <row r="4387" spans="5:11" x14ac:dyDescent="0.35">
      <c r="E4387" s="9" t="str">
        <v>EPSG</v>
      </c>
      <c r="F4387" s="7" t="str">
        <v>8254</v>
      </c>
      <c r="G4387" t="str">
        <v>Geographic3DCrs</v>
      </c>
      <c r="H4387" t="str">
        <v>&lt;undefined&gt;</v>
      </c>
      <c r="I4387" t="str">
        <v>NAD83(CSRS)v7</v>
      </c>
      <c r="J4387" t="str">
        <v>Canada - onshore and offshore - Alberta; British Columbia; Manitoba; New Brunswick; Newfoundland and Labrador; Northwest Territories; Nova Scotia; Nunavut; Ontario; Prince Edward Island; Quebec; Saskatchewan; Yukon.</v>
      </c>
      <c r="K4387" s="11">
        <v>0</v>
      </c>
    </row>
    <row r="4388" spans="5:11" x14ac:dyDescent="0.35">
      <c r="E4388" s="9" t="str">
        <v>EPSG</v>
      </c>
      <c r="F4388" s="7" t="str">
        <v>8255</v>
      </c>
      <c r="G4388" t="str">
        <v>Geographic2DCrs</v>
      </c>
      <c r="H4388" t="str">
        <v>&lt;undefined&gt;</v>
      </c>
      <c r="I4388" t="str">
        <v>NAD83(CSRS)v7</v>
      </c>
      <c r="J4388" t="str">
        <v>Canada - onshore and offshore - Alberta; British Columbia; Manitoba; New Brunswick; Newfoundland and Labrador; Northwest Territories; Nova Scotia; Nunavut; Ontario; Prince Edward Island; Quebec; Saskatchewan; Yukon.</v>
      </c>
      <c r="K4388" s="11">
        <v>0</v>
      </c>
    </row>
    <row r="4389" spans="5:11" x14ac:dyDescent="0.35">
      <c r="E4389" s="9" t="str">
        <v>EPSG</v>
      </c>
      <c r="F4389" s="7" t="str">
        <v>8266</v>
      </c>
      <c r="G4389" t="str">
        <v>VerticalCrs</v>
      </c>
      <c r="H4389" t="str">
        <v>&lt;undefined&gt;</v>
      </c>
      <c r="I4389" t="str">
        <v>GVR2000 height</v>
      </c>
      <c r="J4389" t="str">
        <v>Greenland - onshore and offshore between 59°N and 84°N and west of 10°W.</v>
      </c>
      <c r="K4389" s="11">
        <v>0</v>
      </c>
    </row>
    <row r="4390" spans="5:11" x14ac:dyDescent="0.35">
      <c r="E4390" s="9" t="str">
        <v>EPSG</v>
      </c>
      <c r="F4390" s="7" t="str">
        <v>8267</v>
      </c>
      <c r="G4390" t="str">
        <v>VerticalCrs</v>
      </c>
      <c r="H4390" t="str">
        <v>&lt;undefined&gt;</v>
      </c>
      <c r="I4390" t="str">
        <v>GVR2016 height</v>
      </c>
      <c r="J4390" t="str">
        <v>Greenland - onshore and offshore between 58°N and 85°N and west of 7°W.</v>
      </c>
      <c r="K4390" s="11">
        <v>0</v>
      </c>
    </row>
    <row r="4391" spans="5:11" x14ac:dyDescent="0.35">
      <c r="E4391" s="9" t="str">
        <v>EPSG</v>
      </c>
      <c r="F4391" s="7" t="str">
        <v>8311</v>
      </c>
      <c r="G4391" t="str">
        <v>ProjectedCrs</v>
      </c>
      <c r="H4391" t="str">
        <v>Transverse Mercator</v>
      </c>
      <c r="I4391" t="str">
        <v>NAD83(2011) / Oregon Burns-Harper zone (m)</v>
      </c>
      <c r="J4391" t="str">
        <v>United States (USA) - Oregon - Burns-Harper area.</v>
      </c>
      <c r="K4391" s="11">
        <v>0</v>
      </c>
    </row>
    <row r="4392" spans="5:11" x14ac:dyDescent="0.35">
      <c r="E4392" s="9" t="str">
        <v>EPSG</v>
      </c>
      <c r="F4392" s="7" t="str">
        <v>8312</v>
      </c>
      <c r="G4392" t="str">
        <v>ProjectedCrs</v>
      </c>
      <c r="H4392" t="str">
        <v>Transverse Mercator</v>
      </c>
      <c r="I4392" t="str">
        <v>NAD83(2011) / Oregon Burns-Harper zone (ft)</v>
      </c>
      <c r="J4392" t="str">
        <v>United States (USA) - Oregon - Burns-Harper area.</v>
      </c>
      <c r="K4392" s="11">
        <v>0</v>
      </c>
    </row>
    <row r="4393" spans="5:11" x14ac:dyDescent="0.35">
      <c r="E4393" s="9" t="str">
        <v>EPSG</v>
      </c>
      <c r="F4393" s="7" t="str">
        <v>8313</v>
      </c>
      <c r="G4393" t="str">
        <v>ProjectedCrs</v>
      </c>
      <c r="H4393" t="str">
        <v>Transverse Mercator</v>
      </c>
      <c r="I4393" t="str">
        <v>NAD83(2011) / Oregon Canyon City-Burns zone (m)</v>
      </c>
      <c r="J4393" t="str">
        <v>United States (USA) - Oregon - Canyon City-Burns area.</v>
      </c>
      <c r="K4393" s="11">
        <v>0</v>
      </c>
    </row>
    <row r="4394" spans="5:11" x14ac:dyDescent="0.35">
      <c r="E4394" s="9" t="str">
        <v>EPSG</v>
      </c>
      <c r="F4394" s="7" t="str">
        <v>8314</v>
      </c>
      <c r="G4394" t="str">
        <v>ProjectedCrs</v>
      </c>
      <c r="H4394" t="str">
        <v>Transverse Mercator</v>
      </c>
      <c r="I4394" t="str">
        <v>NAD83(2011) / Oregon Canyon City-Burns zone (ft)</v>
      </c>
      <c r="J4394" t="str">
        <v>United States (USA) - Oregon - Canyon City-Burns area.</v>
      </c>
      <c r="K4394" s="11">
        <v>0</v>
      </c>
    </row>
    <row r="4395" spans="5:11" x14ac:dyDescent="0.35">
      <c r="E4395" s="9" t="str">
        <v>EPSG</v>
      </c>
      <c r="F4395" s="7" t="str">
        <v>8315</v>
      </c>
      <c r="G4395" t="str">
        <v>ProjectedCrs</v>
      </c>
      <c r="H4395" t="str">
        <v>Lambert Conic Conformal (1SP)</v>
      </c>
      <c r="I4395" t="str">
        <v>NAD83(2011) / Oregon Coast Range North zone (m)</v>
      </c>
      <c r="J4395" t="str">
        <v>United States (USA) - Oregon - Coast Range North area.</v>
      </c>
      <c r="K4395" s="11">
        <v>0</v>
      </c>
    </row>
    <row r="4396" spans="5:11" x14ac:dyDescent="0.35">
      <c r="E4396" s="9" t="str">
        <v>EPSG</v>
      </c>
      <c r="F4396" s="7" t="str">
        <v>8316</v>
      </c>
      <c r="G4396" t="str">
        <v>ProjectedCrs</v>
      </c>
      <c r="H4396" t="str">
        <v>Lambert Conic Conformal (1SP)</v>
      </c>
      <c r="I4396" t="str">
        <v>NAD83(2011) / Oregon Coast Range North zone (ft)</v>
      </c>
      <c r="J4396" t="str">
        <v>United States (USA) - Oregon - Coast Range North area.</v>
      </c>
      <c r="K4396" s="11">
        <v>0</v>
      </c>
    </row>
    <row r="4397" spans="5:11" x14ac:dyDescent="0.35">
      <c r="E4397" s="9" t="str">
        <v>EPSG</v>
      </c>
      <c r="F4397" s="7" t="str">
        <v>8317</v>
      </c>
      <c r="G4397" t="str">
        <v>ProjectedCrs</v>
      </c>
      <c r="H4397" t="str">
        <v>Transverse Mercator</v>
      </c>
      <c r="I4397" t="str">
        <v>NAD83(2011) / Oregon Dayville-Prairie City zone (m)</v>
      </c>
      <c r="J4397" t="str">
        <v>United States (USA) - Oregon - Dayville-Prairie City area.</v>
      </c>
      <c r="K4397" s="11">
        <v>0</v>
      </c>
    </row>
    <row r="4398" spans="5:11" x14ac:dyDescent="0.35">
      <c r="E4398" s="9" t="str">
        <v>EPSG</v>
      </c>
      <c r="F4398" s="7" t="str">
        <v>8318</v>
      </c>
      <c r="G4398" t="str">
        <v>ProjectedCrs</v>
      </c>
      <c r="H4398" t="str">
        <v>Transverse Mercator</v>
      </c>
      <c r="I4398" t="str">
        <v>NAD83(2011) / Oregon Dayville-Prairie City zone (ft)</v>
      </c>
      <c r="J4398" t="str">
        <v>United States (USA) - Oregon - Dayville-Prairie City area.</v>
      </c>
      <c r="K4398" s="11">
        <v>0</v>
      </c>
    </row>
    <row r="4399" spans="5:11" x14ac:dyDescent="0.35">
      <c r="E4399" s="9" t="str">
        <v>EPSG</v>
      </c>
      <c r="F4399" s="7" t="str">
        <v>8319</v>
      </c>
      <c r="G4399" t="str">
        <v>ProjectedCrs</v>
      </c>
      <c r="H4399" t="str">
        <v>Transverse Mercator</v>
      </c>
      <c r="I4399" t="str">
        <v>NAD83(2011) / Oregon Denio-Burns zone (m)</v>
      </c>
      <c r="J4399" t="str">
        <v>United States (USA) - Oregon - Denio-Burns area.</v>
      </c>
      <c r="K4399" s="11">
        <v>0</v>
      </c>
    </row>
    <row r="4400" spans="5:11" x14ac:dyDescent="0.35">
      <c r="E4400" s="9" t="str">
        <v>EPSG</v>
      </c>
      <c r="F4400" s="7" t="str">
        <v>8320</v>
      </c>
      <c r="G4400" t="str">
        <v>ProjectedCrs</v>
      </c>
      <c r="H4400" t="str">
        <v>Transverse Mercator</v>
      </c>
      <c r="I4400" t="str">
        <v>NAD83(2011) / Oregon Denio-Burns zone (ft)</v>
      </c>
      <c r="J4400" t="str">
        <v>United States (USA) - Oregon - Denio-Burns area.</v>
      </c>
      <c r="K4400" s="11">
        <v>0</v>
      </c>
    </row>
    <row r="4401" spans="5:11" x14ac:dyDescent="0.35">
      <c r="E4401" s="9" t="str">
        <v>EPSG</v>
      </c>
      <c r="F4401" s="7" t="str">
        <v>8321</v>
      </c>
      <c r="G4401" t="str">
        <v>ProjectedCrs</v>
      </c>
      <c r="H4401" t="str">
        <v>Lambert Conic Conformal (1SP)</v>
      </c>
      <c r="I4401" t="str">
        <v>NAD83(2011) / Oregon Halfway zone (m)</v>
      </c>
      <c r="J4401" t="str">
        <v>United States (USA) - Oregon - Halfway area.</v>
      </c>
      <c r="K4401" s="11">
        <v>0</v>
      </c>
    </row>
    <row r="4402" spans="5:11" x14ac:dyDescent="0.35">
      <c r="E4402" s="9" t="str">
        <v>EPSG</v>
      </c>
      <c r="F4402" s="7" t="str">
        <v>8322</v>
      </c>
      <c r="G4402" t="str">
        <v>ProjectedCrs</v>
      </c>
      <c r="H4402" t="str">
        <v>Lambert Conic Conformal (1SP)</v>
      </c>
      <c r="I4402" t="str">
        <v>NAD83(2011) / Oregon Halfway zone (ft)</v>
      </c>
      <c r="J4402" t="str">
        <v>United States (USA) - Oregon - Halfway area.</v>
      </c>
      <c r="K4402" s="11">
        <v>0</v>
      </c>
    </row>
    <row r="4403" spans="5:11" x14ac:dyDescent="0.35">
      <c r="E4403" s="9" t="str">
        <v>EPSG</v>
      </c>
      <c r="F4403" s="7" t="str">
        <v>8323</v>
      </c>
      <c r="G4403" t="str">
        <v>ProjectedCrs</v>
      </c>
      <c r="H4403" t="str">
        <v>Lambert Conic Conformal (1SP)</v>
      </c>
      <c r="I4403" t="str">
        <v>NAD83(2011) / Oregon Medford-Diamond Lake zone (m)</v>
      </c>
      <c r="J4403" t="str">
        <v>United States (USA) - Oregon - Medford-Diamond Lake area.</v>
      </c>
      <c r="K4403" s="11">
        <v>0</v>
      </c>
    </row>
    <row r="4404" spans="5:11" x14ac:dyDescent="0.35">
      <c r="E4404" s="9" t="str">
        <v>EPSG</v>
      </c>
      <c r="F4404" s="7" t="str">
        <v>8324</v>
      </c>
      <c r="G4404" t="str">
        <v>ProjectedCrs</v>
      </c>
      <c r="H4404" t="str">
        <v>Lambert Conic Conformal (1SP)</v>
      </c>
      <c r="I4404" t="str">
        <v>NAD83(2011) / Oregon Medford-Diamond Lake zone (ft)</v>
      </c>
      <c r="J4404" t="str">
        <v>United States (USA) - Oregon - Medford-Diamond Lake area.</v>
      </c>
      <c r="K4404" s="11">
        <v>0</v>
      </c>
    </row>
    <row r="4405" spans="5:11" x14ac:dyDescent="0.35">
      <c r="E4405" s="9" t="str">
        <v>EPSG</v>
      </c>
      <c r="F4405" s="7" t="str">
        <v>8325</v>
      </c>
      <c r="G4405" t="str">
        <v>ProjectedCrs</v>
      </c>
      <c r="H4405" t="str">
        <v>Lambert Conic Conformal (1SP)</v>
      </c>
      <c r="I4405" t="str">
        <v>NAD83(2011) / Oregon Mitchell zone (m)</v>
      </c>
      <c r="J4405" t="str">
        <v>United States (USA) - Oregon - Mitchell area.</v>
      </c>
      <c r="K4405" s="11">
        <v>0</v>
      </c>
    </row>
    <row r="4406" spans="5:11" x14ac:dyDescent="0.35">
      <c r="E4406" s="9" t="str">
        <v>EPSG</v>
      </c>
      <c r="F4406" s="7" t="str">
        <v>8326</v>
      </c>
      <c r="G4406" t="str">
        <v>ProjectedCrs</v>
      </c>
      <c r="H4406" t="str">
        <v>Lambert Conic Conformal (1SP)</v>
      </c>
      <c r="I4406" t="str">
        <v>NAD83(2011) / Oregon Mitchell zone (ft)</v>
      </c>
      <c r="J4406" t="str">
        <v>United States (USA) - Oregon - Mitchell area.</v>
      </c>
      <c r="K4406" s="11">
        <v>0</v>
      </c>
    </row>
    <row r="4407" spans="5:11" x14ac:dyDescent="0.35">
      <c r="E4407" s="9" t="str">
        <v>EPSG</v>
      </c>
      <c r="F4407" s="7" t="str">
        <v>8327</v>
      </c>
      <c r="G4407" t="str">
        <v>ProjectedCrs</v>
      </c>
      <c r="H4407" t="str">
        <v>Lambert Conic Conformal (1SP)</v>
      </c>
      <c r="I4407" t="str">
        <v>NAD83(2011) / Oregon North Central zone (m)</v>
      </c>
      <c r="J4407" t="str">
        <v>United States (USA) - Oregon - North Central area.</v>
      </c>
      <c r="K4407" s="11">
        <v>0</v>
      </c>
    </row>
    <row r="4408" spans="5:11" x14ac:dyDescent="0.35">
      <c r="E4408" s="9" t="str">
        <v>EPSG</v>
      </c>
      <c r="F4408" s="7" t="str">
        <v>8328</v>
      </c>
      <c r="G4408" t="str">
        <v>ProjectedCrs</v>
      </c>
      <c r="H4408" t="str">
        <v>Lambert Conic Conformal (1SP)</v>
      </c>
      <c r="I4408" t="str">
        <v>NAD83(2011) / Oregon North Central zone (ft)</v>
      </c>
      <c r="J4408" t="str">
        <v>United States (USA) - Oregon - North Central area.</v>
      </c>
      <c r="K4408" s="11">
        <v>0</v>
      </c>
    </row>
    <row r="4409" spans="5:11" x14ac:dyDescent="0.35">
      <c r="E4409" s="9" t="str">
        <v>EPSG</v>
      </c>
      <c r="F4409" s="7" t="str">
        <v>8329</v>
      </c>
      <c r="G4409" t="str">
        <v>ProjectedCrs</v>
      </c>
      <c r="H4409" t="str">
        <v>Lambert Conic Conformal (1SP)</v>
      </c>
      <c r="I4409" t="str">
        <v>NAD83(2011) / Oregon Ochoco Summit zone (m)</v>
      </c>
      <c r="J4409" t="str">
        <v>United States (USA) - Oregon - Ochoco Summit area.</v>
      </c>
      <c r="K4409" s="11">
        <v>0</v>
      </c>
    </row>
    <row r="4410" spans="5:11" x14ac:dyDescent="0.35">
      <c r="E4410" s="9" t="str">
        <v>EPSG</v>
      </c>
      <c r="F4410" s="7" t="str">
        <v>8330</v>
      </c>
      <c r="G4410" t="str">
        <v>ProjectedCrs</v>
      </c>
      <c r="H4410" t="str">
        <v>Lambert Conic Conformal (1SP)</v>
      </c>
      <c r="I4410" t="str">
        <v>NAD83(2011) / Oregon Ochoco Summit zone (ft)</v>
      </c>
      <c r="J4410" t="str">
        <v>United States (USA) - Oregon - Ochoco Summit area.</v>
      </c>
      <c r="K4410" s="11">
        <v>0</v>
      </c>
    </row>
    <row r="4411" spans="5:11" x14ac:dyDescent="0.35">
      <c r="E4411" s="9" t="str">
        <v>EPSG</v>
      </c>
      <c r="F4411" s="7" t="str">
        <v>8331</v>
      </c>
      <c r="G4411" t="str">
        <v>ProjectedCrs</v>
      </c>
      <c r="H4411" t="str">
        <v>Transverse Mercator</v>
      </c>
      <c r="I4411" t="str">
        <v>NAD83(2011) / Oregon Owyhee zone (m)</v>
      </c>
      <c r="J4411" t="str">
        <v>United States (USA) - Oregon - Owyhee area.</v>
      </c>
      <c r="K4411" s="11">
        <v>0</v>
      </c>
    </row>
    <row r="4412" spans="5:11" x14ac:dyDescent="0.35">
      <c r="E4412" s="9" t="str">
        <v>EPSG</v>
      </c>
      <c r="F4412" s="7" t="str">
        <v>8332</v>
      </c>
      <c r="G4412" t="str">
        <v>ProjectedCrs</v>
      </c>
      <c r="H4412" t="str">
        <v>Transverse Mercator</v>
      </c>
      <c r="I4412" t="str">
        <v>NAD83(2011) / Oregon Owyhee zone (ft)</v>
      </c>
      <c r="J4412" t="str">
        <v>United States (USA) - Oregon - Owyhee area.</v>
      </c>
      <c r="K4412" s="11">
        <v>0</v>
      </c>
    </row>
    <row r="4413" spans="5:11" x14ac:dyDescent="0.35">
      <c r="E4413" s="9" t="str">
        <v>EPSG</v>
      </c>
      <c r="F4413" s="7" t="str">
        <v>8333</v>
      </c>
      <c r="G4413" t="str">
        <v>ProjectedCrs</v>
      </c>
      <c r="H4413" t="str">
        <v>Lambert Conic Conformal (1SP)</v>
      </c>
      <c r="I4413" t="str">
        <v>NAD83(2011) / Oregon Pilot Rock-Ukiah zone (m)</v>
      </c>
      <c r="J4413" t="str">
        <v>United States (USA) - Oregon - Pilot Rock-Ukiah area.</v>
      </c>
      <c r="K4413" s="11">
        <v>0</v>
      </c>
    </row>
    <row r="4414" spans="5:11" x14ac:dyDescent="0.35">
      <c r="E4414" s="9" t="str">
        <v>EPSG</v>
      </c>
      <c r="F4414" s="7" t="str">
        <v>8334</v>
      </c>
      <c r="G4414" t="str">
        <v>ProjectedCrs</v>
      </c>
      <c r="H4414" t="str">
        <v>Lambert Conic Conformal (1SP)</v>
      </c>
      <c r="I4414" t="str">
        <v>NAD83(2011) / Oregon Pilot Rock-Ukiah zone (ft)</v>
      </c>
      <c r="J4414" t="str">
        <v>United States (USA) - Oregon - Pilot Rock-Ukiah area.</v>
      </c>
      <c r="K4414" s="11">
        <v>0</v>
      </c>
    </row>
    <row r="4415" spans="5:11" x14ac:dyDescent="0.35">
      <c r="E4415" s="9" t="str">
        <v>EPSG</v>
      </c>
      <c r="F4415" s="7" t="str">
        <v>8335</v>
      </c>
      <c r="G4415" t="str">
        <v>ProjectedCrs</v>
      </c>
      <c r="H4415" t="str">
        <v>Lambert Conic Conformal (1SP)</v>
      </c>
      <c r="I4415" t="str">
        <v>NAD83(2011) / Oregon Prairie City-Brogan zone (m)</v>
      </c>
      <c r="J4415" t="str">
        <v>United States (USA) - Oregon - Prairie City-Brogan area.</v>
      </c>
      <c r="K4415" s="11">
        <v>0</v>
      </c>
    </row>
    <row r="4416" spans="5:11" x14ac:dyDescent="0.35">
      <c r="E4416" s="9" t="str">
        <v>EPSG</v>
      </c>
      <c r="F4416" s="7" t="str">
        <v>8336</v>
      </c>
      <c r="G4416" t="str">
        <v>ProjectedCrs</v>
      </c>
      <c r="H4416" t="str">
        <v>Lambert Conic Conformal (1SP)</v>
      </c>
      <c r="I4416" t="str">
        <v>NAD83(2011) / Oregon Prairie City-Brogan zone (ft)</v>
      </c>
      <c r="J4416" t="str">
        <v>United States (USA) - Oregon - Prairie City-Brogan area.</v>
      </c>
      <c r="K4416" s="11">
        <v>0</v>
      </c>
    </row>
    <row r="4417" spans="5:11" x14ac:dyDescent="0.35">
      <c r="E4417" s="9" t="str">
        <v>EPSG</v>
      </c>
      <c r="F4417" s="7" t="str">
        <v>8337</v>
      </c>
      <c r="G4417" t="str">
        <v>ProjectedCrs</v>
      </c>
      <c r="H4417" t="str">
        <v>Transverse Mercator</v>
      </c>
      <c r="I4417" t="str">
        <v>NAD83(2011) / Oregon Riley-Lakeview zone (m)</v>
      </c>
      <c r="J4417" t="str">
        <v>United States (USA) - Oregon - Riley-Lakeview area.</v>
      </c>
      <c r="K4417" s="11">
        <v>0</v>
      </c>
    </row>
    <row r="4418" spans="5:11" x14ac:dyDescent="0.35">
      <c r="E4418" s="9" t="str">
        <v>EPSG</v>
      </c>
      <c r="F4418" s="7" t="str">
        <v>8338</v>
      </c>
      <c r="G4418" t="str">
        <v>ProjectedCrs</v>
      </c>
      <c r="H4418" t="str">
        <v>Transverse Mercator</v>
      </c>
      <c r="I4418" t="str">
        <v>NAD83(2011) / Oregon Riley-Lakeview zone (ft)</v>
      </c>
      <c r="J4418" t="str">
        <v>United States (USA) - Oregon - Riley-Lakeview area.</v>
      </c>
      <c r="K4418" s="11">
        <v>0</v>
      </c>
    </row>
    <row r="4419" spans="5:11" x14ac:dyDescent="0.35">
      <c r="E4419" s="9" t="str">
        <v>EPSG</v>
      </c>
      <c r="F4419" s="7" t="str">
        <v>8339</v>
      </c>
      <c r="G4419" t="str">
        <v>ProjectedCrs</v>
      </c>
      <c r="H4419" t="str">
        <v>Lambert Conic Conformal (1SP)</v>
      </c>
      <c r="I4419" t="str">
        <v>NAD83(2011) / Oregon Siskiyou Pass zone (m)</v>
      </c>
      <c r="J4419" t="str">
        <v>United States (USA) - Oregon - Siskiyou Pass area.</v>
      </c>
      <c r="K4419" s="11">
        <v>0</v>
      </c>
    </row>
    <row r="4420" spans="5:11" x14ac:dyDescent="0.35">
      <c r="E4420" s="9" t="str">
        <v>EPSG</v>
      </c>
      <c r="F4420" s="7" t="str">
        <v>8340</v>
      </c>
      <c r="G4420" t="str">
        <v>ProjectedCrs</v>
      </c>
      <c r="H4420" t="str">
        <v>Lambert Conic Conformal (1SP)</v>
      </c>
      <c r="I4420" t="str">
        <v>NAD83(2011) / Oregon Siskiyou Pass zone (ft)</v>
      </c>
      <c r="J4420" t="str">
        <v>United States (USA) - Oregon - Siskiyou Pass area.</v>
      </c>
      <c r="K4420" s="11">
        <v>0</v>
      </c>
    </row>
    <row r="4421" spans="5:11" x14ac:dyDescent="0.35">
      <c r="E4421" s="9" t="str">
        <v>EPSG</v>
      </c>
      <c r="F4421" s="7" t="str">
        <v>8341</v>
      </c>
      <c r="G4421" t="str">
        <v>ProjectedCrs</v>
      </c>
      <c r="H4421" t="str">
        <v>Lambert Conic Conformal (1SP)</v>
      </c>
      <c r="I4421" t="str">
        <v>NAD83(2011) / Oregon Ukiah-Fox zone (m)</v>
      </c>
      <c r="J4421" t="str">
        <v>United States (USA) - Oregon - Ukiah-Fox area.</v>
      </c>
      <c r="K4421" s="11">
        <v>0</v>
      </c>
    </row>
    <row r="4422" spans="5:11" x14ac:dyDescent="0.35">
      <c r="E4422" s="9" t="str">
        <v>EPSG</v>
      </c>
      <c r="F4422" s="7" t="str">
        <v>8342</v>
      </c>
      <c r="G4422" t="str">
        <v>ProjectedCrs</v>
      </c>
      <c r="H4422" t="str">
        <v>Lambert Conic Conformal (1SP)</v>
      </c>
      <c r="I4422" t="str">
        <v>NAD83(2011) / Oregon Ukiah-Fox zone (ft)</v>
      </c>
      <c r="J4422" t="str">
        <v>United States (USA) - Oregon - Ukiah-Fox area.</v>
      </c>
      <c r="K4422" s="11">
        <v>0</v>
      </c>
    </row>
    <row r="4423" spans="5:11" x14ac:dyDescent="0.35">
      <c r="E4423" s="9" t="str">
        <v>EPSG</v>
      </c>
      <c r="F4423" s="7" t="str">
        <v>8343</v>
      </c>
      <c r="G4423" t="str">
        <v>ProjectedCrs</v>
      </c>
      <c r="H4423" t="str">
        <v>Transverse Mercator</v>
      </c>
      <c r="I4423" t="str">
        <v>NAD83(2011) / Oregon Wallowa zone (m)</v>
      </c>
      <c r="J4423" t="str">
        <v>United States (USA) - Oregon - Wallowa area.</v>
      </c>
      <c r="K4423" s="11">
        <v>0</v>
      </c>
    </row>
    <row r="4424" spans="5:11" x14ac:dyDescent="0.35">
      <c r="E4424" s="9" t="str">
        <v>EPSG</v>
      </c>
      <c r="F4424" s="7" t="str">
        <v>8344</v>
      </c>
      <c r="G4424" t="str">
        <v>ProjectedCrs</v>
      </c>
      <c r="H4424" t="str">
        <v>Transverse Mercator</v>
      </c>
      <c r="I4424" t="str">
        <v>NAD83(2011) / Oregon Wallowa zone (ft)</v>
      </c>
      <c r="J4424" t="str">
        <v>United States (USA) - Oregon - Wallowa area.</v>
      </c>
      <c r="K4424" s="11">
        <v>0</v>
      </c>
    </row>
    <row r="4425" spans="5:11" x14ac:dyDescent="0.35">
      <c r="E4425" s="9" t="str">
        <v>EPSG</v>
      </c>
      <c r="F4425" s="7" t="str">
        <v>8345</v>
      </c>
      <c r="G4425" t="str">
        <v>ProjectedCrs</v>
      </c>
      <c r="H4425" t="str">
        <v>Lambert Conic Conformal (1SP)</v>
      </c>
      <c r="I4425" t="str">
        <v>NAD83(2011) / Oregon Warner Highway zone (m)</v>
      </c>
      <c r="J4425" t="str">
        <v>United States (USA) - Oregon - Warner Highway area.</v>
      </c>
      <c r="K4425" s="11">
        <v>0</v>
      </c>
    </row>
    <row r="4426" spans="5:11" x14ac:dyDescent="0.35">
      <c r="E4426" s="9" t="str">
        <v>EPSG</v>
      </c>
      <c r="F4426" s="7" t="str">
        <v>8346</v>
      </c>
      <c r="G4426" t="str">
        <v>ProjectedCrs</v>
      </c>
      <c r="H4426" t="str">
        <v>Lambert Conic Conformal (1SP)</v>
      </c>
      <c r="I4426" t="str">
        <v>NAD83(2011) / Oregon Warner Highway zone (ft)</v>
      </c>
      <c r="J4426" t="str">
        <v>United States (USA) - Oregon - Warner Highway area.</v>
      </c>
      <c r="K4426" s="11">
        <v>0</v>
      </c>
    </row>
    <row r="4427" spans="5:11" x14ac:dyDescent="0.35">
      <c r="E4427" s="9" t="str">
        <v>EPSG</v>
      </c>
      <c r="F4427" s="7" t="str">
        <v>8347</v>
      </c>
      <c r="G4427" t="str">
        <v>ProjectedCrs</v>
      </c>
      <c r="H4427" t="str">
        <v>Transverse Mercator</v>
      </c>
      <c r="I4427" t="str">
        <v>NAD83(2011) / Oregon Willamette Pass zone (m)</v>
      </c>
      <c r="J4427" t="str">
        <v>United States (USA) - Oregon - Willamette Pass area.</v>
      </c>
      <c r="K4427" s="11">
        <v>0</v>
      </c>
    </row>
    <row r="4428" spans="5:11" x14ac:dyDescent="0.35">
      <c r="E4428" s="9" t="str">
        <v>EPSG</v>
      </c>
      <c r="F4428" s="7" t="str">
        <v>8348</v>
      </c>
      <c r="G4428" t="str">
        <v>ProjectedCrs</v>
      </c>
      <c r="H4428" t="str">
        <v>Transverse Mercator</v>
      </c>
      <c r="I4428" t="str">
        <v>NAD83(2011) / Oregon Willamette Pass zone (ft)</v>
      </c>
      <c r="J4428" t="str">
        <v>United States (USA) - Oregon - Willamette Pass area.</v>
      </c>
      <c r="K4428" s="11">
        <v>0</v>
      </c>
    </row>
    <row r="4429" spans="5:11" x14ac:dyDescent="0.35">
      <c r="E4429" s="9" t="str">
        <v>EPSG</v>
      </c>
      <c r="F4429" s="7" t="str">
        <v>8349</v>
      </c>
      <c r="G4429" t="str">
        <v>CompoundCrs</v>
      </c>
      <c r="H4429" t="str">
        <v>&lt;undefined&gt;</v>
      </c>
      <c r="I4429" t="str">
        <v>GR96 + GVR2000 height</v>
      </c>
      <c r="J4429" t="str">
        <v>Greenland - onshore and offshore between 59°N and 84°N and west of 10°W.</v>
      </c>
      <c r="K4429" s="11">
        <v>0</v>
      </c>
    </row>
    <row r="4430" spans="5:11" x14ac:dyDescent="0.35">
      <c r="E4430" s="9" t="str">
        <v>EPSG</v>
      </c>
      <c r="F4430" s="7" t="str">
        <v>8350</v>
      </c>
      <c r="G4430" t="str">
        <v>CompoundCrs</v>
      </c>
      <c r="H4430" t="str">
        <v>&lt;undefined&gt;</v>
      </c>
      <c r="I4430" t="str">
        <v>GR96 + GVR2016 height</v>
      </c>
      <c r="J4430" t="str">
        <v>Greenland - onshore and offshore between 58°N and 85°N and west of 7°W.</v>
      </c>
      <c r="K4430" s="11">
        <v>0</v>
      </c>
    </row>
    <row r="4431" spans="5:11" x14ac:dyDescent="0.35">
      <c r="E4431" s="9" t="str">
        <v>EPSG</v>
      </c>
      <c r="F4431" s="7" t="str">
        <v>8351</v>
      </c>
      <c r="G4431" t="str">
        <v>Geographic2DCrs</v>
      </c>
      <c r="H4431" t="str">
        <v>&lt;undefined&gt;</v>
      </c>
      <c r="I4431" t="str">
        <v>S-JTSK [JTSK03]</v>
      </c>
      <c r="J4431" t="str">
        <v>Slovakia.</v>
      </c>
      <c r="K4431" s="11">
        <v>0</v>
      </c>
    </row>
    <row r="4432" spans="5:11" x14ac:dyDescent="0.35">
      <c r="E4432" s="9" t="str">
        <v>EPSG</v>
      </c>
      <c r="F4432" s="7" t="str">
        <v>8352</v>
      </c>
      <c r="G4432" t="str">
        <v>ProjectedCrs</v>
      </c>
      <c r="H4432" t="str">
        <v>Krovak</v>
      </c>
      <c r="I4432" t="str">
        <v>S-JTSK [JTSK03] / Krovak</v>
      </c>
      <c r="J4432" t="str">
        <v>Slovakia.</v>
      </c>
      <c r="K4432" s="11">
        <v>0</v>
      </c>
    </row>
    <row r="4433" spans="5:11" x14ac:dyDescent="0.35">
      <c r="E4433" s="9" t="str">
        <v>EPSG</v>
      </c>
      <c r="F4433" s="7" t="str">
        <v>8353</v>
      </c>
      <c r="G4433" t="str">
        <v>ProjectedCrs</v>
      </c>
      <c r="H4433" t="str">
        <v>Krovak (North Orientated)</v>
      </c>
      <c r="I4433" t="str">
        <v>S-JTSK [JTSK03] / Krovak East North</v>
      </c>
      <c r="J4433" t="str">
        <v>Slovakia.</v>
      </c>
      <c r="K4433" s="11">
        <v>0</v>
      </c>
    </row>
    <row r="4434" spans="5:11" x14ac:dyDescent="0.35">
      <c r="E4434" s="9" t="str">
        <v>EPSG</v>
      </c>
      <c r="F4434" s="7" t="str">
        <v>8357</v>
      </c>
      <c r="G4434" t="str">
        <v>VerticalCrs</v>
      </c>
      <c r="H4434" t="str">
        <v>&lt;undefined&gt;</v>
      </c>
      <c r="I4434" t="str">
        <v>Baltic 1957 height</v>
      </c>
      <c r="J4434" t="str">
        <v>Czechia; Slovakia.</v>
      </c>
      <c r="K4434" s="11">
        <v>0</v>
      </c>
    </row>
    <row r="4435" spans="5:11" x14ac:dyDescent="0.35">
      <c r="E4435" s="9" t="str">
        <v>EPSG</v>
      </c>
      <c r="F4435" s="7" t="str">
        <v>8358</v>
      </c>
      <c r="G4435" t="str">
        <v>VerticalCrs</v>
      </c>
      <c r="H4435" t="str">
        <v>&lt;undefined&gt;</v>
      </c>
      <c r="I4435" t="str">
        <v>Baltic 1957 depth</v>
      </c>
      <c r="J4435" t="str">
        <v>Czechia; Slovakia.</v>
      </c>
      <c r="K4435" s="11">
        <v>0</v>
      </c>
    </row>
    <row r="4436" spans="5:11" x14ac:dyDescent="0.35">
      <c r="E4436" s="9" t="str">
        <v>EPSG</v>
      </c>
      <c r="F4436" s="7" t="str">
        <v>8360</v>
      </c>
      <c r="G4436" t="str">
        <v>CompoundCrs</v>
      </c>
      <c r="H4436" t="str">
        <v>&lt;undefined&gt;</v>
      </c>
      <c r="I4436" t="str">
        <v>ETRS89 + Baltic 1957 height</v>
      </c>
      <c r="J4436" t="str">
        <v>Czechia; Slovakia.</v>
      </c>
      <c r="K4436" s="11">
        <v>0</v>
      </c>
    </row>
    <row r="4437" spans="5:11" x14ac:dyDescent="0.35">
      <c r="E4437" s="9" t="str">
        <v>EPSG</v>
      </c>
      <c r="F4437" s="7" t="str">
        <v>8370</v>
      </c>
      <c r="G4437" t="str">
        <v>CompoundCrs</v>
      </c>
      <c r="H4437" t="str">
        <v>&lt;undefined&gt;</v>
      </c>
      <c r="I4437" t="str">
        <v>ETRS89 / Belgian Lambert 2008 + Ostend height</v>
      </c>
      <c r="J4437" t="str">
        <v>Belgium - onshore.</v>
      </c>
      <c r="K4437" s="11">
        <v>0</v>
      </c>
    </row>
    <row r="4438" spans="5:11" x14ac:dyDescent="0.35">
      <c r="E4438" s="9" t="str">
        <v>EPSG</v>
      </c>
      <c r="F4438" s="7" t="str">
        <v>8378</v>
      </c>
      <c r="G4438" t="str">
        <v>VerticalCrs</v>
      </c>
      <c r="H4438" t="str">
        <v>&lt;undefined&gt;</v>
      </c>
      <c r="I4438" t="str">
        <v>EPSG example wellbore local vertical CRS</v>
      </c>
      <c r="J4438" t="str">
        <v>Description of the extent of the CRS.</v>
      </c>
      <c r="K4438" s="11">
        <v>0</v>
      </c>
    </row>
    <row r="4439" spans="5:11" x14ac:dyDescent="0.35">
      <c r="E4439" s="9" t="str">
        <v>EPSG</v>
      </c>
      <c r="F4439" s="7" t="str">
        <v>8379</v>
      </c>
      <c r="G4439" t="str">
        <v>ProjectedCrs</v>
      </c>
      <c r="H4439" t="str">
        <v>Transverse Mercator</v>
      </c>
      <c r="I4439" t="str">
        <v>NAD83 / NCRS Las Vegas (m)</v>
      </c>
      <c r="J4439" t="str">
        <v>United States (USA) - Nevada - Las Vegas area below approximately 3000 feet.</v>
      </c>
      <c r="K4439" s="11">
        <v>0</v>
      </c>
    </row>
    <row r="4440" spans="5:11" x14ac:dyDescent="0.35">
      <c r="E4440" s="9" t="str">
        <v>EPSG</v>
      </c>
      <c r="F4440" s="7" t="str">
        <v>8380</v>
      </c>
      <c r="G4440" t="str">
        <v>ProjectedCrs</v>
      </c>
      <c r="H4440" t="str">
        <v>Transverse Mercator</v>
      </c>
      <c r="I4440" t="str">
        <v>NAD83 / NCRS Las Vegas (ftUS)</v>
      </c>
      <c r="J4440" t="str">
        <v>United States (USA) - Nevada - Las Vegas area below approximately 3000 feet.</v>
      </c>
      <c r="K4440" s="11">
        <v>0</v>
      </c>
    </row>
    <row r="4441" spans="5:11" x14ac:dyDescent="0.35">
      <c r="E4441" s="9" t="str">
        <v>EPSG</v>
      </c>
      <c r="F4441" s="7" t="str">
        <v>8381</v>
      </c>
      <c r="G4441" t="str">
        <v>ProjectedCrs</v>
      </c>
      <c r="H4441" t="str">
        <v>Transverse Mercator</v>
      </c>
      <c r="I4441" t="str">
        <v>NAD83 / NCRS Las Vegas high (m)</v>
      </c>
      <c r="J4441" t="str">
        <v>United States (USA) - Nevada - Las Vegas area above approximately 2850 feet.</v>
      </c>
      <c r="K4441" s="11">
        <v>0</v>
      </c>
    </row>
    <row r="4442" spans="5:11" x14ac:dyDescent="0.35">
      <c r="E4442" s="9" t="str">
        <v>EPSG</v>
      </c>
      <c r="F4442" s="7" t="str">
        <v>8382</v>
      </c>
      <c r="G4442" t="str">
        <v>ProjectedCrs</v>
      </c>
      <c r="H4442" t="str">
        <v>Transverse Mercator</v>
      </c>
      <c r="I4442" t="str">
        <v>NAD83 / NCRS Las Vegas high (ftUS)</v>
      </c>
      <c r="J4442" t="str">
        <v>United States (USA) - Nevada - Las Vegas area above approximately 2850 feet.</v>
      </c>
      <c r="K4442" s="11">
        <v>0</v>
      </c>
    </row>
    <row r="4443" spans="5:11" x14ac:dyDescent="0.35">
      <c r="E4443" s="9" t="str">
        <v>EPSG</v>
      </c>
      <c r="F4443" s="7" t="str">
        <v>8383</v>
      </c>
      <c r="G4443" t="str">
        <v>ProjectedCrs</v>
      </c>
      <c r="H4443" t="str">
        <v>Transverse Mercator</v>
      </c>
      <c r="I4443" t="str">
        <v>NAD83(2011) / NCRS Las Vegas (m)</v>
      </c>
      <c r="J4443" t="str">
        <v>United States (USA) - Nevada - Las Vegas area below approximately 3000 feet.</v>
      </c>
      <c r="K4443" s="11">
        <v>0</v>
      </c>
    </row>
    <row r="4444" spans="5:11" x14ac:dyDescent="0.35">
      <c r="E4444" s="9" t="str">
        <v>EPSG</v>
      </c>
      <c r="F4444" s="7" t="str">
        <v>8384</v>
      </c>
      <c r="G4444" t="str">
        <v>ProjectedCrs</v>
      </c>
      <c r="H4444" t="str">
        <v>Transverse Mercator</v>
      </c>
      <c r="I4444" t="str">
        <v>NAD83(2011) / NCRS Las Vegas (ftUS)</v>
      </c>
      <c r="J4444" t="str">
        <v>United States (USA) - Nevada - Las Vegas area below approximately 3000 feet.</v>
      </c>
      <c r="K4444" s="11">
        <v>0</v>
      </c>
    </row>
    <row r="4445" spans="5:11" x14ac:dyDescent="0.35">
      <c r="E4445" s="9" t="str">
        <v>EPSG</v>
      </c>
      <c r="F4445" s="7" t="str">
        <v>8385</v>
      </c>
      <c r="G4445" t="str">
        <v>ProjectedCrs</v>
      </c>
      <c r="H4445" t="str">
        <v>Transverse Mercator</v>
      </c>
      <c r="I4445" t="str">
        <v>NAD83(2011) / NCRS Las Vegas high (m)</v>
      </c>
      <c r="J4445" t="str">
        <v>United States (USA) - Nevada - Las Vegas area above approximately 2850 feet.</v>
      </c>
      <c r="K4445" s="11">
        <v>0</v>
      </c>
    </row>
    <row r="4446" spans="5:11" x14ac:dyDescent="0.35">
      <c r="E4446" s="9" t="str">
        <v>EPSG</v>
      </c>
      <c r="F4446" s="7" t="str">
        <v>8387</v>
      </c>
      <c r="G4446" t="str">
        <v>ProjectedCrs</v>
      </c>
      <c r="H4446" t="str">
        <v>Transverse Mercator</v>
      </c>
      <c r="I4446" t="str">
        <v>NAD83(2011) / NCRS Las Vegas high (ftUS)</v>
      </c>
      <c r="J4446" t="str">
        <v>United States (USA) - Nevada - Las Vegas area above approximately 2850 feet.</v>
      </c>
      <c r="K4446" s="11">
        <v>0</v>
      </c>
    </row>
    <row r="4447" spans="5:11" x14ac:dyDescent="0.35">
      <c r="E4447" s="9" t="str">
        <v>EPSG</v>
      </c>
      <c r="F4447" s="7" t="str">
        <v>8391</v>
      </c>
      <c r="G4447" t="str">
        <v>ProjectedCrs</v>
      </c>
      <c r="H4447" t="str">
        <v>Transverse Mercator</v>
      </c>
      <c r="I4447" t="str">
        <v>GDA94 / WEIPA94</v>
      </c>
      <c r="J4447" t="str">
        <v>Australia - Queensland - Weipa area between 141°30'E and 142°30'E.</v>
      </c>
      <c r="K4447" s="11">
        <v>0</v>
      </c>
    </row>
    <row r="4448" spans="5:11" x14ac:dyDescent="0.35">
      <c r="E4448" s="9" t="str">
        <v>EPSG</v>
      </c>
      <c r="F4448" s="7" t="str">
        <v>8395</v>
      </c>
      <c r="G4448" t="str">
        <v>ProjectedCrs</v>
      </c>
      <c r="H4448" t="str">
        <v>Transverse Mercator</v>
      </c>
      <c r="I4448" t="str">
        <v>ETRS89 / Gauss-Kruger CM 9E</v>
      </c>
      <c r="J4448" t="str">
        <v>Germany - Hamburg, including Neuwerk, Nigehörn, Scharhörn and surrounding maritime area.</v>
      </c>
      <c r="K4448" s="11">
        <v>0</v>
      </c>
    </row>
    <row r="4449" spans="5:11" x14ac:dyDescent="0.35">
      <c r="E4449" s="9" t="str">
        <v>EPSG</v>
      </c>
      <c r="F4449" s="7" t="str">
        <v>8397</v>
      </c>
      <c r="G4449" t="str">
        <v>GeocentricCrs</v>
      </c>
      <c r="H4449" t="str">
        <v>&lt;undefined&gt;</v>
      </c>
      <c r="I4449" t="str">
        <v>ETRF2005</v>
      </c>
      <c r="J4449" t="str">
        <v>Europe - onshore and offshore - ETRF extent - approximately 16°W to 33°E and 33°N to 84°N.</v>
      </c>
      <c r="K4449" s="11">
        <v>0</v>
      </c>
    </row>
    <row r="4450" spans="5:11" x14ac:dyDescent="0.35">
      <c r="E4450" s="9" t="str">
        <v>EPSG</v>
      </c>
      <c r="F4450" s="7" t="str">
        <v>8399</v>
      </c>
      <c r="G4450" t="str">
        <v>Geographic3DCrs</v>
      </c>
      <c r="H4450" t="str">
        <v>&lt;undefined&gt;</v>
      </c>
      <c r="I4450" t="str">
        <v>ETRF2005</v>
      </c>
      <c r="J4450" t="str">
        <v>Europe - onshore and offshore - ETRF extent - approximately 16°W to 33°E and 33°N to 84°N.</v>
      </c>
      <c r="K4450" s="11">
        <v>0</v>
      </c>
    </row>
    <row r="4451" spans="5:11" x14ac:dyDescent="0.35">
      <c r="E4451" s="9" t="str">
        <v>EPSG</v>
      </c>
      <c r="F4451" s="7" t="str">
        <v>8401</v>
      </c>
      <c r="G4451" t="str">
        <v>GeocentricCrs</v>
      </c>
      <c r="H4451" t="str">
        <v>&lt;undefined&gt;</v>
      </c>
      <c r="I4451" t="str">
        <v>ETRF2014</v>
      </c>
      <c r="J4451" t="str">
        <v>Europe - onshore and offshore - ETRF extent - approximately 16°W to 33°E and 33°N to 84°N.</v>
      </c>
      <c r="K4451" s="11">
        <v>0</v>
      </c>
    </row>
    <row r="4452" spans="5:11" x14ac:dyDescent="0.35">
      <c r="E4452" s="9" t="str">
        <v>EPSG</v>
      </c>
      <c r="F4452" s="7" t="str">
        <v>8403</v>
      </c>
      <c r="G4452" t="str">
        <v>Geographic3DCrs</v>
      </c>
      <c r="H4452" t="str">
        <v>&lt;undefined&gt;</v>
      </c>
      <c r="I4452" t="str">
        <v>ETRF2014</v>
      </c>
      <c r="J4452" t="str">
        <v>Europe - onshore and offshore - ETRF extent - approximately 16°W to 33°E and 33°N to 84°N.</v>
      </c>
      <c r="K4452" s="11">
        <v>0</v>
      </c>
    </row>
    <row r="4453" spans="5:11" x14ac:dyDescent="0.35">
      <c r="E4453" s="9" t="str">
        <v>EPSG</v>
      </c>
      <c r="F4453" s="7" t="str">
        <v>8425</v>
      </c>
      <c r="G4453" t="str">
        <v>GeocentricCrs</v>
      </c>
      <c r="H4453" t="str">
        <v>&lt;undefined&gt;</v>
      </c>
      <c r="I4453" t="str">
        <v>Hong Kong Geodetic CS</v>
      </c>
      <c r="J4453" t="str">
        <v>China - Hong Kong - onshore and offshore.</v>
      </c>
      <c r="K4453" s="11">
        <v>0</v>
      </c>
    </row>
    <row r="4454" spans="5:11" x14ac:dyDescent="0.35">
      <c r="E4454" s="9" t="str">
        <v>EPSG</v>
      </c>
      <c r="F4454" s="7" t="str">
        <v>8426</v>
      </c>
      <c r="G4454" t="str">
        <v>Geographic3DCrs</v>
      </c>
      <c r="H4454" t="str">
        <v>&lt;undefined&gt;</v>
      </c>
      <c r="I4454" t="str">
        <v>Hong Kong Geodetic CS</v>
      </c>
      <c r="J4454" t="str">
        <v>China - Hong Kong - onshore and offshore.</v>
      </c>
      <c r="K4454" s="11">
        <v>0</v>
      </c>
    </row>
    <row r="4455" spans="5:11" x14ac:dyDescent="0.35">
      <c r="E4455" s="9" t="str">
        <v>EPSG</v>
      </c>
      <c r="F4455" s="7" t="str">
        <v>8427</v>
      </c>
      <c r="G4455" t="str">
        <v>Geographic2DCrs</v>
      </c>
      <c r="H4455" t="str">
        <v>&lt;undefined&gt;</v>
      </c>
      <c r="I4455" t="str">
        <v>Hong Kong Geodetic CS</v>
      </c>
      <c r="J4455" t="str">
        <v>China - Hong Kong - onshore and offshore.</v>
      </c>
      <c r="K4455" s="11">
        <v>0</v>
      </c>
    </row>
    <row r="4456" spans="5:11" x14ac:dyDescent="0.35">
      <c r="E4456" s="9" t="str">
        <v>EPSG</v>
      </c>
      <c r="F4456" s="7" t="str">
        <v>8428</v>
      </c>
      <c r="G4456" t="str">
        <v>Geographic2DCrs</v>
      </c>
      <c r="H4456" t="str">
        <v>&lt;undefined&gt;</v>
      </c>
      <c r="I4456" t="str">
        <v>Macao 1920</v>
      </c>
      <c r="J4456" t="str">
        <v>China - Macao - onshore and offshore.</v>
      </c>
      <c r="K4456" s="11">
        <v>0</v>
      </c>
    </row>
    <row r="4457" spans="5:11" x14ac:dyDescent="0.35">
      <c r="E4457" s="9" t="str">
        <v>EPSG</v>
      </c>
      <c r="F4457" s="7" t="str">
        <v>8429</v>
      </c>
      <c r="G4457" t="str">
        <v>GeocentricCrs</v>
      </c>
      <c r="H4457" t="str">
        <v>&lt;undefined&gt;</v>
      </c>
      <c r="I4457" t="str">
        <v>Macao 2008</v>
      </c>
      <c r="J4457" t="str">
        <v>China - Macao - onshore and offshore.</v>
      </c>
      <c r="K4457" s="11">
        <v>0</v>
      </c>
    </row>
    <row r="4458" spans="5:11" x14ac:dyDescent="0.35">
      <c r="E4458" s="9" t="str">
        <v>EPSG</v>
      </c>
      <c r="F4458" s="7" t="str">
        <v>8430</v>
      </c>
      <c r="G4458" t="str">
        <v>Geographic3DCrs</v>
      </c>
      <c r="H4458" t="str">
        <v>&lt;undefined&gt;</v>
      </c>
      <c r="I4458" t="str">
        <v>Macao 2008</v>
      </c>
      <c r="J4458" t="str">
        <v>China - Macao - onshore and offshore.</v>
      </c>
      <c r="K4458" s="11">
        <v>0</v>
      </c>
    </row>
    <row r="4459" spans="5:11" x14ac:dyDescent="0.35">
      <c r="E4459" s="9" t="str">
        <v>EPSG</v>
      </c>
      <c r="F4459" s="7" t="str">
        <v>8431</v>
      </c>
      <c r="G4459" t="str">
        <v>Geographic2DCrs</v>
      </c>
      <c r="H4459" t="str">
        <v>&lt;undefined&gt;</v>
      </c>
      <c r="I4459" t="str">
        <v>Macao 2008</v>
      </c>
      <c r="J4459" t="str">
        <v>China - Macao - onshore and offshore.</v>
      </c>
      <c r="K4459" s="11">
        <v>0</v>
      </c>
    </row>
    <row r="4460" spans="5:11" x14ac:dyDescent="0.35">
      <c r="E4460" s="9" t="str">
        <v>EPSG</v>
      </c>
      <c r="F4460" s="7" t="str">
        <v>8433</v>
      </c>
      <c r="G4460" t="str">
        <v>ProjectedCrs</v>
      </c>
      <c r="H4460" t="str">
        <v>Transverse Mercator</v>
      </c>
      <c r="I4460" t="str">
        <v>Macao 1920 / Macao Grid</v>
      </c>
      <c r="J4460" t="str">
        <v>China - Macao - onshore and offshore.</v>
      </c>
      <c r="K4460" s="11">
        <v>0</v>
      </c>
    </row>
    <row r="4461" spans="5:11" x14ac:dyDescent="0.35">
      <c r="E4461" s="9" t="str">
        <v>EPSG</v>
      </c>
      <c r="F4461" s="7" t="str">
        <v>8434</v>
      </c>
      <c r="G4461" t="str">
        <v>VerticalCrs</v>
      </c>
      <c r="H4461" t="str">
        <v>&lt;undefined&gt;</v>
      </c>
      <c r="I4461" t="str">
        <v>Macao height</v>
      </c>
      <c r="J4461" t="str">
        <v>China - Macao - onshore and offshore.</v>
      </c>
      <c r="K4461" s="11">
        <v>0</v>
      </c>
    </row>
    <row r="4462" spans="5:11" x14ac:dyDescent="0.35">
      <c r="E4462" s="9" t="str">
        <v>EPSG</v>
      </c>
      <c r="F4462" s="7" t="str">
        <v>8441</v>
      </c>
      <c r="G4462" t="str">
        <v>ProjectedCrs</v>
      </c>
      <c r="H4462" t="str">
        <v>Laborde Oblique Mercator</v>
      </c>
      <c r="I4462" t="str">
        <v>Tananarive / Laborde Grid</v>
      </c>
      <c r="J4462" t="str">
        <v>Madagascar - onshore.</v>
      </c>
      <c r="K4462" s="11">
        <v>0</v>
      </c>
    </row>
    <row r="4463" spans="5:11" x14ac:dyDescent="0.35">
      <c r="E4463" s="9" t="str">
        <v>EPSG</v>
      </c>
      <c r="F4463" s="7" t="str">
        <v>8455</v>
      </c>
      <c r="G4463" t="str">
        <v>ProjectedCrs</v>
      </c>
      <c r="H4463" t="str">
        <v>Transverse Mercator</v>
      </c>
      <c r="I4463" t="str">
        <v>RGTAAF07 / UTM zone 53S</v>
      </c>
      <c r="J4463" t="str">
        <v>Antarctica - Adelie Land - coastal area between 136°E and 138°E.</v>
      </c>
      <c r="K4463" s="11">
        <v>0</v>
      </c>
    </row>
    <row r="4464" spans="5:11" x14ac:dyDescent="0.35">
      <c r="E4464" s="9" t="str">
        <v>EPSG</v>
      </c>
      <c r="F4464" s="7" t="str">
        <v>8456</v>
      </c>
      <c r="G4464" t="str">
        <v>ProjectedCrs</v>
      </c>
      <c r="H4464" t="str">
        <v>Transverse Mercator</v>
      </c>
      <c r="I4464" t="str">
        <v>RGTAAF07 / UTM zone 54S</v>
      </c>
      <c r="J4464" t="str">
        <v>Antarctica - Adelie Land - coastal area between 138°E and 142°E.</v>
      </c>
      <c r="K4464" s="11">
        <v>0</v>
      </c>
    </row>
    <row r="4465" spans="5:11" x14ac:dyDescent="0.35">
      <c r="E4465" s="9" t="str">
        <v>EPSG</v>
      </c>
      <c r="F4465" s="7" t="str">
        <v>8518</v>
      </c>
      <c r="G4465" t="str">
        <v>ProjectedCrs</v>
      </c>
      <c r="H4465" t="str">
        <v>Transverse Mercator</v>
      </c>
      <c r="I4465" t="str">
        <v>NAD83(2011) / KS RCS zone 1</v>
      </c>
      <c r="J4465" t="str">
        <v>United States (USA) - Kansas - counties of Cheyenne; Sherman; Wallace.</v>
      </c>
      <c r="K4465" s="11">
        <v>0</v>
      </c>
    </row>
    <row r="4466" spans="5:11" x14ac:dyDescent="0.35">
      <c r="E4466" s="9" t="str">
        <v>EPSG</v>
      </c>
      <c r="F4466" s="7" t="str">
        <v>8519</v>
      </c>
      <c r="G4466" t="str">
        <v>ProjectedCrs</v>
      </c>
      <c r="H4466" t="str">
        <v>Transverse Mercator</v>
      </c>
      <c r="I4466" t="str">
        <v>NAD83(2011) / KS RCS zone 2</v>
      </c>
      <c r="J4466" t="str">
        <v>United States (USA) - Kansas - counties of Logan; Rawlins; Thomas.</v>
      </c>
      <c r="K4466" s="11">
        <v>0</v>
      </c>
    </row>
    <row r="4467" spans="5:11" x14ac:dyDescent="0.35">
      <c r="E4467" s="9" t="str">
        <v>EPSG</v>
      </c>
      <c r="F4467" s="7" t="str">
        <v>8520</v>
      </c>
      <c r="G4467" t="str">
        <v>ProjectedCrs</v>
      </c>
      <c r="H4467" t="str">
        <v>Transverse Mercator</v>
      </c>
      <c r="I4467" t="str">
        <v>NAD83(2011) / KS RCS zone 3</v>
      </c>
      <c r="J4467" t="str">
        <v>United States (USA) - Kansas - counties of Decatur; Gove; Sheridan.</v>
      </c>
      <c r="K4467" s="11">
        <v>0</v>
      </c>
    </row>
    <row r="4468" spans="5:11" x14ac:dyDescent="0.35">
      <c r="E4468" s="9" t="str">
        <v>EPSG</v>
      </c>
      <c r="F4468" s="7" t="str">
        <v>8521</v>
      </c>
      <c r="G4468" t="str">
        <v>ProjectedCrs</v>
      </c>
      <c r="H4468" t="str">
        <v>Transverse Mercator</v>
      </c>
      <c r="I4468" t="str">
        <v>NAD83(2011) / KS RCS zone 4</v>
      </c>
      <c r="J4468" t="str">
        <v>United States (USA) - Kansas - counties of Ellis; Graham; Norton; Phillips; Rooks; Trego.</v>
      </c>
      <c r="K4468" s="11">
        <v>0</v>
      </c>
    </row>
    <row r="4469" spans="5:11" x14ac:dyDescent="0.35">
      <c r="E4469" s="9" t="str">
        <v>EPSG</v>
      </c>
      <c r="F4469" s="7" t="str">
        <v>8522</v>
      </c>
      <c r="G4469" t="str">
        <v>ProjectedCrs</v>
      </c>
      <c r="H4469" t="str">
        <v>Transverse Mercator</v>
      </c>
      <c r="I4469" t="str">
        <v>NAD83(2011) / KS RCS zone 5</v>
      </c>
      <c r="J4469" t="str">
        <v>United States (USA) - Kansas - counties of Barton; Osborne; Russell; Smith.</v>
      </c>
      <c r="K4469" s="11">
        <v>0</v>
      </c>
    </row>
    <row r="4470" spans="5:11" x14ac:dyDescent="0.35">
      <c r="E4470" s="9" t="str">
        <v>EPSG</v>
      </c>
      <c r="F4470" s="7" t="str">
        <v>8523</v>
      </c>
      <c r="G4470" t="str">
        <v>ProjectedCrs</v>
      </c>
      <c r="H4470" t="str">
        <v>Transverse Mercator</v>
      </c>
      <c r="I4470" t="str">
        <v>NAD83(2011) / KS RCS zone 6</v>
      </c>
      <c r="J4470" t="str">
        <v>United States (USA) - Kansas - counties of Ellsworth; Jewell; Lincoln; Mitchell; Rice.</v>
      </c>
      <c r="K4470" s="11">
        <v>0</v>
      </c>
    </row>
    <row r="4471" spans="5:11" x14ac:dyDescent="0.35">
      <c r="E4471" s="9" t="str">
        <v>EPSG</v>
      </c>
      <c r="F4471" s="7" t="str">
        <v>8524</v>
      </c>
      <c r="G4471" t="str">
        <v>ProjectedCrs</v>
      </c>
      <c r="H4471" t="str">
        <v>Transverse Mercator</v>
      </c>
      <c r="I4471" t="str">
        <v>NAD83(2011) / KS RCS zone 7</v>
      </c>
      <c r="J4471" t="str">
        <v>United States (USA) - Kansas - counties of Clay; Cloud; Dickinson; Marion; McPherson; Ottawa; Republic; Saline; Washington.</v>
      </c>
      <c r="K4471" s="11">
        <v>0</v>
      </c>
    </row>
    <row r="4472" spans="5:11" x14ac:dyDescent="0.35">
      <c r="E4472" s="9" t="str">
        <v>EPSG</v>
      </c>
      <c r="F4472" s="7" t="str">
        <v>8525</v>
      </c>
      <c r="G4472" t="str">
        <v>ProjectedCrs</v>
      </c>
      <c r="H4472" t="str">
        <v>Lambert Conic Conformal (1SP)</v>
      </c>
      <c r="I4472" t="str">
        <v>NAD83(2011) / KS RCS zone 8</v>
      </c>
      <c r="J4472" t="str">
        <v>United States (USA) - Kansas - counties of Geary; Pottawatomie; Riley; Wabaunsee.</v>
      </c>
      <c r="K4472" s="11">
        <v>0</v>
      </c>
    </row>
    <row r="4473" spans="5:11" x14ac:dyDescent="0.35">
      <c r="E4473" s="9" t="str">
        <v>EPSG</v>
      </c>
      <c r="F4473" s="7" t="str">
        <v>8526</v>
      </c>
      <c r="G4473" t="str">
        <v>ProjectedCrs</v>
      </c>
      <c r="H4473" t="str">
        <v>Lambert Conic Conformal (1SP)</v>
      </c>
      <c r="I4473" t="str">
        <v>NAD83(2011) / KS RCS zone 9</v>
      </c>
      <c r="J4473" t="str">
        <v>United States (USA) - Kansas - counties of Chase; Lyon; Morris.</v>
      </c>
      <c r="K4473" s="11">
        <v>0</v>
      </c>
    </row>
    <row r="4474" spans="5:11" x14ac:dyDescent="0.35">
      <c r="E4474" s="9" t="str">
        <v>EPSG</v>
      </c>
      <c r="F4474" s="7" t="str">
        <v>8527</v>
      </c>
      <c r="G4474" t="str">
        <v>ProjectedCrs</v>
      </c>
      <c r="H4474" t="str">
        <v>Lambert Conic Conformal (1SP)</v>
      </c>
      <c r="I4474" t="str">
        <v>NAD83(2011) / KS RCS zone 10</v>
      </c>
      <c r="J4474" t="str">
        <v>United States (USA) - Kansas - counties of Atchison; Brown; Doniphan; Jackson; Marshall; Nemaha.</v>
      </c>
      <c r="K4474" s="11">
        <v>0</v>
      </c>
    </row>
    <row r="4475" spans="5:11" x14ac:dyDescent="0.35">
      <c r="E4475" s="9" t="str">
        <v>EPSG</v>
      </c>
      <c r="F4475" s="7" t="str">
        <v>8528</v>
      </c>
      <c r="G4475" t="str">
        <v>ProjectedCrs</v>
      </c>
      <c r="H4475" t="str">
        <v>Lambert Conic Conformal (1SP)</v>
      </c>
      <c r="I4475" t="str">
        <v>NAD83(2011) / KS RCS zone 11</v>
      </c>
      <c r="J4475" t="str">
        <v>United States (USA) - Kansas - counties of Douglas; Jefferson; Johnson; Leavenworth; Shawnee; Wyandotte.</v>
      </c>
      <c r="K4475" s="11">
        <v>0</v>
      </c>
    </row>
    <row r="4476" spans="5:11" x14ac:dyDescent="0.35">
      <c r="E4476" s="9" t="str">
        <v>EPSG</v>
      </c>
      <c r="F4476" s="7" t="str">
        <v>8529</v>
      </c>
      <c r="G4476" t="str">
        <v>ProjectedCrs</v>
      </c>
      <c r="H4476" t="str">
        <v>Transverse Mercator</v>
      </c>
      <c r="I4476" t="str">
        <v>NAD83(2011) / KS RCS zone 12</v>
      </c>
      <c r="J4476" t="str">
        <v>United States (USA) - Kansas - counties of Grant; Greeley; Hamilton; Kearny; Morton; Stanton; Stevens; Wichita.</v>
      </c>
      <c r="K4476" s="11">
        <v>0</v>
      </c>
    </row>
    <row r="4477" spans="5:11" x14ac:dyDescent="0.35">
      <c r="E4477" s="9" t="str">
        <v>EPSG</v>
      </c>
      <c r="F4477" s="7" t="str">
        <v>8531</v>
      </c>
      <c r="G4477" t="str">
        <v>ProjectedCrs</v>
      </c>
      <c r="H4477" t="str">
        <v>Transverse Mercator</v>
      </c>
      <c r="I4477" t="str">
        <v>NAD83(2011) / KS RCS zone 13</v>
      </c>
      <c r="J4477" t="str">
        <v>United States (USA) - Kansas - counties of Finney; Gray; Haskell; Lane; Meade; Scott; Seward.</v>
      </c>
      <c r="K4477" s="11">
        <v>0</v>
      </c>
    </row>
    <row r="4478" spans="5:11" x14ac:dyDescent="0.35">
      <c r="E4478" s="9" t="str">
        <v>EPSG</v>
      </c>
      <c r="F4478" s="7" t="str">
        <v>8533</v>
      </c>
      <c r="G4478" t="str">
        <v>ProjectedCrs</v>
      </c>
      <c r="H4478" t="str">
        <v>Transverse Mercator</v>
      </c>
      <c r="I4478" t="str">
        <v>NAD83(2011) / KS RCS zone 14</v>
      </c>
      <c r="J4478" t="str">
        <v>United States (USA) - Kansas - counties of Clark; Ford; Hodgeman; Ness.</v>
      </c>
      <c r="K4478" s="11">
        <v>0</v>
      </c>
    </row>
    <row r="4479" spans="5:11" x14ac:dyDescent="0.35">
      <c r="E4479" s="9" t="str">
        <v>EPSG</v>
      </c>
      <c r="F4479" s="7" t="str">
        <v>8534</v>
      </c>
      <c r="G4479" t="str">
        <v>ProjectedCrs</v>
      </c>
      <c r="H4479" t="str">
        <v>Transverse Mercator</v>
      </c>
      <c r="I4479" t="str">
        <v>NAD83(2011) / KS RCS zone 15</v>
      </c>
      <c r="J4479" t="str">
        <v>United States (USA) - Kansas - counties of Comanche; Edwards; Kiowa; Pawnee; Rush.</v>
      </c>
      <c r="K4479" s="11">
        <v>0</v>
      </c>
    </row>
    <row r="4480" spans="5:11" x14ac:dyDescent="0.35">
      <c r="E4480" s="9" t="str">
        <v>EPSG</v>
      </c>
      <c r="F4480" s="7" t="str">
        <v>8535</v>
      </c>
      <c r="G4480" t="str">
        <v>ProjectedCrs</v>
      </c>
      <c r="H4480" t="str">
        <v>Transverse Mercator</v>
      </c>
      <c r="I4480" t="str">
        <v>NAD83(2011) / KS RCS zone 16</v>
      </c>
      <c r="J4480" t="str">
        <v>United States (USA) - Kansas - counties of Barber; Pratt; Stafford.</v>
      </c>
      <c r="K4480" s="11">
        <v>0</v>
      </c>
    </row>
    <row r="4481" spans="5:11" x14ac:dyDescent="0.35">
      <c r="E4481" s="9" t="str">
        <v>EPSG</v>
      </c>
      <c r="F4481" s="7" t="str">
        <v>8536</v>
      </c>
      <c r="G4481" t="str">
        <v>ProjectedCrs</v>
      </c>
      <c r="H4481" t="str">
        <v>Lambert Conic Conformal (1SP)</v>
      </c>
      <c r="I4481" t="str">
        <v>NAD83(2011) / KS RCS zone 17</v>
      </c>
      <c r="J4481" t="str">
        <v>United States (USA) - Kansas - counties of Butler; Harvey; Kingman; Reno; Sedgwick.</v>
      </c>
      <c r="K4481" s="11">
        <v>0</v>
      </c>
    </row>
    <row r="4482" spans="5:11" x14ac:dyDescent="0.35">
      <c r="E4482" s="9" t="str">
        <v>EPSG</v>
      </c>
      <c r="F4482" s="7" t="str">
        <v>8538</v>
      </c>
      <c r="G4482" t="str">
        <v>ProjectedCrs</v>
      </c>
      <c r="H4482" t="str">
        <v>Lambert Conic Conformal (1SP)</v>
      </c>
      <c r="I4482" t="str">
        <v>NAD83(2011) / KS RCS zone 18</v>
      </c>
      <c r="J4482" t="str">
        <v>United States (USA) - Kansas - counties of Cowley; Harper; Sumner.</v>
      </c>
      <c r="K4482" s="11">
        <v>0</v>
      </c>
    </row>
    <row r="4483" spans="5:11" x14ac:dyDescent="0.35">
      <c r="E4483" s="9" t="str">
        <v>EPSG</v>
      </c>
      <c r="F4483" s="7" t="str">
        <v>8539</v>
      </c>
      <c r="G4483" t="str">
        <v>ProjectedCrs</v>
      </c>
      <c r="H4483" t="str">
        <v>Transverse Mercator</v>
      </c>
      <c r="I4483" t="str">
        <v>NAD83(2011) / KS RCS zone 19</v>
      </c>
      <c r="J4483" t="str">
        <v>United States (USA) - Kansas - counties of Chautauqua; Coffey; Elk; Greenwood; Montgomery; Osage; Wilson; Woodson.</v>
      </c>
      <c r="K4483" s="11">
        <v>0</v>
      </c>
    </row>
    <row r="4484" spans="5:11" x14ac:dyDescent="0.35">
      <c r="E4484" s="9" t="str">
        <v>EPSG</v>
      </c>
      <c r="F4484" s="7" t="str">
        <v>8540</v>
      </c>
      <c r="G4484" t="str">
        <v>ProjectedCrs</v>
      </c>
      <c r="H4484" t="str">
        <v>Transverse Mercator</v>
      </c>
      <c r="I4484" t="str">
        <v>NAD83(2011) / KS RCS zone 20</v>
      </c>
      <c r="J4484" t="str">
        <v>United States (USA) - Kansas - counties of Allen; Anderson; Bourbon; Cherokee; Crawford; Franklin; Labette; Linn; Miami; Neosho.</v>
      </c>
      <c r="K4484" s="11">
        <v>0</v>
      </c>
    </row>
    <row r="4485" spans="5:11" x14ac:dyDescent="0.35">
      <c r="E4485" s="9" t="str">
        <v>EPSG</v>
      </c>
      <c r="F4485" s="7" t="str">
        <v>8541</v>
      </c>
      <c r="G4485" t="str">
        <v>GeocentricCrs</v>
      </c>
      <c r="H4485" t="str">
        <v>&lt;undefined&gt;</v>
      </c>
      <c r="I4485" t="str">
        <v>NAD83(FBN)</v>
      </c>
      <c r="J4485" t="str">
        <v>American Samoa - Tutuila, Aunu'u, Ofu, Olesega, Ta'u and Rose islands - onshore. Guam - onshore. Northern Mariana Islands - onshore. Puerto Rico - onshore. United States (USA) - CONUS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 onshore plus Gulf of Mexico offshore continental shelf (GoM OCS). US Virgin Islands - onshore.</v>
      </c>
      <c r="K4485" s="11">
        <v>0</v>
      </c>
    </row>
    <row r="4486" spans="5:11" x14ac:dyDescent="0.35">
      <c r="E4486" s="9" t="str">
        <v>EPSG</v>
      </c>
      <c r="F4486" s="7" t="str">
        <v>8542</v>
      </c>
      <c r="G4486" t="str">
        <v>Geographic3DCrs</v>
      </c>
      <c r="H4486" t="str">
        <v>&lt;undefined&gt;</v>
      </c>
      <c r="I4486" t="str">
        <v>NAD83(FBN)</v>
      </c>
      <c r="J4486" t="str">
        <v>American Samoa - Tutuila, Aunu'u, Ofu, Olesega, Ta'u and Rose islands - onshore. Guam - onshore. Northern Mariana Islands - onshore. Puerto Rico - onshore. United States (USA) - CONUS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 onshore plus Gulf of Mexico offshore continental shelf (GoM OCS). US Virgin Islands - onshore.</v>
      </c>
      <c r="K4486" s="11">
        <v>0</v>
      </c>
    </row>
    <row r="4487" spans="5:11" x14ac:dyDescent="0.35">
      <c r="E4487" s="9" t="str">
        <v>EPSG</v>
      </c>
      <c r="F4487" s="7" t="str">
        <v>8543</v>
      </c>
      <c r="G4487" t="str">
        <v>GeocentricCrs</v>
      </c>
      <c r="H4487" t="str">
        <v>&lt;undefined&gt;</v>
      </c>
      <c r="I4487" t="str">
        <v>NAD83(HARN Corrected)</v>
      </c>
      <c r="J4487" t="str">
        <v>Puerto Rico and US Virgin Islands - onshore.</v>
      </c>
      <c r="K4487" s="11">
        <v>0</v>
      </c>
    </row>
    <row r="4488" spans="5:11" x14ac:dyDescent="0.35">
      <c r="E4488" s="9" t="str">
        <v>EPSG</v>
      </c>
      <c r="F4488" s="7" t="str">
        <v>8544</v>
      </c>
      <c r="G4488" t="str">
        <v>Geographic3DCrs</v>
      </c>
      <c r="H4488" t="str">
        <v>&lt;undefined&gt;</v>
      </c>
      <c r="I4488" t="str">
        <v>NAD83(HARN Corrected)</v>
      </c>
      <c r="J4488" t="str">
        <v>Puerto Rico and US Virgin Islands - onshore.</v>
      </c>
      <c r="K4488" s="11">
        <v>0</v>
      </c>
    </row>
    <row r="4489" spans="5:11" x14ac:dyDescent="0.35">
      <c r="E4489" s="9" t="str">
        <v>EPSG</v>
      </c>
      <c r="F4489" s="7" t="str">
        <v>8545</v>
      </c>
      <c r="G4489" t="str">
        <v>Geographic2DCrs</v>
      </c>
      <c r="H4489" t="str">
        <v>&lt;undefined&gt;</v>
      </c>
      <c r="I4489" t="str">
        <v>NAD83(HARN Corrected)</v>
      </c>
      <c r="J4489" t="str">
        <v>Puerto Rico and US Virgin Islands - onshore.</v>
      </c>
      <c r="K4489" s="11">
        <v>0</v>
      </c>
    </row>
    <row r="4490" spans="5:11" x14ac:dyDescent="0.35">
      <c r="E4490" s="9" t="str">
        <v>EPSG</v>
      </c>
      <c r="F4490" s="7" t="str">
        <v>8675</v>
      </c>
      <c r="G4490" t="str">
        <v>VerticalCrs</v>
      </c>
      <c r="H4490" t="str">
        <v>&lt;undefined&gt;</v>
      </c>
      <c r="I4490" t="str">
        <v>N43 height</v>
      </c>
      <c r="J4490" t="str">
        <v>Finland - onshore mainland south of approximately 66°N.</v>
      </c>
      <c r="K4490" s="11">
        <v>0</v>
      </c>
    </row>
    <row r="4491" spans="5:11" x14ac:dyDescent="0.35">
      <c r="E4491" s="9" t="str">
        <v>EPSG</v>
      </c>
      <c r="F4491" s="7" t="str">
        <v>8677</v>
      </c>
      <c r="G4491" t="str">
        <v>ProjectedCrs</v>
      </c>
      <c r="H4491" t="str">
        <v>Transverse Mercator</v>
      </c>
      <c r="I4491" t="str">
        <v>MGI 1901 / Balkans zone 5</v>
      </c>
      <c r="J4491" t="str">
        <v>Bosnia and Herzegovina - west of 16°30'E; Croatia - onshore west of 16°30'E; Slovenia - onshore.</v>
      </c>
      <c r="K4491" s="11">
        <v>0</v>
      </c>
    </row>
    <row r="4492" spans="5:11" x14ac:dyDescent="0.35">
      <c r="E4492" s="9" t="str">
        <v>EPSG</v>
      </c>
      <c r="F4492" s="7" t="str">
        <v>8678</v>
      </c>
      <c r="G4492" t="str">
        <v>ProjectedCrs</v>
      </c>
      <c r="H4492" t="str">
        <v>Transverse Mercator</v>
      </c>
      <c r="I4492" t="str">
        <v>MGI 1901 / Balkans zone 6</v>
      </c>
      <c r="J4492" t="str">
        <v>Bosnia and Herzegovina - between 16°30'E and 19°30'E; Croatia - onshore east of 16°30'E; Montenegro - onshore west of 19°30'E; Serbia - west of 19°30'E.</v>
      </c>
      <c r="K4492" s="11">
        <v>0</v>
      </c>
    </row>
    <row r="4493" spans="5:11" x14ac:dyDescent="0.35">
      <c r="E4493" s="9" t="str">
        <v>EPSG</v>
      </c>
      <c r="F4493" s="7" t="str">
        <v>8679</v>
      </c>
      <c r="G4493" t="str">
        <v>ProjectedCrs</v>
      </c>
      <c r="H4493" t="str">
        <v>Transverse Mercator</v>
      </c>
      <c r="I4493" t="str">
        <v>MGI 1901 / Balkans zone 8</v>
      </c>
      <c r="J4493" t="str">
        <v>North Macedonia - east of 22°30'E; Serbia - east of 22°30'E.</v>
      </c>
      <c r="K4493" s="11">
        <v>0</v>
      </c>
    </row>
    <row r="4494" spans="5:11" x14ac:dyDescent="0.35">
      <c r="E4494" s="9" t="str">
        <v>EPSG</v>
      </c>
      <c r="F4494" s="7" t="str">
        <v>8682</v>
      </c>
      <c r="G4494" t="str">
        <v>ProjectedCrs</v>
      </c>
      <c r="H4494" t="str">
        <v>Transverse Mercator</v>
      </c>
      <c r="I4494" t="str">
        <v>SRB_ETRS89 / UTM zone 34N</v>
      </c>
      <c r="J4494" t="str">
        <v>Serbia including Vojvodina.</v>
      </c>
      <c r="K4494" s="11">
        <v>0</v>
      </c>
    </row>
    <row r="4495" spans="5:11" x14ac:dyDescent="0.35">
      <c r="E4495" s="9" t="str">
        <v>EPSG</v>
      </c>
      <c r="F4495" s="7" t="str">
        <v>8683</v>
      </c>
      <c r="G4495" t="str">
        <v>GeocentricCrs</v>
      </c>
      <c r="H4495" t="str">
        <v>&lt;undefined&gt;</v>
      </c>
      <c r="I4495" t="str">
        <v>SRB_ETRS89</v>
      </c>
      <c r="J4495" t="str">
        <v>Serbia including Vojvodina.</v>
      </c>
      <c r="K4495" s="11">
        <v>0</v>
      </c>
    </row>
    <row r="4496" spans="5:11" x14ac:dyDescent="0.35">
      <c r="E4496" s="9" t="str">
        <v>EPSG</v>
      </c>
      <c r="F4496" s="7" t="str">
        <v>8684</v>
      </c>
      <c r="G4496" t="str">
        <v>Geographic3DCrs</v>
      </c>
      <c r="H4496" t="str">
        <v>&lt;undefined&gt;</v>
      </c>
      <c r="I4496" t="str">
        <v>SRB_ETRS89</v>
      </c>
      <c r="J4496" t="str">
        <v>Serbia including Vojvodina.</v>
      </c>
      <c r="K4496" s="11">
        <v>0</v>
      </c>
    </row>
    <row r="4497" spans="5:11" x14ac:dyDescent="0.35">
      <c r="E4497" s="9" t="str">
        <v>EPSG</v>
      </c>
      <c r="F4497" s="7" t="str">
        <v>8685</v>
      </c>
      <c r="G4497" t="str">
        <v>Geographic2DCrs</v>
      </c>
      <c r="H4497" t="str">
        <v>&lt;undefined&gt;</v>
      </c>
      <c r="I4497" t="str">
        <v>SRB_ETRS89</v>
      </c>
      <c r="J4497" t="str">
        <v>Serbia including Vojvodina.</v>
      </c>
      <c r="K4497" s="11">
        <v>0</v>
      </c>
    </row>
    <row r="4498" spans="5:11" x14ac:dyDescent="0.35">
      <c r="E4498" s="9" t="str">
        <v>EPSG</v>
      </c>
      <c r="F4498" s="7" t="str">
        <v>8686</v>
      </c>
      <c r="G4498" t="str">
        <v>ProjectedCrs</v>
      </c>
      <c r="H4498" t="str">
        <v>Transverse Mercator</v>
      </c>
      <c r="I4498" t="str">
        <v>MGI 1901 / Slovenia Grid</v>
      </c>
      <c r="J4498" t="str">
        <v>Slovenia - onshore and offshore.</v>
      </c>
      <c r="K4498" s="11">
        <v>0</v>
      </c>
    </row>
    <row r="4499" spans="5:11" x14ac:dyDescent="0.35">
      <c r="E4499" s="9" t="str">
        <v>EPSG</v>
      </c>
      <c r="F4499" s="7" t="str">
        <v>8687</v>
      </c>
      <c r="G4499" t="str">
        <v>ProjectedCrs</v>
      </c>
      <c r="H4499" t="str">
        <v>Transverse Mercator</v>
      </c>
      <c r="I4499" t="str">
        <v>Slovenia 1996 / UTM zone 33N</v>
      </c>
      <c r="J4499" t="str">
        <v>Slovenia - onshore and offshore.</v>
      </c>
      <c r="K4499" s="11">
        <v>0</v>
      </c>
    </row>
    <row r="4500" spans="5:11" x14ac:dyDescent="0.35">
      <c r="E4500" s="9" t="str">
        <v>EPSG</v>
      </c>
      <c r="F4500" s="7" t="str">
        <v>8690</v>
      </c>
      <c r="G4500" t="str">
        <v>VerticalCrs</v>
      </c>
      <c r="H4500" t="str">
        <v>&lt;undefined&gt;</v>
      </c>
      <c r="I4500" t="str">
        <v>SVS2010 height</v>
      </c>
      <c r="J4500" t="str">
        <v>Slovenia - onshore.</v>
      </c>
      <c r="K4500" s="11">
        <v>0</v>
      </c>
    </row>
    <row r="4501" spans="5:11" x14ac:dyDescent="0.35">
      <c r="E4501" s="9" t="str">
        <v>EPSG</v>
      </c>
      <c r="F4501" s="7" t="str">
        <v>8691</v>
      </c>
      <c r="G4501" t="str">
        <v>VerticalCrs</v>
      </c>
      <c r="H4501" t="str">
        <v>&lt;undefined&gt;</v>
      </c>
      <c r="I4501" t="str">
        <v>SRB_VRS12 height</v>
      </c>
      <c r="J4501" t="str">
        <v>Serbia including Vojvodina.</v>
      </c>
      <c r="K4501" s="11">
        <v>0</v>
      </c>
    </row>
    <row r="4502" spans="5:11" x14ac:dyDescent="0.35">
      <c r="E4502" s="9" t="str">
        <v>EPSG</v>
      </c>
      <c r="F4502" s="7" t="str">
        <v>8692</v>
      </c>
      <c r="G4502" t="str">
        <v>ProjectedCrs</v>
      </c>
      <c r="H4502" t="str">
        <v>Transverse Mercator</v>
      </c>
      <c r="I4502" t="str">
        <v>NAD83(MA11) / UTM zone 54N</v>
      </c>
      <c r="J4502" t="str">
        <v>Guam and Northern Mariana Islands; offshore west of 144°E.</v>
      </c>
      <c r="K4502" s="11">
        <v>0</v>
      </c>
    </row>
    <row r="4503" spans="5:11" x14ac:dyDescent="0.35">
      <c r="E4503" s="9" t="str">
        <v>EPSG</v>
      </c>
      <c r="F4503" s="7" t="str">
        <v>8693</v>
      </c>
      <c r="G4503" t="str">
        <v>ProjectedCrs</v>
      </c>
      <c r="H4503" t="str">
        <v>Transverse Mercator</v>
      </c>
      <c r="I4503" t="str">
        <v>NAD83(MA11) / UTM zone 55N</v>
      </c>
      <c r="J4503" t="str">
        <v>Guam and Northern Mariana Islands; onshore and offshore east of 144°E.</v>
      </c>
      <c r="K4503" s="11">
        <v>0</v>
      </c>
    </row>
    <row r="4504" spans="5:11" x14ac:dyDescent="0.35">
      <c r="E4504" s="9" t="str">
        <v>EPSG</v>
      </c>
      <c r="F4504" s="7" t="str">
        <v>8694</v>
      </c>
      <c r="G4504" t="str">
        <v>Geographic2DCrs</v>
      </c>
      <c r="H4504" t="str">
        <v>&lt;undefined&gt;</v>
      </c>
      <c r="I4504" t="str">
        <v>Camacupa 2015</v>
      </c>
      <c r="J4504" t="str">
        <v>Angola - onshore and offshore.</v>
      </c>
      <c r="K4504" s="11">
        <v>0</v>
      </c>
    </row>
    <row r="4505" spans="5:11" x14ac:dyDescent="0.35">
      <c r="E4505" s="9" t="str">
        <v>EPSG</v>
      </c>
      <c r="F4505" s="7" t="str">
        <v>8697</v>
      </c>
      <c r="G4505" t="str">
        <v>GeocentricCrs</v>
      </c>
      <c r="H4505" t="str">
        <v>&lt;undefined&gt;</v>
      </c>
      <c r="I4505" t="str">
        <v>RSAO13</v>
      </c>
      <c r="J4505" t="str">
        <v>Angola - onshore and offshore.</v>
      </c>
      <c r="K4505" s="11">
        <v>0</v>
      </c>
    </row>
    <row r="4506" spans="5:11" x14ac:dyDescent="0.35">
      <c r="E4506" s="9" t="str">
        <v>EPSG</v>
      </c>
      <c r="F4506" s="7" t="str">
        <v>8698</v>
      </c>
      <c r="G4506" t="str">
        <v>Geographic3DCrs</v>
      </c>
      <c r="H4506" t="str">
        <v>&lt;undefined&gt;</v>
      </c>
      <c r="I4506" t="str">
        <v>RSAO13</v>
      </c>
      <c r="J4506" t="str">
        <v>Angola - onshore and offshore.</v>
      </c>
      <c r="K4506" s="11">
        <v>0</v>
      </c>
    </row>
    <row r="4507" spans="5:11" x14ac:dyDescent="0.35">
      <c r="E4507" s="9" t="str">
        <v>EPSG</v>
      </c>
      <c r="F4507" s="7" t="str">
        <v>8699</v>
      </c>
      <c r="G4507" t="str">
        <v>Geographic2DCrs</v>
      </c>
      <c r="H4507" t="str">
        <v>&lt;undefined&gt;</v>
      </c>
      <c r="I4507" t="str">
        <v>RSAO13</v>
      </c>
      <c r="J4507" t="str">
        <v>Angola - onshore and offshore.</v>
      </c>
      <c r="K4507" s="11">
        <v>0</v>
      </c>
    </row>
    <row r="4508" spans="5:11" x14ac:dyDescent="0.35">
      <c r="E4508" s="9" t="str">
        <v>EPSG</v>
      </c>
      <c r="F4508" s="7" t="str">
        <v>8700</v>
      </c>
      <c r="G4508" t="str">
        <v>CompoundCrs</v>
      </c>
      <c r="H4508" t="str">
        <v>&lt;undefined&gt;</v>
      </c>
      <c r="I4508" t="str">
        <v>NAD83 / Arizona East (ft) + NAVD88 height (ft)</v>
      </c>
      <c r="J4508" t="str">
        <v>United States (USA) - Arizona - counties Apache; Cochise; Gila; Graham; Greenlee; Navajo.</v>
      </c>
      <c r="K4508" s="11">
        <v>0</v>
      </c>
    </row>
    <row r="4509" spans="5:11" x14ac:dyDescent="0.35">
      <c r="E4509" s="9" t="str">
        <v>EPSG</v>
      </c>
      <c r="F4509" s="7" t="str">
        <v>8701</v>
      </c>
      <c r="G4509" t="str">
        <v>CompoundCrs</v>
      </c>
      <c r="H4509" t="str">
        <v>&lt;undefined&gt;</v>
      </c>
      <c r="I4509" t="str">
        <v>NAD83 / Arizona Central (ft) + NAVD88 height (ft)</v>
      </c>
      <c r="J4509" t="str">
        <v>United States (USA) - Arizona - counties Coconino; Maricopa; Pima; Pinal; Santa Cruz; Yavapai.</v>
      </c>
      <c r="K4509" s="11">
        <v>0</v>
      </c>
    </row>
    <row r="4510" spans="5:11" x14ac:dyDescent="0.35">
      <c r="E4510" s="9" t="str">
        <v>EPSG</v>
      </c>
      <c r="F4510" s="7" t="str">
        <v>8702</v>
      </c>
      <c r="G4510" t="str">
        <v>CompoundCrs</v>
      </c>
      <c r="H4510" t="str">
        <v>&lt;undefined&gt;</v>
      </c>
      <c r="I4510" t="str">
        <v>NAD83 / Arizona West (ft) + NAVD88 height (ft)</v>
      </c>
      <c r="J4510" t="str">
        <v>United States (USA) - Arizona - counties of La Paz; Mohave; Yuma.</v>
      </c>
      <c r="K4510" s="11">
        <v>0</v>
      </c>
    </row>
    <row r="4511" spans="5:11" x14ac:dyDescent="0.35">
      <c r="E4511" s="9" t="str">
        <v>EPSG</v>
      </c>
      <c r="F4511" s="7" t="str">
        <v>8703</v>
      </c>
      <c r="G4511" t="str">
        <v>CompoundCrs</v>
      </c>
      <c r="H4511" t="str">
        <v>&lt;undefined&gt;</v>
      </c>
      <c r="I4511" t="str">
        <v>NAD83 / Michigan North (ft) + NAVD88 height (ft)</v>
      </c>
      <c r="J4511" t="str">
        <v>United States (USA) - Michigan north of approximately 45°45'N - counties of Alger; Baraga; Chippewa; Delta; Dickinson; Gogebic; Houghton; Iron; Keweenaw; Luce; Mackinac; Marquette; Menominee; Ontonagon; Schoolcraft.</v>
      </c>
      <c r="K4511" s="11">
        <v>0</v>
      </c>
    </row>
    <row r="4512" spans="5:11" x14ac:dyDescent="0.35">
      <c r="E4512" s="9" t="str">
        <v>EPSG</v>
      </c>
      <c r="F4512" s="7" t="str">
        <v>8704</v>
      </c>
      <c r="G4512" t="str">
        <v>CompoundCrs</v>
      </c>
      <c r="H4512" t="str">
        <v>&lt;undefined&gt;</v>
      </c>
      <c r="I4512" t="str">
        <v>NAD83 / Michigan Central (ft) + NAVD88 height (ft)</v>
      </c>
      <c r="J4512"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4512" s="11">
        <v>0</v>
      </c>
    </row>
    <row r="4513" spans="5:11" x14ac:dyDescent="0.35">
      <c r="E4513" s="9" t="str">
        <v>EPSG</v>
      </c>
      <c r="F4513" s="7" t="str">
        <v>8705</v>
      </c>
      <c r="G4513" t="str">
        <v>CompoundCrs</v>
      </c>
      <c r="H4513" t="str">
        <v>&lt;undefined&gt;</v>
      </c>
      <c r="I4513" t="str">
        <v>NAD83 / Michigan South (ft) + NAVD88 height (ft)</v>
      </c>
      <c r="J4513"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4513" s="11">
        <v>0</v>
      </c>
    </row>
    <row r="4514" spans="5:11" x14ac:dyDescent="0.35">
      <c r="E4514" s="9" t="str">
        <v>EPSG</v>
      </c>
      <c r="F4514" s="7" t="str">
        <v>8706</v>
      </c>
      <c r="G4514" t="str">
        <v>CompoundCrs</v>
      </c>
      <c r="H4514" t="str">
        <v>&lt;undefined&gt;</v>
      </c>
      <c r="I4514" t="str">
        <v>NAD83 / Montana (ft) + NAVD88 height (ft)</v>
      </c>
      <c r="J4514"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4514" s="11">
        <v>0</v>
      </c>
    </row>
    <row r="4515" spans="5:11" x14ac:dyDescent="0.35">
      <c r="E4515" s="9" t="str">
        <v>EPSG</v>
      </c>
      <c r="F4515" s="7" t="str">
        <v>8707</v>
      </c>
      <c r="G4515" t="str">
        <v>CompoundCrs</v>
      </c>
      <c r="H4515" t="str">
        <v>&lt;undefined&gt;</v>
      </c>
      <c r="I4515" t="str">
        <v>NAD83 / North Dakota North (ft) + NAVD88 height (ft)</v>
      </c>
      <c r="J4515" t="str">
        <v>United States (USA) - North Dakota - counties of Benson; Bottineau; Burke; Cavalier; Divide; Eddy; Foster; Grand Forks; Griggs; McHenry; McKenzie; McLean; Mountrial; Nelson; Pembina; Pierce; Ramsey; Renville; Rolette; Sheridan; Steele; Towner; Traill; Walsh; Ward; Wells; Williams.</v>
      </c>
      <c r="K4515" s="11">
        <v>0</v>
      </c>
    </row>
    <row r="4516" spans="5:11" x14ac:dyDescent="0.35">
      <c r="E4516" s="9" t="str">
        <v>EPSG</v>
      </c>
      <c r="F4516" s="7" t="str">
        <v>8708</v>
      </c>
      <c r="G4516" t="str">
        <v>CompoundCrs</v>
      </c>
      <c r="H4516" t="str">
        <v>&lt;undefined&gt;</v>
      </c>
      <c r="I4516" t="str">
        <v>NAD83 / North Dakota South (ft) + NAVD88 height (ft)</v>
      </c>
      <c r="J4516" t="str">
        <v>United States (USA) - North Dakota - counties of Adams; Barnes; Billings; Bowman; Burleigh; Cass; Dickey; Dunn; Emmons; Golden Valley; Grant; Hettinger; Kidder; La Moure; Logan; McIntosh; Mercer; Morton; Oliver; Ransom; Richland; Sargent; Sioux; Slope; Stark; Stutsman.</v>
      </c>
      <c r="K4516" s="11">
        <v>0</v>
      </c>
    </row>
    <row r="4517" spans="5:11" x14ac:dyDescent="0.35">
      <c r="E4517" s="9" t="str">
        <v>EPSG</v>
      </c>
      <c r="F4517" s="7" t="str">
        <v>8709</v>
      </c>
      <c r="G4517" t="str">
        <v>CompoundCrs</v>
      </c>
      <c r="H4517" t="str">
        <v>&lt;undefined&gt;</v>
      </c>
      <c r="I4517" t="str">
        <v>NAD83 / Oregon North (ft) + NAVD88 height (ft)</v>
      </c>
      <c r="J4517" t="str">
        <v>United States (USA) - Oregon - counties of Baker; Benton; Clackamas; Clatsop; Columbia; Gilliam; Grant; Hood River; Jefferson; Lincoln; Linn; Marion; Morrow; Multnomah; Polk; Sherman; Tillamook; Umatilla; Union; Wallowa; Wasco; Washington; Wheeler; Yamhill.</v>
      </c>
      <c r="K4517" s="11">
        <v>0</v>
      </c>
    </row>
    <row r="4518" spans="5:11" x14ac:dyDescent="0.35">
      <c r="E4518" s="9" t="str">
        <v>EPSG</v>
      </c>
      <c r="F4518" s="7" t="str">
        <v>8710</v>
      </c>
      <c r="G4518" t="str">
        <v>CompoundCrs</v>
      </c>
      <c r="H4518" t="str">
        <v>&lt;undefined&gt;</v>
      </c>
      <c r="I4518" t="str">
        <v>NAD83 / Oregon South (ft) + NAVD88 height (ft)</v>
      </c>
      <c r="J4518" t="str">
        <v>United States (USA) - Oregon - counties of Coos; Crook; Curry; Deschutes; Douglas; Harney; Jackson; Josephine; Klamath; Lake; Lane; Malheur.</v>
      </c>
      <c r="K4518" s="11">
        <v>0</v>
      </c>
    </row>
    <row r="4519" spans="5:11" x14ac:dyDescent="0.35">
      <c r="E4519" s="9" t="str">
        <v>EPSG</v>
      </c>
      <c r="F4519" s="7" t="str">
        <v>8711</v>
      </c>
      <c r="G4519" t="str">
        <v>CompoundCrs</v>
      </c>
      <c r="H4519" t="str">
        <v>&lt;undefined&gt;</v>
      </c>
      <c r="I4519" t="str">
        <v>NAD83 / South Carolina (ft) + NAVD88 height (ft)</v>
      </c>
      <c r="J4519"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4519" s="11">
        <v>0</v>
      </c>
    </row>
    <row r="4520" spans="5:11" x14ac:dyDescent="0.35">
      <c r="E4520" s="9" t="str">
        <v>EPSG</v>
      </c>
      <c r="F4520" s="7" t="str">
        <v>8712</v>
      </c>
      <c r="G4520" t="str">
        <v>CompoundCrs</v>
      </c>
      <c r="H4520" t="str">
        <v>&lt;undefined&gt;</v>
      </c>
      <c r="I4520" t="str">
        <v>NAD83 / Arkansas North (ftUS) + NAVD88 height (ftUS)</v>
      </c>
      <c r="J4520"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4520" s="11">
        <v>0</v>
      </c>
    </row>
    <row r="4521" spans="5:11" x14ac:dyDescent="0.35">
      <c r="E4521" s="9" t="str">
        <v>EPSG</v>
      </c>
      <c r="F4521" s="7" t="str">
        <v>8713</v>
      </c>
      <c r="G4521" t="str">
        <v>CompoundCrs</v>
      </c>
      <c r="H4521" t="str">
        <v>&lt;undefined&gt;</v>
      </c>
      <c r="I4521" t="str">
        <v>NAD83 / Arkansas South (ftUS) + NAVD88 height (ftUS)</v>
      </c>
      <c r="J4521"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4521" s="11">
        <v>0</v>
      </c>
    </row>
    <row r="4522" spans="5:11" x14ac:dyDescent="0.35">
      <c r="E4522" s="9" t="str">
        <v>EPSG</v>
      </c>
      <c r="F4522" s="7" t="str">
        <v>8714</v>
      </c>
      <c r="G4522" t="str">
        <v>CompoundCrs</v>
      </c>
      <c r="H4522" t="str">
        <v>&lt;undefined&gt;</v>
      </c>
      <c r="I4522" t="str">
        <v>NAD83 / California zone 1 (ftUS) + NAVD88 height (ftUS)</v>
      </c>
      <c r="J4522" t="str">
        <v>United States (USA) - California - counties Del Norte; Humboldt; Lassen; Modoc; Plumas; Shasta; Siskiyou; Tehama; Trinity.</v>
      </c>
      <c r="K4522" s="11">
        <v>0</v>
      </c>
    </row>
    <row r="4523" spans="5:11" x14ac:dyDescent="0.35">
      <c r="E4523" s="9" t="str">
        <v>EPSG</v>
      </c>
      <c r="F4523" s="7" t="str">
        <v>8715</v>
      </c>
      <c r="G4523" t="str">
        <v>CompoundCrs</v>
      </c>
      <c r="H4523" t="str">
        <v>&lt;undefined&gt;</v>
      </c>
      <c r="I4523" t="str">
        <v>NAD83 / California zone 2 (ftUS) + NAVD88 height (ftUS)</v>
      </c>
      <c r="J4523" t="str">
        <v>United States (USA) - California - counties of Alpine; Amador; Butte; Colusa; El Dorado; Glenn; Lake; Mendocino; Napa; Nevada; Placer; Sacramento; Sierra; Solano; Sonoma; Sutter; Yolo; Yuba.</v>
      </c>
      <c r="K4523" s="11">
        <v>0</v>
      </c>
    </row>
    <row r="4524" spans="5:11" x14ac:dyDescent="0.35">
      <c r="E4524" s="9" t="str">
        <v>EPSG</v>
      </c>
      <c r="F4524" s="7" t="str">
        <v>8716</v>
      </c>
      <c r="G4524" t="str">
        <v>CompoundCrs</v>
      </c>
      <c r="H4524" t="str">
        <v>&lt;undefined&gt;</v>
      </c>
      <c r="I4524" t="str">
        <v>NAD83 / California zone 3 (ftUS) + NAVD88 height (ftUS)</v>
      </c>
      <c r="J4524" t="str">
        <v>United States (USA) - California - counties Alameda; Calaveras; Contra Costa; Madera; Marin; Mariposa; Merced; Mono; San Francisco; San Joaquin; San Mateo; Santa Clara; Santa Cruz; Stanislaus; Tuolumne.</v>
      </c>
      <c r="K4524" s="11">
        <v>0</v>
      </c>
    </row>
    <row r="4525" spans="5:11" x14ac:dyDescent="0.35">
      <c r="E4525" s="9" t="str">
        <v>EPSG</v>
      </c>
      <c r="F4525" s="7" t="str">
        <v>8717</v>
      </c>
      <c r="G4525" t="str">
        <v>CompoundCrs</v>
      </c>
      <c r="H4525" t="str">
        <v>&lt;undefined&gt;</v>
      </c>
      <c r="I4525" t="str">
        <v>NAD83 / California zone 4 (ftUS) + NAVD88 height (ftUS)</v>
      </c>
      <c r="J4525" t="str">
        <v>United States (USA) - California - counties Fresno; Inyo; Kings; Monterey; San Benito; Tulare.</v>
      </c>
      <c r="K4525" s="11">
        <v>0</v>
      </c>
    </row>
    <row r="4526" spans="5:11" x14ac:dyDescent="0.35">
      <c r="E4526" s="9" t="str">
        <v>EPSG</v>
      </c>
      <c r="F4526" s="7" t="str">
        <v>8718</v>
      </c>
      <c r="G4526" t="str">
        <v>CompoundCrs</v>
      </c>
      <c r="H4526" t="str">
        <v>&lt;undefined&gt;</v>
      </c>
      <c r="I4526" t="str">
        <v>NAD83 / California zone 5 (ftUS) + NAVD88 height (ftUS)</v>
      </c>
      <c r="J4526" t="str">
        <v>United States (USA) - California - counties Kern; Los Angeles; San Bernardino; San Luis Obispo; Santa Barbara; Ventura.</v>
      </c>
      <c r="K4526" s="11">
        <v>0</v>
      </c>
    </row>
    <row r="4527" spans="5:11" x14ac:dyDescent="0.35">
      <c r="E4527" s="9" t="str">
        <v>EPSG</v>
      </c>
      <c r="F4527" s="7" t="str">
        <v>8719</v>
      </c>
      <c r="G4527" t="str">
        <v>CompoundCrs</v>
      </c>
      <c r="H4527" t="str">
        <v>&lt;undefined&gt;</v>
      </c>
      <c r="I4527" t="str">
        <v>NAD83 / California zone 6 (ftUS) + NAVD88 height (ftUS)</v>
      </c>
      <c r="J4527" t="str">
        <v>United States (USA) - California - counties Imperial; Orange; Riverside; San Diego.</v>
      </c>
      <c r="K4527" s="11">
        <v>0</v>
      </c>
    </row>
    <row r="4528" spans="5:11" x14ac:dyDescent="0.35">
      <c r="E4528" s="9" t="str">
        <v>EPSG</v>
      </c>
      <c r="F4528" s="7" t="str">
        <v>8720</v>
      </c>
      <c r="G4528" t="str">
        <v>CompoundCrs</v>
      </c>
      <c r="H4528" t="str">
        <v>&lt;undefined&gt;</v>
      </c>
      <c r="I4528" t="str">
        <v>NAD83 / Colorado North (ftUS) + NAVD88 height (ftUS)</v>
      </c>
      <c r="J4528" t="str">
        <v>United States (USA) - Colorado - counties Adams; Boulder; Gilpin; Grand; Jackson; Larimer; Logan; Moffat; Morgan; Phillips; Rio Blanco; Routt; Sedgwick; Washington; Weld; Yuma.</v>
      </c>
      <c r="K4528" s="11">
        <v>0</v>
      </c>
    </row>
    <row r="4529" spans="5:11" x14ac:dyDescent="0.35">
      <c r="E4529" s="9" t="str">
        <v>EPSG</v>
      </c>
      <c r="F4529" s="7" t="str">
        <v>8721</v>
      </c>
      <c r="G4529" t="str">
        <v>CompoundCrs</v>
      </c>
      <c r="H4529" t="str">
        <v>&lt;undefined&gt;</v>
      </c>
      <c r="I4529" t="str">
        <v>NAD83 / Colorado Central (ftUS) + NAVD88 height (ftUS)</v>
      </c>
      <c r="J4529" t="str">
        <v>United States (USA) - Colorado - counties Arapahoe; Chaffee; Cheyenne; Clear Creek; Delta; Denver; Douglas; Eagle; El Paso; Elbert; Fremont; Garfield; Gunnison; Jefferson; Kit Carson; Lake; Lincoln; Mesa; Park; Pitkin; Summit; Teller.</v>
      </c>
      <c r="K4529" s="11">
        <v>0</v>
      </c>
    </row>
    <row r="4530" spans="5:11" x14ac:dyDescent="0.35">
      <c r="E4530" s="9" t="str">
        <v>EPSG</v>
      </c>
      <c r="F4530" s="7" t="str">
        <v>8722</v>
      </c>
      <c r="G4530" t="str">
        <v>CompoundCrs</v>
      </c>
      <c r="H4530" t="str">
        <v>&lt;undefined&gt;</v>
      </c>
      <c r="I4530" t="str">
        <v>NAD83 / Colorado South (ftUS) + NAVD88 height (ftUS)</v>
      </c>
      <c r="J4530" t="str">
        <v>United States (USA) - Colorado - counties Alamosa; Archuleta; Baca; Bent; Conejos; Costilla; Crowley; Custer; Dolores; Hinsdale; Huerfano; Kiowa; La Plata; Las Animas; Mineral; Montezuma; Montrose; Otero; Ouray; Prowers; Pueblo; Rio Grande; Saguache; San Juan; San Miguel.</v>
      </c>
      <c r="K4530" s="11">
        <v>0</v>
      </c>
    </row>
    <row r="4531" spans="5:11" x14ac:dyDescent="0.35">
      <c r="E4531" s="9" t="str">
        <v>EPSG</v>
      </c>
      <c r="F4531" s="7" t="str">
        <v>8723</v>
      </c>
      <c r="G4531" t="str">
        <v>CompoundCrs</v>
      </c>
      <c r="H4531" t="str">
        <v>&lt;undefined&gt;</v>
      </c>
      <c r="I4531" t="str">
        <v>NAD83 / Connecticut (ftUS) + NAVD88 height (ftUS)</v>
      </c>
      <c r="J4531" t="str">
        <v>United States (USA) - Connecticut - counties of Fairfield; Hartford; Litchfield; Middlesex; New Haven; New London; Tolland; Windham.</v>
      </c>
      <c r="K4531" s="11">
        <v>0</v>
      </c>
    </row>
    <row r="4532" spans="5:11" x14ac:dyDescent="0.35">
      <c r="E4532" s="9" t="str">
        <v>EPSG</v>
      </c>
      <c r="F4532" s="7" t="str">
        <v>8724</v>
      </c>
      <c r="G4532" t="str">
        <v>CompoundCrs</v>
      </c>
      <c r="H4532" t="str">
        <v>&lt;undefined&gt;</v>
      </c>
      <c r="I4532" t="str">
        <v>NAD83 / Delaware (ftUS) + NAVD88 height (ftUS)</v>
      </c>
      <c r="J4532" t="str">
        <v>United States (USA) - Delaware - counties of Kent; New Castle; Sussex.</v>
      </c>
      <c r="K4532" s="11">
        <v>0</v>
      </c>
    </row>
    <row r="4533" spans="5:11" x14ac:dyDescent="0.35">
      <c r="E4533" s="9" t="str">
        <v>EPSG</v>
      </c>
      <c r="F4533" s="7" t="str">
        <v>8725</v>
      </c>
      <c r="G4533" t="str">
        <v>CompoundCrs</v>
      </c>
      <c r="H4533" t="str">
        <v>&lt;undefined&gt;</v>
      </c>
      <c r="I4533" t="str">
        <v>NAD83 / Florida North (ftUS) + NAVD88 height (ftUS)</v>
      </c>
      <c r="J4533" t="str">
        <v>United States (USA) - Florida - counties of Alachua; Baker; Bay; Bradford; Calhoun; Columbia; Dixie; Escambia; Franklin; Gadsden; Gilchrist; Gulf; Hamilton; Holmes; Jackson; Jefferson; Lafayette; Leon; Liberty; Madison; Okaloosa; Santa Rosa; Suwannee; Taylor; Union; Wakulla; Walton; Washington.</v>
      </c>
      <c r="K4533" s="11">
        <v>0</v>
      </c>
    </row>
    <row r="4534" spans="5:11" x14ac:dyDescent="0.35">
      <c r="E4534" s="9" t="str">
        <v>EPSG</v>
      </c>
      <c r="F4534" s="7" t="str">
        <v>8726</v>
      </c>
      <c r="G4534" t="str">
        <v>CompoundCrs</v>
      </c>
      <c r="H4534" t="str">
        <v>&lt;undefined&gt;</v>
      </c>
      <c r="I4534" t="str">
        <v>NAD83 / Florida East (ftUS) + NAVD88 height (ftUS)</v>
      </c>
      <c r="J4534" t="str">
        <v>United States (USA) - Florida - counties of Brevard; Broward; Clay; Collier; Dade; Duval; Flagler; Glades; Hendry; Highlands; Indian River; Lake; Martin; Monroe; Nassau; Okeechobee; Orange; Osceola; Palm Beach; Putnam; Seminole; St Johns; St Lucie; Volusia.</v>
      </c>
      <c r="K4534" s="11">
        <v>0</v>
      </c>
    </row>
    <row r="4535" spans="5:11" x14ac:dyDescent="0.35">
      <c r="E4535" s="9" t="str">
        <v>EPSG</v>
      </c>
      <c r="F4535" s="7" t="str">
        <v>8727</v>
      </c>
      <c r="G4535" t="str">
        <v>CompoundCrs</v>
      </c>
      <c r="H4535" t="str">
        <v>&lt;undefined&gt;</v>
      </c>
      <c r="I4535" t="str">
        <v>NAD83 / Florida West (ftUS) + NAVD88 height (ftUS)</v>
      </c>
      <c r="J4535" t="str">
        <v>United States (USA) - Florida - counties of Charlotte; Citrus; De Soto; Hardee; Hernando; Hillsborough; Lee; Levy; Manatee; Marion; Pasco; Pinellas; Polk; Sarasota; Sumter.</v>
      </c>
      <c r="K4535" s="11">
        <v>0</v>
      </c>
    </row>
    <row r="4536" spans="5:11" x14ac:dyDescent="0.35">
      <c r="E4536" s="9" t="str">
        <v>EPSG</v>
      </c>
      <c r="F4536" s="7" t="str">
        <v>8728</v>
      </c>
      <c r="G4536" t="str">
        <v>CompoundCrs</v>
      </c>
      <c r="H4536" t="str">
        <v>&lt;undefined&gt;</v>
      </c>
      <c r="I4536" t="str">
        <v>NAD83 / Georgia East (ftUS) + NAVD88 height (ftUS)</v>
      </c>
      <c r="J4536"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4536" s="11">
        <v>0</v>
      </c>
    </row>
    <row r="4537" spans="5:11" x14ac:dyDescent="0.35">
      <c r="E4537" s="9" t="str">
        <v>EPSG</v>
      </c>
      <c r="F4537" s="7" t="str">
        <v>8729</v>
      </c>
      <c r="G4537" t="str">
        <v>CompoundCrs</v>
      </c>
      <c r="H4537" t="str">
        <v>&lt;undefined&gt;</v>
      </c>
      <c r="I4537" t="str">
        <v>NAD83 / Georgia West (ftUS) + NAVD88 height (ftUS)</v>
      </c>
      <c r="J4537"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4537" s="11">
        <v>0</v>
      </c>
    </row>
    <row r="4538" spans="5:11" x14ac:dyDescent="0.35">
      <c r="E4538" s="9" t="str">
        <v>EPSG</v>
      </c>
      <c r="F4538" s="7" t="str">
        <v>8730</v>
      </c>
      <c r="G4538" t="str">
        <v>CompoundCrs</v>
      </c>
      <c r="H4538" t="str">
        <v>&lt;undefined&gt;</v>
      </c>
      <c r="I4538" t="str">
        <v>NAD83 / Idaho East (ftUS) + NAVD88 height (ftUS)</v>
      </c>
      <c r="J4538" t="str">
        <v>United States (USA) - Idaho - counties of Bannock; Bear Lake; Bingham; Bonneville; Caribou; Clark; Franklin; Fremont; Jefferson; Madison; Oneida; Power; Teton.</v>
      </c>
      <c r="K4538" s="11">
        <v>0</v>
      </c>
    </row>
    <row r="4539" spans="5:11" x14ac:dyDescent="0.35">
      <c r="E4539" s="9" t="str">
        <v>EPSG</v>
      </c>
      <c r="F4539" s="7" t="str">
        <v>8731</v>
      </c>
      <c r="G4539" t="str">
        <v>CompoundCrs</v>
      </c>
      <c r="H4539" t="str">
        <v>&lt;undefined&gt;</v>
      </c>
      <c r="I4539" t="str">
        <v>NAD83 / Idaho Central (ftUS) + NAVD88 height (ftUS)</v>
      </c>
      <c r="J4539" t="str">
        <v>United States (USA) - Idaho - counties of Blaine; Butte; Camas; Cassia; Custer; Gooding; Jerome; Lemhi; Lincoln; Minidoka; Twin Falls.</v>
      </c>
      <c r="K4539" s="11">
        <v>0</v>
      </c>
    </row>
    <row r="4540" spans="5:11" x14ac:dyDescent="0.35">
      <c r="E4540" s="9" t="str">
        <v>EPSG</v>
      </c>
      <c r="F4540" s="7" t="str">
        <v>8732</v>
      </c>
      <c r="G4540" t="str">
        <v>CompoundCrs</v>
      </c>
      <c r="H4540" t="str">
        <v>&lt;undefined&gt;</v>
      </c>
      <c r="I4540" t="str">
        <v>NAD83 / Idaho West (ftUS) + NAVD88 height (ftUS)</v>
      </c>
      <c r="J4540" t="str">
        <v>United States (USA) - Idaho - counties of Ada; Adams; Benewah; Boise; Bonner; Boundary; Canyon; Clearwater; Elmore; Gem; Idaho; Kootenai; Latah; Lewis; Nez Perce; Owyhee; Payette; Shoshone; Valley; Washington.</v>
      </c>
      <c r="K4540" s="11">
        <v>0</v>
      </c>
    </row>
    <row r="4541" spans="5:11" x14ac:dyDescent="0.35">
      <c r="E4541" s="9" t="str">
        <v>EPSG</v>
      </c>
      <c r="F4541" s="7" t="str">
        <v>8733</v>
      </c>
      <c r="G4541" t="str">
        <v>CompoundCrs</v>
      </c>
      <c r="H4541" t="str">
        <v>&lt;undefined&gt;</v>
      </c>
      <c r="I4541" t="str">
        <v>NAD83 / Illinois East (ftUS) + NAVD88 height (ftUS)</v>
      </c>
      <c r="J4541"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4541" s="11">
        <v>0</v>
      </c>
    </row>
    <row r="4542" spans="5:11" x14ac:dyDescent="0.35">
      <c r="E4542" s="9" t="str">
        <v>EPSG</v>
      </c>
      <c r="F4542" s="7" t="str">
        <v>8734</v>
      </c>
      <c r="G4542" t="str">
        <v>CompoundCrs</v>
      </c>
      <c r="H4542" t="str">
        <v>&lt;undefined&gt;</v>
      </c>
      <c r="I4542" t="str">
        <v>NAD83 / Illinois West (ftUS) + NAVD88 height (ftUS)</v>
      </c>
      <c r="J4542"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4542" s="11">
        <v>0</v>
      </c>
    </row>
    <row r="4543" spans="5:11" x14ac:dyDescent="0.35">
      <c r="E4543" s="9" t="str">
        <v>EPSG</v>
      </c>
      <c r="F4543" s="7" t="str">
        <v>8735</v>
      </c>
      <c r="G4543" t="str">
        <v>CompoundCrs</v>
      </c>
      <c r="H4543" t="str">
        <v>&lt;undefined&gt;</v>
      </c>
      <c r="I4543" t="str">
        <v>NAD83 / Indiana East (ftUS) + NAVD88 height (ftUS)</v>
      </c>
      <c r="J4543"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4543" s="11">
        <v>0</v>
      </c>
    </row>
    <row r="4544" spans="5:11" x14ac:dyDescent="0.35">
      <c r="E4544" s="9" t="str">
        <v>EPSG</v>
      </c>
      <c r="F4544" s="7" t="str">
        <v>8736</v>
      </c>
      <c r="G4544" t="str">
        <v>CompoundCrs</v>
      </c>
      <c r="H4544" t="str">
        <v>&lt;undefined&gt;</v>
      </c>
      <c r="I4544" t="str">
        <v>NAD83 / Indiana West (ftUS) + NAVD88 height (ftUS)</v>
      </c>
      <c r="J4544"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4544" s="11">
        <v>0</v>
      </c>
    </row>
    <row r="4545" spans="5:11" x14ac:dyDescent="0.35">
      <c r="E4545" s="9" t="str">
        <v>EPSG</v>
      </c>
      <c r="F4545" s="7" t="str">
        <v>8737</v>
      </c>
      <c r="G4545" t="str">
        <v>CompoundCrs</v>
      </c>
      <c r="H4545" t="str">
        <v>&lt;undefined&gt;</v>
      </c>
      <c r="I4545" t="str">
        <v>NAD83 / Iowa North (ftUS) + NAVD88 height (ftUS)</v>
      </c>
      <c r="J4545"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4545" s="11">
        <v>0</v>
      </c>
    </row>
    <row r="4546" spans="5:11" x14ac:dyDescent="0.35">
      <c r="E4546" s="9" t="str">
        <v>EPSG</v>
      </c>
      <c r="F4546" s="7" t="str">
        <v>8738</v>
      </c>
      <c r="G4546" t="str">
        <v>CompoundCrs</v>
      </c>
      <c r="H4546" t="str">
        <v>&lt;undefined&gt;</v>
      </c>
      <c r="I4546" t="str">
        <v>NAD83 / Iowa South (ftUS) + NAVD88 height (ftUS)</v>
      </c>
      <c r="J4546"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4546" s="11">
        <v>0</v>
      </c>
    </row>
    <row r="4547" spans="5:11" x14ac:dyDescent="0.35">
      <c r="E4547" s="9" t="str">
        <v>EPSG</v>
      </c>
      <c r="F4547" s="7" t="str">
        <v>8739</v>
      </c>
      <c r="G4547" t="str">
        <v>CompoundCrs</v>
      </c>
      <c r="H4547" t="str">
        <v>&lt;undefined&gt;</v>
      </c>
      <c r="I4547" t="str">
        <v>NAD83 / Kansas North (ftUS) + NAVD88 height (ftUS)</v>
      </c>
      <c r="J4547"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4547" s="11">
        <v>0</v>
      </c>
    </row>
    <row r="4548" spans="5:11" x14ac:dyDescent="0.35">
      <c r="E4548" s="9" t="str">
        <v>EPSG</v>
      </c>
      <c r="F4548" s="7" t="str">
        <v>8740</v>
      </c>
      <c r="G4548" t="str">
        <v>CompoundCrs</v>
      </c>
      <c r="H4548" t="str">
        <v>&lt;undefined&gt;</v>
      </c>
      <c r="I4548" t="str">
        <v>NAD83 / Kansas South (ftUS) + NAVD88 height (ftUS)</v>
      </c>
      <c r="J4548"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4548" s="11">
        <v>0</v>
      </c>
    </row>
    <row r="4549" spans="5:11" x14ac:dyDescent="0.35">
      <c r="E4549" s="9" t="str">
        <v>EPSG</v>
      </c>
      <c r="F4549" s="7" t="str">
        <v>8741</v>
      </c>
      <c r="G4549" t="str">
        <v>CompoundCrs</v>
      </c>
      <c r="H4549" t="str">
        <v>&lt;undefined&gt;</v>
      </c>
      <c r="I4549" t="str">
        <v>NAD83 / Kentucky North (ftUS) + NAVD88 height (ftUS)</v>
      </c>
      <c r="J4549"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4549" s="11">
        <v>0</v>
      </c>
    </row>
    <row r="4550" spans="5:11" x14ac:dyDescent="0.35">
      <c r="E4550" s="9" t="str">
        <v>EPSG</v>
      </c>
      <c r="F4550" s="7" t="str">
        <v>8742</v>
      </c>
      <c r="G4550" t="str">
        <v>CompoundCrs</v>
      </c>
      <c r="H4550" t="str">
        <v>&lt;undefined&gt;</v>
      </c>
      <c r="I4550" t="str">
        <v>NAD83 / Kentucky South (ftUS) + NAVD88 height (ftUS)</v>
      </c>
      <c r="J4550"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4550" s="11">
        <v>0</v>
      </c>
    </row>
    <row r="4551" spans="5:11" x14ac:dyDescent="0.35">
      <c r="E4551" s="9" t="str">
        <v>EPSG</v>
      </c>
      <c r="F4551" s="7" t="str">
        <v>8743</v>
      </c>
      <c r="G4551" t="str">
        <v>CompoundCrs</v>
      </c>
      <c r="H4551" t="str">
        <v>&lt;undefined&gt;</v>
      </c>
      <c r="I4551" t="str">
        <v>NAD83 / Louisiana North (ftUS) + NAVD88 height (ftUS)</v>
      </c>
      <c r="J4551"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4551" s="11">
        <v>0</v>
      </c>
    </row>
    <row r="4552" spans="5:11" x14ac:dyDescent="0.35">
      <c r="E4552" s="9" t="str">
        <v>EPSG</v>
      </c>
      <c r="F4552" s="7" t="str">
        <v>8744</v>
      </c>
      <c r="G4552" t="str">
        <v>CompoundCrs</v>
      </c>
      <c r="H4552" t="str">
        <v>&lt;undefined&gt;</v>
      </c>
      <c r="I4552" t="str">
        <v>NAD83 / Louisiana South (ftUS) + NAVD88 height (ftUS)</v>
      </c>
      <c r="J4552"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4552" s="11">
        <v>0</v>
      </c>
    </row>
    <row r="4553" spans="5:11" x14ac:dyDescent="0.35">
      <c r="E4553" s="9" t="str">
        <v>EPSG</v>
      </c>
      <c r="F4553" s="7" t="str">
        <v>8745</v>
      </c>
      <c r="G4553" t="str">
        <v>CompoundCrs</v>
      </c>
      <c r="H4553" t="str">
        <v>&lt;undefined&gt;</v>
      </c>
      <c r="I4553" t="str">
        <v>NAD83 / Maine East (ftUS) + NAVD88 height (ftUS)</v>
      </c>
      <c r="J4553" t="str">
        <v>United States (USA) - Maine - counties of Aroostook; Hancock; Knox; Penobscot; Piscataquis; Waldo; Washington.</v>
      </c>
      <c r="K4553" s="11">
        <v>0</v>
      </c>
    </row>
    <row r="4554" spans="5:11" x14ac:dyDescent="0.35">
      <c r="E4554" s="9" t="str">
        <v>EPSG</v>
      </c>
      <c r="F4554" s="7" t="str">
        <v>8746</v>
      </c>
      <c r="G4554" t="str">
        <v>CompoundCrs</v>
      </c>
      <c r="H4554" t="str">
        <v>&lt;undefined&gt;</v>
      </c>
      <c r="I4554" t="str">
        <v>NAD83 / Maine West (ftUS) + NAVD88 height (ftUS)</v>
      </c>
      <c r="J4554" t="str">
        <v>United States (USA) - Maine - counties of Androscoggin; Cumberland; Franklin; Kennebec; Lincoln; Oxford; Sagadahoc; Somerset; York.</v>
      </c>
      <c r="K4554" s="11">
        <v>0</v>
      </c>
    </row>
    <row r="4555" spans="5:11" x14ac:dyDescent="0.35">
      <c r="E4555" s="9" t="str">
        <v>EPSG</v>
      </c>
      <c r="F4555" s="7" t="str">
        <v>8747</v>
      </c>
      <c r="G4555" t="str">
        <v>CompoundCrs</v>
      </c>
      <c r="H4555" t="str">
        <v>&lt;undefined&gt;</v>
      </c>
      <c r="I4555" t="str">
        <v>NAD83 / Maryland (ftUS) + NAVD88 height (ftUS)</v>
      </c>
      <c r="J4555" t="str">
        <v>United States (USA) - Maryland - counties of Allegany; Anne Arundel; Baltimore; Calvert; Caroline; Carroll; Cecil; Charles; Dorchester; Frederick; Garrett; Harford; Howard; Kent; Montgomery; Prince Georges; Queen Annes; Somerset; St Marys; Talbot; Washington; Wicomico; Worcester.</v>
      </c>
      <c r="K4555" s="11">
        <v>0</v>
      </c>
    </row>
    <row r="4556" spans="5:11" x14ac:dyDescent="0.35">
      <c r="E4556" s="9" t="str">
        <v>EPSG</v>
      </c>
      <c r="F4556" s="7" t="str">
        <v>8748</v>
      </c>
      <c r="G4556" t="str">
        <v>CompoundCrs</v>
      </c>
      <c r="H4556" t="str">
        <v>&lt;undefined&gt;</v>
      </c>
      <c r="I4556" t="str">
        <v>NAD83 / Massachusetts Mainland (ftUS) + NAVD88 height (ftUS)</v>
      </c>
      <c r="J4556" t="str">
        <v>United States (USA) - Massachusetts onshore - counties of Barnstable; Berkshire; Bristol; Essex; Franklin; Hampden; Hampshire; Middlesex; Norfolk; Plymouth; Suffolk; Worcester.</v>
      </c>
      <c r="K4556" s="11">
        <v>0</v>
      </c>
    </row>
    <row r="4557" spans="5:11" x14ac:dyDescent="0.35">
      <c r="E4557" s="9" t="str">
        <v>EPSG</v>
      </c>
      <c r="F4557" s="7" t="str">
        <v>8749</v>
      </c>
      <c r="G4557" t="str">
        <v>CompoundCrs</v>
      </c>
      <c r="H4557" t="str">
        <v>&lt;undefined&gt;</v>
      </c>
      <c r="I4557" t="str">
        <v>NAD83 / Massachusetts Island (ftUS) + NAVD88 height (ftUS)</v>
      </c>
      <c r="J4557" t="str">
        <v>United States (USA) - Massachusetts offshore - counties of Dukes; Nantucket.</v>
      </c>
      <c r="K4557" s="11">
        <v>0</v>
      </c>
    </row>
    <row r="4558" spans="5:11" x14ac:dyDescent="0.35">
      <c r="E4558" s="9" t="str">
        <v>EPSG</v>
      </c>
      <c r="F4558" s="7" t="str">
        <v>8750</v>
      </c>
      <c r="G4558" t="str">
        <v>CompoundCrs</v>
      </c>
      <c r="H4558" t="str">
        <v>&lt;undefined&gt;</v>
      </c>
      <c r="I4558" t="str">
        <v>NAD83 / Minnesota North (ftUS) + NAVD88 height (ftUS)</v>
      </c>
      <c r="J4558" t="str">
        <v>United States (USA) - Minnesota - counties of Beltrami; Clearwater; Cook; Itasca; Kittson; Koochiching; Lake; Lake of the Woods; Mahnomen; Marshall; Norman; Pennington; Polk; Red Lake; Roseau; St Louis.</v>
      </c>
      <c r="K4558" s="11">
        <v>0</v>
      </c>
    </row>
    <row r="4559" spans="5:11" x14ac:dyDescent="0.35">
      <c r="E4559" s="9" t="str">
        <v>EPSG</v>
      </c>
      <c r="F4559" s="7" t="str">
        <v>8751</v>
      </c>
      <c r="G4559" t="str">
        <v>CompoundCrs</v>
      </c>
      <c r="H4559" t="str">
        <v>&lt;undefined&gt;</v>
      </c>
      <c r="I4559" t="str">
        <v>NAD83 / Minnesota Central (ftUS) + NAVD88 height (ftUS)</v>
      </c>
      <c r="J4559" t="str">
        <v>United States (USA) - Minnesota - counties of Aitkin; Becker; Benton; Carlton; Cass; Chisago; Clay; Crow Wing; Douglas; Grant; Hubbard; Isanti; Kanabec; Mille Lacs; Morrison; Otter Tail; Pine; Pope; Stearns; Stevens; Todd; Traverse; Wadena; Wilkin.</v>
      </c>
      <c r="K4559" s="11">
        <v>0</v>
      </c>
    </row>
    <row r="4560" spans="5:11" x14ac:dyDescent="0.35">
      <c r="E4560" s="9" t="str">
        <v>EPSG</v>
      </c>
      <c r="F4560" s="7" t="str">
        <v>8752</v>
      </c>
      <c r="G4560" t="str">
        <v>CompoundCrs</v>
      </c>
      <c r="H4560" t="str">
        <v>&lt;undefined&gt;</v>
      </c>
      <c r="I4560" t="str">
        <v>NAD83 / Minnesota South (ftUS) + NAVD88 height (ftUS)</v>
      </c>
      <c r="J4560"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4560" s="11">
        <v>0</v>
      </c>
    </row>
    <row r="4561" spans="5:11" x14ac:dyDescent="0.35">
      <c r="E4561" s="9" t="str">
        <v>EPSG</v>
      </c>
      <c r="F4561" s="7" t="str">
        <v>8753</v>
      </c>
      <c r="G4561" t="str">
        <v>CompoundCrs</v>
      </c>
      <c r="H4561" t="str">
        <v>&lt;undefined&gt;</v>
      </c>
      <c r="I4561" t="str">
        <v>NAD83 / Mississippi East (ftUS) + NAVD88 height (ftUS)</v>
      </c>
      <c r="J4561"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4561" s="11">
        <v>0</v>
      </c>
    </row>
    <row r="4562" spans="5:11" x14ac:dyDescent="0.35">
      <c r="E4562" s="9" t="str">
        <v>EPSG</v>
      </c>
      <c r="F4562" s="7" t="str">
        <v>8754</v>
      </c>
      <c r="G4562" t="str">
        <v>CompoundCrs</v>
      </c>
      <c r="H4562" t="str">
        <v>&lt;undefined&gt;</v>
      </c>
      <c r="I4562" t="str">
        <v>NAD83 / Mississippi West (ftUS) + NAVD88 height (ftUS)</v>
      </c>
      <c r="J4562"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4562" s="11">
        <v>0</v>
      </c>
    </row>
    <row r="4563" spans="5:11" x14ac:dyDescent="0.35">
      <c r="E4563" s="9" t="str">
        <v>EPSG</v>
      </c>
      <c r="F4563" s="7" t="str">
        <v>8755</v>
      </c>
      <c r="G4563" t="str">
        <v>CompoundCrs</v>
      </c>
      <c r="H4563" t="str">
        <v>&lt;undefined&gt;</v>
      </c>
      <c r="I4563" t="str">
        <v>NAD83 / Nebraska (ftUS) + NAVD88 height (ftUS)</v>
      </c>
      <c r="J4563"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4563" s="11">
        <v>0</v>
      </c>
    </row>
    <row r="4564" spans="5:11" x14ac:dyDescent="0.35">
      <c r="E4564" s="9" t="str">
        <v>EPSG</v>
      </c>
      <c r="F4564" s="7" t="str">
        <v>8756</v>
      </c>
      <c r="G4564" t="str">
        <v>CompoundCrs</v>
      </c>
      <c r="H4564" t="str">
        <v>&lt;undefined&gt;</v>
      </c>
      <c r="I4564" t="str">
        <v>NAD83 / Nevada East (ftUS) + NAVD88 height (ftUS)</v>
      </c>
      <c r="J4564" t="str">
        <v>United States (USA) - Nevada - counties of Clark; Elko; Eureka; Lincoln; White Pine.</v>
      </c>
      <c r="K4564" s="11">
        <v>0</v>
      </c>
    </row>
    <row r="4565" spans="5:11" x14ac:dyDescent="0.35">
      <c r="E4565" s="9" t="str">
        <v>EPSG</v>
      </c>
      <c r="F4565" s="7" t="str">
        <v>8757</v>
      </c>
      <c r="G4565" t="str">
        <v>CompoundCrs</v>
      </c>
      <c r="H4565" t="str">
        <v>&lt;undefined&gt;</v>
      </c>
      <c r="I4565" t="str">
        <v>NAD83 / Nevada Central (ftUS) + NAVD88 height (ftUS)</v>
      </c>
      <c r="J4565" t="str">
        <v>United States (USA) - Nevada - counties of Lander; Nye.</v>
      </c>
      <c r="K4565" s="11">
        <v>0</v>
      </c>
    </row>
    <row r="4566" spans="5:11" x14ac:dyDescent="0.35">
      <c r="E4566" s="9" t="str">
        <v>EPSG</v>
      </c>
      <c r="F4566" s="7" t="str">
        <v>8758</v>
      </c>
      <c r="G4566" t="str">
        <v>CompoundCrs</v>
      </c>
      <c r="H4566" t="str">
        <v>&lt;undefined&gt;</v>
      </c>
      <c r="I4566" t="str">
        <v>NAD83 / Nevada West (ftUS) + NAVD88 height (ftUS)</v>
      </c>
      <c r="J4566" t="str">
        <v>United States (USA) - Nevada - counties of Churchill; Douglas; Esmeralda; Humboldt; Lyon; Mineral; Pershing; Storey; Washoe.</v>
      </c>
      <c r="K4566" s="11">
        <v>0</v>
      </c>
    </row>
    <row r="4567" spans="5:11" x14ac:dyDescent="0.35">
      <c r="E4567" s="9" t="str">
        <v>EPSG</v>
      </c>
      <c r="F4567" s="7" t="str">
        <v>8759</v>
      </c>
      <c r="G4567" t="str">
        <v>CompoundCrs</v>
      </c>
      <c r="H4567" t="str">
        <v>&lt;undefined&gt;</v>
      </c>
      <c r="I4567" t="str">
        <v>NAD83 / New Hampshire (ftUS) + NAVD88 height (ftUS)</v>
      </c>
      <c r="J4567" t="str">
        <v>United States (USA) - New Hampshire - counties of Belknap; Carroll; Cheshire; Coos; Grafton; Hillsborough; Merrimack; Rockingham; Strafford; Sullivan.</v>
      </c>
      <c r="K4567" s="11">
        <v>0</v>
      </c>
    </row>
    <row r="4568" spans="5:11" x14ac:dyDescent="0.35">
      <c r="E4568" s="9" t="str">
        <v>EPSG</v>
      </c>
      <c r="F4568" s="7" t="str">
        <v>8760</v>
      </c>
      <c r="G4568" t="str">
        <v>CompoundCrs</v>
      </c>
      <c r="H4568" t="str">
        <v>&lt;undefined&gt;</v>
      </c>
      <c r="I4568" t="str">
        <v>NAD83 / New Jersey (ftUS) + NAVD88 height (ftUS)</v>
      </c>
      <c r="J4568" t="str">
        <v>United States (USA) - New Jersey - counties of Atlantic; Bergen; Burlington; Camden; Cape May; Cumberland; Essex; Gloucester; Hudson; Hunterdon; Mercer; Middlesex; Monmouth; Morris; Ocean; Passaic; Salem; Somerset; Sussex; Union; Warren.</v>
      </c>
      <c r="K4568" s="11">
        <v>0</v>
      </c>
    </row>
    <row r="4569" spans="5:11" x14ac:dyDescent="0.35">
      <c r="E4569" s="9" t="str">
        <v>EPSG</v>
      </c>
      <c r="F4569" s="7" t="str">
        <v>8761</v>
      </c>
      <c r="G4569" t="str">
        <v>CompoundCrs</v>
      </c>
      <c r="H4569" t="str">
        <v>&lt;undefined&gt;</v>
      </c>
      <c r="I4569" t="str">
        <v>NAD83 / New Mexico East (ftUS) + NAVD88 height (ftUS)</v>
      </c>
      <c r="J4569" t="str">
        <v>United States (USA) - New Mexico - counties of Chaves; Colfax; Curry; De Baca; Eddy; Guadalupe; Harding; Lea; Mora; Quay; Roosevelt; San Miguel; Union.</v>
      </c>
      <c r="K4569" s="11">
        <v>0</v>
      </c>
    </row>
    <row r="4570" spans="5:11" x14ac:dyDescent="0.35">
      <c r="E4570" s="9" t="str">
        <v>EPSG</v>
      </c>
      <c r="F4570" s="7" t="str">
        <v>8762</v>
      </c>
      <c r="G4570" t="str">
        <v>CompoundCrs</v>
      </c>
      <c r="H4570" t="str">
        <v>&lt;undefined&gt;</v>
      </c>
      <c r="I4570" t="str">
        <v>NAD83 / New Mexico Central (ftUS) + NAVD88 height (ftUS)</v>
      </c>
      <c r="J4570" t="str">
        <v>United States (USA) - New Mexico - counties of Bernalillo; Dona Ana; Lincoln; Los Alamos; Otero; Rio Arriba; Sandoval; Santa Fe; Socorro; Taos; Torrance; Valencia.</v>
      </c>
      <c r="K4570" s="11">
        <v>0</v>
      </c>
    </row>
    <row r="4571" spans="5:11" x14ac:dyDescent="0.35">
      <c r="E4571" s="9" t="str">
        <v>EPSG</v>
      </c>
      <c r="F4571" s="7" t="str">
        <v>8763</v>
      </c>
      <c r="G4571" t="str">
        <v>CompoundCrs</v>
      </c>
      <c r="H4571" t="str">
        <v>&lt;undefined&gt;</v>
      </c>
      <c r="I4571" t="str">
        <v>NAD83 / New Mexico West (ftUS) + NAVD88 height (ftUS)</v>
      </c>
      <c r="J4571" t="str">
        <v>United States (USA) - New Mexico - counties of Catron; Cibola; Grant; Hidalgo; Luna; McKinley; San Juan; Sierra.</v>
      </c>
      <c r="K4571" s="11">
        <v>0</v>
      </c>
    </row>
    <row r="4572" spans="5:11" x14ac:dyDescent="0.35">
      <c r="E4572" s="9" t="str">
        <v>EPSG</v>
      </c>
      <c r="F4572" s="7" t="str">
        <v>8764</v>
      </c>
      <c r="G4572" t="str">
        <v>CompoundCrs</v>
      </c>
      <c r="H4572" t="str">
        <v>&lt;undefined&gt;</v>
      </c>
      <c r="I4572" t="str">
        <v>NAD83 / New York East (ftUS) + NAVD88 height (ftUS)</v>
      </c>
      <c r="J4572"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4572" s="11">
        <v>0</v>
      </c>
    </row>
    <row r="4573" spans="5:11" x14ac:dyDescent="0.35">
      <c r="E4573" s="9" t="str">
        <v>EPSG</v>
      </c>
      <c r="F4573" s="7" t="str">
        <v>8765</v>
      </c>
      <c r="G4573" t="str">
        <v>CompoundCrs</v>
      </c>
      <c r="H4573" t="str">
        <v>&lt;undefined&gt;</v>
      </c>
      <c r="I4573" t="str">
        <v>NAD83 / New York Central (ftUS) + NAVD88 height (ftUS)</v>
      </c>
      <c r="J4573" t="str">
        <v>United States (USA) - New York - counties of Broome; Cayuga; Chemung; Chenango; Cortland; Jefferson; Lewis; Madison; Oneida; Onondaga; Ontario; Oswego; Schuyler; Seneca; Steuben; Tioga; Tompkins; Wayne; Yates.</v>
      </c>
      <c r="K4573" s="11">
        <v>0</v>
      </c>
    </row>
    <row r="4574" spans="5:11" x14ac:dyDescent="0.35">
      <c r="E4574" s="9" t="str">
        <v>EPSG</v>
      </c>
      <c r="F4574" s="7" t="str">
        <v>8766</v>
      </c>
      <c r="G4574" t="str">
        <v>CompoundCrs</v>
      </c>
      <c r="H4574" t="str">
        <v>&lt;undefined&gt;</v>
      </c>
      <c r="I4574" t="str">
        <v>NAD83 / New York West (ftUS) + NAVD88 height (ftUS)</v>
      </c>
      <c r="J4574" t="str">
        <v>United States (USA) - New York - counties of Allegany; Cattaraugus; Chautauqua; Erie; Genesee; Livingston; Monroe; Niagara; Orleans; Wyoming.</v>
      </c>
      <c r="K4574" s="11">
        <v>0</v>
      </c>
    </row>
    <row r="4575" spans="5:11" x14ac:dyDescent="0.35">
      <c r="E4575" s="9" t="str">
        <v>EPSG</v>
      </c>
      <c r="F4575" s="7" t="str">
        <v>8767</v>
      </c>
      <c r="G4575" t="str">
        <v>CompoundCrs</v>
      </c>
      <c r="H4575" t="str">
        <v>&lt;undefined&gt;</v>
      </c>
      <c r="I4575" t="str">
        <v>NAD83 / New York Long Island (ftUS) + NAVD88 height (ftUS)</v>
      </c>
      <c r="J4575" t="str">
        <v>United States (USA) - New York - counties of Bronx; Kings; Nassau; New York; Queens; Richmond; Suffolk.</v>
      </c>
      <c r="K4575" s="11">
        <v>0</v>
      </c>
    </row>
    <row r="4576" spans="5:11" x14ac:dyDescent="0.35">
      <c r="E4576" s="9" t="str">
        <v>EPSG</v>
      </c>
      <c r="F4576" s="7" t="str">
        <v>8768</v>
      </c>
      <c r="G4576" t="str">
        <v>CompoundCrs</v>
      </c>
      <c r="H4576" t="str">
        <v>&lt;undefined&gt;</v>
      </c>
      <c r="I4576" t="str">
        <v>NAD83 / North Carolina (ftUS) + NAVD88 height (ftUS)</v>
      </c>
      <c r="J4576"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4576" s="11">
        <v>0</v>
      </c>
    </row>
    <row r="4577" spans="5:11" x14ac:dyDescent="0.35">
      <c r="E4577" s="9" t="str">
        <v>EPSG</v>
      </c>
      <c r="F4577" s="7" t="str">
        <v>8769</v>
      </c>
      <c r="G4577" t="str">
        <v>CompoundCrs</v>
      </c>
      <c r="H4577" t="str">
        <v>&lt;undefined&gt;</v>
      </c>
      <c r="I4577" t="str">
        <v>NAD83 / Ohio North (ftUS) + NAVD88 height (ftUS)</v>
      </c>
      <c r="J4577"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4577" s="11">
        <v>0</v>
      </c>
    </row>
    <row r="4578" spans="5:11" x14ac:dyDescent="0.35">
      <c r="E4578" s="9" t="str">
        <v>EPSG</v>
      </c>
      <c r="F4578" s="7" t="str">
        <v>8770</v>
      </c>
      <c r="G4578" t="str">
        <v>CompoundCrs</v>
      </c>
      <c r="H4578" t="str">
        <v>&lt;undefined&gt;</v>
      </c>
      <c r="I4578" t="str">
        <v>NAD83 / Ohio South (ftUS) + NAVD88 height (ftUS)</v>
      </c>
      <c r="J4578"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4578" s="11">
        <v>0</v>
      </c>
    </row>
    <row r="4579" spans="5:11" x14ac:dyDescent="0.35">
      <c r="E4579" s="9" t="str">
        <v>EPSG</v>
      </c>
      <c r="F4579" s="7" t="str">
        <v>8771</v>
      </c>
      <c r="G4579" t="str">
        <v>CompoundCrs</v>
      </c>
      <c r="H4579" t="str">
        <v>&lt;undefined&gt;</v>
      </c>
      <c r="I4579" t="str">
        <v>NAD83 / Oklahoma North (ftUS) + NAVD88 height (ftUS)</v>
      </c>
      <c r="J4579"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4579" s="11">
        <v>0</v>
      </c>
    </row>
    <row r="4580" spans="5:11" x14ac:dyDescent="0.35">
      <c r="E4580" s="9" t="str">
        <v>EPSG</v>
      </c>
      <c r="F4580" s="7" t="str">
        <v>8772</v>
      </c>
      <c r="G4580" t="str">
        <v>CompoundCrs</v>
      </c>
      <c r="H4580" t="str">
        <v>&lt;undefined&gt;</v>
      </c>
      <c r="I4580" t="str">
        <v>NAD83 / Oklahoma South (ftUS) + NAVD88 height (ftUS)</v>
      </c>
      <c r="J4580"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4580" s="11">
        <v>0</v>
      </c>
    </row>
    <row r="4581" spans="5:11" x14ac:dyDescent="0.35">
      <c r="E4581" s="9" t="str">
        <v>EPSG</v>
      </c>
      <c r="F4581" s="7" t="str">
        <v>8773</v>
      </c>
      <c r="G4581" t="str">
        <v>CompoundCrs</v>
      </c>
      <c r="H4581" t="str">
        <v>&lt;undefined&gt;</v>
      </c>
      <c r="I4581" t="str">
        <v>NAD83 / Pennsylvania North (ftUS) + NAVD88 height (ftUS)</v>
      </c>
      <c r="J4581"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4581" s="11">
        <v>0</v>
      </c>
    </row>
    <row r="4582" spans="5:11" x14ac:dyDescent="0.35">
      <c r="E4582" s="9" t="str">
        <v>EPSG</v>
      </c>
      <c r="F4582" s="7" t="str">
        <v>8774</v>
      </c>
      <c r="G4582" t="str">
        <v>CompoundCrs</v>
      </c>
      <c r="H4582" t="str">
        <v>&lt;undefined&gt;</v>
      </c>
      <c r="I4582" t="str">
        <v>NAD83 / Pennsylvania South (ftUS) + NAVD88 height (ftUS)</v>
      </c>
      <c r="J4582"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4582" s="11">
        <v>0</v>
      </c>
    </row>
    <row r="4583" spans="5:11" x14ac:dyDescent="0.35">
      <c r="E4583" s="9" t="str">
        <v>EPSG</v>
      </c>
      <c r="F4583" s="7" t="str">
        <v>8775</v>
      </c>
      <c r="G4583" t="str">
        <v>CompoundCrs</v>
      </c>
      <c r="H4583" t="str">
        <v>&lt;undefined&gt;</v>
      </c>
      <c r="I4583" t="str">
        <v>NAD83 / Rhode Island (ftUS) + NAVD88 height (ftUS)</v>
      </c>
      <c r="J4583" t="str">
        <v>United States (USA) - Rhode Island - counties of Bristol; Kent; Newport; Providence; Washington.</v>
      </c>
      <c r="K4583" s="11">
        <v>0</v>
      </c>
    </row>
    <row r="4584" spans="5:11" x14ac:dyDescent="0.35">
      <c r="E4584" s="9" t="str">
        <v>EPSG</v>
      </c>
      <c r="F4584" s="7" t="str">
        <v>8776</v>
      </c>
      <c r="G4584" t="str">
        <v>CompoundCrs</v>
      </c>
      <c r="H4584" t="str">
        <v>&lt;undefined&gt;</v>
      </c>
      <c r="I4584" t="str">
        <v>NAD83 / South Dakota North (ftUS) + NAVD88 height (ftUS)</v>
      </c>
      <c r="J4584" t="str">
        <v>United States (USA) - South Dakota - counties of Beadle; Brookings; Brown; Butte; Campbell; Clark; Codington; Corson; Day; Deuel; Dewey; Edmunds; Faulk; Grant; Hamlin; Hand; Harding; Hyde; Kingsbury; Lawrence; Marshall; McPherson; Meade; Perkins; Potter; Roberts; Spink; Sully; Walworth; Ziebach.</v>
      </c>
      <c r="K4584" s="11">
        <v>0</v>
      </c>
    </row>
    <row r="4585" spans="5:11" x14ac:dyDescent="0.35">
      <c r="E4585" s="9" t="str">
        <v>EPSG</v>
      </c>
      <c r="F4585" s="7" t="str">
        <v>8777</v>
      </c>
      <c r="G4585" t="str">
        <v>CompoundCrs</v>
      </c>
      <c r="H4585" t="str">
        <v>&lt;undefined&gt;</v>
      </c>
      <c r="I4585" t="str">
        <v>NAD83 / South Dakota South (ftUS) + NAVD88 height (ftUS)</v>
      </c>
      <c r="J4585"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4585" s="11">
        <v>0</v>
      </c>
    </row>
    <row r="4586" spans="5:11" x14ac:dyDescent="0.35">
      <c r="E4586" s="9" t="str">
        <v>EPSG</v>
      </c>
      <c r="F4586" s="7" t="str">
        <v>8778</v>
      </c>
      <c r="G4586" t="str">
        <v>CompoundCrs</v>
      </c>
      <c r="H4586" t="str">
        <v>&lt;undefined&gt;</v>
      </c>
      <c r="I4586" t="str">
        <v>NAD83 / Tennessee (ftUS) + NAVD88 height (ftUS)</v>
      </c>
      <c r="J4586"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4586" s="11">
        <v>0</v>
      </c>
    </row>
    <row r="4587" spans="5:11" x14ac:dyDescent="0.35">
      <c r="E4587" s="9" t="str">
        <v>EPSG</v>
      </c>
      <c r="F4587" s="7" t="str">
        <v>8779</v>
      </c>
      <c r="G4587" t="str">
        <v>CompoundCrs</v>
      </c>
      <c r="H4587" t="str">
        <v>&lt;undefined&gt;</v>
      </c>
      <c r="I4587" t="str">
        <v>NAD83 / Texas North (ftUS) + NAVD88 height (ftUS)</v>
      </c>
      <c r="J4587" t="str">
        <v>United States (USA) - Texas - counties of: Armstrong; Briscoe; Carson; Castro; Childress; Collingsworth; Dallam; Deaf Smith; Donley; Gray; Hall; Hansford; Hartley; Hemphill; Hutchinson; Lipscomb; Moore; Ochiltree; Oldham; Parmer; Potter; Randall; Roberts; Sherman; Swisher; Wheeler.</v>
      </c>
      <c r="K4587" s="11">
        <v>0</v>
      </c>
    </row>
    <row r="4588" spans="5:11" x14ac:dyDescent="0.35">
      <c r="E4588" s="9" t="str">
        <v>EPSG</v>
      </c>
      <c r="F4588" s="7" t="str">
        <v>8780</v>
      </c>
      <c r="G4588" t="str">
        <v>CompoundCrs</v>
      </c>
      <c r="H4588" t="str">
        <v>&lt;undefined&gt;</v>
      </c>
      <c r="I4588" t="str">
        <v>NAD83 / Texas North Central (ftUS) + NAVD88 height (ftUS)</v>
      </c>
      <c r="J4588"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4588" s="11">
        <v>0</v>
      </c>
    </row>
    <row r="4589" spans="5:11" x14ac:dyDescent="0.35">
      <c r="E4589" s="9" t="str">
        <v>EPSG</v>
      </c>
      <c r="F4589" s="7" t="str">
        <v>8781</v>
      </c>
      <c r="G4589" t="str">
        <v>CompoundCrs</v>
      </c>
      <c r="H4589" t="str">
        <v>&lt;undefined&gt;</v>
      </c>
      <c r="I4589" t="str">
        <v>NAD83 / Texas Central (ftUS) + NAVD88 height (ftUS)</v>
      </c>
      <c r="J4589"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4589" s="11">
        <v>0</v>
      </c>
    </row>
    <row r="4590" spans="5:11" x14ac:dyDescent="0.35">
      <c r="E4590" s="9" t="str">
        <v>EPSG</v>
      </c>
      <c r="F4590" s="7" t="str">
        <v>8782</v>
      </c>
      <c r="G4590" t="str">
        <v>CompoundCrs</v>
      </c>
      <c r="H4590" t="str">
        <v>&lt;undefined&gt;</v>
      </c>
      <c r="I4590" t="str">
        <v>NAD83 / Texas South Central (ftUS) + NAVD88 height (ftUS)</v>
      </c>
      <c r="J4590"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4590" s="11">
        <v>0</v>
      </c>
    </row>
    <row r="4591" spans="5:11" x14ac:dyDescent="0.35">
      <c r="E4591" s="9" t="str">
        <v>EPSG</v>
      </c>
      <c r="F4591" s="7" t="str">
        <v>8783</v>
      </c>
      <c r="G4591" t="str">
        <v>CompoundCrs</v>
      </c>
      <c r="H4591" t="str">
        <v>&lt;undefined&gt;</v>
      </c>
      <c r="I4591" t="str">
        <v>NAD83 / Texas South (ftUS) + NAVD88 height (ftUS)</v>
      </c>
      <c r="J4591" t="str">
        <v>United States (USA) - Texas - counties of Brooks; Cameron; Duval; Hidalgo; Jim Hogg; Jim Wells; Kenedy; Kleberg; Nueces; San Patricio; Starr; Webb; Willacy; Zapata.</v>
      </c>
      <c r="K4591" s="11">
        <v>0</v>
      </c>
    </row>
    <row r="4592" spans="5:11" x14ac:dyDescent="0.35">
      <c r="E4592" s="9" t="str">
        <v>EPSG</v>
      </c>
      <c r="F4592" s="7" t="str">
        <v>8784</v>
      </c>
      <c r="G4592" t="str">
        <v>CompoundCrs</v>
      </c>
      <c r="H4592" t="str">
        <v>&lt;undefined&gt;</v>
      </c>
      <c r="I4592" t="str">
        <v>NAD83 / Utah North (ftUS) + NAVD88 height (ftUS)</v>
      </c>
      <c r="J4592" t="str">
        <v>United States (USA) - Utah - counties of Box Elder; Cache; Daggett; Davis; Morgan; Rich; Summit; Weber.</v>
      </c>
      <c r="K4592" s="11">
        <v>0</v>
      </c>
    </row>
    <row r="4593" spans="5:11" x14ac:dyDescent="0.35">
      <c r="E4593" s="9" t="str">
        <v>EPSG</v>
      </c>
      <c r="F4593" s="7" t="str">
        <v>8785</v>
      </c>
      <c r="G4593" t="str">
        <v>CompoundCrs</v>
      </c>
      <c r="H4593" t="str">
        <v>&lt;undefined&gt;</v>
      </c>
      <c r="I4593" t="str">
        <v>NAD83 / Utah Central (ftUS) + NAVD88 height (ftUS)</v>
      </c>
      <c r="J4593" t="str">
        <v>United States (USA) - Utah - counties of Carbon; Duchesne; Emery; Grand; Juab; Millard; Salt Lake; Sanpete; Sevier; Tooele; Uintah; Utah; Wasatch.</v>
      </c>
      <c r="K4593" s="11">
        <v>0</v>
      </c>
    </row>
    <row r="4594" spans="5:11" x14ac:dyDescent="0.35">
      <c r="E4594" s="9" t="str">
        <v>EPSG</v>
      </c>
      <c r="F4594" s="7" t="str">
        <v>8786</v>
      </c>
      <c r="G4594" t="str">
        <v>CompoundCrs</v>
      </c>
      <c r="H4594" t="str">
        <v>&lt;undefined&gt;</v>
      </c>
      <c r="I4594" t="str">
        <v>NAD83 / Utah South (ftUS) + NAVD88 height (ftUS)</v>
      </c>
      <c r="J4594" t="str">
        <v>United States (USA) - Utah - counties of Beaver; Garfield; Iron; Kane; Piute; San Juan; Washington; Wayne.</v>
      </c>
      <c r="K4594" s="11">
        <v>0</v>
      </c>
    </row>
    <row r="4595" spans="5:11" x14ac:dyDescent="0.35">
      <c r="E4595" s="9" t="str">
        <v>EPSG</v>
      </c>
      <c r="F4595" s="7" t="str">
        <v>8787</v>
      </c>
      <c r="G4595" t="str">
        <v>CompoundCrs</v>
      </c>
      <c r="H4595" t="str">
        <v>&lt;undefined&gt;</v>
      </c>
      <c r="I4595" t="str">
        <v>NAD83 / Vermont (ftUS) + NAVD88 height (ftUS)</v>
      </c>
      <c r="J4595" t="str">
        <v>United States (USA) - Vermont - counties of Addison; Bennington; Caledonia; Chittenden; Essex; Franklin; Grand Isle; Lamoille; Orange; Orleans; Rutland; Washington; Windham; Windsor.</v>
      </c>
      <c r="K4595" s="11">
        <v>0</v>
      </c>
    </row>
    <row r="4596" spans="5:11" x14ac:dyDescent="0.35">
      <c r="E4596" s="9" t="str">
        <v>EPSG</v>
      </c>
      <c r="F4596" s="7" t="str">
        <v>8788</v>
      </c>
      <c r="G4596" t="str">
        <v>CompoundCrs</v>
      </c>
      <c r="H4596" t="str">
        <v>&lt;undefined&gt;</v>
      </c>
      <c r="I4596" t="str">
        <v>NAD83 / Virginia North (ftUS) + NAVD88 height (ftUS)</v>
      </c>
      <c r="J4596" t="str">
        <v>United States (USA) - Virginia - counties of Arlington; Augusta; Bath; Caroline; Clarke; Culpeper; Fairfax; Fauquier; Frederick; Greene; Highland; King George; Loudoun; Madison; Orange; Page; Prince William; Rappahannock; Rockingham; Shenandoah; Spotsylvania; Stafford; Warren; Westmoreland.</v>
      </c>
      <c r="K4596" s="11">
        <v>0</v>
      </c>
    </row>
    <row r="4597" spans="5:11" x14ac:dyDescent="0.35">
      <c r="E4597" s="9" t="str">
        <v>EPSG</v>
      </c>
      <c r="F4597" s="7" t="str">
        <v>8789</v>
      </c>
      <c r="G4597" t="str">
        <v>CompoundCrs</v>
      </c>
      <c r="H4597" t="str">
        <v>&lt;undefined&gt;</v>
      </c>
      <c r="I4597" t="str">
        <v>NAD83 / Virginia South (ftUS) + NAVD88 height (ftUS)</v>
      </c>
      <c r="J4597"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4597" s="11">
        <v>0</v>
      </c>
    </row>
    <row r="4598" spans="5:11" x14ac:dyDescent="0.35">
      <c r="E4598" s="9" t="str">
        <v>EPSG</v>
      </c>
      <c r="F4598" s="7" t="str">
        <v>8790</v>
      </c>
      <c r="G4598" t="str">
        <v>CompoundCrs</v>
      </c>
      <c r="H4598" t="str">
        <v>&lt;undefined&gt;</v>
      </c>
      <c r="I4598" t="str">
        <v>NAD83 / Washington North (ftUS) + NAVD88 height (ftUS)</v>
      </c>
      <c r="J4598" t="str">
        <v>United States (USA) - Washington - counties of Chelan; Clallam; Douglas; Ferry; Grant north of approximately 47°30'N; Island; Jefferson; King; Kitsap; Lincoln; Okanogan; Pend Oreille; San Juan; Skagit; Snohomish; Spokane; Stevens; Whatcom.</v>
      </c>
      <c r="K4598" s="11">
        <v>0</v>
      </c>
    </row>
    <row r="4599" spans="5:11" x14ac:dyDescent="0.35">
      <c r="E4599" s="9" t="str">
        <v>EPSG</v>
      </c>
      <c r="F4599" s="7" t="str">
        <v>8791</v>
      </c>
      <c r="G4599" t="str">
        <v>CompoundCrs</v>
      </c>
      <c r="H4599" t="str">
        <v>&lt;undefined&gt;</v>
      </c>
      <c r="I4599" t="str">
        <v>NAD83 / Washington South (ftUS) + NAVD88 height (ftUS)</v>
      </c>
      <c r="J4599" t="str">
        <v>United States (USA) - Washington - counties of Adams; Asotin; Benton; Clark; Columbia; Cowlitz; Franklin; Garfield; Grant south of approximately 47°30'N; Grays Harbor; Kittitas; Klickitat; Lewis; Mason; Pacific; Pierce; Skamania; Thurston; Wahkiakum; Walla Walla; Whitman; Yakima.</v>
      </c>
      <c r="K4599" s="11">
        <v>0</v>
      </c>
    </row>
    <row r="4600" spans="5:11" x14ac:dyDescent="0.35">
      <c r="E4600" s="9" t="str">
        <v>EPSG</v>
      </c>
      <c r="F4600" s="7" t="str">
        <v>8792</v>
      </c>
      <c r="G4600" t="str">
        <v>CompoundCrs</v>
      </c>
      <c r="H4600" t="str">
        <v>&lt;undefined&gt;</v>
      </c>
      <c r="I4600" t="str">
        <v>NAD83 / West Virginia North (ftUS) + NAVD88 height (ftUS)</v>
      </c>
      <c r="J4600" t="str">
        <v>United States (USA) - West Virginia - counties of Barbour; Berkeley; Brooke; Doddridge; Grant; Hampshire; Hancock; Hardy; Harrison; Jefferson; Marion; Marshall; Mineral; Monongalia; Morgan; Ohio; Pleasants; Preston; Ritchie; Taylor; Tucker; Tyler; Wetzel; Wirt; Wood.</v>
      </c>
      <c r="K4600" s="11">
        <v>0</v>
      </c>
    </row>
    <row r="4601" spans="5:11" x14ac:dyDescent="0.35">
      <c r="E4601" s="9" t="str">
        <v>EPSG</v>
      </c>
      <c r="F4601" s="7" t="str">
        <v>8793</v>
      </c>
      <c r="G4601" t="str">
        <v>CompoundCrs</v>
      </c>
      <c r="H4601" t="str">
        <v>&lt;undefined&gt;</v>
      </c>
      <c r="I4601" t="str">
        <v>NAD83 / West Virginia South (ftUS) + NAVD88 height (ftUS)</v>
      </c>
      <c r="J4601"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4601" s="11">
        <v>0</v>
      </c>
    </row>
    <row r="4602" spans="5:11" x14ac:dyDescent="0.35">
      <c r="E4602" s="9" t="str">
        <v>EPSG</v>
      </c>
      <c r="F4602" s="7" t="str">
        <v>8794</v>
      </c>
      <c r="G4602" t="str">
        <v>CompoundCrs</v>
      </c>
      <c r="H4602" t="str">
        <v>&lt;undefined&gt;</v>
      </c>
      <c r="I4602" t="str">
        <v>NAD83 / Wisconsin North (ftUS) + NAVD88 height (ftUS)</v>
      </c>
      <c r="J4602" t="str">
        <v>United States (USA) - Wisconsin - counties of Ashland; Bayfield; Burnett; Douglas; Florence; Forest; Iron; Oneida; Price; Sawyer; Vilas; Washburn.</v>
      </c>
      <c r="K4602" s="11">
        <v>0</v>
      </c>
    </row>
    <row r="4603" spans="5:11" x14ac:dyDescent="0.35">
      <c r="E4603" s="9" t="str">
        <v>EPSG</v>
      </c>
      <c r="F4603" s="7" t="str">
        <v>8795</v>
      </c>
      <c r="G4603" t="str">
        <v>CompoundCrs</v>
      </c>
      <c r="H4603" t="str">
        <v>&lt;undefined&gt;</v>
      </c>
      <c r="I4603" t="str">
        <v>NAD83 / Wisconsin Central (ftUS) + NAVD88 height (ftUS)</v>
      </c>
      <c r="J4603" t="str">
        <v>United States (USA) - Wisconsin - counties of Barron; Brown; Buffalo; Chippewa; Clark; Door; Dunn; Eau Claire; Jackson; Kewaunee; Langlade; Lincoln; Marathon; Marinette; Menominee; Oconto; Outagamie; Pepin; Pierce; Polk; Portage; Rusk; Shawano; St Croix; Taylor; Trempealeau; Waupaca; Wood.</v>
      </c>
      <c r="K4603" s="11">
        <v>0</v>
      </c>
    </row>
    <row r="4604" spans="5:11" x14ac:dyDescent="0.35">
      <c r="E4604" s="9" t="str">
        <v>EPSG</v>
      </c>
      <c r="F4604" s="7" t="str">
        <v>8796</v>
      </c>
      <c r="G4604" t="str">
        <v>CompoundCrs</v>
      </c>
      <c r="H4604" t="str">
        <v>&lt;undefined&gt;</v>
      </c>
      <c r="I4604" t="str">
        <v>NAD83 / Wisconsin South (ftUS) + NAVD88 height (ftUS)</v>
      </c>
      <c r="J4604"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4604" s="11">
        <v>0</v>
      </c>
    </row>
    <row r="4605" spans="5:11" x14ac:dyDescent="0.35">
      <c r="E4605" s="9" t="str">
        <v>EPSG</v>
      </c>
      <c r="F4605" s="7" t="str">
        <v>8797</v>
      </c>
      <c r="G4605" t="str">
        <v>CompoundCrs</v>
      </c>
      <c r="H4605" t="str">
        <v>&lt;undefined&gt;</v>
      </c>
      <c r="I4605" t="str">
        <v>NAD83 / Wyoming East (ftUS) + NAVD88 height (ftUS)</v>
      </c>
      <c r="J4605" t="str">
        <v>United States (USA) - Wyoming - counties of Albany; Campbell; Converse; Crook; Goshen; Laramie; Niobrara; Platte; Weston.</v>
      </c>
      <c r="K4605" s="11">
        <v>0</v>
      </c>
    </row>
    <row r="4606" spans="5:11" x14ac:dyDescent="0.35">
      <c r="E4606" s="9" t="str">
        <v>EPSG</v>
      </c>
      <c r="F4606" s="7" t="str">
        <v>8798</v>
      </c>
      <c r="G4606" t="str">
        <v>CompoundCrs</v>
      </c>
      <c r="H4606" t="str">
        <v>&lt;undefined&gt;</v>
      </c>
      <c r="I4606" t="str">
        <v>NAD83 / Wyoming East Central (ftUS) + NAVD88 height (ftUS)</v>
      </c>
      <c r="J4606" t="str">
        <v>United States (USA) - Wyoming - counties of Big Horn; Carbon; Johnson; Natrona; Sheridan; Washakie.</v>
      </c>
      <c r="K4606" s="11">
        <v>0</v>
      </c>
    </row>
    <row r="4607" spans="5:11" x14ac:dyDescent="0.35">
      <c r="E4607" s="9" t="str">
        <v>EPSG</v>
      </c>
      <c r="F4607" s="7" t="str">
        <v>8799</v>
      </c>
      <c r="G4607" t="str">
        <v>CompoundCrs</v>
      </c>
      <c r="H4607" t="str">
        <v>&lt;undefined&gt;</v>
      </c>
      <c r="I4607" t="str">
        <v>NAD83 / Wyoming West Central (ftUS) + NAVD88 height (ftUS)</v>
      </c>
      <c r="J4607" t="str">
        <v>United States (USA) - Wyoming - counties of Fremont; Hot Springs; Park; Sweetwater.</v>
      </c>
      <c r="K4607" s="11">
        <v>0</v>
      </c>
    </row>
    <row r="4608" spans="5:11" x14ac:dyDescent="0.35">
      <c r="E4608" s="9" t="str">
        <v>EPSG</v>
      </c>
      <c r="F4608" s="7" t="str">
        <v>8800</v>
      </c>
      <c r="G4608" t="str">
        <v>CompoundCrs</v>
      </c>
      <c r="H4608" t="str">
        <v>&lt;undefined&gt;</v>
      </c>
      <c r="I4608" t="str">
        <v>NAD83 / Wyoming West (ftUS) + NAVD88 height (ftUS)</v>
      </c>
      <c r="J4608" t="str">
        <v>United States (USA) - Wyoming - counties of Lincoln; Sublette; Teton; Uinta.</v>
      </c>
      <c r="K4608" s="11">
        <v>0</v>
      </c>
    </row>
    <row r="4609" spans="5:11" x14ac:dyDescent="0.35">
      <c r="E4609" s="9" t="str">
        <v>EPSG</v>
      </c>
      <c r="F4609" s="7" t="str">
        <v>8801</v>
      </c>
      <c r="G4609" t="str">
        <v>CompoundCrs</v>
      </c>
      <c r="H4609" t="str">
        <v>&lt;undefined&gt;</v>
      </c>
      <c r="I4609" t="str">
        <v>NAD83 / Alabama East + NAVD88 height</v>
      </c>
      <c r="J4609"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4609" s="11">
        <v>0</v>
      </c>
    </row>
    <row r="4610" spans="5:11" x14ac:dyDescent="0.35">
      <c r="E4610" s="9" t="str">
        <v>EPSG</v>
      </c>
      <c r="F4610" s="7" t="str">
        <v>8802</v>
      </c>
      <c r="G4610" t="str">
        <v>CompoundCrs</v>
      </c>
      <c r="H4610" t="str">
        <v>&lt;undefined&gt;</v>
      </c>
      <c r="I4610" t="str">
        <v>NAD83 / Alabama West + NAVD88 height</v>
      </c>
      <c r="J4610"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4610" s="11">
        <v>0</v>
      </c>
    </row>
    <row r="4611" spans="5:11" x14ac:dyDescent="0.35">
      <c r="E4611" s="9" t="str">
        <v>EPSG</v>
      </c>
      <c r="F4611" s="7" t="str">
        <v>8803</v>
      </c>
      <c r="G4611" t="str">
        <v>CompoundCrs</v>
      </c>
      <c r="H4611" t="str">
        <v>&lt;undefined&gt;</v>
      </c>
      <c r="I4611" t="str">
        <v>NAD83 / Alaska zone 1 + NAVD88 height</v>
      </c>
      <c r="J4611" t="str">
        <v>United States (USA) - Alaska - east of 141°W; i.e. Panhandle.</v>
      </c>
      <c r="K4611" s="11">
        <v>0</v>
      </c>
    </row>
    <row r="4612" spans="5:11" x14ac:dyDescent="0.35">
      <c r="E4612" s="9" t="str">
        <v>EPSG</v>
      </c>
      <c r="F4612" s="7" t="str">
        <v>8804</v>
      </c>
      <c r="G4612" t="str">
        <v>CompoundCrs</v>
      </c>
      <c r="H4612" t="str">
        <v>&lt;undefined&gt;</v>
      </c>
      <c r="I4612" t="str">
        <v>NAD83 / Alaska zone 2 + NAVD88 height</v>
      </c>
      <c r="J4612" t="str">
        <v>United States (USA) - Alaska - between 144°W and 141°W, onshore.</v>
      </c>
      <c r="K4612" s="11">
        <v>0</v>
      </c>
    </row>
    <row r="4613" spans="5:11" x14ac:dyDescent="0.35">
      <c r="E4613" s="9" t="str">
        <v>EPSG</v>
      </c>
      <c r="F4613" s="7" t="str">
        <v>8805</v>
      </c>
      <c r="G4613" t="str">
        <v>CompoundCrs</v>
      </c>
      <c r="H4613" t="str">
        <v>&lt;undefined&gt;</v>
      </c>
      <c r="I4613" t="str">
        <v>NAD83 / Alaska zone 3 + NAVD88 height</v>
      </c>
      <c r="J4613" t="str">
        <v>United States (USA) - Alaska - between 148°W and 144°W.</v>
      </c>
      <c r="K4613" s="11">
        <v>0</v>
      </c>
    </row>
    <row r="4614" spans="5:11" x14ac:dyDescent="0.35">
      <c r="E4614" s="9" t="str">
        <v>EPSG</v>
      </c>
      <c r="F4614" s="7" t="str">
        <v>8806</v>
      </c>
      <c r="G4614" t="str">
        <v>CompoundCrs</v>
      </c>
      <c r="H4614" t="str">
        <v>&lt;undefined&gt;</v>
      </c>
      <c r="I4614" t="str">
        <v>NAD83 / Alaska zone 4 + NAVD88 height</v>
      </c>
      <c r="J4614" t="str">
        <v>United States (USA) - Alaska - between 152°W and 148°W, onshore.</v>
      </c>
      <c r="K4614" s="11">
        <v>0</v>
      </c>
    </row>
    <row r="4615" spans="5:11" x14ac:dyDescent="0.35">
      <c r="E4615" s="9" t="str">
        <v>EPSG</v>
      </c>
      <c r="F4615" s="7" t="str">
        <v>8807</v>
      </c>
      <c r="G4615" t="str">
        <v>CompoundCrs</v>
      </c>
      <c r="H4615" t="str">
        <v>&lt;undefined&gt;</v>
      </c>
      <c r="I4615" t="str">
        <v>NAD83 / Alaska zone 5 + NAVD88 height</v>
      </c>
      <c r="J4615" t="str">
        <v>United States (USA) - Alaska - between 156°W and 152°W.</v>
      </c>
      <c r="K4615" s="11">
        <v>0</v>
      </c>
    </row>
    <row r="4616" spans="5:11" x14ac:dyDescent="0.35">
      <c r="E4616" s="9" t="str">
        <v>EPSG</v>
      </c>
      <c r="F4616" s="7" t="str">
        <v>8808</v>
      </c>
      <c r="G4616" t="str">
        <v>CompoundCrs</v>
      </c>
      <c r="H4616" t="str">
        <v>&lt;undefined&gt;</v>
      </c>
      <c r="I4616" t="str">
        <v>NAD83 / Alaska zone 6 + NAVD88 height</v>
      </c>
      <c r="J4616" t="str">
        <v>United States (USA) - Alaska - between 160°W and 156°W, onshore.</v>
      </c>
      <c r="K4616" s="11">
        <v>0</v>
      </c>
    </row>
    <row r="4617" spans="5:11" x14ac:dyDescent="0.35">
      <c r="E4617" s="9" t="str">
        <v>EPSG</v>
      </c>
      <c r="F4617" s="7" t="str">
        <v>8809</v>
      </c>
      <c r="G4617" t="str">
        <v>CompoundCrs</v>
      </c>
      <c r="H4617" t="str">
        <v>&lt;undefined&gt;</v>
      </c>
      <c r="I4617" t="str">
        <v>NAD83 / Alaska zone 7 + NAVD88 height</v>
      </c>
      <c r="J4617" t="str">
        <v>United States (USA) - Alaska - between 164°W and 160°W, onshore.</v>
      </c>
      <c r="K4617" s="11">
        <v>0</v>
      </c>
    </row>
    <row r="4618" spans="5:11" x14ac:dyDescent="0.35">
      <c r="E4618" s="9" t="str">
        <v>EPSG</v>
      </c>
      <c r="F4618" s="7" t="str">
        <v>8810</v>
      </c>
      <c r="G4618" t="str">
        <v>CompoundCrs</v>
      </c>
      <c r="H4618" t="str">
        <v>&lt;undefined&gt;</v>
      </c>
      <c r="I4618" t="str">
        <v>NAD83 / Alaska zone 8 + NAVD88 height</v>
      </c>
      <c r="J4618" t="str">
        <v>United States (USA) - Alaska onshore north of 54°30'N and between 168°W and 164°W.</v>
      </c>
      <c r="K4618" s="11">
        <v>0</v>
      </c>
    </row>
    <row r="4619" spans="5:11" x14ac:dyDescent="0.35">
      <c r="E4619" s="9" t="str">
        <v>EPSG</v>
      </c>
      <c r="F4619" s="7" t="str">
        <v>8811</v>
      </c>
      <c r="G4619" t="str">
        <v>CompoundCrs</v>
      </c>
      <c r="H4619" t="str">
        <v>&lt;undefined&gt;</v>
      </c>
      <c r="I4619" t="str">
        <v>NAD83 / Alaska zone 9 + NAVD88 height</v>
      </c>
      <c r="J4619" t="str">
        <v>United States (USA) - Alaska onshore north of 54°30'N and west of 168°W.</v>
      </c>
      <c r="K4619" s="11">
        <v>0</v>
      </c>
    </row>
    <row r="4620" spans="5:11" x14ac:dyDescent="0.35">
      <c r="E4620" s="9" t="str">
        <v>EPSG</v>
      </c>
      <c r="F4620" s="7" t="str">
        <v>8812</v>
      </c>
      <c r="G4620" t="str">
        <v>CompoundCrs</v>
      </c>
      <c r="H4620" t="str">
        <v>&lt;undefined&gt;</v>
      </c>
      <c r="I4620" t="str">
        <v>NAD83 / Alaska zone 10 + NAVD88 height</v>
      </c>
      <c r="J4620" t="str">
        <v>United States (USA) - Alaska - Aleutian Islands onshore.</v>
      </c>
      <c r="K4620" s="11">
        <v>0</v>
      </c>
    </row>
    <row r="4621" spans="5:11" x14ac:dyDescent="0.35">
      <c r="E4621" s="9" t="str">
        <v>EPSG</v>
      </c>
      <c r="F4621" s="7" t="str">
        <v>8813</v>
      </c>
      <c r="G4621" t="str">
        <v>CompoundCrs</v>
      </c>
      <c r="H4621" t="str">
        <v>&lt;undefined&gt;</v>
      </c>
      <c r="I4621" t="str">
        <v>NAD83 / Missouri East + NAVD88 height</v>
      </c>
      <c r="J4621" t="str">
        <v>United States (USA) - Missouri - counties of Bollinger; Butler; Cape Girardeau; Carter; Clark; Crawford; Dent; Dunklin; Franklin; Gasconade; Iron; Jefferson; Lewis; Lincoln; Madison; Marion; Mississippi; Montgomery; New Madrid; Oregon; Pemiscot; Perry; Pike; Ralls; Reynolds; Ripley; Scott; Shannon; St Charles; St Francois; St Louis; Ste. Genevieve; Stoddard; Warren; Washington; Wayne.</v>
      </c>
      <c r="K4621" s="11">
        <v>0</v>
      </c>
    </row>
    <row r="4622" spans="5:11" x14ac:dyDescent="0.35">
      <c r="E4622" s="9" t="str">
        <v>EPSG</v>
      </c>
      <c r="F4622" s="7" t="str">
        <v>8814</v>
      </c>
      <c r="G4622" t="str">
        <v>CompoundCrs</v>
      </c>
      <c r="H4622" t="str">
        <v>&lt;undefined&gt;</v>
      </c>
      <c r="I4622" t="str">
        <v>NAD83 / Missouri Central + NAVD88 height</v>
      </c>
      <c r="J4622" t="str">
        <v>United States (USA) - Missouri - counties of Adair; Audrain; Benton; Boone; Callaway; Camden; Carroll; Chariton; Christian; Cole; Cooper; Dallas; Douglas; Greene; Grundy; Hickory; Howard; Howell; Knox; Laclede; Linn; Livingston; Macon; Maries; Mercer; Miller; Moniteau; Monroe; Morgan; Osage; Ozark; Pettis; Phelps; Polk; Pulaski; Putnam; Randolph; Saline; Schuyler; Scotland; Shelby; Stone; Sullivan; Taney; Texas; Webster; Wright.</v>
      </c>
      <c r="K4622" s="11">
        <v>0</v>
      </c>
    </row>
    <row r="4623" spans="5:11" x14ac:dyDescent="0.35">
      <c r="E4623" s="9" t="str">
        <v>EPSG</v>
      </c>
      <c r="F4623" s="7" t="str">
        <v>8815</v>
      </c>
      <c r="G4623" t="str">
        <v>CompoundCrs</v>
      </c>
      <c r="H4623" t="str">
        <v>&lt;undefined&gt;</v>
      </c>
      <c r="I4623" t="str">
        <v>NAD83 / Missouri West + NAVD88 height</v>
      </c>
      <c r="J4623" t="str">
        <v>United States (USA) - Missouri - counties of Andrew; Atchison; Barry; Barton; Bates; Buchanan; Caldwell; Cass; Cedar; Clay; Clinton; Dade; Daviess; De Kalb; Gentry; Harrison; Henry; Holt; Jackson; Jasper; Johnson; Lafayette; Lawrence; McDonald; Newton; Nodaway; Platte; Ray; St Clair; Vernon; Worth.</v>
      </c>
      <c r="K4623" s="11">
        <v>0</v>
      </c>
    </row>
    <row r="4624" spans="5:11" x14ac:dyDescent="0.35">
      <c r="E4624" s="9" t="str">
        <v>EPSG</v>
      </c>
      <c r="F4624" s="7" t="str">
        <v>8816</v>
      </c>
      <c r="G4624" t="str">
        <v>GeocentricCrs</v>
      </c>
      <c r="H4624" t="str">
        <v>&lt;undefined&gt;</v>
      </c>
      <c r="I4624" t="str">
        <v>MTRF-2000</v>
      </c>
      <c r="J4624" t="str">
        <v>Saudi Arabia - onshore and offshore.</v>
      </c>
      <c r="K4624" s="11">
        <v>0</v>
      </c>
    </row>
    <row r="4625" spans="5:11" x14ac:dyDescent="0.35">
      <c r="E4625" s="9" t="str">
        <v>EPSG</v>
      </c>
      <c r="F4625" s="7" t="str">
        <v>8817</v>
      </c>
      <c r="G4625" t="str">
        <v>Geographic3DCrs</v>
      </c>
      <c r="H4625" t="str">
        <v>&lt;undefined&gt;</v>
      </c>
      <c r="I4625" t="str">
        <v>MTRF-2000</v>
      </c>
      <c r="J4625" t="str">
        <v>Saudi Arabia - onshore and offshore.</v>
      </c>
      <c r="K4625" s="11">
        <v>0</v>
      </c>
    </row>
    <row r="4626" spans="5:11" x14ac:dyDescent="0.35">
      <c r="E4626" s="9" t="str">
        <v>EPSG</v>
      </c>
      <c r="F4626" s="7" t="str">
        <v>8818</v>
      </c>
      <c r="G4626" t="str">
        <v>Geographic2DCrs</v>
      </c>
      <c r="H4626" t="str">
        <v>&lt;undefined&gt;</v>
      </c>
      <c r="I4626" t="str">
        <v>MTRF-2000</v>
      </c>
      <c r="J4626" t="str">
        <v>Saudi Arabia - onshore and offshore.</v>
      </c>
      <c r="K4626" s="11">
        <v>0</v>
      </c>
    </row>
    <row r="4627" spans="5:11" x14ac:dyDescent="0.35">
      <c r="E4627" s="9" t="str">
        <v>EPSG</v>
      </c>
      <c r="F4627" s="7" t="str">
        <v>8826</v>
      </c>
      <c r="G4627" t="str">
        <v>ProjectedCrs</v>
      </c>
      <c r="H4627" t="str">
        <v>Transverse Mercator</v>
      </c>
      <c r="I4627" t="str">
        <v>NAD83 / Idaho Transverse Mercator</v>
      </c>
      <c r="J4627" t="str">
        <v>United States (USA) - Idaho.</v>
      </c>
      <c r="K4627" s="11">
        <v>0</v>
      </c>
    </row>
    <row r="4628" spans="5:11" x14ac:dyDescent="0.35">
      <c r="E4628" s="9" t="str">
        <v>EPSG</v>
      </c>
      <c r="F4628" s="7" t="str">
        <v>8836</v>
      </c>
      <c r="G4628" t="str">
        <v>ProjectedCrs</v>
      </c>
      <c r="H4628" t="str">
        <v>Transverse Mercator</v>
      </c>
      <c r="I4628" t="str">
        <v>MTRF-2000 / UTM zone 36N</v>
      </c>
      <c r="J4628" t="str">
        <v>Saudi Arabia - onshore and offshore - west of 36°E.</v>
      </c>
      <c r="K4628" s="11">
        <v>0</v>
      </c>
    </row>
    <row r="4629" spans="5:11" x14ac:dyDescent="0.35">
      <c r="E4629" s="9" t="str">
        <v>EPSG</v>
      </c>
      <c r="F4629" s="7" t="str">
        <v>8837</v>
      </c>
      <c r="G4629" t="str">
        <v>ProjectedCrs</v>
      </c>
      <c r="H4629" t="str">
        <v>Transverse Mercator</v>
      </c>
      <c r="I4629" t="str">
        <v>MTRF-2000 / UTM zone 37N</v>
      </c>
      <c r="J4629" t="str">
        <v>Saudi Arabia - onshore and offshore - between 36°E and 42°E.</v>
      </c>
      <c r="K4629" s="11">
        <v>0</v>
      </c>
    </row>
    <row r="4630" spans="5:11" x14ac:dyDescent="0.35">
      <c r="E4630" s="9" t="str">
        <v>EPSG</v>
      </c>
      <c r="F4630" s="7" t="str">
        <v>8838</v>
      </c>
      <c r="G4630" t="str">
        <v>ProjectedCrs</v>
      </c>
      <c r="H4630" t="str">
        <v>Transverse Mercator</v>
      </c>
      <c r="I4630" t="str">
        <v>MTRF-2000 / UTM zone 38N</v>
      </c>
      <c r="J4630" t="str">
        <v>Saudi Arabia - onshore and offshore - between of 42°E and 48°E.</v>
      </c>
      <c r="K4630" s="11">
        <v>0</v>
      </c>
    </row>
    <row r="4631" spans="5:11" x14ac:dyDescent="0.35">
      <c r="E4631" s="9" t="str">
        <v>EPSG</v>
      </c>
      <c r="F4631" s="7" t="str">
        <v>8839</v>
      </c>
      <c r="G4631" t="str">
        <v>ProjectedCrs</v>
      </c>
      <c r="H4631" t="str">
        <v>Transverse Mercator</v>
      </c>
      <c r="I4631" t="str">
        <v>MTRF-2000 / UTM zone 39N</v>
      </c>
      <c r="J4631" t="str">
        <v>Saudi Arabia - onshore and offshore - between 48°E and 54°E.</v>
      </c>
      <c r="K4631" s="11">
        <v>0</v>
      </c>
    </row>
    <row r="4632" spans="5:11" x14ac:dyDescent="0.35">
      <c r="E4632" s="9" t="str">
        <v>EPSG</v>
      </c>
      <c r="F4632" s="7" t="str">
        <v>8840</v>
      </c>
      <c r="G4632" t="str">
        <v>ProjectedCrs</v>
      </c>
      <c r="H4632" t="str">
        <v>Transverse Mercator</v>
      </c>
      <c r="I4632" t="str">
        <v>MTRF-2000 / UTM zone 40N</v>
      </c>
      <c r="J4632" t="str">
        <v>Saudi Arabia - east of 54°E.</v>
      </c>
      <c r="K4632" s="11">
        <v>0</v>
      </c>
    </row>
    <row r="4633" spans="5:11" x14ac:dyDescent="0.35">
      <c r="E4633" s="9" t="str">
        <v>EPSG</v>
      </c>
      <c r="F4633" s="7" t="str">
        <v>8841</v>
      </c>
      <c r="G4633" t="str">
        <v>VerticalCrs</v>
      </c>
      <c r="H4633" t="str">
        <v>&lt;undefined&gt;</v>
      </c>
      <c r="I4633" t="str">
        <v>MVGC height</v>
      </c>
      <c r="J4633" t="str">
        <v>Saudi Arabia - onshore.</v>
      </c>
      <c r="K4633" s="11">
        <v>0</v>
      </c>
    </row>
    <row r="4634" spans="5:11" x14ac:dyDescent="0.35">
      <c r="E4634" s="9" t="str">
        <v>EPSG</v>
      </c>
      <c r="F4634" s="7" t="str">
        <v>8857</v>
      </c>
      <c r="G4634" t="str">
        <v>ProjectedCrs</v>
      </c>
      <c r="H4634" t="str">
        <v>Equal Earth</v>
      </c>
      <c r="I4634" t="str">
        <v>WGS 84 / Equal Earth Greenwich</v>
      </c>
      <c r="J4634" t="str">
        <v>World.</v>
      </c>
      <c r="K4634" s="11">
        <v>0</v>
      </c>
    </row>
    <row r="4635" spans="5:11" x14ac:dyDescent="0.35">
      <c r="E4635" s="9" t="str">
        <v>EPSG</v>
      </c>
      <c r="F4635" s="7" t="str">
        <v>8858</v>
      </c>
      <c r="G4635" t="str">
        <v>ProjectedCrs</v>
      </c>
      <c r="H4635" t="str">
        <v>Equal Earth</v>
      </c>
      <c r="I4635" t="str">
        <v>WGS 84 / Equal Earth Americas</v>
      </c>
      <c r="J4635" t="str">
        <v>World centred on the Americas.</v>
      </c>
      <c r="K4635" s="11">
        <v>0</v>
      </c>
    </row>
    <row r="4636" spans="5:11" x14ac:dyDescent="0.35">
      <c r="E4636" s="9" t="str">
        <v>EPSG</v>
      </c>
      <c r="F4636" s="7" t="str">
        <v>8859</v>
      </c>
      <c r="G4636" t="str">
        <v>ProjectedCrs</v>
      </c>
      <c r="H4636" t="str">
        <v>Equal Earth</v>
      </c>
      <c r="I4636" t="str">
        <v>WGS 84 / Equal Earth Asia-Pacific</v>
      </c>
      <c r="J4636" t="str">
        <v>World centred on Asia-Pacific.</v>
      </c>
      <c r="K4636" s="11">
        <v>0</v>
      </c>
    </row>
    <row r="4637" spans="5:11" x14ac:dyDescent="0.35">
      <c r="E4637" s="9" t="str">
        <v>EPSG</v>
      </c>
      <c r="F4637" s="7" t="str">
        <v>8860</v>
      </c>
      <c r="G4637" t="str">
        <v>Geographic2DCrs</v>
      </c>
      <c r="H4637" t="str">
        <v>&lt;undefined&gt;</v>
      </c>
      <c r="I4637" t="str">
        <v>NAD83(FBN)</v>
      </c>
      <c r="J4637" t="str">
        <v>American Samoa - Tutuila, Aunu'u, Ofu, Olesega, Ta'u and Rose islands - onshore. Guam - onshore. Northern Mariana Islands - onshore. Puerto Rico - onshore. United States (USA) - CONUS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 onshore plus Gulf of Mexico offshore continental shelf (GoM OCS). US Virgin Islands - onshore.</v>
      </c>
      <c r="K4637" s="11">
        <v>0</v>
      </c>
    </row>
    <row r="4638" spans="5:11" x14ac:dyDescent="0.35">
      <c r="E4638" s="9" t="str">
        <v>EPSG</v>
      </c>
      <c r="F4638" s="7" t="str">
        <v>8881</v>
      </c>
      <c r="G4638" t="str">
        <v>VerticalCrs</v>
      </c>
      <c r="H4638" t="str">
        <v>&lt;undefined&gt;</v>
      </c>
      <c r="I4638" t="str">
        <v>Vienna height</v>
      </c>
      <c r="J4638" t="str">
        <v>Austria - Vienna city state.</v>
      </c>
      <c r="K4638" s="11">
        <v>0</v>
      </c>
    </row>
    <row r="4639" spans="5:11" x14ac:dyDescent="0.35">
      <c r="E4639" s="9" t="str">
        <v>EPSG</v>
      </c>
      <c r="F4639" s="7" t="str">
        <v>8888</v>
      </c>
      <c r="G4639" t="str">
        <v>Geographic2DCrs</v>
      </c>
      <c r="H4639" t="str">
        <v>&lt;undefined&gt;</v>
      </c>
      <c r="I4639" t="str">
        <v>WGS 84 (Transit)</v>
      </c>
      <c r="J4639" t="str">
        <v>World.</v>
      </c>
      <c r="K4639" s="11">
        <v>0</v>
      </c>
    </row>
    <row r="4640" spans="5:11" x14ac:dyDescent="0.35">
      <c r="E4640" s="9" t="str">
        <v>EPSG</v>
      </c>
      <c r="F4640" s="7" t="str">
        <v>8897</v>
      </c>
      <c r="G4640" t="str">
        <v>VerticalCrs</v>
      </c>
      <c r="H4640" t="str">
        <v>&lt;undefined&gt;</v>
      </c>
      <c r="I4640" t="str">
        <v>EPSG example wellbore local vertical CRS (ft)</v>
      </c>
      <c r="J4640" t="str">
        <v>Description of the extent of the CRS.</v>
      </c>
      <c r="K4640" s="11">
        <v>0</v>
      </c>
    </row>
    <row r="4641" spans="5:11" x14ac:dyDescent="0.35">
      <c r="E4641" s="9" t="str">
        <v>EPSG</v>
      </c>
      <c r="F4641" s="7" t="str">
        <v>8898</v>
      </c>
      <c r="G4641" t="str">
        <v>GeocentricCrs</v>
      </c>
      <c r="H4641" t="str">
        <v>&lt;undefined&gt;</v>
      </c>
      <c r="I4641" t="str">
        <v>RGWF96</v>
      </c>
      <c r="J4641" t="str">
        <v>Wallis and Futuna - onshore and offshore - Uvea, Futuna, and Alofi.</v>
      </c>
      <c r="K4641" s="11">
        <v>0</v>
      </c>
    </row>
    <row r="4642" spans="5:11" x14ac:dyDescent="0.35">
      <c r="E4642" s="9" t="str">
        <v>EPSG</v>
      </c>
      <c r="F4642" s="7" t="str">
        <v>8899</v>
      </c>
      <c r="G4642" t="str">
        <v>Geographic3DCrs</v>
      </c>
      <c r="H4642" t="str">
        <v>&lt;undefined&gt;</v>
      </c>
      <c r="I4642" t="str">
        <v>RGWF96</v>
      </c>
      <c r="J4642" t="str">
        <v>Wallis and Futuna - onshore and offshore - Uvea, Futuna, and Alofi.</v>
      </c>
      <c r="K4642" s="11">
        <v>0</v>
      </c>
    </row>
    <row r="4643" spans="5:11" x14ac:dyDescent="0.35">
      <c r="E4643" s="9" t="str">
        <v>EPSG</v>
      </c>
      <c r="F4643" s="7" t="str">
        <v>8900</v>
      </c>
      <c r="G4643" t="str">
        <v>Geographic2DCrs</v>
      </c>
      <c r="H4643" t="str">
        <v>&lt;undefined&gt;</v>
      </c>
      <c r="I4643" t="str">
        <v>RGWF96</v>
      </c>
      <c r="J4643" t="str">
        <v>Wallis and Futuna - onshore and offshore - Uvea, Futuna, and Alofi.</v>
      </c>
      <c r="K4643" s="11">
        <v>0</v>
      </c>
    </row>
    <row r="4644" spans="5:11" x14ac:dyDescent="0.35">
      <c r="E4644" s="9" t="str">
        <v>EPSG</v>
      </c>
      <c r="F4644" s="7" t="str">
        <v>8901</v>
      </c>
      <c r="G4644" t="str">
        <v>Geographic3DCrs</v>
      </c>
      <c r="H4644" t="str">
        <v>&lt;undefined&gt;</v>
      </c>
      <c r="I4644" t="str">
        <v>RGWF96 (lon-lat)</v>
      </c>
      <c r="J4644" t="str">
        <v>Wallis and Futuna - onshore and offshore - Uvea, Futuna, and Alofi.</v>
      </c>
      <c r="K4644" s="11">
        <v>0</v>
      </c>
    </row>
    <row r="4645" spans="5:11" x14ac:dyDescent="0.35">
      <c r="E4645" s="9" t="str">
        <v>EPSG</v>
      </c>
      <c r="F4645" s="7" t="str">
        <v>8902</v>
      </c>
      <c r="G4645" t="str">
        <v>Geographic2DCrs</v>
      </c>
      <c r="H4645" t="str">
        <v>&lt;undefined&gt;</v>
      </c>
      <c r="I4645" t="str">
        <v>RGWF96 (lon-lat)</v>
      </c>
      <c r="J4645" t="str">
        <v>Wallis and Futuna - onshore and offshore - Uvea, Futuna, and Alofi.</v>
      </c>
      <c r="K4645" s="11">
        <v>0</v>
      </c>
    </row>
    <row r="4646" spans="5:11" x14ac:dyDescent="0.35">
      <c r="E4646" s="9" t="str">
        <v>EPSG</v>
      </c>
      <c r="F4646" s="7" t="str">
        <v>8903</v>
      </c>
      <c r="G4646" t="str">
        <v>ProjectedCrs</v>
      </c>
      <c r="H4646" t="str">
        <v>Transverse Mercator</v>
      </c>
      <c r="I4646" t="str">
        <v>RGWF96 / UTM zone 1S</v>
      </c>
      <c r="J4646" t="str">
        <v>Wallis and Futuna - onshore and offshore - Uvea, Futuna, and Alofi.</v>
      </c>
      <c r="K4646" s="11">
        <v>0</v>
      </c>
    </row>
    <row r="4647" spans="5:11" x14ac:dyDescent="0.35">
      <c r="E4647" s="9" t="str">
        <v>EPSG</v>
      </c>
      <c r="F4647" s="7" t="str">
        <v>8904</v>
      </c>
      <c r="G4647" t="str">
        <v>VerticalCrs</v>
      </c>
      <c r="H4647" t="str">
        <v>&lt;undefined&gt;</v>
      </c>
      <c r="I4647" t="str">
        <v>TWVD 2001 height</v>
      </c>
      <c r="J4647" t="str">
        <v>Taiwan, Republic of China - onshore - Taiwan Island.</v>
      </c>
      <c r="K4647" s="11">
        <v>0</v>
      </c>
    </row>
    <row r="4648" spans="5:11" x14ac:dyDescent="0.35">
      <c r="E4648" s="9" t="str">
        <v>EPSG</v>
      </c>
      <c r="F4648" s="7" t="str">
        <v>8905</v>
      </c>
      <c r="G4648" t="str">
        <v>GeocentricCrs</v>
      </c>
      <c r="H4648" t="str">
        <v>&lt;undefined&gt;</v>
      </c>
      <c r="I4648" t="str">
        <v>CR-SIRGAS</v>
      </c>
      <c r="J4648" t="str">
        <v>Costa Rica - onshore and offshore.</v>
      </c>
      <c r="K4648" s="11">
        <v>0</v>
      </c>
    </row>
    <row r="4649" spans="5:11" x14ac:dyDescent="0.35">
      <c r="E4649" s="9" t="str">
        <v>EPSG</v>
      </c>
      <c r="F4649" s="7" t="str">
        <v>8906</v>
      </c>
      <c r="G4649" t="str">
        <v>Geographic3DCrs</v>
      </c>
      <c r="H4649" t="str">
        <v>&lt;undefined&gt;</v>
      </c>
      <c r="I4649" t="str">
        <v>CR-SIRGAS</v>
      </c>
      <c r="J4649" t="str">
        <v>Costa Rica - onshore and offshore.</v>
      </c>
      <c r="K4649" s="11">
        <v>0</v>
      </c>
    </row>
    <row r="4650" spans="5:11" x14ac:dyDescent="0.35">
      <c r="E4650" s="9" t="str">
        <v>EPSG</v>
      </c>
      <c r="F4650" s="7" t="str">
        <v>8907</v>
      </c>
      <c r="G4650" t="str">
        <v>Geographic2DCrs</v>
      </c>
      <c r="H4650" t="str">
        <v>&lt;undefined&gt;</v>
      </c>
      <c r="I4650" t="str">
        <v>CR-SIRGAS</v>
      </c>
      <c r="J4650" t="str">
        <v>Costa Rica - onshore and offshore.</v>
      </c>
      <c r="K4650" s="11">
        <v>0</v>
      </c>
    </row>
    <row r="4651" spans="5:11" x14ac:dyDescent="0.35">
      <c r="E4651" s="9" t="str">
        <v>EPSG</v>
      </c>
      <c r="F4651" s="7" t="str">
        <v>8908</v>
      </c>
      <c r="G4651" t="str">
        <v>ProjectedCrs</v>
      </c>
      <c r="H4651" t="str">
        <v>Transverse Mercator</v>
      </c>
      <c r="I4651" t="str">
        <v>CR-SIRGAS / CRTM05</v>
      </c>
      <c r="J4651" t="str">
        <v>Costa Rica - onshore.</v>
      </c>
      <c r="K4651" s="11">
        <v>0</v>
      </c>
    </row>
    <row r="4652" spans="5:11" x14ac:dyDescent="0.35">
      <c r="E4652" s="9" t="str">
        <v>EPSG</v>
      </c>
      <c r="F4652" s="7" t="str">
        <v>8909</v>
      </c>
      <c r="G4652" t="str">
        <v>ProjectedCrs</v>
      </c>
      <c r="H4652" t="str">
        <v>Transverse Mercator</v>
      </c>
      <c r="I4652" t="str">
        <v>CR-SIRGAS / UTM zone 16N</v>
      </c>
      <c r="J4652" t="str">
        <v>Costa Rica - offshore Pacific ocean and onshore Coco Island.</v>
      </c>
      <c r="K4652" s="11">
        <v>0</v>
      </c>
    </row>
    <row r="4653" spans="5:11" x14ac:dyDescent="0.35">
      <c r="E4653" s="9" t="str">
        <v>EPSG</v>
      </c>
      <c r="F4653" s="7" t="str">
        <v>8910</v>
      </c>
      <c r="G4653" t="str">
        <v>ProjectedCrs</v>
      </c>
      <c r="H4653" t="str">
        <v>Transverse Mercator</v>
      </c>
      <c r="I4653" t="str">
        <v>CR-SIRGAS / UTM zone 17N</v>
      </c>
      <c r="J4653" t="str">
        <v>Costa Rica - offshore - Caribbean sea.</v>
      </c>
      <c r="K4653" s="11">
        <v>0</v>
      </c>
    </row>
    <row r="4654" spans="5:11" x14ac:dyDescent="0.35">
      <c r="E4654" s="9" t="str">
        <v>EPSG</v>
      </c>
      <c r="F4654" s="7" t="str">
        <v>8911</v>
      </c>
      <c r="G4654" t="str">
        <v>VerticalCrs</v>
      </c>
      <c r="H4654" t="str">
        <v>&lt;undefined&gt;</v>
      </c>
      <c r="I4654" t="str">
        <v>DACR52 height</v>
      </c>
      <c r="J4654" t="str">
        <v>Costa Rica - onshore.</v>
      </c>
      <c r="K4654" s="11">
        <v>0</v>
      </c>
    </row>
    <row r="4655" spans="5:11" x14ac:dyDescent="0.35">
      <c r="E4655" s="9" t="str">
        <v>EPSG</v>
      </c>
      <c r="F4655" s="7" t="str">
        <v>8912</v>
      </c>
      <c r="G4655" t="str">
        <v>CompoundCrs</v>
      </c>
      <c r="H4655" t="str">
        <v>&lt;undefined&gt;</v>
      </c>
      <c r="I4655" t="str">
        <v>CR-SIRGAS / CRTM05 + DACR52 height</v>
      </c>
      <c r="J4655" t="str">
        <v>Costa Rica - onshore.</v>
      </c>
      <c r="K4655" s="11">
        <v>0</v>
      </c>
    </row>
    <row r="4656" spans="5:11" x14ac:dyDescent="0.35">
      <c r="E4656" s="9" t="str">
        <v>EPSG</v>
      </c>
      <c r="F4656" s="7" t="str">
        <v>8915</v>
      </c>
      <c r="G4656" t="str">
        <v>GeocentricCrs</v>
      </c>
      <c r="H4656" t="str">
        <v>&lt;undefined&gt;</v>
      </c>
      <c r="I4656" t="str">
        <v>SIRGAS-CON DGF00P01</v>
      </c>
      <c r="J4656" t="str">
        <v>Latin America - Central America and South America, onshore and offshore.</v>
      </c>
      <c r="K4656" s="11">
        <v>0</v>
      </c>
    </row>
    <row r="4657" spans="5:11" x14ac:dyDescent="0.35">
      <c r="E4657" s="9" t="str">
        <v>EPSG</v>
      </c>
      <c r="F4657" s="7" t="str">
        <v>8916</v>
      </c>
      <c r="G4657" t="str">
        <v>Geographic3DCrs</v>
      </c>
      <c r="H4657" t="str">
        <v>&lt;undefined&gt;</v>
      </c>
      <c r="I4657" t="str">
        <v>SIRGAS-CON DGF00P01</v>
      </c>
      <c r="J4657" t="str">
        <v>Latin America - Central America and South America, onshore and offshore.</v>
      </c>
      <c r="K4657" s="11">
        <v>0</v>
      </c>
    </row>
    <row r="4658" spans="5:11" x14ac:dyDescent="0.35">
      <c r="E4658" s="9" t="str">
        <v>EPSG</v>
      </c>
      <c r="F4658" s="7" t="str">
        <v>8917</v>
      </c>
      <c r="G4658" t="str">
        <v>GeocentricCrs</v>
      </c>
      <c r="H4658" t="str">
        <v>&lt;undefined&gt;</v>
      </c>
      <c r="I4658" t="str">
        <v>SIRGAS-CON DGF01P01</v>
      </c>
      <c r="J4658" t="str">
        <v>Latin America - Central America and South America, onshore and offshore.</v>
      </c>
      <c r="K4658" s="11">
        <v>0</v>
      </c>
    </row>
    <row r="4659" spans="5:11" x14ac:dyDescent="0.35">
      <c r="E4659" s="9" t="str">
        <v>EPSG</v>
      </c>
      <c r="F4659" s="7" t="str">
        <v>8918</v>
      </c>
      <c r="G4659" t="str">
        <v>Geographic3DCrs</v>
      </c>
      <c r="H4659" t="str">
        <v>&lt;undefined&gt;</v>
      </c>
      <c r="I4659" t="str">
        <v>SIRGAS-CON DGF01P01</v>
      </c>
      <c r="J4659" t="str">
        <v>Latin America - Central America and South America, onshore and offshore.</v>
      </c>
      <c r="K4659" s="11">
        <v>0</v>
      </c>
    </row>
    <row r="4660" spans="5:11" x14ac:dyDescent="0.35">
      <c r="E4660" s="9" t="str">
        <v>EPSG</v>
      </c>
      <c r="F4660" s="7" t="str">
        <v>8919</v>
      </c>
      <c r="G4660" t="str">
        <v>GeocentricCrs</v>
      </c>
      <c r="H4660" t="str">
        <v>&lt;undefined&gt;</v>
      </c>
      <c r="I4660" t="str">
        <v>SIRGAS-CON DGF01P02</v>
      </c>
      <c r="J4660" t="str">
        <v>Latin America - Central America and South America, onshore and offshore.</v>
      </c>
      <c r="K4660" s="11">
        <v>0</v>
      </c>
    </row>
    <row r="4661" spans="5:11" x14ac:dyDescent="0.35">
      <c r="E4661" s="9" t="str">
        <v>EPSG</v>
      </c>
      <c r="F4661" s="7" t="str">
        <v>8920</v>
      </c>
      <c r="G4661" t="str">
        <v>Geographic3DCrs</v>
      </c>
      <c r="H4661" t="str">
        <v>&lt;undefined&gt;</v>
      </c>
      <c r="I4661" t="str">
        <v>SIRGAS-CON DGF01P02</v>
      </c>
      <c r="J4661" t="str">
        <v>Latin America - Central America and South America, onshore and offshore.</v>
      </c>
      <c r="K4661" s="11">
        <v>0</v>
      </c>
    </row>
    <row r="4662" spans="5:11" x14ac:dyDescent="0.35">
      <c r="E4662" s="9" t="str">
        <v>EPSG</v>
      </c>
      <c r="F4662" s="7" t="str">
        <v>8921</v>
      </c>
      <c r="G4662" t="str">
        <v>GeocentricCrs</v>
      </c>
      <c r="H4662" t="str">
        <v>&lt;undefined&gt;</v>
      </c>
      <c r="I4662" t="str">
        <v>SIRGAS-CON DGF02P01</v>
      </c>
      <c r="J4662" t="str">
        <v>Latin America - Central America and South America, onshore and offshore.</v>
      </c>
      <c r="K4662" s="11">
        <v>0</v>
      </c>
    </row>
    <row r="4663" spans="5:11" x14ac:dyDescent="0.35">
      <c r="E4663" s="9" t="str">
        <v>EPSG</v>
      </c>
      <c r="F4663" s="7" t="str">
        <v>8922</v>
      </c>
      <c r="G4663" t="str">
        <v>Geographic3DCrs</v>
      </c>
      <c r="H4663" t="str">
        <v>&lt;undefined&gt;</v>
      </c>
      <c r="I4663" t="str">
        <v>SIRGAS-CON DGF02P01</v>
      </c>
      <c r="J4663" t="str">
        <v>Latin America - Central America and South America, onshore and offshore.</v>
      </c>
      <c r="K4663" s="11">
        <v>0</v>
      </c>
    </row>
    <row r="4664" spans="5:11" x14ac:dyDescent="0.35">
      <c r="E4664" s="9" t="str">
        <v>EPSG</v>
      </c>
      <c r="F4664" s="7" t="str">
        <v>8923</v>
      </c>
      <c r="G4664" t="str">
        <v>GeocentricCrs</v>
      </c>
      <c r="H4664" t="str">
        <v>&lt;undefined&gt;</v>
      </c>
      <c r="I4664" t="str">
        <v>SIRGAS-CON DGF04P01</v>
      </c>
      <c r="J4664" t="str">
        <v>Latin America - Central America and South America, onshore and offshore.</v>
      </c>
      <c r="K4664" s="11">
        <v>0</v>
      </c>
    </row>
    <row r="4665" spans="5:11" x14ac:dyDescent="0.35">
      <c r="E4665" s="9" t="str">
        <v>EPSG</v>
      </c>
      <c r="F4665" s="7" t="str">
        <v>8924</v>
      </c>
      <c r="G4665" t="str">
        <v>Geographic3DCrs</v>
      </c>
      <c r="H4665" t="str">
        <v>&lt;undefined&gt;</v>
      </c>
      <c r="I4665" t="str">
        <v>SIRGAS-CON DGF04P01</v>
      </c>
      <c r="J4665" t="str">
        <v>Latin America - Central America and South America, onshore and offshore.</v>
      </c>
      <c r="K4665" s="11">
        <v>0</v>
      </c>
    </row>
    <row r="4666" spans="5:11" x14ac:dyDescent="0.35">
      <c r="E4666" s="9" t="str">
        <v>EPSG</v>
      </c>
      <c r="F4666" s="7" t="str">
        <v>8925</v>
      </c>
      <c r="G4666" t="str">
        <v>GeocentricCrs</v>
      </c>
      <c r="H4666" t="str">
        <v>&lt;undefined&gt;</v>
      </c>
      <c r="I4666" t="str">
        <v>SIRGAS-CON DGF05P01</v>
      </c>
      <c r="J4666" t="str">
        <v>Latin America - Central America and South America, onshore and offshore.</v>
      </c>
      <c r="K4666" s="11">
        <v>0</v>
      </c>
    </row>
    <row r="4667" spans="5:11" x14ac:dyDescent="0.35">
      <c r="E4667" s="9" t="str">
        <v>EPSG</v>
      </c>
      <c r="F4667" s="7" t="str">
        <v>8926</v>
      </c>
      <c r="G4667" t="str">
        <v>Geographic3DCrs</v>
      </c>
      <c r="H4667" t="str">
        <v>&lt;undefined&gt;</v>
      </c>
      <c r="I4667" t="str">
        <v>SIRGAS-CON DGF05P01</v>
      </c>
      <c r="J4667" t="str">
        <v>Latin America - Central America and South America, onshore and offshore.</v>
      </c>
      <c r="K4667" s="11">
        <v>0</v>
      </c>
    </row>
    <row r="4668" spans="5:11" x14ac:dyDescent="0.35">
      <c r="E4668" s="9" t="str">
        <v>EPSG</v>
      </c>
      <c r="F4668" s="7" t="str">
        <v>8927</v>
      </c>
      <c r="G4668" t="str">
        <v>GeocentricCrs</v>
      </c>
      <c r="H4668" t="str">
        <v>&lt;undefined&gt;</v>
      </c>
      <c r="I4668" t="str">
        <v>SIRGAS-CON DGF06P01</v>
      </c>
      <c r="J4668" t="str">
        <v>Latin America - Central America and South America, onshore and offshore.</v>
      </c>
      <c r="K4668" s="11">
        <v>0</v>
      </c>
    </row>
    <row r="4669" spans="5:11" x14ac:dyDescent="0.35">
      <c r="E4669" s="9" t="str">
        <v>EPSG</v>
      </c>
      <c r="F4669" s="7" t="str">
        <v>8928</v>
      </c>
      <c r="G4669" t="str">
        <v>Geographic3DCrs</v>
      </c>
      <c r="H4669" t="str">
        <v>&lt;undefined&gt;</v>
      </c>
      <c r="I4669" t="str">
        <v>SIRGAS-CON DGF06P01</v>
      </c>
      <c r="J4669" t="str">
        <v>Latin America - Central America and South America, onshore and offshore.</v>
      </c>
      <c r="K4669" s="11">
        <v>0</v>
      </c>
    </row>
    <row r="4670" spans="5:11" x14ac:dyDescent="0.35">
      <c r="E4670" s="9" t="str">
        <v>EPSG</v>
      </c>
      <c r="F4670" s="7" t="str">
        <v>8929</v>
      </c>
      <c r="G4670" t="str">
        <v>GeocentricCrs</v>
      </c>
      <c r="H4670" t="str">
        <v>&lt;undefined&gt;</v>
      </c>
      <c r="I4670" t="str">
        <v>SIRGAS-CON DGF07P01</v>
      </c>
      <c r="J4670" t="str">
        <v>Latin America - Central America and South America, onshore and offshore.</v>
      </c>
      <c r="K4670" s="11">
        <v>0</v>
      </c>
    </row>
    <row r="4671" spans="5:11" x14ac:dyDescent="0.35">
      <c r="E4671" s="9" t="str">
        <v>EPSG</v>
      </c>
      <c r="F4671" s="7" t="str">
        <v>8930</v>
      </c>
      <c r="G4671" t="str">
        <v>Geographic3DCrs</v>
      </c>
      <c r="H4671" t="str">
        <v>&lt;undefined&gt;</v>
      </c>
      <c r="I4671" t="str">
        <v>SIRGAS-CON DGF07P01</v>
      </c>
      <c r="J4671" t="str">
        <v>Latin America - Central America and South America, onshore and offshore.</v>
      </c>
      <c r="K4671" s="11">
        <v>0</v>
      </c>
    </row>
    <row r="4672" spans="5:11" x14ac:dyDescent="0.35">
      <c r="E4672" s="9" t="str">
        <v>EPSG</v>
      </c>
      <c r="F4672" s="7" t="str">
        <v>8931</v>
      </c>
      <c r="G4672" t="str">
        <v>GeocentricCrs</v>
      </c>
      <c r="H4672" t="str">
        <v>&lt;undefined&gt;</v>
      </c>
      <c r="I4672" t="str">
        <v>SIRGAS-CON DGF08P01</v>
      </c>
      <c r="J4672" t="str">
        <v>Latin America - Central America and South America, onshore and offshore.</v>
      </c>
      <c r="K4672" s="11">
        <v>0</v>
      </c>
    </row>
    <row r="4673" spans="5:11" x14ac:dyDescent="0.35">
      <c r="E4673" s="9" t="str">
        <v>EPSG</v>
      </c>
      <c r="F4673" s="7" t="str">
        <v>8932</v>
      </c>
      <c r="G4673" t="str">
        <v>Geographic3DCrs</v>
      </c>
      <c r="H4673" t="str">
        <v>&lt;undefined&gt;</v>
      </c>
      <c r="I4673" t="str">
        <v>SIRGAS-CON DGF08P01</v>
      </c>
      <c r="J4673" t="str">
        <v>Latin America - Central America and South America, onshore and offshore.</v>
      </c>
      <c r="K4673" s="11">
        <v>0</v>
      </c>
    </row>
    <row r="4674" spans="5:11" x14ac:dyDescent="0.35">
      <c r="E4674" s="9" t="str">
        <v>EPSG</v>
      </c>
      <c r="F4674" s="7" t="str">
        <v>8933</v>
      </c>
      <c r="G4674" t="str">
        <v>GeocentricCrs</v>
      </c>
      <c r="H4674" t="str">
        <v>&lt;undefined&gt;</v>
      </c>
      <c r="I4674" t="str">
        <v>SIRGAS-CON SIR09P01</v>
      </c>
      <c r="J4674" t="str">
        <v>Latin America - Central America and South America, onshore and offshore.</v>
      </c>
      <c r="K4674" s="11">
        <v>0</v>
      </c>
    </row>
    <row r="4675" spans="5:11" x14ac:dyDescent="0.35">
      <c r="E4675" s="9" t="str">
        <v>EPSG</v>
      </c>
      <c r="F4675" s="7" t="str">
        <v>8934</v>
      </c>
      <c r="G4675" t="str">
        <v>Geographic3DCrs</v>
      </c>
      <c r="H4675" t="str">
        <v>&lt;undefined&gt;</v>
      </c>
      <c r="I4675" t="str">
        <v>SIRGAS-CON SIR09P01</v>
      </c>
      <c r="J4675" t="str">
        <v>Latin America - Central America and South America, onshore and offshore.</v>
      </c>
      <c r="K4675" s="11">
        <v>0</v>
      </c>
    </row>
    <row r="4676" spans="5:11" x14ac:dyDescent="0.35">
      <c r="E4676" s="9" t="str">
        <v>EPSG</v>
      </c>
      <c r="F4676" s="7" t="str">
        <v>8935</v>
      </c>
      <c r="G4676" t="str">
        <v>GeocentricCrs</v>
      </c>
      <c r="H4676" t="str">
        <v>&lt;undefined&gt;</v>
      </c>
      <c r="I4676" t="str">
        <v>SIRGAS-CON SIR10P01</v>
      </c>
      <c r="J4676" t="str">
        <v>Latin America - Central America and South America, onshore and offshore.</v>
      </c>
      <c r="K4676" s="11">
        <v>0</v>
      </c>
    </row>
    <row r="4677" spans="5:11" x14ac:dyDescent="0.35">
      <c r="E4677" s="9" t="str">
        <v>EPSG</v>
      </c>
      <c r="F4677" s="7" t="str">
        <v>8936</v>
      </c>
      <c r="G4677" t="str">
        <v>Geographic3DCrs</v>
      </c>
      <c r="H4677" t="str">
        <v>&lt;undefined&gt;</v>
      </c>
      <c r="I4677" t="str">
        <v>SIRGAS-CON SIR10P01</v>
      </c>
      <c r="J4677" t="str">
        <v>Latin America - Central America and South America, onshore and offshore.</v>
      </c>
      <c r="K4677" s="11">
        <v>0</v>
      </c>
    </row>
    <row r="4678" spans="5:11" x14ac:dyDescent="0.35">
      <c r="E4678" s="9" t="str">
        <v>EPSG</v>
      </c>
      <c r="F4678" s="7" t="str">
        <v>8937</v>
      </c>
      <c r="G4678" t="str">
        <v>GeocentricCrs</v>
      </c>
      <c r="H4678" t="str">
        <v>&lt;undefined&gt;</v>
      </c>
      <c r="I4678" t="str">
        <v>SIRGAS-CON SIR11P01</v>
      </c>
      <c r="J4678" t="str">
        <v>Latin America - Central America and South America, onshore and offshore.</v>
      </c>
      <c r="K4678" s="11">
        <v>0</v>
      </c>
    </row>
    <row r="4679" spans="5:11" x14ac:dyDescent="0.35">
      <c r="E4679" s="9" t="str">
        <v>EPSG</v>
      </c>
      <c r="F4679" s="7" t="str">
        <v>8938</v>
      </c>
      <c r="G4679" t="str">
        <v>Geographic3DCrs</v>
      </c>
      <c r="H4679" t="str">
        <v>&lt;undefined&gt;</v>
      </c>
      <c r="I4679" t="str">
        <v>SIRGAS-CON SIR11P01</v>
      </c>
      <c r="J4679" t="str">
        <v>Latin America - Central America and South America, onshore and offshore.</v>
      </c>
      <c r="K4679" s="11">
        <v>0</v>
      </c>
    </row>
    <row r="4680" spans="5:11" x14ac:dyDescent="0.35">
      <c r="E4680" s="9" t="str">
        <v>EPSG</v>
      </c>
      <c r="F4680" s="7" t="str">
        <v>8939</v>
      </c>
      <c r="G4680" t="str">
        <v>GeocentricCrs</v>
      </c>
      <c r="H4680" t="str">
        <v>&lt;undefined&gt;</v>
      </c>
      <c r="I4680" t="str">
        <v>SIRGAS-CON SIR13P01</v>
      </c>
      <c r="J4680" t="str">
        <v>Latin America - Central America and South America, onshore and offshore.</v>
      </c>
      <c r="K4680" s="11">
        <v>0</v>
      </c>
    </row>
    <row r="4681" spans="5:11" x14ac:dyDescent="0.35">
      <c r="E4681" s="9" t="str">
        <v>EPSG</v>
      </c>
      <c r="F4681" s="7" t="str">
        <v>8940</v>
      </c>
      <c r="G4681" t="str">
        <v>Geographic3DCrs</v>
      </c>
      <c r="H4681" t="str">
        <v>&lt;undefined&gt;</v>
      </c>
      <c r="I4681" t="str">
        <v>SIRGAS-CON SIR13P01</v>
      </c>
      <c r="J4681" t="str">
        <v>Latin America - Central America and South America, onshore and offshore.</v>
      </c>
      <c r="K4681" s="11">
        <v>0</v>
      </c>
    </row>
    <row r="4682" spans="5:11" x14ac:dyDescent="0.35">
      <c r="E4682" s="9" t="str">
        <v>EPSG</v>
      </c>
      <c r="F4682" s="7" t="str">
        <v>8941</v>
      </c>
      <c r="G4682" t="str">
        <v>GeocentricCrs</v>
      </c>
      <c r="H4682" t="str">
        <v>&lt;undefined&gt;</v>
      </c>
      <c r="I4682" t="str">
        <v>SIRGAS-CON SIR14P01</v>
      </c>
      <c r="J4682" t="str">
        <v>Latin America - Central America and South America, onshore and offshore.</v>
      </c>
      <c r="K4682" s="11">
        <v>0</v>
      </c>
    </row>
    <row r="4683" spans="5:11" x14ac:dyDescent="0.35">
      <c r="E4683" s="9" t="str">
        <v>EPSG</v>
      </c>
      <c r="F4683" s="7" t="str">
        <v>8942</v>
      </c>
      <c r="G4683" t="str">
        <v>Geographic3DCrs</v>
      </c>
      <c r="H4683" t="str">
        <v>&lt;undefined&gt;</v>
      </c>
      <c r="I4683" t="str">
        <v>SIRGAS-CON SIR14P01</v>
      </c>
      <c r="J4683" t="str">
        <v>Latin America - Central America and South America, onshore and offshore.</v>
      </c>
      <c r="K4683" s="11">
        <v>0</v>
      </c>
    </row>
    <row r="4684" spans="5:11" x14ac:dyDescent="0.35">
      <c r="E4684" s="9" t="str">
        <v>EPSG</v>
      </c>
      <c r="F4684" s="7" t="str">
        <v>8943</v>
      </c>
      <c r="G4684" t="str">
        <v>GeocentricCrs</v>
      </c>
      <c r="H4684" t="str">
        <v>&lt;undefined&gt;</v>
      </c>
      <c r="I4684" t="str">
        <v>SIRGAS-CON SIR15P01</v>
      </c>
      <c r="J4684" t="str">
        <v>Latin America - Central America and South America, onshore and offshore.</v>
      </c>
      <c r="K4684" s="11">
        <v>0</v>
      </c>
    </row>
    <row r="4685" spans="5:11" x14ac:dyDescent="0.35">
      <c r="E4685" s="9" t="str">
        <v>EPSG</v>
      </c>
      <c r="F4685" s="7" t="str">
        <v>8944</v>
      </c>
      <c r="G4685" t="str">
        <v>Geographic3DCrs</v>
      </c>
      <c r="H4685" t="str">
        <v>&lt;undefined&gt;</v>
      </c>
      <c r="I4685" t="str">
        <v>SIRGAS-CON SIR15P01</v>
      </c>
      <c r="J4685" t="str">
        <v>Latin America - Central America and South America, onshore and offshore.</v>
      </c>
      <c r="K4685" s="11">
        <v>0</v>
      </c>
    </row>
    <row r="4686" spans="5:11" x14ac:dyDescent="0.35">
      <c r="E4686" s="9" t="str">
        <v>EPSG</v>
      </c>
      <c r="F4686" s="7" t="str">
        <v>8945</v>
      </c>
      <c r="G4686" t="str">
        <v>GeocentricCrs</v>
      </c>
      <c r="H4686" t="str">
        <v>&lt;undefined&gt;</v>
      </c>
      <c r="I4686" t="str">
        <v>SIRGAS-CON SIR17P01</v>
      </c>
      <c r="J4686" t="str">
        <v>Latin America - Central America and South America, onshore and offshore.</v>
      </c>
      <c r="K4686" s="11">
        <v>0</v>
      </c>
    </row>
    <row r="4687" spans="5:11" x14ac:dyDescent="0.35">
      <c r="E4687" s="9" t="str">
        <v>EPSG</v>
      </c>
      <c r="F4687" s="7" t="str">
        <v>8946</v>
      </c>
      <c r="G4687" t="str">
        <v>Geographic3DCrs</v>
      </c>
      <c r="H4687" t="str">
        <v>&lt;undefined&gt;</v>
      </c>
      <c r="I4687" t="str">
        <v>SIRGAS-CON SIR17P01</v>
      </c>
      <c r="J4687" t="str">
        <v>Latin America - Central America and South America, onshore and offshore.</v>
      </c>
      <c r="K4687" s="11">
        <v>0</v>
      </c>
    </row>
    <row r="4688" spans="5:11" x14ac:dyDescent="0.35">
      <c r="E4688" s="9" t="str">
        <v>EPSG</v>
      </c>
      <c r="F4688" s="7" t="str">
        <v>8947</v>
      </c>
      <c r="G4688" t="str">
        <v>GeocentricCrs</v>
      </c>
      <c r="H4688" t="str">
        <v>&lt;undefined&gt;</v>
      </c>
      <c r="I4688" t="str">
        <v>SIRGAS-Chile 2010</v>
      </c>
      <c r="J4688" t="str">
        <v>Chile - onshore and offshore. Includes Easter Island, Juan Fernandez Islands, San Felix, and Sala y Gomez.</v>
      </c>
      <c r="K4688" s="11">
        <v>0</v>
      </c>
    </row>
    <row r="4689" spans="5:11" x14ac:dyDescent="0.35">
      <c r="E4689" s="9" t="str">
        <v>EPSG</v>
      </c>
      <c r="F4689" s="7" t="str">
        <v>8948</v>
      </c>
      <c r="G4689" t="str">
        <v>Geographic3DCrs</v>
      </c>
      <c r="H4689" t="str">
        <v>&lt;undefined&gt;</v>
      </c>
      <c r="I4689" t="str">
        <v>SIRGAS-Chile 2010</v>
      </c>
      <c r="J4689" t="str">
        <v>Chile - onshore and offshore. Includes Easter Island, Juan Fernandez Islands, San Felix, and Sala y Gomez.</v>
      </c>
      <c r="K4689" s="11">
        <v>0</v>
      </c>
    </row>
    <row r="4690" spans="5:11" x14ac:dyDescent="0.35">
      <c r="E4690" s="9" t="str">
        <v>EPSG</v>
      </c>
      <c r="F4690" s="7" t="str">
        <v>8949</v>
      </c>
      <c r="G4690" t="str">
        <v>Geographic2DCrs</v>
      </c>
      <c r="H4690" t="str">
        <v>&lt;undefined&gt;</v>
      </c>
      <c r="I4690" t="str">
        <v>SIRGAS-Chile 2010</v>
      </c>
      <c r="J4690" t="str">
        <v>Chile - onshore and offshore. Includes Easter Island, Juan Fernandez Islands, San Felix, and Sala y Gomez.</v>
      </c>
      <c r="K4690" s="11">
        <v>0</v>
      </c>
    </row>
    <row r="4691" spans="5:11" x14ac:dyDescent="0.35">
      <c r="E4691" s="9" t="str">
        <v>EPSG</v>
      </c>
      <c r="F4691" s="7" t="str">
        <v>8950</v>
      </c>
      <c r="G4691" t="str">
        <v>ProjectedCrs</v>
      </c>
      <c r="H4691" t="str">
        <v>Transverse Mercator</v>
      </c>
      <c r="I4691" t="str">
        <v>SIRGAS-Chile 2010 / UTM zone 18S</v>
      </c>
      <c r="J4691" t="str">
        <v>Chile - 78°W to 72°W, onshore and offshore.</v>
      </c>
      <c r="K4691" s="11">
        <v>0</v>
      </c>
    </row>
    <row r="4692" spans="5:11" x14ac:dyDescent="0.35">
      <c r="E4692" s="9" t="str">
        <v>EPSG</v>
      </c>
      <c r="F4692" s="7" t="str">
        <v>8951</v>
      </c>
      <c r="G4692" t="str">
        <v>ProjectedCrs</v>
      </c>
      <c r="H4692" t="str">
        <v>Transverse Mercator</v>
      </c>
      <c r="I4692" t="str">
        <v>SIRGAS-Chile 2010 / UTM zone 19S</v>
      </c>
      <c r="J4692" t="str">
        <v>Chile - 72°W to 66°W, onshore and offshore.</v>
      </c>
      <c r="K4692" s="11">
        <v>0</v>
      </c>
    </row>
    <row r="4693" spans="5:11" x14ac:dyDescent="0.35">
      <c r="E4693" s="9" t="str">
        <v>EPSG</v>
      </c>
      <c r="F4693" s="7" t="str">
        <v>8972</v>
      </c>
      <c r="G4693" t="str">
        <v>Geographic2DCrs</v>
      </c>
      <c r="H4693" t="str">
        <v>&lt;undefined&gt;</v>
      </c>
      <c r="I4693" t="str">
        <v>SIRGAS-CON DGF00P01</v>
      </c>
      <c r="J4693" t="str">
        <v>Latin America - Central America and South America, onshore and offshore.</v>
      </c>
      <c r="K4693" s="11">
        <v>0</v>
      </c>
    </row>
    <row r="4694" spans="5:11" x14ac:dyDescent="0.35">
      <c r="E4694" s="9" t="str">
        <v>EPSG</v>
      </c>
      <c r="F4694" s="7" t="str">
        <v>8973</v>
      </c>
      <c r="G4694" t="str">
        <v>Geographic2DCrs</v>
      </c>
      <c r="H4694" t="str">
        <v>&lt;undefined&gt;</v>
      </c>
      <c r="I4694" t="str">
        <v>SIRGAS-CON DGF01P01</v>
      </c>
      <c r="J4694" t="str">
        <v>Latin America - Central America and South America, onshore and offshore.</v>
      </c>
      <c r="K4694" s="11">
        <v>0</v>
      </c>
    </row>
    <row r="4695" spans="5:11" x14ac:dyDescent="0.35">
      <c r="E4695" s="9" t="str">
        <v>EPSG</v>
      </c>
      <c r="F4695" s="7" t="str">
        <v>8974</v>
      </c>
      <c r="G4695" t="str">
        <v>Geographic2DCrs</v>
      </c>
      <c r="H4695" t="str">
        <v>&lt;undefined&gt;</v>
      </c>
      <c r="I4695" t="str">
        <v>SIRGAS-CON DGF01P02</v>
      </c>
      <c r="J4695" t="str">
        <v>Latin America - Central America and South America, onshore and offshore.</v>
      </c>
      <c r="K4695" s="11">
        <v>0</v>
      </c>
    </row>
    <row r="4696" spans="5:11" x14ac:dyDescent="0.35">
      <c r="E4696" s="9" t="str">
        <v>EPSG</v>
      </c>
      <c r="F4696" s="7" t="str">
        <v>8975</v>
      </c>
      <c r="G4696" t="str">
        <v>Geographic2DCrs</v>
      </c>
      <c r="H4696" t="str">
        <v>&lt;undefined&gt;</v>
      </c>
      <c r="I4696" t="str">
        <v>SIRGAS-CON DGF02P01</v>
      </c>
      <c r="J4696" t="str">
        <v>Latin America - Central America and South America, onshore and offshore.</v>
      </c>
      <c r="K4696" s="11">
        <v>0</v>
      </c>
    </row>
    <row r="4697" spans="5:11" x14ac:dyDescent="0.35">
      <c r="E4697" s="9" t="str">
        <v>EPSG</v>
      </c>
      <c r="F4697" s="7" t="str">
        <v>8976</v>
      </c>
      <c r="G4697" t="str">
        <v>Geographic2DCrs</v>
      </c>
      <c r="H4697" t="str">
        <v>&lt;undefined&gt;</v>
      </c>
      <c r="I4697" t="str">
        <v>SIRGAS-CON DGF04P01</v>
      </c>
      <c r="J4697" t="str">
        <v>Latin America - Central America and South America, onshore and offshore.</v>
      </c>
      <c r="K4697" s="11">
        <v>0</v>
      </c>
    </row>
    <row r="4698" spans="5:11" x14ac:dyDescent="0.35">
      <c r="E4698" s="9" t="str">
        <v>EPSG</v>
      </c>
      <c r="F4698" s="7" t="str">
        <v>8977</v>
      </c>
      <c r="G4698" t="str">
        <v>Geographic2DCrs</v>
      </c>
      <c r="H4698" t="str">
        <v>&lt;undefined&gt;</v>
      </c>
      <c r="I4698" t="str">
        <v>SIRGAS-CON DGF05P01</v>
      </c>
      <c r="J4698" t="str">
        <v>Latin America - Central America and South America, onshore and offshore.</v>
      </c>
      <c r="K4698" s="11">
        <v>0</v>
      </c>
    </row>
    <row r="4699" spans="5:11" x14ac:dyDescent="0.35">
      <c r="E4699" s="9" t="str">
        <v>EPSG</v>
      </c>
      <c r="F4699" s="7" t="str">
        <v>8978</v>
      </c>
      <c r="G4699" t="str">
        <v>Geographic2DCrs</v>
      </c>
      <c r="H4699" t="str">
        <v>&lt;undefined&gt;</v>
      </c>
      <c r="I4699" t="str">
        <v>SIRGAS-CON DGF06P01</v>
      </c>
      <c r="J4699" t="str">
        <v>Latin America - Central America and South America, onshore and offshore.</v>
      </c>
      <c r="K4699" s="11">
        <v>0</v>
      </c>
    </row>
    <row r="4700" spans="5:11" x14ac:dyDescent="0.35">
      <c r="E4700" s="9" t="str">
        <v>EPSG</v>
      </c>
      <c r="F4700" s="7" t="str">
        <v>8979</v>
      </c>
      <c r="G4700" t="str">
        <v>Geographic2DCrs</v>
      </c>
      <c r="H4700" t="str">
        <v>&lt;undefined&gt;</v>
      </c>
      <c r="I4700" t="str">
        <v>SIRGAS-CON DGF07P01</v>
      </c>
      <c r="J4700" t="str">
        <v>Latin America - Central America and South America, onshore and offshore.</v>
      </c>
      <c r="K4700" s="11">
        <v>0</v>
      </c>
    </row>
    <row r="4701" spans="5:11" x14ac:dyDescent="0.35">
      <c r="E4701" s="9" t="str">
        <v>EPSG</v>
      </c>
      <c r="F4701" s="7" t="str">
        <v>8980</v>
      </c>
      <c r="G4701" t="str">
        <v>Geographic2DCrs</v>
      </c>
      <c r="H4701" t="str">
        <v>&lt;undefined&gt;</v>
      </c>
      <c r="I4701" t="str">
        <v>SIRGAS-CON DGF08P01</v>
      </c>
      <c r="J4701" t="str">
        <v>Latin America - Central America and South America, onshore and offshore.</v>
      </c>
      <c r="K4701" s="11">
        <v>0</v>
      </c>
    </row>
    <row r="4702" spans="5:11" x14ac:dyDescent="0.35">
      <c r="E4702" s="9" t="str">
        <v>EPSG</v>
      </c>
      <c r="F4702" s="7" t="str">
        <v>8981</v>
      </c>
      <c r="G4702" t="str">
        <v>Geographic2DCrs</v>
      </c>
      <c r="H4702" t="str">
        <v>&lt;undefined&gt;</v>
      </c>
      <c r="I4702" t="str">
        <v>SIRGAS-CON SIR09P01</v>
      </c>
      <c r="J4702" t="str">
        <v>Latin America - Central America and South America, onshore and offshore.</v>
      </c>
      <c r="K4702" s="11">
        <v>0</v>
      </c>
    </row>
    <row r="4703" spans="5:11" x14ac:dyDescent="0.35">
      <c r="E4703" s="9" t="str">
        <v>EPSG</v>
      </c>
      <c r="F4703" s="7" t="str">
        <v>8982</v>
      </c>
      <c r="G4703" t="str">
        <v>Geographic2DCrs</v>
      </c>
      <c r="H4703" t="str">
        <v>&lt;undefined&gt;</v>
      </c>
      <c r="I4703" t="str">
        <v>SIRGAS-CON SIR10P01</v>
      </c>
      <c r="J4703" t="str">
        <v>Latin America - Central America and South America, onshore and offshore.</v>
      </c>
      <c r="K4703" s="11">
        <v>0</v>
      </c>
    </row>
    <row r="4704" spans="5:11" x14ac:dyDescent="0.35">
      <c r="E4704" s="9" t="str">
        <v>EPSG</v>
      </c>
      <c r="F4704" s="7" t="str">
        <v>8983</v>
      </c>
      <c r="G4704" t="str">
        <v>Geographic2DCrs</v>
      </c>
      <c r="H4704" t="str">
        <v>&lt;undefined&gt;</v>
      </c>
      <c r="I4704" t="str">
        <v>SIRGAS-CON SIR11P01</v>
      </c>
      <c r="J4704" t="str">
        <v>Latin America - Central America and South America, onshore and offshore.</v>
      </c>
      <c r="K4704" s="11">
        <v>0</v>
      </c>
    </row>
    <row r="4705" spans="5:11" x14ac:dyDescent="0.35">
      <c r="E4705" s="9" t="str">
        <v>EPSG</v>
      </c>
      <c r="F4705" s="7" t="str">
        <v>8984</v>
      </c>
      <c r="G4705" t="str">
        <v>Geographic2DCrs</v>
      </c>
      <c r="H4705" t="str">
        <v>&lt;undefined&gt;</v>
      </c>
      <c r="I4705" t="str">
        <v>SIRGAS-CON SIR13P01</v>
      </c>
      <c r="J4705" t="str">
        <v>Latin America - Central America and South America, onshore and offshore.</v>
      </c>
      <c r="K4705" s="11">
        <v>0</v>
      </c>
    </row>
    <row r="4706" spans="5:11" x14ac:dyDescent="0.35">
      <c r="E4706" s="9" t="str">
        <v>EPSG</v>
      </c>
      <c r="F4706" s="7" t="str">
        <v>8985</v>
      </c>
      <c r="G4706" t="str">
        <v>Geographic2DCrs</v>
      </c>
      <c r="H4706" t="str">
        <v>&lt;undefined&gt;</v>
      </c>
      <c r="I4706" t="str">
        <v>SIRGAS-CON SIR14P01</v>
      </c>
      <c r="J4706" t="str">
        <v>Latin America - Central America and South America, onshore and offshore.</v>
      </c>
      <c r="K4706" s="11">
        <v>0</v>
      </c>
    </row>
    <row r="4707" spans="5:11" x14ac:dyDescent="0.35">
      <c r="E4707" s="9" t="str">
        <v>EPSG</v>
      </c>
      <c r="F4707" s="7" t="str">
        <v>8986</v>
      </c>
      <c r="G4707" t="str">
        <v>Geographic2DCrs</v>
      </c>
      <c r="H4707" t="str">
        <v>&lt;undefined&gt;</v>
      </c>
      <c r="I4707" t="str">
        <v>SIRGAS-CON SIR15P01</v>
      </c>
      <c r="J4707" t="str">
        <v>Latin America - Central America and South America, onshore and offshore.</v>
      </c>
      <c r="K4707" s="11">
        <v>0</v>
      </c>
    </row>
    <row r="4708" spans="5:11" x14ac:dyDescent="0.35">
      <c r="E4708" s="9" t="str">
        <v>EPSG</v>
      </c>
      <c r="F4708" s="7" t="str">
        <v>8987</v>
      </c>
      <c r="G4708" t="str">
        <v>Geographic2DCrs</v>
      </c>
      <c r="H4708" t="str">
        <v>&lt;undefined&gt;</v>
      </c>
      <c r="I4708" t="str">
        <v>SIRGAS-CON SIR17P01</v>
      </c>
      <c r="J4708" t="str">
        <v>Latin America - Central America and South America, onshore and offshore.</v>
      </c>
      <c r="K4708" s="11">
        <v>0</v>
      </c>
    </row>
    <row r="4709" spans="5:11" x14ac:dyDescent="0.35">
      <c r="E4709" s="9" t="str">
        <v>EPSG</v>
      </c>
      <c r="F4709" s="7" t="str">
        <v>8988</v>
      </c>
      <c r="G4709" t="str">
        <v>Geographic2DCrs</v>
      </c>
      <c r="H4709" t="str">
        <v>&lt;undefined&gt;</v>
      </c>
      <c r="I4709" t="str">
        <v>ITRF88</v>
      </c>
      <c r="J4709" t="str">
        <v>World.</v>
      </c>
      <c r="K4709" s="11">
        <v>0</v>
      </c>
    </row>
    <row r="4710" spans="5:11" x14ac:dyDescent="0.35">
      <c r="E4710" s="9" t="str">
        <v>EPSG</v>
      </c>
      <c r="F4710" s="7" t="str">
        <v>8989</v>
      </c>
      <c r="G4710" t="str">
        <v>Geographic2DCrs</v>
      </c>
      <c r="H4710" t="str">
        <v>&lt;undefined&gt;</v>
      </c>
      <c r="I4710" t="str">
        <v>ITRF89</v>
      </c>
      <c r="J4710" t="str">
        <v>World.</v>
      </c>
      <c r="K4710" s="11">
        <v>0</v>
      </c>
    </row>
    <row r="4711" spans="5:11" x14ac:dyDescent="0.35">
      <c r="E4711" s="9" t="str">
        <v>EPSG</v>
      </c>
      <c r="F4711" s="7" t="str">
        <v>8990</v>
      </c>
      <c r="G4711" t="str">
        <v>Geographic2DCrs</v>
      </c>
      <c r="H4711" t="str">
        <v>&lt;undefined&gt;</v>
      </c>
      <c r="I4711" t="str">
        <v>ITRF90</v>
      </c>
      <c r="J4711" t="str">
        <v>World.</v>
      </c>
      <c r="K4711" s="11">
        <v>0</v>
      </c>
    </row>
    <row r="4712" spans="5:11" x14ac:dyDescent="0.35">
      <c r="E4712" s="9" t="str">
        <v>EPSG</v>
      </c>
      <c r="F4712" s="7" t="str">
        <v>8991</v>
      </c>
      <c r="G4712" t="str">
        <v>Geographic2DCrs</v>
      </c>
      <c r="H4712" t="str">
        <v>&lt;undefined&gt;</v>
      </c>
      <c r="I4712" t="str">
        <v>ITRF91</v>
      </c>
      <c r="J4712" t="str">
        <v>World.</v>
      </c>
      <c r="K4712" s="11">
        <v>0</v>
      </c>
    </row>
    <row r="4713" spans="5:11" x14ac:dyDescent="0.35">
      <c r="E4713" s="9" t="str">
        <v>EPSG</v>
      </c>
      <c r="F4713" s="7" t="str">
        <v>8992</v>
      </c>
      <c r="G4713" t="str">
        <v>Geographic2DCrs</v>
      </c>
      <c r="H4713" t="str">
        <v>&lt;undefined&gt;</v>
      </c>
      <c r="I4713" t="str">
        <v>ITRF92</v>
      </c>
      <c r="J4713" t="str">
        <v>World.</v>
      </c>
      <c r="K4713" s="11">
        <v>0</v>
      </c>
    </row>
    <row r="4714" spans="5:11" x14ac:dyDescent="0.35">
      <c r="E4714" s="9" t="str">
        <v>EPSG</v>
      </c>
      <c r="F4714" s="7" t="str">
        <v>8993</v>
      </c>
      <c r="G4714" t="str">
        <v>Geographic2DCrs</v>
      </c>
      <c r="H4714" t="str">
        <v>&lt;undefined&gt;</v>
      </c>
      <c r="I4714" t="str">
        <v>ITRF93</v>
      </c>
      <c r="J4714" t="str">
        <v>World.</v>
      </c>
      <c r="K4714" s="11">
        <v>0</v>
      </c>
    </row>
    <row r="4715" spans="5:11" x14ac:dyDescent="0.35">
      <c r="E4715" s="9" t="str">
        <v>EPSG</v>
      </c>
      <c r="F4715" s="7" t="str">
        <v>8994</v>
      </c>
      <c r="G4715" t="str">
        <v>Geographic2DCrs</v>
      </c>
      <c r="H4715" t="str">
        <v>&lt;undefined&gt;</v>
      </c>
      <c r="I4715" t="str">
        <v>ITRF94</v>
      </c>
      <c r="J4715" t="str">
        <v>World.</v>
      </c>
      <c r="K4715" s="11">
        <v>0</v>
      </c>
    </row>
    <row r="4716" spans="5:11" x14ac:dyDescent="0.35">
      <c r="E4716" s="9" t="str">
        <v>EPSG</v>
      </c>
      <c r="F4716" s="7" t="str">
        <v>8995</v>
      </c>
      <c r="G4716" t="str">
        <v>Geographic2DCrs</v>
      </c>
      <c r="H4716" t="str">
        <v>&lt;undefined&gt;</v>
      </c>
      <c r="I4716" t="str">
        <v>ITRF96</v>
      </c>
      <c r="J4716" t="str">
        <v>World.</v>
      </c>
      <c r="K4716" s="11">
        <v>0</v>
      </c>
    </row>
    <row r="4717" spans="5:11" x14ac:dyDescent="0.35">
      <c r="E4717" s="9" t="str">
        <v>EPSG</v>
      </c>
      <c r="F4717" s="7" t="str">
        <v>8996</v>
      </c>
      <c r="G4717" t="str">
        <v>Geographic2DCrs</v>
      </c>
      <c r="H4717" t="str">
        <v>&lt;undefined&gt;</v>
      </c>
      <c r="I4717" t="str">
        <v>ITRF97</v>
      </c>
      <c r="J4717" t="str">
        <v>World.</v>
      </c>
      <c r="K4717" s="11">
        <v>0</v>
      </c>
    </row>
    <row r="4718" spans="5:11" x14ac:dyDescent="0.35">
      <c r="E4718" s="9" t="str">
        <v>EPSG</v>
      </c>
      <c r="F4718" s="7" t="str">
        <v>8997</v>
      </c>
      <c r="G4718" t="str">
        <v>Geographic2DCrs</v>
      </c>
      <c r="H4718" t="str">
        <v>&lt;undefined&gt;</v>
      </c>
      <c r="I4718" t="str">
        <v>ITRF2000</v>
      </c>
      <c r="J4718" t="str">
        <v>World.</v>
      </c>
      <c r="K4718" s="11">
        <v>0</v>
      </c>
    </row>
    <row r="4719" spans="5:11" x14ac:dyDescent="0.35">
      <c r="E4719" s="9" t="str">
        <v>EPSG</v>
      </c>
      <c r="F4719" s="7" t="str">
        <v>8998</v>
      </c>
      <c r="G4719" t="str">
        <v>Geographic2DCrs</v>
      </c>
      <c r="H4719" t="str">
        <v>&lt;undefined&gt;</v>
      </c>
      <c r="I4719" t="str">
        <v>ITRF2005</v>
      </c>
      <c r="J4719" t="str">
        <v>World.</v>
      </c>
      <c r="K4719" s="11">
        <v>0</v>
      </c>
    </row>
    <row r="4720" spans="5:11" x14ac:dyDescent="0.35">
      <c r="E4720" s="9" t="str">
        <v>EPSG</v>
      </c>
      <c r="F4720" s="7" t="str">
        <v>8999</v>
      </c>
      <c r="G4720" t="str">
        <v>Geographic2DCrs</v>
      </c>
      <c r="H4720" t="str">
        <v>&lt;undefined&gt;</v>
      </c>
      <c r="I4720" t="str">
        <v>ITRF2008</v>
      </c>
      <c r="J4720" t="str">
        <v>World.</v>
      </c>
      <c r="K4720" s="11">
        <v>0</v>
      </c>
    </row>
    <row r="4721" spans="5:11" x14ac:dyDescent="0.35">
      <c r="E4721" s="9" t="str">
        <v>EPSG</v>
      </c>
      <c r="F4721" s="7" t="str">
        <v>9000</v>
      </c>
      <c r="G4721" t="str">
        <v>Geographic2DCrs</v>
      </c>
      <c r="H4721" t="str">
        <v>&lt;undefined&gt;</v>
      </c>
      <c r="I4721" t="str">
        <v>ITRF2014</v>
      </c>
      <c r="J4721" t="str">
        <v>World.</v>
      </c>
      <c r="K4721" s="11">
        <v>0</v>
      </c>
    </row>
    <row r="4722" spans="5:11" x14ac:dyDescent="0.35">
      <c r="E4722" s="9" t="str">
        <v>EPSG</v>
      </c>
      <c r="F4722" s="7" t="str">
        <v>9001</v>
      </c>
      <c r="G4722" t="str">
        <v>GeocentricCrs</v>
      </c>
      <c r="H4722" t="str">
        <v>&lt;undefined&gt;</v>
      </c>
      <c r="I4722" t="str">
        <v>IGS97</v>
      </c>
      <c r="J4722" t="str">
        <v>World.</v>
      </c>
      <c r="K4722" s="11">
        <v>0</v>
      </c>
    </row>
    <row r="4723" spans="5:11" x14ac:dyDescent="0.35">
      <c r="E4723" s="9" t="str">
        <v>EPSG</v>
      </c>
      <c r="F4723" s="7" t="str">
        <v>9002</v>
      </c>
      <c r="G4723" t="str">
        <v>Geographic3DCrs</v>
      </c>
      <c r="H4723" t="str">
        <v>&lt;undefined&gt;</v>
      </c>
      <c r="I4723" t="str">
        <v>IGS97</v>
      </c>
      <c r="J4723" t="str">
        <v>World.</v>
      </c>
      <c r="K4723" s="11">
        <v>0</v>
      </c>
    </row>
    <row r="4724" spans="5:11" x14ac:dyDescent="0.35">
      <c r="E4724" s="9" t="str">
        <v>EPSG</v>
      </c>
      <c r="F4724" s="7" t="str">
        <v>9003</v>
      </c>
      <c r="G4724" t="str">
        <v>Geographic2DCrs</v>
      </c>
      <c r="H4724" t="str">
        <v>&lt;undefined&gt;</v>
      </c>
      <c r="I4724" t="str">
        <v>IGS97</v>
      </c>
      <c r="J4724" t="str">
        <v>World.</v>
      </c>
      <c r="K4724" s="11">
        <v>0</v>
      </c>
    </row>
    <row r="4725" spans="5:11" x14ac:dyDescent="0.35">
      <c r="E4725" s="9" t="str">
        <v>EPSG</v>
      </c>
      <c r="F4725" s="7" t="str">
        <v>9004</v>
      </c>
      <c r="G4725" t="str">
        <v>GeocentricCrs</v>
      </c>
      <c r="H4725" t="str">
        <v>&lt;undefined&gt;</v>
      </c>
      <c r="I4725" t="str">
        <v>IGS00</v>
      </c>
      <c r="J4725" t="str">
        <v>World.</v>
      </c>
      <c r="K4725" s="11">
        <v>0</v>
      </c>
    </row>
    <row r="4726" spans="5:11" x14ac:dyDescent="0.35">
      <c r="E4726" s="9" t="str">
        <v>EPSG</v>
      </c>
      <c r="F4726" s="7" t="str">
        <v>9005</v>
      </c>
      <c r="G4726" t="str">
        <v>Geographic3DCrs</v>
      </c>
      <c r="H4726" t="str">
        <v>&lt;undefined&gt;</v>
      </c>
      <c r="I4726" t="str">
        <v>IGS00</v>
      </c>
      <c r="J4726" t="str">
        <v>World.</v>
      </c>
      <c r="K4726" s="11">
        <v>0</v>
      </c>
    </row>
    <row r="4727" spans="5:11" x14ac:dyDescent="0.35">
      <c r="E4727" s="9" t="str">
        <v>EPSG</v>
      </c>
      <c r="F4727" s="7" t="str">
        <v>9006</v>
      </c>
      <c r="G4727" t="str">
        <v>Geographic2DCrs</v>
      </c>
      <c r="H4727" t="str">
        <v>&lt;undefined&gt;</v>
      </c>
      <c r="I4727" t="str">
        <v>IGS00</v>
      </c>
      <c r="J4727" t="str">
        <v>World.</v>
      </c>
      <c r="K4727" s="11">
        <v>0</v>
      </c>
    </row>
    <row r="4728" spans="5:11" x14ac:dyDescent="0.35">
      <c r="E4728" s="9" t="str">
        <v>EPSG</v>
      </c>
      <c r="F4728" s="7" t="str">
        <v>9007</v>
      </c>
      <c r="G4728" t="str">
        <v>GeocentricCrs</v>
      </c>
      <c r="H4728" t="str">
        <v>&lt;undefined&gt;</v>
      </c>
      <c r="I4728" t="str">
        <v>IGb00</v>
      </c>
      <c r="J4728" t="str">
        <v>World.</v>
      </c>
      <c r="K4728" s="11">
        <v>0</v>
      </c>
    </row>
    <row r="4729" spans="5:11" x14ac:dyDescent="0.35">
      <c r="E4729" s="9" t="str">
        <v>EPSG</v>
      </c>
      <c r="F4729" s="7" t="str">
        <v>9008</v>
      </c>
      <c r="G4729" t="str">
        <v>Geographic3DCrs</v>
      </c>
      <c r="H4729" t="str">
        <v>&lt;undefined&gt;</v>
      </c>
      <c r="I4729" t="str">
        <v>IGb00</v>
      </c>
      <c r="J4729" t="str">
        <v>World.</v>
      </c>
      <c r="K4729" s="11">
        <v>0</v>
      </c>
    </row>
    <row r="4730" spans="5:11" x14ac:dyDescent="0.35">
      <c r="E4730" s="9" t="str">
        <v>EPSG</v>
      </c>
      <c r="F4730" s="7" t="str">
        <v>9009</v>
      </c>
      <c r="G4730" t="str">
        <v>Geographic2DCrs</v>
      </c>
      <c r="H4730" t="str">
        <v>&lt;undefined&gt;</v>
      </c>
      <c r="I4730" t="str">
        <v>IGb00</v>
      </c>
      <c r="J4730" t="str">
        <v>World.</v>
      </c>
      <c r="K4730" s="11">
        <v>0</v>
      </c>
    </row>
    <row r="4731" spans="5:11" x14ac:dyDescent="0.35">
      <c r="E4731" s="9" t="str">
        <v>EPSG</v>
      </c>
      <c r="F4731" s="7" t="str">
        <v>9010</v>
      </c>
      <c r="G4731" t="str">
        <v>GeocentricCrs</v>
      </c>
      <c r="H4731" t="str">
        <v>&lt;undefined&gt;</v>
      </c>
      <c r="I4731" t="str">
        <v>IGS05</v>
      </c>
      <c r="J4731" t="str">
        <v>World.</v>
      </c>
      <c r="K4731" s="11">
        <v>0</v>
      </c>
    </row>
    <row r="4732" spans="5:11" x14ac:dyDescent="0.35">
      <c r="E4732" s="9" t="str">
        <v>EPSG</v>
      </c>
      <c r="F4732" s="7" t="str">
        <v>9011</v>
      </c>
      <c r="G4732" t="str">
        <v>Geographic3DCrs</v>
      </c>
      <c r="H4732" t="str">
        <v>&lt;undefined&gt;</v>
      </c>
      <c r="I4732" t="str">
        <v>IGS05</v>
      </c>
      <c r="J4732" t="str">
        <v>World.</v>
      </c>
      <c r="K4732" s="11">
        <v>0</v>
      </c>
    </row>
    <row r="4733" spans="5:11" x14ac:dyDescent="0.35">
      <c r="E4733" s="9" t="str">
        <v>EPSG</v>
      </c>
      <c r="F4733" s="7" t="str">
        <v>9012</v>
      </c>
      <c r="G4733" t="str">
        <v>Geographic2DCrs</v>
      </c>
      <c r="H4733" t="str">
        <v>&lt;undefined&gt;</v>
      </c>
      <c r="I4733" t="str">
        <v>IGS05</v>
      </c>
      <c r="J4733" t="str">
        <v>World.</v>
      </c>
      <c r="K4733" s="11">
        <v>0</v>
      </c>
    </row>
    <row r="4734" spans="5:11" x14ac:dyDescent="0.35">
      <c r="E4734" s="9" t="str">
        <v>EPSG</v>
      </c>
      <c r="F4734" s="7" t="str">
        <v>9013</v>
      </c>
      <c r="G4734" t="str">
        <v>Geographic3DCrs</v>
      </c>
      <c r="H4734" t="str">
        <v>&lt;undefined&gt;</v>
      </c>
      <c r="I4734" t="str">
        <v>IGS08</v>
      </c>
      <c r="J4734" t="str">
        <v>World.</v>
      </c>
      <c r="K4734" s="11">
        <v>0</v>
      </c>
    </row>
    <row r="4735" spans="5:11" x14ac:dyDescent="0.35">
      <c r="E4735" s="9" t="str">
        <v>EPSG</v>
      </c>
      <c r="F4735" s="7" t="str">
        <v>9014</v>
      </c>
      <c r="G4735" t="str">
        <v>Geographic2DCrs</v>
      </c>
      <c r="H4735" t="str">
        <v>&lt;undefined&gt;</v>
      </c>
      <c r="I4735" t="str">
        <v>IGS08</v>
      </c>
      <c r="J4735" t="str">
        <v>World.</v>
      </c>
      <c r="K4735" s="11">
        <v>0</v>
      </c>
    </row>
    <row r="4736" spans="5:11" x14ac:dyDescent="0.35">
      <c r="E4736" s="9" t="str">
        <v>EPSG</v>
      </c>
      <c r="F4736" s="7" t="str">
        <v>9015</v>
      </c>
      <c r="G4736" t="str">
        <v>GeocentricCrs</v>
      </c>
      <c r="H4736" t="str">
        <v>&lt;undefined&gt;</v>
      </c>
      <c r="I4736" t="str">
        <v>IGb08</v>
      </c>
      <c r="J4736" t="str">
        <v>World.</v>
      </c>
      <c r="K4736" s="11">
        <v>0</v>
      </c>
    </row>
    <row r="4737" spans="5:11" x14ac:dyDescent="0.35">
      <c r="E4737" s="9" t="str">
        <v>EPSG</v>
      </c>
      <c r="F4737" s="7" t="str">
        <v>9016</v>
      </c>
      <c r="G4737" t="str">
        <v>Geographic3DCrs</v>
      </c>
      <c r="H4737" t="str">
        <v>&lt;undefined&gt;</v>
      </c>
      <c r="I4737" t="str">
        <v>IGb08</v>
      </c>
      <c r="J4737" t="str">
        <v>World.</v>
      </c>
      <c r="K4737" s="11">
        <v>0</v>
      </c>
    </row>
    <row r="4738" spans="5:11" x14ac:dyDescent="0.35">
      <c r="E4738" s="9" t="str">
        <v>EPSG</v>
      </c>
      <c r="F4738" s="7" t="str">
        <v>9017</v>
      </c>
      <c r="G4738" t="str">
        <v>Geographic2DCrs</v>
      </c>
      <c r="H4738" t="str">
        <v>&lt;undefined&gt;</v>
      </c>
      <c r="I4738" t="str">
        <v>IGb08</v>
      </c>
      <c r="J4738" t="str">
        <v>World.</v>
      </c>
      <c r="K4738" s="11">
        <v>0</v>
      </c>
    </row>
    <row r="4739" spans="5:11" x14ac:dyDescent="0.35">
      <c r="E4739" s="9" t="str">
        <v>EPSG</v>
      </c>
      <c r="F4739" s="7" t="str">
        <v>9018</v>
      </c>
      <c r="G4739" t="str">
        <v>Geographic3DCrs</v>
      </c>
      <c r="H4739" t="str">
        <v>&lt;undefined&gt;</v>
      </c>
      <c r="I4739" t="str">
        <v>IGS14</v>
      </c>
      <c r="J4739" t="str">
        <v>World.</v>
      </c>
      <c r="K4739" s="11">
        <v>0</v>
      </c>
    </row>
    <row r="4740" spans="5:11" x14ac:dyDescent="0.35">
      <c r="E4740" s="9" t="str">
        <v>EPSG</v>
      </c>
      <c r="F4740" s="7" t="str">
        <v>9019</v>
      </c>
      <c r="G4740" t="str">
        <v>Geographic2DCrs</v>
      </c>
      <c r="H4740" t="str">
        <v>&lt;undefined&gt;</v>
      </c>
      <c r="I4740" t="str">
        <v>IGS14</v>
      </c>
      <c r="J4740" t="str">
        <v>World.</v>
      </c>
      <c r="K4740" s="11">
        <v>0</v>
      </c>
    </row>
    <row r="4741" spans="5:11" x14ac:dyDescent="0.35">
      <c r="E4741" s="9" t="str">
        <v>EPSG</v>
      </c>
      <c r="F4741" s="7" t="str">
        <v>9039</v>
      </c>
      <c r="G4741" t="str">
        <v>ProjectedCrs</v>
      </c>
      <c r="H4741" t="str">
        <v>Lambert Azimuthal Equal Area</v>
      </c>
      <c r="I4741" t="str">
        <v>ISN2016 / LAEA Europe</v>
      </c>
      <c r="J4741" t="str">
        <v>Iceland - onshore and offshore.</v>
      </c>
      <c r="K4741" s="11">
        <v>0</v>
      </c>
    </row>
    <row r="4742" spans="5:11" x14ac:dyDescent="0.35">
      <c r="E4742" s="9" t="str">
        <v>EPSG</v>
      </c>
      <c r="F4742" s="7" t="str">
        <v>9040</v>
      </c>
      <c r="G4742" t="str">
        <v>ProjectedCrs</v>
      </c>
      <c r="H4742" t="str">
        <v>Lambert Conic Conformal (2SP)</v>
      </c>
      <c r="I4742" t="str">
        <v>ISN2016 / LCC Europe</v>
      </c>
      <c r="J4742" t="str">
        <v>Iceland - onshore and offshore.</v>
      </c>
      <c r="K4742" s="11">
        <v>0</v>
      </c>
    </row>
    <row r="4743" spans="5:11" x14ac:dyDescent="0.35">
      <c r="E4743" s="9" t="str">
        <v>EPSG</v>
      </c>
      <c r="F4743" s="7" t="str">
        <v>9053</v>
      </c>
      <c r="G4743" t="str">
        <v>Geographic2DCrs</v>
      </c>
      <c r="H4743" t="str">
        <v>&lt;undefined&gt;</v>
      </c>
      <c r="I4743" t="str">
        <v>WGS 84 (G730)</v>
      </c>
      <c r="J4743" t="str">
        <v>World.</v>
      </c>
      <c r="K4743" s="11">
        <v>0</v>
      </c>
    </row>
    <row r="4744" spans="5:11" x14ac:dyDescent="0.35">
      <c r="E4744" s="9" t="str">
        <v>EPSG</v>
      </c>
      <c r="F4744" s="7" t="str">
        <v>9054</v>
      </c>
      <c r="G4744" t="str">
        <v>Geographic2DCrs</v>
      </c>
      <c r="H4744" t="str">
        <v>&lt;undefined&gt;</v>
      </c>
      <c r="I4744" t="str">
        <v>WGS 84 (G873)</v>
      </c>
      <c r="J4744" t="str">
        <v>World.</v>
      </c>
      <c r="K4744" s="11">
        <v>0</v>
      </c>
    </row>
    <row r="4745" spans="5:11" x14ac:dyDescent="0.35">
      <c r="E4745" s="9" t="str">
        <v>EPSG</v>
      </c>
      <c r="F4745" s="7" t="str">
        <v>9055</v>
      </c>
      <c r="G4745" t="str">
        <v>Geographic2DCrs</v>
      </c>
      <c r="H4745" t="str">
        <v>&lt;undefined&gt;</v>
      </c>
      <c r="I4745" t="str">
        <v>WGS 84 (G1150)</v>
      </c>
      <c r="J4745" t="str">
        <v>World.</v>
      </c>
      <c r="K4745" s="11">
        <v>0</v>
      </c>
    </row>
    <row r="4746" spans="5:11" x14ac:dyDescent="0.35">
      <c r="E4746" s="9" t="str">
        <v>EPSG</v>
      </c>
      <c r="F4746" s="7" t="str">
        <v>9056</v>
      </c>
      <c r="G4746" t="str">
        <v>Geographic2DCrs</v>
      </c>
      <c r="H4746" t="str">
        <v>&lt;undefined&gt;</v>
      </c>
      <c r="I4746" t="str">
        <v>WGS 84 (G1674)</v>
      </c>
      <c r="J4746" t="str">
        <v>World.</v>
      </c>
      <c r="K4746" s="11">
        <v>0</v>
      </c>
    </row>
    <row r="4747" spans="5:11" x14ac:dyDescent="0.35">
      <c r="E4747" s="9" t="str">
        <v>EPSG</v>
      </c>
      <c r="F4747" s="7" t="str">
        <v>9057</v>
      </c>
      <c r="G4747" t="str">
        <v>Geographic2DCrs</v>
      </c>
      <c r="H4747" t="str">
        <v>&lt;undefined&gt;</v>
      </c>
      <c r="I4747" t="str">
        <v>WGS 84 (G1762)</v>
      </c>
      <c r="J4747" t="str">
        <v>World.</v>
      </c>
      <c r="K4747" s="11">
        <v>0</v>
      </c>
    </row>
    <row r="4748" spans="5:11" x14ac:dyDescent="0.35">
      <c r="E4748" s="9" t="str">
        <v>EPSG</v>
      </c>
      <c r="F4748" s="7" t="str">
        <v>9059</v>
      </c>
      <c r="G4748" t="str">
        <v>Geographic2DCrs</v>
      </c>
      <c r="H4748" t="str">
        <v>&lt;undefined&gt;</v>
      </c>
      <c r="I4748" t="str">
        <v>ETRF89</v>
      </c>
      <c r="J4748" t="str">
        <v>Europe - onshore and offshore - ETRF extent - approximately 16°W to 33°E and 33°N to 84°N.</v>
      </c>
      <c r="K4748" s="11">
        <v>0</v>
      </c>
    </row>
    <row r="4749" spans="5:11" x14ac:dyDescent="0.35">
      <c r="E4749" s="9" t="str">
        <v>EPSG</v>
      </c>
      <c r="F4749" s="7" t="str">
        <v>9060</v>
      </c>
      <c r="G4749" t="str">
        <v>Geographic2DCrs</v>
      </c>
      <c r="H4749" t="str">
        <v>&lt;undefined&gt;</v>
      </c>
      <c r="I4749" t="str">
        <v>ETRF90</v>
      </c>
      <c r="J4749" t="str">
        <v>Europe - onshore and offshore - ETRF extent - approximately 16°W to 33°E and 33°N to 84°N.</v>
      </c>
      <c r="K4749" s="11">
        <v>0</v>
      </c>
    </row>
    <row r="4750" spans="5:11" x14ac:dyDescent="0.35">
      <c r="E4750" s="9" t="str">
        <v>EPSG</v>
      </c>
      <c r="F4750" s="7" t="str">
        <v>9061</v>
      </c>
      <c r="G4750" t="str">
        <v>Geographic2DCrs</v>
      </c>
      <c r="H4750" t="str">
        <v>&lt;undefined&gt;</v>
      </c>
      <c r="I4750" t="str">
        <v>ETRF91</v>
      </c>
      <c r="J4750" t="str">
        <v>Europe - onshore and offshore - ETRF extent - approximately 16°W to 33°E and 33°N to 84°N.</v>
      </c>
      <c r="K4750" s="11">
        <v>0</v>
      </c>
    </row>
    <row r="4751" spans="5:11" x14ac:dyDescent="0.35">
      <c r="E4751" s="9" t="str">
        <v>EPSG</v>
      </c>
      <c r="F4751" s="7" t="str">
        <v>9062</v>
      </c>
      <c r="G4751" t="str">
        <v>Geographic2DCrs</v>
      </c>
      <c r="H4751" t="str">
        <v>&lt;undefined&gt;</v>
      </c>
      <c r="I4751" t="str">
        <v>ETRF92</v>
      </c>
      <c r="J4751" t="str">
        <v>Europe - onshore and offshore - ETRF extent - approximately 16°W to 33°E and 33°N to 84°N.</v>
      </c>
      <c r="K4751" s="11">
        <v>0</v>
      </c>
    </row>
    <row r="4752" spans="5:11" x14ac:dyDescent="0.35">
      <c r="E4752" s="9" t="str">
        <v>EPSG</v>
      </c>
      <c r="F4752" s="7" t="str">
        <v>9063</v>
      </c>
      <c r="G4752" t="str">
        <v>Geographic2DCrs</v>
      </c>
      <c r="H4752" t="str">
        <v>&lt;undefined&gt;</v>
      </c>
      <c r="I4752" t="str">
        <v>ETRF93</v>
      </c>
      <c r="J4752" t="str">
        <v>Europe - onshore and offshore - ETRF extent - approximately 16°W to 33°E and 33°N to 84°N.</v>
      </c>
      <c r="K4752" s="11">
        <v>0</v>
      </c>
    </row>
    <row r="4753" spans="5:11" x14ac:dyDescent="0.35">
      <c r="E4753" s="9" t="str">
        <v>EPSG</v>
      </c>
      <c r="F4753" s="7" t="str">
        <v>9064</v>
      </c>
      <c r="G4753" t="str">
        <v>Geographic2DCrs</v>
      </c>
      <c r="H4753" t="str">
        <v>&lt;undefined&gt;</v>
      </c>
      <c r="I4753" t="str">
        <v>ETRF94</v>
      </c>
      <c r="J4753" t="str">
        <v>Europe - onshore and offshore - ETRF extent - approximately 16°W to 33°E and 33°N to 84°N.</v>
      </c>
      <c r="K4753" s="11">
        <v>0</v>
      </c>
    </row>
    <row r="4754" spans="5:11" x14ac:dyDescent="0.35">
      <c r="E4754" s="9" t="str">
        <v>EPSG</v>
      </c>
      <c r="F4754" s="7" t="str">
        <v>9065</v>
      </c>
      <c r="G4754" t="str">
        <v>Geographic2DCrs</v>
      </c>
      <c r="H4754" t="str">
        <v>&lt;undefined&gt;</v>
      </c>
      <c r="I4754" t="str">
        <v>ETRF96</v>
      </c>
      <c r="J4754" t="str">
        <v>Europe - onshore and offshore - ETRF extent - approximately 16°W to 33°E and 33°N to 84°N.</v>
      </c>
      <c r="K4754" s="11">
        <v>0</v>
      </c>
    </row>
    <row r="4755" spans="5:11" x14ac:dyDescent="0.35">
      <c r="E4755" s="9" t="str">
        <v>EPSG</v>
      </c>
      <c r="F4755" s="7" t="str">
        <v>9066</v>
      </c>
      <c r="G4755" t="str">
        <v>Geographic2DCrs</v>
      </c>
      <c r="H4755" t="str">
        <v>&lt;undefined&gt;</v>
      </c>
      <c r="I4755" t="str">
        <v>ETRF97</v>
      </c>
      <c r="J4755" t="str">
        <v>Europe - onshore and offshore - ETRF extent - approximately 16°W to 33°E and 33°N to 84°N.</v>
      </c>
      <c r="K4755" s="11">
        <v>0</v>
      </c>
    </row>
    <row r="4756" spans="5:11" x14ac:dyDescent="0.35">
      <c r="E4756" s="9" t="str">
        <v>EPSG</v>
      </c>
      <c r="F4756" s="7" t="str">
        <v>9067</v>
      </c>
      <c r="G4756" t="str">
        <v>Geographic2DCrs</v>
      </c>
      <c r="H4756" t="str">
        <v>&lt;undefined&gt;</v>
      </c>
      <c r="I4756" t="str">
        <v>ETRF2000</v>
      </c>
      <c r="J4756" t="str">
        <v>Europe - onshore and offshore - ETRF extent - approximately 16°W to 33°E and 33°N to 84°N.</v>
      </c>
      <c r="K4756" s="11">
        <v>0</v>
      </c>
    </row>
    <row r="4757" spans="5:11" x14ac:dyDescent="0.35">
      <c r="E4757" s="9" t="str">
        <v>EPSG</v>
      </c>
      <c r="F4757" s="7" t="str">
        <v>9068</v>
      </c>
      <c r="G4757" t="str">
        <v>Geographic2DCrs</v>
      </c>
      <c r="H4757" t="str">
        <v>&lt;undefined&gt;</v>
      </c>
      <c r="I4757" t="str">
        <v>ETRF2005</v>
      </c>
      <c r="J4757" t="str">
        <v>Europe - onshore and offshore - ETRF extent - approximately 16°W to 33°E and 33°N to 84°N.</v>
      </c>
      <c r="K4757" s="11">
        <v>0</v>
      </c>
    </row>
    <row r="4758" spans="5:11" x14ac:dyDescent="0.35">
      <c r="E4758" s="9" t="str">
        <v>EPSG</v>
      </c>
      <c r="F4758" s="7" t="str">
        <v>9069</v>
      </c>
      <c r="G4758" t="str">
        <v>Geographic2DCrs</v>
      </c>
      <c r="H4758" t="str">
        <v>&lt;undefined&gt;</v>
      </c>
      <c r="I4758" t="str">
        <v>ETRF2014</v>
      </c>
      <c r="J4758" t="str">
        <v>Europe - onshore and offshore - ETRF extent - approximately 16°W to 33°E and 33°N to 84°N.</v>
      </c>
      <c r="K4758" s="11">
        <v>0</v>
      </c>
    </row>
    <row r="4759" spans="5:11" x14ac:dyDescent="0.35">
      <c r="E4759" s="9" t="str">
        <v>EPSG</v>
      </c>
      <c r="F4759" s="7" t="str">
        <v>9070</v>
      </c>
      <c r="G4759" t="str">
        <v>GeocentricCrs</v>
      </c>
      <c r="H4759" t="str">
        <v>&lt;undefined&gt;</v>
      </c>
      <c r="I4759" t="str">
        <v>NAD83(MARP00)</v>
      </c>
      <c r="J4759" t="str">
        <v>Guam, Northern Mariana Islands and Palau; onshore and offshore.</v>
      </c>
      <c r="K4759" s="11">
        <v>0</v>
      </c>
    </row>
    <row r="4760" spans="5:11" x14ac:dyDescent="0.35">
      <c r="E4760" s="9" t="str">
        <v>EPSG</v>
      </c>
      <c r="F4760" s="7" t="str">
        <v>9071</v>
      </c>
      <c r="G4760" t="str">
        <v>Geographic3DCrs</v>
      </c>
      <c r="H4760" t="str">
        <v>&lt;undefined&gt;</v>
      </c>
      <c r="I4760" t="str">
        <v>NAD83(MARP00)</v>
      </c>
      <c r="J4760" t="str">
        <v>Guam, Northern Mariana Islands and Palau; onshore and offshore.</v>
      </c>
      <c r="K4760" s="11">
        <v>0</v>
      </c>
    </row>
    <row r="4761" spans="5:11" x14ac:dyDescent="0.35">
      <c r="E4761" s="9" t="str">
        <v>EPSG</v>
      </c>
      <c r="F4761" s="7" t="str">
        <v>9072</v>
      </c>
      <c r="G4761" t="str">
        <v>Geographic2DCrs</v>
      </c>
      <c r="H4761" t="str">
        <v>&lt;undefined&gt;</v>
      </c>
      <c r="I4761" t="str">
        <v>NAD83(MARP00)</v>
      </c>
      <c r="J4761" t="str">
        <v>Guam, Northern Mariana Islands and Palau; onshore and offshore.</v>
      </c>
      <c r="K4761" s="11">
        <v>0</v>
      </c>
    </row>
    <row r="4762" spans="5:11" x14ac:dyDescent="0.35">
      <c r="E4762" s="9" t="str">
        <v>EPSG</v>
      </c>
      <c r="F4762" s="7" t="str">
        <v>9073</v>
      </c>
      <c r="G4762" t="str">
        <v>GeocentricCrs</v>
      </c>
      <c r="H4762" t="str">
        <v>&lt;undefined&gt;</v>
      </c>
      <c r="I4762" t="str">
        <v>NAD83(PACP00)</v>
      </c>
      <c r="J4762" t="str">
        <v>American Samoa, Marshall Islands, United States (USA) - Hawaii, United States minor outlying islands; onshore and offshore.</v>
      </c>
      <c r="K4762" s="11">
        <v>0</v>
      </c>
    </row>
    <row r="4763" spans="5:11" x14ac:dyDescent="0.35">
      <c r="E4763" s="9" t="str">
        <v>EPSG</v>
      </c>
      <c r="F4763" s="7" t="str">
        <v>9074</v>
      </c>
      <c r="G4763" t="str">
        <v>Geographic3DCrs</v>
      </c>
      <c r="H4763" t="str">
        <v>&lt;undefined&gt;</v>
      </c>
      <c r="I4763" t="str">
        <v>NAD83(PACP00)</v>
      </c>
      <c r="J4763" t="str">
        <v>American Samoa, Marshall Islands, United States (USA) - Hawaii, United States minor outlying islands; onshore and offshore.</v>
      </c>
      <c r="K4763" s="11">
        <v>0</v>
      </c>
    </row>
    <row r="4764" spans="5:11" x14ac:dyDescent="0.35">
      <c r="E4764" s="9" t="str">
        <v>EPSG</v>
      </c>
      <c r="F4764" s="7" t="str">
        <v>9075</v>
      </c>
      <c r="G4764" t="str">
        <v>Geographic2DCrs</v>
      </c>
      <c r="H4764" t="str">
        <v>&lt;undefined&gt;</v>
      </c>
      <c r="I4764" t="str">
        <v>NAD83(PACP00)</v>
      </c>
      <c r="J4764" t="str">
        <v>American Samoa, Marshall Islands, United States (USA) - Hawaii, United States minor outlying islands; onshore and offshore.</v>
      </c>
      <c r="K4764" s="11">
        <v>0</v>
      </c>
    </row>
    <row r="4765" spans="5:11" x14ac:dyDescent="0.35">
      <c r="E4765" s="9" t="str">
        <v>EPSG</v>
      </c>
      <c r="F4765" s="7" t="str">
        <v>9130</v>
      </c>
      <c r="G4765" t="str">
        <v>VerticalCrs</v>
      </c>
      <c r="H4765" t="str">
        <v>&lt;undefined&gt;</v>
      </c>
      <c r="I4765" t="str">
        <v>IGN 2008 LD height</v>
      </c>
      <c r="J4765" t="str">
        <v>Guadeloupe - onshore - La Desirade.</v>
      </c>
      <c r="K4765" s="11">
        <v>0</v>
      </c>
    </row>
    <row r="4766" spans="5:11" x14ac:dyDescent="0.35">
      <c r="E4766" s="9" t="str">
        <v>EPSG</v>
      </c>
      <c r="F4766" s="7" t="str">
        <v>9138</v>
      </c>
      <c r="G4766" t="str">
        <v>GeocentricCrs</v>
      </c>
      <c r="H4766" t="str">
        <v>&lt;undefined&gt;</v>
      </c>
      <c r="I4766" t="str">
        <v>KOSOVAREF01</v>
      </c>
      <c r="J4766" t="str">
        <v>Kosovo.</v>
      </c>
      <c r="K4766" s="11">
        <v>0</v>
      </c>
    </row>
    <row r="4767" spans="5:11" x14ac:dyDescent="0.35">
      <c r="E4767" s="9" t="str">
        <v>EPSG</v>
      </c>
      <c r="F4767" s="7" t="str">
        <v>9139</v>
      </c>
      <c r="G4767" t="str">
        <v>Geographic3DCrs</v>
      </c>
      <c r="H4767" t="str">
        <v>&lt;undefined&gt;</v>
      </c>
      <c r="I4767" t="str">
        <v>KOSOVAREF01</v>
      </c>
      <c r="J4767" t="str">
        <v>Kosovo.</v>
      </c>
      <c r="K4767" s="11">
        <v>0</v>
      </c>
    </row>
    <row r="4768" spans="5:11" x14ac:dyDescent="0.35">
      <c r="E4768" s="9" t="str">
        <v>EPSG</v>
      </c>
      <c r="F4768" s="7" t="str">
        <v>9140</v>
      </c>
      <c r="G4768" t="str">
        <v>Geographic2DCrs</v>
      </c>
      <c r="H4768" t="str">
        <v>&lt;undefined&gt;</v>
      </c>
      <c r="I4768" t="str">
        <v>KOSOVAREF01</v>
      </c>
      <c r="J4768" t="str">
        <v>Kosovo.</v>
      </c>
      <c r="K4768" s="11">
        <v>0</v>
      </c>
    </row>
    <row r="4769" spans="5:11" x14ac:dyDescent="0.35">
      <c r="E4769" s="9" t="str">
        <v>EPSG</v>
      </c>
      <c r="F4769" s="7" t="str">
        <v>9141</v>
      </c>
      <c r="G4769" t="str">
        <v>ProjectedCrs</v>
      </c>
      <c r="H4769" t="str">
        <v>Transverse Mercator</v>
      </c>
      <c r="I4769" t="str">
        <v>KOSOVAREF01 / Balkans zone 7</v>
      </c>
      <c r="J4769" t="str">
        <v>Kosovo.</v>
      </c>
      <c r="K4769" s="11">
        <v>0</v>
      </c>
    </row>
    <row r="4770" spans="5:11" x14ac:dyDescent="0.35">
      <c r="E4770" s="9" t="str">
        <v>EPSG</v>
      </c>
      <c r="F4770" s="7" t="str">
        <v>9146</v>
      </c>
      <c r="G4770" t="str">
        <v>GeocentricCrs</v>
      </c>
      <c r="H4770" t="str">
        <v>&lt;undefined&gt;</v>
      </c>
      <c r="I4770" t="str">
        <v>SIRGAS-Chile 2013</v>
      </c>
      <c r="J4770" t="str">
        <v>Chile - onshore and offshore. Includes Easter Island, Juan Fernandez Islands, San Felix, and Sala y Gomez.</v>
      </c>
      <c r="K4770" s="11">
        <v>0</v>
      </c>
    </row>
    <row r="4771" spans="5:11" x14ac:dyDescent="0.35">
      <c r="E4771" s="9" t="str">
        <v>EPSG</v>
      </c>
      <c r="F4771" s="7" t="str">
        <v>9147</v>
      </c>
      <c r="G4771" t="str">
        <v>Geographic3DCrs</v>
      </c>
      <c r="H4771" t="str">
        <v>&lt;undefined&gt;</v>
      </c>
      <c r="I4771" t="str">
        <v>SIRGAS-Chile 2013</v>
      </c>
      <c r="J4771" t="str">
        <v>Chile - onshore and offshore. Includes Easter Island, Juan Fernandez Islands, San Felix, and Sala y Gomez.</v>
      </c>
      <c r="K4771" s="11">
        <v>0</v>
      </c>
    </row>
    <row r="4772" spans="5:11" x14ac:dyDescent="0.35">
      <c r="E4772" s="9" t="str">
        <v>EPSG</v>
      </c>
      <c r="F4772" s="7" t="str">
        <v>9148</v>
      </c>
      <c r="G4772" t="str">
        <v>Geographic2DCrs</v>
      </c>
      <c r="H4772" t="str">
        <v>&lt;undefined&gt;</v>
      </c>
      <c r="I4772" t="str">
        <v>SIRGAS-Chile 2013</v>
      </c>
      <c r="J4772" t="str">
        <v>Chile - onshore and offshore. Includes Easter Island, Juan Fernandez Islands, San Felix, and Sala y Gomez.</v>
      </c>
      <c r="K4772" s="11">
        <v>0</v>
      </c>
    </row>
    <row r="4773" spans="5:11" x14ac:dyDescent="0.35">
      <c r="E4773" s="9" t="str">
        <v>EPSG</v>
      </c>
      <c r="F4773" s="7" t="str">
        <v>9149</v>
      </c>
      <c r="G4773" t="str">
        <v>ProjectedCrs</v>
      </c>
      <c r="H4773" t="str">
        <v>Transverse Mercator</v>
      </c>
      <c r="I4773" t="str">
        <v>SIRGAS-Chile 2013 / UTM zone 18S</v>
      </c>
      <c r="J4773" t="str">
        <v>Chile - 78°W to 72°W, onshore and offshore.</v>
      </c>
      <c r="K4773" s="11">
        <v>0</v>
      </c>
    </row>
    <row r="4774" spans="5:11" x14ac:dyDescent="0.35">
      <c r="E4774" s="9" t="str">
        <v>EPSG</v>
      </c>
      <c r="F4774" s="7" t="str">
        <v>9150</v>
      </c>
      <c r="G4774" t="str">
        <v>ProjectedCrs</v>
      </c>
      <c r="H4774" t="str">
        <v>Transverse Mercator</v>
      </c>
      <c r="I4774" t="str">
        <v>SIRGAS-Chile 2013 / UTM zone 19S</v>
      </c>
      <c r="J4774" t="str">
        <v>Chile - 72°W to 66°W, onshore and offshore.</v>
      </c>
      <c r="K4774" s="11">
        <v>0</v>
      </c>
    </row>
    <row r="4775" spans="5:11" x14ac:dyDescent="0.35">
      <c r="E4775" s="9" t="str">
        <v>EPSG</v>
      </c>
      <c r="F4775" s="7" t="str">
        <v>9151</v>
      </c>
      <c r="G4775" t="str">
        <v>GeocentricCrs</v>
      </c>
      <c r="H4775" t="str">
        <v>&lt;undefined&gt;</v>
      </c>
      <c r="I4775" t="str">
        <v>SIRGAS-Chile 2016</v>
      </c>
      <c r="J4775" t="str">
        <v>Chile - onshore and offshore. Includes Easter Island, Juan Fernandez Islands, San Felix, and Sala y Gomez.</v>
      </c>
      <c r="K4775" s="11">
        <v>0</v>
      </c>
    </row>
    <row r="4776" spans="5:11" x14ac:dyDescent="0.35">
      <c r="E4776" s="9" t="str">
        <v>EPSG</v>
      </c>
      <c r="F4776" s="7" t="str">
        <v>9152</v>
      </c>
      <c r="G4776" t="str">
        <v>Geographic3DCrs</v>
      </c>
      <c r="H4776" t="str">
        <v>&lt;undefined&gt;</v>
      </c>
      <c r="I4776" t="str">
        <v>SIRGAS-Chile 2016</v>
      </c>
      <c r="J4776" t="str">
        <v>Chile - onshore and offshore. Includes Easter Island, Juan Fernandez Islands, San Felix, and Sala y Gomez.</v>
      </c>
      <c r="K4776" s="11">
        <v>0</v>
      </c>
    </row>
    <row r="4777" spans="5:11" x14ac:dyDescent="0.35">
      <c r="E4777" s="9" t="str">
        <v>EPSG</v>
      </c>
      <c r="F4777" s="7" t="str">
        <v>9153</v>
      </c>
      <c r="G4777" t="str">
        <v>Geographic2DCrs</v>
      </c>
      <c r="H4777" t="str">
        <v>&lt;undefined&gt;</v>
      </c>
      <c r="I4777" t="str">
        <v>SIRGAS-Chile 2016</v>
      </c>
      <c r="J4777" t="str">
        <v>Chile - onshore and offshore. Includes Easter Island, Juan Fernandez Islands, San Felix, and Sala y Gomez.</v>
      </c>
      <c r="K4777" s="11">
        <v>0</v>
      </c>
    </row>
    <row r="4778" spans="5:11" x14ac:dyDescent="0.35">
      <c r="E4778" s="9" t="str">
        <v>EPSG</v>
      </c>
      <c r="F4778" s="7" t="str">
        <v>9154</v>
      </c>
      <c r="G4778" t="str">
        <v>ProjectedCrs</v>
      </c>
      <c r="H4778" t="str">
        <v>Transverse Mercator</v>
      </c>
      <c r="I4778" t="str">
        <v>SIRGAS-Chile 2016 / UTM zone 18S</v>
      </c>
      <c r="J4778" t="str">
        <v>Chile - 78°W to 72°W, onshore and offshore.</v>
      </c>
      <c r="K4778" s="11">
        <v>0</v>
      </c>
    </row>
    <row r="4779" spans="5:11" x14ac:dyDescent="0.35">
      <c r="E4779" s="9" t="str">
        <v>EPSG</v>
      </c>
      <c r="F4779" s="7" t="str">
        <v>9155</v>
      </c>
      <c r="G4779" t="str">
        <v>ProjectedCrs</v>
      </c>
      <c r="H4779" t="str">
        <v>Transverse Mercator</v>
      </c>
      <c r="I4779" t="str">
        <v>SIRGAS-Chile 2016 / UTM zone 19S</v>
      </c>
      <c r="J4779" t="str">
        <v>Chile - 72°W to 66°W, onshore and offshore.</v>
      </c>
      <c r="K4779" s="11">
        <v>0</v>
      </c>
    </row>
    <row r="4780" spans="5:11" x14ac:dyDescent="0.35">
      <c r="E4780" s="9" t="str">
        <v>EPSG</v>
      </c>
      <c r="F4780" s="7" t="str">
        <v>9156</v>
      </c>
      <c r="G4780" t="str">
        <v>ProjectedCrs</v>
      </c>
      <c r="H4780" t="str">
        <v>Transverse Mercator</v>
      </c>
      <c r="I4780" t="str">
        <v>RSAO13 / UTM zone 32S</v>
      </c>
      <c r="J4780" t="str">
        <v>Angola - west of 12°E, onshore and offshore.</v>
      </c>
      <c r="K4780" s="11">
        <v>0</v>
      </c>
    </row>
    <row r="4781" spans="5:11" x14ac:dyDescent="0.35">
      <c r="E4781" s="9" t="str">
        <v>EPSG</v>
      </c>
      <c r="F4781" s="7" t="str">
        <v>9157</v>
      </c>
      <c r="G4781" t="str">
        <v>ProjectedCrs</v>
      </c>
      <c r="H4781" t="str">
        <v>Transverse Mercator</v>
      </c>
      <c r="I4781" t="str">
        <v>RSAO13 / UTM zone 33S</v>
      </c>
      <c r="J4781" t="str">
        <v>Angola - between 12°E and 18°E, onshore and offshore.</v>
      </c>
      <c r="K4781" s="11">
        <v>0</v>
      </c>
    </row>
    <row r="4782" spans="5:11" x14ac:dyDescent="0.35">
      <c r="E4782" s="9" t="str">
        <v>EPSG</v>
      </c>
      <c r="F4782" s="7" t="str">
        <v>9158</v>
      </c>
      <c r="G4782" t="str">
        <v>ProjectedCrs</v>
      </c>
      <c r="H4782" t="str">
        <v>Transverse Mercator</v>
      </c>
      <c r="I4782" t="str">
        <v>RSAO13 / UTM zone 34S</v>
      </c>
      <c r="J4782" t="str">
        <v>Angola - east of 18°E.</v>
      </c>
      <c r="K4782" s="11">
        <v>0</v>
      </c>
    </row>
    <row r="4783" spans="5:11" x14ac:dyDescent="0.35">
      <c r="E4783" s="9" t="str">
        <v>EPSG</v>
      </c>
      <c r="F4783" s="7" t="str">
        <v>9159</v>
      </c>
      <c r="G4783" t="str">
        <v>ProjectedCrs</v>
      </c>
      <c r="H4783" t="str">
        <v>Transverse Mercator</v>
      </c>
      <c r="I4783" t="str">
        <v>RSAO13 / TM 12 SE</v>
      </c>
      <c r="J4783" t="str">
        <v>Angola - Angola proper - offshore.</v>
      </c>
      <c r="K4783" s="11">
        <v>0</v>
      </c>
    </row>
    <row r="4784" spans="5:11" x14ac:dyDescent="0.35">
      <c r="E4784" s="9" t="str">
        <v>EPSG</v>
      </c>
      <c r="F4784" s="7" t="str">
        <v>9191</v>
      </c>
      <c r="G4784" t="str">
        <v>ProjectedCrs</v>
      </c>
      <c r="H4784" t="str">
        <v>Albers Equal Area</v>
      </c>
      <c r="I4784" t="str">
        <v>WGS 84 / NIWA Albers</v>
      </c>
      <c r="J4784" t="str">
        <v>Southwestern Pacific Ocean and Southern Ocean areas surrounding New Zealand.</v>
      </c>
      <c r="K4784" s="11">
        <v>0</v>
      </c>
    </row>
    <row r="4785" spans="5:11" x14ac:dyDescent="0.35">
      <c r="E4785" s="9" t="str">
        <v>EPSG</v>
      </c>
      <c r="F4785" s="7" t="str">
        <v>9205</v>
      </c>
      <c r="G4785" t="str">
        <v>ProjectedCrs</v>
      </c>
      <c r="H4785" t="str">
        <v>Transverse Mercator</v>
      </c>
      <c r="I4785" t="str">
        <v>VN-2000 / TM-3 103-00</v>
      </c>
      <c r="J4785" t="str">
        <v>Vietnam - Dien Bien and Lai Chau provinces.</v>
      </c>
      <c r="K4785" s="11">
        <v>0</v>
      </c>
    </row>
    <row r="4786" spans="5:11" x14ac:dyDescent="0.35">
      <c r="E4786" s="9" t="str">
        <v>EPSG</v>
      </c>
      <c r="F4786" s="7" t="str">
        <v>9206</v>
      </c>
      <c r="G4786" t="str">
        <v>ProjectedCrs</v>
      </c>
      <c r="H4786" t="str">
        <v>Transverse Mercator</v>
      </c>
      <c r="I4786" t="str">
        <v>VN-2000 / TM-3 104-00</v>
      </c>
      <c r="J4786" t="str">
        <v>Vietnam - Son La province.</v>
      </c>
      <c r="K4786" s="11">
        <v>0</v>
      </c>
    </row>
    <row r="4787" spans="5:11" x14ac:dyDescent="0.35">
      <c r="E4787" s="9" t="str">
        <v>EPSG</v>
      </c>
      <c r="F4787" s="7" t="str">
        <v>9207</v>
      </c>
      <c r="G4787" t="str">
        <v>ProjectedCrs</v>
      </c>
      <c r="H4787" t="str">
        <v>Transverse Mercator</v>
      </c>
      <c r="I4787" t="str">
        <v>VN-2000 / TM-3 104-30</v>
      </c>
      <c r="J4787" t="str">
        <v>Vietnam - Ca Mau and Kien Giang provinces.</v>
      </c>
      <c r="K4787" s="11">
        <v>0</v>
      </c>
    </row>
    <row r="4788" spans="5:11" x14ac:dyDescent="0.35">
      <c r="E4788" s="9" t="str">
        <v>EPSG</v>
      </c>
      <c r="F4788" s="7" t="str">
        <v>9208</v>
      </c>
      <c r="G4788" t="str">
        <v>ProjectedCrs</v>
      </c>
      <c r="H4788" t="str">
        <v>Transverse Mercator</v>
      </c>
      <c r="I4788" t="str">
        <v>VN-2000 / TM-3 104-45</v>
      </c>
      <c r="J4788" t="str">
        <v>Vietnam - An Giang, Lao Cai, Nghe An, Phu Tho and Yen Bai provinces.</v>
      </c>
      <c r="K4788" s="11">
        <v>0</v>
      </c>
    </row>
    <row r="4789" spans="5:11" x14ac:dyDescent="0.35">
      <c r="E4789" s="9" t="str">
        <v>EPSG</v>
      </c>
      <c r="F4789" s="7" t="str">
        <v>9209</v>
      </c>
      <c r="G4789" t="str">
        <v>ProjectedCrs</v>
      </c>
      <c r="H4789" t="str">
        <v>Transverse Mercator</v>
      </c>
      <c r="I4789" t="str">
        <v>VN-2000 / TM-3 105-30</v>
      </c>
      <c r="J4789" t="str">
        <v>Vietnam - Bac Ninh, Ha Giang, Ha Tinh, Hai Duong, Hung Yen, Nam Dinh, Soc Trang, Tay Ninh, Thai Binh, Tra Vinh and Vinh Long provinces.</v>
      </c>
      <c r="K4789" s="11">
        <v>0</v>
      </c>
    </row>
    <row r="4790" spans="5:11" x14ac:dyDescent="0.35">
      <c r="E4790" s="9" t="str">
        <v>EPSG</v>
      </c>
      <c r="F4790" s="7" t="str">
        <v>9210</v>
      </c>
      <c r="G4790" t="str">
        <v>ProjectedCrs</v>
      </c>
      <c r="H4790" t="str">
        <v>Transverse Mercator</v>
      </c>
      <c r="I4790" t="str">
        <v>VN-2000 / TM-3 105-45</v>
      </c>
      <c r="J4790" t="str">
        <v>Vietnam - Hai Phong and Ho Chi Minh cities; Ben Tre, Binh Duong, Cao Bang, Long An and Tien Giang provinces.</v>
      </c>
      <c r="K4790" s="11">
        <v>0</v>
      </c>
    </row>
    <row r="4791" spans="5:11" x14ac:dyDescent="0.35">
      <c r="E4791" s="9" t="str">
        <v>EPSG</v>
      </c>
      <c r="F4791" s="7" t="str">
        <v>9211</v>
      </c>
      <c r="G4791" t="str">
        <v>ProjectedCrs</v>
      </c>
      <c r="H4791" t="str">
        <v>Transverse Mercator</v>
      </c>
      <c r="I4791" t="str">
        <v>VN-2000 / TM-3 106-00</v>
      </c>
      <c r="J4791" t="str">
        <v>Vietnam - Hoa Binh, Quang Binh and Tuyen Quang provinces.</v>
      </c>
      <c r="K4791" s="11">
        <v>0</v>
      </c>
    </row>
    <row r="4792" spans="5:11" x14ac:dyDescent="0.35">
      <c r="E4792" s="9" t="str">
        <v>EPSG</v>
      </c>
      <c r="F4792" s="7" t="str">
        <v>9212</v>
      </c>
      <c r="G4792" t="str">
        <v>ProjectedCrs</v>
      </c>
      <c r="H4792" t="str">
        <v>Transverse Mercator</v>
      </c>
      <c r="I4792" t="str">
        <v>VN-2000 / TM-3 106-15</v>
      </c>
      <c r="J4792" t="str">
        <v>Vietnam - Binh Phuoc and Quang Tri provinces.</v>
      </c>
      <c r="K4792" s="11">
        <v>0</v>
      </c>
    </row>
    <row r="4793" spans="5:11" x14ac:dyDescent="0.35">
      <c r="E4793" s="9" t="str">
        <v>EPSG</v>
      </c>
      <c r="F4793" s="7" t="str">
        <v>9213</v>
      </c>
      <c r="G4793" t="str">
        <v>ProjectedCrs</v>
      </c>
      <c r="H4793" t="str">
        <v>Transverse Mercator</v>
      </c>
      <c r="I4793" t="str">
        <v>VN-2000 / TM-3 106-30</v>
      </c>
      <c r="J4793" t="str">
        <v>Vietnam - Bac Kan and Thai Nguyen provinces.</v>
      </c>
      <c r="K4793" s="11">
        <v>0</v>
      </c>
    </row>
    <row r="4794" spans="5:11" x14ac:dyDescent="0.35">
      <c r="E4794" s="9" t="str">
        <v>EPSG</v>
      </c>
      <c r="F4794" s="7" t="str">
        <v>9214</v>
      </c>
      <c r="G4794" t="str">
        <v>ProjectedCrs</v>
      </c>
      <c r="H4794" t="str">
        <v>Transverse Mercator</v>
      </c>
      <c r="I4794" t="str">
        <v>VN-2000 / TM-3 107-00</v>
      </c>
      <c r="J4794" t="str">
        <v>Vietnam - Bac Giang and Thua Thien-Hue provinces.</v>
      </c>
      <c r="K4794" s="11">
        <v>0</v>
      </c>
    </row>
    <row r="4795" spans="5:11" x14ac:dyDescent="0.35">
      <c r="E4795" s="9" t="str">
        <v>EPSG</v>
      </c>
      <c r="F4795" s="7" t="str">
        <v>9215</v>
      </c>
      <c r="G4795" t="str">
        <v>ProjectedCrs</v>
      </c>
      <c r="H4795" t="str">
        <v>Transverse Mercator</v>
      </c>
      <c r="I4795" t="str">
        <v>VN-2000 / TM-3 107-15</v>
      </c>
      <c r="J4795" t="str">
        <v>Vietnam - Lang Son province.</v>
      </c>
      <c r="K4795" s="11">
        <v>0</v>
      </c>
    </row>
    <row r="4796" spans="5:11" x14ac:dyDescent="0.35">
      <c r="E4796" s="9" t="str">
        <v>EPSG</v>
      </c>
      <c r="F4796" s="7" t="str">
        <v>9216</v>
      </c>
      <c r="G4796" t="str">
        <v>ProjectedCrs</v>
      </c>
      <c r="H4796" t="str">
        <v>Transverse Mercator</v>
      </c>
      <c r="I4796" t="str">
        <v>VN-2000 / TM-3 107-30</v>
      </c>
      <c r="J4796" t="str">
        <v>Vietnam - Kon Tum province.</v>
      </c>
      <c r="K4796" s="11">
        <v>0</v>
      </c>
    </row>
    <row r="4797" spans="5:11" x14ac:dyDescent="0.35">
      <c r="E4797" s="9" t="str">
        <v>EPSG</v>
      </c>
      <c r="F4797" s="7" t="str">
        <v>9217</v>
      </c>
      <c r="G4797" t="str">
        <v>ProjectedCrs</v>
      </c>
      <c r="H4797" t="str">
        <v>Transverse Mercator</v>
      </c>
      <c r="I4797" t="str">
        <v>VN-2000 / TM-3 108-15</v>
      </c>
      <c r="J4797" t="str">
        <v>Vietnam - Binh Dinh, Khanh Hoa and Ninh Thuan provinces.</v>
      </c>
      <c r="K4797" s="11">
        <v>0</v>
      </c>
    </row>
    <row r="4798" spans="5:11" x14ac:dyDescent="0.35">
      <c r="E4798" s="9" t="str">
        <v>EPSG</v>
      </c>
      <c r="F4798" s="7" t="str">
        <v>9218</v>
      </c>
      <c r="G4798" t="str">
        <v>ProjectedCrs</v>
      </c>
      <c r="H4798" t="str">
        <v>Transverse Mercator</v>
      </c>
      <c r="I4798" t="str">
        <v>VN-2000 / TM-3 108-30</v>
      </c>
      <c r="J4798" t="str">
        <v>Vietnam - Binh Thuan, Dak Lak, Dak Nong, Gia Lai and Phu Yen provinces.</v>
      </c>
      <c r="K4798" s="11">
        <v>0</v>
      </c>
    </row>
    <row r="4799" spans="5:11" x14ac:dyDescent="0.35">
      <c r="E4799" s="9" t="str">
        <v>EPSG</v>
      </c>
      <c r="F4799" s="7" t="str">
        <v>9221</v>
      </c>
      <c r="G4799" t="str">
        <v>ProjectedCrs</v>
      </c>
      <c r="H4799" t="str">
        <v>Albers Equal Area</v>
      </c>
      <c r="I4799" t="str">
        <v>Hartebeesthoek94 / ZAF BSU Albers 25E</v>
      </c>
      <c r="J4799" t="str">
        <v>South Africa - mainland - onshore and offshore.</v>
      </c>
      <c r="K4799" s="11">
        <v>0</v>
      </c>
    </row>
    <row r="4800" spans="5:11" x14ac:dyDescent="0.35">
      <c r="E4800" s="9" t="str">
        <v>EPSG</v>
      </c>
      <c r="F4800" s="7" t="str">
        <v>9222</v>
      </c>
      <c r="G4800" t="str">
        <v>ProjectedCrs</v>
      </c>
      <c r="H4800" t="str">
        <v>Albers Equal Area</v>
      </c>
      <c r="I4800" t="str">
        <v>Hartebeesthoek94 / ZAF BSU Albers 44E</v>
      </c>
      <c r="J4800" t="str">
        <v>South Africa - Marion Island and Prince Edward Island - onshore and offshore.</v>
      </c>
      <c r="K4800" s="11">
        <v>0</v>
      </c>
    </row>
    <row r="4801" spans="5:11" x14ac:dyDescent="0.35">
      <c r="E4801" s="9" t="str">
        <v>EPSG</v>
      </c>
      <c r="F4801" s="7" t="str">
        <v>9245</v>
      </c>
      <c r="G4801" t="str">
        <v>VerticalCrs</v>
      </c>
      <c r="H4801" t="str">
        <v>&lt;undefined&gt;</v>
      </c>
      <c r="I4801" t="str">
        <v>CGVD2013a(2010) height</v>
      </c>
      <c r="J4801" t="str">
        <v>Canada - onshore and offshore - Alberta; British Columbia; Manitoba; New Brunswick; Newfoundland and Labrador; Northwest Territories; Nova Scotia; Nunavut; Ontario; Prince Edward Island; Quebec; Saskatchewan; Yukon.</v>
      </c>
      <c r="K4801" s="11">
        <v>0</v>
      </c>
    </row>
    <row r="4802" spans="5:11" x14ac:dyDescent="0.35">
      <c r="E4802" s="9" t="str">
        <v>EPSG</v>
      </c>
      <c r="F4802" s="7" t="str">
        <v>9248</v>
      </c>
      <c r="G4802" t="str">
        <v>Geographic2DCrs</v>
      </c>
      <c r="H4802" t="str">
        <v>&lt;undefined&gt;</v>
      </c>
      <c r="I4802" t="str">
        <v>Tapi Aike</v>
      </c>
      <c r="J4802" t="str">
        <v>Argentina - Santa Cruz province south of approximately 50°20'S.</v>
      </c>
      <c r="K4802" s="11">
        <v>0</v>
      </c>
    </row>
    <row r="4803" spans="5:11" x14ac:dyDescent="0.35">
      <c r="E4803" s="9" t="str">
        <v>EPSG</v>
      </c>
      <c r="F4803" s="7" t="str">
        <v>9249</v>
      </c>
      <c r="G4803" t="str">
        <v>ProjectedCrs</v>
      </c>
      <c r="H4803" t="str">
        <v>Transverse Mercator</v>
      </c>
      <c r="I4803" t="str">
        <v>Tapi Aike / Argentina 1</v>
      </c>
      <c r="J4803" t="str">
        <v>Argentina - Santa Cruz province south of approximately 50°20'S and west of 70°30'W.</v>
      </c>
      <c r="K4803" s="11">
        <v>0</v>
      </c>
    </row>
    <row r="4804" spans="5:11" x14ac:dyDescent="0.35">
      <c r="E4804" s="9" t="str">
        <v>EPSG</v>
      </c>
      <c r="F4804" s="7" t="str">
        <v>9250</v>
      </c>
      <c r="G4804" t="str">
        <v>ProjectedCrs</v>
      </c>
      <c r="H4804" t="str">
        <v>Transverse Mercator</v>
      </c>
      <c r="I4804" t="str">
        <v>Tapi Aike / Argentina 2</v>
      </c>
      <c r="J4804" t="str">
        <v>Argentina - Santa Cruz province south of approximately 50°20'S and east of 70°30'W.</v>
      </c>
      <c r="K4804" s="11">
        <v>0</v>
      </c>
    </row>
    <row r="4805" spans="5:11" x14ac:dyDescent="0.35">
      <c r="E4805" s="9" t="str">
        <v>EPSG</v>
      </c>
      <c r="F4805" s="7" t="str">
        <v>9251</v>
      </c>
      <c r="G4805" t="str">
        <v>Geographic2DCrs</v>
      </c>
      <c r="H4805" t="str">
        <v>&lt;undefined&gt;</v>
      </c>
      <c r="I4805" t="str">
        <v>MMN</v>
      </c>
      <c r="J4805" t="str">
        <v>Argentina - Tierra del Fuego onshore.</v>
      </c>
      <c r="K4805" s="11">
        <v>0</v>
      </c>
    </row>
    <row r="4806" spans="5:11" x14ac:dyDescent="0.35">
      <c r="E4806" s="9" t="str">
        <v>EPSG</v>
      </c>
      <c r="F4806" s="7" t="str">
        <v>9252</v>
      </c>
      <c r="G4806" t="str">
        <v>ProjectedCrs</v>
      </c>
      <c r="H4806" t="str">
        <v>Transverse Mercator</v>
      </c>
      <c r="I4806" t="str">
        <v>MMN / Argentina 2</v>
      </c>
      <c r="J4806" t="str">
        <v>Argentina - Tierra del Fuego onshore.</v>
      </c>
      <c r="K4806" s="11">
        <v>0</v>
      </c>
    </row>
    <row r="4807" spans="5:11" x14ac:dyDescent="0.35">
      <c r="E4807" s="9" t="str">
        <v>EPSG</v>
      </c>
      <c r="F4807" s="7" t="str">
        <v>9253</v>
      </c>
      <c r="G4807" t="str">
        <v>Geographic2DCrs</v>
      </c>
      <c r="H4807" t="str">
        <v>&lt;undefined&gt;</v>
      </c>
      <c r="I4807" t="str">
        <v>MMS</v>
      </c>
      <c r="J4807" t="str">
        <v>Argentina - Tierra del Fuego onshore.</v>
      </c>
      <c r="K4807" s="11">
        <v>0</v>
      </c>
    </row>
    <row r="4808" spans="5:11" x14ac:dyDescent="0.35">
      <c r="E4808" s="9" t="str">
        <v>EPSG</v>
      </c>
      <c r="F4808" s="7" t="str">
        <v>9254</v>
      </c>
      <c r="G4808" t="str">
        <v>ProjectedCrs</v>
      </c>
      <c r="H4808" t="str">
        <v>Transverse Mercator</v>
      </c>
      <c r="I4808" t="str">
        <v>MMS / Argentina 2</v>
      </c>
      <c r="J4808" t="str">
        <v>Argentina - Tierra del Fuego onshore.</v>
      </c>
      <c r="K4808" s="11">
        <v>0</v>
      </c>
    </row>
    <row r="4809" spans="5:11" x14ac:dyDescent="0.35">
      <c r="E4809" s="9" t="str">
        <v>EPSG</v>
      </c>
      <c r="F4809" s="7" t="str">
        <v>9255</v>
      </c>
      <c r="G4809" t="str">
        <v>VerticalCrs</v>
      </c>
      <c r="H4809" t="str">
        <v>&lt;undefined&gt;</v>
      </c>
      <c r="I4809" t="str">
        <v>SRVN16 height</v>
      </c>
      <c r="J4809" t="str">
        <v>Argentina - onshore.</v>
      </c>
      <c r="K4809" s="11">
        <v>0</v>
      </c>
    </row>
    <row r="4810" spans="5:11" x14ac:dyDescent="0.35">
      <c r="E4810" s="9" t="str">
        <v>EPSG</v>
      </c>
      <c r="F4810" s="7" t="str">
        <v>9265</v>
      </c>
      <c r="G4810" t="str">
        <v>ProjectedCrs</v>
      </c>
      <c r="H4810" t="str">
        <v>Transverse Mercator</v>
      </c>
      <c r="I4810" t="str">
        <v>POSGAR 2007 / UTM zone 19S</v>
      </c>
      <c r="J4810" t="str">
        <v>Argentina - Tierra del Fuego offshore Atlantic west of 66°W.</v>
      </c>
      <c r="K4810" s="11">
        <v>0</v>
      </c>
    </row>
    <row r="4811" spans="5:11" x14ac:dyDescent="0.35">
      <c r="E4811" s="9" t="str">
        <v>EPSG</v>
      </c>
      <c r="F4811" s="7" t="str">
        <v>9266</v>
      </c>
      <c r="G4811" t="str">
        <v>GeocentricCrs</v>
      </c>
      <c r="H4811" t="str">
        <v>&lt;undefined&gt;</v>
      </c>
      <c r="I4811" t="str">
        <v>MGI</v>
      </c>
      <c r="J4811" t="str">
        <v>Austria.</v>
      </c>
      <c r="K4811" s="11">
        <v>0</v>
      </c>
    </row>
    <row r="4812" spans="5:11" x14ac:dyDescent="0.35">
      <c r="E4812" s="9" t="str">
        <v>EPSG</v>
      </c>
      <c r="F4812" s="7" t="str">
        <v>9267</v>
      </c>
      <c r="G4812" t="str">
        <v>Geographic3DCrs</v>
      </c>
      <c r="H4812" t="str">
        <v>&lt;undefined&gt;</v>
      </c>
      <c r="I4812" t="str">
        <v>MGI</v>
      </c>
      <c r="J4812" t="str">
        <v>Austria.</v>
      </c>
      <c r="K4812" s="11">
        <v>0</v>
      </c>
    </row>
    <row r="4813" spans="5:11" x14ac:dyDescent="0.35">
      <c r="E4813" s="9" t="str">
        <v>EPSG</v>
      </c>
      <c r="F4813" s="7" t="str">
        <v>9271</v>
      </c>
      <c r="G4813" t="str">
        <v>ProjectedCrs</v>
      </c>
      <c r="H4813" t="str">
        <v>Transverse Mercator</v>
      </c>
      <c r="I4813" t="str">
        <v>MGI / Austria West</v>
      </c>
      <c r="J4813" t="str">
        <v>Austria west of 11°50'E of Greenwich (29°30'E of Ferro).</v>
      </c>
      <c r="K4813" s="11">
        <v>0</v>
      </c>
    </row>
    <row r="4814" spans="5:11" x14ac:dyDescent="0.35">
      <c r="E4814" s="9" t="str">
        <v>EPSG</v>
      </c>
      <c r="F4814" s="7" t="str">
        <v>9272</v>
      </c>
      <c r="G4814" t="str">
        <v>ProjectedCrs</v>
      </c>
      <c r="H4814" t="str">
        <v>Transverse Mercator</v>
      </c>
      <c r="I4814" t="str">
        <v>MGI / Austria Central</v>
      </c>
      <c r="J4814" t="str">
        <v>Austria between 11°50'E and 14°50'E of Greenwich (29°30'E and 32°30'E of Ferro).</v>
      </c>
      <c r="K4814" s="11">
        <v>0</v>
      </c>
    </row>
    <row r="4815" spans="5:11" x14ac:dyDescent="0.35">
      <c r="E4815" s="9" t="str">
        <v>EPSG</v>
      </c>
      <c r="F4815" s="7" t="str">
        <v>9273</v>
      </c>
      <c r="G4815" t="str">
        <v>ProjectedCrs</v>
      </c>
      <c r="H4815" t="str">
        <v>Transverse Mercator</v>
      </c>
      <c r="I4815" t="str">
        <v>MGI / Austria East</v>
      </c>
      <c r="J4815" t="str">
        <v>Austria east of 14°50'E of Greenwich (32°30'E of Ferro).</v>
      </c>
      <c r="K4815" s="11">
        <v>0</v>
      </c>
    </row>
    <row r="4816" spans="5:11" x14ac:dyDescent="0.35">
      <c r="E4816" s="9" t="str">
        <v>EPSG</v>
      </c>
      <c r="F4816" s="7" t="str">
        <v>9274</v>
      </c>
      <c r="G4816" t="str">
        <v>VerticalCrs</v>
      </c>
      <c r="H4816" t="str">
        <v>&lt;undefined&gt;</v>
      </c>
      <c r="I4816" t="str">
        <v>EVRF2000 Austria height</v>
      </c>
      <c r="J4816" t="str">
        <v>Austria.</v>
      </c>
      <c r="K4816" s="11">
        <v>0</v>
      </c>
    </row>
    <row r="4817" spans="5:11" x14ac:dyDescent="0.35">
      <c r="E4817" s="9" t="str">
        <v>EPSG</v>
      </c>
      <c r="F4817" s="7" t="str">
        <v>9279</v>
      </c>
      <c r="G4817" t="str">
        <v>VerticalCrs</v>
      </c>
      <c r="H4817" t="str">
        <v>&lt;undefined&gt;</v>
      </c>
      <c r="I4817" t="str">
        <v>SA LLD height</v>
      </c>
      <c r="J4817" t="str">
        <v>South Africa - mainland onshore.</v>
      </c>
      <c r="K4817" s="11">
        <v>0</v>
      </c>
    </row>
    <row r="4818" spans="5:11" x14ac:dyDescent="0.35">
      <c r="E4818" s="9" t="str">
        <v>EPSG</v>
      </c>
      <c r="F4818" s="7" t="str">
        <v>9284</v>
      </c>
      <c r="G4818" t="str">
        <v>ProjectedCrs</v>
      </c>
      <c r="H4818" t="str">
        <v>Transverse Mercator</v>
      </c>
      <c r="I4818" t="str">
        <v>Pampa del Castillo / Argentina 1</v>
      </c>
      <c r="J4818" t="str">
        <v>Argentina - Chibut province west of 70°30'W and south of approximately 44°55'S and Santa Cruz province west of 70°30'W and north of approximately 50°20'S.</v>
      </c>
      <c r="K4818" s="11">
        <v>0</v>
      </c>
    </row>
    <row r="4819" spans="5:11" x14ac:dyDescent="0.35">
      <c r="E4819" s="9" t="str">
        <v>EPSG</v>
      </c>
      <c r="F4819" s="7" t="str">
        <v>9285</v>
      </c>
      <c r="G4819" t="str">
        <v>ProjectedCrs</v>
      </c>
      <c r="H4819" t="str">
        <v>Transverse Mercator</v>
      </c>
      <c r="I4819" t="str">
        <v>Pampa del Castillo / Argentina 3</v>
      </c>
      <c r="J4819" t="str">
        <v>Argentina - Chibut province east of 67°30'W and south of approximately 43°35'S and Santa Cruz province east of 67°30'W and north of approximately 49°23'S.</v>
      </c>
      <c r="K4819" s="11">
        <v>0</v>
      </c>
    </row>
    <row r="4820" spans="5:11" x14ac:dyDescent="0.35">
      <c r="E4820" s="9" t="str">
        <v>EPSG</v>
      </c>
      <c r="F4820" s="7" t="str">
        <v>9286</v>
      </c>
      <c r="G4820" t="str">
        <v>CompoundCrs</v>
      </c>
      <c r="H4820" t="str">
        <v>&lt;undefined&gt;</v>
      </c>
      <c r="I4820" t="str">
        <v>ETRS89 + NAP height</v>
      </c>
      <c r="J4820" t="str">
        <v>Netherlands - onshore and offshore.</v>
      </c>
      <c r="K4820" s="11">
        <v>0</v>
      </c>
    </row>
    <row r="4821" spans="5:11" x14ac:dyDescent="0.35">
      <c r="E4821" s="9" t="str">
        <v>EPSG</v>
      </c>
      <c r="F4821" s="7" t="str">
        <v>9287</v>
      </c>
      <c r="G4821" t="str">
        <v>VerticalCrs</v>
      </c>
      <c r="H4821" t="str">
        <v>&lt;undefined&gt;</v>
      </c>
      <c r="I4821" t="str">
        <v>LAT NL depth</v>
      </c>
      <c r="J4821" t="str">
        <v>Netherlands - offshore North Sea and nearshore.</v>
      </c>
      <c r="K4821" s="11">
        <v>0</v>
      </c>
    </row>
    <row r="4822" spans="5:11" x14ac:dyDescent="0.35">
      <c r="E4822" s="9" t="str">
        <v>EPSG</v>
      </c>
      <c r="F4822" s="7" t="str">
        <v>9288</v>
      </c>
      <c r="G4822" t="str">
        <v>VerticalCrs</v>
      </c>
      <c r="H4822" t="str">
        <v>&lt;undefined&gt;</v>
      </c>
      <c r="I4822" t="str">
        <v>MSL NL depth</v>
      </c>
      <c r="J4822" t="str">
        <v>Netherlands - offshore North Sea and nearshore.</v>
      </c>
      <c r="K4822" s="11">
        <v>0</v>
      </c>
    </row>
    <row r="4823" spans="5:11" x14ac:dyDescent="0.35">
      <c r="E4823" s="9" t="str">
        <v>EPSG</v>
      </c>
      <c r="F4823" s="7" t="str">
        <v>9289</v>
      </c>
      <c r="G4823" t="str">
        <v>CompoundCrs</v>
      </c>
      <c r="H4823" t="str">
        <v>&lt;undefined&gt;</v>
      </c>
      <c r="I4823" t="str">
        <v>ETRS89 + LAT NL depth</v>
      </c>
      <c r="J4823" t="str">
        <v>Netherlands - offshore North Sea and nearshore.</v>
      </c>
      <c r="K4823" s="11">
        <v>0</v>
      </c>
    </row>
    <row r="4824" spans="5:11" x14ac:dyDescent="0.35">
      <c r="E4824" s="9" t="str">
        <v>EPSG</v>
      </c>
      <c r="F4824" s="7" t="str">
        <v>9290</v>
      </c>
      <c r="G4824" t="str">
        <v>CompoundCrs</v>
      </c>
      <c r="H4824" t="str">
        <v>&lt;undefined&gt;</v>
      </c>
      <c r="I4824" t="str">
        <v>ETRS89 + MSL NL depth</v>
      </c>
      <c r="J4824" t="str">
        <v>Netherlands - offshore North Sea and nearshore.</v>
      </c>
      <c r="K4824" s="11">
        <v>0</v>
      </c>
    </row>
    <row r="4825" spans="5:11" x14ac:dyDescent="0.35">
      <c r="E4825" s="9" t="str">
        <v>EPSG</v>
      </c>
      <c r="F4825" s="7" t="str">
        <v>9292</v>
      </c>
      <c r="G4825" t="str">
        <v>GeocentricCrs</v>
      </c>
      <c r="H4825" t="str">
        <v>&lt;undefined&gt;</v>
      </c>
      <c r="I4825" t="str">
        <v>ONGD17</v>
      </c>
      <c r="J4825" t="str">
        <v>Oman - onshore and offshore.</v>
      </c>
      <c r="K4825" s="11">
        <v>0</v>
      </c>
    </row>
    <row r="4826" spans="5:11" x14ac:dyDescent="0.35">
      <c r="E4826" s="9" t="str">
        <v>EPSG</v>
      </c>
      <c r="F4826" s="7" t="str">
        <v>9293</v>
      </c>
      <c r="G4826" t="str">
        <v>Geographic3DCrs</v>
      </c>
      <c r="H4826" t="str">
        <v>&lt;undefined&gt;</v>
      </c>
      <c r="I4826" t="str">
        <v>ONGD17</v>
      </c>
      <c r="J4826" t="str">
        <v>Oman - onshore and offshore.</v>
      </c>
      <c r="K4826" s="11">
        <v>0</v>
      </c>
    </row>
    <row r="4827" spans="5:11" x14ac:dyDescent="0.35">
      <c r="E4827" s="9" t="str">
        <v>EPSG</v>
      </c>
      <c r="F4827" s="7" t="str">
        <v>9294</v>
      </c>
      <c r="G4827" t="str">
        <v>Geographic2DCrs</v>
      </c>
      <c r="H4827" t="str">
        <v>&lt;undefined&gt;</v>
      </c>
      <c r="I4827" t="str">
        <v>ONGD17</v>
      </c>
      <c r="J4827" t="str">
        <v>Oman - onshore and offshore.</v>
      </c>
      <c r="K4827" s="11">
        <v>0</v>
      </c>
    </row>
    <row r="4828" spans="5:11" x14ac:dyDescent="0.35">
      <c r="E4828" s="9" t="str">
        <v>EPSG</v>
      </c>
      <c r="F4828" s="7" t="str">
        <v>9295</v>
      </c>
      <c r="G4828" t="str">
        <v>ProjectedCrs</v>
      </c>
      <c r="H4828" t="str">
        <v>Transverse Mercator</v>
      </c>
      <c r="I4828" t="str">
        <v>ONGD17 / UTM zone 39N</v>
      </c>
      <c r="J4828" t="str">
        <v>Oman - onshore and offshore west of 54°E.</v>
      </c>
      <c r="K4828" s="11">
        <v>0</v>
      </c>
    </row>
    <row r="4829" spans="5:11" x14ac:dyDescent="0.35">
      <c r="E4829" s="9" t="str">
        <v>EPSG</v>
      </c>
      <c r="F4829" s="7" t="str">
        <v>9296</v>
      </c>
      <c r="G4829" t="str">
        <v>ProjectedCrs</v>
      </c>
      <c r="H4829" t="str">
        <v>Transverse Mercator</v>
      </c>
      <c r="I4829" t="str">
        <v>ONGD17 / UTM zone 40N</v>
      </c>
      <c r="J4829" t="str">
        <v>Oman - onshore and offshore between 54°E and 60°E.</v>
      </c>
      <c r="K4829" s="11">
        <v>0</v>
      </c>
    </row>
    <row r="4830" spans="5:11" x14ac:dyDescent="0.35">
      <c r="E4830" s="9" t="str">
        <v>EPSG</v>
      </c>
      <c r="F4830" s="7" t="str">
        <v>9297</v>
      </c>
      <c r="G4830" t="str">
        <v>ProjectedCrs</v>
      </c>
      <c r="H4830" t="str">
        <v>Transverse Mercator</v>
      </c>
      <c r="I4830" t="str">
        <v>ONGD17 / UTM zone 41N</v>
      </c>
      <c r="J4830" t="str">
        <v>Oman - offshore east of 60°E.</v>
      </c>
      <c r="K4830" s="11">
        <v>0</v>
      </c>
    </row>
    <row r="4831" spans="5:11" x14ac:dyDescent="0.35">
      <c r="E4831" s="9" t="str">
        <v>EPSG</v>
      </c>
      <c r="F4831" s="7" t="str">
        <v>9299</v>
      </c>
      <c r="G4831" t="str">
        <v>Geographic2DCrs</v>
      </c>
      <c r="H4831" t="str">
        <v>&lt;undefined&gt;</v>
      </c>
      <c r="I4831" t="str">
        <v>HS2-IRF</v>
      </c>
      <c r="J4831" t="str">
        <v>United Kingdom (UK) - HS2 phases 1 and 2a railway corridor from London to Birmingham, Lichfield and Crewe.</v>
      </c>
      <c r="K4831" s="11">
        <v>0</v>
      </c>
    </row>
    <row r="4832" spans="5:11" x14ac:dyDescent="0.35">
      <c r="E4832" s="9" t="str">
        <v>EPSG</v>
      </c>
      <c r="F4832" s="7" t="str">
        <v>9300</v>
      </c>
      <c r="G4832" t="str">
        <v>ProjectedCrs</v>
      </c>
      <c r="H4832" t="str">
        <v>Transverse Mercator</v>
      </c>
      <c r="I4832" t="str">
        <v>HS2 Survey Grid</v>
      </c>
      <c r="J4832" t="str">
        <v>United Kingdom (UK) - HS2 phases 1 and 2a railway corridor from London to Birmingham, Lichfield and Crewe.</v>
      </c>
      <c r="K4832" s="11">
        <v>0</v>
      </c>
    </row>
    <row r="4833" spans="5:11" x14ac:dyDescent="0.35">
      <c r="E4833" s="9" t="str">
        <v>EPSG</v>
      </c>
      <c r="F4833" s="7" t="str">
        <v>9303</v>
      </c>
      <c r="G4833" t="str">
        <v>VerticalCrs</v>
      </c>
      <c r="H4833" t="str">
        <v>&lt;undefined&gt;</v>
      </c>
      <c r="I4833" t="str">
        <v>HS2-VRF height</v>
      </c>
      <c r="J4833" t="str">
        <v>United Kingdom (UK) - HS2 phases 1 and 2a railway corridor from London to Birmingham, Lichfield and Crewe.</v>
      </c>
      <c r="K4833" s="11">
        <v>0</v>
      </c>
    </row>
    <row r="4834" spans="5:11" x14ac:dyDescent="0.35">
      <c r="E4834" s="9" t="str">
        <v>EPSG</v>
      </c>
      <c r="F4834" s="7" t="str">
        <v>9306</v>
      </c>
      <c r="G4834" t="str">
        <v>CompoundCrs</v>
      </c>
      <c r="H4834" t="str">
        <v>&lt;undefined&gt;</v>
      </c>
      <c r="I4834" t="str">
        <v>HS2 Survey Grid + HS2-VRF height</v>
      </c>
      <c r="J4834" t="str">
        <v>United Kingdom (UK) - HS2 phases 1 and 2a railway corridor from London to Birmingham, Lichfield and Crewe.</v>
      </c>
      <c r="K4834" s="11">
        <v>0</v>
      </c>
    </row>
    <row r="4835" spans="5:11" x14ac:dyDescent="0.35">
      <c r="E4835" s="9" t="str">
        <v>EPSG</v>
      </c>
      <c r="F4835" s="7" t="str">
        <v>9307</v>
      </c>
      <c r="G4835" t="str">
        <v>GeocentricCrs</v>
      </c>
      <c r="H4835" t="str">
        <v>&lt;undefined&gt;</v>
      </c>
      <c r="I4835" t="str">
        <v>ATRF2014</v>
      </c>
      <c r="J4835" t="str">
        <v>Australia including Lord Howe Island, Macquarie Island, Ashmore and Cartier Islands, Christmas Island, Cocos (Keeling) Islands, Norfolk Island. All onshore and offshore.</v>
      </c>
      <c r="K4835" s="11">
        <v>0</v>
      </c>
    </row>
    <row r="4836" spans="5:11" x14ac:dyDescent="0.35">
      <c r="E4836" s="9" t="str">
        <v>EPSG</v>
      </c>
      <c r="F4836" s="7" t="str">
        <v>9308</v>
      </c>
      <c r="G4836" t="str">
        <v>Geographic3DCrs</v>
      </c>
      <c r="H4836" t="str">
        <v>&lt;undefined&gt;</v>
      </c>
      <c r="I4836" t="str">
        <v>ATRF2014</v>
      </c>
      <c r="J4836" t="str">
        <v>Australia including Lord Howe Island, Macquarie Island, Ashmore and Cartier Islands, Christmas Island, Cocos (Keeling) Islands, Norfolk Island. All onshore and offshore.</v>
      </c>
      <c r="K4836" s="11">
        <v>0</v>
      </c>
    </row>
    <row r="4837" spans="5:11" x14ac:dyDescent="0.35">
      <c r="E4837" s="9" t="str">
        <v>EPSG</v>
      </c>
      <c r="F4837" s="7" t="str">
        <v>9309</v>
      </c>
      <c r="G4837" t="str">
        <v>Geographic2DCrs</v>
      </c>
      <c r="H4837" t="str">
        <v>&lt;undefined&gt;</v>
      </c>
      <c r="I4837" t="str">
        <v>ATRF2014</v>
      </c>
      <c r="J4837" t="str">
        <v>Australia including Lord Howe Island, Macquarie Island, Ashmore and Cartier Islands, Christmas Island, Cocos (Keeling) Islands, Norfolk Island. All onshore and offshore.</v>
      </c>
      <c r="K4837" s="11">
        <v>0</v>
      </c>
    </row>
    <row r="4838" spans="5:11" x14ac:dyDescent="0.35">
      <c r="E4838" s="9" t="str">
        <v>EPSG</v>
      </c>
      <c r="F4838" s="7" t="str">
        <v>9311</v>
      </c>
      <c r="G4838" t="str">
        <v>ProjectedCrs</v>
      </c>
      <c r="H4838" t="str">
        <v>Lambert Azimuthal Equal Area (Spherical)</v>
      </c>
      <c r="I4838" t="str">
        <v>NAD27 / US National Atlas Equal Area</v>
      </c>
      <c r="J4838" t="str">
        <v>United States (USA) - onshore and offshore.</v>
      </c>
      <c r="K4838" s="11">
        <v>0</v>
      </c>
    </row>
    <row r="4839" spans="5:11" x14ac:dyDescent="0.35">
      <c r="E4839" s="9" t="str">
        <v>EPSG</v>
      </c>
      <c r="F4839" s="7" t="str">
        <v>9331</v>
      </c>
      <c r="G4839" t="str">
        <v>GeocentricCrs</v>
      </c>
      <c r="H4839" t="str">
        <v>&lt;undefined&gt;</v>
      </c>
      <c r="I4839" t="str">
        <v>KSA-GRF17</v>
      </c>
      <c r="J4839" t="str">
        <v>Saudi Arabia - onshore and offshore.</v>
      </c>
      <c r="K4839" s="11">
        <v>0</v>
      </c>
    </row>
    <row r="4840" spans="5:11" x14ac:dyDescent="0.35">
      <c r="E4840" s="9" t="str">
        <v>EPSG</v>
      </c>
      <c r="F4840" s="7" t="str">
        <v>9332</v>
      </c>
      <c r="G4840" t="str">
        <v>Geographic3DCrs</v>
      </c>
      <c r="H4840" t="str">
        <v>&lt;undefined&gt;</v>
      </c>
      <c r="I4840" t="str">
        <v>KSA-GRF17</v>
      </c>
      <c r="J4840" t="str">
        <v>Saudi Arabia - onshore and offshore.</v>
      </c>
      <c r="K4840" s="11">
        <v>0</v>
      </c>
    </row>
    <row r="4841" spans="5:11" x14ac:dyDescent="0.35">
      <c r="E4841" s="9" t="str">
        <v>EPSG</v>
      </c>
      <c r="F4841" s="7" t="str">
        <v>9333</v>
      </c>
      <c r="G4841" t="str">
        <v>Geographic2DCrs</v>
      </c>
      <c r="H4841" t="str">
        <v>&lt;undefined&gt;</v>
      </c>
      <c r="I4841" t="str">
        <v>KSA-GRF17</v>
      </c>
      <c r="J4841" t="str">
        <v>Saudi Arabia - onshore and offshore.</v>
      </c>
      <c r="K4841" s="11">
        <v>0</v>
      </c>
    </row>
    <row r="4842" spans="5:11" x14ac:dyDescent="0.35">
      <c r="E4842" s="9" t="str">
        <v>EPSG</v>
      </c>
      <c r="F4842" s="7" t="str">
        <v>9335</v>
      </c>
      <c r="G4842" t="str">
        <v>VerticalCrs</v>
      </c>
      <c r="H4842" t="str">
        <v>&lt;undefined&gt;</v>
      </c>
      <c r="I4842" t="str">
        <v>KSA-VRF14 height</v>
      </c>
      <c r="J4842" t="str">
        <v>Saudi Arabia - onshore.</v>
      </c>
      <c r="K4842" s="11">
        <v>0</v>
      </c>
    </row>
    <row r="4843" spans="5:11" x14ac:dyDescent="0.35">
      <c r="E4843" s="9" t="str">
        <v>EPSG</v>
      </c>
      <c r="F4843" s="7" t="str">
        <v>9351</v>
      </c>
      <c r="G4843" t="str">
        <v>VerticalCrs</v>
      </c>
      <c r="H4843" t="str">
        <v>&lt;undefined&gt;</v>
      </c>
      <c r="I4843" t="str">
        <v>NGNC08 height</v>
      </c>
      <c r="J4843" t="str">
        <v>New Caledonia - Belep, Grande Terre, Ile des Pins, Loyalty Islands (Lifou, Mare, Ouvea).</v>
      </c>
      <c r="K4843" s="11">
        <v>0</v>
      </c>
    </row>
    <row r="4844" spans="5:11" x14ac:dyDescent="0.35">
      <c r="E4844" s="9" t="str">
        <v>EPSG</v>
      </c>
      <c r="F4844" s="7" t="str">
        <v>9354</v>
      </c>
      <c r="G4844" t="str">
        <v>ProjectedCrs</v>
      </c>
      <c r="H4844" t="str">
        <v>Polar Stereographic (variant B)</v>
      </c>
      <c r="I4844" t="str">
        <v>WGS 84 / IBCSO Polar Stereographic</v>
      </c>
      <c r="J4844" t="str">
        <v>Southern hemisphere - south of 50°S onshore and offshore, including Antarctica.</v>
      </c>
      <c r="K4844" s="11">
        <v>0</v>
      </c>
    </row>
    <row r="4845" spans="5:11" x14ac:dyDescent="0.35">
      <c r="E4845" s="9" t="str">
        <v>EPSG</v>
      </c>
      <c r="F4845" s="7" t="str">
        <v>9356</v>
      </c>
      <c r="G4845" t="str">
        <v>ProjectedCrs</v>
      </c>
      <c r="H4845" t="str">
        <v>Transverse Mercator</v>
      </c>
      <c r="I4845" t="str">
        <v>KSA-GRF17 / UTM zone 36N</v>
      </c>
      <c r="J4845" t="str">
        <v>Saudi Arabia - onshore and offshore - west of 36°E.</v>
      </c>
      <c r="K4845" s="11">
        <v>0</v>
      </c>
    </row>
    <row r="4846" spans="5:11" x14ac:dyDescent="0.35">
      <c r="E4846" s="9" t="str">
        <v>EPSG</v>
      </c>
      <c r="F4846" s="7" t="str">
        <v>9357</v>
      </c>
      <c r="G4846" t="str">
        <v>ProjectedCrs</v>
      </c>
      <c r="H4846" t="str">
        <v>Transverse Mercator</v>
      </c>
      <c r="I4846" t="str">
        <v>KSA-GRF17 / UTM zone 37N</v>
      </c>
      <c r="J4846" t="str">
        <v>Saudi Arabia - onshore and offshore - between 36°E and 42°E.</v>
      </c>
      <c r="K4846" s="11">
        <v>0</v>
      </c>
    </row>
    <row r="4847" spans="5:11" x14ac:dyDescent="0.35">
      <c r="E4847" s="9" t="str">
        <v>EPSG</v>
      </c>
      <c r="F4847" s="7" t="str">
        <v>9358</v>
      </c>
      <c r="G4847" t="str">
        <v>ProjectedCrs</v>
      </c>
      <c r="H4847" t="str">
        <v>Transverse Mercator</v>
      </c>
      <c r="I4847" t="str">
        <v>KSA-GRF17 / UTM zone 38N</v>
      </c>
      <c r="J4847" t="str">
        <v>Saudi Arabia - onshore and offshore - between of 42°E and 48°E.</v>
      </c>
      <c r="K4847" s="11">
        <v>0</v>
      </c>
    </row>
    <row r="4848" spans="5:11" x14ac:dyDescent="0.35">
      <c r="E4848" s="9" t="str">
        <v>EPSG</v>
      </c>
      <c r="F4848" s="7" t="str">
        <v>9359</v>
      </c>
      <c r="G4848" t="str">
        <v>ProjectedCrs</v>
      </c>
      <c r="H4848" t="str">
        <v>Transverse Mercator</v>
      </c>
      <c r="I4848" t="str">
        <v>KSA-GRF17 / UTM zone 39N</v>
      </c>
      <c r="J4848" t="str">
        <v>Saudi Arabia - onshore and offshore - between 48°E and 54°E.</v>
      </c>
      <c r="K4848" s="11">
        <v>0</v>
      </c>
    </row>
    <row r="4849" spans="5:11" x14ac:dyDescent="0.35">
      <c r="E4849" s="9" t="str">
        <v>EPSG</v>
      </c>
      <c r="F4849" s="7" t="str">
        <v>9360</v>
      </c>
      <c r="G4849" t="str">
        <v>ProjectedCrs</v>
      </c>
      <c r="H4849" t="str">
        <v>Transverse Mercator</v>
      </c>
      <c r="I4849" t="str">
        <v>KSA-GRF17 / UTM zone 40N</v>
      </c>
      <c r="J4849" t="str">
        <v>Saudi Arabia - east of 54°E.</v>
      </c>
      <c r="K4849" s="11">
        <v>0</v>
      </c>
    </row>
    <row r="4850" spans="5:11" x14ac:dyDescent="0.35">
      <c r="E4850" s="9" t="str">
        <v>EPSG</v>
      </c>
      <c r="F4850" s="7" t="str">
        <v>9364</v>
      </c>
      <c r="G4850" t="str">
        <v>Geographic2DCrs</v>
      </c>
      <c r="H4850" t="str">
        <v>&lt;undefined&gt;</v>
      </c>
      <c r="I4850" t="str">
        <v>TPEN11-IRF</v>
      </c>
      <c r="J4850" t="str">
        <v>United Kingdom (UK) - on or related to the Trans-Pennine rail route from Liverpool via Manchester to Bradford and Leeds.</v>
      </c>
      <c r="K4850" s="11">
        <v>0</v>
      </c>
    </row>
    <row r="4851" spans="5:11" x14ac:dyDescent="0.35">
      <c r="E4851" s="9" t="str">
        <v>EPSG</v>
      </c>
      <c r="F4851" s="7" t="str">
        <v>9367</v>
      </c>
      <c r="G4851" t="str">
        <v>ProjectedCrs</v>
      </c>
      <c r="H4851" t="str">
        <v>Transverse Mercator</v>
      </c>
      <c r="I4851" t="str">
        <v>TPEN11 Grid</v>
      </c>
      <c r="J4851" t="str">
        <v>United Kingdom (UK) - on or related to the Trans-Pennine rail route from Liverpool via Manchester to Bradford and Leeds.</v>
      </c>
      <c r="K4851" s="11">
        <v>0</v>
      </c>
    </row>
    <row r="4852" spans="5:11" x14ac:dyDescent="0.35">
      <c r="E4852" s="9" t="str">
        <v>EPSG</v>
      </c>
      <c r="F4852" s="7" t="str">
        <v>9368</v>
      </c>
      <c r="G4852" t="str">
        <v>CompoundCrs</v>
      </c>
      <c r="H4852" t="str">
        <v>&lt;undefined&gt;</v>
      </c>
      <c r="I4852" t="str">
        <v>TPEN11 Grid + ODN height</v>
      </c>
      <c r="J4852" t="str">
        <v>United Kingdom (UK) - on or related to the Trans-Pennine rail route from Liverpool via Manchester to Bradford and Leeds.</v>
      </c>
      <c r="K4852" s="11">
        <v>0</v>
      </c>
    </row>
    <row r="4853" spans="5:11" x14ac:dyDescent="0.35">
      <c r="E4853" s="9" t="str">
        <v>EPSG</v>
      </c>
      <c r="F4853" s="7" t="str">
        <v>9372</v>
      </c>
      <c r="G4853" t="str">
        <v>Geographic2DCrs</v>
      </c>
      <c r="H4853" t="str">
        <v>&lt;undefined&gt;</v>
      </c>
      <c r="I4853" t="str">
        <v>MML07-IRF</v>
      </c>
      <c r="J4853" t="str">
        <v>United Kingdom (UK) - on or related to the Midland Mainline rail route from Sheffield to London.</v>
      </c>
      <c r="K4853" s="11">
        <v>0</v>
      </c>
    </row>
    <row r="4854" spans="5:11" x14ac:dyDescent="0.35">
      <c r="E4854" s="9" t="str">
        <v>EPSG</v>
      </c>
      <c r="F4854" s="7" t="str">
        <v>9373</v>
      </c>
      <c r="G4854" t="str">
        <v>ProjectedCrs</v>
      </c>
      <c r="H4854" t="str">
        <v>Transverse Mercator</v>
      </c>
      <c r="I4854" t="str">
        <v>MML07 Grid</v>
      </c>
      <c r="J4854" t="str">
        <v>United Kingdom (UK) - on or related to the Midland Mainline rail route from Sheffield to London.</v>
      </c>
      <c r="K4854" s="11">
        <v>0</v>
      </c>
    </row>
    <row r="4855" spans="5:11" x14ac:dyDescent="0.35">
      <c r="E4855" s="9" t="str">
        <v>EPSG</v>
      </c>
      <c r="F4855" s="7" t="str">
        <v>9374</v>
      </c>
      <c r="G4855" t="str">
        <v>CompoundCrs</v>
      </c>
      <c r="H4855" t="str">
        <v>&lt;undefined&gt;</v>
      </c>
      <c r="I4855" t="str">
        <v>MML07 Grid + ODN height</v>
      </c>
      <c r="J4855" t="str">
        <v>United Kingdom (UK) - on or related to the Midland Mainline rail route from Sheffield to London.</v>
      </c>
      <c r="K4855" s="11">
        <v>0</v>
      </c>
    </row>
    <row r="4856" spans="5:11" x14ac:dyDescent="0.35">
      <c r="E4856" s="9" t="str">
        <v>EPSG</v>
      </c>
      <c r="F4856" s="7" t="str">
        <v>9377</v>
      </c>
      <c r="G4856" t="str">
        <v>ProjectedCrs</v>
      </c>
      <c r="H4856" t="str">
        <v>Transverse Mercator</v>
      </c>
      <c r="I4856" t="str">
        <v>MAGNA-SIRGAS 2018 / Origen-Nacional</v>
      </c>
      <c r="J4856" t="str">
        <v>Colombia - onshore and offshore. Includes San Andres y Providencia, Malpelo Islands, Roncador Bank, Serrana Bank and Serranilla Bank.</v>
      </c>
      <c r="K4856" s="11">
        <v>0</v>
      </c>
    </row>
    <row r="4857" spans="5:11" x14ac:dyDescent="0.35">
      <c r="E4857" s="9" t="str">
        <v>EPSG</v>
      </c>
      <c r="F4857" s="7" t="str">
        <v>9378</v>
      </c>
      <c r="G4857" t="str">
        <v>GeocentricCrs</v>
      </c>
      <c r="H4857" t="str">
        <v>&lt;undefined&gt;</v>
      </c>
      <c r="I4857" t="str">
        <v>IGb14</v>
      </c>
      <c r="J4857" t="str">
        <v>World.</v>
      </c>
      <c r="K4857" s="11">
        <v>0</v>
      </c>
    </row>
    <row r="4858" spans="5:11" x14ac:dyDescent="0.35">
      <c r="E4858" s="9" t="str">
        <v>EPSG</v>
      </c>
      <c r="F4858" s="7" t="str">
        <v>9379</v>
      </c>
      <c r="G4858" t="str">
        <v>Geographic3DCrs</v>
      </c>
      <c r="H4858" t="str">
        <v>&lt;undefined&gt;</v>
      </c>
      <c r="I4858" t="str">
        <v>IGb14</v>
      </c>
      <c r="J4858" t="str">
        <v>World.</v>
      </c>
      <c r="K4858" s="11">
        <v>0</v>
      </c>
    </row>
    <row r="4859" spans="5:11" x14ac:dyDescent="0.35">
      <c r="E4859" s="9" t="str">
        <v>EPSG</v>
      </c>
      <c r="F4859" s="7" t="str">
        <v>9380</v>
      </c>
      <c r="G4859" t="str">
        <v>Geographic2DCrs</v>
      </c>
      <c r="H4859" t="str">
        <v>&lt;undefined&gt;</v>
      </c>
      <c r="I4859" t="str">
        <v>IGb14</v>
      </c>
      <c r="J4859" t="str">
        <v>World.</v>
      </c>
      <c r="K4859" s="11">
        <v>0</v>
      </c>
    </row>
    <row r="4860" spans="5:11" x14ac:dyDescent="0.35">
      <c r="E4860" s="9" t="str">
        <v>EPSG</v>
      </c>
      <c r="F4860" s="7" t="str">
        <v>9384</v>
      </c>
      <c r="G4860" t="str">
        <v>Geographic2DCrs</v>
      </c>
      <c r="H4860" t="str">
        <v>&lt;undefined&gt;</v>
      </c>
      <c r="I4860" t="str">
        <v>AbInvA96_2020-IRF</v>
      </c>
      <c r="J4860" t="str">
        <v>United Kingdom (UK) - on or related to the A96 highway from Aberdeen to Inverness.</v>
      </c>
      <c r="K4860" s="11">
        <v>0</v>
      </c>
    </row>
    <row r="4861" spans="5:11" x14ac:dyDescent="0.35">
      <c r="E4861" s="9" t="str">
        <v>EPSG</v>
      </c>
      <c r="F4861" s="7" t="str">
        <v>9387</v>
      </c>
      <c r="G4861" t="str">
        <v>ProjectedCrs</v>
      </c>
      <c r="H4861" t="str">
        <v>Transverse Mercator</v>
      </c>
      <c r="I4861" t="str">
        <v>AbInvA96_2020 Grid</v>
      </c>
      <c r="J4861" t="str">
        <v>United Kingdom (UK) - on or related to the A96 highway from Aberdeen to Inverness.</v>
      </c>
      <c r="K4861" s="11">
        <v>0</v>
      </c>
    </row>
    <row r="4862" spans="5:11" x14ac:dyDescent="0.35">
      <c r="E4862" s="9" t="str">
        <v>EPSG</v>
      </c>
      <c r="F4862" s="7" t="str">
        <v>9388</v>
      </c>
      <c r="G4862" t="str">
        <v>CompoundCrs</v>
      </c>
      <c r="H4862" t="str">
        <v>&lt;undefined&gt;</v>
      </c>
      <c r="I4862" t="str">
        <v>AbInvA96_2020 Grid + ODN height</v>
      </c>
      <c r="J4862" t="str">
        <v>United Kingdom (UK) - on or related to the A96 highway from Aberdeen to Inverness.</v>
      </c>
      <c r="K4862" s="11">
        <v>0</v>
      </c>
    </row>
    <row r="4863" spans="5:11" x14ac:dyDescent="0.35">
      <c r="E4863" s="9" t="str">
        <v>EPSG</v>
      </c>
      <c r="F4863" s="7" t="str">
        <v>9389</v>
      </c>
      <c r="G4863" t="str">
        <v>VerticalCrs</v>
      </c>
      <c r="H4863" t="str">
        <v>&lt;undefined&gt;</v>
      </c>
      <c r="I4863" t="str">
        <v>EVRF2019 height</v>
      </c>
      <c r="J4863" t="str">
        <v>Europe - onshore - Andorra; Austria; Belarus; Belgium; Bosnia and Herzegovina; Bulgaria; Croatia; Czechia; Denmark; Estonia; Finland; France - mainland; Germany; Gibraltar, Hungary; Italy - mainland and Sicily; Latvia; Liechtenstein; Lithuania; Luxembourg; Netherlands; North Macedonia; Norway; Poland; Portugal - mainland; Romania; Russia – west of approximately 60°E; San Marino; Slovakia; Slovenia; Spain - mainland; Sweden; Switzerland; United Kingdom (UK) - Great Britain mainland; Ukraine; Vatican City State.</v>
      </c>
      <c r="K4863" s="11">
        <v>0</v>
      </c>
    </row>
    <row r="4864" spans="5:11" x14ac:dyDescent="0.35">
      <c r="E4864" s="9" t="str">
        <v>EPSG</v>
      </c>
      <c r="F4864" s="7" t="str">
        <v>9390</v>
      </c>
      <c r="G4864" t="str">
        <v>VerticalCrs</v>
      </c>
      <c r="H4864" t="str">
        <v>&lt;undefined&gt;</v>
      </c>
      <c r="I4864" t="str">
        <v>EVRF2019 mean-tide height</v>
      </c>
      <c r="J4864" t="str">
        <v>Europe - onshore - Andorra; Austria; Belarus; Belgium; Bosnia and Herzegovina; Bulgaria; Croatia; Czechia; Denmark; Estonia; Finland; France - mainland; Germany; Gibraltar, Hungary; Italy - mainland and Sicily; Latvia; Liechtenstein; Lithuania; Luxembourg; Netherlands; North Macedonia; Norway; Poland; Portugal - mainland; Romania; Russia – west of approximately 60°E; San Marino; Slovakia; Slovenia; Spain - mainland; Sweden; Switzerland; United Kingdom (UK) - Great Britain mainland; Ukraine; Vatican City State.</v>
      </c>
      <c r="K4864" s="11">
        <v>0</v>
      </c>
    </row>
    <row r="4865" spans="5:11" x14ac:dyDescent="0.35">
      <c r="E4865" s="9" t="str">
        <v>EPSG</v>
      </c>
      <c r="F4865" s="7" t="str">
        <v>9391</v>
      </c>
      <c r="G4865" t="str">
        <v>ProjectedCrs</v>
      </c>
      <c r="H4865" t="str">
        <v>Transverse Mercator</v>
      </c>
      <c r="I4865" t="str">
        <v>BGS2005 / UTM zone 35N</v>
      </c>
      <c r="J4865" t="str">
        <v>Bulgaria - onshore east of 24°E, offshore west of 30°E.</v>
      </c>
      <c r="K4865" s="11">
        <v>0</v>
      </c>
    </row>
    <row r="4866" spans="5:11" x14ac:dyDescent="0.35">
      <c r="E4866" s="9" t="str">
        <v>EPSG</v>
      </c>
      <c r="F4866" s="7" t="str">
        <v>9392</v>
      </c>
      <c r="G4866" t="str">
        <v>VerticalCrs</v>
      </c>
      <c r="H4866" t="str">
        <v>&lt;undefined&gt;</v>
      </c>
      <c r="I4866" t="str">
        <v>Mallorca height</v>
      </c>
      <c r="J4866" t="str">
        <v>Spain - Balearic Islands - Mallorca onshore.</v>
      </c>
      <c r="K4866" s="11">
        <v>0</v>
      </c>
    </row>
    <row r="4867" spans="5:11" x14ac:dyDescent="0.35">
      <c r="E4867" s="9" t="str">
        <v>EPSG</v>
      </c>
      <c r="F4867" s="7" t="str">
        <v>9393</v>
      </c>
      <c r="G4867" t="str">
        <v>VerticalCrs</v>
      </c>
      <c r="H4867" t="str">
        <v>&lt;undefined&gt;</v>
      </c>
      <c r="I4867" t="str">
        <v>Menorca height</v>
      </c>
      <c r="J4867" t="str">
        <v>Spain - Balearic Islands - Menorca onshore.</v>
      </c>
      <c r="K4867" s="11">
        <v>0</v>
      </c>
    </row>
    <row r="4868" spans="5:11" x14ac:dyDescent="0.35">
      <c r="E4868" s="9" t="str">
        <v>EPSG</v>
      </c>
      <c r="F4868" s="7" t="str">
        <v>9394</v>
      </c>
      <c r="G4868" t="str">
        <v>VerticalCrs</v>
      </c>
      <c r="H4868" t="str">
        <v>&lt;undefined&gt;</v>
      </c>
      <c r="I4868" t="str">
        <v>Ibiza height</v>
      </c>
      <c r="J4868" t="str">
        <v>Spain - Balearic Islands - Ibiza - onshore.</v>
      </c>
      <c r="K4868" s="11">
        <v>0</v>
      </c>
    </row>
    <row r="4869" spans="5:11" x14ac:dyDescent="0.35">
      <c r="E4869" s="9" t="str">
        <v>EPSG</v>
      </c>
      <c r="F4869" s="7" t="str">
        <v>9395</v>
      </c>
      <c r="G4869" t="str">
        <v>VerticalCrs</v>
      </c>
      <c r="H4869" t="str">
        <v>&lt;undefined&gt;</v>
      </c>
      <c r="I4869" t="str">
        <v>Lanzarote height</v>
      </c>
      <c r="J4869" t="str">
        <v>Spain - Canary Islands - Lanzarote onshore.</v>
      </c>
      <c r="K4869" s="11">
        <v>0</v>
      </c>
    </row>
    <row r="4870" spans="5:11" x14ac:dyDescent="0.35">
      <c r="E4870" s="9" t="str">
        <v>EPSG</v>
      </c>
      <c r="F4870" s="7" t="str">
        <v>9396</v>
      </c>
      <c r="G4870" t="str">
        <v>VerticalCrs</v>
      </c>
      <c r="H4870" t="str">
        <v>&lt;undefined&gt;</v>
      </c>
      <c r="I4870" t="str">
        <v>Fuerteventura height</v>
      </c>
      <c r="J4870" t="str">
        <v>Spain - Canary Islands - Fuerteventura onshore.</v>
      </c>
      <c r="K4870" s="11">
        <v>0</v>
      </c>
    </row>
    <row r="4871" spans="5:11" x14ac:dyDescent="0.35">
      <c r="E4871" s="9" t="str">
        <v>EPSG</v>
      </c>
      <c r="F4871" s="7" t="str">
        <v>9397</v>
      </c>
      <c r="G4871" t="str">
        <v>VerticalCrs</v>
      </c>
      <c r="H4871" t="str">
        <v>&lt;undefined&gt;</v>
      </c>
      <c r="I4871" t="str">
        <v>Gran Canaria height</v>
      </c>
      <c r="J4871" t="str">
        <v>Spain - Canary Islands - Gran Canaria onshore.</v>
      </c>
      <c r="K4871" s="11">
        <v>0</v>
      </c>
    </row>
    <row r="4872" spans="5:11" x14ac:dyDescent="0.35">
      <c r="E4872" s="9" t="str">
        <v>EPSG</v>
      </c>
      <c r="F4872" s="7" t="str">
        <v>9398</v>
      </c>
      <c r="G4872" t="str">
        <v>VerticalCrs</v>
      </c>
      <c r="H4872" t="str">
        <v>&lt;undefined&gt;</v>
      </c>
      <c r="I4872" t="str">
        <v>Tenerife height</v>
      </c>
      <c r="J4872" t="str">
        <v>Spain - Canary Islands - Tenerife onshore.</v>
      </c>
      <c r="K4872" s="11">
        <v>0</v>
      </c>
    </row>
    <row r="4873" spans="5:11" x14ac:dyDescent="0.35">
      <c r="E4873" s="9" t="str">
        <v>EPSG</v>
      </c>
      <c r="F4873" s="7" t="str">
        <v>9399</v>
      </c>
      <c r="G4873" t="str">
        <v>VerticalCrs</v>
      </c>
      <c r="H4873" t="str">
        <v>&lt;undefined&gt;</v>
      </c>
      <c r="I4873" t="str">
        <v>La Gomera height</v>
      </c>
      <c r="J4873" t="str">
        <v>Spain - Canary Islands - La Gomera onshore.</v>
      </c>
      <c r="K4873" s="11">
        <v>0</v>
      </c>
    </row>
    <row r="4874" spans="5:11" x14ac:dyDescent="0.35">
      <c r="E4874" s="9" t="str">
        <v>EPSG</v>
      </c>
      <c r="F4874" s="7" t="str">
        <v>9400</v>
      </c>
      <c r="G4874" t="str">
        <v>VerticalCrs</v>
      </c>
      <c r="H4874" t="str">
        <v>&lt;undefined&gt;</v>
      </c>
      <c r="I4874" t="str">
        <v>La Palma height</v>
      </c>
      <c r="J4874" t="str">
        <v>Spain - Canary Islands - La Palma onshore.</v>
      </c>
      <c r="K4874" s="11">
        <v>0</v>
      </c>
    </row>
    <row r="4875" spans="5:11" x14ac:dyDescent="0.35">
      <c r="E4875" s="9" t="str">
        <v>EPSG</v>
      </c>
      <c r="F4875" s="7" t="str">
        <v>9401</v>
      </c>
      <c r="G4875" t="str">
        <v>VerticalCrs</v>
      </c>
      <c r="H4875" t="str">
        <v>&lt;undefined&gt;</v>
      </c>
      <c r="I4875" t="str">
        <v>El Hierro height</v>
      </c>
      <c r="J4875" t="str">
        <v>Spain - Canary Islands - El Hierro onshore.</v>
      </c>
      <c r="K4875" s="11">
        <v>0</v>
      </c>
    </row>
    <row r="4876" spans="5:11" x14ac:dyDescent="0.35">
      <c r="E4876" s="9" t="str">
        <v>EPSG</v>
      </c>
      <c r="F4876" s="7" t="str">
        <v>9402</v>
      </c>
      <c r="G4876" t="str">
        <v>VerticalCrs</v>
      </c>
      <c r="H4876" t="str">
        <v>&lt;undefined&gt;</v>
      </c>
      <c r="I4876" t="str">
        <v>Ceuta 2 height</v>
      </c>
      <c r="J4876" t="str">
        <v>Spain - Ceuta onshore.</v>
      </c>
      <c r="K4876" s="11">
        <v>0</v>
      </c>
    </row>
    <row r="4877" spans="5:11" x14ac:dyDescent="0.35">
      <c r="E4877" s="9" t="str">
        <v>EPSG</v>
      </c>
      <c r="F4877" s="7" t="str">
        <v>9403</v>
      </c>
      <c r="G4877" t="str">
        <v>Geographic2DCrs</v>
      </c>
      <c r="H4877" t="str">
        <v>&lt;undefined&gt;</v>
      </c>
      <c r="I4877" t="str">
        <v>PN68</v>
      </c>
      <c r="J4877" t="str">
        <v>Spain - Canary Islands onshore.</v>
      </c>
      <c r="K4877" s="11">
        <v>0</v>
      </c>
    </row>
    <row r="4878" spans="5:11" x14ac:dyDescent="0.35">
      <c r="E4878" s="9" t="str">
        <v>EPSG</v>
      </c>
      <c r="F4878" s="7" t="str">
        <v>9404</v>
      </c>
      <c r="G4878" t="str">
        <v>ProjectedCrs</v>
      </c>
      <c r="H4878" t="str">
        <v>Transverse Mercator</v>
      </c>
      <c r="I4878" t="str">
        <v>PN68 / UTM zone 27N</v>
      </c>
      <c r="J4878" t="str">
        <v>Spain - Canary Islands - El Hierro onshore west of 18°W.</v>
      </c>
      <c r="K4878" s="11">
        <v>0</v>
      </c>
    </row>
    <row r="4879" spans="5:11" x14ac:dyDescent="0.35">
      <c r="E4879" s="9" t="str">
        <v>EPSG</v>
      </c>
      <c r="F4879" s="7" t="str">
        <v>9405</v>
      </c>
      <c r="G4879" t="str">
        <v>ProjectedCrs</v>
      </c>
      <c r="H4879" t="str">
        <v>Transverse Mercator</v>
      </c>
      <c r="I4879" t="str">
        <v>PN68 / UTM zone 28N</v>
      </c>
      <c r="J4879" t="str">
        <v>Spain - Canary Islands onshore - El Hierro east of 18°W, Fuerteventura, Gran Canaria, La Gomera, La Palma, Lanzarote and Tenerife.</v>
      </c>
      <c r="K4879" s="11">
        <v>0</v>
      </c>
    </row>
    <row r="4880" spans="5:11" x14ac:dyDescent="0.35">
      <c r="E4880" s="9" t="str">
        <v>EPSG</v>
      </c>
      <c r="F4880" s="7" t="str">
        <v>9406</v>
      </c>
      <c r="G4880" t="str">
        <v>ProjectedCrs</v>
      </c>
      <c r="H4880" t="str">
        <v>Transverse Mercator</v>
      </c>
      <c r="I4880" t="str">
        <v>PN84 / UTM zone 27N</v>
      </c>
      <c r="J4880" t="str">
        <v>Spain - Canary Islands - El Hierro onshore west of 18°W.</v>
      </c>
      <c r="K4880" s="11">
        <v>0</v>
      </c>
    </row>
    <row r="4881" spans="5:11" x14ac:dyDescent="0.35">
      <c r="E4881" s="9" t="str">
        <v>EPSG</v>
      </c>
      <c r="F4881" s="7" t="str">
        <v>9407</v>
      </c>
      <c r="G4881" t="str">
        <v>ProjectedCrs</v>
      </c>
      <c r="H4881" t="str">
        <v>Transverse Mercator</v>
      </c>
      <c r="I4881" t="str">
        <v>PN84 / UTM zone 28N</v>
      </c>
      <c r="J4881" t="str">
        <v>Spain - Canary Islands onshore - El Hierro east of 18°W, La Gomera, La Palma and Tenerife.</v>
      </c>
      <c r="K4881" s="11">
        <v>0</v>
      </c>
    </row>
    <row r="4882" spans="5:11" x14ac:dyDescent="0.35">
      <c r="E4882" s="9" t="str">
        <v>EPSG</v>
      </c>
      <c r="F4882" s="7" t="str">
        <v>9422</v>
      </c>
      <c r="G4882" t="str">
        <v>CompoundCrs</v>
      </c>
      <c r="H4882" t="str">
        <v>&lt;undefined&gt;</v>
      </c>
      <c r="I4882" t="str">
        <v>ETRS89 + EVRF2019 height</v>
      </c>
      <c r="J4882" t="str">
        <v>Europe - onshore - Andorra; Austria; Belgium; Bosnia and Herzegovina; Bulgaria; Croatia; Czechia; Denmark; Estonia; Finland; France - mainland; Germany; Gibraltar, Hungary; Italy - mainland and Sicily; Latvia; Liechtenstein; Lithuania; Luxembourg; Netherlands; North Macedonia; Norway; Poland; Portugal - mainland; Romania; San Marino; Slovakia; Slovenia; Spain - mainland; Sweden; Switzerland; United Kingdom (UK) - Great Britain mainland; Vatican City State.</v>
      </c>
      <c r="K4882" s="11">
        <v>0</v>
      </c>
    </row>
    <row r="4883" spans="5:11" x14ac:dyDescent="0.35">
      <c r="E4883" s="9" t="str">
        <v>EPSG</v>
      </c>
      <c r="F4883" s="7" t="str">
        <v>9423</v>
      </c>
      <c r="G4883" t="str">
        <v>CompoundCrs</v>
      </c>
      <c r="H4883" t="str">
        <v>&lt;undefined&gt;</v>
      </c>
      <c r="I4883" t="str">
        <v>ETRS89 + EVRF2019 mean-tide height</v>
      </c>
      <c r="J4883" t="str">
        <v>Europe - onshore - Andorra; Austria; Belgium; Bosnia and Herzegovina; Bulgaria; Croatia; Czechia; Denmark; Estonia; Finland; France - mainland; Germany; Gibraltar, Hungary; Italy - mainland and Sicily; Latvia; Liechtenstein; Lithuania; Luxembourg; Netherlands; North Macedonia; Norway; Poland; Portugal - mainland; Romania; San Marino; Slovakia; Slovenia; Spain - mainland; Sweden; Switzerland; United Kingdom (UK) - Great Britain mainland; Vatican City State.</v>
      </c>
      <c r="K4883" s="11">
        <v>0</v>
      </c>
    </row>
    <row r="4884" spans="5:11" x14ac:dyDescent="0.35">
      <c r="E4884" s="9" t="str">
        <v>EPSG</v>
      </c>
      <c r="F4884" s="7" t="str">
        <v>9424</v>
      </c>
      <c r="G4884" t="str">
        <v>CompoundCrs</v>
      </c>
      <c r="H4884" t="str">
        <v>&lt;undefined&gt;</v>
      </c>
      <c r="I4884" t="str">
        <v>ETRS89 + ODN height</v>
      </c>
      <c r="J4884" t="str">
        <v>United Kingdom (UK) - Great Britain onshore - England and Wales - mainland; Scotland - mainland and Inner Hebrides.</v>
      </c>
      <c r="K4884" s="11">
        <v>1</v>
      </c>
    </row>
    <row r="4885" spans="5:11" x14ac:dyDescent="0.35">
      <c r="E4885" s="9" t="str">
        <v>EPSG</v>
      </c>
      <c r="F4885" s="7" t="str">
        <v>9425</v>
      </c>
      <c r="G4885" t="str">
        <v>CompoundCrs</v>
      </c>
      <c r="H4885" t="str">
        <v>&lt;undefined&gt;</v>
      </c>
      <c r="I4885" t="str">
        <v>ETRS89 + ODN (Offshore) height</v>
      </c>
      <c r="J4885" t="str">
        <v>United Kingdom (UK) - offshore between 2km from shore and boundary of UKCS within 49°45'N to 61°N and 9°W to 2°E.</v>
      </c>
      <c r="K4885" s="11">
        <v>1</v>
      </c>
    </row>
    <row r="4886" spans="5:11" x14ac:dyDescent="0.35">
      <c r="E4886" s="9" t="str">
        <v>EPSG</v>
      </c>
      <c r="F4886" s="7" t="str">
        <v>9426</v>
      </c>
      <c r="G4886" t="str">
        <v>CompoundCrs</v>
      </c>
      <c r="H4886" t="str">
        <v>&lt;undefined&gt;</v>
      </c>
      <c r="I4886" t="str">
        <v>ETRS89 + ODN Orkney height</v>
      </c>
      <c r="J4886" t="str">
        <v>United Kingdom (UK) - Great Britain - Scotland - Orkney Islands onshore.</v>
      </c>
      <c r="K4886" s="11">
        <v>1</v>
      </c>
    </row>
    <row r="4887" spans="5:11" x14ac:dyDescent="0.35">
      <c r="E4887" s="9" t="str">
        <v>EPSG</v>
      </c>
      <c r="F4887" s="7" t="str">
        <v>9427</v>
      </c>
      <c r="G4887" t="str">
        <v>CompoundCrs</v>
      </c>
      <c r="H4887" t="str">
        <v>&lt;undefined&gt;</v>
      </c>
      <c r="I4887" t="str">
        <v>ETRS89 + Lerwick height</v>
      </c>
      <c r="J4887" t="str">
        <v>United Kingdom (UK) - Great Britain - Scotland - Shetland Islands onshore.</v>
      </c>
      <c r="K4887" s="11">
        <v>1</v>
      </c>
    </row>
    <row r="4888" spans="5:11" x14ac:dyDescent="0.35">
      <c r="E4888" s="9" t="str">
        <v>EPSG</v>
      </c>
      <c r="F4888" s="7" t="str">
        <v>9428</v>
      </c>
      <c r="G4888" t="str">
        <v>CompoundCrs</v>
      </c>
      <c r="H4888" t="str">
        <v>&lt;undefined&gt;</v>
      </c>
      <c r="I4888" t="str">
        <v>ETRS89 + Stornoway height</v>
      </c>
      <c r="J4888" t="str">
        <v>United Kingdom (UK) - Great Britain - Scotland - Outer Hebrides onshore.</v>
      </c>
      <c r="K4888" s="11">
        <v>1</v>
      </c>
    </row>
    <row r="4889" spans="5:11" x14ac:dyDescent="0.35">
      <c r="E4889" s="9" t="str">
        <v>EPSG</v>
      </c>
      <c r="F4889" s="7" t="str">
        <v>9429</v>
      </c>
      <c r="G4889" t="str">
        <v>CompoundCrs</v>
      </c>
      <c r="H4889" t="str">
        <v>&lt;undefined&gt;</v>
      </c>
      <c r="I4889" t="str">
        <v>ETRS89 + Douglas height</v>
      </c>
      <c r="J4889" t="str">
        <v>Isle of Man - onshore.</v>
      </c>
      <c r="K4889" s="11">
        <v>1</v>
      </c>
    </row>
    <row r="4890" spans="5:11" x14ac:dyDescent="0.35">
      <c r="E4890" s="9" t="str">
        <v>EPSG</v>
      </c>
      <c r="F4890" s="7" t="str">
        <v>9430</v>
      </c>
      <c r="G4890" t="str">
        <v>CompoundCrs</v>
      </c>
      <c r="H4890" t="str">
        <v>&lt;undefined&gt;</v>
      </c>
      <c r="I4890" t="str">
        <v>ETRS89 + St. Marys height</v>
      </c>
      <c r="J4890" t="str">
        <v>United Kingdom (UK) - Great Britain - England - Isles of Scilly onshore.</v>
      </c>
      <c r="K4890" s="11">
        <v>1</v>
      </c>
    </row>
    <row r="4891" spans="5:11" x14ac:dyDescent="0.35">
      <c r="E4891" s="9" t="str">
        <v>EPSG</v>
      </c>
      <c r="F4891" s="7" t="str">
        <v>9449</v>
      </c>
      <c r="G4891" t="str">
        <v>CompoundCrs</v>
      </c>
      <c r="H4891" t="str">
        <v>&lt;undefined&gt;</v>
      </c>
      <c r="I4891" t="str">
        <v>ETRS89 + Malin Head height</v>
      </c>
      <c r="J4891" t="str">
        <v>Ireland - onshore. United Kingdom (UK) - Northern Ireland (Ulster) - onshore.</v>
      </c>
      <c r="K4891" s="11">
        <v>1</v>
      </c>
    </row>
    <row r="4892" spans="5:11" x14ac:dyDescent="0.35">
      <c r="E4892" s="9" t="str">
        <v>EPSG</v>
      </c>
      <c r="F4892" s="7" t="str">
        <v>9450</v>
      </c>
      <c r="G4892" t="str">
        <v>CompoundCrs</v>
      </c>
      <c r="H4892" t="str">
        <v>&lt;undefined&gt;</v>
      </c>
      <c r="I4892" t="str">
        <v>ETRS89 + Belfast height</v>
      </c>
      <c r="J4892" t="str">
        <v>United Kingdom (UK) - Northern Ireland (Ulster) - onshore.</v>
      </c>
      <c r="K4892" s="11">
        <v>1</v>
      </c>
    </row>
    <row r="4893" spans="5:11" x14ac:dyDescent="0.35">
      <c r="E4893" s="9" t="str">
        <v>EPSG</v>
      </c>
      <c r="F4893" s="7" t="str">
        <v>9451</v>
      </c>
      <c r="G4893" t="str">
        <v>VerticalCrs</v>
      </c>
      <c r="H4893" t="str">
        <v>&lt;undefined&gt;</v>
      </c>
      <c r="I4893" t="str">
        <v>BI height</v>
      </c>
      <c r="J4893" t="str">
        <v>United Kingdom (UK) - offshore to boundary of UKCS within 49°45'N to 61°N and 9°W to 2°E; onshore Great Britain (England, Wales and Scotland) and Northern Ireland. Ireland onshore. Isle of Man onshore.</v>
      </c>
      <c r="K4893" s="11">
        <v>1</v>
      </c>
    </row>
    <row r="4894" spans="5:11" x14ac:dyDescent="0.35">
      <c r="E4894" s="9" t="str">
        <v>EPSG</v>
      </c>
      <c r="F4894" s="7" t="str">
        <v>9452</v>
      </c>
      <c r="G4894" t="str">
        <v>CompoundCrs</v>
      </c>
      <c r="H4894" t="str">
        <v>&lt;undefined&gt;</v>
      </c>
      <c r="I4894" t="str">
        <v>ETRS89 + BI height</v>
      </c>
      <c r="J4894" t="str">
        <v>United Kingdom (UK) - offshore to boundary of UKCS within 49°45'N to 61°N and 9°W to 2°E; onshore Great Britain (England, Wales and Scotland) and Northern Ireland. Ireland onshore. Isle of Man onshore.</v>
      </c>
      <c r="K4894" s="11">
        <v>1</v>
      </c>
    </row>
    <row r="4895" spans="5:11" x14ac:dyDescent="0.35">
      <c r="E4895" s="9" t="str">
        <v>EPSG</v>
      </c>
      <c r="F4895" s="7" t="str">
        <v>9453</v>
      </c>
      <c r="G4895" t="str">
        <v>Geographic2DCrs</v>
      </c>
      <c r="H4895" t="str">
        <v>&lt;undefined&gt;</v>
      </c>
      <c r="I4895" t="str">
        <v>GBK19-IRF</v>
      </c>
      <c r="J4895" t="str">
        <v>United Kingdom (UK) - on or related to the rail route from Glasgow to Kilmarnock via Barrhead and the branch to East Kilbride.</v>
      </c>
      <c r="K4895" s="11">
        <v>0</v>
      </c>
    </row>
    <row r="4896" spans="5:11" x14ac:dyDescent="0.35">
      <c r="E4896" s="9" t="str">
        <v>EPSG</v>
      </c>
      <c r="F4896" s="7" t="str">
        <v>9456</v>
      </c>
      <c r="G4896" t="str">
        <v>ProjectedCrs</v>
      </c>
      <c r="H4896" t="str">
        <v>Transverse Mercator</v>
      </c>
      <c r="I4896" t="str">
        <v>GBK19 Grid</v>
      </c>
      <c r="J4896" t="str">
        <v>United Kingdom (UK) - on or related to the rail route from Glasgow to Kilmarnock via Barrhead and the branch to East Kilbride.</v>
      </c>
      <c r="K4896" s="11">
        <v>0</v>
      </c>
    </row>
    <row r="4897" spans="5:11" x14ac:dyDescent="0.35">
      <c r="E4897" s="9" t="str">
        <v>EPSG</v>
      </c>
      <c r="F4897" s="7" t="str">
        <v>9457</v>
      </c>
      <c r="G4897" t="str">
        <v>CompoundCrs</v>
      </c>
      <c r="H4897" t="str">
        <v>&lt;undefined&gt;</v>
      </c>
      <c r="I4897" t="str">
        <v>GBK19 Grid + ODN height</v>
      </c>
      <c r="J4897" t="str">
        <v>United Kingdom (UK) - on or related to the rail route from Glasgow to Kilmarnock via Barrhead and the branch to East Kilbride.</v>
      </c>
      <c r="K4897" s="11">
        <v>0</v>
      </c>
    </row>
    <row r="4898" spans="5:11" x14ac:dyDescent="0.35">
      <c r="E4898" s="9" t="str">
        <v>EPSG</v>
      </c>
      <c r="F4898" s="7" t="str">
        <v>9458</v>
      </c>
      <c r="G4898" t="str">
        <v>VerticalCrs</v>
      </c>
      <c r="H4898" t="str">
        <v>&lt;undefined&gt;</v>
      </c>
      <c r="I4898" t="str">
        <v>AVWS height</v>
      </c>
      <c r="J4898" t="str">
        <v>Australia including Lord Howe Island, Macquarie Island, Ashmore and Cartier Islands, Christmas Island, Cocos (Keeling) Islands, Norfolk Island. All onshore and offshore.</v>
      </c>
      <c r="K4898" s="11">
        <v>0</v>
      </c>
    </row>
    <row r="4899" spans="5:11" x14ac:dyDescent="0.35">
      <c r="E4899" s="9" t="str">
        <v>EPSG</v>
      </c>
      <c r="F4899" s="7" t="str">
        <v>9462</v>
      </c>
      <c r="G4899" t="str">
        <v>CompoundCrs</v>
      </c>
      <c r="H4899" t="str">
        <v>&lt;undefined&gt;</v>
      </c>
      <c r="I4899" t="str">
        <v>GDA2020 + AVWS height</v>
      </c>
      <c r="J4899" t="str">
        <v>Australia including Lord Howe Island, Macquarie Island, Ashmore and Cartier Islands, Christmas Island, Cocos (Keeling) Islands, Norfolk Island. All onshore and offshore.</v>
      </c>
      <c r="K4899" s="11">
        <v>0</v>
      </c>
    </row>
    <row r="4900" spans="5:11" x14ac:dyDescent="0.35">
      <c r="E4900" s="9" t="str">
        <v>EPSG</v>
      </c>
      <c r="F4900" s="7" t="str">
        <v>9463</v>
      </c>
      <c r="G4900" t="str">
        <v>CompoundCrs</v>
      </c>
      <c r="H4900" t="str">
        <v>&lt;undefined&gt;</v>
      </c>
      <c r="I4900" t="str">
        <v>GDA2020 + AHD height</v>
      </c>
      <c r="J4900" t="str">
        <v>Australia - Australian Capital Territory, New South Wales, Northern Territory, Queensland, South Australia, Tasmania, Western Australia and Victoria - onshore. Christmas Island - onshore. Cocos and Keeling Islands - onshore.</v>
      </c>
      <c r="K4900" s="11">
        <v>0</v>
      </c>
    </row>
    <row r="4901" spans="5:11" x14ac:dyDescent="0.35">
      <c r="E4901" s="9" t="str">
        <v>EPSG</v>
      </c>
      <c r="F4901" s="7" t="str">
        <v>9464</v>
      </c>
      <c r="G4901" t="str">
        <v>CompoundCrs</v>
      </c>
      <c r="H4901" t="str">
        <v>&lt;undefined&gt;</v>
      </c>
      <c r="I4901" t="str">
        <v>GDA94 + AHD height</v>
      </c>
      <c r="J4901" t="str">
        <v>Australia - Australian Capital Territory, New South Wales, Northern Territory, Queensland, South Australia, Tasmania, Western Australia and Victoria - onshore. Christmas Island - onshore. Cocos and Keeling Islands - onshore.</v>
      </c>
      <c r="K4901" s="11">
        <v>0</v>
      </c>
    </row>
    <row r="4902" spans="5:11" x14ac:dyDescent="0.35">
      <c r="E4902" s="9" t="str">
        <v>EPSG</v>
      </c>
      <c r="F4902" s="7" t="str">
        <v>9468</v>
      </c>
      <c r="G4902" t="str">
        <v>GeocentricCrs</v>
      </c>
      <c r="H4902" t="str">
        <v>&lt;undefined&gt;</v>
      </c>
      <c r="I4902" t="str">
        <v>SRGI2013</v>
      </c>
      <c r="J4902" t="str">
        <v>Indonesia - onshore and offshore.</v>
      </c>
      <c r="K4902" s="11">
        <v>0</v>
      </c>
    </row>
    <row r="4903" spans="5:11" x14ac:dyDescent="0.35">
      <c r="E4903" s="9" t="str">
        <v>EPSG</v>
      </c>
      <c r="F4903" s="7" t="str">
        <v>9469</v>
      </c>
      <c r="G4903" t="str">
        <v>Geographic3DCrs</v>
      </c>
      <c r="H4903" t="str">
        <v>&lt;undefined&gt;</v>
      </c>
      <c r="I4903" t="str">
        <v>SRGI2013</v>
      </c>
      <c r="J4903" t="str">
        <v>Indonesia - onshore and offshore.</v>
      </c>
      <c r="K4903" s="11">
        <v>0</v>
      </c>
    </row>
    <row r="4904" spans="5:11" x14ac:dyDescent="0.35">
      <c r="E4904" s="9" t="str">
        <v>EPSG</v>
      </c>
      <c r="F4904" s="7" t="str">
        <v>9470</v>
      </c>
      <c r="G4904" t="str">
        <v>Geographic2DCrs</v>
      </c>
      <c r="H4904" t="str">
        <v>&lt;undefined&gt;</v>
      </c>
      <c r="I4904" t="str">
        <v>SRGI2013</v>
      </c>
      <c r="J4904" t="str">
        <v>Indonesia - onshore and offshore.</v>
      </c>
      <c r="K4904" s="11">
        <v>0</v>
      </c>
    </row>
    <row r="4905" spans="5:11" x14ac:dyDescent="0.35">
      <c r="E4905" s="9" t="str">
        <v>EPSG</v>
      </c>
      <c r="F4905" s="7" t="str">
        <v>9471</v>
      </c>
      <c r="G4905" t="str">
        <v>VerticalCrs</v>
      </c>
      <c r="H4905" t="str">
        <v>&lt;undefined&gt;</v>
      </c>
      <c r="I4905" t="str">
        <v>INAGeoid2020 v1 height</v>
      </c>
      <c r="J4905" t="str">
        <v>Indonesia - onshore and offshore.</v>
      </c>
      <c r="K4905" s="11">
        <v>0</v>
      </c>
    </row>
    <row r="4906" spans="5:11" x14ac:dyDescent="0.35">
      <c r="E4906" s="9" t="str">
        <v>EPSG</v>
      </c>
      <c r="F4906" s="7" t="str">
        <v>9473</v>
      </c>
      <c r="G4906" t="str">
        <v>ProjectedCrs</v>
      </c>
      <c r="H4906" t="str">
        <v>Albers Equal Area</v>
      </c>
      <c r="I4906" t="str">
        <v>GDA2020 / Australian Albers</v>
      </c>
      <c r="J4906" t="str">
        <v>Australia - Australian Capital Territory; New South Wales; Northern Territory; Queensland; South Australia; Tasmania; Western Australia; Victoria.</v>
      </c>
      <c r="K4906" s="11">
        <v>0</v>
      </c>
    </row>
    <row r="4907" spans="5:11" x14ac:dyDescent="0.35">
      <c r="E4907" s="9" t="str">
        <v>EPSG</v>
      </c>
      <c r="F4907" s="7" t="str">
        <v>9474</v>
      </c>
      <c r="G4907" t="str">
        <v>Geographic2DCrs</v>
      </c>
      <c r="H4907" t="str">
        <v>&lt;undefined&gt;</v>
      </c>
      <c r="I4907" t="str">
        <v>PZ-90.02</v>
      </c>
      <c r="J4907" t="str">
        <v>World.</v>
      </c>
      <c r="K4907" s="11">
        <v>0</v>
      </c>
    </row>
    <row r="4908" spans="5:11" x14ac:dyDescent="0.35">
      <c r="E4908" s="9" t="str">
        <v>EPSG</v>
      </c>
      <c r="F4908" s="7" t="str">
        <v>9475</v>
      </c>
      <c r="G4908" t="str">
        <v>Geographic2DCrs</v>
      </c>
      <c r="H4908" t="str">
        <v>&lt;undefined&gt;</v>
      </c>
      <c r="I4908" t="str">
        <v>PZ-90.11</v>
      </c>
      <c r="J4908" t="str">
        <v>World.</v>
      </c>
      <c r="K4908" s="11">
        <v>0</v>
      </c>
    </row>
    <row r="4909" spans="5:11" x14ac:dyDescent="0.35">
      <c r="E4909" s="9" t="str">
        <v>EPSG</v>
      </c>
      <c r="F4909" s="7" t="str">
        <v>9476</v>
      </c>
      <c r="G4909" t="str">
        <v>ProjectedCrs</v>
      </c>
      <c r="H4909" t="str">
        <v>Transverse Mercator</v>
      </c>
      <c r="I4909" t="str">
        <v>SRGI2013 / UTM zone 46N</v>
      </c>
      <c r="J4909" t="str">
        <v>Indonesia - north of equator and west of 96°E - onshore and offshore.</v>
      </c>
      <c r="K4909" s="11">
        <v>0</v>
      </c>
    </row>
    <row r="4910" spans="5:11" x14ac:dyDescent="0.35">
      <c r="E4910" s="9" t="str">
        <v>EPSG</v>
      </c>
      <c r="F4910" s="7" t="str">
        <v>9477</v>
      </c>
      <c r="G4910" t="str">
        <v>ProjectedCrs</v>
      </c>
      <c r="H4910" t="str">
        <v>Transverse Mercator</v>
      </c>
      <c r="I4910" t="str">
        <v>SRGI2013 / UTM zone 47N</v>
      </c>
      <c r="J4910" t="str">
        <v>Indonesia - north of equator and between 96°E and 102°E - onshore and offshore.</v>
      </c>
      <c r="K4910" s="11">
        <v>0</v>
      </c>
    </row>
    <row r="4911" spans="5:11" x14ac:dyDescent="0.35">
      <c r="E4911" s="9" t="str">
        <v>EPSG</v>
      </c>
      <c r="F4911" s="7" t="str">
        <v>9478</v>
      </c>
      <c r="G4911" t="str">
        <v>ProjectedCrs</v>
      </c>
      <c r="H4911" t="str">
        <v>Transverse Mercator</v>
      </c>
      <c r="I4911" t="str">
        <v>SRGI2013 / UTM zone 48N</v>
      </c>
      <c r="J4911" t="str">
        <v>Indonesia - north of equator and between 102°E and 108°E - onshore and offshore.</v>
      </c>
      <c r="K4911" s="11">
        <v>0</v>
      </c>
    </row>
    <row r="4912" spans="5:11" x14ac:dyDescent="0.35">
      <c r="E4912" s="9" t="str">
        <v>EPSG</v>
      </c>
      <c r="F4912" s="7" t="str">
        <v>9479</v>
      </c>
      <c r="G4912" t="str">
        <v>ProjectedCrs</v>
      </c>
      <c r="H4912" t="str">
        <v>Transverse Mercator</v>
      </c>
      <c r="I4912" t="str">
        <v>SRGI2013 / UTM zone 49N</v>
      </c>
      <c r="J4912" t="str">
        <v>Indonesia - north of equator and between 108°E and 114°E - onshore and offshore.</v>
      </c>
      <c r="K4912" s="11">
        <v>0</v>
      </c>
    </row>
    <row r="4913" spans="5:11" x14ac:dyDescent="0.35">
      <c r="E4913" s="9" t="str">
        <v>EPSG</v>
      </c>
      <c r="F4913" s="7" t="str">
        <v>9480</v>
      </c>
      <c r="G4913" t="str">
        <v>ProjectedCrs</v>
      </c>
      <c r="H4913" t="str">
        <v>Transverse Mercator</v>
      </c>
      <c r="I4913" t="str">
        <v>SRGI2013 / UTM zone 50N</v>
      </c>
      <c r="J4913" t="str">
        <v>Indonesia - north of equator and between 114°E and 120°E - onshore and offshore.</v>
      </c>
      <c r="K4913" s="11">
        <v>0</v>
      </c>
    </row>
    <row r="4914" spans="5:11" x14ac:dyDescent="0.35">
      <c r="E4914" s="9" t="str">
        <v>EPSG</v>
      </c>
      <c r="F4914" s="7" t="str">
        <v>9481</v>
      </c>
      <c r="G4914" t="str">
        <v>ProjectedCrs</v>
      </c>
      <c r="H4914" t="str">
        <v>Transverse Mercator</v>
      </c>
      <c r="I4914" t="str">
        <v>SRGI2013 / UTM zone 51N</v>
      </c>
      <c r="J4914" t="str">
        <v>Indonesia - north of equator and between 120°E and 126°E - onshore and offshore.</v>
      </c>
      <c r="K4914" s="11">
        <v>0</v>
      </c>
    </row>
    <row r="4915" spans="5:11" x14ac:dyDescent="0.35">
      <c r="E4915" s="9" t="str">
        <v>EPSG</v>
      </c>
      <c r="F4915" s="7" t="str">
        <v>9482</v>
      </c>
      <c r="G4915" t="str">
        <v>ProjectedCrs</v>
      </c>
      <c r="H4915" t="str">
        <v>Transverse Mercator</v>
      </c>
      <c r="I4915" t="str">
        <v>SRGI2013 / UTM zone 52N</v>
      </c>
      <c r="J4915" t="str">
        <v>Indonesia - north of equator and between 126°E and 132°E - onshore and offshore.</v>
      </c>
      <c r="K4915" s="11">
        <v>0</v>
      </c>
    </row>
    <row r="4916" spans="5:11" x14ac:dyDescent="0.35">
      <c r="E4916" s="9" t="str">
        <v>EPSG</v>
      </c>
      <c r="F4916" s="7" t="str">
        <v>9487</v>
      </c>
      <c r="G4916" t="str">
        <v>ProjectedCrs</v>
      </c>
      <c r="H4916" t="str">
        <v>Transverse Mercator</v>
      </c>
      <c r="I4916" t="str">
        <v>SRGI2013 / UTM zone 47S</v>
      </c>
      <c r="J4916" t="str">
        <v>Indonesia - south of equator and between 96°E and 102°E - onshore and offshore.</v>
      </c>
      <c r="K4916" s="11">
        <v>0</v>
      </c>
    </row>
    <row r="4917" spans="5:11" x14ac:dyDescent="0.35">
      <c r="E4917" s="9" t="str">
        <v>EPSG</v>
      </c>
      <c r="F4917" s="7" t="str">
        <v>9488</v>
      </c>
      <c r="G4917" t="str">
        <v>ProjectedCrs</v>
      </c>
      <c r="H4917" t="str">
        <v>Transverse Mercator</v>
      </c>
      <c r="I4917" t="str">
        <v>SRGI2013 / UTM zone 48S</v>
      </c>
      <c r="J4917" t="str">
        <v>Indonesia - south of equator and between 102°E and 108°E - onshore and offshore.</v>
      </c>
      <c r="K4917" s="11">
        <v>0</v>
      </c>
    </row>
    <row r="4918" spans="5:11" x14ac:dyDescent="0.35">
      <c r="E4918" s="9" t="str">
        <v>EPSG</v>
      </c>
      <c r="F4918" s="7" t="str">
        <v>9489</v>
      </c>
      <c r="G4918" t="str">
        <v>ProjectedCrs</v>
      </c>
      <c r="H4918" t="str">
        <v>Transverse Mercator</v>
      </c>
      <c r="I4918" t="str">
        <v>SRGI2013 / UTM zone 49S</v>
      </c>
      <c r="J4918" t="str">
        <v>Indonesia - south of equator and between 108°E and 114°E - onshore and offshore.</v>
      </c>
      <c r="K4918" s="11">
        <v>0</v>
      </c>
    </row>
    <row r="4919" spans="5:11" x14ac:dyDescent="0.35">
      <c r="E4919" s="9" t="str">
        <v>EPSG</v>
      </c>
      <c r="F4919" s="7" t="str">
        <v>9490</v>
      </c>
      <c r="G4919" t="str">
        <v>ProjectedCrs</v>
      </c>
      <c r="H4919" t="str">
        <v>Transverse Mercator</v>
      </c>
      <c r="I4919" t="str">
        <v>SRGI2013 / UTM zone 50S</v>
      </c>
      <c r="J4919" t="str">
        <v>Indonesia - south of equator and between 114°E and 120°E - onshore and offshore.</v>
      </c>
      <c r="K4919" s="11">
        <v>0</v>
      </c>
    </row>
    <row r="4920" spans="5:11" x14ac:dyDescent="0.35">
      <c r="E4920" s="9" t="str">
        <v>EPSG</v>
      </c>
      <c r="F4920" s="7" t="str">
        <v>9491</v>
      </c>
      <c r="G4920" t="str">
        <v>ProjectedCrs</v>
      </c>
      <c r="H4920" t="str">
        <v>Transverse Mercator</v>
      </c>
      <c r="I4920" t="str">
        <v>SRGI2013 / UTM zone 51S</v>
      </c>
      <c r="J4920" t="str">
        <v>Indonesia - south of equator and between 120°E and 126°E - onshore and offshore.</v>
      </c>
      <c r="K4920" s="11">
        <v>0</v>
      </c>
    </row>
    <row r="4921" spans="5:11" x14ac:dyDescent="0.35">
      <c r="E4921" s="9" t="str">
        <v>EPSG</v>
      </c>
      <c r="F4921" s="7" t="str">
        <v>9492</v>
      </c>
      <c r="G4921" t="str">
        <v>ProjectedCrs</v>
      </c>
      <c r="H4921" t="str">
        <v>Transverse Mercator</v>
      </c>
      <c r="I4921" t="str">
        <v>SRGI2013 / UTM zone 52S</v>
      </c>
      <c r="J4921" t="str">
        <v>Indonesia - south of equator and between 126°E and 132°E - onshore and offshore.</v>
      </c>
      <c r="K4921" s="11">
        <v>0</v>
      </c>
    </row>
    <row r="4922" spans="5:11" x14ac:dyDescent="0.35">
      <c r="E4922" s="9" t="str">
        <v>EPSG</v>
      </c>
      <c r="F4922" s="7" t="str">
        <v>9493</v>
      </c>
      <c r="G4922" t="str">
        <v>ProjectedCrs</v>
      </c>
      <c r="H4922" t="str">
        <v>Transverse Mercator</v>
      </c>
      <c r="I4922" t="str">
        <v>SRGI2013 / UTM zone 53S</v>
      </c>
      <c r="J4922" t="str">
        <v>Indonesia - south of equator and between 132°E and 138°E - onshore and offshore.</v>
      </c>
      <c r="K4922" s="11">
        <v>0</v>
      </c>
    </row>
    <row r="4923" spans="5:11" x14ac:dyDescent="0.35">
      <c r="E4923" s="9" t="str">
        <v>EPSG</v>
      </c>
      <c r="F4923" s="7" t="str">
        <v>9494</v>
      </c>
      <c r="G4923" t="str">
        <v>ProjectedCrs</v>
      </c>
      <c r="H4923" t="str">
        <v>Transverse Mercator</v>
      </c>
      <c r="I4923" t="str">
        <v>SRGI2013 / UTM zone 54S</v>
      </c>
      <c r="J4923" t="str">
        <v>Indonesia - south of equator and east of 138°E - onshore and offshore.</v>
      </c>
      <c r="K4923" s="11">
        <v>0</v>
      </c>
    </row>
    <row r="4924" spans="5:11" x14ac:dyDescent="0.35">
      <c r="E4924" s="9" t="str">
        <v>EPSG</v>
      </c>
      <c r="F4924" s="7" t="str">
        <v>9498</v>
      </c>
      <c r="G4924" t="str">
        <v>ProjectedCrs</v>
      </c>
      <c r="H4924" t="str">
        <v>Transverse Mercator</v>
      </c>
      <c r="I4924" t="str">
        <v>POSGAR 2007 / CABA 2019</v>
      </c>
      <c r="J4924" t="str">
        <v>Argentina - autonomous city of Buenos Aires.</v>
      </c>
      <c r="K4924" s="11">
        <v>0</v>
      </c>
    </row>
    <row r="4925" spans="5:11" x14ac:dyDescent="0.35">
      <c r="E4925" s="9" t="str">
        <v>EPSG</v>
      </c>
      <c r="F4925" s="7" t="str">
        <v>9500</v>
      </c>
      <c r="G4925" t="str">
        <v>CompoundCrs</v>
      </c>
      <c r="H4925" t="str">
        <v>&lt;undefined&gt;</v>
      </c>
      <c r="I4925" t="str">
        <v>ETRS89 + EVRF2000 Austria height</v>
      </c>
      <c r="J4925" t="str">
        <v>Austria.</v>
      </c>
      <c r="K4925" s="11">
        <v>0</v>
      </c>
    </row>
    <row r="4926" spans="5:11" x14ac:dyDescent="0.35">
      <c r="E4926" s="9" t="str">
        <v>EPSG</v>
      </c>
      <c r="F4926" s="7" t="str">
        <v>9501</v>
      </c>
      <c r="G4926" t="str">
        <v>CompoundCrs</v>
      </c>
      <c r="H4926" t="str">
        <v>&lt;undefined&gt;</v>
      </c>
      <c r="I4926" t="str">
        <v>MGI + EVRF2000 Austria height</v>
      </c>
      <c r="J4926" t="str">
        <v>Austria.</v>
      </c>
      <c r="K4926" s="11">
        <v>0</v>
      </c>
    </row>
    <row r="4927" spans="5:11" x14ac:dyDescent="0.35">
      <c r="E4927" s="9" t="str">
        <v>EPSG</v>
      </c>
      <c r="F4927" s="7" t="str">
        <v>9502</v>
      </c>
      <c r="G4927" t="str">
        <v>CompoundCrs</v>
      </c>
      <c r="H4927" t="str">
        <v>&lt;undefined&gt;</v>
      </c>
      <c r="I4927" t="str">
        <v>CIGD11 + CBVD61 height (ft)</v>
      </c>
      <c r="J4927" t="str">
        <v>Cayman Islands - Cayman Brac.</v>
      </c>
      <c r="K4927" s="11">
        <v>0</v>
      </c>
    </row>
    <row r="4928" spans="5:11" x14ac:dyDescent="0.35">
      <c r="E4928" s="9" t="str">
        <v>EPSG</v>
      </c>
      <c r="F4928" s="7" t="str">
        <v>9503</v>
      </c>
      <c r="G4928" t="str">
        <v>CompoundCrs</v>
      </c>
      <c r="H4928" t="str">
        <v>&lt;undefined&gt;</v>
      </c>
      <c r="I4928" t="str">
        <v>CIGD11 + GCVD54 height (ft)</v>
      </c>
      <c r="J4928" t="str">
        <v>Cayman Islands - Grand Cayman.</v>
      </c>
      <c r="K4928" s="11">
        <v>0</v>
      </c>
    </row>
    <row r="4929" spans="5:11" x14ac:dyDescent="0.35">
      <c r="E4929" s="9" t="str">
        <v>EPSG</v>
      </c>
      <c r="F4929" s="7" t="str">
        <v>9504</v>
      </c>
      <c r="G4929" t="str">
        <v>CompoundCrs</v>
      </c>
      <c r="H4929" t="str">
        <v>&lt;undefined&gt;</v>
      </c>
      <c r="I4929" t="str">
        <v>CIGD11 + LCVD61 height (ft)</v>
      </c>
      <c r="J4929" t="str">
        <v>Cayman Islands - Little Cayman.</v>
      </c>
      <c r="K4929" s="11">
        <v>0</v>
      </c>
    </row>
    <row r="4930" spans="5:11" x14ac:dyDescent="0.35">
      <c r="E4930" s="9" t="str">
        <v>EPSG</v>
      </c>
      <c r="F4930" s="7" t="str">
        <v>9505</v>
      </c>
      <c r="G4930" t="str">
        <v>CompoundCrs</v>
      </c>
      <c r="H4930" t="str">
        <v>&lt;undefined&gt;</v>
      </c>
      <c r="I4930" t="str">
        <v>ETRS89 + Alicante height</v>
      </c>
      <c r="J4930" t="str">
        <v>Gibraltar - onshore; Spain - mainland onshore.</v>
      </c>
      <c r="K4930" s="11">
        <v>0</v>
      </c>
    </row>
    <row r="4931" spans="5:11" x14ac:dyDescent="0.35">
      <c r="E4931" s="9" t="str">
        <v>EPSG</v>
      </c>
      <c r="F4931" s="7" t="str">
        <v>9506</v>
      </c>
      <c r="G4931" t="str">
        <v>CompoundCrs</v>
      </c>
      <c r="H4931" t="str">
        <v>&lt;undefined&gt;</v>
      </c>
      <c r="I4931" t="str">
        <v>ETRS89 + Ceuta 2 height</v>
      </c>
      <c r="J4931" t="str">
        <v>Spain - Ceuta onshore.</v>
      </c>
      <c r="K4931" s="11">
        <v>0</v>
      </c>
    </row>
    <row r="4932" spans="5:11" x14ac:dyDescent="0.35">
      <c r="E4932" s="9" t="str">
        <v>EPSG</v>
      </c>
      <c r="F4932" s="7" t="str">
        <v>9507</v>
      </c>
      <c r="G4932" t="str">
        <v>CompoundCrs</v>
      </c>
      <c r="H4932" t="str">
        <v>&lt;undefined&gt;</v>
      </c>
      <c r="I4932" t="str">
        <v>ETRS89 + Ibiza height</v>
      </c>
      <c r="J4932" t="str">
        <v>Spain - Balearic Islands - Ibiza - onshore.</v>
      </c>
      <c r="K4932" s="11">
        <v>0</v>
      </c>
    </row>
    <row r="4933" spans="5:11" x14ac:dyDescent="0.35">
      <c r="E4933" s="9" t="str">
        <v>EPSG</v>
      </c>
      <c r="F4933" s="7" t="str">
        <v>9508</v>
      </c>
      <c r="G4933" t="str">
        <v>CompoundCrs</v>
      </c>
      <c r="H4933" t="str">
        <v>&lt;undefined&gt;</v>
      </c>
      <c r="I4933" t="str">
        <v>ETRS89 + Mallorca height</v>
      </c>
      <c r="J4933" t="str">
        <v>Spain - Balearic Islands - Mallorca onshore.</v>
      </c>
      <c r="K4933" s="11">
        <v>0</v>
      </c>
    </row>
    <row r="4934" spans="5:11" x14ac:dyDescent="0.35">
      <c r="E4934" s="9" t="str">
        <v>EPSG</v>
      </c>
      <c r="F4934" s="7" t="str">
        <v>9509</v>
      </c>
      <c r="G4934" t="str">
        <v>CompoundCrs</v>
      </c>
      <c r="H4934" t="str">
        <v>&lt;undefined&gt;</v>
      </c>
      <c r="I4934" t="str">
        <v>ETRS89 + Menorca height</v>
      </c>
      <c r="J4934" t="str">
        <v>Spain - Balearic Islands - Menorca onshore.</v>
      </c>
      <c r="K4934" s="11">
        <v>0</v>
      </c>
    </row>
    <row r="4935" spans="5:11" x14ac:dyDescent="0.35">
      <c r="E4935" s="9" t="str">
        <v>EPSG</v>
      </c>
      <c r="F4935" s="7" t="str">
        <v>9510</v>
      </c>
      <c r="G4935" t="str">
        <v>CompoundCrs</v>
      </c>
      <c r="H4935" t="str">
        <v>&lt;undefined&gt;</v>
      </c>
      <c r="I4935" t="str">
        <v>REGCAN95 + El Hierro height</v>
      </c>
      <c r="J4935" t="str">
        <v>Spain - Canary Islands - El Hierro onshore.</v>
      </c>
      <c r="K4935" s="11">
        <v>0</v>
      </c>
    </row>
    <row r="4936" spans="5:11" x14ac:dyDescent="0.35">
      <c r="E4936" s="9" t="str">
        <v>EPSG</v>
      </c>
      <c r="F4936" s="7" t="str">
        <v>9511</v>
      </c>
      <c r="G4936" t="str">
        <v>CompoundCrs</v>
      </c>
      <c r="H4936" t="str">
        <v>&lt;undefined&gt;</v>
      </c>
      <c r="I4936" t="str">
        <v>REGCAN95 + Fuerteventura height</v>
      </c>
      <c r="J4936" t="str">
        <v>Spain - Canary Islands - Fuerteventura onshore.</v>
      </c>
      <c r="K4936" s="11">
        <v>0</v>
      </c>
    </row>
    <row r="4937" spans="5:11" x14ac:dyDescent="0.35">
      <c r="E4937" s="9" t="str">
        <v>EPSG</v>
      </c>
      <c r="F4937" s="7" t="str">
        <v>9512</v>
      </c>
      <c r="G4937" t="str">
        <v>CompoundCrs</v>
      </c>
      <c r="H4937" t="str">
        <v>&lt;undefined&gt;</v>
      </c>
      <c r="I4937" t="str">
        <v>REGCAN95 + Gran Canaria height</v>
      </c>
      <c r="J4937" t="str">
        <v>Spain - Canary Islands - Gran Canaria onshore.</v>
      </c>
      <c r="K4937" s="11">
        <v>0</v>
      </c>
    </row>
    <row r="4938" spans="5:11" x14ac:dyDescent="0.35">
      <c r="E4938" s="9" t="str">
        <v>EPSG</v>
      </c>
      <c r="F4938" s="7" t="str">
        <v>9513</v>
      </c>
      <c r="G4938" t="str">
        <v>CompoundCrs</v>
      </c>
      <c r="H4938" t="str">
        <v>&lt;undefined&gt;</v>
      </c>
      <c r="I4938" t="str">
        <v>REGCAN95 + La Gomera height</v>
      </c>
      <c r="J4938" t="str">
        <v>Spain - Canary Islands - La Gomera onshore.</v>
      </c>
      <c r="K4938" s="11">
        <v>0</v>
      </c>
    </row>
    <row r="4939" spans="5:11" x14ac:dyDescent="0.35">
      <c r="E4939" s="9" t="str">
        <v>EPSG</v>
      </c>
      <c r="F4939" s="7" t="str">
        <v>9514</v>
      </c>
      <c r="G4939" t="str">
        <v>CompoundCrs</v>
      </c>
      <c r="H4939" t="str">
        <v>&lt;undefined&gt;</v>
      </c>
      <c r="I4939" t="str">
        <v>REGCAN95 + La Palma height</v>
      </c>
      <c r="J4939" t="str">
        <v>Spain - Canary Islands - La Palma onshore.</v>
      </c>
      <c r="K4939" s="11">
        <v>0</v>
      </c>
    </row>
    <row r="4940" spans="5:11" x14ac:dyDescent="0.35">
      <c r="E4940" s="9" t="str">
        <v>EPSG</v>
      </c>
      <c r="F4940" s="7" t="str">
        <v>9515</v>
      </c>
      <c r="G4940" t="str">
        <v>CompoundCrs</v>
      </c>
      <c r="H4940" t="str">
        <v>&lt;undefined&gt;</v>
      </c>
      <c r="I4940" t="str">
        <v>REGCAN95 + Lanzarote height</v>
      </c>
      <c r="J4940" t="str">
        <v>Spain - Canary Islands - Lanzarote onshore.</v>
      </c>
      <c r="K4940" s="11">
        <v>0</v>
      </c>
    </row>
    <row r="4941" spans="5:11" x14ac:dyDescent="0.35">
      <c r="E4941" s="9" t="str">
        <v>EPSG</v>
      </c>
      <c r="F4941" s="7" t="str">
        <v>9516</v>
      </c>
      <c r="G4941" t="str">
        <v>CompoundCrs</v>
      </c>
      <c r="H4941" t="str">
        <v>&lt;undefined&gt;</v>
      </c>
      <c r="I4941" t="str">
        <v>REGCAN95 + Tenerife height</v>
      </c>
      <c r="J4941" t="str">
        <v>Spain - Canary Islands - Tenerife onshore.</v>
      </c>
      <c r="K4941" s="11">
        <v>0</v>
      </c>
    </row>
    <row r="4942" spans="5:11" x14ac:dyDescent="0.35">
      <c r="E4942" s="9" t="str">
        <v>EPSG</v>
      </c>
      <c r="F4942" s="7" t="str">
        <v>9517</v>
      </c>
      <c r="G4942" t="str">
        <v>CompoundCrs</v>
      </c>
      <c r="H4942" t="str">
        <v>&lt;undefined&gt;</v>
      </c>
      <c r="I4942" t="str">
        <v>SHGD2015 + SHVD2015 height</v>
      </c>
      <c r="J4942" t="str">
        <v>St Helena, Ascension and Tristan da Cunha - St Helena Island - onshore.</v>
      </c>
      <c r="K4942" s="11">
        <v>0</v>
      </c>
    </row>
    <row r="4943" spans="5:11" x14ac:dyDescent="0.35">
      <c r="E4943" s="9" t="str">
        <v>EPSG</v>
      </c>
      <c r="F4943" s="7" t="str">
        <v>9518</v>
      </c>
      <c r="G4943" t="str">
        <v>CompoundCrs</v>
      </c>
      <c r="H4943" t="str">
        <v>&lt;undefined&gt;</v>
      </c>
      <c r="I4943" t="str">
        <v>WGS 84 + EGM2008 height</v>
      </c>
      <c r="J4943" t="str">
        <v>World.</v>
      </c>
      <c r="K4943" s="11">
        <v>0</v>
      </c>
    </row>
    <row r="4944" spans="5:11" x14ac:dyDescent="0.35">
      <c r="E4944" s="9" t="str">
        <v>EPSG</v>
      </c>
      <c r="F4944" s="7" t="str">
        <v>9519</v>
      </c>
      <c r="G4944" t="str">
        <v>CompoundCrs</v>
      </c>
      <c r="H4944" t="str">
        <v>&lt;undefined&gt;</v>
      </c>
      <c r="I4944" t="str">
        <v>FEH2010 + FCSVR10 height</v>
      </c>
      <c r="J4944" t="str">
        <v>Fehmarnbelt area of Denmark and Germany.</v>
      </c>
      <c r="K4944" s="11">
        <v>0</v>
      </c>
    </row>
    <row r="4945" spans="5:11" x14ac:dyDescent="0.35">
      <c r="E4945" s="9" t="str">
        <v>EPSG</v>
      </c>
      <c r="F4945" s="7" t="str">
        <v>9520</v>
      </c>
      <c r="G4945" t="str">
        <v>CompoundCrs</v>
      </c>
      <c r="H4945" t="str">
        <v>&lt;undefined&gt;</v>
      </c>
      <c r="I4945" t="str">
        <v>KSA-GRF17 + KSA-VRF14 height</v>
      </c>
      <c r="J4945" t="str">
        <v>Saudi Arabia - onshore.</v>
      </c>
      <c r="K4945" s="11">
        <v>0</v>
      </c>
    </row>
    <row r="4946" spans="5:11" x14ac:dyDescent="0.35">
      <c r="E4946" s="9" t="str">
        <v>EPSG</v>
      </c>
      <c r="F4946" s="7" t="str">
        <v>9521</v>
      </c>
      <c r="G4946" t="str">
        <v>CompoundCrs</v>
      </c>
      <c r="H4946" t="str">
        <v>&lt;undefined&gt;</v>
      </c>
      <c r="I4946" t="str">
        <v>POSGAR 2007 + SRVN16 height</v>
      </c>
      <c r="J4946" t="str">
        <v>Argentina - onshore.</v>
      </c>
      <c r="K4946" s="11">
        <v>0</v>
      </c>
    </row>
    <row r="4947" spans="5:11" x14ac:dyDescent="0.35">
      <c r="E4947" s="9" t="str">
        <v>EPSG</v>
      </c>
      <c r="F4947" s="7" t="str">
        <v>9522</v>
      </c>
      <c r="G4947" t="str">
        <v>CompoundCrs</v>
      </c>
      <c r="H4947" t="str">
        <v>&lt;undefined&gt;</v>
      </c>
      <c r="I4947" t="str">
        <v>NAD83(2011) + PRVD02 height</v>
      </c>
      <c r="J4947" t="str">
        <v>Puerto Rico - onshore.</v>
      </c>
      <c r="K4947" s="11">
        <v>1</v>
      </c>
    </row>
    <row r="4948" spans="5:11" x14ac:dyDescent="0.35">
      <c r="E4948" s="9" t="str">
        <v>EPSG</v>
      </c>
      <c r="F4948" s="7" t="str">
        <v>9523</v>
      </c>
      <c r="G4948" t="str">
        <v>CompoundCrs</v>
      </c>
      <c r="H4948" t="str">
        <v>&lt;undefined&gt;</v>
      </c>
      <c r="I4948" t="str">
        <v>NAD83(2011) + VIVD09 height</v>
      </c>
      <c r="J4948" t="str">
        <v>US Virgin Islands - onshore - St Croix, St John, and St Thomas.</v>
      </c>
      <c r="K4948" s="11">
        <v>1</v>
      </c>
    </row>
    <row r="4949" spans="5:11" x14ac:dyDescent="0.35">
      <c r="E4949" s="9" t="str">
        <v>EPSG</v>
      </c>
      <c r="F4949" s="7" t="str">
        <v>9524</v>
      </c>
      <c r="G4949" t="str">
        <v>CompoundCrs</v>
      </c>
      <c r="H4949" t="str">
        <v>&lt;undefined&gt;</v>
      </c>
      <c r="I4949" t="str">
        <v>NAD83(MA11) + GUVD04 height</v>
      </c>
      <c r="J4949" t="str">
        <v>Guam - onshore.</v>
      </c>
      <c r="K4949" s="11">
        <v>2</v>
      </c>
    </row>
    <row r="4950" spans="5:11" x14ac:dyDescent="0.35">
      <c r="E4950" s="9" t="str">
        <v>EPSG</v>
      </c>
      <c r="F4950" s="7" t="str">
        <v>9525</v>
      </c>
      <c r="G4950" t="str">
        <v>CompoundCrs</v>
      </c>
      <c r="H4950" t="str">
        <v>&lt;undefined&gt;</v>
      </c>
      <c r="I4950" t="str">
        <v>NAD83(MA11) + NMVD03 height</v>
      </c>
      <c r="J4950" t="str">
        <v>Northern Mariana Islands - onshore.</v>
      </c>
      <c r="K4950" s="11">
        <v>2</v>
      </c>
    </row>
    <row r="4951" spans="5:11" x14ac:dyDescent="0.35">
      <c r="E4951" s="9" t="str">
        <v>EPSG</v>
      </c>
      <c r="F4951" s="7" t="str">
        <v>9526</v>
      </c>
      <c r="G4951" t="str">
        <v>CompoundCrs</v>
      </c>
      <c r="H4951" t="str">
        <v>&lt;undefined&gt;</v>
      </c>
      <c r="I4951" t="str">
        <v>NAD83(PA11) + ASVD02 height</v>
      </c>
      <c r="J4951" t="str">
        <v>American Samoa - Tutuila island.</v>
      </c>
      <c r="K4951" s="11">
        <v>2</v>
      </c>
    </row>
    <row r="4952" spans="5:11" x14ac:dyDescent="0.35">
      <c r="E4952" s="9" t="str">
        <v>EPSG</v>
      </c>
      <c r="F4952" s="7" t="str">
        <v>9527</v>
      </c>
      <c r="G4952" t="str">
        <v>CompoundCrs</v>
      </c>
      <c r="H4952" t="str">
        <v>&lt;undefined&gt;</v>
      </c>
      <c r="I4952" t="str">
        <v>NZGD2000 + NZVD2009 height</v>
      </c>
      <c r="J4952" t="str">
        <v>New Zealand - onshore and offshore. Includes Antipodes Islands, Auckland Islands, Bounty Islands, Chatham Islands, Cambell Island, Kermadec Islands, Raoul Island and Snares Islands.</v>
      </c>
      <c r="K4952" s="11">
        <v>0</v>
      </c>
    </row>
    <row r="4953" spans="5:11" x14ac:dyDescent="0.35">
      <c r="E4953" s="9" t="str">
        <v>EPSG</v>
      </c>
      <c r="F4953" s="7" t="str">
        <v>9528</v>
      </c>
      <c r="G4953" t="str">
        <v>CompoundCrs</v>
      </c>
      <c r="H4953" t="str">
        <v>&lt;undefined&gt;</v>
      </c>
      <c r="I4953" t="str">
        <v>NZGD2000 + NZVD2016 height</v>
      </c>
      <c r="J4953" t="str">
        <v>New Zealand - onshore and offshore. Includes Antipodes Islands, Auckland Islands, Bounty Islands, Chatham Islands, Cambell Island, Kermadec Islands, Raoul Island and Snares Islands.</v>
      </c>
      <c r="K4953" s="11">
        <v>0</v>
      </c>
    </row>
    <row r="4954" spans="5:11" x14ac:dyDescent="0.35">
      <c r="E4954" s="9" t="str">
        <v>EPSG</v>
      </c>
      <c r="F4954" s="7" t="str">
        <v>9529</v>
      </c>
      <c r="G4954" t="str">
        <v>CompoundCrs</v>
      </c>
      <c r="H4954" t="str">
        <v>&lt;undefined&gt;</v>
      </c>
      <c r="I4954" t="str">
        <v>SRGI2013 + INAGeoid2020 v1 height</v>
      </c>
      <c r="J4954" t="str">
        <v>Indonesia - onshore and offshore.</v>
      </c>
      <c r="K4954" s="11">
        <v>0</v>
      </c>
    </row>
    <row r="4955" spans="5:11" x14ac:dyDescent="0.35">
      <c r="E4955" s="9" t="str">
        <v>EPSG</v>
      </c>
      <c r="F4955" s="7" t="str">
        <v>9530</v>
      </c>
      <c r="G4955" t="str">
        <v>CompoundCrs</v>
      </c>
      <c r="H4955" t="str">
        <v>&lt;undefined&gt;</v>
      </c>
      <c r="I4955" t="str">
        <v>RGFG95 + NGG1977 height</v>
      </c>
      <c r="J4955" t="str">
        <v>French Guiana - onshore.</v>
      </c>
      <c r="K4955" s="11">
        <v>0</v>
      </c>
    </row>
    <row r="4956" spans="5:11" x14ac:dyDescent="0.35">
      <c r="E4956" s="9" t="str">
        <v>EPSG</v>
      </c>
      <c r="F4956" s="7" t="str">
        <v>9531</v>
      </c>
      <c r="G4956" t="str">
        <v>CompoundCrs</v>
      </c>
      <c r="H4956" t="str">
        <v>&lt;undefined&gt;</v>
      </c>
      <c r="I4956" t="str">
        <v>RGAF09 + Guadeloupe 1988 height</v>
      </c>
      <c r="J4956" t="str">
        <v>Guadeloupe - onshore - Basse-Terre and Grande-Terre.</v>
      </c>
      <c r="K4956" s="11">
        <v>0</v>
      </c>
    </row>
    <row r="4957" spans="5:11" x14ac:dyDescent="0.35">
      <c r="E4957" s="9" t="str">
        <v>EPSG</v>
      </c>
      <c r="F4957" s="7" t="str">
        <v>9532</v>
      </c>
      <c r="G4957" t="str">
        <v>CompoundCrs</v>
      </c>
      <c r="H4957" t="str">
        <v>&lt;undefined&gt;</v>
      </c>
      <c r="I4957" t="str">
        <v>RGAF09 + IGN 1988 LS height</v>
      </c>
      <c r="J4957" t="str">
        <v>Guadeloupe - onshore - Les Saintes.</v>
      </c>
      <c r="K4957" s="11">
        <v>0</v>
      </c>
    </row>
    <row r="4958" spans="5:11" x14ac:dyDescent="0.35">
      <c r="E4958" s="9" t="str">
        <v>EPSG</v>
      </c>
      <c r="F4958" s="7" t="str">
        <v>9533</v>
      </c>
      <c r="G4958" t="str">
        <v>CompoundCrs</v>
      </c>
      <c r="H4958" t="str">
        <v>&lt;undefined&gt;</v>
      </c>
      <c r="I4958" t="str">
        <v>RGAF09 + IGN 1988 MG height</v>
      </c>
      <c r="J4958" t="str">
        <v>Guadeloupe - onshore - Marie-Galante.</v>
      </c>
      <c r="K4958" s="11">
        <v>0</v>
      </c>
    </row>
    <row r="4959" spans="5:11" x14ac:dyDescent="0.35">
      <c r="E4959" s="9" t="str">
        <v>EPSG</v>
      </c>
      <c r="F4959" s="7" t="str">
        <v>9534</v>
      </c>
      <c r="G4959" t="str">
        <v>CompoundCrs</v>
      </c>
      <c r="H4959" t="str">
        <v>&lt;undefined&gt;</v>
      </c>
      <c r="I4959" t="str">
        <v>RGAF09 + IGN 1988 SB height</v>
      </c>
      <c r="J4959" t="str">
        <v>Guadeloupe - onshore - St Barthelemy island.</v>
      </c>
      <c r="K4959" s="11">
        <v>0</v>
      </c>
    </row>
    <row r="4960" spans="5:11" x14ac:dyDescent="0.35">
      <c r="E4960" s="9" t="str">
        <v>EPSG</v>
      </c>
      <c r="F4960" s="7" t="str">
        <v>9535</v>
      </c>
      <c r="G4960" t="str">
        <v>CompoundCrs</v>
      </c>
      <c r="H4960" t="str">
        <v>&lt;undefined&gt;</v>
      </c>
      <c r="I4960" t="str">
        <v>RGAF09 + IGN 1988 SM height</v>
      </c>
      <c r="J4960" t="str">
        <v>Guadeloupe - onshore - St Martin island.</v>
      </c>
      <c r="K4960" s="11">
        <v>0</v>
      </c>
    </row>
    <row r="4961" spans="5:11" x14ac:dyDescent="0.35">
      <c r="E4961" s="9" t="str">
        <v>EPSG</v>
      </c>
      <c r="F4961" s="7" t="str">
        <v>9536</v>
      </c>
      <c r="G4961" t="str">
        <v>CompoundCrs</v>
      </c>
      <c r="H4961" t="str">
        <v>&lt;undefined&gt;</v>
      </c>
      <c r="I4961" t="str">
        <v>RGAF09 + IGN 2008 LD height</v>
      </c>
      <c r="J4961" t="str">
        <v>Guadeloupe - onshore - La Desirade.</v>
      </c>
      <c r="K4961" s="11">
        <v>0</v>
      </c>
    </row>
    <row r="4962" spans="5:11" x14ac:dyDescent="0.35">
      <c r="E4962" s="9" t="str">
        <v>EPSG</v>
      </c>
      <c r="F4962" s="7" t="str">
        <v>9537</v>
      </c>
      <c r="G4962" t="str">
        <v>CompoundCrs</v>
      </c>
      <c r="H4962" t="str">
        <v>&lt;undefined&gt;</v>
      </c>
      <c r="I4962" t="str">
        <v>RGAF09 + Martinique 1987 height</v>
      </c>
      <c r="J4962" t="str">
        <v>Martinique - onshore.</v>
      </c>
      <c r="K4962" s="11">
        <v>0</v>
      </c>
    </row>
    <row r="4963" spans="5:11" x14ac:dyDescent="0.35">
      <c r="E4963" s="9" t="str">
        <v>EPSG</v>
      </c>
      <c r="F4963" s="7" t="str">
        <v>9538</v>
      </c>
      <c r="G4963" t="str">
        <v>CompoundCrs</v>
      </c>
      <c r="H4963" t="str">
        <v>&lt;undefined&gt;</v>
      </c>
      <c r="I4963" t="str">
        <v>RGF93 v2 + NGF-IGN69 height</v>
      </c>
      <c r="J4963" t="str">
        <v>France - mainland onshore.</v>
      </c>
      <c r="K4963" s="11">
        <v>0</v>
      </c>
    </row>
    <row r="4964" spans="5:11" x14ac:dyDescent="0.35">
      <c r="E4964" s="9" t="str">
        <v>EPSG</v>
      </c>
      <c r="F4964" s="7" t="str">
        <v>9539</v>
      </c>
      <c r="G4964" t="str">
        <v>CompoundCrs</v>
      </c>
      <c r="H4964" t="str">
        <v>&lt;undefined&gt;</v>
      </c>
      <c r="I4964" t="str">
        <v>RGF93 v2 + NGF-IGN78 height</v>
      </c>
      <c r="J4964" t="str">
        <v>France - Corsica onshore.</v>
      </c>
      <c r="K4964" s="11">
        <v>0</v>
      </c>
    </row>
    <row r="4965" spans="5:11" x14ac:dyDescent="0.35">
      <c r="E4965" s="9" t="str">
        <v>EPSG</v>
      </c>
      <c r="F4965" s="7" t="str">
        <v>9540</v>
      </c>
      <c r="G4965" t="str">
        <v>CompoundCrs</v>
      </c>
      <c r="H4965" t="str">
        <v>&lt;undefined&gt;</v>
      </c>
      <c r="I4965" t="str">
        <v>RGNC91-93 + NGNC08 height</v>
      </c>
      <c r="J4965" t="str">
        <v>New Caledonia - Belep, Grande Terre, Ile des Pins, Loyalty Islands (Lifou, Mare, Ouvea).</v>
      </c>
      <c r="K4965" s="11">
        <v>0</v>
      </c>
    </row>
    <row r="4966" spans="5:11" x14ac:dyDescent="0.35">
      <c r="E4966" s="9" t="str">
        <v>EPSG</v>
      </c>
      <c r="F4966" s="7" t="str">
        <v>9541</v>
      </c>
      <c r="G4966" t="str">
        <v>CompoundCrs</v>
      </c>
      <c r="H4966" t="str">
        <v>&lt;undefined&gt;</v>
      </c>
      <c r="I4966" t="str">
        <v>RGSPM06 + Danger 1950 height</v>
      </c>
      <c r="J4966" t="str">
        <v>St Pierre and Miquelon - onshore.</v>
      </c>
      <c r="K4966" s="11">
        <v>0</v>
      </c>
    </row>
    <row r="4967" spans="5:11" x14ac:dyDescent="0.35">
      <c r="E4967" s="9" t="str">
        <v>EPSG</v>
      </c>
      <c r="F4967" s="7" t="str">
        <v>9542</v>
      </c>
      <c r="G4967" t="str">
        <v>CompoundCrs</v>
      </c>
      <c r="H4967" t="str">
        <v>&lt;undefined&gt;</v>
      </c>
      <c r="I4967" t="str">
        <v>RRAF 1991 + IGN 2008 LD height</v>
      </c>
      <c r="J4967" t="str">
        <v>Guadeloupe - onshore - La Desirade.</v>
      </c>
      <c r="K4967" s="11">
        <v>0</v>
      </c>
    </row>
    <row r="4968" spans="5:11" x14ac:dyDescent="0.35">
      <c r="E4968" s="9" t="str">
        <v>EPSG</v>
      </c>
      <c r="F4968" s="7" t="str">
        <v>9543</v>
      </c>
      <c r="G4968" t="str">
        <v>CompoundCrs</v>
      </c>
      <c r="H4968" t="str">
        <v>&lt;undefined&gt;</v>
      </c>
      <c r="I4968" t="str">
        <v>ITRF2005 + SA LLD height</v>
      </c>
      <c r="J4968" t="str">
        <v>South Africa - mainland onshore.</v>
      </c>
      <c r="K4968" s="11">
        <v>0</v>
      </c>
    </row>
    <row r="4969" spans="5:11" x14ac:dyDescent="0.35">
      <c r="E4969" s="9" t="str">
        <v>EPSG</v>
      </c>
      <c r="F4969" s="7" t="str">
        <v>9544</v>
      </c>
      <c r="G4969" t="str">
        <v>CompoundCrs</v>
      </c>
      <c r="H4969" t="str">
        <v>&lt;undefined&gt;</v>
      </c>
      <c r="I4969" t="str">
        <v>NAD83(CSRS)v6 + CGVD2013a(2010) height</v>
      </c>
      <c r="J4969" t="str">
        <v>Canada - onshore and offshore - Alberta; British Columbia; Manitoba; New Brunswick; Newfoundland and Labrador; Northwest Territories; Nova Scotia; Nunavut; Ontario; Prince Edward Island; Quebec; Saskatchewan; Yukon.</v>
      </c>
      <c r="K4969" s="11">
        <v>0</v>
      </c>
    </row>
    <row r="4970" spans="5:11" x14ac:dyDescent="0.35">
      <c r="E4970" s="9" t="str">
        <v>EPSG</v>
      </c>
      <c r="F4970" s="7" t="str">
        <v>9545</v>
      </c>
      <c r="G4970" t="str">
        <v>GeocentricCrs</v>
      </c>
      <c r="H4970" t="str">
        <v>&lt;undefined&gt;</v>
      </c>
      <c r="I4970" t="str">
        <v>LTF2004(G)</v>
      </c>
      <c r="J4970" t="str">
        <v>France and Italy - on or related to the rail route from Lyon to Turin.</v>
      </c>
      <c r="K4970" s="11">
        <v>0</v>
      </c>
    </row>
    <row r="4971" spans="5:11" x14ac:dyDescent="0.35">
      <c r="E4971" s="9" t="str">
        <v>EPSG</v>
      </c>
      <c r="F4971" s="7" t="str">
        <v>9546</v>
      </c>
      <c r="G4971" t="str">
        <v>Geographic3DCrs</v>
      </c>
      <c r="H4971" t="str">
        <v>&lt;undefined&gt;</v>
      </c>
      <c r="I4971" t="str">
        <v>LTF2004(G)</v>
      </c>
      <c r="J4971" t="str">
        <v>France and Italy - on or related to the rail route from Lyon to Turin.</v>
      </c>
      <c r="K4971" s="11">
        <v>0</v>
      </c>
    </row>
    <row r="4972" spans="5:11" x14ac:dyDescent="0.35">
      <c r="E4972" s="9" t="str">
        <v>EPSG</v>
      </c>
      <c r="F4972" s="7" t="str">
        <v>9547</v>
      </c>
      <c r="G4972" t="str">
        <v>Geographic2DCrs</v>
      </c>
      <c r="H4972" t="str">
        <v>&lt;undefined&gt;</v>
      </c>
      <c r="I4972" t="str">
        <v>LTF2004(G)</v>
      </c>
      <c r="J4972" t="str">
        <v>France and Italy - on or related to the rail route from Lyon to Turin.</v>
      </c>
      <c r="K4972" s="11">
        <v>0</v>
      </c>
    </row>
    <row r="4973" spans="5:11" x14ac:dyDescent="0.35">
      <c r="E4973" s="9" t="str">
        <v>EPSG</v>
      </c>
      <c r="F4973" s="7" t="str">
        <v>9549</v>
      </c>
      <c r="G4973" t="str">
        <v>ProjectedCrs</v>
      </c>
      <c r="H4973" t="str">
        <v>Lambert Conic Conformal (1SP variant B)</v>
      </c>
      <c r="I4973" t="str">
        <v>LTF2004(C)</v>
      </c>
      <c r="J4973" t="str">
        <v>France and Italy - on or related to the rail route from Lyon to Turin.</v>
      </c>
      <c r="K4973" s="11">
        <v>0</v>
      </c>
    </row>
    <row r="4974" spans="5:11" x14ac:dyDescent="0.35">
      <c r="E4974" s="9" t="str">
        <v>EPSG</v>
      </c>
      <c r="F4974" s="7" t="str">
        <v>9650</v>
      </c>
      <c r="G4974" t="str">
        <v>VerticalCrs</v>
      </c>
      <c r="H4974" t="str">
        <v>&lt;undefined&gt;</v>
      </c>
      <c r="I4974" t="str">
        <v>Baltic 1986 height</v>
      </c>
      <c r="J4974" t="str">
        <v>Poland - onshore.</v>
      </c>
      <c r="K4974" s="11">
        <v>0</v>
      </c>
    </row>
    <row r="4975" spans="5:11" x14ac:dyDescent="0.35">
      <c r="E4975" s="9" t="str">
        <v>EPSG</v>
      </c>
      <c r="F4975" s="7" t="str">
        <v>9651</v>
      </c>
      <c r="G4975" t="str">
        <v>VerticalCrs</v>
      </c>
      <c r="H4975" t="str">
        <v>&lt;undefined&gt;</v>
      </c>
      <c r="I4975" t="str">
        <v>EVRF2007-PL height</v>
      </c>
      <c r="J4975" t="str">
        <v>Poland - onshore.</v>
      </c>
      <c r="K4975" s="11">
        <v>0</v>
      </c>
    </row>
    <row r="4976" spans="5:11" x14ac:dyDescent="0.35">
      <c r="E4976" s="9" t="str">
        <v>EPSG</v>
      </c>
      <c r="F4976" s="7" t="str">
        <v>9656</v>
      </c>
      <c r="G4976" t="str">
        <v>CompoundCrs</v>
      </c>
      <c r="H4976" t="str">
        <v>&lt;undefined&gt;</v>
      </c>
      <c r="I4976" t="str">
        <v>ETRF2000-PL + Baltic 1986 height</v>
      </c>
      <c r="J4976" t="str">
        <v>Poland - onshore.</v>
      </c>
      <c r="K4976" s="11">
        <v>0</v>
      </c>
    </row>
    <row r="4977" spans="5:11" x14ac:dyDescent="0.35">
      <c r="E4977" s="9" t="str">
        <v>EPSG</v>
      </c>
      <c r="F4977" s="7" t="str">
        <v>9657</v>
      </c>
      <c r="G4977" t="str">
        <v>CompoundCrs</v>
      </c>
      <c r="H4977" t="str">
        <v>&lt;undefined&gt;</v>
      </c>
      <c r="I4977" t="str">
        <v>ETRF2000-PL + EVRF2007-PL height</v>
      </c>
      <c r="J4977" t="str">
        <v>Poland - onshore.</v>
      </c>
      <c r="K4977" s="11">
        <v>0</v>
      </c>
    </row>
    <row r="4978" spans="5:11" x14ac:dyDescent="0.35">
      <c r="E4978" s="9" t="str">
        <v>EPSG</v>
      </c>
      <c r="F4978" s="7" t="str">
        <v>9663</v>
      </c>
      <c r="G4978" t="str">
        <v>VerticalCrs</v>
      </c>
      <c r="H4978" t="str">
        <v>&lt;undefined&gt;</v>
      </c>
      <c r="I4978" t="str">
        <v>EH2000 height</v>
      </c>
      <c r="J4978" t="str">
        <v>Estonia - onshore.</v>
      </c>
      <c r="K4978" s="11">
        <v>0</v>
      </c>
    </row>
    <row r="4979" spans="5:11" x14ac:dyDescent="0.35">
      <c r="E4979" s="9" t="str">
        <v>EPSG</v>
      </c>
      <c r="F4979" s="7" t="str">
        <v>9666</v>
      </c>
      <c r="G4979" t="str">
        <v>VerticalCrs</v>
      </c>
      <c r="H4979" t="str">
        <v>&lt;undefined&gt;</v>
      </c>
      <c r="I4979" t="str">
        <v>LAS07 height</v>
      </c>
      <c r="J4979" t="str">
        <v>Lithuania - onshore.</v>
      </c>
      <c r="K4979" s="11">
        <v>0</v>
      </c>
    </row>
    <row r="4980" spans="5:11" x14ac:dyDescent="0.35">
      <c r="E4980" s="9" t="str">
        <v>EPSG</v>
      </c>
      <c r="F4980" s="7" t="str">
        <v>9669</v>
      </c>
      <c r="G4980" t="str">
        <v>VerticalCrs</v>
      </c>
      <c r="H4980" t="str">
        <v>&lt;undefined&gt;</v>
      </c>
      <c r="I4980" t="str">
        <v>BGS2005 height</v>
      </c>
      <c r="J4980" t="str">
        <v>Bulgaria - onshore.</v>
      </c>
      <c r="K4980" s="11">
        <v>0</v>
      </c>
    </row>
    <row r="4981" spans="5:11" x14ac:dyDescent="0.35">
      <c r="E4981" s="9" t="str">
        <v>EPSG</v>
      </c>
      <c r="F4981" s="7" t="str">
        <v>9672</v>
      </c>
      <c r="G4981" t="str">
        <v>VerticalCrs</v>
      </c>
      <c r="H4981" t="str">
        <v>&lt;undefined&gt;</v>
      </c>
      <c r="I4981" t="str">
        <v>CD Norway depth</v>
      </c>
      <c r="J4981" t="str">
        <v>Norway (offshore) and Svalbard and Jan Mayen (offshore).</v>
      </c>
      <c r="K4981" s="11">
        <v>0</v>
      </c>
    </row>
    <row r="4982" spans="5:11" x14ac:dyDescent="0.35">
      <c r="E4982" s="9" t="str">
        <v>EPSG</v>
      </c>
      <c r="F4982" s="7" t="str">
        <v>9674</v>
      </c>
      <c r="G4982" t="str">
        <v>ProjectedCrs</v>
      </c>
      <c r="H4982" t="str">
        <v>Albers Equal Area</v>
      </c>
      <c r="I4982" t="str">
        <v>NAD83 / USFS R6 Albers</v>
      </c>
      <c r="J4982" t="str">
        <v>United States (USA) - Oregon and Washington.</v>
      </c>
      <c r="K4982" s="11">
        <v>0</v>
      </c>
    </row>
    <row r="4983" spans="5:11" x14ac:dyDescent="0.35">
      <c r="E4983" s="9" t="str">
        <v>EPSG</v>
      </c>
      <c r="F4983" s="7" t="str">
        <v>9675</v>
      </c>
      <c r="G4983" t="str">
        <v>VerticalCrs</v>
      </c>
      <c r="H4983" t="str">
        <v>&lt;undefined&gt;</v>
      </c>
      <c r="I4983" t="str">
        <v>Pago Pago 2020 height</v>
      </c>
      <c r="J4983" t="str">
        <v>American Samoa - Tutuila island.</v>
      </c>
      <c r="K4983" s="11">
        <v>0</v>
      </c>
    </row>
    <row r="4984" spans="5:11" x14ac:dyDescent="0.35">
      <c r="E4984" s="9" t="str">
        <v>EPSG</v>
      </c>
      <c r="F4984" s="7" t="str">
        <v>9678</v>
      </c>
      <c r="G4984" t="str">
        <v>ProjectedCrs</v>
      </c>
      <c r="H4984" t="str">
        <v>Transverse Mercator</v>
      </c>
      <c r="I4984" t="str">
        <v>Gulshan 303 / Bangladesh Transverse Mercator</v>
      </c>
      <c r="J4984" t="str">
        <v>Bangladesh - onshore.</v>
      </c>
      <c r="K4984" s="11">
        <v>0</v>
      </c>
    </row>
    <row r="4985" spans="5:11" x14ac:dyDescent="0.35">
      <c r="E4985" s="9" t="str">
        <v>EPSG</v>
      </c>
      <c r="F4985" s="7" t="str">
        <v>9680</v>
      </c>
      <c r="G4985" t="str">
        <v>ProjectedCrs</v>
      </c>
      <c r="H4985" t="str">
        <v>Transverse Mercator</v>
      </c>
      <c r="I4985" t="str">
        <v>WGS 84 / TM 90 NE</v>
      </c>
      <c r="J4985" t="str">
        <v>Bangladesh - onshore and offshore.</v>
      </c>
      <c r="K4985" s="11">
        <v>0</v>
      </c>
    </row>
    <row r="4986" spans="5:11" x14ac:dyDescent="0.35">
      <c r="E4986" s="9" t="str">
        <v>EPSG</v>
      </c>
      <c r="F4986" s="7" t="str">
        <v>9681</v>
      </c>
      <c r="G4986" t="str">
        <v>VerticalCrs</v>
      </c>
      <c r="H4986" t="str">
        <v>&lt;undefined&gt;</v>
      </c>
      <c r="I4986" t="str">
        <v>NVD 1992 height</v>
      </c>
      <c r="J4986" t="str">
        <v>Bangladesh - onshore.</v>
      </c>
      <c r="K4986" s="11">
        <v>0</v>
      </c>
    </row>
    <row r="4987" spans="5:11" x14ac:dyDescent="0.35">
      <c r="E4987" s="9" t="str">
        <v>EPSG</v>
      </c>
      <c r="F4987" s="7" t="str">
        <v>9694</v>
      </c>
      <c r="G4987" t="str">
        <v>GeocentricCrs</v>
      </c>
      <c r="H4987" t="str">
        <v>&lt;undefined&gt;</v>
      </c>
      <c r="I4987" t="str">
        <v>REDGEOMIN</v>
      </c>
      <c r="J4987" t="str">
        <v>Chile - onshore and offshore. Includes Easter Island, Juan Fernandez Islands, San Felix, and Sala y Gomez.</v>
      </c>
      <c r="K4987" s="11">
        <v>0</v>
      </c>
    </row>
    <row r="4988" spans="5:11" x14ac:dyDescent="0.35">
      <c r="E4988" s="9" t="str">
        <v>EPSG</v>
      </c>
      <c r="F4988" s="7" t="str">
        <v>9695</v>
      </c>
      <c r="G4988" t="str">
        <v>Geographic3DCrs</v>
      </c>
      <c r="H4988" t="str">
        <v>&lt;undefined&gt;</v>
      </c>
      <c r="I4988" t="str">
        <v>REDGEOMIN</v>
      </c>
      <c r="J4988" t="str">
        <v>Chile - onshore and offshore. Includes Easter Island, Juan Fernandez Islands, San Felix, and Sala y Gomez.</v>
      </c>
      <c r="K4988" s="11">
        <v>0</v>
      </c>
    </row>
    <row r="4989" spans="5:11" x14ac:dyDescent="0.35">
      <c r="E4989" s="9" t="str">
        <v>EPSG</v>
      </c>
      <c r="F4989" s="7" t="str">
        <v>9696</v>
      </c>
      <c r="G4989" t="str">
        <v>Geographic2DCrs</v>
      </c>
      <c r="H4989" t="str">
        <v>&lt;undefined&gt;</v>
      </c>
      <c r="I4989" t="str">
        <v>REDGEOMIN</v>
      </c>
      <c r="J4989" t="str">
        <v>Chile - onshore and offshore. Includes Easter Island, Juan Fernandez Islands, San Felix, and Sala y Gomez.</v>
      </c>
      <c r="K4989" s="11">
        <v>0</v>
      </c>
    </row>
    <row r="4990" spans="5:11" x14ac:dyDescent="0.35">
      <c r="E4990" s="9" t="str">
        <v>EPSG</v>
      </c>
      <c r="F4990" s="7" t="str">
        <v>9697</v>
      </c>
      <c r="G4990" t="str">
        <v>ProjectedCrs</v>
      </c>
      <c r="H4990" t="str">
        <v>Transverse Mercator</v>
      </c>
      <c r="I4990" t="str">
        <v>REDGEOMIN / UTM zone 12S</v>
      </c>
      <c r="J4990" t="str">
        <v>Chile - Easter Island onshore.</v>
      </c>
      <c r="K4990" s="11">
        <v>0</v>
      </c>
    </row>
    <row r="4991" spans="5:11" x14ac:dyDescent="0.35">
      <c r="E4991" s="9" t="str">
        <v>EPSG</v>
      </c>
      <c r="F4991" s="7" t="str">
        <v>9698</v>
      </c>
      <c r="G4991" t="str">
        <v>ProjectedCrs</v>
      </c>
      <c r="H4991" t="str">
        <v>Transverse Mercator</v>
      </c>
      <c r="I4991" t="str">
        <v>REDGEOMIN / UTM zone 18S</v>
      </c>
      <c r="J4991" t="str">
        <v>Chile - 78°W to 72°W, onshore and offshore.</v>
      </c>
      <c r="K4991" s="11">
        <v>0</v>
      </c>
    </row>
    <row r="4992" spans="5:11" x14ac:dyDescent="0.35">
      <c r="E4992" s="9" t="str">
        <v>EPSG</v>
      </c>
      <c r="F4992" s="7" t="str">
        <v>9699</v>
      </c>
      <c r="G4992" t="str">
        <v>ProjectedCrs</v>
      </c>
      <c r="H4992" t="str">
        <v>Transverse Mercator</v>
      </c>
      <c r="I4992" t="str">
        <v>REDGEOMIN / UTM zone 19S</v>
      </c>
      <c r="J4992" t="str">
        <v>Chile - 72°W to 66°W, onshore and offshore.</v>
      </c>
      <c r="K4992" s="11">
        <v>0</v>
      </c>
    </row>
    <row r="4993" spans="5:11" x14ac:dyDescent="0.35">
      <c r="E4993" s="9" t="str">
        <v>EPSG</v>
      </c>
      <c r="F4993" s="7" t="str">
        <v>9700</v>
      </c>
      <c r="G4993" t="str">
        <v>GeocentricCrs</v>
      </c>
      <c r="H4993" t="str">
        <v>&lt;undefined&gt;</v>
      </c>
      <c r="I4993" t="str">
        <v>ETRF2000-PL</v>
      </c>
      <c r="J4993" t="str">
        <v>Poland - onshore and offshore.</v>
      </c>
      <c r="K4993" s="11">
        <v>0</v>
      </c>
    </row>
    <row r="4994" spans="5:11" x14ac:dyDescent="0.35">
      <c r="E4994" s="9" t="str">
        <v>EPSG</v>
      </c>
      <c r="F4994" s="7" t="str">
        <v>9701</v>
      </c>
      <c r="G4994" t="str">
        <v>Geographic3DCrs</v>
      </c>
      <c r="H4994" t="str">
        <v>&lt;undefined&gt;</v>
      </c>
      <c r="I4994" t="str">
        <v>ETRF2000-PL</v>
      </c>
      <c r="J4994" t="str">
        <v>Poland - onshore and offshore.</v>
      </c>
      <c r="K4994" s="11">
        <v>0</v>
      </c>
    </row>
    <row r="4995" spans="5:11" x14ac:dyDescent="0.35">
      <c r="E4995" s="9" t="str">
        <v>EPSG</v>
      </c>
      <c r="F4995" s="7" t="str">
        <v>9702</v>
      </c>
      <c r="G4995" t="str">
        <v>Geographic2DCrs</v>
      </c>
      <c r="H4995" t="str">
        <v>&lt;undefined&gt;</v>
      </c>
      <c r="I4995" t="str">
        <v>ETRF2000-PL</v>
      </c>
      <c r="J4995" t="str">
        <v>Poland - onshore and offshore.</v>
      </c>
      <c r="K4995" s="11">
        <v>0</v>
      </c>
    </row>
    <row r="4996" spans="5:11" x14ac:dyDescent="0.35">
      <c r="E4996" s="9" t="str">
        <v>EPSG</v>
      </c>
      <c r="F4996" s="7" t="str">
        <v>9705</v>
      </c>
      <c r="G4996" t="str">
        <v>CompoundCrs</v>
      </c>
      <c r="H4996" t="str">
        <v>&lt;undefined&gt;</v>
      </c>
      <c r="I4996" t="str">
        <v>WGS 84 + MSL height</v>
      </c>
      <c r="J4996" t="str">
        <v>World.</v>
      </c>
      <c r="K4996" s="11">
        <v>0</v>
      </c>
    </row>
    <row r="4997" spans="5:11" x14ac:dyDescent="0.35">
      <c r="E4997" s="9" t="str">
        <v>EPSG</v>
      </c>
      <c r="F4997" s="7" t="str">
        <v>9707</v>
      </c>
      <c r="G4997" t="str">
        <v>CompoundCrs</v>
      </c>
      <c r="H4997" t="str">
        <v>&lt;undefined&gt;</v>
      </c>
      <c r="I4997" t="str">
        <v>WGS 84 + EGM96 height</v>
      </c>
      <c r="J4997" t="str">
        <v>World.</v>
      </c>
      <c r="K4997" s="11">
        <v>0</v>
      </c>
    </row>
    <row r="4998" spans="5:11" x14ac:dyDescent="0.35">
      <c r="E4998" s="9" t="str">
        <v>EPSG</v>
      </c>
      <c r="F4998" s="7" t="str">
        <v>9709</v>
      </c>
      <c r="G4998" t="str">
        <v>ProjectedCrs</v>
      </c>
      <c r="H4998" t="str">
        <v>Transverse Mercator</v>
      </c>
      <c r="I4998" t="str">
        <v>NAD83(CSRS) / UTM zone 23N</v>
      </c>
      <c r="J4998" t="str">
        <v>Canada offshore Atlantic - 48°W to 42°W.</v>
      </c>
      <c r="K4998" s="11">
        <v>0</v>
      </c>
    </row>
    <row r="4999" spans="5:11" x14ac:dyDescent="0.35">
      <c r="E4999" s="9" t="str">
        <v>EPSG</v>
      </c>
      <c r="F4999" s="7" t="str">
        <v>9711</v>
      </c>
      <c r="G4999" t="str">
        <v>CompoundCrs</v>
      </c>
      <c r="H4999" t="str">
        <v>&lt;undefined&gt;</v>
      </c>
      <c r="I4999" t="str">
        <v>NAD83(CSRS) / UTM zone 23N + CGVD2013 height</v>
      </c>
      <c r="J4999" t="str">
        <v>Canada offshore Atlantic - 48°W to 42°W.</v>
      </c>
      <c r="K4999" s="11">
        <v>0</v>
      </c>
    </row>
    <row r="5000" spans="5:11" x14ac:dyDescent="0.35">
      <c r="E5000" s="9" t="str">
        <v>EPSG</v>
      </c>
      <c r="F5000" s="7" t="str">
        <v>9712</v>
      </c>
      <c r="G5000" t="str">
        <v>ProjectedCrs</v>
      </c>
      <c r="H5000" t="str">
        <v>Transverse Mercator</v>
      </c>
      <c r="I5000" t="str">
        <v>NAD83 / UTM zone 24N</v>
      </c>
      <c r="J5000" t="str">
        <v>Canada offshore Atlantic - east of 42°W.</v>
      </c>
      <c r="K5000" s="11">
        <v>0</v>
      </c>
    </row>
    <row r="5001" spans="5:11" x14ac:dyDescent="0.35">
      <c r="E5001" s="9" t="str">
        <v>EPSG</v>
      </c>
      <c r="F5001" s="7" t="str">
        <v>9713</v>
      </c>
      <c r="G5001" t="str">
        <v>ProjectedCrs</v>
      </c>
      <c r="H5001" t="str">
        <v>Transverse Mercator</v>
      </c>
      <c r="I5001" t="str">
        <v>NAD83(CSRS) / UTM zone 24N</v>
      </c>
      <c r="J5001" t="str">
        <v>Canada offshore Atlantic - east of 42°W.</v>
      </c>
      <c r="K5001" s="11">
        <v>0</v>
      </c>
    </row>
    <row r="5002" spans="5:11" x14ac:dyDescent="0.35">
      <c r="E5002" s="9" t="str">
        <v>EPSG</v>
      </c>
      <c r="F5002" s="7" t="str">
        <v>9714</v>
      </c>
      <c r="G5002" t="str">
        <v>CompoundCrs</v>
      </c>
      <c r="H5002" t="str">
        <v>&lt;undefined&gt;</v>
      </c>
      <c r="I5002" t="str">
        <v>NAD83(CSRS) / UTM zone 24N + CGVD2013 height</v>
      </c>
      <c r="J5002" t="str">
        <v>Canada offshore Atlantic - east of 42°W.</v>
      </c>
      <c r="K5002" s="11">
        <v>0</v>
      </c>
    </row>
    <row r="5003" spans="5:11" x14ac:dyDescent="0.35">
      <c r="E5003" s="9" t="str">
        <v>EPSG</v>
      </c>
      <c r="F5003" s="7" t="str">
        <v>9715</v>
      </c>
      <c r="G5003" t="str">
        <v>CompoundCrs</v>
      </c>
      <c r="H5003" t="str">
        <v>&lt;undefined&gt;</v>
      </c>
      <c r="I5003" t="str">
        <v>NAD83(CSRS) / UTM zone 15N + CGVD2013a(2010) height</v>
      </c>
      <c r="J5003" t="str">
        <v>Canada between 96°W and 90°W, onshore and offshore south of 84°N - Manitoba, Nunavut, Ontario.</v>
      </c>
      <c r="K5003" s="11">
        <v>0</v>
      </c>
    </row>
    <row r="5004" spans="5:11" x14ac:dyDescent="0.35">
      <c r="E5004" s="9" t="str">
        <v>EPSG</v>
      </c>
      <c r="F5004" s="7" t="str">
        <v>9716</v>
      </c>
      <c r="G5004" t="str">
        <v>ProjectedCrs</v>
      </c>
      <c r="H5004" t="str">
        <v>Transverse Mercator</v>
      </c>
      <c r="I5004" t="str">
        <v>IGM95 / UTM zone 34N</v>
      </c>
      <c r="J5004" t="str">
        <v>Italy - onshore and offshore - east of 18°E.</v>
      </c>
      <c r="K5004" s="11">
        <v>0</v>
      </c>
    </row>
    <row r="5005" spans="5:11" x14ac:dyDescent="0.35">
      <c r="E5005" s="9" t="str">
        <v>EPSG</v>
      </c>
      <c r="F5005" s="7" t="str">
        <v>9721</v>
      </c>
      <c r="G5005" t="str">
        <v>VerticalCrs</v>
      </c>
      <c r="H5005" t="str">
        <v>&lt;undefined&gt;</v>
      </c>
      <c r="I5005" t="str">
        <v>Catania 1965 height</v>
      </c>
      <c r="J5005" t="str">
        <v>Italy - Sicily onshore.</v>
      </c>
      <c r="K5005" s="11">
        <v>0</v>
      </c>
    </row>
    <row r="5006" spans="5:11" x14ac:dyDescent="0.35">
      <c r="E5006" s="9" t="str">
        <v>EPSG</v>
      </c>
      <c r="F5006" s="7" t="str">
        <v>9722</v>
      </c>
      <c r="G5006" t="str">
        <v>VerticalCrs</v>
      </c>
      <c r="H5006" t="str">
        <v>&lt;undefined&gt;</v>
      </c>
      <c r="I5006" t="str">
        <v>Cagliari 1956 height</v>
      </c>
      <c r="J5006" t="str">
        <v>Italy - Sardinia onshore.</v>
      </c>
      <c r="K5006" s="11">
        <v>0</v>
      </c>
    </row>
    <row r="5007" spans="5:11" x14ac:dyDescent="0.35">
      <c r="E5007" s="9" t="str">
        <v>EPSG</v>
      </c>
      <c r="F5007" s="7" t="str">
        <v>9723</v>
      </c>
      <c r="G5007" t="str">
        <v>CompoundCrs</v>
      </c>
      <c r="H5007" t="str">
        <v>&lt;undefined&gt;</v>
      </c>
      <c r="I5007" t="str">
        <v>ETRS89 + Genoa 1942 height</v>
      </c>
      <c r="J5007" t="str">
        <v>Italy - mainland (including San Marino and Vatican City State) and Sicily.</v>
      </c>
      <c r="K5007" s="11">
        <v>0</v>
      </c>
    </row>
    <row r="5008" spans="5:11" x14ac:dyDescent="0.35">
      <c r="E5008" s="9" t="str">
        <v>EPSG</v>
      </c>
      <c r="F5008" s="7" t="str">
        <v>9724</v>
      </c>
      <c r="G5008" t="str">
        <v>CompoundCrs</v>
      </c>
      <c r="H5008" t="str">
        <v>&lt;undefined&gt;</v>
      </c>
      <c r="I5008" t="str">
        <v>ETRS89 + Catania 1965 height</v>
      </c>
      <c r="J5008" t="str">
        <v>Italy - Sicily onshore.</v>
      </c>
      <c r="K5008" s="11">
        <v>0</v>
      </c>
    </row>
    <row r="5009" spans="5:11" x14ac:dyDescent="0.35">
      <c r="E5009" s="9" t="str">
        <v>EPSG</v>
      </c>
      <c r="F5009" s="7" t="str">
        <v>9725</v>
      </c>
      <c r="G5009" t="str">
        <v>CompoundCrs</v>
      </c>
      <c r="H5009" t="str">
        <v>&lt;undefined&gt;</v>
      </c>
      <c r="I5009" t="str">
        <v>ETRS89 + Cagliari 1956 height</v>
      </c>
      <c r="J5009" t="str">
        <v>Italy - Sardinia onshore.</v>
      </c>
      <c r="K5009" s="11">
        <v>0</v>
      </c>
    </row>
    <row r="5010" spans="5:11" x14ac:dyDescent="0.35">
      <c r="E5010" s="9" t="str">
        <v>EPSG</v>
      </c>
      <c r="F5010" s="7" t="str">
        <v>9739</v>
      </c>
      <c r="G5010" t="str">
        <v>Geographic2DCrs</v>
      </c>
      <c r="H5010" t="str">
        <v>&lt;undefined&gt;</v>
      </c>
      <c r="I5010" t="str">
        <v>EOS21-IRF</v>
      </c>
      <c r="J5010" t="str">
        <v xml:space="preserve">United Kingdom (UK) - on or related to the complex of rail routes in the East of Scotland, incorporating the route from Tweedbank through the Borders to Edinburgh; the line from Edinburgh to Aberdeen; routes via Kirkaldy and Cowdenbeath; and routes via Leuchars and Perth to Dundee. </v>
      </c>
      <c r="K5010" s="11">
        <v>0</v>
      </c>
    </row>
    <row r="5011" spans="5:11" x14ac:dyDescent="0.35">
      <c r="E5011" s="9" t="str">
        <v>EPSG</v>
      </c>
      <c r="F5011" s="7" t="str">
        <v>9741</v>
      </c>
      <c r="G5011" t="str">
        <v>ProjectedCrs</v>
      </c>
      <c r="H5011" t="str">
        <v>Transverse Mercator</v>
      </c>
      <c r="I5011" t="str">
        <v>EOS21 Grid</v>
      </c>
      <c r="J5011" t="str">
        <v xml:space="preserve">United Kingdom (UK) - on or related to the complex of rail routes in the East of Scotland, incorporating the route from Tweedbank through the Borders to Edinburgh; the line from Edinburgh to Aberdeen; routes via Kirkaldy and Cowdenbeath; and routes via Leuchars and Perth to Dundee. </v>
      </c>
      <c r="K5011" s="11">
        <v>0</v>
      </c>
    </row>
    <row r="5012" spans="5:11" x14ac:dyDescent="0.35">
      <c r="E5012" s="9" t="str">
        <v>EPSG</v>
      </c>
      <c r="F5012" s="7" t="str">
        <v>9742</v>
      </c>
      <c r="G5012" t="str">
        <v>CompoundCrs</v>
      </c>
      <c r="H5012" t="str">
        <v>&lt;undefined&gt;</v>
      </c>
      <c r="I5012" t="str">
        <v>EOS21 Grid + ODN height</v>
      </c>
      <c r="J5012" t="str">
        <v xml:space="preserve">United Kingdom (UK) - on or related to the complex of rail routes in the East of Scotland, incorporating the route from Tweedbank through the Borders to Edinburgh; the line from Edinburgh to Aberdeen; routes via Kirkaldy and Cowdenbeath; and routes via Leuchars and Perth to Dundee. </v>
      </c>
      <c r="K5012" s="11">
        <v>0</v>
      </c>
    </row>
    <row r="5013" spans="5:11" x14ac:dyDescent="0.35">
      <c r="E5013" s="9" t="str">
        <v>EPSG</v>
      </c>
      <c r="F5013" s="7" t="str">
        <v>9748</v>
      </c>
      <c r="G5013" t="str">
        <v>ProjectedCrs</v>
      </c>
      <c r="H5013" t="str">
        <v>Transverse Mercator</v>
      </c>
      <c r="I5013" t="str">
        <v>NAD83(2011) / Alabama East (ftUS)</v>
      </c>
      <c r="J5013"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5013" s="11">
        <v>0</v>
      </c>
    </row>
    <row r="5014" spans="5:11" x14ac:dyDescent="0.35">
      <c r="E5014" s="9" t="str">
        <v>EPSG</v>
      </c>
      <c r="F5014" s="7" t="str">
        <v>9749</v>
      </c>
      <c r="G5014" t="str">
        <v>ProjectedCrs</v>
      </c>
      <c r="H5014" t="str">
        <v>Transverse Mercator</v>
      </c>
      <c r="I5014" t="str">
        <v>NAD83(2011) / Alabama West (ftUS)</v>
      </c>
      <c r="J5014"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5014" s="11">
        <v>0</v>
      </c>
    </row>
    <row r="5015" spans="5:11" x14ac:dyDescent="0.35">
      <c r="E5015" s="9" t="str">
        <v>EPSG</v>
      </c>
      <c r="F5015" s="7" t="str">
        <v>9753</v>
      </c>
      <c r="G5015" t="str">
        <v>GeocentricCrs</v>
      </c>
      <c r="H5015" t="str">
        <v>&lt;undefined&gt;</v>
      </c>
      <c r="I5015" t="str">
        <v>WGS 84 (G2139)</v>
      </c>
      <c r="J5015" t="str">
        <v>World.</v>
      </c>
      <c r="K5015" s="11">
        <v>0</v>
      </c>
    </row>
    <row r="5016" spans="5:11" x14ac:dyDescent="0.35">
      <c r="E5016" s="9" t="str">
        <v>EPSG</v>
      </c>
      <c r="F5016" s="7" t="str">
        <v>9754</v>
      </c>
      <c r="G5016" t="str">
        <v>Geographic3DCrs</v>
      </c>
      <c r="H5016" t="str">
        <v>&lt;undefined&gt;</v>
      </c>
      <c r="I5016" t="str">
        <v>WGS 84 (G2139)</v>
      </c>
      <c r="J5016" t="str">
        <v>World.</v>
      </c>
      <c r="K5016" s="11">
        <v>0</v>
      </c>
    </row>
    <row r="5017" spans="5:11" x14ac:dyDescent="0.35">
      <c r="E5017" s="9" t="str">
        <v>EPSG</v>
      </c>
      <c r="F5017" s="7" t="str">
        <v>9755</v>
      </c>
      <c r="G5017" t="str">
        <v>Geographic2DCrs</v>
      </c>
      <c r="H5017" t="str">
        <v>&lt;undefined&gt;</v>
      </c>
      <c r="I5017" t="str">
        <v>WGS 84 (G2139)</v>
      </c>
      <c r="J5017" t="str">
        <v>World.</v>
      </c>
      <c r="K5017" s="11">
        <v>0</v>
      </c>
    </row>
    <row r="5018" spans="5:11" x14ac:dyDescent="0.35">
      <c r="E5018" s="9" t="str">
        <v>EPSG</v>
      </c>
      <c r="F5018" s="7" t="str">
        <v>9758</v>
      </c>
      <c r="G5018" t="str">
        <v>Geographic2DCrs</v>
      </c>
      <c r="H5018" t="str">
        <v>&lt;undefined&gt;</v>
      </c>
      <c r="I5018" t="str">
        <v>ECML14_NB-IRF</v>
      </c>
      <c r="J5018" t="str">
        <v>United Kingdom (UK) - on or related to rail routes from Newcastle Central to Ashington via Benton North Junction, and the section from Bedlington to Morpeth.</v>
      </c>
      <c r="K5018" s="11">
        <v>0</v>
      </c>
    </row>
    <row r="5019" spans="5:11" x14ac:dyDescent="0.35">
      <c r="E5019" s="9" t="str">
        <v>EPSG</v>
      </c>
      <c r="F5019" s="7" t="str">
        <v>9761</v>
      </c>
      <c r="G5019" t="str">
        <v>ProjectedCrs</v>
      </c>
      <c r="H5019" t="str">
        <v>Transverse Mercator</v>
      </c>
      <c r="I5019" t="str">
        <v>ECML14_NB Grid</v>
      </c>
      <c r="J5019" t="str">
        <v>United Kingdom (UK) - on or related to rail routes from Newcastle Central to Ashington via Benton North Junction, and the section from Bedlington to Morpeth.</v>
      </c>
      <c r="K5019" s="11">
        <v>0</v>
      </c>
    </row>
    <row r="5020" spans="5:11" x14ac:dyDescent="0.35">
      <c r="E5020" s="9" t="str">
        <v>EPSG</v>
      </c>
      <c r="F5020" s="7" t="str">
        <v>9762</v>
      </c>
      <c r="G5020" t="str">
        <v>CompoundCrs</v>
      </c>
      <c r="H5020" t="str">
        <v>&lt;undefined&gt;</v>
      </c>
      <c r="I5020" t="str">
        <v>ECML14_NB Grid + ODN height</v>
      </c>
      <c r="J5020" t="str">
        <v>United Kingdom (UK) - on or related to rail routes from Newcastle Central to Ashington via Benton North Junction, and the section from Bedlington to Morpeth.</v>
      </c>
      <c r="K5020" s="11">
        <v>0</v>
      </c>
    </row>
    <row r="5021" spans="5:11" x14ac:dyDescent="0.35">
      <c r="E5021" s="9" t="str">
        <v>EPSG</v>
      </c>
      <c r="F5021" s="7" t="str">
        <v>9763</v>
      </c>
      <c r="G5021" t="str">
        <v>Geographic2DCrs</v>
      </c>
      <c r="H5021" t="str">
        <v>&lt;undefined&gt;</v>
      </c>
      <c r="I5021" t="str">
        <v>EWR2-IRF</v>
      </c>
      <c r="J5021" t="str">
        <v>United Kingdom (UK) - on or related to East West Rail (Phase 2) routes from Oxford to Bicester, Bletchley and Bedford, and from Claydon Junction to Aylesbury and Princes Risborough.</v>
      </c>
      <c r="K5021" s="11">
        <v>0</v>
      </c>
    </row>
    <row r="5022" spans="5:11" x14ac:dyDescent="0.35">
      <c r="E5022" s="9" t="str">
        <v>EPSG</v>
      </c>
      <c r="F5022" s="7" t="str">
        <v>9766</v>
      </c>
      <c r="G5022" t="str">
        <v>ProjectedCrs</v>
      </c>
      <c r="H5022" t="str">
        <v>Transverse Mercator</v>
      </c>
      <c r="I5022" t="str">
        <v>EWR2 Grid</v>
      </c>
      <c r="J5022" t="str">
        <v>United Kingdom (UK) - on or related to East West Rail (Phase 2) routes from Oxford to Bicester, Bletchley and Bedford, and from Claydon Junction to Aylesbury and Princes Risborough.</v>
      </c>
      <c r="K5022" s="11">
        <v>0</v>
      </c>
    </row>
    <row r="5023" spans="5:11" x14ac:dyDescent="0.35">
      <c r="E5023" s="9" t="str">
        <v>EPSG</v>
      </c>
      <c r="F5023" s="7" t="str">
        <v>9767</v>
      </c>
      <c r="G5023" t="str">
        <v>CompoundCrs</v>
      </c>
      <c r="H5023" t="str">
        <v>&lt;undefined&gt;</v>
      </c>
      <c r="I5023" t="str">
        <v>EWR2 Grid + ODN height</v>
      </c>
      <c r="J5023" t="str">
        <v>United Kingdom (UK) - on or related to East West Rail (Phase 2) routes from Oxford to Bicester, Bletchley and Bedford, and from Claydon Junction to Aylesbury and Princes Risborough.</v>
      </c>
      <c r="K5023" s="11">
        <v>0</v>
      </c>
    </row>
    <row r="5024" spans="5:11" x14ac:dyDescent="0.35">
      <c r="E5024" s="9" t="str">
        <v>EPSG</v>
      </c>
      <c r="F5024" s="7" t="str">
        <v>9775</v>
      </c>
      <c r="G5024" t="str">
        <v>GeocentricCrs</v>
      </c>
      <c r="H5024" t="str">
        <v>&lt;undefined&gt;</v>
      </c>
      <c r="I5024" t="str">
        <v>RGF93 v2</v>
      </c>
      <c r="J5024" t="str">
        <v>France - onshore and offshore, mainland and Corsica (France métropolitaine including Corsica).</v>
      </c>
      <c r="K5024" s="11">
        <v>0</v>
      </c>
    </row>
    <row r="5025" spans="5:11" x14ac:dyDescent="0.35">
      <c r="E5025" s="9" t="str">
        <v>EPSG</v>
      </c>
      <c r="F5025" s="7" t="str">
        <v>9776</v>
      </c>
      <c r="G5025" t="str">
        <v>Geographic3DCrs</v>
      </c>
      <c r="H5025" t="str">
        <v>&lt;undefined&gt;</v>
      </c>
      <c r="I5025" t="str">
        <v>RGF93 v2</v>
      </c>
      <c r="J5025" t="str">
        <v>France - onshore and offshore, mainland and Corsica (France métropolitaine including Corsica).</v>
      </c>
      <c r="K5025" s="11">
        <v>0</v>
      </c>
    </row>
    <row r="5026" spans="5:11" x14ac:dyDescent="0.35">
      <c r="E5026" s="9" t="str">
        <v>EPSG</v>
      </c>
      <c r="F5026" s="7" t="str">
        <v>9777</v>
      </c>
      <c r="G5026" t="str">
        <v>Geographic2DCrs</v>
      </c>
      <c r="H5026" t="str">
        <v>&lt;undefined&gt;</v>
      </c>
      <c r="I5026" t="str">
        <v>RGF93 v2</v>
      </c>
      <c r="J5026" t="str">
        <v>France - onshore and offshore, mainland and Corsica (France métropolitaine including Corsica).</v>
      </c>
      <c r="K5026" s="11">
        <v>0</v>
      </c>
    </row>
    <row r="5027" spans="5:11" x14ac:dyDescent="0.35">
      <c r="E5027" s="9" t="str">
        <v>EPSG</v>
      </c>
      <c r="F5027" s="7" t="str">
        <v>9778</v>
      </c>
      <c r="G5027" t="str">
        <v>Geographic3DCrs</v>
      </c>
      <c r="H5027" t="str">
        <v>&lt;undefined&gt;</v>
      </c>
      <c r="I5027" t="str">
        <v>RGF93 v2 (lon-lat)</v>
      </c>
      <c r="J5027" t="str">
        <v>France - onshore and offshore, mainland and Corsica (France métropolitaine including Corsica).</v>
      </c>
      <c r="K5027" s="11">
        <v>0</v>
      </c>
    </row>
    <row r="5028" spans="5:11" x14ac:dyDescent="0.35">
      <c r="E5028" s="9" t="str">
        <v>EPSG</v>
      </c>
      <c r="F5028" s="7" t="str">
        <v>9779</v>
      </c>
      <c r="G5028" t="str">
        <v>Geographic2DCrs</v>
      </c>
      <c r="H5028" t="str">
        <v>&lt;undefined&gt;</v>
      </c>
      <c r="I5028" t="str">
        <v>RGF93 v2 (lon-lat)</v>
      </c>
      <c r="J5028" t="str">
        <v>France - onshore and offshore, mainland and Corsica (France métropolitaine including Corsica).</v>
      </c>
      <c r="K5028" s="11">
        <v>0</v>
      </c>
    </row>
    <row r="5029" spans="5:11" x14ac:dyDescent="0.35">
      <c r="E5029" s="9" t="str">
        <v>EPSG</v>
      </c>
      <c r="F5029" s="7" t="str">
        <v>9780</v>
      </c>
      <c r="G5029" t="str">
        <v>GeocentricCrs</v>
      </c>
      <c r="H5029" t="str">
        <v>&lt;undefined&gt;</v>
      </c>
      <c r="I5029" t="str">
        <v>RGF93 v2b</v>
      </c>
      <c r="J5029" t="str">
        <v>France - onshore and offshore, mainland and Corsica (France métropolitaine including Corsica).</v>
      </c>
      <c r="K5029" s="11">
        <v>0</v>
      </c>
    </row>
    <row r="5030" spans="5:11" x14ac:dyDescent="0.35">
      <c r="E5030" s="9" t="str">
        <v>EPSG</v>
      </c>
      <c r="F5030" s="7" t="str">
        <v>9781</v>
      </c>
      <c r="G5030" t="str">
        <v>Geographic3DCrs</v>
      </c>
      <c r="H5030" t="str">
        <v>&lt;undefined&gt;</v>
      </c>
      <c r="I5030" t="str">
        <v>RGF93 v2b</v>
      </c>
      <c r="J5030" t="str">
        <v>France - onshore and offshore, mainland and Corsica (France métropolitaine including Corsica).</v>
      </c>
      <c r="K5030" s="11">
        <v>0</v>
      </c>
    </row>
    <row r="5031" spans="5:11" x14ac:dyDescent="0.35">
      <c r="E5031" s="9" t="str">
        <v>EPSG</v>
      </c>
      <c r="F5031" s="7" t="str">
        <v>9782</v>
      </c>
      <c r="G5031" t="str">
        <v>Geographic2DCrs</v>
      </c>
      <c r="H5031" t="str">
        <v>&lt;undefined&gt;</v>
      </c>
      <c r="I5031" t="str">
        <v>RGF93 v2b</v>
      </c>
      <c r="J5031" t="str">
        <v>France - onshore and offshore, mainland and Corsica (France métropolitaine including Corsica).</v>
      </c>
      <c r="K5031" s="11">
        <v>0</v>
      </c>
    </row>
    <row r="5032" spans="5:11" x14ac:dyDescent="0.35">
      <c r="E5032" s="9" t="str">
        <v>EPSG</v>
      </c>
      <c r="F5032" s="7" t="str">
        <v>9783</v>
      </c>
      <c r="G5032" t="str">
        <v>Geographic3DCrs</v>
      </c>
      <c r="H5032" t="str">
        <v>&lt;undefined&gt;</v>
      </c>
      <c r="I5032" t="str">
        <v>RGF93 v2b (lon-lat)</v>
      </c>
      <c r="J5032" t="str">
        <v>France - onshore and offshore, mainland and Corsica (France métropolitaine including Corsica).</v>
      </c>
      <c r="K5032" s="11">
        <v>0</v>
      </c>
    </row>
    <row r="5033" spans="5:11" x14ac:dyDescent="0.35">
      <c r="E5033" s="9" t="str">
        <v>EPSG</v>
      </c>
      <c r="F5033" s="7" t="str">
        <v>9784</v>
      </c>
      <c r="G5033" t="str">
        <v>Geographic2DCrs</v>
      </c>
      <c r="H5033" t="str">
        <v>&lt;undefined&gt;</v>
      </c>
      <c r="I5033" t="str">
        <v>RGF93 v2b (lon-lat)</v>
      </c>
      <c r="J5033" t="str">
        <v>France - onshore and offshore, mainland and Corsica (France métropolitaine including Corsica).</v>
      </c>
      <c r="K5033" s="11">
        <v>0</v>
      </c>
    </row>
    <row r="5034" spans="5:11" x14ac:dyDescent="0.35">
      <c r="E5034" s="9" t="str">
        <v>EPSG</v>
      </c>
      <c r="F5034" s="7" t="str">
        <v>9785</v>
      </c>
      <c r="G5034" t="str">
        <v>CompoundCrs</v>
      </c>
      <c r="H5034" t="str">
        <v>&lt;undefined&gt;</v>
      </c>
      <c r="I5034" t="str">
        <v>RGF93 v2b + NGF-IGN69 height</v>
      </c>
      <c r="J5034" t="str">
        <v>France - mainland onshore.</v>
      </c>
      <c r="K5034" s="11">
        <v>0</v>
      </c>
    </row>
    <row r="5035" spans="5:11" x14ac:dyDescent="0.35">
      <c r="E5035" s="9" t="str">
        <v>EPSG</v>
      </c>
      <c r="F5035" s="7" t="str">
        <v>9793</v>
      </c>
      <c r="G5035" t="str">
        <v>ProjectedCrs</v>
      </c>
      <c r="H5035" t="str">
        <v>Lambert Conic Conformal (2SP)</v>
      </c>
      <c r="I5035" t="str">
        <v>RGF93 v2 / Lambert-93</v>
      </c>
      <c r="J5035" t="str">
        <v>France - onshore and offshore, mainland and Corsica (France métropolitaine including Corsica).</v>
      </c>
      <c r="K5035" s="11">
        <v>0</v>
      </c>
    </row>
    <row r="5036" spans="5:11" x14ac:dyDescent="0.35">
      <c r="E5036" s="9" t="str">
        <v>EPSG</v>
      </c>
      <c r="F5036" s="7" t="str">
        <v>9794</v>
      </c>
      <c r="G5036" t="str">
        <v>ProjectedCrs</v>
      </c>
      <c r="H5036" t="str">
        <v>Lambert Conic Conformal (2SP)</v>
      </c>
      <c r="I5036" t="str">
        <v>RGF93 v2b / Lambert-93</v>
      </c>
      <c r="J5036" t="str">
        <v>France - onshore and offshore, mainland and Corsica (France métropolitaine including Corsica).</v>
      </c>
      <c r="K5036" s="11">
        <v>0</v>
      </c>
    </row>
    <row r="5037" spans="5:11" x14ac:dyDescent="0.35">
      <c r="E5037" s="9" t="str">
        <v>EPSG</v>
      </c>
      <c r="F5037" s="7" t="str">
        <v>9821</v>
      </c>
      <c r="G5037" t="str">
        <v>ProjectedCrs</v>
      </c>
      <c r="H5037" t="str">
        <v>Transverse Mercator</v>
      </c>
      <c r="I5037" t="str">
        <v>UCS-2000 / LCS-32 Kyiv region</v>
      </c>
      <c r="J5037" t="str">
        <v>Ukraine - Kyiv (Kiev) region (oblast).</v>
      </c>
      <c r="K5037" s="11">
        <v>0</v>
      </c>
    </row>
    <row r="5038" spans="5:11" x14ac:dyDescent="0.35">
      <c r="E5038" s="9" t="str">
        <v>EPSG</v>
      </c>
      <c r="F5038" s="7" t="str">
        <v>9822</v>
      </c>
      <c r="G5038" t="str">
        <v>ProjectedCrs</v>
      </c>
      <c r="H5038" t="str">
        <v>Lambert Conic Conformal (2SP)</v>
      </c>
      <c r="I5038" t="str">
        <v>RGF93 v2 / CC42</v>
      </c>
      <c r="J5038" t="str">
        <v>France onshore - mainland south of 43°N and Corsica.</v>
      </c>
      <c r="K5038" s="11">
        <v>0</v>
      </c>
    </row>
    <row r="5039" spans="5:11" x14ac:dyDescent="0.35">
      <c r="E5039" s="9" t="str">
        <v>EPSG</v>
      </c>
      <c r="F5039" s="7" t="str">
        <v>9823</v>
      </c>
      <c r="G5039" t="str">
        <v>ProjectedCrs</v>
      </c>
      <c r="H5039" t="str">
        <v>Lambert Conic Conformal (2SP)</v>
      </c>
      <c r="I5039" t="str">
        <v>RGF93 v2 / CC43</v>
      </c>
      <c r="J5039" t="str">
        <v>France - mainland onshore south of 44°N.</v>
      </c>
      <c r="K5039" s="11">
        <v>0</v>
      </c>
    </row>
    <row r="5040" spans="5:11" x14ac:dyDescent="0.35">
      <c r="E5040" s="9" t="str">
        <v>EPSG</v>
      </c>
      <c r="F5040" s="7" t="str">
        <v>9824</v>
      </c>
      <c r="G5040" t="str">
        <v>ProjectedCrs</v>
      </c>
      <c r="H5040" t="str">
        <v>Lambert Conic Conformal (2SP)</v>
      </c>
      <c r="I5040" t="str">
        <v>RGF93 v2 / CC44</v>
      </c>
      <c r="J5040" t="str">
        <v>France - mainland onshore between 43°N and 45°N.</v>
      </c>
      <c r="K5040" s="11">
        <v>0</v>
      </c>
    </row>
    <row r="5041" spans="5:11" x14ac:dyDescent="0.35">
      <c r="E5041" s="9" t="str">
        <v>EPSG</v>
      </c>
      <c r="F5041" s="7" t="str">
        <v>9825</v>
      </c>
      <c r="G5041" t="str">
        <v>ProjectedCrs</v>
      </c>
      <c r="H5041" t="str">
        <v>Lambert Conic Conformal (2SP)</v>
      </c>
      <c r="I5041" t="str">
        <v>RGF93 v2 / CC45</v>
      </c>
      <c r="J5041" t="str">
        <v>France - mainland onshore between 44°N and 46°N.</v>
      </c>
      <c r="K5041" s="11">
        <v>0</v>
      </c>
    </row>
    <row r="5042" spans="5:11" x14ac:dyDescent="0.35">
      <c r="E5042" s="9" t="str">
        <v>EPSG</v>
      </c>
      <c r="F5042" s="7" t="str">
        <v>9826</v>
      </c>
      <c r="G5042" t="str">
        <v>ProjectedCrs</v>
      </c>
      <c r="H5042" t="str">
        <v>Lambert Conic Conformal (2SP)</v>
      </c>
      <c r="I5042" t="str">
        <v>RGF93 v2 / CC46</v>
      </c>
      <c r="J5042" t="str">
        <v>France - mainland onshore between 45°N and 47°N.</v>
      </c>
      <c r="K5042" s="11">
        <v>0</v>
      </c>
    </row>
    <row r="5043" spans="5:11" x14ac:dyDescent="0.35">
      <c r="E5043" s="9" t="str">
        <v>EPSG</v>
      </c>
      <c r="F5043" s="7" t="str">
        <v>9827</v>
      </c>
      <c r="G5043" t="str">
        <v>ProjectedCrs</v>
      </c>
      <c r="H5043" t="str">
        <v>Lambert Conic Conformal (2SP)</v>
      </c>
      <c r="I5043" t="str">
        <v>RGF93 v2 / CC47</v>
      </c>
      <c r="J5043" t="str">
        <v>France - mainland onshore between 46°N and 48°N.</v>
      </c>
      <c r="K5043" s="11">
        <v>0</v>
      </c>
    </row>
    <row r="5044" spans="5:11" x14ac:dyDescent="0.35">
      <c r="E5044" s="9" t="str">
        <v>EPSG</v>
      </c>
      <c r="F5044" s="7" t="str">
        <v>9828</v>
      </c>
      <c r="G5044" t="str">
        <v>ProjectedCrs</v>
      </c>
      <c r="H5044" t="str">
        <v>Lambert Conic Conformal (2SP)</v>
      </c>
      <c r="I5044" t="str">
        <v>RGF93 v2 / CC48</v>
      </c>
      <c r="J5044" t="str">
        <v>France - mainland onshore between 47°N and 49°N.</v>
      </c>
      <c r="K5044" s="11">
        <v>0</v>
      </c>
    </row>
    <row r="5045" spans="5:11" x14ac:dyDescent="0.35">
      <c r="E5045" s="9" t="str">
        <v>EPSG</v>
      </c>
      <c r="F5045" s="7" t="str">
        <v>9829</v>
      </c>
      <c r="G5045" t="str">
        <v>ProjectedCrs</v>
      </c>
      <c r="H5045" t="str">
        <v>Lambert Conic Conformal (2SP)</v>
      </c>
      <c r="I5045" t="str">
        <v>RGF93 v2 / CC49</v>
      </c>
      <c r="J5045" t="str">
        <v>France - mainland onshore between 48°N and 50°N.</v>
      </c>
      <c r="K5045" s="11">
        <v>0</v>
      </c>
    </row>
    <row r="5046" spans="5:11" x14ac:dyDescent="0.35">
      <c r="E5046" s="9" t="str">
        <v>EPSG</v>
      </c>
      <c r="F5046" s="7" t="str">
        <v>9830</v>
      </c>
      <c r="G5046" t="str">
        <v>ProjectedCrs</v>
      </c>
      <c r="H5046" t="str">
        <v>Lambert Conic Conformal (2SP)</v>
      </c>
      <c r="I5046" t="str">
        <v>RGF93 v2 / CC50</v>
      </c>
      <c r="J5046" t="str">
        <v>France - mainland onshore north of 49°N.</v>
      </c>
      <c r="K5046" s="11">
        <v>0</v>
      </c>
    </row>
    <row r="5047" spans="5:11" x14ac:dyDescent="0.35">
      <c r="E5047" s="9" t="str">
        <v>EPSG</v>
      </c>
      <c r="F5047" s="7" t="str">
        <v>9831</v>
      </c>
      <c r="G5047" t="str">
        <v>ProjectedCrs</v>
      </c>
      <c r="H5047" t="str">
        <v>Transverse Mercator</v>
      </c>
      <c r="I5047" t="str">
        <v>UCS-2000 / LCS-01 Crimea</v>
      </c>
      <c r="J5047" t="str">
        <v>Ukraine - Crimea autonomous region.</v>
      </c>
      <c r="K5047" s="11">
        <v>0</v>
      </c>
    </row>
    <row r="5048" spans="5:11" x14ac:dyDescent="0.35">
      <c r="E5048" s="9" t="str">
        <v>EPSG</v>
      </c>
      <c r="F5048" s="7" t="str">
        <v>9832</v>
      </c>
      <c r="G5048" t="str">
        <v>ProjectedCrs</v>
      </c>
      <c r="H5048" t="str">
        <v>Transverse Mercator</v>
      </c>
      <c r="I5048" t="str">
        <v>UCS-2000 / LCS-05 Vinnytsia</v>
      </c>
      <c r="J5048" t="str">
        <v>Ukraine - Vinnytsia region (oblast).</v>
      </c>
      <c r="K5048" s="11">
        <v>0</v>
      </c>
    </row>
    <row r="5049" spans="5:11" x14ac:dyDescent="0.35">
      <c r="E5049" s="9" t="str">
        <v>EPSG</v>
      </c>
      <c r="F5049" s="7" t="str">
        <v>9833</v>
      </c>
      <c r="G5049" t="str">
        <v>ProjectedCrs</v>
      </c>
      <c r="H5049" t="str">
        <v>Transverse Mercator</v>
      </c>
      <c r="I5049" t="str">
        <v>UCS-2000 / LCS-07 Volyn</v>
      </c>
      <c r="J5049" t="str">
        <v>Ukraine - Volyn region (oblast).</v>
      </c>
      <c r="K5049" s="11">
        <v>0</v>
      </c>
    </row>
    <row r="5050" spans="5:11" x14ac:dyDescent="0.35">
      <c r="E5050" s="9" t="str">
        <v>EPSG</v>
      </c>
      <c r="F5050" s="7" t="str">
        <v>9834</v>
      </c>
      <c r="G5050" t="str">
        <v>ProjectedCrs</v>
      </c>
      <c r="H5050" t="str">
        <v>Transverse Mercator</v>
      </c>
      <c r="I5050" t="str">
        <v>UCS-2000 / LCS-12 Dnipropetrovsk</v>
      </c>
      <c r="J5050" t="str">
        <v>Ukraine - Dnipropetrovsk region (oblast).</v>
      </c>
      <c r="K5050" s="11">
        <v>0</v>
      </c>
    </row>
    <row r="5051" spans="5:11" x14ac:dyDescent="0.35">
      <c r="E5051" s="9" t="str">
        <v>EPSG</v>
      </c>
      <c r="F5051" s="7" t="str">
        <v>9835</v>
      </c>
      <c r="G5051" t="str">
        <v>ProjectedCrs</v>
      </c>
      <c r="H5051" t="str">
        <v>Transverse Mercator</v>
      </c>
      <c r="I5051" t="str">
        <v>UCS-2000 / LCS-14 Donetsk</v>
      </c>
      <c r="J5051" t="str">
        <v>Ukraine - Donetsk region (oblast).</v>
      </c>
      <c r="K5051" s="11">
        <v>0</v>
      </c>
    </row>
    <row r="5052" spans="5:11" x14ac:dyDescent="0.35">
      <c r="E5052" s="9" t="str">
        <v>EPSG</v>
      </c>
      <c r="F5052" s="7" t="str">
        <v>9836</v>
      </c>
      <c r="G5052" t="str">
        <v>ProjectedCrs</v>
      </c>
      <c r="H5052" t="str">
        <v>Transverse Mercator</v>
      </c>
      <c r="I5052" t="str">
        <v>UCS-2000 / LCS-18 Zhytomyr</v>
      </c>
      <c r="J5052" t="str">
        <v>Ukraine - Zhytomyr region (oblast).</v>
      </c>
      <c r="K5052" s="11">
        <v>0</v>
      </c>
    </row>
    <row r="5053" spans="5:11" x14ac:dyDescent="0.35">
      <c r="E5053" s="9" t="str">
        <v>EPSG</v>
      </c>
      <c r="F5053" s="7" t="str">
        <v>9837</v>
      </c>
      <c r="G5053" t="str">
        <v>ProjectedCrs</v>
      </c>
      <c r="H5053" t="str">
        <v>Transverse Mercator</v>
      </c>
      <c r="I5053" t="str">
        <v>UCS-2000 / LCS-21 Zakarpattia</v>
      </c>
      <c r="J5053" t="str">
        <v>Ukraine - Zakarpattia (Zakarpatska) region (Transcarpathia oblast).</v>
      </c>
      <c r="K5053" s="11">
        <v>0</v>
      </c>
    </row>
    <row r="5054" spans="5:11" x14ac:dyDescent="0.35">
      <c r="E5054" s="9" t="str">
        <v>EPSG</v>
      </c>
      <c r="F5054" s="7" t="str">
        <v>9838</v>
      </c>
      <c r="G5054" t="str">
        <v>ProjectedCrs</v>
      </c>
      <c r="H5054" t="str">
        <v>Transverse Mercator</v>
      </c>
      <c r="I5054" t="str">
        <v>UCS-2000 / LCS-23 Zaporizhzhia</v>
      </c>
      <c r="J5054" t="str">
        <v>Ukraine - Zaporizhzhia region (oblast).</v>
      </c>
      <c r="K5054" s="11">
        <v>0</v>
      </c>
    </row>
    <row r="5055" spans="5:11" x14ac:dyDescent="0.35">
      <c r="E5055" s="9" t="str">
        <v>EPSG</v>
      </c>
      <c r="F5055" s="7" t="str">
        <v>9839</v>
      </c>
      <c r="G5055" t="str">
        <v>ProjectedCrs</v>
      </c>
      <c r="H5055" t="str">
        <v>Transverse Mercator</v>
      </c>
      <c r="I5055" t="str">
        <v>UCS-2000 / LCS-26 Ivano-Frankivsk</v>
      </c>
      <c r="J5055" t="str">
        <v>Ukraine - Ivano-Frankivsk region (oblast).</v>
      </c>
      <c r="K5055" s="11">
        <v>0</v>
      </c>
    </row>
    <row r="5056" spans="5:11" x14ac:dyDescent="0.35">
      <c r="E5056" s="9" t="str">
        <v>EPSG</v>
      </c>
      <c r="F5056" s="7" t="str">
        <v>9840</v>
      </c>
      <c r="G5056" t="str">
        <v>ProjectedCrs</v>
      </c>
      <c r="H5056" t="str">
        <v>Transverse Mercator</v>
      </c>
      <c r="I5056" t="str">
        <v>UCS-2000 / LCS-35 Kirovohrad</v>
      </c>
      <c r="J5056" t="str">
        <v>Ukraine - Kirovohrad region (oblast).</v>
      </c>
      <c r="K5056" s="11">
        <v>0</v>
      </c>
    </row>
    <row r="5057" spans="5:11" x14ac:dyDescent="0.35">
      <c r="E5057" s="9" t="str">
        <v>EPSG</v>
      </c>
      <c r="F5057" s="7" t="str">
        <v>9841</v>
      </c>
      <c r="G5057" t="str">
        <v>ProjectedCrs</v>
      </c>
      <c r="H5057" t="str">
        <v>Transverse Mercator</v>
      </c>
      <c r="I5057" t="str">
        <v>UCS-2000 / LCS-44 Luhansk</v>
      </c>
      <c r="J5057" t="str">
        <v>Ukraine - Luhansk region (oblast).</v>
      </c>
      <c r="K5057" s="11">
        <v>0</v>
      </c>
    </row>
    <row r="5058" spans="5:11" x14ac:dyDescent="0.35">
      <c r="E5058" s="9" t="str">
        <v>EPSG</v>
      </c>
      <c r="F5058" s="7" t="str">
        <v>9842</v>
      </c>
      <c r="G5058" t="str">
        <v>ProjectedCrs</v>
      </c>
      <c r="H5058" t="str">
        <v>Lambert Conic Conformal (2SP)</v>
      </c>
      <c r="I5058" t="str">
        <v>RGF93 v2b / CC42</v>
      </c>
      <c r="J5058" t="str">
        <v>France onshore - mainland south of 43°N and Corsica.</v>
      </c>
      <c r="K5058" s="11">
        <v>0</v>
      </c>
    </row>
    <row r="5059" spans="5:11" x14ac:dyDescent="0.35">
      <c r="E5059" s="9" t="str">
        <v>EPSG</v>
      </c>
      <c r="F5059" s="7" t="str">
        <v>9843</v>
      </c>
      <c r="G5059" t="str">
        <v>ProjectedCrs</v>
      </c>
      <c r="H5059" t="str">
        <v>Lambert Conic Conformal (2SP)</v>
      </c>
      <c r="I5059" t="str">
        <v>RGF93 v2b / CC43</v>
      </c>
      <c r="J5059" t="str">
        <v>France - mainland onshore south of 44°N.</v>
      </c>
      <c r="K5059" s="11">
        <v>0</v>
      </c>
    </row>
    <row r="5060" spans="5:11" x14ac:dyDescent="0.35">
      <c r="E5060" s="9" t="str">
        <v>EPSG</v>
      </c>
      <c r="F5060" s="7" t="str">
        <v>9844</v>
      </c>
      <c r="G5060" t="str">
        <v>ProjectedCrs</v>
      </c>
      <c r="H5060" t="str">
        <v>Lambert Conic Conformal (2SP)</v>
      </c>
      <c r="I5060" t="str">
        <v>RGF93 v2b / CC44</v>
      </c>
      <c r="J5060" t="str">
        <v>France - mainland onshore between 43°N and 45°N.</v>
      </c>
      <c r="K5060" s="11">
        <v>0</v>
      </c>
    </row>
    <row r="5061" spans="5:11" x14ac:dyDescent="0.35">
      <c r="E5061" s="9" t="str">
        <v>EPSG</v>
      </c>
      <c r="F5061" s="7" t="str">
        <v>9845</v>
      </c>
      <c r="G5061" t="str">
        <v>ProjectedCrs</v>
      </c>
      <c r="H5061" t="str">
        <v>Lambert Conic Conformal (2SP)</v>
      </c>
      <c r="I5061" t="str">
        <v>RGF93 v2b / CC45</v>
      </c>
      <c r="J5061" t="str">
        <v>France - mainland onshore between 44°N and 46°N.</v>
      </c>
      <c r="K5061" s="11">
        <v>0</v>
      </c>
    </row>
    <row r="5062" spans="5:11" x14ac:dyDescent="0.35">
      <c r="E5062" s="9" t="str">
        <v>EPSG</v>
      </c>
      <c r="F5062" s="7" t="str">
        <v>9846</v>
      </c>
      <c r="G5062" t="str">
        <v>ProjectedCrs</v>
      </c>
      <c r="H5062" t="str">
        <v>Lambert Conic Conformal (2SP)</v>
      </c>
      <c r="I5062" t="str">
        <v>RGF93 v2b / CC46</v>
      </c>
      <c r="J5062" t="str">
        <v>France - mainland onshore between 45°N and 47°N.</v>
      </c>
      <c r="K5062" s="11">
        <v>0</v>
      </c>
    </row>
    <row r="5063" spans="5:11" x14ac:dyDescent="0.35">
      <c r="E5063" s="9" t="str">
        <v>EPSG</v>
      </c>
      <c r="F5063" s="7" t="str">
        <v>9847</v>
      </c>
      <c r="G5063" t="str">
        <v>ProjectedCrs</v>
      </c>
      <c r="H5063" t="str">
        <v>Lambert Conic Conformal (2SP)</v>
      </c>
      <c r="I5063" t="str">
        <v>RGF93 v2b / CC47</v>
      </c>
      <c r="J5063" t="str">
        <v>France - mainland onshore between 46°N and 48°N.</v>
      </c>
      <c r="K5063" s="11">
        <v>0</v>
      </c>
    </row>
    <row r="5064" spans="5:11" x14ac:dyDescent="0.35">
      <c r="E5064" s="9" t="str">
        <v>EPSG</v>
      </c>
      <c r="F5064" s="7" t="str">
        <v>9848</v>
      </c>
      <c r="G5064" t="str">
        <v>ProjectedCrs</v>
      </c>
      <c r="H5064" t="str">
        <v>Lambert Conic Conformal (2SP)</v>
      </c>
      <c r="I5064" t="str">
        <v>RGF93 v2b / CC48</v>
      </c>
      <c r="J5064" t="str">
        <v>France - mainland onshore between 47°N and 49°N.</v>
      </c>
      <c r="K5064" s="11">
        <v>0</v>
      </c>
    </row>
    <row r="5065" spans="5:11" x14ac:dyDescent="0.35">
      <c r="E5065" s="9" t="str">
        <v>EPSG</v>
      </c>
      <c r="F5065" s="7" t="str">
        <v>9849</v>
      </c>
      <c r="G5065" t="str">
        <v>ProjectedCrs</v>
      </c>
      <c r="H5065" t="str">
        <v>Lambert Conic Conformal (2SP)</v>
      </c>
      <c r="I5065" t="str">
        <v>RGF93 v2b / CC49</v>
      </c>
      <c r="J5065" t="str">
        <v>France - mainland onshore between 48°N and 50°N.</v>
      </c>
      <c r="K5065" s="11">
        <v>0</v>
      </c>
    </row>
    <row r="5066" spans="5:11" x14ac:dyDescent="0.35">
      <c r="E5066" s="9" t="str">
        <v>EPSG</v>
      </c>
      <c r="F5066" s="7" t="str">
        <v>9850</v>
      </c>
      <c r="G5066" t="str">
        <v>ProjectedCrs</v>
      </c>
      <c r="H5066" t="str">
        <v>Lambert Conic Conformal (2SP)</v>
      </c>
      <c r="I5066" t="str">
        <v>RGF93 v2b / CC50</v>
      </c>
      <c r="J5066" t="str">
        <v>France - mainland onshore north of 49°N.</v>
      </c>
      <c r="K5066" s="11">
        <v>0</v>
      </c>
    </row>
    <row r="5067" spans="5:11" x14ac:dyDescent="0.35">
      <c r="E5067" s="9" t="str">
        <v>EPSG</v>
      </c>
      <c r="F5067" s="7" t="str">
        <v>9851</v>
      </c>
      <c r="G5067" t="str">
        <v>ProjectedCrs</v>
      </c>
      <c r="H5067" t="str">
        <v>Transverse Mercator</v>
      </c>
      <c r="I5067" t="str">
        <v>UCS-2000 / LCS-46 Lviv</v>
      </c>
      <c r="J5067" t="str">
        <v>Ukraine - Lviv region (oblast).</v>
      </c>
      <c r="K5067" s="11">
        <v>0</v>
      </c>
    </row>
    <row r="5068" spans="5:11" x14ac:dyDescent="0.35">
      <c r="E5068" s="9" t="str">
        <v>EPSG</v>
      </c>
      <c r="F5068" s="7" t="str">
        <v>9852</v>
      </c>
      <c r="G5068" t="str">
        <v>ProjectedCrs</v>
      </c>
      <c r="H5068" t="str">
        <v>Transverse Mercator</v>
      </c>
      <c r="I5068" t="str">
        <v>UCS-2000 / LCS-48 Mykolaiv</v>
      </c>
      <c r="J5068" t="str">
        <v>Ukraine - Mykolaiv region (oblast).</v>
      </c>
      <c r="K5068" s="11">
        <v>0</v>
      </c>
    </row>
    <row r="5069" spans="5:11" x14ac:dyDescent="0.35">
      <c r="E5069" s="9" t="str">
        <v>EPSG</v>
      </c>
      <c r="F5069" s="7" t="str">
        <v>9853</v>
      </c>
      <c r="G5069" t="str">
        <v>ProjectedCrs</v>
      </c>
      <c r="H5069" t="str">
        <v>Transverse Mercator</v>
      </c>
      <c r="I5069" t="str">
        <v>UCS-2000 / LCS-51 Odessa</v>
      </c>
      <c r="J5069" t="str">
        <v>Ukraine - Odessa region (oblast).</v>
      </c>
      <c r="K5069" s="11">
        <v>0</v>
      </c>
    </row>
    <row r="5070" spans="5:11" x14ac:dyDescent="0.35">
      <c r="E5070" s="9" t="str">
        <v>EPSG</v>
      </c>
      <c r="F5070" s="7" t="str">
        <v>9854</v>
      </c>
      <c r="G5070" t="str">
        <v>ProjectedCrs</v>
      </c>
      <c r="H5070" t="str">
        <v>Transverse Mercator</v>
      </c>
      <c r="I5070" t="str">
        <v>UCS-2000 / LCS-53 Poltava</v>
      </c>
      <c r="J5070" t="str">
        <v>Ukraine - Poltava region (oblast).</v>
      </c>
      <c r="K5070" s="11">
        <v>0</v>
      </c>
    </row>
    <row r="5071" spans="5:11" x14ac:dyDescent="0.35">
      <c r="E5071" s="9" t="str">
        <v>EPSG</v>
      </c>
      <c r="F5071" s="7" t="str">
        <v>9855</v>
      </c>
      <c r="G5071" t="str">
        <v>ProjectedCrs</v>
      </c>
      <c r="H5071" t="str">
        <v>Transverse Mercator</v>
      </c>
      <c r="I5071" t="str">
        <v>UCS-2000 / LCS-56 Rivne</v>
      </c>
      <c r="J5071" t="str">
        <v>Ukraine - Rivne region (oblast).</v>
      </c>
      <c r="K5071" s="11">
        <v>0</v>
      </c>
    </row>
    <row r="5072" spans="5:11" x14ac:dyDescent="0.35">
      <c r="E5072" s="9" t="str">
        <v>EPSG</v>
      </c>
      <c r="F5072" s="7" t="str">
        <v>9856</v>
      </c>
      <c r="G5072" t="str">
        <v>ProjectedCrs</v>
      </c>
      <c r="H5072" t="str">
        <v>Transverse Mercator</v>
      </c>
      <c r="I5072" t="str">
        <v>UCS-2000 / LCS-59 Sumy</v>
      </c>
      <c r="J5072" t="str">
        <v>Ukraine - Sumy region (oblast).</v>
      </c>
      <c r="K5072" s="11">
        <v>0</v>
      </c>
    </row>
    <row r="5073" spans="5:11" x14ac:dyDescent="0.35">
      <c r="E5073" s="9" t="str">
        <v>EPSG</v>
      </c>
      <c r="F5073" s="7" t="str">
        <v>9857</v>
      </c>
      <c r="G5073" t="str">
        <v>ProjectedCrs</v>
      </c>
      <c r="H5073" t="str">
        <v>Transverse Mercator</v>
      </c>
      <c r="I5073" t="str">
        <v>UCS-2000 / LCS-61 Ternopil</v>
      </c>
      <c r="J5073" t="str">
        <v>Ukraine - Ternopil region (oblast).</v>
      </c>
      <c r="K5073" s="11">
        <v>0</v>
      </c>
    </row>
    <row r="5074" spans="5:11" x14ac:dyDescent="0.35">
      <c r="E5074" s="9" t="str">
        <v>EPSG</v>
      </c>
      <c r="F5074" s="7" t="str">
        <v>9858</v>
      </c>
      <c r="G5074" t="str">
        <v>ProjectedCrs</v>
      </c>
      <c r="H5074" t="str">
        <v>Transverse Mercator</v>
      </c>
      <c r="I5074" t="str">
        <v>UCS-2000 / LCS-63 Kharkiv</v>
      </c>
      <c r="J5074" t="str">
        <v>Ukraine - Kharkiv region (oblast).</v>
      </c>
      <c r="K5074" s="11">
        <v>0</v>
      </c>
    </row>
    <row r="5075" spans="5:11" x14ac:dyDescent="0.35">
      <c r="E5075" s="9" t="str">
        <v>EPSG</v>
      </c>
      <c r="F5075" s="7" t="str">
        <v>9859</v>
      </c>
      <c r="G5075" t="str">
        <v>ProjectedCrs</v>
      </c>
      <c r="H5075" t="str">
        <v>Transverse Mercator</v>
      </c>
      <c r="I5075" t="str">
        <v>UCS-2000 / LCS-65 Kherson</v>
      </c>
      <c r="J5075" t="str">
        <v>Ukraine - Kherson region (oblast).</v>
      </c>
      <c r="K5075" s="11">
        <v>0</v>
      </c>
    </row>
    <row r="5076" spans="5:11" x14ac:dyDescent="0.35">
      <c r="E5076" s="9" t="str">
        <v>EPSG</v>
      </c>
      <c r="F5076" s="7" t="str">
        <v>9860</v>
      </c>
      <c r="G5076" t="str">
        <v>ProjectedCrs</v>
      </c>
      <c r="H5076" t="str">
        <v>Transverse Mercator</v>
      </c>
      <c r="I5076" t="str">
        <v>UCS-2000 / LCS-68 Khmelnytsky</v>
      </c>
      <c r="J5076" t="str">
        <v>Ukraine - Khmelnytskyi region (oblast).</v>
      </c>
      <c r="K5076" s="11">
        <v>0</v>
      </c>
    </row>
    <row r="5077" spans="5:11" x14ac:dyDescent="0.35">
      <c r="E5077" s="9" t="str">
        <v>EPSG</v>
      </c>
      <c r="F5077" s="7" t="str">
        <v>9861</v>
      </c>
      <c r="G5077" t="str">
        <v>ProjectedCrs</v>
      </c>
      <c r="H5077" t="str">
        <v>Transverse Mercator</v>
      </c>
      <c r="I5077" t="str">
        <v>UCS-2000 / LCS-71 Cherkasy</v>
      </c>
      <c r="J5077" t="str">
        <v>Ukraine - Cherkasy region (oblast).</v>
      </c>
      <c r="K5077" s="11">
        <v>0</v>
      </c>
    </row>
    <row r="5078" spans="5:11" x14ac:dyDescent="0.35">
      <c r="E5078" s="9" t="str">
        <v>EPSG</v>
      </c>
      <c r="F5078" s="7" t="str">
        <v>9862</v>
      </c>
      <c r="G5078" t="str">
        <v>ProjectedCrs</v>
      </c>
      <c r="H5078" t="str">
        <v>Transverse Mercator</v>
      </c>
      <c r="I5078" t="str">
        <v>UCS-2000 / LCS-73 Chernivtsi</v>
      </c>
      <c r="J5078" t="str">
        <v>Ukraine - Chernivtsi region (oblast).</v>
      </c>
      <c r="K5078" s="11">
        <v>0</v>
      </c>
    </row>
    <row r="5079" spans="5:11" x14ac:dyDescent="0.35">
      <c r="E5079" s="9" t="str">
        <v>EPSG</v>
      </c>
      <c r="F5079" s="7" t="str">
        <v>9863</v>
      </c>
      <c r="G5079" t="str">
        <v>ProjectedCrs</v>
      </c>
      <c r="H5079" t="str">
        <v>Transverse Mercator</v>
      </c>
      <c r="I5079" t="str">
        <v>UCS-2000 / LCS-74 Chernihiv</v>
      </c>
      <c r="J5079" t="str">
        <v>Ukraine - Chernihiv region (oblast).</v>
      </c>
      <c r="K5079" s="11">
        <v>0</v>
      </c>
    </row>
    <row r="5080" spans="5:11" x14ac:dyDescent="0.35">
      <c r="E5080" s="9" t="str">
        <v>EPSG</v>
      </c>
      <c r="F5080" s="7" t="str">
        <v>9864</v>
      </c>
      <c r="G5080" t="str">
        <v>ProjectedCrs</v>
      </c>
      <c r="H5080" t="str">
        <v>Transverse Mercator</v>
      </c>
      <c r="I5080" t="str">
        <v>UCS-2000 / LCS-80 Kyiv city</v>
      </c>
      <c r="J5080" t="str">
        <v>Ukraine - Kyiv (Kiev) city.</v>
      </c>
      <c r="K5080" s="11">
        <v>0</v>
      </c>
    </row>
    <row r="5081" spans="5:11" x14ac:dyDescent="0.35">
      <c r="E5081" s="9" t="str">
        <v>EPSG</v>
      </c>
      <c r="F5081" s="7" t="str">
        <v>9865</v>
      </c>
      <c r="G5081" t="str">
        <v>ProjectedCrs</v>
      </c>
      <c r="H5081" t="str">
        <v>Transverse Mercator</v>
      </c>
      <c r="I5081" t="str">
        <v>UCS-2000 / LCS-85 Sevastopol</v>
      </c>
      <c r="J5081" t="str">
        <v>Ukraine - Sevastopol (Sebastopol) city.</v>
      </c>
      <c r="K5081" s="11">
        <v>0</v>
      </c>
    </row>
    <row r="5082" spans="5:11" x14ac:dyDescent="0.35">
      <c r="E5082" s="9" t="str">
        <v>EPSG</v>
      </c>
      <c r="F5082" s="7" t="str">
        <v>9866</v>
      </c>
      <c r="G5082" t="str">
        <v>Geographic2DCrs</v>
      </c>
      <c r="H5082" t="str">
        <v>&lt;undefined&gt;</v>
      </c>
      <c r="I5082" t="str">
        <v>MRH21-IRF</v>
      </c>
      <c r="J5082" t="str">
        <v>United Kingdom (UK) - on or related to Midland Rail Hub, covering routes through Cardiff, Bristol, Gloucester, Derby, Birmingham, Leicester, and Lincoln.</v>
      </c>
      <c r="K5082" s="11">
        <v>0</v>
      </c>
    </row>
    <row r="5083" spans="5:11" x14ac:dyDescent="0.35">
      <c r="E5083" s="9" t="str">
        <v>EPSG</v>
      </c>
      <c r="F5083" s="7" t="str">
        <v>9869</v>
      </c>
      <c r="G5083" t="str">
        <v>ProjectedCrs</v>
      </c>
      <c r="H5083" t="str">
        <v>Transverse Mercator</v>
      </c>
      <c r="I5083" t="str">
        <v>MRH21 Grid</v>
      </c>
      <c r="J5083" t="str">
        <v>United Kingdom (UK) - on or related to Midland Rail Hub, covering routes through Cardiff, Bristol, Gloucester, Derby, Birmingham, Leicester, and Lincoln.</v>
      </c>
      <c r="K5083" s="11">
        <v>0</v>
      </c>
    </row>
    <row r="5084" spans="5:11" x14ac:dyDescent="0.35">
      <c r="E5084" s="9" t="str">
        <v>EPSG</v>
      </c>
      <c r="F5084" s="7" t="str">
        <v>9870</v>
      </c>
      <c r="G5084" t="str">
        <v>CompoundCrs</v>
      </c>
      <c r="H5084" t="str">
        <v>&lt;undefined&gt;</v>
      </c>
      <c r="I5084" t="str">
        <v>MRH21 Grid + ODN height</v>
      </c>
      <c r="J5084" t="str">
        <v>United Kingdom (UK) - on or related to Midland Rail Hub, covering routes through Cardiff, Bristol, Gloucester, Derby, Birmingham, Leicester, and Lincoln.</v>
      </c>
      <c r="K5084" s="11">
        <v>0</v>
      </c>
    </row>
    <row r="5085" spans="5:11" x14ac:dyDescent="0.35">
      <c r="E5085" s="9" t="str">
        <v>EPSG</v>
      </c>
      <c r="F5085" s="7" t="str">
        <v>9871</v>
      </c>
      <c r="G5085" t="str">
        <v>Geographic2DCrs</v>
      </c>
      <c r="H5085" t="str">
        <v>&lt;undefined&gt;</v>
      </c>
      <c r="I5085" t="str">
        <v>MOLDOR11-IRF</v>
      </c>
      <c r="J5085" t="str">
        <v>United Kingdom (UK) - on or related to the rail route from Manchester via Ordsall Lane and the Hope Valley to Dore Junction.</v>
      </c>
      <c r="K5085" s="11">
        <v>0</v>
      </c>
    </row>
    <row r="5086" spans="5:11" x14ac:dyDescent="0.35">
      <c r="E5086" s="9" t="str">
        <v>EPSG</v>
      </c>
      <c r="F5086" s="7" t="str">
        <v>9874</v>
      </c>
      <c r="G5086" t="str">
        <v>ProjectedCrs</v>
      </c>
      <c r="H5086" t="str">
        <v>Transverse Mercator</v>
      </c>
      <c r="I5086" t="str">
        <v>PNG94 / PNGMG94 zone 57</v>
      </c>
      <c r="J5086" t="str">
        <v>Papua New Guinea - between 156°E and 162°E, onshore and offshore.</v>
      </c>
      <c r="K5086" s="11">
        <v>0</v>
      </c>
    </row>
    <row r="5087" spans="5:11" x14ac:dyDescent="0.35">
      <c r="E5087" s="9" t="str">
        <v>EPSG</v>
      </c>
      <c r="F5087" s="7" t="str">
        <v>9875</v>
      </c>
      <c r="G5087" t="str">
        <v>ProjectedCrs</v>
      </c>
      <c r="H5087" t="str">
        <v>Transverse Mercator</v>
      </c>
      <c r="I5087" t="str">
        <v>PNG94 / PNGMG94 zone 58</v>
      </c>
      <c r="J5087" t="str">
        <v>Papua New Guinea - east of 162°E to EEZ limit.</v>
      </c>
      <c r="K5087" s="11">
        <v>0</v>
      </c>
    </row>
    <row r="5088" spans="5:11" x14ac:dyDescent="0.35">
      <c r="E5088" s="9" t="str">
        <v>EPSG</v>
      </c>
      <c r="F5088" s="7" t="str">
        <v>9880</v>
      </c>
      <c r="G5088" t="str">
        <v>ProjectedCrs</v>
      </c>
      <c r="H5088" t="str">
        <v>Transverse Mercator</v>
      </c>
      <c r="I5088" t="str">
        <v>MOLDOR11 Grid</v>
      </c>
      <c r="J5088" t="str">
        <v>United Kingdom (UK) - on or related to the rail route from Manchester via Ordsall Lane and the Hope Valley to Dore Junction.</v>
      </c>
      <c r="K5088" s="11">
        <v>0</v>
      </c>
    </row>
    <row r="5089" spans="5:11" x14ac:dyDescent="0.35">
      <c r="E5089" s="9" t="str">
        <v>EPSG</v>
      </c>
      <c r="F5089" s="7" t="str">
        <v>9881</v>
      </c>
      <c r="G5089" t="str">
        <v>CompoundCrs</v>
      </c>
      <c r="H5089" t="str">
        <v>&lt;undefined&gt;</v>
      </c>
      <c r="I5089" t="str">
        <v>MOLDOR11 Grid + ODN height</v>
      </c>
      <c r="J5089" t="str">
        <v>United Kingdom (UK) - on or related to the rail route from Manchester via Ordsall Lane and the Hope Valley to Dore Junction.</v>
      </c>
      <c r="K5089" s="11">
        <v>0</v>
      </c>
    </row>
    <row r="5090" spans="5:11" x14ac:dyDescent="0.35">
      <c r="E5090" s="9" t="str">
        <v>EPSG</v>
      </c>
      <c r="F5090" s="7" t="str">
        <v>9883</v>
      </c>
      <c r="G5090" t="str">
        <v>CompoundCrs</v>
      </c>
      <c r="H5090" t="str">
        <v>&lt;undefined&gt;</v>
      </c>
      <c r="I5090" t="str">
        <v>ETRS89 + CD Norway depth</v>
      </c>
      <c r="J5090" t="str">
        <v>Norway - inshore and nearshore.</v>
      </c>
      <c r="K5090" s="11">
        <v>0</v>
      </c>
    </row>
    <row r="5091" spans="5:11" x14ac:dyDescent="0.35">
      <c r="E5091" s="9" t="str">
        <v>EPSG</v>
      </c>
      <c r="F5091" s="7" t="str">
        <v>9892</v>
      </c>
      <c r="G5091" t="str">
        <v>GeocentricCrs</v>
      </c>
      <c r="H5091" t="str">
        <v>&lt;undefined&gt;</v>
      </c>
      <c r="I5091" t="str">
        <v>LUREF</v>
      </c>
      <c r="J5091" t="str">
        <v>Luxembourg.</v>
      </c>
      <c r="K5091" s="11">
        <v>0</v>
      </c>
    </row>
    <row r="5092" spans="5:11" x14ac:dyDescent="0.35">
      <c r="E5092" s="9" t="str">
        <v>EPSG</v>
      </c>
      <c r="F5092" s="7" t="str">
        <v>9893</v>
      </c>
      <c r="G5092" t="str">
        <v>Geographic3DCrs</v>
      </c>
      <c r="H5092" t="str">
        <v>&lt;undefined&gt;</v>
      </c>
      <c r="I5092" t="str">
        <v>LUREF</v>
      </c>
      <c r="J5092" t="str">
        <v>Luxembourg.</v>
      </c>
      <c r="K5092" s="11">
        <v>0</v>
      </c>
    </row>
    <row r="5093" spans="5:11" x14ac:dyDescent="0.35">
      <c r="E5093" s="9" t="str">
        <v>EPSG</v>
      </c>
      <c r="F5093" s="7" t="str">
        <v>9895</v>
      </c>
      <c r="G5093" t="str">
        <v>ProjectedCrs</v>
      </c>
      <c r="H5093" t="str">
        <v>Transverse Mercator 3D</v>
      </c>
      <c r="I5093" t="str">
        <v>LUREF / Luxembourg TM (3D)</v>
      </c>
      <c r="J5093" t="str">
        <v>Luxembourg.</v>
      </c>
      <c r="K5093" s="11">
        <v>0</v>
      </c>
    </row>
    <row r="5094" spans="5:11" x14ac:dyDescent="0.35">
      <c r="E5094" s="9" t="str">
        <v>EPSG</v>
      </c>
      <c r="F5094" s="7" t="str">
        <v>9897</v>
      </c>
      <c r="G5094" t="str">
        <v>CompoundCrs</v>
      </c>
      <c r="H5094" t="str">
        <v>&lt;undefined&gt;</v>
      </c>
      <c r="I5094" t="str">
        <v>LUREF / Luxembourg TM + NG95 height</v>
      </c>
      <c r="J5094" t="str">
        <v>Luxembourg.</v>
      </c>
      <c r="K5094" s="11">
        <v>0</v>
      </c>
    </row>
    <row r="5095" spans="5:11" x14ac:dyDescent="0.35">
      <c r="E5095" s="9" t="str">
        <v>EPSG</v>
      </c>
      <c r="F5095" s="7" t="str">
        <v>9907</v>
      </c>
      <c r="G5095" t="str">
        <v>CompoundCrs</v>
      </c>
      <c r="H5095" t="str">
        <v>&lt;undefined&gt;</v>
      </c>
      <c r="I5095" t="str">
        <v>ETRS89 + Ostend height</v>
      </c>
      <c r="J5095" t="str">
        <v>Belgium - onshore.</v>
      </c>
      <c r="K5095" s="11">
        <v>0</v>
      </c>
    </row>
    <row r="5096" spans="5:11" x14ac:dyDescent="0.35">
      <c r="E5096" s="9" t="str">
        <v>EPSG</v>
      </c>
      <c r="F5096" s="7" t="str">
        <v>9920</v>
      </c>
      <c r="G5096" t="str">
        <v>CompoundCrs</v>
      </c>
      <c r="H5096" t="str">
        <v>&lt;undefined&gt;</v>
      </c>
      <c r="I5096" t="str">
        <v>OSGB36 / British National Grid + BI height</v>
      </c>
      <c r="J5096" t="str">
        <v>United Kingdom (UK) - offshore to boundary of UKCS within 49°45'N to 61°N and 9°W to 2°E; onshore Great Britain (England, Wales and Scotland). Isle of Man onshore.</v>
      </c>
      <c r="K5096" s="11">
        <v>0</v>
      </c>
    </row>
    <row r="5097" spans="5:11" x14ac:dyDescent="0.35">
      <c r="E5097" s="9" t="str">
        <v>EPSG</v>
      </c>
      <c r="F5097" s="7" t="str">
        <v>9922</v>
      </c>
      <c r="G5097" t="str">
        <v>CompoundCrs</v>
      </c>
      <c r="H5097" t="str">
        <v>&lt;undefined&gt;</v>
      </c>
      <c r="I5097" t="str">
        <v>ETRS89 / ITM + BI height</v>
      </c>
      <c r="J5097" t="str">
        <v>Ireland - onshore. United Kingdom (UK) - Northern Ireland (Ulster) - onshore.</v>
      </c>
      <c r="K5097" s="11">
        <v>0</v>
      </c>
    </row>
    <row r="5098" spans="5:11" x14ac:dyDescent="0.35">
      <c r="E5098" s="9" t="str">
        <v>EPSG</v>
      </c>
      <c r="F5098" s="7" t="str">
        <v>9923</v>
      </c>
      <c r="G5098" t="str">
        <v>VerticalCrs</v>
      </c>
      <c r="H5098" t="str">
        <v>&lt;undefined&gt;</v>
      </c>
      <c r="I5098" t="str">
        <v>GNTRANS height</v>
      </c>
      <c r="J5098" t="str">
        <v>Germany - onshore - states of Baden-Wurtemberg, Bayern, Berlin, Brandenburg, Bremen, Hamburg, Hessen, Mecklenburg-Vorpommern, Niedersachsen, Nordrhein-Westfalen, Rheinland-Pfalz, Saarland, Sachsen, Sachsen-Anhalt, Schleswig-Holstein, Thuringen.</v>
      </c>
      <c r="K5098" s="11">
        <v>0</v>
      </c>
    </row>
    <row r="5099" spans="5:11" x14ac:dyDescent="0.35">
      <c r="E5099" s="9" t="str">
        <v>EPSG</v>
      </c>
      <c r="F5099" s="7" t="str">
        <v>9924</v>
      </c>
      <c r="G5099" t="str">
        <v>CompoundCrs</v>
      </c>
      <c r="H5099" t="str">
        <v>&lt;undefined&gt;</v>
      </c>
      <c r="I5099" t="str">
        <v>ETRS89 + DHHN2016 height</v>
      </c>
      <c r="J5099" t="str">
        <v>Germany - onshore - states of Baden-Wurtemberg, Bayern, Berlin, Brandenburg, Bremen, Hamburg, Hessen, Mecklenburg-Vorpommern, Niedersachsen, Nordrhein-Westfalen, Rheinland-Pfalz, Saarland, Sachsen, Sachsen-Anhalt, Schleswig-Holstein, Thuringen.</v>
      </c>
      <c r="K5099" s="11">
        <v>0</v>
      </c>
    </row>
    <row r="5100" spans="5:11" x14ac:dyDescent="0.35">
      <c r="E5100" s="9" t="str">
        <v>EPSG</v>
      </c>
      <c r="F5100" s="7" t="str">
        <v>9927</v>
      </c>
      <c r="G5100" t="str">
        <v>VerticalCrs</v>
      </c>
      <c r="H5100" t="str">
        <v>&lt;undefined&gt;</v>
      </c>
      <c r="I5100" t="str">
        <v>GNTRANS2016 height</v>
      </c>
      <c r="J5100" t="str">
        <v>Germany - onshore - states of Baden-Wurtemberg, Bayern, Berlin, Brandenburg, Bremen, Hamburg, Hessen, Mecklenburg-Vorpommern, Niedersachsen, Nordrhein-Westfalen, Rheinland-Pfalz, Saarland, Sachsen, Sachsen-Anhalt, Schleswig-Holstein, Thuringen.</v>
      </c>
      <c r="K5100" s="11">
        <v>0</v>
      </c>
    </row>
    <row r="5101" spans="5:11" x14ac:dyDescent="0.35">
      <c r="E5101" s="9" t="str">
        <v>EPSG</v>
      </c>
      <c r="F5101" s="7" t="str">
        <v>9928</v>
      </c>
      <c r="G5101" t="str">
        <v>CompoundCrs</v>
      </c>
      <c r="H5101" t="str">
        <v>&lt;undefined&gt;</v>
      </c>
      <c r="I5101" t="str">
        <v>DB_REF2003 zone 2</v>
      </c>
      <c r="J5101" t="str">
        <v>Germany - former West Germany onshore west of 7°30'E - states of Niedersachsen, Nordrhein-Westfalen, Rheinland-Pfalz, Saarland.</v>
      </c>
      <c r="K5101" s="11">
        <v>0</v>
      </c>
    </row>
    <row r="5102" spans="5:11" x14ac:dyDescent="0.35">
      <c r="E5102" s="9" t="str">
        <v>EPSG</v>
      </c>
      <c r="F5102" s="7" t="str">
        <v>9929</v>
      </c>
      <c r="G5102" t="str">
        <v>CompoundCrs</v>
      </c>
      <c r="H5102" t="str">
        <v>&lt;undefined&gt;</v>
      </c>
      <c r="I5102" t="str">
        <v>DB_REF2003 zone 3</v>
      </c>
      <c r="J5102" t="str">
        <v>Germany - onshore between 7°30'E and 10°30'E.</v>
      </c>
      <c r="K5102" s="11">
        <v>0</v>
      </c>
    </row>
    <row r="5103" spans="5:11" x14ac:dyDescent="0.35">
      <c r="E5103" s="9" t="str">
        <v>EPSG</v>
      </c>
      <c r="F5103" s="7" t="str">
        <v>9930</v>
      </c>
      <c r="G5103" t="str">
        <v>CompoundCrs</v>
      </c>
      <c r="H5103" t="str">
        <v>&lt;undefined&gt;</v>
      </c>
      <c r="I5103" t="str">
        <v>DB_REF2003 zone 4</v>
      </c>
      <c r="J5103" t="str">
        <v>Germany - onshore between 10°30'E and 13°30'E.</v>
      </c>
      <c r="K5103" s="11">
        <v>0</v>
      </c>
    </row>
    <row r="5104" spans="5:11" x14ac:dyDescent="0.35">
      <c r="E5104" s="9" t="str">
        <v>EPSG</v>
      </c>
      <c r="F5104" s="7" t="str">
        <v>9931</v>
      </c>
      <c r="G5104" t="str">
        <v>CompoundCrs</v>
      </c>
      <c r="H5104" t="str">
        <v>&lt;undefined&gt;</v>
      </c>
      <c r="I5104" t="str">
        <v>DB_REF2003 zone 5</v>
      </c>
      <c r="J5104" t="str">
        <v>Germany - onshore east of 13°30'E.</v>
      </c>
      <c r="K5104" s="11">
        <v>0</v>
      </c>
    </row>
    <row r="5105" spans="5:11" x14ac:dyDescent="0.35">
      <c r="E5105" s="9" t="str">
        <v>EPSG</v>
      </c>
      <c r="F5105" s="7" t="str">
        <v>9932</v>
      </c>
      <c r="G5105" t="str">
        <v>CompoundCrs</v>
      </c>
      <c r="H5105" t="str">
        <v>&lt;undefined&gt;</v>
      </c>
      <c r="I5105" t="str">
        <v>DB_REF2016 zone 2</v>
      </c>
      <c r="J5105" t="str">
        <v>Germany - former West Germany onshore west of 7°30'E - states of Niedersachsen, Nordrhein-Westfalen, Rheinland-Pfalz, Saarland.</v>
      </c>
      <c r="K5105" s="11">
        <v>0</v>
      </c>
    </row>
    <row r="5106" spans="5:11" x14ac:dyDescent="0.35">
      <c r="E5106" s="9" t="str">
        <v>EPSG</v>
      </c>
      <c r="F5106" s="7" t="str">
        <v>9933</v>
      </c>
      <c r="G5106" t="str">
        <v>CompoundCrs</v>
      </c>
      <c r="H5106" t="str">
        <v>&lt;undefined&gt;</v>
      </c>
      <c r="I5106" t="str">
        <v>DB_REF2016 zone 3</v>
      </c>
      <c r="J5106" t="str">
        <v>Germany - onshore between 7°30'E and 10°30'E.</v>
      </c>
      <c r="K5106" s="11">
        <v>0</v>
      </c>
    </row>
    <row r="5107" spans="5:11" x14ac:dyDescent="0.35">
      <c r="E5107" s="9" t="str">
        <v>EPSG</v>
      </c>
      <c r="F5107" s="7" t="str">
        <v>9934</v>
      </c>
      <c r="G5107" t="str">
        <v>CompoundCrs</v>
      </c>
      <c r="H5107" t="str">
        <v>&lt;undefined&gt;</v>
      </c>
      <c r="I5107" t="str">
        <v>DB_REF2016 zone 4</v>
      </c>
      <c r="J5107" t="str">
        <v>Germany - onshore between 10°30'E and 13°30'E.</v>
      </c>
      <c r="K5107" s="11">
        <v>0</v>
      </c>
    </row>
    <row r="5108" spans="5:11" x14ac:dyDescent="0.35">
      <c r="E5108" s="9" t="str">
        <v>EPSG</v>
      </c>
      <c r="F5108" s="7" t="str">
        <v>9935</v>
      </c>
      <c r="G5108" t="str">
        <v>CompoundCrs</v>
      </c>
      <c r="H5108" t="str">
        <v>&lt;undefined&gt;</v>
      </c>
      <c r="I5108" t="str">
        <v>DB_REF2016 zone 5</v>
      </c>
      <c r="J5108" t="str">
        <v>Germany - onshore east of 13°30'E.</v>
      </c>
      <c r="K5108" s="11">
        <v>0</v>
      </c>
    </row>
    <row r="5109" spans="5:11" x14ac:dyDescent="0.35">
      <c r="E5109" s="9" t="str">
        <v>EPSG</v>
      </c>
      <c r="F5109" s="7" t="str">
        <v>9939</v>
      </c>
      <c r="G5109" t="str">
        <v>Geographic2DCrs</v>
      </c>
      <c r="H5109" t="str">
        <v>&lt;undefined&gt;</v>
      </c>
      <c r="I5109" t="str">
        <v>EBBWV14-IRF</v>
      </c>
      <c r="J5109" t="str">
        <v>United Kingdom (UK) - on or related to the rail route from Newport (Park Junction) to Ebbw Vale.</v>
      </c>
      <c r="K5109" s="11">
        <v>0</v>
      </c>
    </row>
    <row r="5110" spans="5:11" x14ac:dyDescent="0.35">
      <c r="E5110" s="9" t="str">
        <v>EPSG</v>
      </c>
      <c r="F5110" s="7" t="str">
        <v>9943</v>
      </c>
      <c r="G5110" t="str">
        <v>ProjectedCrs</v>
      </c>
      <c r="H5110" t="str">
        <v>Transverse Mercator</v>
      </c>
      <c r="I5110" t="str">
        <v>EBBWV14 Grid</v>
      </c>
      <c r="J5110" t="str">
        <v>United Kingdom (UK) - on or related to the rail route from Newport (Park Junction) to Ebbw Vale.</v>
      </c>
      <c r="K5110" s="11">
        <v>0</v>
      </c>
    </row>
    <row r="5111" spans="5:11" x14ac:dyDescent="0.35">
      <c r="E5111" s="9" t="str">
        <v>EPSG</v>
      </c>
      <c r="F5111" s="7" t="str">
        <v>9944</v>
      </c>
      <c r="G5111" t="str">
        <v>CompoundCrs</v>
      </c>
      <c r="H5111" t="str">
        <v>&lt;undefined&gt;</v>
      </c>
      <c r="I5111" t="str">
        <v>EBBWV14 Grid + ODN height</v>
      </c>
      <c r="J5111" t="str">
        <v>United Kingdom (UK) - on or related to the rail route from Newport (Park Junction) to Ebbw Vale.</v>
      </c>
      <c r="K5111" s="11">
        <v>0</v>
      </c>
    </row>
    <row r="5112" spans="5:11" x14ac:dyDescent="0.35">
      <c r="E5112" s="9" t="str">
        <v>EPSG</v>
      </c>
      <c r="F5112" s="7" t="str">
        <v>9945</v>
      </c>
      <c r="G5112" t="str">
        <v>ProjectedCrs</v>
      </c>
      <c r="H5112" t="str">
        <v>Transverse Mercator</v>
      </c>
      <c r="I5112" t="str">
        <v>Macedonia State Coordinate System truncated</v>
      </c>
      <c r="J5112" t="str">
        <v>North Macedonia.</v>
      </c>
      <c r="K5112" s="11">
        <v>0</v>
      </c>
    </row>
    <row r="5113" spans="5:11" x14ac:dyDescent="0.35">
      <c r="E5113" s="9" t="str">
        <v>EPSG</v>
      </c>
      <c r="F5113" s="7" t="str">
        <v>9947</v>
      </c>
      <c r="G5113" t="str">
        <v>ProjectedCrs</v>
      </c>
      <c r="H5113" t="str">
        <v>Lambert Azimuthal Equal Area</v>
      </c>
      <c r="I5113" t="str">
        <v>ISN2004 / LAEA Iceland</v>
      </c>
      <c r="J5113" t="str">
        <v>Iceland - onshore and offshore.</v>
      </c>
      <c r="K5113" s="11">
        <v>0</v>
      </c>
    </row>
    <row r="5114" spans="5:11" x14ac:dyDescent="0.35">
      <c r="E5114" s="9" t="str">
        <v>EPSG</v>
      </c>
      <c r="F5114" s="7" t="str">
        <v>9948</v>
      </c>
      <c r="G5114" t="str">
        <v>CompoundCrs</v>
      </c>
      <c r="H5114" t="str">
        <v>&lt;undefined&gt;</v>
      </c>
      <c r="I5114" t="str">
        <v>ISN93 + ISH2004 height</v>
      </c>
      <c r="J5114" t="str">
        <v>Iceland - onshore.</v>
      </c>
      <c r="K5114" s="11">
        <v>0</v>
      </c>
    </row>
    <row r="5115" spans="5:11" x14ac:dyDescent="0.35">
      <c r="E5115" s="9" t="str">
        <v>EPSG</v>
      </c>
      <c r="F5115" s="7" t="str">
        <v>9949</v>
      </c>
      <c r="G5115" t="str">
        <v>CompoundCrs</v>
      </c>
      <c r="H5115" t="str">
        <v>&lt;undefined&gt;</v>
      </c>
      <c r="I5115" t="str">
        <v>ISN2004 + ISH2004 height</v>
      </c>
      <c r="J5115" t="str">
        <v>Iceland - onshore.</v>
      </c>
      <c r="K5115" s="11">
        <v>0</v>
      </c>
    </row>
    <row r="5116" spans="5:11" x14ac:dyDescent="0.35">
      <c r="E5116" s="9" t="str">
        <v>EPSG</v>
      </c>
      <c r="F5116" s="7" t="str">
        <v>9950</v>
      </c>
      <c r="G5116" t="str">
        <v>CompoundCrs</v>
      </c>
      <c r="H5116" t="str">
        <v>&lt;undefined&gt;</v>
      </c>
      <c r="I5116" t="str">
        <v>ISN2016 + ISH2004 height</v>
      </c>
      <c r="J5116" t="str">
        <v>Iceland - onshore.</v>
      </c>
      <c r="K5116" s="11">
        <v>0</v>
      </c>
    </row>
    <row r="5117" spans="5:11" x14ac:dyDescent="0.35">
      <c r="E5117" s="9" t="str">
        <v>EPSG</v>
      </c>
      <c r="F5117" s="7" t="str">
        <v>9951</v>
      </c>
      <c r="G5117" t="str">
        <v>CompoundCrs</v>
      </c>
      <c r="H5117" t="str">
        <v>&lt;undefined&gt;</v>
      </c>
      <c r="I5117" t="str">
        <v>ISN93 / Lambert 1993 + ISH2004 height</v>
      </c>
      <c r="J5117" t="str">
        <v>Iceland - onshore.</v>
      </c>
      <c r="K5117" s="11">
        <v>0</v>
      </c>
    </row>
    <row r="5118" spans="5:11" x14ac:dyDescent="0.35">
      <c r="E5118" s="9" t="str">
        <v>EPSG</v>
      </c>
      <c r="F5118" s="7" t="str">
        <v>9952</v>
      </c>
      <c r="G5118" t="str">
        <v>CompoundCrs</v>
      </c>
      <c r="H5118" t="str">
        <v>&lt;undefined&gt;</v>
      </c>
      <c r="I5118" t="str">
        <v>ISN2004 / Lambert 2004 + ISH2004 height</v>
      </c>
      <c r="J5118" t="str">
        <v>Iceland - onshore.</v>
      </c>
      <c r="K5118" s="11">
        <v>0</v>
      </c>
    </row>
    <row r="5119" spans="5:11" x14ac:dyDescent="0.35">
      <c r="E5119" s="9" t="str">
        <v>EPSG</v>
      </c>
      <c r="F5119" s="7" t="str">
        <v>9953</v>
      </c>
      <c r="G5119" t="str">
        <v>CompoundCrs</v>
      </c>
      <c r="H5119" t="str">
        <v>&lt;undefined&gt;</v>
      </c>
      <c r="I5119" t="str">
        <v>ISN2016 / Lambert 2016 + ISH2004 height</v>
      </c>
      <c r="J5119" t="str">
        <v>Iceland - onshore.</v>
      </c>
      <c r="K5119" s="11">
        <v>0</v>
      </c>
    </row>
    <row r="5120" spans="5:11" x14ac:dyDescent="0.35">
      <c r="E5120" s="9" t="str">
        <v>EPSG</v>
      </c>
      <c r="F5120" s="7" t="str">
        <v>9964</v>
      </c>
      <c r="G5120" t="str">
        <v>Geographic2DCrs</v>
      </c>
      <c r="H5120" t="str">
        <v>&lt;undefined&gt;</v>
      </c>
      <c r="I5120" t="str">
        <v>HULLEE13-IRF</v>
      </c>
      <c r="J5120" t="str">
        <v>United Kingdom (UK) - on or related to the rail route from the Morley tunnel through Leeds to Hull.</v>
      </c>
      <c r="K5120" s="11">
        <v>0</v>
      </c>
    </row>
    <row r="5121" spans="5:11" x14ac:dyDescent="0.35">
      <c r="E5121" s="9" t="str">
        <v>EPSG</v>
      </c>
      <c r="F5121" s="7" t="str">
        <v>9967</v>
      </c>
      <c r="G5121" t="str">
        <v>ProjectedCrs</v>
      </c>
      <c r="H5121" t="str">
        <v>Transverse Mercator</v>
      </c>
      <c r="I5121" t="str">
        <v>HULLEE13 Grid</v>
      </c>
      <c r="J5121" t="str">
        <v>United Kingdom (UK) - on or related to the rail route from the Morley tunnel through Leeds to Hull.</v>
      </c>
      <c r="K5121" s="11">
        <v>0</v>
      </c>
    </row>
    <row r="5122" spans="5:11" x14ac:dyDescent="0.35">
      <c r="E5122" s="9" t="str">
        <v>EPSG</v>
      </c>
      <c r="F5122" s="7" t="str">
        <v>9968</v>
      </c>
      <c r="G5122" t="str">
        <v>CompoundCrs</v>
      </c>
      <c r="H5122" t="str">
        <v>&lt;undefined&gt;</v>
      </c>
      <c r="I5122" t="str">
        <v>HULLEE13 Grid + ODN height</v>
      </c>
      <c r="J5122" t="str">
        <v>United Kingdom (UK) - on or related to the rail route from the Morley tunnel through Leeds to Hull.</v>
      </c>
      <c r="K5122" s="11">
        <v>0</v>
      </c>
    </row>
    <row r="5123" spans="5:11" x14ac:dyDescent="0.35">
      <c r="E5123" s="9" t="str">
        <v>EPSG</v>
      </c>
      <c r="F5123" s="7" t="str">
        <v>9969</v>
      </c>
      <c r="G5123" t="str">
        <v>Geographic2DCrs</v>
      </c>
      <c r="H5123" t="str">
        <v>&lt;undefined&gt;</v>
      </c>
      <c r="I5123" t="str">
        <v>SCM22-IRF</v>
      </c>
      <c r="J5123" t="str">
        <v>United Kingdom (UK) - on or related to the Scottish central mainline rail route from Motherwell through Perth and Pitlochry to Inverness.</v>
      </c>
      <c r="K5123" s="11">
        <v>0</v>
      </c>
    </row>
    <row r="5124" spans="5:11" x14ac:dyDescent="0.35">
      <c r="E5124" s="9" t="str">
        <v>EPSG</v>
      </c>
      <c r="F5124" s="7" t="str">
        <v>9972</v>
      </c>
      <c r="G5124" t="str">
        <v>ProjectedCrs</v>
      </c>
      <c r="H5124" t="str">
        <v>Transverse Mercator</v>
      </c>
      <c r="I5124" t="str">
        <v>SCM22 Grid</v>
      </c>
      <c r="J5124" t="str">
        <v>United Kingdom (UK) - on or related to the Scottish central mainline rail route from Motherwell through Perth and Pitlochry to Inverness.</v>
      </c>
      <c r="K5124" s="11">
        <v>0</v>
      </c>
    </row>
    <row r="5125" spans="5:11" x14ac:dyDescent="0.35">
      <c r="E5125" s="9" t="str">
        <v>EPSG</v>
      </c>
      <c r="F5125" s="7" t="str">
        <v>9973</v>
      </c>
      <c r="G5125" t="str">
        <v>CompoundCrs</v>
      </c>
      <c r="H5125" t="str">
        <v>&lt;undefined&gt;</v>
      </c>
      <c r="I5125" t="str">
        <v>SCM22 Grid + ODN height</v>
      </c>
      <c r="J5125" t="str">
        <v>United Kingdom (UK) - on or related to the Scottish central mainline rail route from Motherwell through Perth and Pitlochry to Inverness.</v>
      </c>
      <c r="K5125" s="11">
        <v>0</v>
      </c>
    </row>
    <row r="5126" spans="5:11" x14ac:dyDescent="0.35">
      <c r="E5126" s="9" t="str">
        <v>EPSG</v>
      </c>
      <c r="F5126" s="7" t="str">
        <v>9974</v>
      </c>
      <c r="G5126" t="str">
        <v>Geographic2DCrs</v>
      </c>
      <c r="H5126" t="str">
        <v>&lt;undefined&gt;</v>
      </c>
      <c r="I5126" t="str">
        <v>FNL22-IRF</v>
      </c>
      <c r="J5126" t="str">
        <v>United Kingdom (UK) - on or related to the rail route from Inverness to Thurso and Wick.</v>
      </c>
      <c r="K5126" s="11">
        <v>0</v>
      </c>
    </row>
    <row r="5127" spans="5:11" x14ac:dyDescent="0.35">
      <c r="E5127" s="9" t="str">
        <v>EPSG</v>
      </c>
      <c r="F5127" s="7" t="str">
        <v>9977</v>
      </c>
      <c r="G5127" t="str">
        <v>ProjectedCrs</v>
      </c>
      <c r="H5127" t="str">
        <v>Transverse Mercator</v>
      </c>
      <c r="I5127" t="str">
        <v>FNL22 Grid</v>
      </c>
      <c r="J5127" t="str">
        <v>United Kingdom (UK) - on or related to the rail route from Inverness to Thurso and Wick.</v>
      </c>
      <c r="K5127" s="11">
        <v>0</v>
      </c>
    </row>
    <row r="5128" spans="5:11" x14ac:dyDescent="0.35">
      <c r="E5128" s="9" t="str">
        <v>EPSG</v>
      </c>
      <c r="F5128" s="7" t="str">
        <v>9978</v>
      </c>
      <c r="G5128" t="str">
        <v>CompoundCrs</v>
      </c>
      <c r="H5128" t="str">
        <v>&lt;undefined&gt;</v>
      </c>
      <c r="I5128" t="str">
        <v>FNL22 Grid + ODN height</v>
      </c>
      <c r="J5128" t="str">
        <v>United Kingdom (UK) - on or related to the rail route from Inverness to Thurso and Wick.</v>
      </c>
      <c r="K5128" s="11">
        <v>0</v>
      </c>
    </row>
    <row r="5129" spans="5:11" x14ac:dyDescent="0.35">
      <c r="E5129" s="9" t="str">
        <v>EPSG</v>
      </c>
      <c r="F5129" s="7" t="str">
        <v>9988</v>
      </c>
      <c r="G5129" t="str">
        <v>GeocentricCrs</v>
      </c>
      <c r="H5129" t="str">
        <v>&lt;undefined&gt;</v>
      </c>
      <c r="I5129" t="str">
        <v>ITRF2020</v>
      </c>
      <c r="J5129" t="str">
        <v>World: Afghanistan, Albania, Algeria, American Samoa, Andorra, Angola, Anguilla, Antarctica, Antigua and Barbuda, Argentina, Armenia, Aruba, Australia, Austria, Azerbaijan, Bahamas, Bahrain, Bangladesh, Barbados, Belgium, Belgium, Belize, Benin, Bermuda, Bhutan, Bolivia, Bonaire, Saint Eustasius and Saba, Bosnia and Herzegovina, Botswana, Bouvet Island, Brazil, British Indian Ocean Territory, British Virgin Islands, Brunei Darussalam, Bulgaria, Burkina Faso, Burundi, Cambodia, Cameroon, Canada, Cape Verde, Cayman Islands, Central African Republic, Chad, Chile, China, Christmas Island, Cocos (Keeling) Islands, Comoros, Congo, Cook Islands, Costa Rica, Côte d'Ivoire (Ivory Coast), Croatia, Cuba, Curacao, Cyprus, Czechia, Denmark, Djibouti, Dominica, Dominican Republic, East Timor, Ecuador, Egypt, El Salvador, Equatorial Guinea, Eritrea, Estonia, Eswatini (Swaziland),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China - Hong Kong, Hungary, Iceland, India, Indonesia, Islamic Republic of Iran, Iraq, Ireland, Israel, Italy, Jamaica, Japan, Jordan, Kazakhstan, Kenya, Kiribati, Democratic People's Republic of Korea (North Korea), Republic of Korea (South Korea), Kosovo, Kuwait, Kyrgyzstan, Lao People's Democratic Republic (Laos), Latvia, Lebanon, Lesotho, Liberia, Libyan Arab Jamahiriya, Liechtenstein, Lithuania, Luxembourg, China - Macao, Madagascar, Malawi, Malaysia, Maldives, Mali, Malta, Marshall Islands, Martinique, Mauritania, Mauritius, Mayotte, Mexico, Federated States of Micronesia, Monaco, Mongolia, Montenegro, Montserrat, Morocco, Mozambique, Myanmar (Burma), Namibia, Nauru, Nepal, Netherlands, New Caledonia, New Zealand, Nicaragua, Niger, Nigeria, Niue, Norfolk Island, North Macedonia, Northern Mariana Islands, Norway, Oman, Pakistan, Palau, Panama, Papua New Guinea (PNG), Paraguay, Peru, Philippines, Pitcairn, Poland, Portugal, Puerto Rico, Qatar, Reunion, Romania, Russian Federation, Rwanda, St Barthelemy, St Kitts and Nevis, St Helena, Ascension and Tristan da Cunha, St Lucia, St Martin, St Pierre and Miquelon, Saint Vincent and the Grenadines, Samoa, San Marino, Sao Tome and Principe, Saudi Arabia, Senegal, Serbia, Seychelles, Sierra Leone, Singapore, Slovakia (Slovak Republic), Slovenia, St Maarten, Solomon Islands, Somalia, South Africa, South Georgia and the South Sandwich Islands, South Sudan, Spain, Sri Lanka, Sudan, Suriname, Svalbard and Jan Mayen, Sweden, Switzerland, Syrian Arab Republic, Taiwan, Tajikistan, United Republic of Tanzania, Thailand, The Democratic Republic of the Congo (Zaire), Togo, Tokelau, Tonga, Trinidad and Tobago, Tunisia, Türkiye (Turkey), Turkmenistan, Turks and Caicos Islands, Tuvalu, Uganda, Ukraine, United Arab Emirates (UAE), United Kingdom (UK), United States (USA), United States Minor Outlying Islands, Uruguay, Uzbekistan, Vanuatu, Venezuela, Vietnam, US Virgin Islands, Wallis and Futuna, Western Sahara, Yemen, Zambia, Zimbabwe.</v>
      </c>
      <c r="K5129" s="11">
        <v>0</v>
      </c>
    </row>
    <row r="5130" spans="5:11" x14ac:dyDescent="0.35">
      <c r="E5130" s="9" t="str">
        <v>EPSG</v>
      </c>
      <c r="F5130" s="7" t="str">
        <v>9989</v>
      </c>
      <c r="G5130" t="str">
        <v>Geographic3DCrs</v>
      </c>
      <c r="H5130" t="str">
        <v>&lt;undefined&gt;</v>
      </c>
      <c r="I5130" t="str">
        <v>ITRF2020</v>
      </c>
      <c r="J5130" t="str">
        <v>World.</v>
      </c>
      <c r="K5130" s="11">
        <v>0</v>
      </c>
    </row>
    <row r="5131" spans="5:11" x14ac:dyDescent="0.35">
      <c r="E5131" s="9" t="str">
        <v>EPSG</v>
      </c>
      <c r="F5131" s="7" t="str">
        <v>9990</v>
      </c>
      <c r="G5131" t="str">
        <v>Geographic2DCrs</v>
      </c>
      <c r="H5131" t="str">
        <v>&lt;undefined&gt;</v>
      </c>
      <c r="I5131" t="str">
        <v>ITRF2020</v>
      </c>
      <c r="J5131" t="str">
        <v>World.</v>
      </c>
      <c r="K5131" s="11">
        <v>0</v>
      </c>
    </row>
    <row r="5132" spans="5:11" x14ac:dyDescent="0.35">
      <c r="E5132" s="9" t="str">
        <v>EPSG</v>
      </c>
      <c r="F5132" s="7" t="str">
        <v>10150</v>
      </c>
      <c r="G5132" t="str">
        <v>VerticalCrs</v>
      </c>
      <c r="H5132" t="str">
        <v>&lt;undefined&gt;</v>
      </c>
      <c r="I5132" t="str">
        <v>MSL UK &amp; Ireland VORF08 depth</v>
      </c>
      <c r="J5132" t="str">
        <v>Ireland and United Kingdom (UK) (including Isle of Man and Channel Islands) - inshore, nearshore and offshore.</v>
      </c>
      <c r="K5132" s="11">
        <v>0</v>
      </c>
    </row>
    <row r="5133" spans="5:11" x14ac:dyDescent="0.35">
      <c r="E5133" s="9" t="str">
        <v>EPSG</v>
      </c>
      <c r="F5133" s="7" t="str">
        <v>10151</v>
      </c>
      <c r="G5133" t="str">
        <v>VerticalCrs</v>
      </c>
      <c r="H5133" t="str">
        <v>&lt;undefined&gt;</v>
      </c>
      <c r="I5133" t="str">
        <v>CD UK &amp; Ireland VORF08 depth</v>
      </c>
      <c r="J5133" t="str">
        <v>Ireland and United Kingdom (UK) (including Isle of Man and Channel Islands) - inshore, nearshore and offshore.</v>
      </c>
      <c r="K5133" s="11">
        <v>0</v>
      </c>
    </row>
    <row r="5134" spans="5:11" x14ac:dyDescent="0.35">
      <c r="E5134" s="9" t="str">
        <v>EPSG</v>
      </c>
      <c r="F5134" s="7" t="str">
        <v>10156</v>
      </c>
      <c r="G5134" t="str">
        <v>CompoundCrs</v>
      </c>
      <c r="H5134" t="str">
        <v>&lt;undefined&gt;</v>
      </c>
      <c r="I5134" t="str">
        <v>ETRS89 + MSL UK &amp; Ireland VORF08 depth</v>
      </c>
      <c r="J5134" t="str">
        <v>Ireland and United Kingdom (UK) (including Isle of Man and Channel Islands) - inshore, nearshore and offshore.</v>
      </c>
      <c r="K5134" s="11">
        <v>0</v>
      </c>
    </row>
    <row r="5135" spans="5:11" x14ac:dyDescent="0.35">
      <c r="E5135" s="9" t="str">
        <v>EPSG</v>
      </c>
      <c r="F5135" s="7" t="str">
        <v>10157</v>
      </c>
      <c r="G5135" t="str">
        <v>CompoundCrs</v>
      </c>
      <c r="H5135" t="str">
        <v>&lt;undefined&gt;</v>
      </c>
      <c r="I5135" t="str">
        <v>ETRS89 + CD UK &amp; Ireland VORF08 depth</v>
      </c>
      <c r="J5135" t="str">
        <v>Ireland and United Kingdom (UK) (including Isle of Man and Channel Islands) - inshore, nearshore and offshore.</v>
      </c>
      <c r="K5135" s="11">
        <v>0</v>
      </c>
    </row>
    <row r="5136" spans="5:11" x14ac:dyDescent="0.35">
      <c r="E5136" s="9" t="str">
        <v>EPSG</v>
      </c>
      <c r="F5136" s="7" t="str">
        <v>10158</v>
      </c>
      <c r="G5136" t="str">
        <v>Geographic2DCrs</v>
      </c>
      <c r="H5136" t="str">
        <v>&lt;undefined&gt;</v>
      </c>
      <c r="I5136" t="str">
        <v>S34J-IRF</v>
      </c>
      <c r="J5136" t="str">
        <v>Denmark - Jutland and Funen - onshore.</v>
      </c>
      <c r="K5136" s="11">
        <v>0</v>
      </c>
    </row>
    <row r="5137" spans="5:11" x14ac:dyDescent="0.35">
      <c r="E5137" s="9" t="str">
        <v>EPSG</v>
      </c>
      <c r="F5137" s="7" t="str">
        <v>10160</v>
      </c>
      <c r="G5137" t="str">
        <v>ProjectedCrs</v>
      </c>
      <c r="H5137" t="str">
        <v>Transverse Mercator</v>
      </c>
      <c r="I5137" t="str">
        <v>S34J reconstruction east-orientated</v>
      </c>
      <c r="J5137" t="str">
        <v>Denmark - Jutland and Funen - onshore.</v>
      </c>
      <c r="K5137" s="11">
        <v>0</v>
      </c>
    </row>
    <row r="5138" spans="5:11" x14ac:dyDescent="0.35">
      <c r="E5138" s="9" t="str">
        <v>EPSG</v>
      </c>
      <c r="F5138" s="7" t="str">
        <v>10162</v>
      </c>
      <c r="G5138" t="str">
        <v>CompoundCrs</v>
      </c>
      <c r="H5138" t="str">
        <v>&lt;undefined&gt;</v>
      </c>
      <c r="I5138" t="str">
        <v>JGD2011 / Japan Plane Rectangular CS I + JGD2011 (vertical) height</v>
      </c>
      <c r="J5138" t="str">
        <v>Japan - onshore - Kyushu west of approximately 130°E - Nagasaki-ken</v>
      </c>
      <c r="K5138" s="11">
        <v>0</v>
      </c>
    </row>
    <row r="5139" spans="5:11" x14ac:dyDescent="0.35">
      <c r="E5139" s="9" t="str">
        <v>EPSG</v>
      </c>
      <c r="F5139" s="7" t="str">
        <v>10163</v>
      </c>
      <c r="G5139" t="str">
        <v>CompoundCrs</v>
      </c>
      <c r="H5139" t="str">
        <v>&lt;undefined&gt;</v>
      </c>
      <c r="I5139" t="str">
        <v>JGD2011 / Japan Plane Rectangular CS II + JGD2011 (vertical) height</v>
      </c>
      <c r="J5139" t="str">
        <v>Japan - onshore - Kyushu east of approximately 130°E - Fukuoka-ken; Saga-ken; Kumamoto-ken; Oita-ken; Miyazaki-ken; Kagoshima-ken on Kyushu (except for area within Japan Plane Rectangular Coordinate System zone I).</v>
      </c>
      <c r="K5139" s="11">
        <v>0</v>
      </c>
    </row>
    <row r="5140" spans="5:11" x14ac:dyDescent="0.35">
      <c r="E5140" s="9" t="str">
        <v>EPSG</v>
      </c>
      <c r="F5140" s="7" t="str">
        <v>10164</v>
      </c>
      <c r="G5140" t="str">
        <v>CompoundCrs</v>
      </c>
      <c r="H5140" t="str">
        <v>&lt;undefined&gt;</v>
      </c>
      <c r="I5140" t="str">
        <v>JGD2011 / Japan Plane Rectangular CS III + JGD2011 (vertical) height</v>
      </c>
      <c r="J5140" t="str">
        <v>Japan - onshore - Honshu west of approximately 133°15'E - Yamaguchi-ken; Shimane-ken; Hiroshima-ken.</v>
      </c>
      <c r="K5140" s="11">
        <v>0</v>
      </c>
    </row>
    <row r="5141" spans="5:11" x14ac:dyDescent="0.35">
      <c r="E5141" s="9" t="str">
        <v>EPSG</v>
      </c>
      <c r="F5141" s="7" t="str">
        <v>10165</v>
      </c>
      <c r="G5141" t="str">
        <v>CompoundCrs</v>
      </c>
      <c r="H5141" t="str">
        <v>&lt;undefined&gt;</v>
      </c>
      <c r="I5141" t="str">
        <v>JGD2011 / Japan Plane Rectangular CS IV + JGD2011 (vertical) height</v>
      </c>
      <c r="J5141" t="str">
        <v>Japan - onshore - Shikoku - Kagawa-ken; Ehime-ken; Tokushima-ken; Kochi-ken.</v>
      </c>
      <c r="K5141" s="11">
        <v>0</v>
      </c>
    </row>
    <row r="5142" spans="5:11" x14ac:dyDescent="0.35">
      <c r="E5142" s="9" t="str">
        <v>EPSG</v>
      </c>
      <c r="F5142" s="7" t="str">
        <v>10166</v>
      </c>
      <c r="G5142" t="str">
        <v>CompoundCrs</v>
      </c>
      <c r="H5142" t="str">
        <v>&lt;undefined&gt;</v>
      </c>
      <c r="I5142" t="str">
        <v>JGD2011 / Japan Plane Rectangular CS V + JGD2011 (vertical) height</v>
      </c>
      <c r="J5142" t="str">
        <v>Japan - onshore - Honshu between approximately 133°15'E and 135°10'E - Hyogo-ken; Tottori-ken; Okayama-ken.</v>
      </c>
      <c r="K5142" s="11">
        <v>0</v>
      </c>
    </row>
    <row r="5143" spans="5:11" x14ac:dyDescent="0.35">
      <c r="E5143" s="9" t="str">
        <v>EPSG</v>
      </c>
      <c r="F5143" s="7" t="str">
        <v>10167</v>
      </c>
      <c r="G5143" t="str">
        <v>CompoundCrs</v>
      </c>
      <c r="H5143" t="str">
        <v>&lt;undefined&gt;</v>
      </c>
      <c r="I5143" t="str">
        <v>JGD2011 / Japan Plane Rectangular CS VI + JGD2011 (vertical) height</v>
      </c>
      <c r="J5143" t="str">
        <v>Japan - onshore - Honshu between approximately 135°10'E and 136°45'E - Kyoto-fu; Osaka-fu; Fukui-ken; Shiga-ken; Mie-ken; Nara-ken; Wakayama-ken.</v>
      </c>
      <c r="K5143" s="11">
        <v>0</v>
      </c>
    </row>
    <row r="5144" spans="5:11" x14ac:dyDescent="0.35">
      <c r="E5144" s="9" t="str">
        <v>EPSG</v>
      </c>
      <c r="F5144" s="7" t="str">
        <v>10168</v>
      </c>
      <c r="G5144" t="str">
        <v>CompoundCrs</v>
      </c>
      <c r="H5144" t="str">
        <v>&lt;undefined&gt;</v>
      </c>
      <c r="I5144" t="str">
        <v>JGD2011 / Japan Plane Rectangular CS VII + JGD2011 (vertical) height</v>
      </c>
      <c r="J5144" t="str">
        <v>Japan - onshore - Honshu between approximately 136°15'E and 137°45'E - Ishikawa-ken; Toyama-ken; Gifu-ken; Aichi-ken.</v>
      </c>
      <c r="K5144" s="11">
        <v>0</v>
      </c>
    </row>
    <row r="5145" spans="5:11" x14ac:dyDescent="0.35">
      <c r="E5145" s="9" t="str">
        <v>EPSG</v>
      </c>
      <c r="F5145" s="7" t="str">
        <v>10169</v>
      </c>
      <c r="G5145" t="str">
        <v>CompoundCrs</v>
      </c>
      <c r="H5145" t="str">
        <v>&lt;undefined&gt;</v>
      </c>
      <c r="I5145" t="str">
        <v>JGD2011 / Japan Plane Rectangular CS VIII + JGD2011 (vertical) height</v>
      </c>
      <c r="J5145" t="str">
        <v>Japan - onshore - Honshu between approximately 137°45'E and 139°E - Niigata-ken on Honshu; Nagano-ken; Yamanashi-ken; Shizuoka-ken.</v>
      </c>
      <c r="K5145" s="11">
        <v>0</v>
      </c>
    </row>
    <row r="5146" spans="5:11" x14ac:dyDescent="0.35">
      <c r="E5146" s="9" t="str">
        <v>EPSG</v>
      </c>
      <c r="F5146" s="7" t="str">
        <v>10170</v>
      </c>
      <c r="G5146" t="str">
        <v>CompoundCrs</v>
      </c>
      <c r="H5146" t="str">
        <v>&lt;undefined&gt;</v>
      </c>
      <c r="I5146" t="str">
        <v>JGD2011 / Japan Plane Rectangular CS IX + JGD2011 (vertical) height</v>
      </c>
      <c r="J5146" t="str">
        <v>Japan - onshore - Honshu - Tokyo-to. (Excludes offshore island areas of Tokyo-to).</v>
      </c>
      <c r="K5146" s="11">
        <v>0</v>
      </c>
    </row>
    <row r="5147" spans="5:11" x14ac:dyDescent="0.35">
      <c r="E5147" s="9" t="str">
        <v>EPSG</v>
      </c>
      <c r="F5147" s="7" t="str">
        <v>10171</v>
      </c>
      <c r="G5147" t="str">
        <v>CompoundCrs</v>
      </c>
      <c r="H5147" t="str">
        <v>&lt;undefined&gt;</v>
      </c>
      <c r="I5147" t="str">
        <v>JGD2011 / Japan Plane Rectangular CS X + JGD2011 (vertical) height</v>
      </c>
      <c r="J5147" t="str">
        <v>Japan - onshore - Honshu north of 38°N approximately - Aomori-ken; Akita-ken; Yamagata-ken; Iwate-ken; Miyagi-ken.</v>
      </c>
      <c r="K5147" s="11">
        <v>0</v>
      </c>
    </row>
    <row r="5148" spans="5:11" x14ac:dyDescent="0.35">
      <c r="E5148" s="9" t="str">
        <v>EPSG</v>
      </c>
      <c r="F5148" s="7" t="str">
        <v>10172</v>
      </c>
      <c r="G5148" t="str">
        <v>CompoundCrs</v>
      </c>
      <c r="H5148" t="str">
        <v>&lt;undefined&gt;</v>
      </c>
      <c r="I5148" t="str">
        <v>JGD2011 / Japan Plane Rectangular CS XI + JGD2011 (vertical) height</v>
      </c>
      <c r="J5148" t="str">
        <v>Japan - onshore - Hokkaido west of approximately 141°E - Otaru city; Usu-gun and Abuta-gun of Iburi-shicho; Hiyama-shicho; Shiribeshi-shicho; Oshima-shicho.</v>
      </c>
      <c r="K5148" s="11">
        <v>0</v>
      </c>
    </row>
    <row r="5149" spans="5:11" x14ac:dyDescent="0.35">
      <c r="E5149" s="9" t="str">
        <v>EPSG</v>
      </c>
      <c r="F5149" s="7" t="str">
        <v>10173</v>
      </c>
      <c r="G5149" t="str">
        <v>CompoundCrs</v>
      </c>
      <c r="H5149" t="str">
        <v>&lt;undefined&gt;</v>
      </c>
      <c r="I5149" t="str">
        <v>JGD2011 / Japan Plane Rectangular CS XII + JGD2011 (vertical) height</v>
      </c>
      <c r="J5149" t="str">
        <v>Japan - onshore - Hokkaido between approximately 141°E and 143°E - Sapporo city; Asahikawa city; Wakkanai city; Rumoi city; Bibai city; Yubari city; Iwamizawa city; Tomakomai city; Muroran city; Shibetsu city; Nayoro city; Ashibetsu city; Akabira city; Mikasa city; Takikawa city; Sunagawa city; Ebetsu city; Chitose city; Utashinai city; Fukagawa city; Monbetsu city; Furano city; Noboribetsu city; Eniwa city; Ishikari-shicho; Monbetsu-gun of Abashiri-shicho; Kamikawa-shicho; Soya-shicho; Hidaka-shicho; Iburi-shicho (except Usu-gun and Abuta-gun); Sorachi-shicho; Rumoi-shicho.</v>
      </c>
      <c r="K5149" s="11">
        <v>0</v>
      </c>
    </row>
    <row r="5150" spans="5:11" x14ac:dyDescent="0.35">
      <c r="E5150" s="9" t="str">
        <v>EPSG</v>
      </c>
      <c r="F5150" s="7" t="str">
        <v>10174</v>
      </c>
      <c r="G5150" t="str">
        <v>CompoundCrs</v>
      </c>
      <c r="H5150" t="str">
        <v>&lt;undefined&gt;</v>
      </c>
      <c r="I5150" t="str">
        <v>JGD2011 / Japan Plane Rectangular CS XIII + JGD2011 (vertical) height</v>
      </c>
      <c r="J5150" t="str">
        <v>Japan - onshore - Hokkaido east of approximately 143°E - Kitami city; Obihiro city; Kushiro city; Abashiri city; Nemuro city; Nemuro-shicho; Kushiro-shicho; Abashiri-shicho (except Monbetsu-gun); Tokachi-shicho.</v>
      </c>
      <c r="K5150" s="11">
        <v>0</v>
      </c>
    </row>
    <row r="5151" spans="5:11" x14ac:dyDescent="0.35">
      <c r="E5151" s="9" t="str">
        <v>EPSG</v>
      </c>
      <c r="F5151" s="7" t="str">
        <v>10175</v>
      </c>
      <c r="G5151" t="str">
        <v>Geographic2DCrs</v>
      </c>
      <c r="H5151" t="str">
        <v>&lt;undefined&gt;</v>
      </c>
      <c r="I5151" t="str">
        <v>DoPw22-IRF</v>
      </c>
      <c r="J5151" t="str">
        <v>United Kingdom (UK) - on or related to the rail route from Dovey Junction to Pwllheli.</v>
      </c>
      <c r="K5151" s="11">
        <v>0</v>
      </c>
    </row>
    <row r="5152" spans="5:11" x14ac:dyDescent="0.35">
      <c r="E5152" s="9" t="str">
        <v>EPSG</v>
      </c>
      <c r="F5152" s="7" t="str">
        <v>10176</v>
      </c>
      <c r="G5152" t="str">
        <v>GeocentricCrs</v>
      </c>
      <c r="H5152" t="str">
        <v>&lt;undefined&gt;</v>
      </c>
      <c r="I5152" t="str">
        <v>IGS20</v>
      </c>
      <c r="J5152" t="str">
        <v>World: Afghanistan, Albania, Algeria, American Samoa, Andorra, Angola, Anguilla, Antarctica, Antigua and Barbuda, Argentina, Armenia, Aruba, Australia, Austria, Azerbaijan, Bahamas, Bahrain, Bangladesh, Barbados, Belgium, Belgium, Belize, Benin, Bermuda, Bhutan, Bolivia, Bonaire, Saint Eustasius and Saba, Bosnia and Herzegovina, Botswana, Bouvet Island, Brazil, British Indian Ocean Territory, British Virgin Islands, Brunei Darussalam, Bulgaria, Burkina Faso, Burundi, Cambodia, Cameroon, Canada, Cape Verde, Cayman Islands, Central African Republic, Chad, Chile, China, Christmas Island, Cocos (Keeling) Islands, Comoros, Congo, Cook Islands, Costa Rica, Côte d'Ivoire (Ivory Coast), Croatia, Cuba, Curacao, Cyprus, Czechia, Denmark, Djibouti, Dominica, Dominican Republic, East Timor, Ecuador, Egypt, El Salvador, Equatorial Guinea, Eritrea, Estonia, Eswatini (Swaziland),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China - Hong Kong, Hungary, Iceland, India, Indonesia, Islamic Republic of Iran, Iraq, Ireland, Israel, Italy, Jamaica, Japan, Jordan, Kazakhstan, Kenya, Kiribati, Democratic People's Republic of Korea (North Korea), Republic of Korea (South Korea), Kosovo, Kuwait, Kyrgyzstan, Lao People's Democratic Republic (Laos), Latvia, Lebanon, Lesotho, Liberia, Libyan Arab Jamahiriya, Liechtenstein, Lithuania, Luxembourg, China - Macao, Madagascar, Malawi, Malaysia, Maldives, Mali, Malta, Marshall Islands, Martinique, Mauritania, Mauritius, Mayotte, Mexico, Federated States of Micronesia, Monaco, Mongolia, Montenegro, Montserrat, Morocco, Mozambique, Myanmar (Burma), Namibia, Nauru, Nepal, Netherlands, New Caledonia, New Zealand, Nicaragua, Niger, Nigeria, Niue, Norfolk Island, North Macedonia, Northern Mariana Islands, Norway, Oman, Pakistan, Palau, Panama, Papua New Guinea (PNG), Paraguay, Peru, Philippines, Pitcairn, Poland, Portugal, Puerto Rico, Qatar, Reunion, Romania, Russian Federation, Rwanda, St Barthelemy, St Kitts and Nevis, St Helena, Ascension and Tristan da Cunha, St Lucia, St Martin, St Pierre and Miquelon, Saint Vincent and the Grenadines, Samoa, San Marino, Sao Tome and Principe, Saudi Arabia, Senegal, Serbia, Seychelles, Sierra Leone, Singapore, Slovakia (Slovak Republic), Slovenia, St Maarten, Solomon Islands, Somalia, South Africa, South Georgia and the South Sandwich Islands, South Sudan, Spain, Sri Lanka, Sudan, Suriname, Svalbard and Jan Mayen, Sweden, Switzerland, Syrian Arab Republic, Taiwan, Tajikistan, United Republic of Tanzania, Thailand, The Democratic Republic of the Congo (Zaire), Togo, Tokelau, Tonga, Trinidad and Tobago, Tunisia, Türkiye (Turkey), Turkmenistan, Turks and Caicos Islands, Tuvalu, Uganda, Ukraine, United Arab Emirates (UAE), United Kingdom (UK), United States (USA), United States Minor Outlying Islands, Uruguay, Uzbekistan, Vanuatu, Venezuela, Vietnam, US Virgin Islands, Wallis and Futuna, Western Sahara, Yemen, Zambia, Zimbabwe.</v>
      </c>
      <c r="K5152" s="11">
        <v>0</v>
      </c>
    </row>
    <row r="5153" spans="5:11" x14ac:dyDescent="0.35">
      <c r="E5153" s="9" t="str">
        <v>EPSG</v>
      </c>
      <c r="F5153" s="7" t="str">
        <v>10177</v>
      </c>
      <c r="G5153" t="str">
        <v>Geographic3DCrs</v>
      </c>
      <c r="H5153" t="str">
        <v>&lt;undefined&gt;</v>
      </c>
      <c r="I5153" t="str">
        <v>IGS20</v>
      </c>
      <c r="J5153" t="str">
        <v>World.</v>
      </c>
      <c r="K5153" s="11">
        <v>0</v>
      </c>
    </row>
    <row r="5154" spans="5:11" x14ac:dyDescent="0.35">
      <c r="E5154" s="9" t="str">
        <v>EPSG</v>
      </c>
      <c r="F5154" s="7" t="str">
        <v>10178</v>
      </c>
      <c r="G5154" t="str">
        <v>Geographic2DCrs</v>
      </c>
      <c r="H5154" t="str">
        <v>&lt;undefined&gt;</v>
      </c>
      <c r="I5154" t="str">
        <v>IGS20</v>
      </c>
      <c r="J5154" t="str">
        <v>World.</v>
      </c>
      <c r="K5154" s="11">
        <v>0</v>
      </c>
    </row>
    <row r="5155" spans="5:11" x14ac:dyDescent="0.35">
      <c r="E5155" s="9" t="str">
        <v>EPSG</v>
      </c>
      <c r="F5155" s="7" t="str">
        <v>10183</v>
      </c>
      <c r="G5155" t="str">
        <v>ProjectedCrs</v>
      </c>
      <c r="H5155" t="str">
        <v>Transverse Mercator</v>
      </c>
      <c r="I5155" t="str">
        <v>DoPw22 Grid</v>
      </c>
      <c r="J5155" t="str">
        <v>United Kingdom (UK) - on or related to the rail route from Dovey Junction to Pwllheli.</v>
      </c>
      <c r="K5155" s="11">
        <v>0</v>
      </c>
    </row>
    <row r="5156" spans="5:11" x14ac:dyDescent="0.35">
      <c r="E5156" s="9" t="str">
        <v>EPSG</v>
      </c>
      <c r="F5156" s="7" t="str">
        <v>10184</v>
      </c>
      <c r="G5156" t="str">
        <v>CompoundCrs</v>
      </c>
      <c r="H5156" t="str">
        <v>&lt;undefined&gt;</v>
      </c>
      <c r="I5156" t="str">
        <v>DoPw22 Grid + ODN height</v>
      </c>
      <c r="J5156" t="str">
        <v>United Kingdom (UK) - on or related to the rail route from Dovey Junction to Pwllheli.</v>
      </c>
      <c r="K5156" s="11">
        <v>0</v>
      </c>
    </row>
    <row r="5157" spans="5:11" x14ac:dyDescent="0.35">
      <c r="E5157" s="9" t="str">
        <v>EPSG</v>
      </c>
      <c r="F5157" s="7" t="str">
        <v>10185</v>
      </c>
      <c r="G5157" t="str">
        <v>Geographic2DCrs</v>
      </c>
      <c r="H5157" t="str">
        <v>&lt;undefined&gt;</v>
      </c>
      <c r="I5157" t="str">
        <v>ShAb07-IRF</v>
      </c>
      <c r="J5157" t="str">
        <v>United Kingdom (UK) - on or related to the rail route from Shrewsbury to Aberystwyth.</v>
      </c>
      <c r="K5157" s="11">
        <v>0</v>
      </c>
    </row>
    <row r="5158" spans="5:11" x14ac:dyDescent="0.35">
      <c r="E5158" s="9" t="str">
        <v>EPSG</v>
      </c>
      <c r="F5158" s="7" t="str">
        <v>10188</v>
      </c>
      <c r="G5158" t="str">
        <v>ProjectedCrs</v>
      </c>
      <c r="H5158" t="str">
        <v>Transverse Mercator</v>
      </c>
      <c r="I5158" t="str">
        <v>ShAb07 Grid</v>
      </c>
      <c r="J5158" t="str">
        <v>United Kingdom (UK) - on or related to the rail route from Shrewsbury to Aberystwyth.</v>
      </c>
      <c r="K5158" s="11">
        <v>0</v>
      </c>
    </row>
    <row r="5159" spans="5:11" x14ac:dyDescent="0.35">
      <c r="E5159" s="9" t="str">
        <v>EPSG</v>
      </c>
      <c r="F5159" s="7" t="str">
        <v>10189</v>
      </c>
      <c r="G5159" t="str">
        <v>CompoundCrs</v>
      </c>
      <c r="H5159" t="str">
        <v>&lt;undefined&gt;</v>
      </c>
      <c r="I5159" t="str">
        <v>ShAb07 Grid + ODN height</v>
      </c>
      <c r="J5159" t="str">
        <v>United Kingdom (UK) - on or related to the rail route from Shrewsbury to Aberystwyth.</v>
      </c>
      <c r="K5159" s="11">
        <v>0</v>
      </c>
    </row>
    <row r="5160" spans="5:11" x14ac:dyDescent="0.35">
      <c r="E5160" s="9" t="str">
        <v>EPSG</v>
      </c>
      <c r="F5160" s="7" t="str">
        <v>10190</v>
      </c>
      <c r="G5160" t="str">
        <v>VerticalCrs</v>
      </c>
      <c r="H5160" t="str">
        <v>&lt;undefined&gt;</v>
      </c>
      <c r="I5160" t="str">
        <v>NGA 2022 height</v>
      </c>
      <c r="J5160" t="str">
        <v>Algeria - onshore.</v>
      </c>
      <c r="K5160" s="11">
        <v>0</v>
      </c>
    </row>
    <row r="5161" spans="5:11" x14ac:dyDescent="0.35">
      <c r="E5161" s="9" t="str">
        <v>EPSG</v>
      </c>
      <c r="F5161" s="7" t="str">
        <v>10191</v>
      </c>
      <c r="G5161" t="str">
        <v>Geographic2DCrs</v>
      </c>
      <c r="H5161" t="str">
        <v>&lt;undefined&gt;</v>
      </c>
      <c r="I5161" t="str">
        <v>CNH22-IRF</v>
      </c>
      <c r="J5161" t="str">
        <v>United Kingdom (UK) - on or related to the rail route from Crewe via Chester to Holyhead.</v>
      </c>
      <c r="K5161" s="11">
        <v>0</v>
      </c>
    </row>
    <row r="5162" spans="5:11" x14ac:dyDescent="0.35">
      <c r="E5162" s="9" t="str">
        <v>EPSG</v>
      </c>
      <c r="F5162" s="7" t="str">
        <v>10194</v>
      </c>
      <c r="G5162" t="str">
        <v>ProjectedCrs</v>
      </c>
      <c r="H5162" t="str">
        <v>Lambert Conic Conformal (2SP)</v>
      </c>
      <c r="I5162" t="str">
        <v>CNH22 Grid</v>
      </c>
      <c r="J5162" t="str">
        <v>United Kingdom (UK) - on or related to the rail route from Crewe via Chester to Holyhead.</v>
      </c>
      <c r="K5162" s="11">
        <v>0</v>
      </c>
    </row>
    <row r="5163" spans="5:11" x14ac:dyDescent="0.35">
      <c r="E5163" s="9" t="str">
        <v>EPSG</v>
      </c>
      <c r="F5163" s="7" t="str">
        <v>10195</v>
      </c>
      <c r="G5163" t="str">
        <v>CompoundCrs</v>
      </c>
      <c r="H5163" t="str">
        <v>&lt;undefined&gt;</v>
      </c>
      <c r="I5163" t="str">
        <v>CNH22 Grid + ODN height</v>
      </c>
      <c r="J5163" t="str">
        <v>United Kingdom (UK) - on or related to the rail route from Crewe via Chester to Holyhead.</v>
      </c>
      <c r="K5163" s="11">
        <v>0</v>
      </c>
    </row>
    <row r="5164" spans="5:11" x14ac:dyDescent="0.35">
      <c r="E5164" s="9" t="str">
        <v>EPSG</v>
      </c>
      <c r="F5164" s="7" t="str">
        <v>10196</v>
      </c>
      <c r="G5164" t="str">
        <v>Geographic2DCrs</v>
      </c>
      <c r="H5164" t="str">
        <v>&lt;undefined&gt;</v>
      </c>
      <c r="I5164" t="str">
        <v>CWS13-IRF</v>
      </c>
      <c r="J5164" t="str">
        <v>United Kingdom (UK) - on or related to the rail route from from Chester via Wrexham to Shrewsbury.</v>
      </c>
      <c r="K5164" s="11">
        <v>0</v>
      </c>
    </row>
    <row r="5165" spans="5:11" x14ac:dyDescent="0.35">
      <c r="E5165" s="9" t="str">
        <v>EPSG</v>
      </c>
      <c r="F5165" s="7" t="str">
        <v>10199</v>
      </c>
      <c r="G5165" t="str">
        <v>ProjectedCrs</v>
      </c>
      <c r="H5165" t="str">
        <v>Transverse Mercator</v>
      </c>
      <c r="I5165" t="str">
        <v>CWS13 Grid</v>
      </c>
      <c r="J5165" t="str">
        <v>United Kingdom (UK) - on or related to the rail route from from Chester via Wrexham to Shrewsbury.</v>
      </c>
      <c r="K5165" s="11">
        <v>0</v>
      </c>
    </row>
    <row r="5166" spans="5:11" x14ac:dyDescent="0.35">
      <c r="E5166" s="9" t="str">
        <v>EPSG</v>
      </c>
      <c r="F5166" s="7" t="str">
        <v>10200</v>
      </c>
      <c r="G5166" t="str">
        <v>CompoundCrs</v>
      </c>
      <c r="H5166" t="str">
        <v>&lt;undefined&gt;</v>
      </c>
      <c r="I5166" t="str">
        <v>CWS13 Grid + ODN height</v>
      </c>
      <c r="J5166" t="str">
        <v>United Kingdom (UK) - on or related to the rail route from from Chester via Wrexham to Shrewsbury.</v>
      </c>
      <c r="K5166" s="11">
        <v>0</v>
      </c>
    </row>
    <row r="5167" spans="5:11" x14ac:dyDescent="0.35">
      <c r="E5167" s="9" t="str">
        <v>EPSG</v>
      </c>
      <c r="F5167" s="7" t="str">
        <v>10204</v>
      </c>
      <c r="G5167" t="str">
        <v>Geographic2DCrs</v>
      </c>
      <c r="H5167" t="str">
        <v>&lt;undefined&gt;</v>
      </c>
      <c r="I5167" t="str">
        <v>DIBA15-IRF</v>
      </c>
      <c r="J5167" t="str">
        <v>United Kingdom (UK) - on or related to the rail route from Didcot to Banbury.</v>
      </c>
      <c r="K5167" s="11">
        <v>0</v>
      </c>
    </row>
    <row r="5168" spans="5:11" x14ac:dyDescent="0.35">
      <c r="E5168" s="9" t="str">
        <v>EPSG</v>
      </c>
      <c r="F5168" s="7" t="str">
        <v>10207</v>
      </c>
      <c r="G5168" t="str">
        <v>ProjectedCrs</v>
      </c>
      <c r="H5168" t="str">
        <v>Transverse Mercator</v>
      </c>
      <c r="I5168" t="str">
        <v>DIBA15 Grid</v>
      </c>
      <c r="J5168" t="str">
        <v>United Kingdom (UK) - on or related to the rail route from Didcot to Banbury.</v>
      </c>
      <c r="K5168" s="11">
        <v>0</v>
      </c>
    </row>
    <row r="5169" spans="5:11" x14ac:dyDescent="0.35">
      <c r="E5169" s="9" t="str">
        <v>EPSG</v>
      </c>
      <c r="F5169" s="7" t="str">
        <v>10208</v>
      </c>
      <c r="G5169" t="str">
        <v>CompoundCrs</v>
      </c>
      <c r="H5169" t="str">
        <v>&lt;undefined&gt;</v>
      </c>
      <c r="I5169" t="str">
        <v>DIBA15 Grid + ODN height</v>
      </c>
      <c r="J5169" t="str">
        <v>United Kingdom (UK) - on or related to the rail route from Didcot to Banbury.</v>
      </c>
      <c r="K5169" s="11">
        <v>0</v>
      </c>
    </row>
    <row r="5170" spans="5:11" x14ac:dyDescent="0.35">
      <c r="E5170" s="9" t="str">
        <v>EPSG</v>
      </c>
      <c r="F5170" s="7" t="str">
        <v>10209</v>
      </c>
      <c r="G5170" t="str">
        <v>Geographic2DCrs</v>
      </c>
      <c r="H5170" t="str">
        <v>&lt;undefined&gt;</v>
      </c>
      <c r="I5170" t="str">
        <v>GWPBS22-IRF</v>
      </c>
      <c r="J5170" t="str">
        <v>United Kingdom (UK) - on or related to the rail route from London (Paddington) to Swansea.</v>
      </c>
      <c r="K5170" s="11">
        <v>0</v>
      </c>
    </row>
    <row r="5171" spans="5:11" x14ac:dyDescent="0.35">
      <c r="E5171" s="9" t="str">
        <v>EPSG</v>
      </c>
      <c r="F5171" s="7" t="str">
        <v>10212</v>
      </c>
      <c r="G5171" t="str">
        <v>ProjectedCrs</v>
      </c>
      <c r="H5171" t="str">
        <v>Lambert Conic Conformal (2SP)</v>
      </c>
      <c r="I5171" t="str">
        <v>GWPBS22 Grid</v>
      </c>
      <c r="J5171" t="str">
        <v>United Kingdom (UK) - on or related to the rail route from London (Paddington) to Swansea.</v>
      </c>
      <c r="K5171" s="11">
        <v>0</v>
      </c>
    </row>
    <row r="5172" spans="5:11" x14ac:dyDescent="0.35">
      <c r="E5172" s="9" t="str">
        <v>EPSG</v>
      </c>
      <c r="F5172" s="7" t="str">
        <v>10213</v>
      </c>
      <c r="G5172" t="str">
        <v>CompoundCrs</v>
      </c>
      <c r="H5172" t="str">
        <v>&lt;undefined&gt;</v>
      </c>
      <c r="I5172" t="str">
        <v>GWPBS22 Grid + ODN height</v>
      </c>
      <c r="J5172" t="str">
        <v>United Kingdom (UK) - on or related to the rail route from London (Paddington) to Swansea.</v>
      </c>
      <c r="K5172" s="11">
        <v>0</v>
      </c>
    </row>
    <row r="5173" spans="5:11" x14ac:dyDescent="0.35">
      <c r="E5173" s="9" t="str">
        <v>EPSG</v>
      </c>
      <c r="F5173" s="7" t="str">
        <v>10214</v>
      </c>
      <c r="G5173" t="str">
        <v>Geographic2DCrs</v>
      </c>
      <c r="H5173" t="str">
        <v>&lt;undefined&gt;</v>
      </c>
      <c r="I5173" t="str">
        <v>GWWAB22-IRF</v>
      </c>
      <c r="J5173" t="str">
        <v>United Kingdom (UK) - on or related to the rail routes around Cardiff and the valleys.</v>
      </c>
      <c r="K5173" s="11">
        <v>0</v>
      </c>
    </row>
    <row r="5174" spans="5:11" x14ac:dyDescent="0.35">
      <c r="E5174" s="9" t="str">
        <v>EPSG</v>
      </c>
      <c r="F5174" s="7" t="str">
        <v>10217</v>
      </c>
      <c r="G5174" t="str">
        <v>ProjectedCrs</v>
      </c>
      <c r="H5174" t="str">
        <v>Lambert Conic Conformal (2SP)</v>
      </c>
      <c r="I5174" t="str">
        <v>GWWAB22 Grid</v>
      </c>
      <c r="J5174" t="str">
        <v>United Kingdom (UK) - on or related to the rail routes around Cardiff and the valleys.</v>
      </c>
      <c r="K5174" s="11">
        <v>0</v>
      </c>
    </row>
    <row r="5175" spans="5:11" x14ac:dyDescent="0.35">
      <c r="E5175" s="9" t="str">
        <v>EPSG</v>
      </c>
      <c r="F5175" s="7" t="str">
        <v>10218</v>
      </c>
      <c r="G5175" t="str">
        <v>CompoundCrs</v>
      </c>
      <c r="H5175" t="str">
        <v>&lt;undefined&gt;</v>
      </c>
      <c r="I5175" t="str">
        <v>GWWAB22 Grid + ODN height</v>
      </c>
      <c r="J5175" t="str">
        <v>United Kingdom (UK) - on or related to the rail routes around Cardiff and the valleys.</v>
      </c>
      <c r="K5175" s="11">
        <v>0</v>
      </c>
    </row>
    <row r="5176" spans="5:11" x14ac:dyDescent="0.35">
      <c r="E5176" s="9" t="str">
        <v>EPSG</v>
      </c>
      <c r="F5176" s="7" t="str">
        <v>10219</v>
      </c>
      <c r="G5176" t="str">
        <v>Geographic2DCrs</v>
      </c>
      <c r="H5176" t="str">
        <v>&lt;undefined&gt;</v>
      </c>
      <c r="I5176" t="str">
        <v>GWWWA22-IRF</v>
      </c>
      <c r="J5176" t="str">
        <v>United Kingdom (UK) - on or related to the rail routes from Swansea to Pembroke Dock, Milford Haven and Fishguard.</v>
      </c>
      <c r="K5176" s="11">
        <v>0</v>
      </c>
    </row>
    <row r="5177" spans="5:11" x14ac:dyDescent="0.35">
      <c r="E5177" s="9" t="str">
        <v>EPSG</v>
      </c>
      <c r="F5177" s="7" t="str">
        <v>10222</v>
      </c>
      <c r="G5177" t="str">
        <v>ProjectedCrs</v>
      </c>
      <c r="H5177" t="str">
        <v>Lambert Conic Conformal (2SP)</v>
      </c>
      <c r="I5177" t="str">
        <v>GWWWA22 Grid</v>
      </c>
      <c r="J5177" t="str">
        <v>United Kingdom (UK) - on or related to the rail routes from Swansea to Pembroke Dock, Milford Haven and Fishguard.</v>
      </c>
      <c r="K5177" s="11">
        <v>0</v>
      </c>
    </row>
    <row r="5178" spans="5:11" x14ac:dyDescent="0.35">
      <c r="E5178" s="9" t="str">
        <v>EPSG</v>
      </c>
      <c r="F5178" s="7" t="str">
        <v>10223</v>
      </c>
      <c r="G5178" t="str">
        <v>CompoundCrs</v>
      </c>
      <c r="H5178" t="str">
        <v>&lt;undefined&gt;</v>
      </c>
      <c r="I5178" t="str">
        <v>GWWWA22 Grid + ODN height</v>
      </c>
      <c r="J5178" t="str">
        <v>United Kingdom (UK) - on or related to the rail routes from Swansea to Pembroke Dock, Milford Haven and Fishguard.</v>
      </c>
      <c r="K5178" s="11">
        <v>0</v>
      </c>
    </row>
    <row r="5179" spans="5:11" x14ac:dyDescent="0.35">
      <c r="E5179" s="9" t="str">
        <v>EPSG</v>
      </c>
      <c r="F5179" s="7" t="str">
        <v>10224</v>
      </c>
      <c r="G5179" t="str">
        <v>Geographic2DCrs</v>
      </c>
      <c r="H5179" t="str">
        <v>&lt;undefined&gt;</v>
      </c>
      <c r="I5179" t="str">
        <v>MALS09-IRF</v>
      </c>
      <c r="J5179" t="str">
        <v>United Kingdom (UK) - on or related to the rail route from London (Marylebone) to Leamington Spa.</v>
      </c>
      <c r="K5179" s="11">
        <v>0</v>
      </c>
    </row>
    <row r="5180" spans="5:11" x14ac:dyDescent="0.35">
      <c r="E5180" s="9" t="str">
        <v>EPSG</v>
      </c>
      <c r="F5180" s="7" t="str">
        <v>10227</v>
      </c>
      <c r="G5180" t="str">
        <v>ProjectedCrs</v>
      </c>
      <c r="H5180" t="str">
        <v>Transverse Mercator</v>
      </c>
      <c r="I5180" t="str">
        <v>MALS09 Grid</v>
      </c>
      <c r="J5180" t="str">
        <v>United Kingdom (UK) - on or related to the rail route from London (Marylebone) to Leamington Spa.</v>
      </c>
      <c r="K5180" s="11">
        <v>0</v>
      </c>
    </row>
    <row r="5181" spans="5:11" x14ac:dyDescent="0.35">
      <c r="E5181" s="9" t="str">
        <v>EPSG</v>
      </c>
      <c r="F5181" s="7" t="str">
        <v>10228</v>
      </c>
      <c r="G5181" t="str">
        <v>CompoundCrs</v>
      </c>
      <c r="H5181" t="str">
        <v>&lt;undefined&gt;</v>
      </c>
      <c r="I5181" t="str">
        <v>MALS09 Grid + ODN height</v>
      </c>
      <c r="J5181" t="str">
        <v>United Kingdom (UK) - on or related to the rail route from London (Marylebone) to Leamington Spa.</v>
      </c>
      <c r="K5181" s="11">
        <v>0</v>
      </c>
    </row>
    <row r="5182" spans="5:11" x14ac:dyDescent="0.35">
      <c r="E5182" s="9" t="str">
        <v>EPSG</v>
      </c>
      <c r="F5182" s="7" t="str">
        <v>10229</v>
      </c>
      <c r="G5182" t="str">
        <v>Geographic2DCrs</v>
      </c>
      <c r="H5182" t="str">
        <v>&lt;undefined&gt;</v>
      </c>
      <c r="I5182" t="str">
        <v>OxWo08-IRF</v>
      </c>
      <c r="J5182" t="str">
        <v>United Kingdom (UK) - on or related to the rail route from Oxford to Worcester.</v>
      </c>
      <c r="K5182" s="11">
        <v>0</v>
      </c>
    </row>
    <row r="5183" spans="5:11" x14ac:dyDescent="0.35">
      <c r="E5183" s="9" t="str">
        <v>EPSG</v>
      </c>
      <c r="F5183" s="7" t="str">
        <v>10235</v>
      </c>
      <c r="G5183" t="str">
        <v>ProjectedCrs</v>
      </c>
      <c r="H5183" t="str">
        <v>Transverse Mercator</v>
      </c>
      <c r="I5183" t="str">
        <v>OxWo08 Grid</v>
      </c>
      <c r="J5183" t="str">
        <v>United Kingdom (UK) - on or related to the rail route from Oxford to Worcester.</v>
      </c>
      <c r="K5183" s="11">
        <v>0</v>
      </c>
    </row>
    <row r="5184" spans="5:11" x14ac:dyDescent="0.35">
      <c r="E5184" s="9" t="str">
        <v>EPSG</v>
      </c>
      <c r="F5184" s="7" t="str">
        <v>10236</v>
      </c>
      <c r="G5184" t="str">
        <v>CompoundCrs</v>
      </c>
      <c r="H5184" t="str">
        <v>&lt;undefined&gt;</v>
      </c>
      <c r="I5184" t="str">
        <v>OxWo08 Grid + ODN height</v>
      </c>
      <c r="J5184" t="str">
        <v>United Kingdom (UK) - on or related to the rail route from Oxford to Worcester.</v>
      </c>
      <c r="K5184" s="11">
        <v>0</v>
      </c>
    </row>
    <row r="5185" spans="5:11" x14ac:dyDescent="0.35">
      <c r="E5185" s="9" t="str">
        <v>EPSG</v>
      </c>
      <c r="F5185" s="7" t="str">
        <v>10237</v>
      </c>
      <c r="G5185" t="str">
        <v>Geographic2DCrs</v>
      </c>
      <c r="H5185" t="str">
        <v>&lt;undefined&gt;</v>
      </c>
      <c r="I5185" t="str">
        <v>SYC20-IRF</v>
      </c>
      <c r="J5185" t="str">
        <v>United Kingdom (UK) - on or related to the rail route from Shrewsbury to Crewe.</v>
      </c>
      <c r="K5185" s="11">
        <v>0</v>
      </c>
    </row>
    <row r="5186" spans="5:11" x14ac:dyDescent="0.35">
      <c r="E5186" s="9" t="str">
        <v>EPSG</v>
      </c>
      <c r="F5186" s="7" t="str">
        <v>10240</v>
      </c>
      <c r="G5186" t="str">
        <v>ProjectedCrs</v>
      </c>
      <c r="H5186" t="str">
        <v>Transverse Mercator</v>
      </c>
      <c r="I5186" t="str">
        <v>SYC20 Grid</v>
      </c>
      <c r="J5186" t="str">
        <v>United Kingdom (UK) - on or related to the rail route from Shrewsbury to Crewe.</v>
      </c>
      <c r="K5186" s="11">
        <v>0</v>
      </c>
    </row>
    <row r="5187" spans="5:11" x14ac:dyDescent="0.35">
      <c r="E5187" s="9" t="str">
        <v>EPSG</v>
      </c>
      <c r="F5187" s="7" t="str">
        <v>10241</v>
      </c>
      <c r="G5187" t="str">
        <v>CompoundCrs</v>
      </c>
      <c r="H5187" t="str">
        <v>&lt;undefined&gt;</v>
      </c>
      <c r="I5187" t="str">
        <v>SYC20 Grid + ODN height</v>
      </c>
      <c r="J5187" t="str">
        <v>United Kingdom (UK) - on or related to the rail route from Shrewsbury to Crewe.</v>
      </c>
      <c r="K5187" s="11">
        <v>0</v>
      </c>
    </row>
    <row r="5188" spans="5:11" x14ac:dyDescent="0.35">
      <c r="E5188" s="9" t="str">
        <v>EPSG</v>
      </c>
      <c r="F5188" s="7" t="str">
        <v>10245</v>
      </c>
      <c r="G5188" t="str">
        <v>CompoundCrs</v>
      </c>
      <c r="H5188" t="str">
        <v>&lt;undefined&gt;</v>
      </c>
      <c r="I5188" t="str">
        <v>Slovenia 1996 + SVS2010 height</v>
      </c>
      <c r="J5188" t="str">
        <v>Slovenia - onshore.</v>
      </c>
      <c r="K5188" s="11">
        <v>0</v>
      </c>
    </row>
    <row r="5189" spans="5:11" x14ac:dyDescent="0.35">
      <c r="E5189" s="9" t="str">
        <v>EPSG</v>
      </c>
      <c r="F5189" s="7" t="str">
        <v>10246</v>
      </c>
      <c r="G5189" t="str">
        <v>CompoundCrs</v>
      </c>
      <c r="H5189" t="str">
        <v>&lt;undefined&gt;</v>
      </c>
      <c r="I5189" t="str">
        <v>Slovenia 1996 / Slovene National Grid + SVS2010 height</v>
      </c>
      <c r="J5189" t="str">
        <v>Slovenia - onshore.</v>
      </c>
      <c r="K5189" s="11">
        <v>0</v>
      </c>
    </row>
    <row r="5190" spans="5:11" x14ac:dyDescent="0.35">
      <c r="E5190" s="9" t="str">
        <v>EPSG</v>
      </c>
      <c r="F5190" s="7" t="str">
        <v>10249</v>
      </c>
      <c r="G5190" t="str">
        <v>Geographic2DCrs</v>
      </c>
      <c r="H5190" t="str">
        <v>&lt;undefined&gt;</v>
      </c>
      <c r="I5190" t="str">
        <v>S34S-IRF</v>
      </c>
      <c r="J5190" t="str">
        <v>Denmark - Zealand and Lolland (onshore).</v>
      </c>
      <c r="K5190" s="11">
        <v>0</v>
      </c>
    </row>
    <row r="5191" spans="5:11" x14ac:dyDescent="0.35">
      <c r="E5191" s="9" t="str">
        <v>EPSG</v>
      </c>
      <c r="F5191" s="7" t="str">
        <v>10250</v>
      </c>
      <c r="G5191" t="str">
        <v>ProjectedCrs</v>
      </c>
      <c r="H5191" t="str">
        <v>Transverse Mercator</v>
      </c>
      <c r="I5191" t="str">
        <v>S34S reconstruction east-orientated</v>
      </c>
      <c r="J5191" t="str">
        <v>Denmark - Zealand and Lolland (onshore).</v>
      </c>
      <c r="K5191" s="11">
        <v>0</v>
      </c>
    </row>
    <row r="5192" spans="5:11" x14ac:dyDescent="0.35">
      <c r="E5192" s="9" t="str">
        <v>EPSG</v>
      </c>
      <c r="F5192" s="7" t="str">
        <v>10252</v>
      </c>
      <c r="G5192" t="str">
        <v>Geographic2DCrs</v>
      </c>
      <c r="H5192" t="str">
        <v>&lt;undefined&gt;</v>
      </c>
      <c r="I5192" t="str">
        <v>S45B-IRF</v>
      </c>
      <c r="J5192" t="str">
        <v>Denmark - Bornholm onshore.</v>
      </c>
      <c r="K5192" s="11">
        <v>0</v>
      </c>
    </row>
    <row r="5193" spans="5:11" x14ac:dyDescent="0.35">
      <c r="E5193" s="9" t="str">
        <v>EPSG</v>
      </c>
      <c r="F5193" s="7" t="str">
        <v>10254</v>
      </c>
      <c r="G5193" t="str">
        <v>ProjectedCrs</v>
      </c>
      <c r="H5193" t="str">
        <v>Transverse Mercator</v>
      </c>
      <c r="I5193" t="str">
        <v>S45B reconstruction east-orientated</v>
      </c>
      <c r="J5193" t="str">
        <v>Denmark - Bornholm onshore.</v>
      </c>
      <c r="K5193" s="11">
        <v>0</v>
      </c>
    </row>
    <row r="5194" spans="5:11" x14ac:dyDescent="0.35">
      <c r="E5194" s="9" t="str">
        <v>EPSG</v>
      </c>
      <c r="F5194" s="7" t="str">
        <v>10256</v>
      </c>
      <c r="G5194" t="str">
        <v>Geographic2DCrs</v>
      </c>
      <c r="H5194" t="str">
        <v>&lt;undefined&gt;</v>
      </c>
      <c r="I5194" t="str">
        <v>GS-IRF</v>
      </c>
      <c r="J5194" t="str">
        <v>Denmark - onshore Jutland, Funen, Zealand and Lolland.</v>
      </c>
      <c r="K5194" s="11">
        <v>0</v>
      </c>
    </row>
    <row r="5195" spans="5:11" x14ac:dyDescent="0.35">
      <c r="E5195" s="9" t="str">
        <v>EPSG</v>
      </c>
      <c r="F5195" s="7" t="str">
        <v>10258</v>
      </c>
      <c r="G5195" t="str">
        <v>ProjectedCrs</v>
      </c>
      <c r="H5195" t="str">
        <v>Lambert Conic Conformal (1SP variant B)</v>
      </c>
      <c r="I5195" t="str">
        <v>GS reconstruction east-orientated</v>
      </c>
      <c r="J5195" t="str">
        <v>Denmark - onshore Jutland, Funen, Zealand and Lolland.</v>
      </c>
      <c r="K5195" s="11">
        <v>0</v>
      </c>
    </row>
    <row r="5196" spans="5:11" x14ac:dyDescent="0.35">
      <c r="E5196" s="9" t="str">
        <v>EPSG</v>
      </c>
      <c r="F5196" s="7" t="str">
        <v>10260</v>
      </c>
      <c r="G5196" t="str">
        <v>Geographic2DCrs</v>
      </c>
      <c r="H5196" t="str">
        <v>&lt;undefined&gt;</v>
      </c>
      <c r="I5196" t="str">
        <v>GSB-IRF</v>
      </c>
      <c r="J5196" t="str">
        <v>Denmark - Bornholm onshore.</v>
      </c>
      <c r="K5196" s="11">
        <v>0</v>
      </c>
    </row>
    <row r="5197" spans="5:11" x14ac:dyDescent="0.35">
      <c r="E5197" s="9" t="str">
        <v>EPSG</v>
      </c>
      <c r="F5197" s="7" t="str">
        <v>10262</v>
      </c>
      <c r="G5197" t="str">
        <v>ProjectedCrs</v>
      </c>
      <c r="H5197" t="str">
        <v>Lambert Conic Conformal (1SP variant B)</v>
      </c>
      <c r="I5197" t="str">
        <v>GSB reconstruction east-orientated</v>
      </c>
      <c r="J5197" t="str">
        <v>Denmark - Bornholm onshore.</v>
      </c>
      <c r="K5197" s="11">
        <v>0</v>
      </c>
    </row>
    <row r="5198" spans="5:11" x14ac:dyDescent="0.35">
      <c r="E5198" s="9" t="str">
        <v>EPSG</v>
      </c>
      <c r="F5198" s="7" t="str">
        <v>10265</v>
      </c>
      <c r="G5198" t="str">
        <v>Geographic2DCrs</v>
      </c>
      <c r="H5198" t="str">
        <v>&lt;undefined&gt;</v>
      </c>
      <c r="I5198" t="str">
        <v>KK-IRF</v>
      </c>
      <c r="J5198" t="str">
        <v>Denmark - onshore - Copenhagen and surrounding area.</v>
      </c>
      <c r="K5198" s="11">
        <v>0</v>
      </c>
    </row>
    <row r="5199" spans="5:11" x14ac:dyDescent="0.35">
      <c r="E5199" s="9" t="str">
        <v>EPSG</v>
      </c>
      <c r="F5199" s="7" t="str">
        <v>10266</v>
      </c>
      <c r="G5199" t="str">
        <v>ProjectedCrs</v>
      </c>
      <c r="H5199" t="str">
        <v>Lambert Conic Conformal (1SP variant B)</v>
      </c>
      <c r="I5199" t="str">
        <v>KK reconstruction east-orientated</v>
      </c>
      <c r="J5199" t="str">
        <v>Denmark - onshore - Copenhagen and surrounding area.</v>
      </c>
      <c r="K5199" s="11">
        <v>0</v>
      </c>
    </row>
    <row r="5200" spans="5:11" x14ac:dyDescent="0.35">
      <c r="E5200" s="9" t="str">
        <v>EPSG</v>
      </c>
      <c r="F5200" s="7" t="str">
        <v>10268</v>
      </c>
      <c r="G5200" t="str">
        <v>Geographic2DCrs</v>
      </c>
      <c r="H5200" t="str">
        <v>&lt;undefined&gt;</v>
      </c>
      <c r="I5200" t="str">
        <v>Ostenfeld-IRF</v>
      </c>
      <c r="J5200" t="str">
        <v>Denmark - onshore northern Schleswig and surrounding islands (i.e. Jutland south of the pre-1920 border near the Kongea river).</v>
      </c>
      <c r="K5200" s="11">
        <v>0</v>
      </c>
    </row>
    <row r="5201" spans="5:11" x14ac:dyDescent="0.35">
      <c r="E5201" s="9" t="str">
        <v>EPSG</v>
      </c>
      <c r="F5201" s="7" t="str">
        <v>10270</v>
      </c>
      <c r="G5201" t="str">
        <v>ProjectedCrs</v>
      </c>
      <c r="H5201" t="str">
        <v>Transverse Mercator</v>
      </c>
      <c r="I5201" t="str">
        <v>Ostenfeld reconstruction</v>
      </c>
      <c r="J5201" t="str">
        <v>Denmark - onshore northern Schleswig and surrounding islands (i.e. Jutland south of the pre-1920 border near the Kongea river).</v>
      </c>
      <c r="K5201" s="11">
        <v>0</v>
      </c>
    </row>
    <row r="5202" spans="5:11" x14ac:dyDescent="0.35">
      <c r="E5202" s="9" t="str">
        <v>EPSG</v>
      </c>
      <c r="F5202" s="7" t="str">
        <v>10272</v>
      </c>
      <c r="G5202" t="str">
        <v>Geographic2DCrs</v>
      </c>
      <c r="H5202" t="str">
        <v>&lt;undefined&gt;</v>
      </c>
      <c r="I5202" t="str">
        <v>SMITB20-IRF</v>
      </c>
      <c r="J5202" t="str">
        <v>United Kingdom (UK) - on or related to the rail route from Okehampton to Penstone.</v>
      </c>
      <c r="K5202" s="11">
        <v>0</v>
      </c>
    </row>
    <row r="5203" spans="5:11" x14ac:dyDescent="0.35">
      <c r="E5203" s="9" t="str">
        <v>EPSG</v>
      </c>
      <c r="F5203" s="7" t="str">
        <v>10275</v>
      </c>
      <c r="G5203" t="str">
        <v>ProjectedCrs</v>
      </c>
      <c r="H5203" t="str">
        <v>Transverse Mercator</v>
      </c>
      <c r="I5203" t="str">
        <v>SMITB20 Grid</v>
      </c>
      <c r="J5203" t="str">
        <v>United Kingdom (UK) - on or related to the rail route from Okehampton to Penstone.</v>
      </c>
      <c r="K5203" s="11">
        <v>0</v>
      </c>
    </row>
    <row r="5204" spans="5:11" x14ac:dyDescent="0.35">
      <c r="E5204" s="9" t="str">
        <v>EPSG</v>
      </c>
      <c r="F5204" s="7" t="str">
        <v>10276</v>
      </c>
      <c r="G5204" t="str">
        <v>CompoundCrs</v>
      </c>
      <c r="H5204" t="str">
        <v>&lt;undefined&gt;</v>
      </c>
      <c r="I5204" t="str">
        <v>SMITB20 Grid + ODN height</v>
      </c>
      <c r="J5204" t="str">
        <v>United Kingdom (UK) - on or related to the rail route from Okehampton to Penstone.</v>
      </c>
      <c r="K5204" s="11">
        <v>0</v>
      </c>
    </row>
    <row r="5205" spans="5:11" x14ac:dyDescent="0.35">
      <c r="E5205" s="9" t="str">
        <v>EPSG</v>
      </c>
      <c r="F5205" s="7" t="str">
        <v>10277</v>
      </c>
      <c r="G5205" t="str">
        <v>Geographic2DCrs</v>
      </c>
      <c r="H5205" t="str">
        <v>&lt;undefined&gt;</v>
      </c>
      <c r="I5205" t="str">
        <v>RBEPP12-IRF</v>
      </c>
      <c r="J5205" t="str">
        <v>United Kingdom (UK) - on or related to the rail route from Reading via Newbury to Penzance.</v>
      </c>
      <c r="K5205" s="11">
        <v>0</v>
      </c>
    </row>
    <row r="5206" spans="5:11" x14ac:dyDescent="0.35">
      <c r="E5206" s="9" t="str">
        <v>EPSG</v>
      </c>
      <c r="F5206" s="7" t="str">
        <v>10280</v>
      </c>
      <c r="G5206" t="str">
        <v>ProjectedCrs</v>
      </c>
      <c r="H5206" t="str">
        <v>Lambert Conic Conformal (2SP)</v>
      </c>
      <c r="I5206" t="str">
        <v>RBEPP12 Grid</v>
      </c>
      <c r="J5206" t="str">
        <v>United Kingdom (UK) - on or related to the rail route from Reading via Newbury to Penzance.</v>
      </c>
      <c r="K5206" s="11">
        <v>0</v>
      </c>
    </row>
    <row r="5207" spans="5:11" x14ac:dyDescent="0.35">
      <c r="E5207" s="9" t="str">
        <v>EPSG</v>
      </c>
      <c r="F5207" s="7" t="str">
        <v>10281</v>
      </c>
      <c r="G5207" t="str">
        <v>CompoundCrs</v>
      </c>
      <c r="H5207" t="str">
        <v>&lt;undefined&gt;</v>
      </c>
      <c r="I5207" t="str">
        <v>RBEPP12 Grid + ODN height</v>
      </c>
      <c r="J5207" t="str">
        <v>United Kingdom (UK) - on or related to the rail route from Reading via Newbury to Penzance.</v>
      </c>
      <c r="K5207" s="11">
        <v>0</v>
      </c>
    </row>
    <row r="5208" spans="5:11" x14ac:dyDescent="0.35">
      <c r="E5208" s="9" t="str">
        <v>EPSG</v>
      </c>
      <c r="F5208" s="7" t="str">
        <v>10282</v>
      </c>
      <c r="G5208" t="str">
        <v>GeocentricCrs</v>
      </c>
      <c r="H5208" t="str">
        <v>&lt;undefined&gt;</v>
      </c>
      <c r="I5208" t="str">
        <v>ETRS89/DREF91/2016</v>
      </c>
      <c r="J5208" t="str">
        <v>Germany - onshore and offshore.</v>
      </c>
      <c r="K5208" s="11">
        <v>0</v>
      </c>
    </row>
    <row r="5209" spans="5:11" x14ac:dyDescent="0.35">
      <c r="E5209" s="9" t="str">
        <v>EPSG</v>
      </c>
      <c r="F5209" s="7" t="str">
        <v>10283</v>
      </c>
      <c r="G5209" t="str">
        <v>Geographic3DCrs</v>
      </c>
      <c r="H5209" t="str">
        <v>&lt;undefined&gt;</v>
      </c>
      <c r="I5209" t="str">
        <v>ETRS89/DREF91/2016</v>
      </c>
      <c r="J5209" t="str">
        <v>Germany - onshore and offshore.</v>
      </c>
      <c r="K5209" s="11">
        <v>0</v>
      </c>
    </row>
    <row r="5210" spans="5:11" x14ac:dyDescent="0.35">
      <c r="E5210" s="9" t="str">
        <v>EPSG</v>
      </c>
      <c r="F5210" s="7" t="str">
        <v>10284</v>
      </c>
      <c r="G5210" t="str">
        <v>Geographic2DCrs</v>
      </c>
      <c r="H5210" t="str">
        <v>&lt;undefined&gt;</v>
      </c>
      <c r="I5210" t="str">
        <v>ETRS89/DREF91/2016</v>
      </c>
      <c r="J5210" t="str">
        <v>Germany - onshore and offshore.</v>
      </c>
      <c r="K5210" s="11">
        <v>0</v>
      </c>
    </row>
    <row r="5211" spans="5:11" x14ac:dyDescent="0.35">
      <c r="E5211" s="9" t="str">
        <v>EPSG</v>
      </c>
      <c r="F5211" s="7" t="str">
        <v>10285</v>
      </c>
      <c r="G5211" t="str">
        <v>ProjectedCrs</v>
      </c>
      <c r="H5211" t="str">
        <v>Transverse Mercator</v>
      </c>
      <c r="I5211" t="str">
        <v>ETRS89/DREF91/2016 / 3-degree Gauss-Kruger zone 3</v>
      </c>
      <c r="J5211" t="str">
        <v>Germany - Hamburg, including Neuwerk, Nigehörn, Scharhörn and surrounding maritime area.</v>
      </c>
      <c r="K5211" s="11">
        <v>0</v>
      </c>
    </row>
    <row r="5212" spans="5:11" x14ac:dyDescent="0.35">
      <c r="E5212" s="9" t="str">
        <v>EPSG</v>
      </c>
      <c r="F5212" s="7" t="str">
        <v>10286</v>
      </c>
      <c r="G5212" t="str">
        <v>ProjectedCrs</v>
      </c>
      <c r="H5212" t="str">
        <v>Transverse Mercator</v>
      </c>
      <c r="I5212" t="str">
        <v>ETRS89/DREF91/2016 / UTM zone 31N (N-zE)</v>
      </c>
      <c r="J5212" t="str">
        <v>Germany - onshore and offshore west of 6°E.</v>
      </c>
      <c r="K5212" s="11">
        <v>0</v>
      </c>
    </row>
    <row r="5213" spans="5:11" x14ac:dyDescent="0.35">
      <c r="E5213" s="9" t="str">
        <v>EPSG</v>
      </c>
      <c r="F5213" s="7" t="str">
        <v>10287</v>
      </c>
      <c r="G5213" t="str">
        <v>ProjectedCrs</v>
      </c>
      <c r="H5213" t="str">
        <v>Transverse Mercator</v>
      </c>
      <c r="I5213" t="str">
        <v>ETRS89/DREF91/2016 / UTM zone 31N (zE-N)</v>
      </c>
      <c r="J5213" t="str">
        <v>Germany - onshore and offshore west of 6°E.</v>
      </c>
      <c r="K5213" s="11">
        <v>0</v>
      </c>
    </row>
    <row r="5214" spans="5:11" x14ac:dyDescent="0.35">
      <c r="E5214" s="9" t="str">
        <v>EPSG</v>
      </c>
      <c r="F5214" s="7" t="str">
        <v>10288</v>
      </c>
      <c r="G5214" t="str">
        <v>ProjectedCrs</v>
      </c>
      <c r="H5214" t="str">
        <v>Transverse Mercator</v>
      </c>
      <c r="I5214" t="str">
        <v>ETRS89/DREF91/2016 / UTM zone 32N (N-zE)</v>
      </c>
      <c r="J5214" t="str">
        <v>Germany - onshore and offshore between 6°E and 12°E - Baden-Wurtemberg, Bayern, Bremen, Hamburg, Hessen, Mecklenburg-Vorpommern, Niedersachsen, Nordrhein-Westfalen, Rheinland-Pfalz, Saarland, Sachsen, Sachsen-Anhalt, Schleswig-Holstein, Thuringen.</v>
      </c>
      <c r="K5214" s="11">
        <v>0</v>
      </c>
    </row>
    <row r="5215" spans="5:11" x14ac:dyDescent="0.35">
      <c r="E5215" s="9" t="str">
        <v>EPSG</v>
      </c>
      <c r="F5215" s="7" t="str">
        <v>10289</v>
      </c>
      <c r="G5215" t="str">
        <v>ProjectedCrs</v>
      </c>
      <c r="H5215" t="str">
        <v>Transverse Mercator</v>
      </c>
      <c r="I5215" t="str">
        <v>ETRS89/DREF91/2016 / UTM zone 32N (zE-N)</v>
      </c>
      <c r="J5215" t="str">
        <v>Germany - onshore and offshore between 6°E and 12°E - Baden-Wurtemberg, Bayern, Bremen, Hamburg, Hessen, Mecklenburg-Vorpommern, Niedersachsen, Nordrhein-Westfalen, Rheinland-Pfalz, Saarland, Sachsen, Sachsen-Anhalt, Schleswig-Holstein, Thuringen.</v>
      </c>
      <c r="K5215" s="11">
        <v>0</v>
      </c>
    </row>
    <row r="5216" spans="5:11" x14ac:dyDescent="0.35">
      <c r="E5216" s="9" t="str">
        <v>EPSG</v>
      </c>
      <c r="F5216" s="7" t="str">
        <v>10290</v>
      </c>
      <c r="G5216" t="str">
        <v>ProjectedCrs</v>
      </c>
      <c r="H5216" t="str">
        <v>Transverse Mercator</v>
      </c>
      <c r="I5216" t="str">
        <v>ETRS89/DREF91/2016 / UTM zone 33N (N-zE)</v>
      </c>
      <c r="J5216" t="str">
        <v>Germany - onshore and offshore east of 12°E, together with that part of Brandenburg state west of 12°E - Bayern, Berlin, Brandenburg (all state), Mecklenburg-Vorpommern, Sachsen, Sachsen-Anhalt, Thuringen.</v>
      </c>
      <c r="K5216" s="11">
        <v>0</v>
      </c>
    </row>
    <row r="5217" spans="5:11" x14ac:dyDescent="0.35">
      <c r="E5217" s="9" t="str">
        <v>EPSG</v>
      </c>
      <c r="F5217" s="7" t="str">
        <v>10291</v>
      </c>
      <c r="G5217" t="str">
        <v>ProjectedCrs</v>
      </c>
      <c r="H5217" t="str">
        <v>Transverse Mercator</v>
      </c>
      <c r="I5217" t="str">
        <v>ETRS89/DREF91/2016 / UTM zone 33N (zE-N)</v>
      </c>
      <c r="J5217" t="str">
        <v>Germany - onshore and offshore east of 12°E, together with that part of Brandenburg state west of 12°E - Bayern, Berlin, Brandenburg (all state), Mecklenburg-Vorpommern, Sachsen, Sachsen-Anhalt, Thuringen.</v>
      </c>
      <c r="K5217" s="11">
        <v>0</v>
      </c>
    </row>
    <row r="5218" spans="5:11" x14ac:dyDescent="0.35">
      <c r="E5218" s="9" t="str">
        <v>EPSG</v>
      </c>
      <c r="F5218" s="7" t="str">
        <v>10293</v>
      </c>
      <c r="G5218" t="str">
        <v>CompoundCrs</v>
      </c>
      <c r="H5218" t="str">
        <v>&lt;undefined&gt;</v>
      </c>
      <c r="I5218" t="str">
        <v>ETRS89/DREF91/2016 + DHHN2016 height</v>
      </c>
      <c r="J5218" t="str">
        <v>Germany - onshore and offshore.</v>
      </c>
      <c r="K5218" s="11">
        <v>0</v>
      </c>
    </row>
    <row r="5219" spans="5:11" x14ac:dyDescent="0.35">
      <c r="E5219" s="9" t="str">
        <v>EPSG</v>
      </c>
      <c r="F5219" s="7" t="str">
        <v>10297</v>
      </c>
      <c r="G5219" t="str">
        <v>GeocentricCrs</v>
      </c>
      <c r="H5219" t="str">
        <v>&lt;undefined&gt;</v>
      </c>
      <c r="I5219" t="str">
        <v>RGSH2020</v>
      </c>
      <c r="J5219" t="str">
        <v>Algeria - onshore and offshore.</v>
      </c>
      <c r="K5219" s="11">
        <v>0</v>
      </c>
    </row>
    <row r="5220" spans="5:11" x14ac:dyDescent="0.35">
      <c r="E5220" s="9" t="str">
        <v>EPSG</v>
      </c>
      <c r="F5220" s="7" t="str">
        <v>10298</v>
      </c>
      <c r="G5220" t="str">
        <v>Geographic3DCrs</v>
      </c>
      <c r="H5220" t="str">
        <v>&lt;undefined&gt;</v>
      </c>
      <c r="I5220" t="str">
        <v>RGSH2020</v>
      </c>
      <c r="J5220" t="str">
        <v>Algeria - onshore and offshore.</v>
      </c>
      <c r="K5220" s="11">
        <v>0</v>
      </c>
    </row>
    <row r="5221" spans="5:11" x14ac:dyDescent="0.35">
      <c r="E5221" s="9" t="str">
        <v>EPSG</v>
      </c>
      <c r="F5221" s="7" t="str">
        <v>10299</v>
      </c>
      <c r="G5221" t="str">
        <v>Geographic2DCrs</v>
      </c>
      <c r="H5221" t="str">
        <v>&lt;undefined&gt;</v>
      </c>
      <c r="I5221" t="str">
        <v>RGSH2020</v>
      </c>
      <c r="J5221" t="str">
        <v>Algeria - onshore and offshore.</v>
      </c>
      <c r="K5221" s="11">
        <v>0</v>
      </c>
    </row>
    <row r="5222" spans="5:11" x14ac:dyDescent="0.35">
      <c r="E5222" s="9" t="str">
        <v>EPSG</v>
      </c>
      <c r="F5222" s="7" t="str">
        <v>10300</v>
      </c>
      <c r="G5222" t="str">
        <v>Geographic3DCrs</v>
      </c>
      <c r="H5222" t="str">
        <v>&lt;undefined&gt;</v>
      </c>
      <c r="I5222" t="str">
        <v>RGNC91-93 (lon-lat)</v>
      </c>
      <c r="J5222" t="str">
        <v>New Caledonia - onshore and offshore. Isle de Pins, Loyalty Islands, Huon Islands, Belep archipelago, Chesterfield Islands, and Walpole.</v>
      </c>
      <c r="K5222" s="11">
        <v>0</v>
      </c>
    </row>
    <row r="5223" spans="5:11" x14ac:dyDescent="0.35">
      <c r="E5223" s="9" t="str">
        <v>EPSG</v>
      </c>
      <c r="F5223" s="7" t="str">
        <v>10303</v>
      </c>
      <c r="G5223" t="str">
        <v>GeocentricCrs</v>
      </c>
      <c r="H5223" t="str">
        <v>&lt;undefined&gt;</v>
      </c>
      <c r="I5223" t="str">
        <v>LKS-2020</v>
      </c>
      <c r="J5223" t="str">
        <v>Latvia - onshore and offshore.</v>
      </c>
      <c r="K5223" s="11">
        <v>0</v>
      </c>
    </row>
    <row r="5224" spans="5:11" x14ac:dyDescent="0.35">
      <c r="E5224" s="9" t="str">
        <v>EPSG</v>
      </c>
      <c r="F5224" s="7" t="str">
        <v>10304</v>
      </c>
      <c r="G5224" t="str">
        <v>Geographic3DCrs</v>
      </c>
      <c r="H5224" t="str">
        <v>&lt;undefined&gt;</v>
      </c>
      <c r="I5224" t="str">
        <v>LKS-2020</v>
      </c>
      <c r="J5224" t="str">
        <v>Latvia - onshore and offshore.</v>
      </c>
      <c r="K5224" s="11">
        <v>0</v>
      </c>
    </row>
    <row r="5225" spans="5:11" x14ac:dyDescent="0.35">
      <c r="E5225" s="9" t="str">
        <v>EPSG</v>
      </c>
      <c r="F5225" s="7" t="str">
        <v>10305</v>
      </c>
      <c r="G5225" t="str">
        <v>Geographic2DCrs</v>
      </c>
      <c r="H5225" t="str">
        <v>&lt;undefined&gt;</v>
      </c>
      <c r="I5225" t="str">
        <v>LKS-2020</v>
      </c>
      <c r="J5225" t="str">
        <v>Latvia - onshore and offshore.</v>
      </c>
      <c r="K5225" s="11">
        <v>0</v>
      </c>
    </row>
    <row r="5226" spans="5:11" x14ac:dyDescent="0.35">
      <c r="E5226" s="9" t="str">
        <v>EPSG</v>
      </c>
      <c r="F5226" s="7" t="str">
        <v>10306</v>
      </c>
      <c r="G5226" t="str">
        <v>ProjectedCrs</v>
      </c>
      <c r="H5226" t="str">
        <v>Transverse Mercator</v>
      </c>
      <c r="I5226" t="str">
        <v>LKS-2020 / Latvia TM</v>
      </c>
      <c r="J5226" t="str">
        <v>Latvia - onshore and offshore.</v>
      </c>
      <c r="K5226" s="11">
        <v>0</v>
      </c>
    </row>
    <row r="5227" spans="5:11" x14ac:dyDescent="0.35">
      <c r="E5227" s="9" t="str">
        <v>EPSG</v>
      </c>
      <c r="F5227" s="7" t="str">
        <v>10307</v>
      </c>
      <c r="G5227" t="str">
        <v>Geographic2DCrs</v>
      </c>
      <c r="H5227" t="str">
        <v>&lt;undefined&gt;</v>
      </c>
      <c r="I5227" t="str">
        <v>RGNC91-93 (lon-lat)</v>
      </c>
      <c r="J5227" t="str">
        <v>New Caledonia - onshore and offshore. Isle de Pins, Loyalty Islands, Huon Islands, Belep archipelago, Chesterfield Islands, and Walpole.</v>
      </c>
      <c r="K5227" s="11">
        <v>0</v>
      </c>
    </row>
    <row r="5228" spans="5:11" x14ac:dyDescent="0.35">
      <c r="E5228" s="9" t="str">
        <v>EPSG</v>
      </c>
      <c r="F5228" s="7" t="str">
        <v>10308</v>
      </c>
      <c r="G5228" t="str">
        <v>GeocentricCrs</v>
      </c>
      <c r="H5228" t="str">
        <v>&lt;undefined&gt;</v>
      </c>
      <c r="I5228" t="str">
        <v>RGNC15</v>
      </c>
      <c r="J5228" t="str">
        <v>New Caledonia - onshore and offshore. Isle de Pins, Loyalty Islands, Huon Islands, Belep archipelago, Chesterfield Islands, and Walpole.</v>
      </c>
      <c r="K5228" s="11">
        <v>0</v>
      </c>
    </row>
    <row r="5229" spans="5:11" x14ac:dyDescent="0.35">
      <c r="E5229" s="9" t="str">
        <v>EPSG</v>
      </c>
      <c r="F5229" s="7" t="str">
        <v>10309</v>
      </c>
      <c r="G5229" t="str">
        <v>Geographic3DCrs</v>
      </c>
      <c r="H5229" t="str">
        <v>&lt;undefined&gt;</v>
      </c>
      <c r="I5229" t="str">
        <v>RGNC15</v>
      </c>
      <c r="J5229" t="str">
        <v>New Caledonia - onshore and offshore. Isle de Pins, Loyalty Islands, Huon Islands, Belep archipelago, Chesterfield Islands, and Walpole.</v>
      </c>
      <c r="K5229" s="11">
        <v>0</v>
      </c>
    </row>
    <row r="5230" spans="5:11" x14ac:dyDescent="0.35">
      <c r="E5230" s="9" t="str">
        <v>EPSG</v>
      </c>
      <c r="F5230" s="7" t="str">
        <v>10310</v>
      </c>
      <c r="G5230" t="str">
        <v>Geographic2DCrs</v>
      </c>
      <c r="H5230" t="str">
        <v>&lt;undefined&gt;</v>
      </c>
      <c r="I5230" t="str">
        <v>RGNC15</v>
      </c>
      <c r="J5230" t="str">
        <v>New Caledonia - onshore and offshore. Isle de Pins, Loyalty Islands, Huon Islands, Belep archipelago, Chesterfield Islands, and Walpole.</v>
      </c>
      <c r="K5230" s="11">
        <v>0</v>
      </c>
    </row>
    <row r="5231" spans="5:11" x14ac:dyDescent="0.35">
      <c r="E5231" s="9" t="str">
        <v>EPSG</v>
      </c>
      <c r="F5231" s="7" t="str">
        <v>10311</v>
      </c>
      <c r="G5231" t="str">
        <v>Geographic3DCrs</v>
      </c>
      <c r="H5231" t="str">
        <v>&lt;undefined&gt;</v>
      </c>
      <c r="I5231" t="str">
        <v>RGNC15 (lon-lat)</v>
      </c>
      <c r="J5231" t="str">
        <v>New Caledonia - onshore and offshore. Isle de Pins, Loyalty Islands, Huon Islands, Belep archipelago, Chesterfield Islands, and Walpole.</v>
      </c>
      <c r="K5231" s="11">
        <v>0</v>
      </c>
    </row>
    <row r="5232" spans="5:11" x14ac:dyDescent="0.35">
      <c r="E5232" s="9" t="str">
        <v>EPSG</v>
      </c>
      <c r="F5232" s="7" t="str">
        <v>10312</v>
      </c>
      <c r="G5232" t="str">
        <v>Geographic2DCrs</v>
      </c>
      <c r="H5232" t="str">
        <v>&lt;undefined&gt;</v>
      </c>
      <c r="I5232" t="str">
        <v>RGNC15 (lon-lat)</v>
      </c>
      <c r="J5232" t="str">
        <v>New Caledonia - onshore and offshore. Isle de Pins, Loyalty Islands, Huon Islands, Belep archipelago, Chesterfield Islands, and Walpole.</v>
      </c>
      <c r="K5232" s="11">
        <v>0</v>
      </c>
    </row>
    <row r="5233" spans="5:11" x14ac:dyDescent="0.35">
      <c r="E5233" s="9" t="str">
        <v>EPSG</v>
      </c>
      <c r="F5233" s="7" t="str">
        <v>10314</v>
      </c>
      <c r="G5233" t="str">
        <v>ProjectedCrs</v>
      </c>
      <c r="H5233" t="str">
        <v>Lambert Conic Conformal (2SP)</v>
      </c>
      <c r="I5233" t="str">
        <v>RGNC15 / Lambert New Caledonia 2015</v>
      </c>
      <c r="J5233" t="str">
        <v>New Caledonia - Belep, Grande Terre, Ile des Pins, Loyalty Islands (Lifou, Mare, Ouvea).</v>
      </c>
      <c r="K5233" s="11">
        <v>0</v>
      </c>
    </row>
    <row r="5234" spans="5:11" x14ac:dyDescent="0.35">
      <c r="E5234" s="9" t="str">
        <v>EPSG</v>
      </c>
      <c r="F5234" s="7" t="str">
        <v>10315</v>
      </c>
      <c r="G5234" t="str">
        <v>ProjectedCrs</v>
      </c>
      <c r="H5234" t="str">
        <v>Transverse Mercator</v>
      </c>
      <c r="I5234" t="str">
        <v>RGNC15 / UTM zone 57S</v>
      </c>
      <c r="J5234" t="str">
        <v>New Caledonia - west of 162°E onshore and offshore.</v>
      </c>
      <c r="K5234" s="11">
        <v>0</v>
      </c>
    </row>
    <row r="5235" spans="5:11" x14ac:dyDescent="0.35">
      <c r="E5235" s="9" t="str">
        <v>EPSG</v>
      </c>
      <c r="F5235" s="7" t="str">
        <v>10316</v>
      </c>
      <c r="G5235" t="str">
        <v>ProjectedCrs</v>
      </c>
      <c r="H5235" t="str">
        <v>Transverse Mercator</v>
      </c>
      <c r="I5235" t="str">
        <v>RGNC15 / UTM zone 58S</v>
      </c>
      <c r="J5235" t="str">
        <v>New Caledonia - between 162°E and 168°E onshore and offshore.</v>
      </c>
      <c r="K5235" s="11">
        <v>0</v>
      </c>
    </row>
    <row r="5236" spans="5:11" x14ac:dyDescent="0.35">
      <c r="E5236" s="9" t="str">
        <v>EPSG</v>
      </c>
      <c r="F5236" s="7" t="str">
        <v>10317</v>
      </c>
      <c r="G5236" t="str">
        <v>ProjectedCrs</v>
      </c>
      <c r="H5236" t="str">
        <v>Transverse Mercator</v>
      </c>
      <c r="I5236" t="str">
        <v>RGNC15 / UTM zone 59S</v>
      </c>
      <c r="J5236" t="str">
        <v>New Caledonia - east of 168°E onshore and offshore.</v>
      </c>
      <c r="K5236" s="11">
        <v>0</v>
      </c>
    </row>
    <row r="5237" spans="5:11" x14ac:dyDescent="0.35">
      <c r="E5237" s="9" t="str">
        <v>EPSG</v>
      </c>
      <c r="F5237" s="7" t="str">
        <v>10318</v>
      </c>
      <c r="G5237" t="str">
        <v>CompoundCrs</v>
      </c>
      <c r="H5237" t="str">
        <v>&lt;undefined&gt;</v>
      </c>
      <c r="I5237" t="str">
        <v>RGNC15 (lon-lat) + NGNC08 height</v>
      </c>
      <c r="J5237" t="str">
        <v>New Caledonia - Belep, Grande Terre, Ile des Pins, Loyalty Islands (Lifou, Mare, Ouvea).</v>
      </c>
      <c r="K5237" s="11">
        <v>0</v>
      </c>
    </row>
    <row r="5238" spans="5:11" x14ac:dyDescent="0.35">
      <c r="E5238" s="9" t="str">
        <v>EPSG</v>
      </c>
      <c r="F5238" s="7" t="str">
        <v>10326</v>
      </c>
      <c r="G5238" t="str">
        <v>GeocentricCrs</v>
      </c>
      <c r="H5238" t="str">
        <v>&lt;undefined&gt;</v>
      </c>
      <c r="I5238" t="str">
        <v>BH_ETRS89</v>
      </c>
      <c r="J5238" t="str">
        <v>Bosnia and Herzegovina.</v>
      </c>
      <c r="K5238" s="11">
        <v>0</v>
      </c>
    </row>
    <row r="5239" spans="5:11" x14ac:dyDescent="0.35">
      <c r="E5239" s="9" t="str">
        <v>EPSG</v>
      </c>
      <c r="F5239" s="7" t="str">
        <v>10327</v>
      </c>
      <c r="G5239" t="str">
        <v>Geographic3DCrs</v>
      </c>
      <c r="H5239" t="str">
        <v>&lt;undefined&gt;</v>
      </c>
      <c r="I5239" t="str">
        <v>BH_ETRS89</v>
      </c>
      <c r="J5239" t="str">
        <v>Bosnia and Herzegovina.</v>
      </c>
      <c r="K5239" s="11">
        <v>0</v>
      </c>
    </row>
    <row r="5240" spans="5:11" x14ac:dyDescent="0.35">
      <c r="E5240" s="9" t="str">
        <v>EPSG</v>
      </c>
      <c r="F5240" s="7" t="str">
        <v>10328</v>
      </c>
      <c r="G5240" t="str">
        <v>Geographic2DCrs</v>
      </c>
      <c r="H5240" t="str">
        <v>&lt;undefined&gt;</v>
      </c>
      <c r="I5240" t="str">
        <v>BH_ETRS89</v>
      </c>
      <c r="J5240" t="str">
        <v>Bosnia and Herzegovina.</v>
      </c>
      <c r="K5240" s="11">
        <v>0</v>
      </c>
    </row>
    <row r="5241" spans="5:11" x14ac:dyDescent="0.35">
      <c r="E5241" s="9" t="str">
        <v>EPSG</v>
      </c>
      <c r="F5241" s="7" t="str">
        <v>10329</v>
      </c>
      <c r="G5241" t="str">
        <v>ProjectedCrs</v>
      </c>
      <c r="H5241" t="str">
        <v>Transverse Mercator</v>
      </c>
      <c r="I5241" t="str">
        <v>BH_ETRS89 / TM</v>
      </c>
      <c r="J5241" t="str">
        <v>Bosnia and Herzegovina.</v>
      </c>
      <c r="K5241" s="11">
        <v>0</v>
      </c>
    </row>
    <row r="5242" spans="5:11" x14ac:dyDescent="0.35">
      <c r="E5242" s="9" t="str">
        <v>EPSG</v>
      </c>
      <c r="F5242" s="7" t="str">
        <v>10345</v>
      </c>
      <c r="G5242" t="str">
        <v>Geographic2DCrs</v>
      </c>
      <c r="H5242" t="str">
        <v>&lt;undefined&gt;</v>
      </c>
      <c r="I5242" t="str">
        <v>Hughes 1980</v>
      </c>
      <c r="J5242" t="str">
        <v>World.</v>
      </c>
      <c r="K5242" s="11">
        <v>0</v>
      </c>
    </row>
    <row r="5243" spans="5:11" x14ac:dyDescent="0.35">
      <c r="E5243" s="9" t="str">
        <v>EPSG</v>
      </c>
      <c r="F5243" s="7" t="str">
        <v>10346</v>
      </c>
      <c r="G5243" t="str">
        <v>Geographic2DCrs</v>
      </c>
      <c r="H5243" t="str">
        <v>&lt;undefined&gt;</v>
      </c>
      <c r="I5243" t="str">
        <v>NSIDC Authalic Sphere</v>
      </c>
      <c r="J5243" t="str">
        <v>World.</v>
      </c>
      <c r="K5243" s="11">
        <v>0</v>
      </c>
    </row>
    <row r="5244" spans="5:11" x14ac:dyDescent="0.35">
      <c r="E5244" s="9" t="str">
        <v>EPSG</v>
      </c>
      <c r="F5244" s="7" t="str">
        <v>10349</v>
      </c>
      <c r="G5244" t="str">
        <v>VerticalCrs</v>
      </c>
      <c r="H5244" t="str">
        <v>&lt;undefined&gt;</v>
      </c>
      <c r="I5244" t="str">
        <v>ZH Portugal depth</v>
      </c>
      <c r="J5244" t="str">
        <v>Portugal - offshore.</v>
      </c>
      <c r="K5244" s="11">
        <v>0</v>
      </c>
    </row>
    <row r="5245" spans="5:11" x14ac:dyDescent="0.35">
      <c r="E5245" s="9" t="str">
        <v>EPSG</v>
      </c>
      <c r="F5245" s="7" t="str">
        <v>10352</v>
      </c>
      <c r="G5245" t="str">
        <v>VerticalCrs</v>
      </c>
      <c r="H5245" t="str">
        <v>&lt;undefined&gt;</v>
      </c>
      <c r="I5245" t="str">
        <v>Formentera height</v>
      </c>
      <c r="J5245" t="str">
        <v>Spain - Balearic Islands - Formentera - onshore.</v>
      </c>
      <c r="K5245" s="11">
        <v>0</v>
      </c>
    </row>
    <row r="5246" spans="5:11" x14ac:dyDescent="0.35">
      <c r="E5246" s="9" t="str">
        <v>EPSG</v>
      </c>
      <c r="F5246" s="7" t="str">
        <v>10353</v>
      </c>
      <c r="G5246" t="str">
        <v>VerticalCrs</v>
      </c>
      <c r="H5246" t="str">
        <v>&lt;undefined&gt;</v>
      </c>
      <c r="I5246" t="str">
        <v>Alboran height</v>
      </c>
      <c r="J5246" t="str">
        <v>Spain - Alboran island - onshore.</v>
      </c>
      <c r="K5246" s="11">
        <v>0</v>
      </c>
    </row>
    <row r="5247" spans="5:11" x14ac:dyDescent="0.35">
      <c r="E5247" s="9" t="str">
        <v>EPSG</v>
      </c>
      <c r="F5247" s="7" t="str">
        <v>10354</v>
      </c>
      <c r="G5247" t="str">
        <v>VerticalCrs</v>
      </c>
      <c r="H5247" t="str">
        <v>&lt;undefined&gt;</v>
      </c>
      <c r="I5247" t="str">
        <v>Melilla height</v>
      </c>
      <c r="J5247" t="str">
        <v>Spain - Melilla onshore.</v>
      </c>
      <c r="K5247" s="11">
        <v>0</v>
      </c>
    </row>
    <row r="5248" spans="5:11" x14ac:dyDescent="0.35">
      <c r="E5248" s="9" t="str">
        <v>EPSG</v>
      </c>
      <c r="F5248" s="7" t="str">
        <v>10355</v>
      </c>
      <c r="G5248" t="str">
        <v>CompoundCrs</v>
      </c>
      <c r="H5248" t="str">
        <v>&lt;undefined&gt;</v>
      </c>
      <c r="I5248" t="str">
        <v>ETRS89 + Formentera height</v>
      </c>
      <c r="J5248" t="str">
        <v>Spain - Balearic Islands - Formentera - onshore.</v>
      </c>
      <c r="K5248" s="11">
        <v>0</v>
      </c>
    </row>
    <row r="5249" spans="5:11" x14ac:dyDescent="0.35">
      <c r="E5249" s="9" t="str">
        <v>EPSG</v>
      </c>
      <c r="F5249" s="7" t="str">
        <v>10356</v>
      </c>
      <c r="G5249" t="str">
        <v>CompoundCrs</v>
      </c>
      <c r="H5249" t="str">
        <v>&lt;undefined&gt;</v>
      </c>
      <c r="I5249" t="str">
        <v>ETRS89 + Alboran height</v>
      </c>
      <c r="J5249" t="str">
        <v>Spain - Alboran island - onshore.</v>
      </c>
      <c r="K5249" s="11">
        <v>0</v>
      </c>
    </row>
    <row r="5250" spans="5:11" x14ac:dyDescent="0.35">
      <c r="E5250" s="9" t="str">
        <v>EPSG</v>
      </c>
      <c r="F5250" s="7" t="str">
        <v>10357</v>
      </c>
      <c r="G5250" t="str">
        <v>CompoundCrs</v>
      </c>
      <c r="H5250" t="str">
        <v>&lt;undefined&gt;</v>
      </c>
      <c r="I5250" t="str">
        <v>ETRS89 + Melilla height</v>
      </c>
      <c r="J5250" t="str">
        <v>Spain - Melilla onshore.</v>
      </c>
      <c r="K5250" s="11">
        <v>0</v>
      </c>
    </row>
    <row r="5251" spans="5:11" x14ac:dyDescent="0.35">
      <c r="E5251" s="9" t="str">
        <v>EPSG</v>
      </c>
      <c r="F5251" s="7" t="str">
        <v>10364</v>
      </c>
      <c r="G5251" t="str">
        <v>VerticalCrs</v>
      </c>
      <c r="H5251" t="str">
        <v>&lt;undefined&gt;</v>
      </c>
      <c r="I5251" t="str">
        <v>Cascais depth</v>
      </c>
      <c r="J5251" t="str">
        <v>Portugal - mainland - onshore.</v>
      </c>
      <c r="K5251" s="11">
        <v>0</v>
      </c>
    </row>
    <row r="5252" spans="5:11" x14ac:dyDescent="0.35">
      <c r="E5252" s="9" t="str">
        <v>EPSG</v>
      </c>
      <c r="F5252" s="7" t="str">
        <v>10365</v>
      </c>
      <c r="G5252" t="str">
        <v>CompoundCrs</v>
      </c>
      <c r="H5252" t="str">
        <v>&lt;undefined&gt;</v>
      </c>
      <c r="I5252" t="str">
        <v>KGD2002 + KVD1964 height</v>
      </c>
      <c r="J5252" t="str">
        <v>Republic of Korea (South Korea) - onshore.</v>
      </c>
      <c r="K5252" s="11">
        <v>0</v>
      </c>
    </row>
    <row r="5253" spans="5:11" x14ac:dyDescent="0.35">
      <c r="E5253" s="9" t="str">
        <v>EPSG</v>
      </c>
      <c r="F5253" s="7" t="str">
        <v>10370</v>
      </c>
      <c r="G5253" t="str">
        <v>VerticalCrs</v>
      </c>
      <c r="H5253" t="str">
        <v>&lt;undefined&gt;</v>
      </c>
      <c r="I5253" t="str">
        <v>Cais da Pontinha depth</v>
      </c>
      <c r="J5253" t="str">
        <v>Portugal - Madeira and Desertas islands - onshore.</v>
      </c>
      <c r="K5253" s="11">
        <v>0</v>
      </c>
    </row>
    <row r="5254" spans="5:11" x14ac:dyDescent="0.35">
      <c r="E5254" s="9" t="str">
        <v>EPSG</v>
      </c>
      <c r="F5254" s="7" t="str">
        <v>10371</v>
      </c>
      <c r="G5254" t="str">
        <v>VerticalCrs</v>
      </c>
      <c r="H5254" t="str">
        <v>&lt;undefined&gt;</v>
      </c>
      <c r="I5254" t="str">
        <v>Cais da Vila depth</v>
      </c>
      <c r="J5254" t="str">
        <v>Portugal - Porto Santo island (Madeira archipelago) onshore.</v>
      </c>
      <c r="K5254" s="11">
        <v>0</v>
      </c>
    </row>
    <row r="5255" spans="5:11" x14ac:dyDescent="0.35">
      <c r="E5255" s="9" t="str">
        <v>EPSG</v>
      </c>
      <c r="F5255" s="7" t="str">
        <v>10372</v>
      </c>
      <c r="G5255" t="str">
        <v>VerticalCrs</v>
      </c>
      <c r="H5255" t="str">
        <v>&lt;undefined&gt;</v>
      </c>
      <c r="I5255" t="str">
        <v>Santa Cruz das Flores depth</v>
      </c>
      <c r="J5255" t="str">
        <v>Portugal - western Azores - Flores island onshore.</v>
      </c>
      <c r="K5255" s="11">
        <v>0</v>
      </c>
    </row>
    <row r="5256" spans="5:11" x14ac:dyDescent="0.35">
      <c r="E5256" s="9" t="str">
        <v>EPSG</v>
      </c>
      <c r="F5256" s="7" t="str">
        <v>10373</v>
      </c>
      <c r="G5256" t="str">
        <v>VerticalCrs</v>
      </c>
      <c r="H5256" t="str">
        <v>&lt;undefined&gt;</v>
      </c>
      <c r="I5256" t="str">
        <v>Horta depth</v>
      </c>
      <c r="J5256" t="str">
        <v>Portugal - central Azores - Faial island onshore.</v>
      </c>
      <c r="K5256" s="11">
        <v>0</v>
      </c>
    </row>
    <row r="5257" spans="5:11" x14ac:dyDescent="0.35">
      <c r="E5257" s="9" t="str">
        <v>EPSG</v>
      </c>
      <c r="F5257" s="7" t="str">
        <v>10374</v>
      </c>
      <c r="G5257" t="str">
        <v>VerticalCrs</v>
      </c>
      <c r="H5257" t="str">
        <v>&lt;undefined&gt;</v>
      </c>
      <c r="I5257" t="str">
        <v>Cais da Madalena depth</v>
      </c>
      <c r="J5257" t="str">
        <v>Portugal - central Azores - Pico island onshore.</v>
      </c>
      <c r="K5257" s="11">
        <v>0</v>
      </c>
    </row>
    <row r="5258" spans="5:11" x14ac:dyDescent="0.35">
      <c r="E5258" s="9" t="str">
        <v>EPSG</v>
      </c>
      <c r="F5258" s="7" t="str">
        <v>10375</v>
      </c>
      <c r="G5258" t="str">
        <v>VerticalCrs</v>
      </c>
      <c r="H5258" t="str">
        <v>&lt;undefined&gt;</v>
      </c>
      <c r="I5258" t="str">
        <v>Cais das Velas depth</v>
      </c>
      <c r="J5258" t="str">
        <v>Portugal - central Azores - Sao Jorge island onshore.</v>
      </c>
      <c r="K5258" s="11">
        <v>0</v>
      </c>
    </row>
    <row r="5259" spans="5:11" x14ac:dyDescent="0.35">
      <c r="E5259" s="9" t="str">
        <v>EPSG</v>
      </c>
      <c r="F5259" s="7" t="str">
        <v>10376</v>
      </c>
      <c r="G5259" t="str">
        <v>VerticalCrs</v>
      </c>
      <c r="H5259" t="str">
        <v>&lt;undefined&gt;</v>
      </c>
      <c r="I5259" t="str">
        <v>Santa Cruz da Graciosa depth</v>
      </c>
      <c r="J5259" t="str">
        <v>Portugal - central Azores - Graciosa island onshore.</v>
      </c>
      <c r="K5259" s="11">
        <v>0</v>
      </c>
    </row>
    <row r="5260" spans="5:11" x14ac:dyDescent="0.35">
      <c r="E5260" s="9" t="str">
        <v>EPSG</v>
      </c>
      <c r="F5260" s="7" t="str">
        <v>10377</v>
      </c>
      <c r="G5260" t="str">
        <v>VerticalCrs</v>
      </c>
      <c r="H5260" t="str">
        <v>&lt;undefined&gt;</v>
      </c>
      <c r="I5260" t="str">
        <v>Cais da Figueirinha depth</v>
      </c>
      <c r="J5260" t="str">
        <v>Portugal - central Azores - Terceira island onshore.</v>
      </c>
      <c r="K5260" s="11">
        <v>0</v>
      </c>
    </row>
    <row r="5261" spans="5:11" x14ac:dyDescent="0.35">
      <c r="E5261" s="9" t="str">
        <v>EPSG</v>
      </c>
      <c r="F5261" s="7" t="str">
        <v>10378</v>
      </c>
      <c r="G5261" t="str">
        <v>VerticalCrs</v>
      </c>
      <c r="H5261" t="str">
        <v>&lt;undefined&gt;</v>
      </c>
      <c r="I5261" t="str">
        <v>Ponta Delgada depth</v>
      </c>
      <c r="J5261" t="str">
        <v>Portugal - eastern Azores - Sao Miguel island onshore.</v>
      </c>
      <c r="K5261" s="11">
        <v>0</v>
      </c>
    </row>
    <row r="5262" spans="5:11" x14ac:dyDescent="0.35">
      <c r="E5262" s="9" t="str">
        <v>EPSG</v>
      </c>
      <c r="F5262" s="7" t="str">
        <v>10379</v>
      </c>
      <c r="G5262" t="str">
        <v>VerticalCrs</v>
      </c>
      <c r="H5262" t="str">
        <v>&lt;undefined&gt;</v>
      </c>
      <c r="I5262" t="str">
        <v>Cais da Vila do Porto depth</v>
      </c>
      <c r="J5262" t="str">
        <v>Portugal - eastern Azores onshore - Santa Maria, Formigas.</v>
      </c>
      <c r="K5262" s="11">
        <v>0</v>
      </c>
    </row>
    <row r="5263" spans="5:11" x14ac:dyDescent="0.35">
      <c r="E5263" s="9" t="str">
        <v>EPSG</v>
      </c>
      <c r="F5263" s="7" t="str">
        <v>10412</v>
      </c>
      <c r="G5263" t="str">
        <v>GeocentricCrs</v>
      </c>
      <c r="H5263" t="str">
        <v>&lt;undefined&gt;</v>
      </c>
      <c r="I5263" t="str">
        <v>NAD83(CSRS)v8</v>
      </c>
      <c r="J5263" t="str">
        <v>Canada - onshore and offshore - Alberta; British Columbia; Manitoba; New Brunswick; Newfoundland and Labrador; Northwest Territories; Nova Scotia; Nunavut; Ontario; Prince Edward Island; Quebec; Saskatchewan; Yukon.</v>
      </c>
      <c r="K5263" s="11">
        <v>0</v>
      </c>
    </row>
    <row r="5264" spans="5:11" x14ac:dyDescent="0.35">
      <c r="E5264" s="9" t="str">
        <v>EPSG</v>
      </c>
      <c r="F5264" s="7" t="str">
        <v>10413</v>
      </c>
      <c r="G5264" t="str">
        <v>Geographic3DCrs</v>
      </c>
      <c r="H5264" t="str">
        <v>&lt;undefined&gt;</v>
      </c>
      <c r="I5264" t="str">
        <v>NAD83(CSRS)v8</v>
      </c>
      <c r="J5264" t="str">
        <v>Canada - onshore and offshore - Alberta; British Columbia; Manitoba; New Brunswick; Newfoundland and Labrador; Northwest Territories; Nova Scotia; Nunavut; Ontario; Prince Edward Island; Quebec; Saskatchewan; Yukon.</v>
      </c>
      <c r="K5264" s="11">
        <v>0</v>
      </c>
    </row>
    <row r="5265" spans="5:11" x14ac:dyDescent="0.35">
      <c r="E5265" s="9" t="str">
        <v>EPSG</v>
      </c>
      <c r="F5265" s="7" t="str">
        <v>10414</v>
      </c>
      <c r="G5265" t="str">
        <v>Geographic2DCrs</v>
      </c>
      <c r="H5265" t="str">
        <v>&lt;undefined&gt;</v>
      </c>
      <c r="I5265" t="str">
        <v>NAD83(CSRS)v8</v>
      </c>
      <c r="J5265" t="str">
        <v>Canada - onshore and offshore - Alberta; British Columbia; Manitoba; New Brunswick; Newfoundland and Labrador; Northwest Territories; Nova Scotia; Nunavut; Ontario; Prince Edward Island; Quebec; Saskatchewan; Yukon.</v>
      </c>
      <c r="K5265" s="11">
        <v>0</v>
      </c>
    </row>
    <row r="5266" spans="5:11" x14ac:dyDescent="0.35">
      <c r="E5266" s="9" t="str">
        <v>EPSG</v>
      </c>
      <c r="F5266" s="7" t="str">
        <v>10448</v>
      </c>
      <c r="G5266" t="str">
        <v>ProjectedCrs</v>
      </c>
      <c r="H5266" t="str">
        <v>Transverse Mercator</v>
      </c>
      <c r="I5266" t="str">
        <v>GDA94 / ALB94</v>
      </c>
      <c r="J5266" t="str">
        <v>Australia - Western Australia - Albany area onshore below 190m AHD.</v>
      </c>
      <c r="K5266" s="11">
        <v>0</v>
      </c>
    </row>
    <row r="5267" spans="5:11" x14ac:dyDescent="0.35">
      <c r="E5267" s="9" t="str">
        <v>EPSG</v>
      </c>
      <c r="F5267" s="7" t="str">
        <v>10449</v>
      </c>
      <c r="G5267" t="str">
        <v>ProjectedCrs</v>
      </c>
      <c r="H5267" t="str">
        <v>Transverse Mercator</v>
      </c>
      <c r="I5267" t="str">
        <v>GDA94 / BIO94</v>
      </c>
      <c r="J5267" t="str">
        <v>Australia - Western Australia - Barrow Island and Onslow area onshore.</v>
      </c>
      <c r="K5267" s="11">
        <v>0</v>
      </c>
    </row>
    <row r="5268" spans="5:11" x14ac:dyDescent="0.35">
      <c r="E5268" s="9" t="str">
        <v>EPSG</v>
      </c>
      <c r="F5268" s="7" t="str">
        <v>10450</v>
      </c>
      <c r="G5268" t="str">
        <v>ProjectedCrs</v>
      </c>
      <c r="H5268" t="str">
        <v>Transverse Mercator</v>
      </c>
      <c r="I5268" t="str">
        <v>GDA94 / BRO94</v>
      </c>
      <c r="J5268" t="str">
        <v>Australia - Western Australia - Broome area onshore below 130m AHD.</v>
      </c>
      <c r="K5268" s="11">
        <v>0</v>
      </c>
    </row>
    <row r="5269" spans="5:11" x14ac:dyDescent="0.35">
      <c r="E5269" s="9" t="str">
        <v>EPSG</v>
      </c>
      <c r="F5269" s="7" t="str">
        <v>10451</v>
      </c>
      <c r="G5269" t="str">
        <v>ProjectedCrs</v>
      </c>
      <c r="H5269" t="str">
        <v>Transverse Mercator</v>
      </c>
      <c r="I5269" t="str">
        <v>GDA94 / BCG94</v>
      </c>
      <c r="J5269" t="str">
        <v>Australia - Western Australia - Busselton area onshore below 250m AHD.</v>
      </c>
      <c r="K5269" s="11">
        <v>0</v>
      </c>
    </row>
    <row r="5270" spans="5:11" x14ac:dyDescent="0.35">
      <c r="E5270" s="9" t="str">
        <v>EPSG</v>
      </c>
      <c r="F5270" s="7" t="str">
        <v>10452</v>
      </c>
      <c r="G5270" t="str">
        <v>ProjectedCrs</v>
      </c>
      <c r="H5270" t="str">
        <v>Transverse Mercator</v>
      </c>
      <c r="I5270" t="str">
        <v>GDA94 / CARN94</v>
      </c>
      <c r="J5270" t="str">
        <v>Australia - Western Australia - Carnarvon area onshore.</v>
      </c>
      <c r="K5270" s="11">
        <v>0</v>
      </c>
    </row>
    <row r="5271" spans="5:11" x14ac:dyDescent="0.35">
      <c r="E5271" s="9" t="str">
        <v>EPSG</v>
      </c>
      <c r="F5271" s="7" t="str">
        <v>10453</v>
      </c>
      <c r="G5271" t="str">
        <v>ProjectedCrs</v>
      </c>
      <c r="H5271" t="str">
        <v>Transverse Mercator</v>
      </c>
      <c r="I5271" t="str">
        <v>GDA94 / COL94</v>
      </c>
      <c r="J5271" t="str">
        <v>Australia - Western Australia - Collie area between 50m and 310m AHD.</v>
      </c>
      <c r="K5271" s="11">
        <v>0</v>
      </c>
    </row>
    <row r="5272" spans="5:11" x14ac:dyDescent="0.35">
      <c r="E5272" s="9" t="str">
        <v>EPSG</v>
      </c>
      <c r="F5272" s="7" t="str">
        <v>10454</v>
      </c>
      <c r="G5272" t="str">
        <v>ProjectedCrs</v>
      </c>
      <c r="H5272" t="str">
        <v>Transverse Mercator</v>
      </c>
      <c r="I5272" t="str">
        <v>GDA94 / ESP94</v>
      </c>
      <c r="J5272" t="str">
        <v>Australia - Western Australia - Esperance area onshore.</v>
      </c>
      <c r="K5272" s="11">
        <v>0</v>
      </c>
    </row>
    <row r="5273" spans="5:11" x14ac:dyDescent="0.35">
      <c r="E5273" s="9" t="str">
        <v>EPSG</v>
      </c>
      <c r="F5273" s="7" t="str">
        <v>10455</v>
      </c>
      <c r="G5273" t="str">
        <v>ProjectedCrs</v>
      </c>
      <c r="H5273" t="str">
        <v>Transverse Mercator</v>
      </c>
      <c r="I5273" t="str">
        <v>GDA94 / EXM94</v>
      </c>
      <c r="J5273" t="str">
        <v>Australia - Western Australia - Exmouth area onshore below 160m AHD.</v>
      </c>
      <c r="K5273" s="11">
        <v>0</v>
      </c>
    </row>
    <row r="5274" spans="5:11" x14ac:dyDescent="0.35">
      <c r="E5274" s="9" t="str">
        <v>EPSG</v>
      </c>
      <c r="F5274" s="7" t="str">
        <v>10456</v>
      </c>
      <c r="G5274" t="str">
        <v>ProjectedCrs</v>
      </c>
      <c r="H5274" t="str">
        <v>Transverse Mercator</v>
      </c>
      <c r="I5274" t="str">
        <v>GDA94 / GCG94</v>
      </c>
      <c r="J5274" t="str">
        <v>Australia - Western Australia - Geraldton area onshore below 195m AHD.</v>
      </c>
      <c r="K5274" s="11">
        <v>0</v>
      </c>
    </row>
    <row r="5275" spans="5:11" x14ac:dyDescent="0.35">
      <c r="E5275" s="9" t="str">
        <v>EPSG</v>
      </c>
      <c r="F5275" s="7" t="str">
        <v>10457</v>
      </c>
      <c r="G5275" t="str">
        <v>ProjectedCrs</v>
      </c>
      <c r="H5275" t="str">
        <v>Transverse Mercator</v>
      </c>
      <c r="I5275" t="str">
        <v>GDA94 / GOLD94</v>
      </c>
      <c r="J5275" t="str">
        <v>Australia - Western Australia - Kalgoorlie area.</v>
      </c>
      <c r="K5275" s="11">
        <v>0</v>
      </c>
    </row>
    <row r="5276" spans="5:11" x14ac:dyDescent="0.35">
      <c r="E5276" s="9" t="str">
        <v>EPSG</v>
      </c>
      <c r="F5276" s="7" t="str">
        <v>10458</v>
      </c>
      <c r="G5276" t="str">
        <v>ProjectedCrs</v>
      </c>
      <c r="H5276" t="str">
        <v>Transverse Mercator</v>
      </c>
      <c r="I5276" t="str">
        <v>GDA94 / JCG94</v>
      </c>
      <c r="J5276" t="str">
        <v>Australia - Western Australia - Jurien Bay area onshore below 200m AHD.</v>
      </c>
      <c r="K5276" s="11">
        <v>0</v>
      </c>
    </row>
    <row r="5277" spans="5:11" x14ac:dyDescent="0.35">
      <c r="E5277" s="9" t="str">
        <v>EPSG</v>
      </c>
      <c r="F5277" s="7" t="str">
        <v>10459</v>
      </c>
      <c r="G5277" t="str">
        <v>ProjectedCrs</v>
      </c>
      <c r="H5277" t="str">
        <v>Transverse Mercator</v>
      </c>
      <c r="I5277" t="str">
        <v>GDA94 / KALB94</v>
      </c>
      <c r="J5277" t="str">
        <v>Australia - Western Australia - Kalbarri area onshore.</v>
      </c>
      <c r="K5277" s="11">
        <v>0</v>
      </c>
    </row>
    <row r="5278" spans="5:11" x14ac:dyDescent="0.35">
      <c r="E5278" s="9" t="str">
        <v>EPSG</v>
      </c>
      <c r="F5278" s="7" t="str">
        <v>10460</v>
      </c>
      <c r="G5278" t="str">
        <v>ProjectedCrs</v>
      </c>
      <c r="H5278" t="str">
        <v>Transverse Mercator</v>
      </c>
      <c r="I5278" t="str">
        <v>GDA94 / KAR94</v>
      </c>
      <c r="J5278" t="str">
        <v>Australia - Western Australia - Karratha area onshore.</v>
      </c>
      <c r="K5278" s="11">
        <v>0</v>
      </c>
    </row>
    <row r="5279" spans="5:11" x14ac:dyDescent="0.35">
      <c r="E5279" s="9" t="str">
        <v>EPSG</v>
      </c>
      <c r="F5279" s="7" t="str">
        <v>10461</v>
      </c>
      <c r="G5279" t="str">
        <v>ProjectedCrs</v>
      </c>
      <c r="H5279" t="str">
        <v>Transverse Mercator</v>
      </c>
      <c r="I5279" t="str">
        <v>GDA94 / KUN94</v>
      </c>
      <c r="J5279" t="str">
        <v>Australia - Western Australia - Kununurra area onshore below 200m AHD.</v>
      </c>
      <c r="K5279" s="11">
        <v>0</v>
      </c>
    </row>
    <row r="5280" spans="5:11" x14ac:dyDescent="0.35">
      <c r="E5280" s="9" t="str">
        <v>EPSG</v>
      </c>
      <c r="F5280" s="7" t="str">
        <v>10462</v>
      </c>
      <c r="G5280" t="str">
        <v>ProjectedCrs</v>
      </c>
      <c r="H5280" t="str">
        <v>Transverse Mercator</v>
      </c>
      <c r="I5280" t="str">
        <v>GDA94 / LCG94</v>
      </c>
      <c r="J5280" t="str">
        <v>Australia - Western Australia - Lancelin area onshore below 200m AHD.</v>
      </c>
      <c r="K5280" s="11">
        <v>0</v>
      </c>
    </row>
    <row r="5281" spans="5:11" x14ac:dyDescent="0.35">
      <c r="E5281" s="9" t="str">
        <v>EPSG</v>
      </c>
      <c r="F5281" s="7" t="str">
        <v>10463</v>
      </c>
      <c r="G5281" t="str">
        <v>ProjectedCrs</v>
      </c>
      <c r="H5281" t="str">
        <v>Transverse Mercator</v>
      </c>
      <c r="I5281" t="str">
        <v>GDA94 / MRCG94</v>
      </c>
      <c r="J5281" t="str">
        <v>Australia - Western Australia - Margaret River area onshore below 200m AHD.</v>
      </c>
      <c r="K5281" s="11">
        <v>0</v>
      </c>
    </row>
    <row r="5282" spans="5:11" x14ac:dyDescent="0.35">
      <c r="E5282" s="9" t="str">
        <v>EPSG</v>
      </c>
      <c r="F5282" s="7" t="str">
        <v>10464</v>
      </c>
      <c r="G5282" t="str">
        <v>ProjectedCrs</v>
      </c>
      <c r="H5282" t="str">
        <v>Transverse Mercator</v>
      </c>
      <c r="I5282" t="str">
        <v>GDA94 / PCG94</v>
      </c>
      <c r="J5282" t="str">
        <v>Australia - Western Australia - Perth area onshore below 165m AHD.</v>
      </c>
      <c r="K5282" s="11">
        <v>0</v>
      </c>
    </row>
    <row r="5283" spans="5:11" x14ac:dyDescent="0.35">
      <c r="E5283" s="9" t="str">
        <v>EPSG</v>
      </c>
      <c r="F5283" s="7" t="str">
        <v>10465</v>
      </c>
      <c r="G5283" t="str">
        <v>ProjectedCrs</v>
      </c>
      <c r="H5283" t="str">
        <v>Transverse Mercator</v>
      </c>
      <c r="I5283" t="str">
        <v>GDA94 / PHG94</v>
      </c>
      <c r="J5283" t="str">
        <v>Australia - Western Australia - Port Hedland area onshore.</v>
      </c>
      <c r="K5283" s="11">
        <v>0</v>
      </c>
    </row>
    <row r="5284" spans="5:11" x14ac:dyDescent="0.35">
      <c r="E5284" s="9" t="str">
        <v>EPSG</v>
      </c>
      <c r="F5284" s="7" t="str">
        <v>10468</v>
      </c>
      <c r="G5284" t="str">
        <v>Geographic2DCrs</v>
      </c>
      <c r="H5284" t="str">
        <v>&lt;undefined&gt;</v>
      </c>
      <c r="I5284" t="str">
        <v>COV23-IRF</v>
      </c>
      <c r="J5284" t="str">
        <v>United Kingdom (UK) - in and around the area of Coventry city centre and the route to Birmingham airport.</v>
      </c>
      <c r="K5284" s="11">
        <v>0</v>
      </c>
    </row>
    <row r="5285" spans="5:11" x14ac:dyDescent="0.35">
      <c r="E5285" s="9" t="str">
        <v>EPSG</v>
      </c>
      <c r="F5285" s="7" t="str">
        <v>10471</v>
      </c>
      <c r="G5285" t="str">
        <v>ProjectedCrs</v>
      </c>
      <c r="H5285" t="str">
        <v>Transverse Mercator</v>
      </c>
      <c r="I5285" t="str">
        <v>COV23 Grid</v>
      </c>
      <c r="J5285" t="str">
        <v>United Kingdom (UK) - in and around the area of Coventry city centre and the route to Birmingham airport.</v>
      </c>
      <c r="K5285" s="11">
        <v>0</v>
      </c>
    </row>
    <row r="5286" spans="5:11" x14ac:dyDescent="0.35">
      <c r="E5286" s="9" t="str">
        <v>EPSG</v>
      </c>
      <c r="F5286" s="7" t="str">
        <v>10472</v>
      </c>
      <c r="G5286" t="str">
        <v>CompoundCrs</v>
      </c>
      <c r="H5286" t="str">
        <v>&lt;undefined&gt;</v>
      </c>
      <c r="I5286" t="str">
        <v>COV23 Grid + ODN height</v>
      </c>
      <c r="J5286" t="str">
        <v>United Kingdom (UK) - in and around the area of Coventry city centre and the route to Birmingham airport.</v>
      </c>
      <c r="K5286" s="11">
        <v>0</v>
      </c>
    </row>
    <row r="5287" spans="5:11" x14ac:dyDescent="0.35">
      <c r="E5287" s="9" t="str">
        <v>EPSG</v>
      </c>
      <c r="F5287" s="7" t="str">
        <v>10473</v>
      </c>
      <c r="G5287" t="str">
        <v>GeocentricCrs</v>
      </c>
      <c r="H5287" t="str">
        <v>&lt;undefined&gt;</v>
      </c>
      <c r="I5287" t="str">
        <v>BBT2000</v>
      </c>
      <c r="J5287" t="str">
        <v>Austria and Italy - on or related to the Brenner Base Tunnel rail route from Innsbruck to Fortezza (Franzensfeste).</v>
      </c>
      <c r="K5287" s="11">
        <v>0</v>
      </c>
    </row>
    <row r="5288" spans="5:11" x14ac:dyDescent="0.35">
      <c r="E5288" s="9" t="str">
        <v>EPSG</v>
      </c>
      <c r="F5288" s="7" t="str">
        <v>10474</v>
      </c>
      <c r="G5288" t="str">
        <v>Geographic3DCrs</v>
      </c>
      <c r="H5288" t="str">
        <v>&lt;undefined&gt;</v>
      </c>
      <c r="I5288" t="str">
        <v>BBT2000</v>
      </c>
      <c r="J5288" t="str">
        <v>Austria and Italy - on or related to the Brenner Base Tunnel rail route from Innsbruck to Fortezza (Franzensfeste).</v>
      </c>
      <c r="K5288" s="11">
        <v>0</v>
      </c>
    </row>
    <row r="5289" spans="5:11" x14ac:dyDescent="0.35">
      <c r="E5289" s="9" t="str">
        <v>EPSG</v>
      </c>
      <c r="F5289" s="7" t="str">
        <v>10475</v>
      </c>
      <c r="G5289" t="str">
        <v>Geographic2DCrs</v>
      </c>
      <c r="H5289" t="str">
        <v>&lt;undefined&gt;</v>
      </c>
      <c r="I5289" t="str">
        <v>BBT2000</v>
      </c>
      <c r="J5289" t="str">
        <v>Austria and Italy - on or related to the Brenner Base Tunnel rail route from Innsbruck to Fortezza (Franzensfeste).</v>
      </c>
      <c r="K5289" s="11">
        <v>0</v>
      </c>
    </row>
    <row r="5290" spans="5:11" x14ac:dyDescent="0.35">
      <c r="E5290" s="9" t="str">
        <v>EPSG</v>
      </c>
      <c r="F5290" s="7" t="str">
        <v>10477</v>
      </c>
      <c r="G5290" t="str">
        <v>ProjectedCrs</v>
      </c>
      <c r="H5290" t="str">
        <v>Transverse Mercator</v>
      </c>
      <c r="I5290" t="str">
        <v>BBT2000 / BBT-TM</v>
      </c>
      <c r="J5290" t="str">
        <v>Austria and Italy - on or related to the Brenner Base Tunnel rail route from Innsbruck to Fortezza (Franzensfeste).</v>
      </c>
      <c r="K5290" s="11">
        <v>0</v>
      </c>
    </row>
    <row r="5291" spans="5:11" x14ac:dyDescent="0.35">
      <c r="E5291" s="9" t="str">
        <v>EPSG</v>
      </c>
      <c r="F5291" s="7" t="str">
        <v>10481</v>
      </c>
      <c r="G5291" t="str">
        <v>ProjectedCrs</v>
      </c>
      <c r="H5291" t="str">
        <v>Albers Equal Area</v>
      </c>
      <c r="I5291" t="str">
        <v>NAD83 / TWDB GM</v>
      </c>
      <c r="J5291" t="str">
        <v>United States (USA) - Texas.</v>
      </c>
      <c r="K5291" s="11">
        <v>0</v>
      </c>
    </row>
    <row r="5292" spans="5:11" x14ac:dyDescent="0.35">
      <c r="E5292" s="9" t="str">
        <v>EPSG</v>
      </c>
      <c r="F5292" s="7" t="str">
        <v>10482</v>
      </c>
      <c r="G5292" t="str">
        <v>VerticalCrs</v>
      </c>
      <c r="H5292" t="str">
        <v>&lt;undefined&gt;</v>
      </c>
      <c r="I5292" t="str">
        <v>DVR90(2000) height</v>
      </c>
      <c r="J5292" t="str">
        <v>Denmark - onshore.</v>
      </c>
      <c r="K5292" s="11">
        <v>0</v>
      </c>
    </row>
    <row r="5293" spans="5:11" x14ac:dyDescent="0.35">
      <c r="E5293" s="9" t="str">
        <v>EPSG</v>
      </c>
      <c r="F5293" s="7" t="str">
        <v>10483</v>
      </c>
      <c r="G5293" t="str">
        <v>VerticalCrs</v>
      </c>
      <c r="H5293" t="str">
        <v>&lt;undefined&gt;</v>
      </c>
      <c r="I5293" t="str">
        <v>DVR90(2002) height</v>
      </c>
      <c r="J5293" t="str">
        <v>Denmark - onshore.</v>
      </c>
      <c r="K5293" s="11">
        <v>0</v>
      </c>
    </row>
    <row r="5294" spans="5:11" x14ac:dyDescent="0.35">
      <c r="E5294" s="9" t="str">
        <v>EPSG</v>
      </c>
      <c r="F5294" s="7" t="str">
        <v>10484</v>
      </c>
      <c r="G5294" t="str">
        <v>VerticalCrs</v>
      </c>
      <c r="H5294" t="str">
        <v>&lt;undefined&gt;</v>
      </c>
      <c r="I5294" t="str">
        <v>DVR90(2013) height</v>
      </c>
      <c r="J5294" t="str">
        <v>Denmark - onshore.</v>
      </c>
      <c r="K5294" s="11">
        <v>0</v>
      </c>
    </row>
    <row r="5295" spans="5:11" x14ac:dyDescent="0.35">
      <c r="E5295" s="9" t="str">
        <v>EPSG</v>
      </c>
      <c r="F5295" s="7" t="str">
        <v>10485</v>
      </c>
      <c r="G5295" t="str">
        <v>VerticalCrs</v>
      </c>
      <c r="H5295" t="str">
        <v>&lt;undefined&gt;</v>
      </c>
      <c r="I5295" t="str">
        <v>DVR90(2023) height</v>
      </c>
      <c r="J5295" t="str">
        <v>Denmark - onshore.</v>
      </c>
      <c r="K5295" s="11">
        <v>0</v>
      </c>
    </row>
    <row r="5296" spans="5:11" x14ac:dyDescent="0.35">
      <c r="E5296" s="9" t="str">
        <v>EPSG</v>
      </c>
      <c r="F5296" s="7" t="str">
        <v>10486</v>
      </c>
      <c r="G5296" t="str">
        <v>CompoundCrs</v>
      </c>
      <c r="H5296" t="str">
        <v>&lt;undefined&gt;</v>
      </c>
      <c r="I5296" t="str">
        <v>ETRS89 + DVR90(2002) height</v>
      </c>
      <c r="J5296" t="str">
        <v>Denmark - onshore.</v>
      </c>
      <c r="K5296" s="11">
        <v>0</v>
      </c>
    </row>
    <row r="5297" spans="5:11" x14ac:dyDescent="0.35">
      <c r="E5297" s="9" t="str">
        <v>EPSG</v>
      </c>
      <c r="F5297" s="7" t="str">
        <v>10487</v>
      </c>
      <c r="G5297" t="str">
        <v>CompoundCrs</v>
      </c>
      <c r="H5297" t="str">
        <v>&lt;undefined&gt;</v>
      </c>
      <c r="I5297" t="str">
        <v>ETRS89 + DVR90(2013) height</v>
      </c>
      <c r="J5297" t="str">
        <v>Denmark - onshore.</v>
      </c>
      <c r="K5297" s="11">
        <v>0</v>
      </c>
    </row>
    <row r="5298" spans="5:11" x14ac:dyDescent="0.35">
      <c r="E5298" s="9" t="str">
        <v>EPSG</v>
      </c>
      <c r="F5298" s="7" t="str">
        <v>10488</v>
      </c>
      <c r="G5298" t="str">
        <v>CompoundCrs</v>
      </c>
      <c r="H5298" t="str">
        <v>&lt;undefined&gt;</v>
      </c>
      <c r="I5298" t="str">
        <v>ETRS89 + DVR90(2023) height</v>
      </c>
      <c r="J5298" t="str">
        <v>Denmark - onshore.</v>
      </c>
      <c r="K5298" s="11">
        <v>0</v>
      </c>
    </row>
    <row r="5299" spans="5:11" x14ac:dyDescent="0.35">
      <c r="E5299" s="9" t="str">
        <v>EPSG</v>
      </c>
      <c r="F5299" s="7" t="str">
        <v>10497</v>
      </c>
      <c r="G5299" t="str">
        <v>CompoundCrs</v>
      </c>
      <c r="H5299" t="str">
        <v>&lt;undefined&gt;</v>
      </c>
      <c r="I5299" t="str">
        <v>RGF93 v2 / Lambert-93 + NGF-IGN69 height</v>
      </c>
      <c r="J5299" t="str">
        <v>France - mainland onshore.</v>
      </c>
      <c r="K5299" s="11">
        <v>0</v>
      </c>
    </row>
    <row r="5300" spans="5:11" x14ac:dyDescent="0.35">
      <c r="E5300" s="9" t="str">
        <v>EPSG</v>
      </c>
      <c r="F5300" s="7" t="str">
        <v>10498</v>
      </c>
      <c r="G5300" t="str">
        <v>CompoundCrs</v>
      </c>
      <c r="H5300" t="str">
        <v>&lt;undefined&gt;</v>
      </c>
      <c r="I5300" t="str">
        <v>RGF93 v2 / Lambert-93 + NGF-IGN78 height</v>
      </c>
      <c r="J5300" t="str">
        <v>France - Corsica onshore.</v>
      </c>
      <c r="K5300" s="11">
        <v>0</v>
      </c>
    </row>
    <row r="5301" spans="5:11" x14ac:dyDescent="0.35">
      <c r="E5301" s="9" t="str">
        <v>EPSG</v>
      </c>
      <c r="F5301" s="7" t="str">
        <v>10499</v>
      </c>
      <c r="G5301" t="str">
        <v>CompoundCrs</v>
      </c>
      <c r="H5301" t="str">
        <v>&lt;undefined&gt;</v>
      </c>
      <c r="I5301" t="str">
        <v>RGF93 v2b / Lambert-93 + NGF-IGN69 height</v>
      </c>
      <c r="J5301" t="str">
        <v>France - mainland onshore.</v>
      </c>
      <c r="K5301" s="11">
        <v>0</v>
      </c>
    </row>
    <row r="5302" spans="5:11" x14ac:dyDescent="0.35">
      <c r="E5302" s="9" t="str">
        <v>EPSG</v>
      </c>
      <c r="F5302" s="7" t="str">
        <v>10500</v>
      </c>
      <c r="G5302" t="str">
        <v>CompoundCrs</v>
      </c>
      <c r="H5302" t="str">
        <v>&lt;undefined&gt;</v>
      </c>
      <c r="I5302" t="str">
        <v>RGF93 v2b / Lambert-93 + NGF-IGN78 height</v>
      </c>
      <c r="J5302" t="str">
        <v>France - Corsica onshore.</v>
      </c>
      <c r="K5302" s="11">
        <v>0</v>
      </c>
    </row>
    <row r="5303" spans="5:11" x14ac:dyDescent="0.35">
      <c r="E5303" s="9" t="str">
        <v>EPSG</v>
      </c>
      <c r="F5303" s="7" t="str">
        <v>10507</v>
      </c>
      <c r="G5303" t="str">
        <v>CompoundCrs</v>
      </c>
      <c r="H5303" t="str">
        <v>&lt;undefined&gt;</v>
      </c>
      <c r="I5303" t="str">
        <v>RGF93 v2b + NGF-IGN78 height</v>
      </c>
      <c r="J5303" t="str">
        <v>France - Corsica onshore.</v>
      </c>
      <c r="K5303" s="11">
        <v>0</v>
      </c>
    </row>
    <row r="5304" spans="5:11" x14ac:dyDescent="0.35">
      <c r="E5304" s="9" t="str">
        <v>EPSG</v>
      </c>
      <c r="F5304" s="7" t="str">
        <v>10516</v>
      </c>
      <c r="G5304" t="str">
        <v>ProjectedCrs</v>
      </c>
      <c r="H5304" t="str">
        <v>Transverse Mercator</v>
      </c>
      <c r="I5304" t="str">
        <v>NAD83(2011) / Adjusted Jackson (ftUS)</v>
      </c>
      <c r="J5304" t="str">
        <v>United States (USA) - Wisconsin - Jackson county.</v>
      </c>
      <c r="K5304" s="11">
        <v>0</v>
      </c>
    </row>
    <row r="5305" spans="5:11" x14ac:dyDescent="0.35">
      <c r="E5305" s="9" t="str">
        <v>EPSG</v>
      </c>
      <c r="F5305" s="7" t="str">
        <v>10545</v>
      </c>
      <c r="G5305" t="str">
        <v>CompoundCrs</v>
      </c>
      <c r="H5305" t="str">
        <v>&lt;undefined&gt;</v>
      </c>
      <c r="I5305" t="str">
        <v>ETRS89 + Cascais height</v>
      </c>
      <c r="J5305" t="str">
        <v>Portugal - mainland - onshore.</v>
      </c>
      <c r="K5305" s="11">
        <v>0</v>
      </c>
    </row>
    <row r="5306" spans="5:11" x14ac:dyDescent="0.35">
      <c r="E5306" s="9" t="str">
        <v>EPSG</v>
      </c>
      <c r="F5306" s="7" t="str">
        <v>10547</v>
      </c>
      <c r="G5306" t="str">
        <v>VerticalCrs</v>
      </c>
      <c r="H5306" t="str">
        <v>&lt;undefined&gt;</v>
      </c>
      <c r="I5306" t="str">
        <v>DKMSL(2022) depth</v>
      </c>
      <c r="J5306" t="str">
        <v>Denmark - offshore.</v>
      </c>
      <c r="K5306" s="11">
        <v>0</v>
      </c>
    </row>
    <row r="5307" spans="5:11" x14ac:dyDescent="0.35">
      <c r="E5307" s="9" t="str">
        <v>EPSG</v>
      </c>
      <c r="F5307" s="7" t="str">
        <v>10548</v>
      </c>
      <c r="G5307" t="str">
        <v>VerticalCrs</v>
      </c>
      <c r="H5307" t="str">
        <v>&lt;undefined&gt;</v>
      </c>
      <c r="I5307" t="str">
        <v>DKLAT(2022) depth</v>
      </c>
      <c r="J5307" t="str">
        <v>Denmark - offshore.</v>
      </c>
      <c r="K5307" s="11">
        <v>0</v>
      </c>
    </row>
    <row r="5308" spans="5:11" x14ac:dyDescent="0.35">
      <c r="E5308" s="9" t="str">
        <v>EPSG</v>
      </c>
      <c r="F5308" s="7" t="str">
        <v>10549</v>
      </c>
      <c r="G5308" t="str">
        <v>VerticalCrs</v>
      </c>
      <c r="H5308" t="str">
        <v>&lt;undefined&gt;</v>
      </c>
      <c r="I5308" t="str">
        <v>DKMSL(2023) depth</v>
      </c>
      <c r="J5308" t="str">
        <v>Denmark - offshore.</v>
      </c>
      <c r="K5308" s="11">
        <v>0</v>
      </c>
    </row>
    <row r="5309" spans="5:11" x14ac:dyDescent="0.35">
      <c r="E5309" s="9" t="str">
        <v>EPSG</v>
      </c>
      <c r="F5309" s="7" t="str">
        <v>10550</v>
      </c>
      <c r="G5309" t="str">
        <v>VerticalCrs</v>
      </c>
      <c r="H5309" t="str">
        <v>&lt;undefined&gt;</v>
      </c>
      <c r="I5309" t="str">
        <v>DKLAT(2023) depth</v>
      </c>
      <c r="J5309" t="str">
        <v>Denmark - offshore.</v>
      </c>
      <c r="K5309" s="11">
        <v>0</v>
      </c>
    </row>
    <row r="5310" spans="5:11" x14ac:dyDescent="0.35">
      <c r="E5310" s="9" t="str">
        <v>EPSG</v>
      </c>
      <c r="F5310" s="7" t="str">
        <v>10551</v>
      </c>
      <c r="G5310" t="str">
        <v>VerticalCrs</v>
      </c>
      <c r="H5310" t="str">
        <v>&lt;undefined&gt;</v>
      </c>
      <c r="I5310" t="str">
        <v xml:space="preserve">DKMSL depth </v>
      </c>
      <c r="J5310" t="str">
        <v>Denmark - offshore.</v>
      </c>
      <c r="K5310" s="11">
        <v>0</v>
      </c>
    </row>
    <row r="5311" spans="5:11" x14ac:dyDescent="0.35">
      <c r="E5311" s="9" t="str">
        <v>EPSG</v>
      </c>
      <c r="F5311" s="7" t="str">
        <v>10552</v>
      </c>
      <c r="G5311" t="str">
        <v>VerticalCrs</v>
      </c>
      <c r="H5311" t="str">
        <v>&lt;undefined&gt;</v>
      </c>
      <c r="I5311" t="str">
        <v>DKLAT depth</v>
      </c>
      <c r="J5311" t="str">
        <v>Denmark - offshore.</v>
      </c>
      <c r="K5311" s="11">
        <v>0</v>
      </c>
    </row>
    <row r="5312" spans="5:11" x14ac:dyDescent="0.35">
      <c r="E5312" s="9" t="str">
        <v>EPSG</v>
      </c>
      <c r="F5312" s="7" t="str">
        <v>10553</v>
      </c>
      <c r="G5312" t="str">
        <v>CompoundCrs</v>
      </c>
      <c r="H5312" t="str">
        <v>&lt;undefined&gt;</v>
      </c>
      <c r="I5312" t="str">
        <v>ETRS89 + DKMSL(2022) depth</v>
      </c>
      <c r="J5312" t="str">
        <v>Denmark - offshore.</v>
      </c>
      <c r="K5312" s="11">
        <v>0</v>
      </c>
    </row>
    <row r="5313" spans="5:11" x14ac:dyDescent="0.35">
      <c r="E5313" s="9" t="str">
        <v>EPSG</v>
      </c>
      <c r="F5313" s="7" t="str">
        <v>10554</v>
      </c>
      <c r="G5313" t="str">
        <v>CompoundCrs</v>
      </c>
      <c r="H5313" t="str">
        <v>&lt;undefined&gt;</v>
      </c>
      <c r="I5313" t="str">
        <v>ETRS89 + DKLAT(2022) depth</v>
      </c>
      <c r="J5313" t="str">
        <v>Denmark - offshore.</v>
      </c>
      <c r="K5313" s="11">
        <v>0</v>
      </c>
    </row>
    <row r="5314" spans="5:11" x14ac:dyDescent="0.35">
      <c r="E5314" s="9" t="str">
        <v>EPSG</v>
      </c>
      <c r="F5314" s="7" t="str">
        <v>10555</v>
      </c>
      <c r="G5314" t="str">
        <v>CompoundCrs</v>
      </c>
      <c r="H5314" t="str">
        <v>&lt;undefined&gt;</v>
      </c>
      <c r="I5314" t="str">
        <v>ETRS89 + DKMSL(2023) depth</v>
      </c>
      <c r="J5314" t="str">
        <v>Denmark - offshore.</v>
      </c>
      <c r="K5314" s="11">
        <v>0</v>
      </c>
    </row>
    <row r="5315" spans="5:11" x14ac:dyDescent="0.35">
      <c r="E5315" s="9" t="str">
        <v>EPSG</v>
      </c>
      <c r="F5315" s="7" t="str">
        <v>10556</v>
      </c>
      <c r="G5315" t="str">
        <v>CompoundCrs</v>
      </c>
      <c r="H5315" t="str">
        <v>&lt;undefined&gt;</v>
      </c>
      <c r="I5315" t="str">
        <v>ETRS89 + DKLAT(2023) depth</v>
      </c>
      <c r="J5315" t="str">
        <v>Denmark - offshore.</v>
      </c>
      <c r="K5315" s="11">
        <v>0</v>
      </c>
    </row>
    <row r="5316" spans="5:11" x14ac:dyDescent="0.35">
      <c r="E5316" s="9" t="str">
        <v>EPSG</v>
      </c>
      <c r="F5316" s="7" t="str">
        <v>10565</v>
      </c>
      <c r="G5316" t="str">
        <v>VerticalCrs</v>
      </c>
      <c r="H5316" t="str">
        <v>&lt;undefined&gt;</v>
      </c>
      <c r="I5316" t="str">
        <v>GLLMSL(2022) height</v>
      </c>
      <c r="J5316" t="str">
        <v>Greenland - onshore.</v>
      </c>
      <c r="K5316" s="11">
        <v>0</v>
      </c>
    </row>
    <row r="5317" spans="5:11" x14ac:dyDescent="0.35">
      <c r="E5317" s="9" t="str">
        <v>EPSG</v>
      </c>
      <c r="F5317" s="7" t="str">
        <v>10569</v>
      </c>
      <c r="G5317" t="str">
        <v>GeocentricCrs</v>
      </c>
      <c r="H5317" t="str">
        <v>&lt;undefined&gt;</v>
      </c>
      <c r="I5317" t="str">
        <v>ETRF2020</v>
      </c>
      <c r="J5317" t="str">
        <v>Europe - onshore and offshore: Albania; Andorra; Austria; Belgium; Bosnia and Herzegovina; Bulgaria; Croatia; Czechia; Denmark; Estonia; Faroe Islands; Finland; France; Germany; Gibraltar; Greece; Hungary; Ireland; Italy; Kosovo; Latvia; Liechtenstein; Lithuania; Luxembourg; Malta; Moldova; Monaco; Montenegro; Netherlands; North Macedonia; Norway including Svalbard and Jan Mayen; Poland; Portugal - mainland; Romania; San Marino; Serbia; Slovakia; Slovenia; Spain - mainland and Balearic islands; Sweden; Switzerland; United Kingdom (UK) including Channel Islands and Isle of Man; Vatican City State.</v>
      </c>
      <c r="K5317" s="11">
        <v>0</v>
      </c>
    </row>
    <row r="5318" spans="5:11" x14ac:dyDescent="0.35">
      <c r="E5318" s="9" t="str">
        <v>EPSG</v>
      </c>
      <c r="F5318" s="7" t="str">
        <v>10570</v>
      </c>
      <c r="G5318" t="str">
        <v>Geographic3DCrs</v>
      </c>
      <c r="H5318" t="str">
        <v>&lt;undefined&gt;</v>
      </c>
      <c r="I5318" t="str">
        <v>ETRF2020</v>
      </c>
      <c r="J5318" t="str">
        <v>Europe - onshore and offshore - ETRF extent - approximately 16°W to 33°E and 33°N to 84°N.</v>
      </c>
      <c r="K5318" s="11">
        <v>0</v>
      </c>
    </row>
    <row r="5319" spans="5:11" x14ac:dyDescent="0.35">
      <c r="E5319" s="9" t="str">
        <v>EPSG</v>
      </c>
      <c r="F5319" s="7" t="str">
        <v>10571</v>
      </c>
      <c r="G5319" t="str">
        <v>Geographic2DCrs</v>
      </c>
      <c r="H5319" t="str">
        <v>&lt;undefined&gt;</v>
      </c>
      <c r="I5319" t="str">
        <v>ETRF2020</v>
      </c>
      <c r="J5319" t="str">
        <v>Europe - onshore and offshore - ETRF extent - approximately 16°W to 33°E and 33°N to 84°N.</v>
      </c>
      <c r="K5319" s="11">
        <v>0</v>
      </c>
    </row>
    <row r="5320" spans="5:11" x14ac:dyDescent="0.35">
      <c r="E5320" s="9" t="str">
        <v>EPSG</v>
      </c>
      <c r="F5320" s="7" t="str">
        <v>10588</v>
      </c>
      <c r="G5320" t="str">
        <v>VerticalCrs</v>
      </c>
      <c r="H5320" t="str">
        <v>&lt;undefined&gt;</v>
      </c>
      <c r="I5320" t="str">
        <v>CGVD28(HTv2.0) height</v>
      </c>
      <c r="J5320" t="str">
        <v>Canada - onshore and offshore between 41°N and 84°N and west of 48°W - Alberta; British Columbia; Manitoba; New Brunswick; Newfoundland and Labrador; Northwest Territories; Nova Scotia; Nunavut; Ontario; Prince Edward Island; Quebec; Saskatchewan; Yukon.</v>
      </c>
      <c r="K5320" s="11">
        <v>0</v>
      </c>
    </row>
    <row r="5321" spans="5:11" x14ac:dyDescent="0.35">
      <c r="E5321" s="9" t="str">
        <v>EPSG</v>
      </c>
      <c r="F5321" s="7" t="str">
        <v>10592</v>
      </c>
      <c r="G5321" t="str">
        <v>ProjectedCrs</v>
      </c>
      <c r="H5321" t="str">
        <v>Lambert Azimuthal Equal Area</v>
      </c>
      <c r="I5321" t="str">
        <v>WGS 84 / GLANCE Africa</v>
      </c>
      <c r="J5321" t="str">
        <v>Africa and the Arabian peninsula.</v>
      </c>
      <c r="K5321" s="11">
        <v>0</v>
      </c>
    </row>
    <row r="5322" spans="5:11" x14ac:dyDescent="0.35">
      <c r="E5322" s="9" t="str">
        <v>EPSG</v>
      </c>
      <c r="F5322" s="7" t="str">
        <v>10594</v>
      </c>
      <c r="G5322" t="str">
        <v>ProjectedCrs</v>
      </c>
      <c r="H5322" t="str">
        <v>Lambert Azimuthal Equal Area</v>
      </c>
      <c r="I5322" t="str">
        <v>WGS 84 / GLANCE Asia</v>
      </c>
      <c r="J5322" t="str">
        <v>Asia including Maldives and British Indian Ocean Territory.</v>
      </c>
      <c r="K5322" s="11">
        <v>0</v>
      </c>
    </row>
    <row r="5323" spans="5:11" x14ac:dyDescent="0.35">
      <c r="E5323" s="9" t="str">
        <v>EPSG</v>
      </c>
      <c r="F5323" s="7" t="str">
        <v>10596</v>
      </c>
      <c r="G5323" t="str">
        <v>ProjectedCrs</v>
      </c>
      <c r="H5323" t="str">
        <v>Lambert Azimuthal Equal Area</v>
      </c>
      <c r="I5323" t="str">
        <v>WGS 84 / GLANCE Europe</v>
      </c>
      <c r="J5323" t="str">
        <v>Europe including Russia west of the Ural Mountains.</v>
      </c>
      <c r="K5323" s="11">
        <v>0</v>
      </c>
    </row>
    <row r="5324" spans="5:11" x14ac:dyDescent="0.35">
      <c r="E5324" s="9" t="str">
        <v>EPSG</v>
      </c>
      <c r="F5324" s="7" t="str">
        <v>10598</v>
      </c>
      <c r="G5324" t="str">
        <v>ProjectedCrs</v>
      </c>
      <c r="H5324" t="str">
        <v>Lambert Azimuthal Equal Area</v>
      </c>
      <c r="I5324" t="str">
        <v>WGS 84 / GLANCE North America</v>
      </c>
      <c r="J5324" t="str">
        <v>North America including Greenland, the Caribbean and Central America, together with circum-polar area north of 83°40'N. Excluding the circum-polar area, the longitude extent is from 167.65° in west across the 180° meridian to 15.72° in east.</v>
      </c>
      <c r="K5324" s="11">
        <v>0</v>
      </c>
    </row>
    <row r="5325" spans="5:11" x14ac:dyDescent="0.35">
      <c r="E5325" s="9" t="str">
        <v>EPSG</v>
      </c>
      <c r="F5325" s="7" t="str">
        <v>10601</v>
      </c>
      <c r="G5325" t="str">
        <v>ProjectedCrs</v>
      </c>
      <c r="H5325" t="str">
        <v>Lambert Azimuthal Equal Area</v>
      </c>
      <c r="I5325" t="str">
        <v>WGS 84 / GLANCE Oceania</v>
      </c>
      <c r="J5325" t="str">
        <v>Australasia and the western Pacific Ocean.</v>
      </c>
      <c r="K5325" s="11">
        <v>0</v>
      </c>
    </row>
    <row r="5326" spans="5:11" x14ac:dyDescent="0.35">
      <c r="E5326" s="9" t="str">
        <v>EPSG</v>
      </c>
      <c r="F5326" s="7" t="str">
        <v>10603</v>
      </c>
      <c r="G5326" t="str">
        <v>ProjectedCrs</v>
      </c>
      <c r="H5326" t="str">
        <v>Lambert Azimuthal Equal Area</v>
      </c>
      <c r="I5326" t="str">
        <v>WGS 84 / GLANCE South America</v>
      </c>
      <c r="J5326" t="str">
        <v>South America including Panama.</v>
      </c>
      <c r="K5326" s="11">
        <v>0</v>
      </c>
    </row>
    <row r="5327" spans="5:11" x14ac:dyDescent="0.35">
      <c r="E5327" s="9" t="str">
        <v>EPSG</v>
      </c>
      <c r="F5327" s="7" t="str">
        <v>10604</v>
      </c>
      <c r="G5327" t="str">
        <v>GeocentricCrs</v>
      </c>
      <c r="H5327" t="str">
        <v>&lt;undefined&gt;</v>
      </c>
      <c r="I5327" t="str">
        <v>WGS 84 (G2296)</v>
      </c>
      <c r="J5327" t="str">
        <v>World.</v>
      </c>
      <c r="K5327" s="11">
        <v>0</v>
      </c>
    </row>
    <row r="5328" spans="5:11" x14ac:dyDescent="0.35">
      <c r="E5328" s="9" t="str">
        <v>EPSG</v>
      </c>
      <c r="F5328" s="7" t="str">
        <v>10605</v>
      </c>
      <c r="G5328" t="str">
        <v>Geographic3DCrs</v>
      </c>
      <c r="H5328" t="str">
        <v>&lt;undefined&gt;</v>
      </c>
      <c r="I5328" t="str">
        <v>WGS 84 (G2296)</v>
      </c>
      <c r="J5328" t="str">
        <v>World: Afghanistan, Albania, Algeria, American Samoa, Andorra, Angola, Anguilla, Antarctica, Antigua and Barbuda, Argentina, Armenia, Aruba, Australia, Austria, Azerbaijan, Bahamas, Bahrain, Bangladesh, Barbados, Belgium, Belgium, Belize, Benin, Bermuda, Bhutan, Bolivia, Bonaire, Saint Eustasius and Saba, Bosnia and Herzegovina, Botswana, Bouvet Island, Brazil, British Indian Ocean Territory, British Virgin Islands, Brunei Darussalam, Bulgaria, Burkina Faso, Burundi, Cambodia, Cameroon, Canada, Cape Verde, Cayman Islands, Central African Republic, Chad, Chile, China, Christmas Island, Cocos (Keeling) Islands, Comoros, Congo, Cook Islands, Costa Rica, Côte d'Ivoire (Ivory Coast), Croatia, Cuba, Curacao, Cyprus, Czechia, Denmark, Djibouti, Dominica, Dominican Republic, East Timor, Ecuador, Egypt, El Salvador, Equatorial Guinea, Eritrea, Estonia, Eswatini (Swaziland),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China - Hong Kong, Hungary, Iceland, India, Indonesia, Islamic Republic of Iran, Iraq, Ireland, Israel, Italy, Jamaica, Japan, Jordan, Kazakhstan, Kenya, Kiribati, Democratic People's Republic of Korea (North Korea), Republic of Korea (South Korea), Kosovo, Kuwait, Kyrgyzstan, Lao People's Democratic Republic (Laos), Latvia, Lebanon, Lesotho, Liberia, Libyan Arab Jamahiriya, Liechtenstein, Lithuania, Luxembourg, China - Macao, Madagascar, Malawi, Malaysia, Maldives, Mali, Malta, Marshall Islands, Martinique, Mauritania, Mauritius, Mayotte, Mexico, Federated States of Micronesia, Monaco, Mongolia, Montenegro, Montserrat, Morocco, Mozambique, Myanmar (Burma), Namibia, Nauru, Nepal, Netherlands, New Caledonia, New Zealand, Nicaragua, Niger, Nigeria, Niue, Norfolk Island, North Macedonia, Northern Mariana Islands, Norway, Oman, Pakistan, Palau, Panama, Papua New Guinea (PNG), Paraguay, Peru, Philippines, Pitcairn, Poland, Portugal, Puerto Rico, Qatar, Reunion, Romania, Russian Federation, Rwanda, St Barthelemy, St Kitts and Nevis, St Helena, Ascension and Tristan da Cunha, St Lucia, St Martin, St Pierre and Miquelon, Saint Vincent and the Grenadines, Samoa, San Marino, Sao Tome and Principe, Saudi Arabia, Senegal, Serbia, Seychelles, Sierra Leone, Singapore, Slovakia (Slovak Republic), Slovenia, St Maarten, Solomon Islands, Somalia, South Africa, South Georgia and the South Sandwich Islands, South Sudan, Spain, Sri Lanka, Sudan, Suriname, Svalbard and Jan Mayen, Sweden, Switzerland, Syrian Arab Republic, Taiwan, Tajikistan, United Republic of Tanzania, Thailand, The Democratic Republic of the Congo (Zaire), Togo, Tokelau, Tonga, Trinidad and Tobago, Tunisia, Türkiye (Turkey), Turkmenistan, Turks and Caicos Islands, Tuvalu, Uganda, Ukraine, United Arab Emirates (UAE), United Kingdom (UK), United States (USA), United States Minor Outlying Islands, Uruguay, Uzbekistan, Vanuatu, Venezuela, Vietnam, US Virgin Islands, Wallis and Futuna, Western Sahara, Yemen, Zambia, Zimbabwe.</v>
      </c>
      <c r="K5328" s="11">
        <v>0</v>
      </c>
    </row>
    <row r="5329" spans="5:11" x14ac:dyDescent="0.35">
      <c r="E5329" s="9" t="str">
        <v>EPSG</v>
      </c>
      <c r="F5329" s="7" t="str">
        <v>10606</v>
      </c>
      <c r="G5329" t="str">
        <v>Geographic2DCrs</v>
      </c>
      <c r="H5329" t="str">
        <v>&lt;undefined&gt;</v>
      </c>
      <c r="I5329" t="str">
        <v>WGS 84 (G2296)</v>
      </c>
      <c r="J5329" t="str">
        <v>World.</v>
      </c>
      <c r="K5329" s="11">
        <v>0</v>
      </c>
    </row>
    <row r="5330" spans="5:11" x14ac:dyDescent="0.35">
      <c r="E5330" s="9" t="str">
        <v>EPSG</v>
      </c>
      <c r="F5330" s="7" t="str">
        <v>10622</v>
      </c>
      <c r="G5330" t="str">
        <v>ProjectedCrs</v>
      </c>
      <c r="H5330" t="str">
        <v>Local Orthographic</v>
      </c>
      <c r="I5330" t="str">
        <v>NAD83(2011) / San Francisco SFO-B18 (ftUS)</v>
      </c>
      <c r="J5330" t="str">
        <v>USA - California - San Francisco international airport.</v>
      </c>
      <c r="K5330" s="11">
        <v>0</v>
      </c>
    </row>
    <row r="5331" spans="5:11" x14ac:dyDescent="0.35">
      <c r="E5331" s="9" t="str">
        <v>EPSG</v>
      </c>
      <c r="F5331" s="7" t="str">
        <v>10623</v>
      </c>
      <c r="G5331" t="str">
        <v>Geographic2DCrs</v>
      </c>
      <c r="H5331" t="str">
        <v>&lt;undefined&gt;</v>
      </c>
      <c r="I5331" t="str">
        <v>ECML14-IRF</v>
      </c>
      <c r="J5331" t="str">
        <v>United Kingdom (UK) - on or related to the east coast mainline rail route from London (Kings Cross) via Newcastle to Edinburgh.</v>
      </c>
      <c r="K5331" s="11">
        <v>0</v>
      </c>
    </row>
    <row r="5332" spans="5:11" x14ac:dyDescent="0.35">
      <c r="E5332" s="9" t="str">
        <v>EPSG</v>
      </c>
      <c r="F5332" s="7" t="str">
        <v>10626</v>
      </c>
      <c r="G5332" t="str">
        <v>ProjectedCrs</v>
      </c>
      <c r="H5332" t="str">
        <v>Transverse Mercator</v>
      </c>
      <c r="I5332" t="str">
        <v>ECML14 Grid</v>
      </c>
      <c r="J5332" t="str">
        <v>United Kingdom (UK) - on or related to the east coast mainline rail route from London (Kings Cross) via Newcastle to Edinburgh.</v>
      </c>
      <c r="K5332" s="11">
        <v>0</v>
      </c>
    </row>
    <row r="5333" spans="5:11" x14ac:dyDescent="0.35">
      <c r="E5333" s="9" t="str">
        <v>EPSG</v>
      </c>
      <c r="F5333" s="7" t="str">
        <v>10627</v>
      </c>
      <c r="G5333" t="str">
        <v>CompoundCrs</v>
      </c>
      <c r="H5333" t="str">
        <v>&lt;undefined&gt;</v>
      </c>
      <c r="I5333" t="str">
        <v>ECML14 Grid + ODN height</v>
      </c>
      <c r="J5333" t="str">
        <v>United Kingdom (UK) - on or related to the east coast mainline rail route from London (Kings Cross) via Newcastle to Edinburgh.</v>
      </c>
      <c r="K5333" s="11">
        <v>0</v>
      </c>
    </row>
    <row r="5334" spans="5:11" x14ac:dyDescent="0.35">
      <c r="E5334" s="9" t="str">
        <v>EPSG</v>
      </c>
      <c r="F5334" s="7" t="str">
        <v>10628</v>
      </c>
      <c r="G5334" t="str">
        <v>Geographic2DCrs</v>
      </c>
      <c r="H5334" t="str">
        <v>&lt;undefined&gt;</v>
      </c>
      <c r="I5334" t="str">
        <v>WC05-IRF</v>
      </c>
      <c r="J5334" t="str">
        <v>United Kingdom (UK) - on or related to the west coast mainline rail route from London (Euston) via Carlisle to Glasgow.</v>
      </c>
      <c r="K5334" s="11">
        <v>0</v>
      </c>
    </row>
    <row r="5335" spans="5:11" x14ac:dyDescent="0.35">
      <c r="E5335" s="9" t="str">
        <v>EPSG</v>
      </c>
      <c r="F5335" s="7" t="str">
        <v>10632</v>
      </c>
      <c r="G5335" t="str">
        <v>ProjectedCrs</v>
      </c>
      <c r="H5335" t="str">
        <v>Transverse Mercator</v>
      </c>
      <c r="I5335" t="str">
        <v>WC05 Grid</v>
      </c>
      <c r="J5335" t="str">
        <v>United Kingdom (UK) - on or related to the west coast mainline rail route from London (Euston) via Carlisle to Glasgow.</v>
      </c>
      <c r="K5335" s="11">
        <v>0</v>
      </c>
    </row>
    <row r="5336" spans="5:11" x14ac:dyDescent="0.35">
      <c r="E5336" s="9" t="str">
        <v>EPSG</v>
      </c>
      <c r="F5336" s="7" t="str">
        <v>10633</v>
      </c>
      <c r="G5336" t="str">
        <v>CompoundCrs</v>
      </c>
      <c r="H5336" t="str">
        <v>&lt;undefined&gt;</v>
      </c>
      <c r="I5336" t="str">
        <v>RGAF09 / UTM zone 20N + Martinique 1987 height</v>
      </c>
      <c r="J5336" t="str">
        <v>Martinique - onshore.</v>
      </c>
      <c r="K5336" s="11">
        <v>0</v>
      </c>
    </row>
    <row r="5337" spans="5:11" x14ac:dyDescent="0.35">
      <c r="E5337" s="9" t="str">
        <v>EPSG</v>
      </c>
      <c r="F5337" s="7" t="str">
        <v>10649</v>
      </c>
      <c r="G5337" t="str">
        <v>VerticalCrs</v>
      </c>
      <c r="H5337" t="str">
        <v>&lt;undefined&gt;</v>
      </c>
      <c r="I5337" t="str">
        <v>GLMSL(2023) depth</v>
      </c>
      <c r="J5337" t="str">
        <v>Greenland - offshore.</v>
      </c>
      <c r="K5337" s="11">
        <v>0</v>
      </c>
    </row>
    <row r="5338" spans="5:11" x14ac:dyDescent="0.35">
      <c r="E5338" s="9" t="str">
        <v>EPSG</v>
      </c>
      <c r="F5338" s="7" t="str">
        <v>10650</v>
      </c>
      <c r="G5338" t="str">
        <v>VerticalCrs</v>
      </c>
      <c r="H5338" t="str">
        <v>&lt;undefined&gt;</v>
      </c>
      <c r="I5338" t="str">
        <v>GLLAT(2023) depth</v>
      </c>
      <c r="J5338" t="str">
        <v>Greenland - offshore.</v>
      </c>
      <c r="K5338" s="11">
        <v>0</v>
      </c>
    </row>
    <row r="5339" spans="5:11" x14ac:dyDescent="0.35">
      <c r="E5339" s="9" t="str">
        <v>EPSG</v>
      </c>
      <c r="F5339" s="7" t="str">
        <v>10651</v>
      </c>
      <c r="G5339" t="str">
        <v>CompoundCrs</v>
      </c>
      <c r="H5339" t="str">
        <v>&lt;undefined&gt;</v>
      </c>
      <c r="I5339" t="str">
        <v>GR96 + GLMSL(2023) depth</v>
      </c>
      <c r="J5339" t="str">
        <v>Greenland - offshore.</v>
      </c>
      <c r="K5339" s="11">
        <v>0</v>
      </c>
    </row>
    <row r="5340" spans="5:11" x14ac:dyDescent="0.35">
      <c r="E5340" s="9" t="str">
        <v>EPSG</v>
      </c>
      <c r="F5340" s="7" t="str">
        <v>10652</v>
      </c>
      <c r="G5340" t="str">
        <v>CompoundCrs</v>
      </c>
      <c r="H5340" t="str">
        <v>&lt;undefined&gt;</v>
      </c>
      <c r="I5340" t="str">
        <v>GR96 + GLLAT(2023) depth</v>
      </c>
      <c r="J5340" t="str">
        <v>Greenland - offshore.</v>
      </c>
      <c r="K5340" s="11">
        <v>0</v>
      </c>
    </row>
    <row r="5341" spans="5:11" x14ac:dyDescent="0.35">
      <c r="E5341" s="9" t="str">
        <v>EPSG</v>
      </c>
      <c r="F5341" s="7" t="str">
        <v>10659</v>
      </c>
      <c r="G5341" t="str">
        <v>CompoundCrs</v>
      </c>
      <c r="H5341" t="str">
        <v>&lt;undefined&gt;</v>
      </c>
      <c r="I5341" t="str">
        <v>ETRF2000 + EOMA 1980 height</v>
      </c>
      <c r="J5341" t="str">
        <v>Hungary.</v>
      </c>
      <c r="K5341" s="11">
        <v>0</v>
      </c>
    </row>
    <row r="5342" spans="5:11" x14ac:dyDescent="0.35">
      <c r="E5342" s="9" t="str">
        <v>EPSG</v>
      </c>
      <c r="F5342" s="7" t="str">
        <v>10660</v>
      </c>
      <c r="G5342" t="str">
        <v>CompoundCrs</v>
      </c>
      <c r="H5342" t="str">
        <v>&lt;undefined&gt;</v>
      </c>
      <c r="I5342" t="str">
        <v>HD72 / EOV + EOMA 1980 height</v>
      </c>
      <c r="J5342" t="str">
        <v>Hungary.</v>
      </c>
      <c r="K5342" s="11">
        <v>0</v>
      </c>
    </row>
    <row r="5343" spans="5:11" x14ac:dyDescent="0.35">
      <c r="E5343" s="9" t="str">
        <v>EPSG</v>
      </c>
      <c r="F5343" s="7" t="str">
        <v>10665</v>
      </c>
      <c r="G5343" t="str">
        <v>ProjectedCrs</v>
      </c>
      <c r="H5343" t="str">
        <v>Transverse Mercator</v>
      </c>
      <c r="I5343" t="str">
        <v>SIRGAS 2000 / Porto Alegre TM</v>
      </c>
      <c r="J5343" t="str">
        <v>Brazil - Porto Alegre municipality.</v>
      </c>
      <c r="K5343" s="11">
        <v>0</v>
      </c>
    </row>
    <row r="5344" spans="5:11" x14ac:dyDescent="0.35">
      <c r="E5344" s="9" t="str">
        <v>EPSG</v>
      </c>
      <c r="F5344" s="7" t="str">
        <v>10669</v>
      </c>
      <c r="G5344" t="str">
        <v>GeocentricCrs</v>
      </c>
      <c r="H5344" t="str">
        <v>&lt;undefined&gt;</v>
      </c>
      <c r="I5344" t="str">
        <v>RGM23</v>
      </c>
      <c r="J5344" t="str">
        <v>Mayotte - onshore and offshore.</v>
      </c>
      <c r="K5344" s="11">
        <v>0</v>
      </c>
    </row>
    <row r="5345" spans="5:11" x14ac:dyDescent="0.35">
      <c r="E5345" s="9" t="str">
        <v>EPSG</v>
      </c>
      <c r="F5345" s="7" t="str">
        <v>10670</v>
      </c>
      <c r="G5345" t="str">
        <v>Geographic3DCrs</v>
      </c>
      <c r="H5345" t="str">
        <v>&lt;undefined&gt;</v>
      </c>
      <c r="I5345" t="str">
        <v>RGM23</v>
      </c>
      <c r="J5345" t="str">
        <v>Mayotte - onshore and offshore.</v>
      </c>
      <c r="K5345" s="11">
        <v>0</v>
      </c>
    </row>
    <row r="5346" spans="5:11" x14ac:dyDescent="0.35">
      <c r="E5346" s="9" t="str">
        <v>EPSG</v>
      </c>
      <c r="F5346" s="7" t="str">
        <v>10671</v>
      </c>
      <c r="G5346" t="str">
        <v>Geographic2DCrs</v>
      </c>
      <c r="H5346" t="str">
        <v>&lt;undefined&gt;</v>
      </c>
      <c r="I5346" t="str">
        <v>RGM23</v>
      </c>
      <c r="J5346" t="str">
        <v>Mayotte - onshore and offshore.</v>
      </c>
      <c r="K5346" s="11">
        <v>0</v>
      </c>
    </row>
    <row r="5347" spans="5:11" x14ac:dyDescent="0.35">
      <c r="E5347" s="9" t="str">
        <v>EPSG</v>
      </c>
      <c r="F5347" s="7" t="str">
        <v>10672</v>
      </c>
      <c r="G5347" t="str">
        <v>Geographic3DCrs</v>
      </c>
      <c r="H5347" t="str">
        <v>&lt;undefined&gt;</v>
      </c>
      <c r="I5347" t="str">
        <v>RGM23 (lon-lat)</v>
      </c>
      <c r="J5347" t="str">
        <v>Mayotte - onshore and offshore.</v>
      </c>
      <c r="K5347" s="11">
        <v>0</v>
      </c>
    </row>
    <row r="5348" spans="5:11" x14ac:dyDescent="0.35">
      <c r="E5348" s="9" t="str">
        <v>EPSG</v>
      </c>
      <c r="F5348" s="7" t="str">
        <v>10673</v>
      </c>
      <c r="G5348" t="str">
        <v>Geographic2DCrs</v>
      </c>
      <c r="H5348" t="str">
        <v>&lt;undefined&gt;</v>
      </c>
      <c r="I5348" t="str">
        <v>RGM23 (lon-lat)</v>
      </c>
      <c r="J5348" t="str">
        <v>Mayotte - onshore and offshore.</v>
      </c>
      <c r="K5348" s="11">
        <v>0</v>
      </c>
    </row>
    <row r="5349" spans="5:11" x14ac:dyDescent="0.35">
      <c r="E5349" s="9" t="str">
        <v>EPSG</v>
      </c>
      <c r="F5349" s="7" t="str">
        <v>10674</v>
      </c>
      <c r="G5349" t="str">
        <v>ProjectedCrs</v>
      </c>
      <c r="H5349" t="str">
        <v>Transverse Mercator</v>
      </c>
      <c r="I5349" t="str">
        <v>RGM23 / UTM zone 38S</v>
      </c>
      <c r="J5349" t="str">
        <v>Mayotte - onshore and offshore.</v>
      </c>
      <c r="K5349" s="11">
        <v>0</v>
      </c>
    </row>
    <row r="5350" spans="5:11" x14ac:dyDescent="0.35">
      <c r="E5350" s="9" t="str">
        <v>EPSG</v>
      </c>
      <c r="F5350" s="7" t="str">
        <v>10678</v>
      </c>
      <c r="G5350" t="str">
        <v>VerticalCrs</v>
      </c>
      <c r="H5350" t="str">
        <v>&lt;undefined&gt;</v>
      </c>
      <c r="I5350" t="str">
        <v>BSCD2000 depth</v>
      </c>
      <c r="J5350" t="str">
        <v>Denmark, Estonia, Finland, Germany, Latvia, Lithuania, Norway, Poland, Russia and Sweden - offshore Baltic Sea including Skagerrak east of 8°30'E, Kattegat, Gulf of Bothnia, and Gulf of Finland.</v>
      </c>
      <c r="K5350" s="11">
        <v>0</v>
      </c>
    </row>
    <row r="5351" spans="5:11" x14ac:dyDescent="0.35">
      <c r="E5351" s="9" t="str">
        <v>EPSG</v>
      </c>
      <c r="F5351" s="7" t="str">
        <v>10679</v>
      </c>
      <c r="G5351" t="str">
        <v>CompoundCrs</v>
      </c>
      <c r="H5351" t="str">
        <v>&lt;undefined&gt;</v>
      </c>
      <c r="I5351" t="str">
        <v>ETRS89 + BSCD2000 depth</v>
      </c>
      <c r="J5351" t="str">
        <v>Denmark, Estonia, Finland, Germany, Latvia, Lithuania, Norway, Poland, Russia and Sweden - offshore Baltic Sea including Skagerrak east of 8°30'E, Kattegat, Gulf of Bothnia, and Gulf of Finland.</v>
      </c>
      <c r="K5351" s="11">
        <v>0</v>
      </c>
    </row>
    <row r="5352" spans="5:11" x14ac:dyDescent="0.35">
      <c r="E5352" s="9" t="str">
        <v>EPSG</v>
      </c>
      <c r="F5352" s="7" t="str">
        <v>10686</v>
      </c>
      <c r="G5352" t="str">
        <v>CompoundCrs</v>
      </c>
      <c r="H5352" t="str">
        <v>&lt;undefined&gt;</v>
      </c>
      <c r="I5352" t="str">
        <v>Slovenia 1996 + SVS2000 height</v>
      </c>
      <c r="J5352" t="str">
        <v>Slovenia - onshore.</v>
      </c>
      <c r="K5352" s="11">
        <v>0</v>
      </c>
    </row>
    <row r="5353" spans="5:11" x14ac:dyDescent="0.35">
      <c r="E5353" s="9" t="str">
        <v>EPSG</v>
      </c>
      <c r="F5353" s="7" t="str">
        <v>10687</v>
      </c>
      <c r="G5353" t="str">
        <v>CompoundCrs</v>
      </c>
      <c r="H5353" t="str">
        <v>&lt;undefined&gt;</v>
      </c>
      <c r="I5353" t="str">
        <v>Slovenia 1996 / Slovene National Grid + SVS2000 height</v>
      </c>
      <c r="J5353" t="str">
        <v>Slovenia - onshore.</v>
      </c>
      <c r="K5353" s="11">
        <v>0</v>
      </c>
    </row>
    <row r="5354" spans="5:11" x14ac:dyDescent="0.35">
      <c r="E5354" s="9" t="str">
        <v>EPSG</v>
      </c>
      <c r="F5354" s="7" t="str">
        <v>10731</v>
      </c>
      <c r="G5354" t="str">
        <v>ProjectedCrs</v>
      </c>
      <c r="H5354" t="str">
        <v>Transverse Mercator</v>
      </c>
      <c r="I5354" t="str">
        <v>ETRS89/DREF91/2016 / UTM zone 31N</v>
      </c>
      <c r="J5354" t="str">
        <v>Germany - onshore and offshore west of 6°E.</v>
      </c>
      <c r="K5354" s="11">
        <v>0</v>
      </c>
    </row>
    <row r="5355" spans="5:11" x14ac:dyDescent="0.35">
      <c r="E5355" s="9" t="str">
        <v>EPSG</v>
      </c>
      <c r="F5355" s="7" t="str">
        <v>10732</v>
      </c>
      <c r="G5355" t="str">
        <v>ProjectedCrs</v>
      </c>
      <c r="H5355" t="str">
        <v>Transverse Mercator</v>
      </c>
      <c r="I5355" t="str">
        <v>ETRS89/DREF91/2016 / UTM zone 32N</v>
      </c>
      <c r="J5355" t="str">
        <v>Germany - onshore and offshore between 6°E and 12°E - Baden-Wurtemberg, Bayern, Bremen, Hamburg, Hessen, Mecklenburg-Vorpommern, Niedersachsen, Nordrhein-Westfalen, Rheinland-Pfalz, Saarland, Sachsen, Sachsen-Anhalt, Schleswig-Holstein, Thuringen.</v>
      </c>
      <c r="K5355" s="11">
        <v>0</v>
      </c>
    </row>
    <row r="5356" spans="5:11" x14ac:dyDescent="0.35">
      <c r="E5356" s="9" t="str">
        <v>EPSG</v>
      </c>
      <c r="F5356" s="7" t="str">
        <v>10733</v>
      </c>
      <c r="G5356" t="str">
        <v>ProjectedCrs</v>
      </c>
      <c r="H5356" t="str">
        <v>Transverse Mercator</v>
      </c>
      <c r="I5356" t="str">
        <v>ETRS89/DREF91/2016 / UTM zone 33N</v>
      </c>
      <c r="J5356" t="str">
        <v>Germany - onshore and offshore east of 12°E, together with that part of Brandenburg state west of 12°E - Bayern, Berlin, Brandenburg (all state), Mecklenburg-Vorpommern, Sachsen, Sachsen-Anhalt, Thuringen.</v>
      </c>
      <c r="K5356" s="11">
        <v>0</v>
      </c>
    </row>
    <row r="5357" spans="5:11" x14ac:dyDescent="0.35">
      <c r="E5357" s="9" t="str">
        <v>EPSG</v>
      </c>
      <c r="F5357" s="7" t="str">
        <v>11114</v>
      </c>
      <c r="G5357" t="str">
        <v>ProjectedCrs</v>
      </c>
      <c r="H5357" t="str">
        <v>Transverse Mercator</v>
      </c>
      <c r="I5357" t="str">
        <v>MAGNA-SIRGAS 2018 / Colombia Far West zone</v>
      </c>
      <c r="J5357" t="str">
        <v>Colombia - mainland onshore west of 4°30'W of Bogota (approximately 78°35'W of Greenwich).</v>
      </c>
      <c r="K5357" s="11">
        <v>0</v>
      </c>
    </row>
    <row r="5358" spans="5:11" x14ac:dyDescent="0.35">
      <c r="E5358" s="9" t="str">
        <v>EPSG</v>
      </c>
      <c r="F5358" s="7" t="str">
        <v>11115</v>
      </c>
      <c r="G5358" t="str">
        <v>ProjectedCrs</v>
      </c>
      <c r="H5358" t="str">
        <v>Transverse Mercator</v>
      </c>
      <c r="I5358" t="str">
        <v>MAGNA-SIRGAS 2018 / Colombia West zone</v>
      </c>
      <c r="J5358" t="str">
        <v>Colombia - onshore between 4°30'W and 1°30'W of Bogota (approximately 78°35'W and 75°35'W of Greenwich).</v>
      </c>
      <c r="K5358" s="11">
        <v>0</v>
      </c>
    </row>
    <row r="5359" spans="5:11" x14ac:dyDescent="0.35">
      <c r="E5359" s="9" t="str">
        <v>EPSG</v>
      </c>
      <c r="F5359" s="7" t="str">
        <v>11116</v>
      </c>
      <c r="G5359" t="str">
        <v>ProjectedCrs</v>
      </c>
      <c r="H5359" t="str">
        <v>Transverse Mercator</v>
      </c>
      <c r="I5359" t="str">
        <v>MAGNA-SIRGAS 2018 / Colombia Bogota zone</v>
      </c>
      <c r="J5359" t="str">
        <v>Colombia - onshore between 1°30'W and 1°30'E of Bogota (approximately 75°35'W and 72°35'W of Greenwich).</v>
      </c>
      <c r="K5359" s="11">
        <v>0</v>
      </c>
    </row>
    <row r="5360" spans="5:11" x14ac:dyDescent="0.35">
      <c r="E5360" s="9" t="str">
        <v>EPSG</v>
      </c>
      <c r="F5360" s="7" t="str">
        <v>11117</v>
      </c>
      <c r="G5360" t="str">
        <v>ProjectedCrs</v>
      </c>
      <c r="H5360" t="str">
        <v>Transverse Mercator</v>
      </c>
      <c r="I5360" t="str">
        <v>MAGNA-SIRGAS 2018 / Colombia East Central zone</v>
      </c>
      <c r="J5360" t="str">
        <v>Colombia - onshore between 1°30'E and 4°30'E of Bogota (approximately 72°35'W and 69°35'W of Greenwich).</v>
      </c>
      <c r="K5360" s="11">
        <v>0</v>
      </c>
    </row>
    <row r="5361" spans="5:11" x14ac:dyDescent="0.35">
      <c r="E5361" s="9" t="str">
        <v>EPSG</v>
      </c>
      <c r="F5361" s="7" t="str">
        <v>11118</v>
      </c>
      <c r="G5361" t="str">
        <v>ProjectedCrs</v>
      </c>
      <c r="H5361" t="str">
        <v>Transverse Mercator</v>
      </c>
      <c r="I5361" t="str">
        <v>MAGNA-SIRGAS 2018 / Colombia East zone</v>
      </c>
      <c r="J5361" t="str">
        <v>Colombia - east of 4°30'E of Bogota (approximately 69°35'W of Greenwich).</v>
      </c>
      <c r="K5361" s="11">
        <v>0</v>
      </c>
    </row>
    <row r="5362" spans="5:11" x14ac:dyDescent="0.35">
      <c r="E5362" s="9" t="str">
        <v>EPSG</v>
      </c>
      <c r="F5362" s="7" t="str">
        <v>20000</v>
      </c>
      <c r="G5362" t="str">
        <v>VerticalCrs</v>
      </c>
      <c r="H5362" t="str">
        <v>&lt;undefined&gt;</v>
      </c>
      <c r="I5362" t="str">
        <v>SVD2006 height</v>
      </c>
      <c r="J5362" t="str">
        <v>Arctic (Norway (Svalbard) onshore and offshore) - between 81°10'N and 76°10'N.</v>
      </c>
      <c r="K5362" s="11">
        <v>0</v>
      </c>
    </row>
    <row r="5363" spans="5:11" x14ac:dyDescent="0.35">
      <c r="E5363" s="9" t="str">
        <v>EPSG</v>
      </c>
      <c r="F5363" s="7" t="str">
        <v>20001</v>
      </c>
      <c r="G5363" t="str">
        <v>CompoundCrs</v>
      </c>
      <c r="H5363" t="str">
        <v>&lt;undefined&gt;</v>
      </c>
      <c r="I5363" t="str">
        <v>ETRS89 + SVD2006 height</v>
      </c>
      <c r="J5363" t="str">
        <v>Arctic (Norway (Svalbard) onshore and offshore) - between 81°10'N and 76°10'N.</v>
      </c>
      <c r="K5363" s="11">
        <v>0</v>
      </c>
    </row>
    <row r="5364" spans="5:11" x14ac:dyDescent="0.35">
      <c r="E5364" s="9" t="str">
        <v>EPSG</v>
      </c>
      <c r="F5364" s="7" t="str">
        <v>20002</v>
      </c>
      <c r="G5364" t="str">
        <v>ProjectedCrs</v>
      </c>
      <c r="H5364" t="str">
        <v>Transverse Mercator</v>
      </c>
      <c r="I5364" t="str">
        <v>MWC18 Grid</v>
      </c>
      <c r="J5364" t="str">
        <v>United Kingdom (UK) - on or related to the rail route from Manchester via Wigan and Liverpool to Chester.</v>
      </c>
      <c r="K5364" s="11">
        <v>0</v>
      </c>
    </row>
    <row r="5365" spans="5:11" x14ac:dyDescent="0.35">
      <c r="E5365" s="9" t="str">
        <v>EPSG</v>
      </c>
      <c r="F5365" s="7" t="str">
        <v>20003</v>
      </c>
      <c r="G5365" t="str">
        <v>CompoundCrs</v>
      </c>
      <c r="H5365" t="str">
        <v>&lt;undefined&gt;</v>
      </c>
      <c r="I5365" t="str">
        <v>MWC18 Grid + ODN height</v>
      </c>
      <c r="J5365" t="str">
        <v>United Kingdom (UK) - on or related to the rail route from Manchester via Wigan and Liverpool to Chester.</v>
      </c>
      <c r="K5365" s="11">
        <v>0</v>
      </c>
    </row>
    <row r="5366" spans="5:11" x14ac:dyDescent="0.35">
      <c r="E5366" s="9" t="str">
        <v>EPSG</v>
      </c>
      <c r="F5366" s="7" t="str">
        <v>20004</v>
      </c>
      <c r="G5366" t="str">
        <v>ProjectedCrs</v>
      </c>
      <c r="H5366" t="str">
        <v>Transverse Mercator</v>
      </c>
      <c r="I5366" t="str">
        <v>Pulkovo 1995 / Gauss-Kruger zone 4</v>
      </c>
      <c r="J5366" t="str">
        <v>Russian Federation - onshore west of 24°E - Kaliningrad.</v>
      </c>
      <c r="K5366" s="11">
        <v>0</v>
      </c>
    </row>
    <row r="5367" spans="5:11" x14ac:dyDescent="0.35">
      <c r="E5367" s="9" t="str">
        <v>EPSG</v>
      </c>
      <c r="F5367" s="7" t="str">
        <v>20005</v>
      </c>
      <c r="G5367" t="str">
        <v>ProjectedCrs</v>
      </c>
      <c r="H5367" t="str">
        <v>Transverse Mercator</v>
      </c>
      <c r="I5367" t="str">
        <v>Pulkovo 1995 / Gauss-Kruger zone 5</v>
      </c>
      <c r="J5367" t="str">
        <v>Russian Federation - onshore between 24°E and 30°E.</v>
      </c>
      <c r="K5367" s="11">
        <v>0</v>
      </c>
    </row>
    <row r="5368" spans="5:11" x14ac:dyDescent="0.35">
      <c r="E5368" s="9" t="str">
        <v>EPSG</v>
      </c>
      <c r="F5368" s="7" t="str">
        <v>20006</v>
      </c>
      <c r="G5368" t="str">
        <v>ProjectedCrs</v>
      </c>
      <c r="H5368" t="str">
        <v>Transverse Mercator</v>
      </c>
      <c r="I5368" t="str">
        <v>Pulkovo 1995 / Gauss-Kruger zone 6</v>
      </c>
      <c r="J5368" t="str">
        <v>Russian Federation - onshore between 30°E and 36°E.</v>
      </c>
      <c r="K5368" s="11">
        <v>0</v>
      </c>
    </row>
    <row r="5369" spans="5:11" x14ac:dyDescent="0.35">
      <c r="E5369" s="9" t="str">
        <v>EPSG</v>
      </c>
      <c r="F5369" s="7" t="str">
        <v>20007</v>
      </c>
      <c r="G5369" t="str">
        <v>ProjectedCrs</v>
      </c>
      <c r="H5369" t="str">
        <v>Transverse Mercator</v>
      </c>
      <c r="I5369" t="str">
        <v>Pulkovo 1995 / Gauss-Kruger zone 7</v>
      </c>
      <c r="J5369" t="str">
        <v>Russian Federation - onshore between 36°E and 42°E.</v>
      </c>
      <c r="K5369" s="11">
        <v>0</v>
      </c>
    </row>
    <row r="5370" spans="5:11" x14ac:dyDescent="0.35">
      <c r="E5370" s="9" t="str">
        <v>EPSG</v>
      </c>
      <c r="F5370" s="7" t="str">
        <v>20008</v>
      </c>
      <c r="G5370" t="str">
        <v>ProjectedCrs</v>
      </c>
      <c r="H5370" t="str">
        <v>Transverse Mercator</v>
      </c>
      <c r="I5370" t="str">
        <v>Pulkovo 1995 / Gauss-Kruger zone 8</v>
      </c>
      <c r="J5370" t="str">
        <v>Russian Federation - onshore between 42°E and 48°E.</v>
      </c>
      <c r="K5370" s="11">
        <v>0</v>
      </c>
    </row>
    <row r="5371" spans="5:11" x14ac:dyDescent="0.35">
      <c r="E5371" s="9" t="str">
        <v>EPSG</v>
      </c>
      <c r="F5371" s="7" t="str">
        <v>20009</v>
      </c>
      <c r="G5371" t="str">
        <v>ProjectedCrs</v>
      </c>
      <c r="H5371" t="str">
        <v>Transverse Mercator</v>
      </c>
      <c r="I5371" t="str">
        <v>Pulkovo 1995 / Gauss-Kruger zone 9</v>
      </c>
      <c r="J5371" t="str">
        <v>Russian Federation - onshore between 48°E and 54°E.</v>
      </c>
      <c r="K5371" s="11">
        <v>0</v>
      </c>
    </row>
    <row r="5372" spans="5:11" x14ac:dyDescent="0.35">
      <c r="E5372" s="9" t="str">
        <v>EPSG</v>
      </c>
      <c r="F5372" s="7" t="str">
        <v>20010</v>
      </c>
      <c r="G5372" t="str">
        <v>ProjectedCrs</v>
      </c>
      <c r="H5372" t="str">
        <v>Transverse Mercator</v>
      </c>
      <c r="I5372" t="str">
        <v>Pulkovo 1995 / Gauss-Kruger zone 10</v>
      </c>
      <c r="J5372" t="str">
        <v>Russian Federation - onshore between 54°E and 60°E.</v>
      </c>
      <c r="K5372" s="11">
        <v>0</v>
      </c>
    </row>
    <row r="5373" spans="5:11" x14ac:dyDescent="0.35">
      <c r="E5373" s="9" t="str">
        <v>EPSG</v>
      </c>
      <c r="F5373" s="7" t="str">
        <v>20011</v>
      </c>
      <c r="G5373" t="str">
        <v>ProjectedCrs</v>
      </c>
      <c r="H5373" t="str">
        <v>Transverse Mercator</v>
      </c>
      <c r="I5373" t="str">
        <v>Pulkovo 1995 / Gauss-Kruger zone 11</v>
      </c>
      <c r="J5373" t="str">
        <v>Russian Federation - onshore between 60°E and 66°E.</v>
      </c>
      <c r="K5373" s="11">
        <v>0</v>
      </c>
    </row>
    <row r="5374" spans="5:11" x14ac:dyDescent="0.35">
      <c r="E5374" s="9" t="str">
        <v>EPSG</v>
      </c>
      <c r="F5374" s="7" t="str">
        <v>20012</v>
      </c>
      <c r="G5374" t="str">
        <v>ProjectedCrs</v>
      </c>
      <c r="H5374" t="str">
        <v>Transverse Mercator</v>
      </c>
      <c r="I5374" t="str">
        <v>Pulkovo 1995 / Gauss-Kruger zone 12</v>
      </c>
      <c r="J5374" t="str">
        <v>Russian Federation - onshore between 66°E and 72°E .</v>
      </c>
      <c r="K5374" s="11">
        <v>0</v>
      </c>
    </row>
    <row r="5375" spans="5:11" x14ac:dyDescent="0.35">
      <c r="E5375" s="9" t="str">
        <v>EPSG</v>
      </c>
      <c r="F5375" s="7" t="str">
        <v>20013</v>
      </c>
      <c r="G5375" t="str">
        <v>ProjectedCrs</v>
      </c>
      <c r="H5375" t="str">
        <v>Transverse Mercator</v>
      </c>
      <c r="I5375" t="str">
        <v>Pulkovo 1995 / Gauss-Kruger zone 13</v>
      </c>
      <c r="J5375" t="str">
        <v>Russian Federation - onshore between 72°E and 78°E.</v>
      </c>
      <c r="K5375" s="11">
        <v>0</v>
      </c>
    </row>
    <row r="5376" spans="5:11" x14ac:dyDescent="0.35">
      <c r="E5376" s="9" t="str">
        <v>EPSG</v>
      </c>
      <c r="F5376" s="7" t="str">
        <v>20014</v>
      </c>
      <c r="G5376" t="str">
        <v>ProjectedCrs</v>
      </c>
      <c r="H5376" t="str">
        <v>Transverse Mercator</v>
      </c>
      <c r="I5376" t="str">
        <v>Pulkovo 1995 / Gauss-Kruger zone 14</v>
      </c>
      <c r="J5376" t="str">
        <v>Russian Federation - onshore between 78°E and 84°E.</v>
      </c>
      <c r="K5376" s="11">
        <v>0</v>
      </c>
    </row>
    <row r="5377" spans="5:11" x14ac:dyDescent="0.35">
      <c r="E5377" s="9" t="str">
        <v>EPSG</v>
      </c>
      <c r="F5377" s="7" t="str">
        <v>20015</v>
      </c>
      <c r="G5377" t="str">
        <v>ProjectedCrs</v>
      </c>
      <c r="H5377" t="str">
        <v>Transverse Mercator</v>
      </c>
      <c r="I5377" t="str">
        <v>Pulkovo 1995 / Gauss-Kruger zone 15</v>
      </c>
      <c r="J5377" t="str">
        <v>Russian Federation - onshore between 84°E and 90°E.</v>
      </c>
      <c r="K5377" s="11">
        <v>0</v>
      </c>
    </row>
    <row r="5378" spans="5:11" x14ac:dyDescent="0.35">
      <c r="E5378" s="9" t="str">
        <v>EPSG</v>
      </c>
      <c r="F5378" s="7" t="str">
        <v>20016</v>
      </c>
      <c r="G5378" t="str">
        <v>ProjectedCrs</v>
      </c>
      <c r="H5378" t="str">
        <v>Transverse Mercator</v>
      </c>
      <c r="I5378" t="str">
        <v>Pulkovo 1995 / Gauss-Kruger zone 16</v>
      </c>
      <c r="J5378" t="str">
        <v>Russian Federation - onshore between 90°E and 96°E.</v>
      </c>
      <c r="K5378" s="11">
        <v>0</v>
      </c>
    </row>
    <row r="5379" spans="5:11" x14ac:dyDescent="0.35">
      <c r="E5379" s="9" t="str">
        <v>EPSG</v>
      </c>
      <c r="F5379" s="7" t="str">
        <v>20017</v>
      </c>
      <c r="G5379" t="str">
        <v>ProjectedCrs</v>
      </c>
      <c r="H5379" t="str">
        <v>Transverse Mercator</v>
      </c>
      <c r="I5379" t="str">
        <v>Pulkovo 1995 / Gauss-Kruger zone 17</v>
      </c>
      <c r="J5379" t="str">
        <v>Russian Federation - onshore between 96°E and 102°E.</v>
      </c>
      <c r="K5379" s="11">
        <v>0</v>
      </c>
    </row>
    <row r="5380" spans="5:11" x14ac:dyDescent="0.35">
      <c r="E5380" s="9" t="str">
        <v>EPSG</v>
      </c>
      <c r="F5380" s="7" t="str">
        <v>20018</v>
      </c>
      <c r="G5380" t="str">
        <v>ProjectedCrs</v>
      </c>
      <c r="H5380" t="str">
        <v>Transverse Mercator</v>
      </c>
      <c r="I5380" t="str">
        <v>Pulkovo 1995 / Gauss-Kruger zone 18</v>
      </c>
      <c r="J5380" t="str">
        <v>Russian Federation - onshore between 102°E and 108°E.</v>
      </c>
      <c r="K5380" s="11">
        <v>0</v>
      </c>
    </row>
    <row r="5381" spans="5:11" x14ac:dyDescent="0.35">
      <c r="E5381" s="9" t="str">
        <v>EPSG</v>
      </c>
      <c r="F5381" s="7" t="str">
        <v>20019</v>
      </c>
      <c r="G5381" t="str">
        <v>ProjectedCrs</v>
      </c>
      <c r="H5381" t="str">
        <v>Transverse Mercator</v>
      </c>
      <c r="I5381" t="str">
        <v>Pulkovo 1995 / Gauss-Kruger zone 19</v>
      </c>
      <c r="J5381" t="str">
        <v>Russian Federation - onshore between 108°E and 114°E.</v>
      </c>
      <c r="K5381" s="11">
        <v>0</v>
      </c>
    </row>
    <row r="5382" spans="5:11" x14ac:dyDescent="0.35">
      <c r="E5382" s="9" t="str">
        <v>EPSG</v>
      </c>
      <c r="F5382" s="7" t="str">
        <v>20020</v>
      </c>
      <c r="G5382" t="str">
        <v>ProjectedCrs</v>
      </c>
      <c r="H5382" t="str">
        <v>Transverse Mercator</v>
      </c>
      <c r="I5382" t="str">
        <v>Pulkovo 1995 / Gauss-Kruger zone 20</v>
      </c>
      <c r="J5382" t="str">
        <v>Russian Federation - onshore between 114°E and 120°E.</v>
      </c>
      <c r="K5382" s="11">
        <v>0</v>
      </c>
    </row>
    <row r="5383" spans="5:11" x14ac:dyDescent="0.35">
      <c r="E5383" s="9" t="str">
        <v>EPSG</v>
      </c>
      <c r="F5383" s="7" t="str">
        <v>20021</v>
      </c>
      <c r="G5383" t="str">
        <v>ProjectedCrs</v>
      </c>
      <c r="H5383" t="str">
        <v>Transverse Mercator</v>
      </c>
      <c r="I5383" t="str">
        <v>Pulkovo 1995 / Gauss-Kruger zone 21</v>
      </c>
      <c r="J5383" t="str">
        <v>Russian Federation - onshore between 120°E and 126°E.</v>
      </c>
      <c r="K5383" s="11">
        <v>0</v>
      </c>
    </row>
    <row r="5384" spans="5:11" x14ac:dyDescent="0.35">
      <c r="E5384" s="9" t="str">
        <v>EPSG</v>
      </c>
      <c r="F5384" s="7" t="str">
        <v>20022</v>
      </c>
      <c r="G5384" t="str">
        <v>ProjectedCrs</v>
      </c>
      <c r="H5384" t="str">
        <v>Transverse Mercator</v>
      </c>
      <c r="I5384" t="str">
        <v>Pulkovo 1995 / Gauss-Kruger zone 22</v>
      </c>
      <c r="J5384" t="str">
        <v>Russian Federation - onshore between 126°E and 132°E.</v>
      </c>
      <c r="K5384" s="11">
        <v>0</v>
      </c>
    </row>
    <row r="5385" spans="5:11" x14ac:dyDescent="0.35">
      <c r="E5385" s="9" t="str">
        <v>EPSG</v>
      </c>
      <c r="F5385" s="7" t="str">
        <v>20023</v>
      </c>
      <c r="G5385" t="str">
        <v>ProjectedCrs</v>
      </c>
      <c r="H5385" t="str">
        <v>Transverse Mercator</v>
      </c>
      <c r="I5385" t="str">
        <v>Pulkovo 1995 / Gauss-Kruger zone 23</v>
      </c>
      <c r="J5385" t="str">
        <v>Russian Federation - onshore between 132°E and 138°E.</v>
      </c>
      <c r="K5385" s="11">
        <v>0</v>
      </c>
    </row>
    <row r="5386" spans="5:11" x14ac:dyDescent="0.35">
      <c r="E5386" s="9" t="str">
        <v>EPSG</v>
      </c>
      <c r="F5386" s="7" t="str">
        <v>20024</v>
      </c>
      <c r="G5386" t="str">
        <v>ProjectedCrs</v>
      </c>
      <c r="H5386" t="str">
        <v>Transverse Mercator</v>
      </c>
      <c r="I5386" t="str">
        <v>Pulkovo 1995 / Gauss-Kruger zone 24</v>
      </c>
      <c r="J5386" t="str">
        <v>Russian Federation - onshore between 138°E and 144°E.</v>
      </c>
      <c r="K5386" s="11">
        <v>0</v>
      </c>
    </row>
    <row r="5387" spans="5:11" x14ac:dyDescent="0.35">
      <c r="E5387" s="9" t="str">
        <v>EPSG</v>
      </c>
      <c r="F5387" s="7" t="str">
        <v>20025</v>
      </c>
      <c r="G5387" t="str">
        <v>ProjectedCrs</v>
      </c>
      <c r="H5387" t="str">
        <v>Transverse Mercator</v>
      </c>
      <c r="I5387" t="str">
        <v>Pulkovo 1995 / Gauss-Kruger zone 25</v>
      </c>
      <c r="J5387" t="str">
        <v>Russian Federation - onshore between 144°E and 150°E.</v>
      </c>
      <c r="K5387" s="11">
        <v>0</v>
      </c>
    </row>
    <row r="5388" spans="5:11" x14ac:dyDescent="0.35">
      <c r="E5388" s="9" t="str">
        <v>EPSG</v>
      </c>
      <c r="F5388" s="7" t="str">
        <v>20026</v>
      </c>
      <c r="G5388" t="str">
        <v>ProjectedCrs</v>
      </c>
      <c r="H5388" t="str">
        <v>Transverse Mercator</v>
      </c>
      <c r="I5388" t="str">
        <v>Pulkovo 1995 / Gauss-Kruger zone 26</v>
      </c>
      <c r="J5388" t="str">
        <v>Russian Federation - onshore between 150°E and 156°E.</v>
      </c>
      <c r="K5388" s="11">
        <v>0</v>
      </c>
    </row>
    <row r="5389" spans="5:11" x14ac:dyDescent="0.35">
      <c r="E5389" s="9" t="str">
        <v>EPSG</v>
      </c>
      <c r="F5389" s="7" t="str">
        <v>20027</v>
      </c>
      <c r="G5389" t="str">
        <v>ProjectedCrs</v>
      </c>
      <c r="H5389" t="str">
        <v>Transverse Mercator</v>
      </c>
      <c r="I5389" t="str">
        <v>Pulkovo 1995 / Gauss-Kruger zone 27</v>
      </c>
      <c r="J5389" t="str">
        <v>Russian Federation - onshore between 156°E and 162°E.</v>
      </c>
      <c r="K5389" s="11">
        <v>0</v>
      </c>
    </row>
    <row r="5390" spans="5:11" x14ac:dyDescent="0.35">
      <c r="E5390" s="9" t="str">
        <v>EPSG</v>
      </c>
      <c r="F5390" s="7" t="str">
        <v>20028</v>
      </c>
      <c r="G5390" t="str">
        <v>ProjectedCrs</v>
      </c>
      <c r="H5390" t="str">
        <v>Transverse Mercator</v>
      </c>
      <c r="I5390" t="str">
        <v>Pulkovo 1995 / Gauss-Kruger zone 28</v>
      </c>
      <c r="J5390" t="str">
        <v>Russian Federation - onshore between 162°E and 168°E.</v>
      </c>
      <c r="K5390" s="11">
        <v>0</v>
      </c>
    </row>
    <row r="5391" spans="5:11" x14ac:dyDescent="0.35">
      <c r="E5391" s="9" t="str">
        <v>EPSG</v>
      </c>
      <c r="F5391" s="7" t="str">
        <v>20029</v>
      </c>
      <c r="G5391" t="str">
        <v>ProjectedCrs</v>
      </c>
      <c r="H5391" t="str">
        <v>Transverse Mercator</v>
      </c>
      <c r="I5391" t="str">
        <v>Pulkovo 1995 / Gauss-Kruger zone 29</v>
      </c>
      <c r="J5391" t="str">
        <v>Russian Federation - onshore between 168°E and 174°E.</v>
      </c>
      <c r="K5391" s="11">
        <v>0</v>
      </c>
    </row>
    <row r="5392" spans="5:11" x14ac:dyDescent="0.35">
      <c r="E5392" s="9" t="str">
        <v>EPSG</v>
      </c>
      <c r="F5392" s="7" t="str">
        <v>20030</v>
      </c>
      <c r="G5392" t="str">
        <v>ProjectedCrs</v>
      </c>
      <c r="H5392" t="str">
        <v>Transverse Mercator</v>
      </c>
      <c r="I5392" t="str">
        <v>Pulkovo 1995 / Gauss-Kruger zone 30</v>
      </c>
      <c r="J5392" t="str">
        <v>Russian Federation - onshore between 174°E and 180°E .</v>
      </c>
      <c r="K5392" s="11">
        <v>0</v>
      </c>
    </row>
    <row r="5393" spans="5:11" x14ac:dyDescent="0.35">
      <c r="E5393" s="9" t="str">
        <v>EPSG</v>
      </c>
      <c r="F5393" s="7" t="str">
        <v>20031</v>
      </c>
      <c r="G5393" t="str">
        <v>ProjectedCrs</v>
      </c>
      <c r="H5393" t="str">
        <v>Transverse Mercator</v>
      </c>
      <c r="I5393" t="str">
        <v>Pulkovo 1995 / Gauss-Kruger zone 31</v>
      </c>
      <c r="J5393" t="str">
        <v>Russian Federation - onshore between 180°E and 174°W.</v>
      </c>
      <c r="K5393" s="11">
        <v>0</v>
      </c>
    </row>
    <row r="5394" spans="5:11" x14ac:dyDescent="0.35">
      <c r="E5394" s="9" t="str">
        <v>EPSG</v>
      </c>
      <c r="F5394" s="7" t="str">
        <v>20032</v>
      </c>
      <c r="G5394" t="str">
        <v>ProjectedCrs</v>
      </c>
      <c r="H5394" t="str">
        <v>Transverse Mercator</v>
      </c>
      <c r="I5394" t="str">
        <v>Pulkovo 1995 / Gauss-Kruger zone 32</v>
      </c>
      <c r="J5394" t="str">
        <v>Russian Federation - onshore east of 174°W.</v>
      </c>
      <c r="K5394" s="11">
        <v>0</v>
      </c>
    </row>
    <row r="5395" spans="5:11" x14ac:dyDescent="0.35">
      <c r="E5395" s="9" t="str">
        <v>EPSG</v>
      </c>
      <c r="F5395" s="7" t="str">
        <v>20033</v>
      </c>
      <c r="G5395" t="str">
        <v>Geographic2DCrs</v>
      </c>
      <c r="H5395" t="str">
        <v>&lt;undefined&gt;</v>
      </c>
      <c r="I5395" t="str">
        <v>MWC18-IRF</v>
      </c>
      <c r="J5395" t="str">
        <v>United Kingdom (UK) - on or related to the rail route from Manchester via Wigan and Liverpool to Chester.</v>
      </c>
      <c r="K5395" s="11">
        <v>0</v>
      </c>
    </row>
    <row r="5396" spans="5:11" x14ac:dyDescent="0.35">
      <c r="E5396" s="9" t="str">
        <v>EPSG</v>
      </c>
      <c r="F5396" s="7" t="str">
        <v>20034</v>
      </c>
      <c r="G5396" t="str">
        <v>VerticalCrs</v>
      </c>
      <c r="H5396" t="str">
        <v>&lt;undefined&gt;</v>
      </c>
      <c r="I5396" t="str">
        <v>CGVD2013a(2002) height</v>
      </c>
      <c r="J5396" t="str">
        <v>Canada - onshore and offshore - Alberta; British Columbia; Manitoba; New Brunswick; Newfoundland and Labrador; Northwest Territories; Nova Scotia; Nunavut; Ontario; Prince Edward Island; Quebec; Saskatchewan; Yukon.</v>
      </c>
      <c r="K5396" s="11">
        <v>0</v>
      </c>
    </row>
    <row r="5397" spans="5:11" x14ac:dyDescent="0.35">
      <c r="E5397" s="9" t="str">
        <v>EPSG</v>
      </c>
      <c r="F5397" s="7" t="str">
        <v>20035</v>
      </c>
      <c r="G5397" t="str">
        <v>VerticalCrs</v>
      </c>
      <c r="H5397" t="str">
        <v>&lt;undefined&gt;</v>
      </c>
      <c r="I5397" t="str">
        <v>CGVD2013a(1997) height</v>
      </c>
      <c r="J5397" t="str">
        <v>Canada - onshore and offshore - Alberta; British Columbia; Manitoba; New Brunswick; Newfoundland and Labrador; Northwest Territories; Nova Scotia; Nunavut; Ontario; Prince Edward Island; Quebec; Saskatchewan; Yukon.</v>
      </c>
      <c r="K5397" s="11">
        <v>0</v>
      </c>
    </row>
    <row r="5398" spans="5:11" x14ac:dyDescent="0.35">
      <c r="E5398" s="9" t="str">
        <v>EPSG</v>
      </c>
      <c r="F5398" s="7" t="str">
        <v>20036</v>
      </c>
      <c r="G5398" t="str">
        <v>VerticalCrs</v>
      </c>
      <c r="H5398" t="str">
        <v>&lt;undefined&gt;</v>
      </c>
      <c r="I5398" t="str">
        <v>INAGeoid2020 v2 height</v>
      </c>
      <c r="J5398" t="str">
        <v>Indonesia - onshore and offshore.</v>
      </c>
      <c r="K5398" s="11">
        <v>0</v>
      </c>
    </row>
    <row r="5399" spans="5:11" x14ac:dyDescent="0.35">
      <c r="E5399" s="9" t="str">
        <v>EPSG</v>
      </c>
      <c r="F5399" s="7" t="str">
        <v>20037</v>
      </c>
      <c r="G5399" t="str">
        <v>CompoundCrs</v>
      </c>
      <c r="H5399" t="str">
        <v>&lt;undefined&gt;</v>
      </c>
      <c r="I5399" t="str">
        <v>NAD83(CSRS)v4 + CGVD2013a(2002) height</v>
      </c>
      <c r="J5399" t="str">
        <v>Canada - onshore and offshore - Alberta; British Columbia; Manitoba; New Brunswick; Newfoundland and Labrador; Northwest Territories; Nova Scotia; Nunavut; Ontario; Prince Edward Island; Quebec; Saskatchewan; Yukon.</v>
      </c>
      <c r="K5399" s="11">
        <v>0</v>
      </c>
    </row>
    <row r="5400" spans="5:11" x14ac:dyDescent="0.35">
      <c r="E5400" s="9" t="str">
        <v>EPSG</v>
      </c>
      <c r="F5400" s="7" t="str">
        <v>20038</v>
      </c>
      <c r="G5400" t="str">
        <v>CompoundCrs</v>
      </c>
      <c r="H5400" t="str">
        <v>&lt;undefined&gt;</v>
      </c>
      <c r="I5400" t="str">
        <v>NAD83(CSRS)v3 + CGVD2013a(1997) height</v>
      </c>
      <c r="J5400" t="str">
        <v>Canada - onshore and offshore - Alberta; British Columbia; Manitoba; New Brunswick; Newfoundland and Labrador; Northwest Territories; Nova Scotia; Nunavut; Ontario; Prince Edward Island; Quebec; Saskatchewan; Yukon.</v>
      </c>
      <c r="K5400" s="11">
        <v>0</v>
      </c>
    </row>
    <row r="5401" spans="5:11" x14ac:dyDescent="0.35">
      <c r="E5401" s="9" t="str">
        <v>EPSG</v>
      </c>
      <c r="F5401" s="7" t="str">
        <v>20039</v>
      </c>
      <c r="G5401" t="str">
        <v>GeocentricCrs</v>
      </c>
      <c r="H5401" t="str">
        <v>&lt;undefined&gt;</v>
      </c>
      <c r="I5401" t="str">
        <v>SIRGAS-Chile 2021</v>
      </c>
      <c r="J5401" t="str">
        <v>Chile - onshore and offshore. Includes Easter Island, Juan Fernandez Islands, San Felix, and Sala y Gomez.</v>
      </c>
      <c r="K5401" s="11">
        <v>0</v>
      </c>
    </row>
    <row r="5402" spans="5:11" x14ac:dyDescent="0.35">
      <c r="E5402" s="9" t="str">
        <v>EPSG</v>
      </c>
      <c r="F5402" s="7" t="str">
        <v>20040</v>
      </c>
      <c r="G5402" t="str">
        <v>Geographic3DCrs</v>
      </c>
      <c r="H5402" t="str">
        <v>&lt;undefined&gt;</v>
      </c>
      <c r="I5402" t="str">
        <v>SIRGAS-Chile 2021</v>
      </c>
      <c r="J5402" t="str">
        <v>Chile - onshore and offshore. Includes Easter Island, Juan Fernandez Islands, San Felix, and Sala y Gomez.</v>
      </c>
      <c r="K5402" s="11">
        <v>0</v>
      </c>
    </row>
    <row r="5403" spans="5:11" x14ac:dyDescent="0.35">
      <c r="E5403" s="9" t="str">
        <v>EPSG</v>
      </c>
      <c r="F5403" s="7" t="str">
        <v>20041</v>
      </c>
      <c r="G5403" t="str">
        <v>Geographic2DCrs</v>
      </c>
      <c r="H5403" t="str">
        <v>&lt;undefined&gt;</v>
      </c>
      <c r="I5403" t="str">
        <v>SIRGAS-Chile 2021</v>
      </c>
      <c r="J5403" t="str">
        <v>Chile - onshore and offshore. Includes Easter Island, Juan Fernandez Islands, San Felix, and Sala y Gomez.</v>
      </c>
      <c r="K5403" s="11">
        <v>0</v>
      </c>
    </row>
    <row r="5404" spans="5:11" x14ac:dyDescent="0.35">
      <c r="E5404" s="9" t="str">
        <v>EPSG</v>
      </c>
      <c r="F5404" s="7" t="str">
        <v>20042</v>
      </c>
      <c r="G5404" t="str">
        <v>ProjectedCrs</v>
      </c>
      <c r="H5404" t="str">
        <v>Transverse Mercator</v>
      </c>
      <c r="I5404" t="str">
        <v>SIRGAS-Chile 2021 / UTM zone 12S</v>
      </c>
      <c r="J5404" t="str">
        <v>Chile - Easter Island onshore and offshore - west of 108°W.</v>
      </c>
      <c r="K5404" s="11">
        <v>0</v>
      </c>
    </row>
    <row r="5405" spans="5:11" x14ac:dyDescent="0.35">
      <c r="E5405" s="9" t="str">
        <v>EPSG</v>
      </c>
      <c r="F5405" s="7" t="str">
        <v>20043</v>
      </c>
      <c r="G5405" t="str">
        <v>CompoundCrs</v>
      </c>
      <c r="H5405" t="str">
        <v>&lt;undefined&gt;</v>
      </c>
      <c r="I5405" t="str">
        <v>SRGI2013 + INAGeoid2020 v2 height</v>
      </c>
      <c r="J5405" t="str">
        <v>Indonesia - onshore and offshore.</v>
      </c>
      <c r="K5405" s="11">
        <v>0</v>
      </c>
    </row>
    <row r="5406" spans="5:11" x14ac:dyDescent="0.35">
      <c r="E5406" s="9" t="str">
        <v>EPSG</v>
      </c>
      <c r="F5406" s="7" t="str">
        <v>20044</v>
      </c>
      <c r="G5406" t="str">
        <v>GeocentricCrs</v>
      </c>
      <c r="H5406" t="str">
        <v>&lt;undefined&gt;</v>
      </c>
      <c r="I5406" t="str">
        <v>MAGNA-SIRGAS 2018</v>
      </c>
      <c r="J5406" t="str">
        <v>Colombia - onshore and offshore. Includes San Andres y Providencia, Malpelo Islands, Roncador Bank, Serrana Bank and Serranilla Bank.</v>
      </c>
      <c r="K5406" s="11">
        <v>0</v>
      </c>
    </row>
    <row r="5407" spans="5:11" x14ac:dyDescent="0.35">
      <c r="E5407" s="9" t="str">
        <v>EPSG</v>
      </c>
      <c r="F5407" s="7" t="str">
        <v>20045</v>
      </c>
      <c r="G5407" t="str">
        <v>Geographic3DCrs</v>
      </c>
      <c r="H5407" t="str">
        <v>&lt;undefined&gt;</v>
      </c>
      <c r="I5407" t="str">
        <v>MAGNA-SIRGAS 2018</v>
      </c>
      <c r="J5407" t="str">
        <v>Colombia - onshore and offshore. Includes San Andres y Providencia, Malpelo Islands, Roncador Bank, Serrana Bank and Serranilla Bank.</v>
      </c>
      <c r="K5407" s="11">
        <v>0</v>
      </c>
    </row>
    <row r="5408" spans="5:11" x14ac:dyDescent="0.35">
      <c r="E5408" s="9" t="str">
        <v>EPSG</v>
      </c>
      <c r="F5408" s="7" t="str">
        <v>20046</v>
      </c>
      <c r="G5408" t="str">
        <v>Geographic2DCrs</v>
      </c>
      <c r="H5408" t="str">
        <v>&lt;undefined&gt;</v>
      </c>
      <c r="I5408" t="str">
        <v>MAGNA-SIRGAS 2018</v>
      </c>
      <c r="J5408" t="str">
        <v>Colombia - onshore and offshore. Includes San Andres y Providencia, Malpelo Islands, Roncador Bank, Serrana Bank and Serranilla Bank.</v>
      </c>
      <c r="K5408" s="11">
        <v>0</v>
      </c>
    </row>
    <row r="5409" spans="5:11" x14ac:dyDescent="0.35">
      <c r="E5409" s="9" t="str">
        <v>EPSG</v>
      </c>
      <c r="F5409" s="7" t="str">
        <v>20047</v>
      </c>
      <c r="G5409" t="str">
        <v>ProjectedCrs</v>
      </c>
      <c r="H5409" t="str">
        <v>Transverse Mercator</v>
      </c>
      <c r="I5409" t="str">
        <v>GDA2020 / BCSG2020</v>
      </c>
      <c r="J5409" t="str">
        <v>Australia - Brisbane and surrounding area. Also applicable in other local authorities in south-east Queensland (Gold Coast, Logan, Ipswich, Scenic Rim, Redland, Moreton Bay, Sunshine Coast, Noosa, eastern part of Gympie, eastern part of Fraser Coast) and north-east New South Wales (Tweed, Byron, Lismore, Kyogle, Ballina and Richmond Valley).</v>
      </c>
      <c r="K5409" s="11">
        <v>0</v>
      </c>
    </row>
    <row r="5410" spans="5:11" x14ac:dyDescent="0.35">
      <c r="E5410" s="9" t="str">
        <v>EPSG</v>
      </c>
      <c r="F5410" s="7" t="str">
        <v>20048</v>
      </c>
      <c r="G5410" t="str">
        <v>ProjectedCrs</v>
      </c>
      <c r="H5410" t="str">
        <v>Transverse Mercator</v>
      </c>
      <c r="I5410" t="str">
        <v>SIRGAS-Chile 2021 / UTM zone 18S</v>
      </c>
      <c r="J5410" t="str">
        <v>Chile - 78°W to 72°W, onshore and offshore.</v>
      </c>
      <c r="K5410" s="11">
        <v>0</v>
      </c>
    </row>
    <row r="5411" spans="5:11" x14ac:dyDescent="0.35">
      <c r="E5411" s="9" t="str">
        <v>EPSG</v>
      </c>
      <c r="F5411" s="7" t="str">
        <v>20049</v>
      </c>
      <c r="G5411" t="str">
        <v>ProjectedCrs</v>
      </c>
      <c r="H5411" t="str">
        <v>Transverse Mercator</v>
      </c>
      <c r="I5411" t="str">
        <v>SIRGAS-Chile 2021 / UTM zone 19S</v>
      </c>
      <c r="J5411" t="str">
        <v>Chile - 72°W to 66°W, onshore and offshore.</v>
      </c>
      <c r="K5411" s="11">
        <v>0</v>
      </c>
    </row>
    <row r="5412" spans="5:11" x14ac:dyDescent="0.35">
      <c r="E5412" s="9" t="str">
        <v>EPSG</v>
      </c>
      <c r="F5412" s="7" t="str">
        <v>20050</v>
      </c>
      <c r="G5412" t="str">
        <v>ProjectedCrs</v>
      </c>
      <c r="H5412" t="str">
        <v>Hotine Oblique Mercator (variant B)</v>
      </c>
      <c r="I5412" t="str">
        <v>NAD83(2011) / Amtrak NECCS21 (ft)</v>
      </c>
      <c r="J5412" t="str">
        <v>United States (USA) - parts of Connecticut, Delaware, District of Columbia, Maryland, Massachusetts, New Jersey, New York, Pennsylvania, Rhode Island and Virginia on or related to the Amtrak northeast corridor rail route from Boston to Washington DC via New York and Philadelphia.</v>
      </c>
      <c r="K5412" s="11">
        <v>0</v>
      </c>
    </row>
    <row r="5413" spans="5:11" x14ac:dyDescent="0.35">
      <c r="E5413" s="9" t="str">
        <v>EPSG</v>
      </c>
      <c r="F5413" s="7" t="str">
        <v>20135</v>
      </c>
      <c r="G5413" t="str">
        <v>ProjectedCrs</v>
      </c>
      <c r="H5413" t="str">
        <v>Transverse Mercator</v>
      </c>
      <c r="I5413" t="str">
        <v>Adindan / UTM zone 35N</v>
      </c>
      <c r="J5413" t="str">
        <v>South Sudan and Sudan - between 24°E and 30°E.</v>
      </c>
      <c r="K5413" s="11">
        <v>0</v>
      </c>
    </row>
    <row r="5414" spans="5:11" x14ac:dyDescent="0.35">
      <c r="E5414" s="9" t="str">
        <v>EPSG</v>
      </c>
      <c r="F5414" s="7" t="str">
        <v>20136</v>
      </c>
      <c r="G5414" t="str">
        <v>ProjectedCrs</v>
      </c>
      <c r="H5414" t="str">
        <v>Transverse Mercator</v>
      </c>
      <c r="I5414" t="str">
        <v>Adindan / UTM zone 36N</v>
      </c>
      <c r="J5414" t="str">
        <v>Ethiopia - west of 36°E. South Sudan - east of 30°E. Sudan - between 30°E and 36°E.</v>
      </c>
      <c r="K5414" s="11">
        <v>0</v>
      </c>
    </row>
    <row r="5415" spans="5:11" x14ac:dyDescent="0.35">
      <c r="E5415" s="9" t="str">
        <v>EPSG</v>
      </c>
      <c r="F5415" s="7" t="str">
        <v>20137</v>
      </c>
      <c r="G5415" t="str">
        <v>ProjectedCrs</v>
      </c>
      <c r="H5415" t="str">
        <v>Transverse Mercator</v>
      </c>
      <c r="I5415" t="str">
        <v>Adindan / UTM zone 37N</v>
      </c>
      <c r="J5415" t="str">
        <v>Eritrea. Ethiopia - between 36°E and 42°E. Sudan - east of 36°E.</v>
      </c>
      <c r="K5415" s="11">
        <v>0</v>
      </c>
    </row>
    <row r="5416" spans="5:11" x14ac:dyDescent="0.35">
      <c r="E5416" s="9" t="str">
        <v>EPSG</v>
      </c>
      <c r="F5416" s="7" t="str">
        <v>20138</v>
      </c>
      <c r="G5416" t="str">
        <v>ProjectedCrs</v>
      </c>
      <c r="H5416" t="str">
        <v>Transverse Mercator</v>
      </c>
      <c r="I5416" t="str">
        <v>Adindan / UTM zone 38N</v>
      </c>
      <c r="J5416" t="str">
        <v>Ethiopia - east of 42°E.</v>
      </c>
      <c r="K5416" s="11">
        <v>0</v>
      </c>
    </row>
    <row r="5417" spans="5:11" x14ac:dyDescent="0.35">
      <c r="E5417" s="9" t="str">
        <v>EPSG</v>
      </c>
      <c r="F5417" s="7" t="str">
        <v>20249</v>
      </c>
      <c r="G5417" t="str">
        <v>ProjectedCrs</v>
      </c>
      <c r="H5417" t="str">
        <v>Transverse Mercator</v>
      </c>
      <c r="I5417" t="str">
        <v>AGD66 / AMG zone 49</v>
      </c>
      <c r="J5417" t="str">
        <v>Australia - onshore and offshore to 200 nautical mile EEZ boundary between 108°E and 114°E.</v>
      </c>
      <c r="K5417" s="11">
        <v>0</v>
      </c>
    </row>
    <row r="5418" spans="5:11" x14ac:dyDescent="0.35">
      <c r="E5418" s="9" t="str">
        <v>EPSG</v>
      </c>
      <c r="F5418" s="7" t="str">
        <v>20250</v>
      </c>
      <c r="G5418" t="str">
        <v>ProjectedCrs</v>
      </c>
      <c r="H5418" t="str">
        <v>Transverse Mercator</v>
      </c>
      <c r="I5418" t="str">
        <v>AGD66 / AMG zone 50</v>
      </c>
      <c r="J5418" t="str">
        <v>Australia - onshore and offshore to 200 nautical mile EEZ boundary between 114°E and 120°E.</v>
      </c>
      <c r="K5418" s="11">
        <v>0</v>
      </c>
    </row>
    <row r="5419" spans="5:11" x14ac:dyDescent="0.35">
      <c r="E5419" s="9" t="str">
        <v>EPSG</v>
      </c>
      <c r="F5419" s="7" t="str">
        <v>20251</v>
      </c>
      <c r="G5419" t="str">
        <v>ProjectedCrs</v>
      </c>
      <c r="H5419" t="str">
        <v>Transverse Mercator</v>
      </c>
      <c r="I5419" t="str">
        <v>AGD66 / AMG zone 51</v>
      </c>
      <c r="J5419" t="str">
        <v>Australia - onshore and offshore between 120°E and 126°E.</v>
      </c>
      <c r="K5419" s="11">
        <v>0</v>
      </c>
    </row>
    <row r="5420" spans="5:11" x14ac:dyDescent="0.35">
      <c r="E5420" s="9" t="str">
        <v>EPSG</v>
      </c>
      <c r="F5420" s="7" t="str">
        <v>20252</v>
      </c>
      <c r="G5420" t="str">
        <v>ProjectedCrs</v>
      </c>
      <c r="H5420" t="str">
        <v>Transverse Mercator</v>
      </c>
      <c r="I5420" t="str">
        <v>AGD66 / AMG zone 52</v>
      </c>
      <c r="J5420" t="str">
        <v>Australia - onshore and offshore between 126°E and 132°E.</v>
      </c>
      <c r="K5420" s="11">
        <v>0</v>
      </c>
    </row>
    <row r="5421" spans="5:11" x14ac:dyDescent="0.35">
      <c r="E5421" s="9" t="str">
        <v>EPSG</v>
      </c>
      <c r="F5421" s="7" t="str">
        <v>20253</v>
      </c>
      <c r="G5421" t="str">
        <v>ProjectedCrs</v>
      </c>
      <c r="H5421" t="str">
        <v>Transverse Mercator</v>
      </c>
      <c r="I5421" t="str">
        <v>AGD66 / AMG zone 53</v>
      </c>
      <c r="J5421" t="str">
        <v>Australia - onshore and offshore between 132°E and 138°E.</v>
      </c>
      <c r="K5421" s="11">
        <v>0</v>
      </c>
    </row>
    <row r="5422" spans="5:11" x14ac:dyDescent="0.35">
      <c r="E5422" s="9" t="str">
        <v>EPSG</v>
      </c>
      <c r="F5422" s="7" t="str">
        <v>20254</v>
      </c>
      <c r="G5422" t="str">
        <v>ProjectedCrs</v>
      </c>
      <c r="H5422" t="str">
        <v>Transverse Mercator</v>
      </c>
      <c r="I5422" t="str">
        <v>AGD66 / AMG zone 54</v>
      </c>
      <c r="J5422" t="str">
        <v>Australia - onshore and offshore between 138°E and 144°E. Papua New Guinea - onshore west of 144°E.</v>
      </c>
      <c r="K5422" s="11">
        <v>0</v>
      </c>
    </row>
    <row r="5423" spans="5:11" x14ac:dyDescent="0.35">
      <c r="E5423" s="9" t="str">
        <v>EPSG</v>
      </c>
      <c r="F5423" s="7" t="str">
        <v>20255</v>
      </c>
      <c r="G5423" t="str">
        <v>ProjectedCrs</v>
      </c>
      <c r="H5423" t="str">
        <v>Transverse Mercator</v>
      </c>
      <c r="I5423" t="str">
        <v>AGD66 / AMG zone 55</v>
      </c>
      <c r="J5423" t="str">
        <v>Australia - onshore and offshore between 144°E and 150°E. Papua New Guinea (PNG) - onshore between 144°E and 150°E.</v>
      </c>
      <c r="K5423" s="11">
        <v>0</v>
      </c>
    </row>
    <row r="5424" spans="5:11" x14ac:dyDescent="0.35">
      <c r="E5424" s="9" t="str">
        <v>EPSG</v>
      </c>
      <c r="F5424" s="7" t="str">
        <v>20256</v>
      </c>
      <c r="G5424" t="str">
        <v>ProjectedCrs</v>
      </c>
      <c r="H5424" t="str">
        <v>Transverse Mercator</v>
      </c>
      <c r="I5424" t="str">
        <v>AGD66 / AMG zone 56</v>
      </c>
      <c r="J5424" t="str">
        <v>Australia - onshore and offshore between 150°E and 156°E. Papua New Guinea onshore east of 150°E.</v>
      </c>
      <c r="K5424" s="11">
        <v>0</v>
      </c>
    </row>
    <row r="5425" spans="5:11" x14ac:dyDescent="0.35">
      <c r="E5425" s="9" t="str">
        <v>EPSG</v>
      </c>
      <c r="F5425" s="7" t="str">
        <v>20257</v>
      </c>
      <c r="G5425" t="str">
        <v>ProjectedCrs</v>
      </c>
      <c r="H5425" t="str">
        <v>Transverse Mercator</v>
      </c>
      <c r="I5425" t="str">
        <v>AGD66 / AMG zone 57</v>
      </c>
      <c r="J5425" t="str">
        <v>Australia including Lord Howe Island - onshore and offshore between 156°E and 162°E.</v>
      </c>
      <c r="K5425" s="11">
        <v>0</v>
      </c>
    </row>
    <row r="5426" spans="5:11" x14ac:dyDescent="0.35">
      <c r="E5426" s="9" t="str">
        <v>EPSG</v>
      </c>
      <c r="F5426" s="7" t="str">
        <v>20258</v>
      </c>
      <c r="G5426" t="str">
        <v>ProjectedCrs</v>
      </c>
      <c r="H5426" t="str">
        <v>Transverse Mercator</v>
      </c>
      <c r="I5426" t="str">
        <v>AGD66 / AMG zone 58</v>
      </c>
      <c r="J5426" t="str">
        <v>Australia - offshore east of 162°E to 200 nautical mile EEZ boundary.</v>
      </c>
      <c r="K5426" s="11">
        <v>0</v>
      </c>
    </row>
    <row r="5427" spans="5:11" x14ac:dyDescent="0.35">
      <c r="E5427" s="9" t="str">
        <v>EPSG</v>
      </c>
      <c r="F5427" s="7" t="str">
        <v>20349</v>
      </c>
      <c r="G5427" t="str">
        <v>ProjectedCrs</v>
      </c>
      <c r="H5427" t="str">
        <v>Transverse Mercator</v>
      </c>
      <c r="I5427" t="str">
        <v>AGD84 / AMG zone 49</v>
      </c>
      <c r="J5427" t="str">
        <v>Australia - onshore and offshore to 200 nautical mile EEZ boundary between 108°E and 114°E.</v>
      </c>
      <c r="K5427" s="11">
        <v>0</v>
      </c>
    </row>
    <row r="5428" spans="5:11" x14ac:dyDescent="0.35">
      <c r="E5428" s="9" t="str">
        <v>EPSG</v>
      </c>
      <c r="F5428" s="7" t="str">
        <v>20350</v>
      </c>
      <c r="G5428" t="str">
        <v>ProjectedCrs</v>
      </c>
      <c r="H5428" t="str">
        <v>Transverse Mercator</v>
      </c>
      <c r="I5428" t="str">
        <v>AGD84 / AMG zone 50</v>
      </c>
      <c r="J5428" t="str">
        <v>Australia - onshore and offshore to 200 nautical mile EEZ boundary between 114°E and 120°E.</v>
      </c>
      <c r="K5428" s="11">
        <v>0</v>
      </c>
    </row>
    <row r="5429" spans="5:11" x14ac:dyDescent="0.35">
      <c r="E5429" s="9" t="str">
        <v>EPSG</v>
      </c>
      <c r="F5429" s="7" t="str">
        <v>20351</v>
      </c>
      <c r="G5429" t="str">
        <v>ProjectedCrs</v>
      </c>
      <c r="H5429" t="str">
        <v>Transverse Mercator</v>
      </c>
      <c r="I5429" t="str">
        <v>AGD84 / AMG zone 51</v>
      </c>
      <c r="J5429" t="str">
        <v>Australia - onshore and offshore between 120°E and 126°E.</v>
      </c>
      <c r="K5429" s="11">
        <v>0</v>
      </c>
    </row>
    <row r="5430" spans="5:11" x14ac:dyDescent="0.35">
      <c r="E5430" s="9" t="str">
        <v>EPSG</v>
      </c>
      <c r="F5430" s="7" t="str">
        <v>20352</v>
      </c>
      <c r="G5430" t="str">
        <v>ProjectedCrs</v>
      </c>
      <c r="H5430" t="str">
        <v>Transverse Mercator</v>
      </c>
      <c r="I5430" t="str">
        <v>AGD84 / AMG zone 52</v>
      </c>
      <c r="J5430" t="str">
        <v>Australia - South Australia west of 132°E, Western Australia east of 126°E, offshore federal waters between 126°E and 129°E.</v>
      </c>
      <c r="K5430" s="11">
        <v>0</v>
      </c>
    </row>
    <row r="5431" spans="5:11" x14ac:dyDescent="0.35">
      <c r="E5431" s="9" t="str">
        <v>EPSG</v>
      </c>
      <c r="F5431" s="7" t="str">
        <v>20353</v>
      </c>
      <c r="G5431" t="str">
        <v>ProjectedCrs</v>
      </c>
      <c r="H5431" t="str">
        <v>Transverse Mercator</v>
      </c>
      <c r="I5431" t="str">
        <v>AGD84 / AMG zone 53</v>
      </c>
      <c r="J5431" t="str">
        <v>Australia - South Australia between 132°E and 138°E.</v>
      </c>
      <c r="K5431" s="11">
        <v>0</v>
      </c>
    </row>
    <row r="5432" spans="5:11" x14ac:dyDescent="0.35">
      <c r="E5432" s="9" t="str">
        <v>EPSG</v>
      </c>
      <c r="F5432" s="7" t="str">
        <v>20354</v>
      </c>
      <c r="G5432" t="str">
        <v>ProjectedCrs</v>
      </c>
      <c r="H5432" t="str">
        <v>Transverse Mercator</v>
      </c>
      <c r="I5432" t="str">
        <v>AGD84 / AMG zone 54</v>
      </c>
      <c r="J5432" t="str">
        <v>Australia - South Australia east of 138°E, Queensland west of 144°E.</v>
      </c>
      <c r="K5432" s="11">
        <v>0</v>
      </c>
    </row>
    <row r="5433" spans="5:11" x14ac:dyDescent="0.35">
      <c r="E5433" s="9" t="str">
        <v>EPSG</v>
      </c>
      <c r="F5433" s="7" t="str">
        <v>20355</v>
      </c>
      <c r="G5433" t="str">
        <v>ProjectedCrs</v>
      </c>
      <c r="H5433" t="str">
        <v>Transverse Mercator</v>
      </c>
      <c r="I5433" t="str">
        <v>AGD84 / AMG zone 55</v>
      </c>
      <c r="J5433" t="str">
        <v>Australia - Queensland between 144°E and 150°E.</v>
      </c>
      <c r="K5433" s="11">
        <v>0</v>
      </c>
    </row>
    <row r="5434" spans="5:11" x14ac:dyDescent="0.35">
      <c r="E5434" s="9" t="str">
        <v>EPSG</v>
      </c>
      <c r="F5434" s="7" t="str">
        <v>20356</v>
      </c>
      <c r="G5434" t="str">
        <v>ProjectedCrs</v>
      </c>
      <c r="H5434" t="str">
        <v>Transverse Mercator</v>
      </c>
      <c r="I5434" t="str">
        <v>AGD84 / AMG zone 56</v>
      </c>
      <c r="J5434" t="str">
        <v>Australia - Queensland east of 150°E.</v>
      </c>
      <c r="K5434" s="11">
        <v>0</v>
      </c>
    </row>
    <row r="5435" spans="5:11" x14ac:dyDescent="0.35">
      <c r="E5435" s="9" t="str">
        <v>EPSG</v>
      </c>
      <c r="F5435" s="7" t="str">
        <v>20436</v>
      </c>
      <c r="G5435" t="str">
        <v>ProjectedCrs</v>
      </c>
      <c r="H5435" t="str">
        <v>Transverse Mercator</v>
      </c>
      <c r="I5435" t="str">
        <v>Ain el Abd / UTM zone 36N</v>
      </c>
      <c r="J5435" t="str">
        <v>Saudi Arabia - onshore west of 36°E.</v>
      </c>
      <c r="K5435" s="11">
        <v>0</v>
      </c>
    </row>
    <row r="5436" spans="5:11" x14ac:dyDescent="0.35">
      <c r="E5436" s="9" t="str">
        <v>EPSG</v>
      </c>
      <c r="F5436" s="7" t="str">
        <v>20437</v>
      </c>
      <c r="G5436" t="str">
        <v>ProjectedCrs</v>
      </c>
      <c r="H5436" t="str">
        <v>Transverse Mercator</v>
      </c>
      <c r="I5436" t="str">
        <v>Ain el Abd / UTM zone 37N</v>
      </c>
      <c r="J5436" t="str">
        <v>Saudi Arabia - onshore between 36°E and 42°E.</v>
      </c>
      <c r="K5436" s="11">
        <v>0</v>
      </c>
    </row>
    <row r="5437" spans="5:11" x14ac:dyDescent="0.35">
      <c r="E5437" s="9" t="str">
        <v>EPSG</v>
      </c>
      <c r="F5437" s="7" t="str">
        <v>20438</v>
      </c>
      <c r="G5437" t="str">
        <v>ProjectedCrs</v>
      </c>
      <c r="H5437" t="str">
        <v>Transverse Mercator</v>
      </c>
      <c r="I5437" t="str">
        <v>Ain el Abd / UTM zone 38N</v>
      </c>
      <c r="J5437" t="str">
        <v>Kuwait - west of 48°E. Saudi Arabia - between of 42°E and 48°E.</v>
      </c>
      <c r="K5437" s="11">
        <v>0</v>
      </c>
    </row>
    <row r="5438" spans="5:11" x14ac:dyDescent="0.35">
      <c r="E5438" s="9" t="str">
        <v>EPSG</v>
      </c>
      <c r="F5438" s="7" t="str">
        <v>20439</v>
      </c>
      <c r="G5438" t="str">
        <v>ProjectedCrs</v>
      </c>
      <c r="H5438" t="str">
        <v>Transverse Mercator</v>
      </c>
      <c r="I5438" t="str">
        <v>Ain el Abd / UTM zone 39N</v>
      </c>
      <c r="J5438" t="str">
        <v>Kuwait - onshore east of 48°E. Saudi Arabia - onshore between 48°E and 54°E.</v>
      </c>
      <c r="K5438" s="11">
        <v>0</v>
      </c>
    </row>
    <row r="5439" spans="5:11" x14ac:dyDescent="0.35">
      <c r="E5439" s="9" t="str">
        <v>EPSG</v>
      </c>
      <c r="F5439" s="7" t="str">
        <v>20440</v>
      </c>
      <c r="G5439" t="str">
        <v>ProjectedCrs</v>
      </c>
      <c r="H5439" t="str">
        <v>Transverse Mercator</v>
      </c>
      <c r="I5439" t="str">
        <v>Ain el Abd / UTM zone 40N</v>
      </c>
      <c r="J5439" t="str">
        <v>Saudi Arabia - east of 54°E.</v>
      </c>
      <c r="K5439" s="11">
        <v>0</v>
      </c>
    </row>
    <row r="5440" spans="5:11" x14ac:dyDescent="0.35">
      <c r="E5440" s="9" t="str">
        <v>EPSG</v>
      </c>
      <c r="F5440" s="7" t="str">
        <v>20499</v>
      </c>
      <c r="G5440" t="str">
        <v>ProjectedCrs</v>
      </c>
      <c r="H5440" t="str">
        <v>Transverse Mercator</v>
      </c>
      <c r="I5440" t="str">
        <v>Ain el Abd / Bahrain Grid</v>
      </c>
      <c r="J5440" t="str">
        <v>Bahrain - onshore.</v>
      </c>
      <c r="K5440" s="11">
        <v>0</v>
      </c>
    </row>
    <row r="5441" spans="5:11" x14ac:dyDescent="0.35">
      <c r="E5441" s="9" t="str">
        <v>EPSG</v>
      </c>
      <c r="F5441" s="7" t="str">
        <v>20538</v>
      </c>
      <c r="G5441" t="str">
        <v>ProjectedCrs</v>
      </c>
      <c r="H5441" t="str">
        <v>Transverse Mercator</v>
      </c>
      <c r="I5441" t="str">
        <v>Afgooye / UTM zone 38N</v>
      </c>
      <c r="J5441" t="str">
        <v>Somalia - onshore north of equator and between 42°E and 48°E.</v>
      </c>
      <c r="K5441" s="11">
        <v>0</v>
      </c>
    </row>
    <row r="5442" spans="5:11" x14ac:dyDescent="0.35">
      <c r="E5442" s="9" t="str">
        <v>EPSG</v>
      </c>
      <c r="F5442" s="7" t="str">
        <v>20539</v>
      </c>
      <c r="G5442" t="str">
        <v>ProjectedCrs</v>
      </c>
      <c r="H5442" t="str">
        <v>Transverse Mercator</v>
      </c>
      <c r="I5442" t="str">
        <v>Afgooye / UTM zone 39N</v>
      </c>
      <c r="J5442" t="str">
        <v>Somalia - onshore east of 48°E.</v>
      </c>
      <c r="K5442" s="11">
        <v>0</v>
      </c>
    </row>
    <row r="5443" spans="5:11" x14ac:dyDescent="0.35">
      <c r="E5443" s="9" t="str">
        <v>EPSG</v>
      </c>
      <c r="F5443" s="7" t="str">
        <v>20790</v>
      </c>
      <c r="G5443" t="str">
        <v>ProjectedCrs</v>
      </c>
      <c r="H5443" t="str">
        <v>Transverse Mercator</v>
      </c>
      <c r="I5443" t="str">
        <v>Lisbon (Lisbon) / Portuguese National Grid</v>
      </c>
      <c r="J5443" t="str">
        <v>Portugal - mainland - onshore.</v>
      </c>
      <c r="K5443" s="11">
        <v>0</v>
      </c>
    </row>
    <row r="5444" spans="5:11" x14ac:dyDescent="0.35">
      <c r="E5444" s="9" t="str">
        <v>EPSG</v>
      </c>
      <c r="F5444" s="7" t="str">
        <v>20791</v>
      </c>
      <c r="G5444" t="str">
        <v>ProjectedCrs</v>
      </c>
      <c r="H5444" t="str">
        <v>Transverse Mercator</v>
      </c>
      <c r="I5444" t="str">
        <v>Lisbon (Lisbon) / Portuguese Grid</v>
      </c>
      <c r="J5444" t="str">
        <v>Portugal - mainland - onshore.</v>
      </c>
      <c r="K5444" s="11">
        <v>0</v>
      </c>
    </row>
    <row r="5445" spans="5:11" x14ac:dyDescent="0.35">
      <c r="E5445" s="9" t="str">
        <v>EPSG</v>
      </c>
      <c r="F5445" s="7" t="str">
        <v>20822</v>
      </c>
      <c r="G5445" t="str">
        <v>ProjectedCrs</v>
      </c>
      <c r="H5445" t="str">
        <v>Transverse Mercator</v>
      </c>
      <c r="I5445" t="str">
        <v>Aratu / UTM zone 22S</v>
      </c>
      <c r="J5445" t="str">
        <v>Brazil - offshore between 54°W and 48°W, including Pelotas basin.</v>
      </c>
      <c r="K5445" s="11">
        <v>0</v>
      </c>
    </row>
    <row r="5446" spans="5:11" x14ac:dyDescent="0.35">
      <c r="E5446" s="9" t="str">
        <v>EPSG</v>
      </c>
      <c r="F5446" s="7" t="str">
        <v>20823</v>
      </c>
      <c r="G5446" t="str">
        <v>ProjectedCrs</v>
      </c>
      <c r="H5446" t="str">
        <v>Transverse Mercator</v>
      </c>
      <c r="I5446" t="str">
        <v>Aratu / UTM zone 23S</v>
      </c>
      <c r="J5446" t="str">
        <v>Brazil - offshore areas south of intersection of parallel of 2°55'S with coast and between 48°W and 42°W including Santos basin.</v>
      </c>
      <c r="K5446" s="11">
        <v>0</v>
      </c>
    </row>
    <row r="5447" spans="5:11" x14ac:dyDescent="0.35">
      <c r="E5447" s="9" t="str">
        <v>EPSG</v>
      </c>
      <c r="F5447" s="7" t="str">
        <v>20824</v>
      </c>
      <c r="G5447" t="str">
        <v>ProjectedCrs</v>
      </c>
      <c r="H5447" t="str">
        <v>Transverse Mercator</v>
      </c>
      <c r="I5447" t="str">
        <v>Aratu / UTM zone 24S</v>
      </c>
      <c r="J5447" t="str">
        <v>Brazil - between 42°W and 36°W, southern hemisphere offshore including Campos and Espirito Santo basins; onshore Tucano basin area.</v>
      </c>
      <c r="K5447" s="11">
        <v>0</v>
      </c>
    </row>
    <row r="5448" spans="5:11" x14ac:dyDescent="0.35">
      <c r="E5448" s="9" t="str">
        <v>EPSG</v>
      </c>
      <c r="F5448" s="7" t="str">
        <v>20904</v>
      </c>
      <c r="G5448" t="str">
        <v>ProjectedCrs</v>
      </c>
      <c r="H5448" t="str">
        <v>Transverse Mercator</v>
      </c>
      <c r="I5448" t="str">
        <v>GSK-2011 / Gauss-Kruger zone 4</v>
      </c>
      <c r="J5448" t="str">
        <v>Russian Federation - onshore west of 24°E - Kaliningrad.</v>
      </c>
      <c r="K5448" s="11">
        <v>0</v>
      </c>
    </row>
    <row r="5449" spans="5:11" x14ac:dyDescent="0.35">
      <c r="E5449" s="9" t="str">
        <v>EPSG</v>
      </c>
      <c r="F5449" s="7" t="str">
        <v>20905</v>
      </c>
      <c r="G5449" t="str">
        <v>ProjectedCrs</v>
      </c>
      <c r="H5449" t="str">
        <v>Transverse Mercator</v>
      </c>
      <c r="I5449" t="str">
        <v>GSK-2011 / Gauss-Kruger zone 5</v>
      </c>
      <c r="J5449" t="str">
        <v>Russian Federation - onshore between 24°E and 30°E.</v>
      </c>
      <c r="K5449" s="11">
        <v>0</v>
      </c>
    </row>
    <row r="5450" spans="5:11" x14ac:dyDescent="0.35">
      <c r="E5450" s="9" t="str">
        <v>EPSG</v>
      </c>
      <c r="F5450" s="7" t="str">
        <v>20906</v>
      </c>
      <c r="G5450" t="str">
        <v>ProjectedCrs</v>
      </c>
      <c r="H5450" t="str">
        <v>Transverse Mercator</v>
      </c>
      <c r="I5450" t="str">
        <v>GSK-2011 / Gauss-Kruger zone 6</v>
      </c>
      <c r="J5450" t="str">
        <v>Russian Federation - onshore between 30°E and 36°E.</v>
      </c>
      <c r="K5450" s="11">
        <v>0</v>
      </c>
    </row>
    <row r="5451" spans="5:11" x14ac:dyDescent="0.35">
      <c r="E5451" s="9" t="str">
        <v>EPSG</v>
      </c>
      <c r="F5451" s="7" t="str">
        <v>20907</v>
      </c>
      <c r="G5451" t="str">
        <v>ProjectedCrs</v>
      </c>
      <c r="H5451" t="str">
        <v>Transverse Mercator</v>
      </c>
      <c r="I5451" t="str">
        <v>GSK-2011 / Gauss-Kruger zone 7</v>
      </c>
      <c r="J5451" t="str">
        <v>Russian Federation - onshore between 36°E and 42°E.</v>
      </c>
      <c r="K5451" s="11">
        <v>0</v>
      </c>
    </row>
    <row r="5452" spans="5:11" x14ac:dyDescent="0.35">
      <c r="E5452" s="9" t="str">
        <v>EPSG</v>
      </c>
      <c r="F5452" s="7" t="str">
        <v>20908</v>
      </c>
      <c r="G5452" t="str">
        <v>ProjectedCrs</v>
      </c>
      <c r="H5452" t="str">
        <v>Transverse Mercator</v>
      </c>
      <c r="I5452" t="str">
        <v>GSK-2011 / Gauss-Kruger zone 8</v>
      </c>
      <c r="J5452" t="str">
        <v>Russian Federation - onshore between 42°E and 48°E.</v>
      </c>
      <c r="K5452" s="11">
        <v>0</v>
      </c>
    </row>
    <row r="5453" spans="5:11" x14ac:dyDescent="0.35">
      <c r="E5453" s="9" t="str">
        <v>EPSG</v>
      </c>
      <c r="F5453" s="7" t="str">
        <v>20909</v>
      </c>
      <c r="G5453" t="str">
        <v>ProjectedCrs</v>
      </c>
      <c r="H5453" t="str">
        <v>Transverse Mercator</v>
      </c>
      <c r="I5453" t="str">
        <v>GSK-2011 / Gauss-Kruger zone 9</v>
      </c>
      <c r="J5453" t="str">
        <v>Russian Federation - onshore between 48°E and 54°E.</v>
      </c>
      <c r="K5453" s="11">
        <v>0</v>
      </c>
    </row>
    <row r="5454" spans="5:11" x14ac:dyDescent="0.35">
      <c r="E5454" s="9" t="str">
        <v>EPSG</v>
      </c>
      <c r="F5454" s="7" t="str">
        <v>20910</v>
      </c>
      <c r="G5454" t="str">
        <v>ProjectedCrs</v>
      </c>
      <c r="H5454" t="str">
        <v>Transverse Mercator</v>
      </c>
      <c r="I5454" t="str">
        <v>GSK-2011 / Gauss-Kruger zone 10</v>
      </c>
      <c r="J5454" t="str">
        <v>Russian Federation - onshore between 54°E and 60°E.</v>
      </c>
      <c r="K5454" s="11">
        <v>0</v>
      </c>
    </row>
    <row r="5455" spans="5:11" x14ac:dyDescent="0.35">
      <c r="E5455" s="9" t="str">
        <v>EPSG</v>
      </c>
      <c r="F5455" s="7" t="str">
        <v>20911</v>
      </c>
      <c r="G5455" t="str">
        <v>ProjectedCrs</v>
      </c>
      <c r="H5455" t="str">
        <v>Transverse Mercator</v>
      </c>
      <c r="I5455" t="str">
        <v>GSK-2011 / Gauss-Kruger zone 11</v>
      </c>
      <c r="J5455" t="str">
        <v>Russian Federation - onshore between 60°E and 66°E.</v>
      </c>
      <c r="K5455" s="11">
        <v>0</v>
      </c>
    </row>
    <row r="5456" spans="5:11" x14ac:dyDescent="0.35">
      <c r="E5456" s="9" t="str">
        <v>EPSG</v>
      </c>
      <c r="F5456" s="7" t="str">
        <v>20912</v>
      </c>
      <c r="G5456" t="str">
        <v>ProjectedCrs</v>
      </c>
      <c r="H5456" t="str">
        <v>Transverse Mercator</v>
      </c>
      <c r="I5456" t="str">
        <v>GSK-2011 / Gauss-Kruger zone 12</v>
      </c>
      <c r="J5456" t="str">
        <v>Russian Federation - onshore between 66°E and 72°E .</v>
      </c>
      <c r="K5456" s="11">
        <v>0</v>
      </c>
    </row>
    <row r="5457" spans="5:11" x14ac:dyDescent="0.35">
      <c r="E5457" s="9" t="str">
        <v>EPSG</v>
      </c>
      <c r="F5457" s="7" t="str">
        <v>20913</v>
      </c>
      <c r="G5457" t="str">
        <v>ProjectedCrs</v>
      </c>
      <c r="H5457" t="str">
        <v>Transverse Mercator</v>
      </c>
      <c r="I5457" t="str">
        <v>GSK-2011 / Gauss-Kruger zone 13</v>
      </c>
      <c r="J5457" t="str">
        <v>Russian Federation - onshore between 72°E and 78°E.</v>
      </c>
      <c r="K5457" s="11">
        <v>0</v>
      </c>
    </row>
    <row r="5458" spans="5:11" x14ac:dyDescent="0.35">
      <c r="E5458" s="9" t="str">
        <v>EPSG</v>
      </c>
      <c r="F5458" s="7" t="str">
        <v>20914</v>
      </c>
      <c r="G5458" t="str">
        <v>ProjectedCrs</v>
      </c>
      <c r="H5458" t="str">
        <v>Transverse Mercator</v>
      </c>
      <c r="I5458" t="str">
        <v>GSK-2011 / Gauss-Kruger zone 14</v>
      </c>
      <c r="J5458" t="str">
        <v>Russian Federation - onshore between 78°E and 84°E.</v>
      </c>
      <c r="K5458" s="11">
        <v>0</v>
      </c>
    </row>
    <row r="5459" spans="5:11" x14ac:dyDescent="0.35">
      <c r="E5459" s="9" t="str">
        <v>EPSG</v>
      </c>
      <c r="F5459" s="7" t="str">
        <v>20915</v>
      </c>
      <c r="G5459" t="str">
        <v>ProjectedCrs</v>
      </c>
      <c r="H5459" t="str">
        <v>Transverse Mercator</v>
      </c>
      <c r="I5459" t="str">
        <v>GSK-2011 / Gauss-Kruger zone 15</v>
      </c>
      <c r="J5459" t="str">
        <v>Russian Federation - onshore between 84°E and 90°E.</v>
      </c>
      <c r="K5459" s="11">
        <v>0</v>
      </c>
    </row>
    <row r="5460" spans="5:11" x14ac:dyDescent="0.35">
      <c r="E5460" s="9" t="str">
        <v>EPSG</v>
      </c>
      <c r="F5460" s="7" t="str">
        <v>20916</v>
      </c>
      <c r="G5460" t="str">
        <v>ProjectedCrs</v>
      </c>
      <c r="H5460" t="str">
        <v>Transverse Mercator</v>
      </c>
      <c r="I5460" t="str">
        <v>GSK-2011 / Gauss-Kruger zone 16</v>
      </c>
      <c r="J5460" t="str">
        <v>Russian Federation - onshore between 90°E and 96°E.</v>
      </c>
      <c r="K5460" s="11">
        <v>0</v>
      </c>
    </row>
    <row r="5461" spans="5:11" x14ac:dyDescent="0.35">
      <c r="E5461" s="9" t="str">
        <v>EPSG</v>
      </c>
      <c r="F5461" s="7" t="str">
        <v>20917</v>
      </c>
      <c r="G5461" t="str">
        <v>ProjectedCrs</v>
      </c>
      <c r="H5461" t="str">
        <v>Transverse Mercator</v>
      </c>
      <c r="I5461" t="str">
        <v>GSK-2011 / Gauss-Kruger zone 17</v>
      </c>
      <c r="J5461" t="str">
        <v>Russian Federation - onshore between 96°E and 102°E.</v>
      </c>
      <c r="K5461" s="11">
        <v>0</v>
      </c>
    </row>
    <row r="5462" spans="5:11" x14ac:dyDescent="0.35">
      <c r="E5462" s="9" t="str">
        <v>EPSG</v>
      </c>
      <c r="F5462" s="7" t="str">
        <v>20918</v>
      </c>
      <c r="G5462" t="str">
        <v>ProjectedCrs</v>
      </c>
      <c r="H5462" t="str">
        <v>Transverse Mercator</v>
      </c>
      <c r="I5462" t="str">
        <v>GSK-2011 / Gauss-Kruger zone 18</v>
      </c>
      <c r="J5462" t="str">
        <v>Russian Federation - onshore between 102°E and 108°E.</v>
      </c>
      <c r="K5462" s="11">
        <v>0</v>
      </c>
    </row>
    <row r="5463" spans="5:11" x14ac:dyDescent="0.35">
      <c r="E5463" s="9" t="str">
        <v>EPSG</v>
      </c>
      <c r="F5463" s="7" t="str">
        <v>20919</v>
      </c>
      <c r="G5463" t="str">
        <v>ProjectedCrs</v>
      </c>
      <c r="H5463" t="str">
        <v>Transverse Mercator</v>
      </c>
      <c r="I5463" t="str">
        <v>GSK-2011 / Gauss-Kruger zone 19</v>
      </c>
      <c r="J5463" t="str">
        <v>Russian Federation - onshore between 108°E and 114°E.</v>
      </c>
      <c r="K5463" s="11">
        <v>0</v>
      </c>
    </row>
    <row r="5464" spans="5:11" x14ac:dyDescent="0.35">
      <c r="E5464" s="9" t="str">
        <v>EPSG</v>
      </c>
      <c r="F5464" s="7" t="str">
        <v>20920</v>
      </c>
      <c r="G5464" t="str">
        <v>ProjectedCrs</v>
      </c>
      <c r="H5464" t="str">
        <v>Transverse Mercator</v>
      </c>
      <c r="I5464" t="str">
        <v>GSK-2011 / Gauss-Kruger zone 20</v>
      </c>
      <c r="J5464" t="str">
        <v>Russian Federation - onshore between 114°E and 120°E.</v>
      </c>
      <c r="K5464" s="11">
        <v>0</v>
      </c>
    </row>
    <row r="5465" spans="5:11" x14ac:dyDescent="0.35">
      <c r="E5465" s="9" t="str">
        <v>EPSG</v>
      </c>
      <c r="F5465" s="7" t="str">
        <v>20921</v>
      </c>
      <c r="G5465" t="str">
        <v>ProjectedCrs</v>
      </c>
      <c r="H5465" t="str">
        <v>Transverse Mercator</v>
      </c>
      <c r="I5465" t="str">
        <v>GSK-2011 / Gauss-Kruger zone 21</v>
      </c>
      <c r="J5465" t="str">
        <v>Russian Federation - onshore between 120°E and 126°E.</v>
      </c>
      <c r="K5465" s="11">
        <v>0</v>
      </c>
    </row>
    <row r="5466" spans="5:11" x14ac:dyDescent="0.35">
      <c r="E5466" s="9" t="str">
        <v>EPSG</v>
      </c>
      <c r="F5466" s="7" t="str">
        <v>20922</v>
      </c>
      <c r="G5466" t="str">
        <v>ProjectedCrs</v>
      </c>
      <c r="H5466" t="str">
        <v>Transverse Mercator</v>
      </c>
      <c r="I5466" t="str">
        <v>GSK-2011 / Gauss-Kruger zone 22</v>
      </c>
      <c r="J5466" t="str">
        <v>Russian Federation - onshore between 126°E and 132°E.</v>
      </c>
      <c r="K5466" s="11">
        <v>0</v>
      </c>
    </row>
    <row r="5467" spans="5:11" x14ac:dyDescent="0.35">
      <c r="E5467" s="9" t="str">
        <v>EPSG</v>
      </c>
      <c r="F5467" s="7" t="str">
        <v>20923</v>
      </c>
      <c r="G5467" t="str">
        <v>ProjectedCrs</v>
      </c>
      <c r="H5467" t="str">
        <v>Transverse Mercator</v>
      </c>
      <c r="I5467" t="str">
        <v>GSK-2011 / Gauss-Kruger zone 23</v>
      </c>
      <c r="J5467" t="str">
        <v>Russian Federation - onshore between 132°E and 138°E.</v>
      </c>
      <c r="K5467" s="11">
        <v>0</v>
      </c>
    </row>
    <row r="5468" spans="5:11" x14ac:dyDescent="0.35">
      <c r="E5468" s="9" t="str">
        <v>EPSG</v>
      </c>
      <c r="F5468" s="7" t="str">
        <v>20924</v>
      </c>
      <c r="G5468" t="str">
        <v>ProjectedCrs</v>
      </c>
      <c r="H5468" t="str">
        <v>Transverse Mercator</v>
      </c>
      <c r="I5468" t="str">
        <v>GSK-2011 / Gauss-Kruger zone 24</v>
      </c>
      <c r="J5468" t="str">
        <v>Russian Federation - onshore between 138°E and 144°E.</v>
      </c>
      <c r="K5468" s="11">
        <v>0</v>
      </c>
    </row>
    <row r="5469" spans="5:11" x14ac:dyDescent="0.35">
      <c r="E5469" s="9" t="str">
        <v>EPSG</v>
      </c>
      <c r="F5469" s="7" t="str">
        <v>20925</v>
      </c>
      <c r="G5469" t="str">
        <v>ProjectedCrs</v>
      </c>
      <c r="H5469" t="str">
        <v>Transverse Mercator</v>
      </c>
      <c r="I5469" t="str">
        <v>GSK-2011 / Gauss-Kruger zone 25</v>
      </c>
      <c r="J5469" t="str">
        <v>Russian Federation - onshore between 144°E and 150°E.</v>
      </c>
      <c r="K5469" s="11">
        <v>0</v>
      </c>
    </row>
    <row r="5470" spans="5:11" x14ac:dyDescent="0.35">
      <c r="E5470" s="9" t="str">
        <v>EPSG</v>
      </c>
      <c r="F5470" s="7" t="str">
        <v>20926</v>
      </c>
      <c r="G5470" t="str">
        <v>ProjectedCrs</v>
      </c>
      <c r="H5470" t="str">
        <v>Transverse Mercator</v>
      </c>
      <c r="I5470" t="str">
        <v>GSK-2011 / Gauss-Kruger zone 26</v>
      </c>
      <c r="J5470" t="str">
        <v>Russian Federation - onshore between 150°E and 156°E.</v>
      </c>
      <c r="K5470" s="11">
        <v>0</v>
      </c>
    </row>
    <row r="5471" spans="5:11" x14ac:dyDescent="0.35">
      <c r="E5471" s="9" t="str">
        <v>EPSG</v>
      </c>
      <c r="F5471" s="7" t="str">
        <v>20927</v>
      </c>
      <c r="G5471" t="str">
        <v>ProjectedCrs</v>
      </c>
      <c r="H5471" t="str">
        <v>Transverse Mercator</v>
      </c>
      <c r="I5471" t="str">
        <v>GSK-2011 / Gauss-Kruger zone 27</v>
      </c>
      <c r="J5471" t="str">
        <v>Russian Federation - onshore between 156°E and 162°E.</v>
      </c>
      <c r="K5471" s="11">
        <v>0</v>
      </c>
    </row>
    <row r="5472" spans="5:11" x14ac:dyDescent="0.35">
      <c r="E5472" s="9" t="str">
        <v>EPSG</v>
      </c>
      <c r="F5472" s="7" t="str">
        <v>20928</v>
      </c>
      <c r="G5472" t="str">
        <v>ProjectedCrs</v>
      </c>
      <c r="H5472" t="str">
        <v>Transverse Mercator</v>
      </c>
      <c r="I5472" t="str">
        <v>GSK-2011 / Gauss-Kruger zone 28</v>
      </c>
      <c r="J5472" t="str">
        <v>Russian Federation - onshore between 162°E and 168°E.</v>
      </c>
      <c r="K5472" s="11">
        <v>0</v>
      </c>
    </row>
    <row r="5473" spans="5:11" x14ac:dyDescent="0.35">
      <c r="E5473" s="9" t="str">
        <v>EPSG</v>
      </c>
      <c r="F5473" s="7" t="str">
        <v>20929</v>
      </c>
      <c r="G5473" t="str">
        <v>ProjectedCrs</v>
      </c>
      <c r="H5473" t="str">
        <v>Transverse Mercator</v>
      </c>
      <c r="I5473" t="str">
        <v>GSK-2011 / Gauss-Kruger zone 29</v>
      </c>
      <c r="J5473" t="str">
        <v>Russian Federation - onshore between 168°E and 174°E.</v>
      </c>
      <c r="K5473" s="11">
        <v>0</v>
      </c>
    </row>
    <row r="5474" spans="5:11" x14ac:dyDescent="0.35">
      <c r="E5474" s="9" t="str">
        <v>EPSG</v>
      </c>
      <c r="F5474" s="7" t="str">
        <v>20930</v>
      </c>
      <c r="G5474" t="str">
        <v>ProjectedCrs</v>
      </c>
      <c r="H5474" t="str">
        <v>Transverse Mercator</v>
      </c>
      <c r="I5474" t="str">
        <v>GSK-2011 / Gauss-Kruger zone 30</v>
      </c>
      <c r="J5474" t="str">
        <v>Russian Federation - onshore between 174°E and 180°E .</v>
      </c>
      <c r="K5474" s="11">
        <v>0</v>
      </c>
    </row>
    <row r="5475" spans="5:11" x14ac:dyDescent="0.35">
      <c r="E5475" s="9" t="str">
        <v>EPSG</v>
      </c>
      <c r="F5475" s="7" t="str">
        <v>20931</v>
      </c>
      <c r="G5475" t="str">
        <v>ProjectedCrs</v>
      </c>
      <c r="H5475" t="str">
        <v>Transverse Mercator</v>
      </c>
      <c r="I5475" t="str">
        <v>GSK-2011 / Gauss-Kruger zone 31</v>
      </c>
      <c r="J5475" t="str">
        <v>Russian Federation - onshore between 180°E and 174°W.</v>
      </c>
      <c r="K5475" s="11">
        <v>0</v>
      </c>
    </row>
    <row r="5476" spans="5:11" x14ac:dyDescent="0.35">
      <c r="E5476" s="9" t="str">
        <v>EPSG</v>
      </c>
      <c r="F5476" s="7" t="str">
        <v>20932</v>
      </c>
      <c r="G5476" t="str">
        <v>ProjectedCrs</v>
      </c>
      <c r="H5476" t="str">
        <v>Transverse Mercator</v>
      </c>
      <c r="I5476" t="str">
        <v>GSK-2011 / Gauss-Kruger zone 32</v>
      </c>
      <c r="J5476" t="str">
        <v>Russian Federation - onshore east of 174°W.</v>
      </c>
      <c r="K5476" s="11">
        <v>0</v>
      </c>
    </row>
    <row r="5477" spans="5:11" x14ac:dyDescent="0.35">
      <c r="E5477" s="9" t="str">
        <v>EPSG</v>
      </c>
      <c r="F5477" s="7" t="str">
        <v>20934</v>
      </c>
      <c r="G5477" t="str">
        <v>ProjectedCrs</v>
      </c>
      <c r="H5477" t="str">
        <v>Transverse Mercator</v>
      </c>
      <c r="I5477" t="str">
        <v>Arc 1950 / UTM zone 34S</v>
      </c>
      <c r="J5477" t="str">
        <v>Botswana and Zambia - west of 24°E.</v>
      </c>
      <c r="K5477" s="11">
        <v>0</v>
      </c>
    </row>
    <row r="5478" spans="5:11" x14ac:dyDescent="0.35">
      <c r="E5478" s="9" t="str">
        <v>EPSG</v>
      </c>
      <c r="F5478" s="7" t="str">
        <v>20935</v>
      </c>
      <c r="G5478" t="str">
        <v>ProjectedCrs</v>
      </c>
      <c r="H5478" t="str">
        <v>Transverse Mercator</v>
      </c>
      <c r="I5478" t="str">
        <v>Arc 1950 / UTM zone 35S</v>
      </c>
      <c r="J5478" t="str">
        <v>Botswana - east of 24°E; Zambia - between 24°E and 30°E; Zimbabwe - west of 30°E .</v>
      </c>
      <c r="K5478" s="11">
        <v>0</v>
      </c>
    </row>
    <row r="5479" spans="5:11" x14ac:dyDescent="0.35">
      <c r="E5479" s="9" t="str">
        <v>EPSG</v>
      </c>
      <c r="F5479" s="7" t="str">
        <v>20936</v>
      </c>
      <c r="G5479" t="str">
        <v>ProjectedCrs</v>
      </c>
      <c r="H5479" t="str">
        <v>Transverse Mercator</v>
      </c>
      <c r="I5479" t="str">
        <v>Arc 1950 / UTM zone 36S</v>
      </c>
      <c r="J5479" t="str">
        <v>Malawi. Zambia and Zimbabwe - east of 30°E.</v>
      </c>
      <c r="K5479" s="11">
        <v>0</v>
      </c>
    </row>
    <row r="5480" spans="5:11" x14ac:dyDescent="0.35">
      <c r="E5480" s="9" t="str">
        <v>EPSG</v>
      </c>
      <c r="F5480" s="7" t="str">
        <v>21004</v>
      </c>
      <c r="G5480" t="str">
        <v>ProjectedCrs</v>
      </c>
      <c r="H5480" t="str">
        <v>Transverse Mercator</v>
      </c>
      <c r="I5480" t="str">
        <v>GSK-2011 / Gauss-Kruger CM 21E</v>
      </c>
      <c r="J5480" t="str">
        <v>Russian Federation - onshore west of 24°E - Kaliningrad.</v>
      </c>
      <c r="K5480" s="11">
        <v>0</v>
      </c>
    </row>
    <row r="5481" spans="5:11" x14ac:dyDescent="0.35">
      <c r="E5481" s="9" t="str">
        <v>EPSG</v>
      </c>
      <c r="F5481" s="7" t="str">
        <v>21005</v>
      </c>
      <c r="G5481" t="str">
        <v>ProjectedCrs</v>
      </c>
      <c r="H5481" t="str">
        <v>Transverse Mercator</v>
      </c>
      <c r="I5481" t="str">
        <v>GSK-2011 / Gauss-Kruger CM 27E</v>
      </c>
      <c r="J5481" t="str">
        <v>Russian Federation - onshore between 24°E and 30°E.</v>
      </c>
      <c r="K5481" s="11">
        <v>0</v>
      </c>
    </row>
    <row r="5482" spans="5:11" x14ac:dyDescent="0.35">
      <c r="E5482" s="9" t="str">
        <v>EPSG</v>
      </c>
      <c r="F5482" s="7" t="str">
        <v>21006</v>
      </c>
      <c r="G5482" t="str">
        <v>ProjectedCrs</v>
      </c>
      <c r="H5482" t="str">
        <v>Transverse Mercator</v>
      </c>
      <c r="I5482" t="str">
        <v>GSK-2011 / Gauss-Kruger CM 33E</v>
      </c>
      <c r="J5482" t="str">
        <v>Russian Federation - onshore between 30°E and 36°E.</v>
      </c>
      <c r="K5482" s="11">
        <v>0</v>
      </c>
    </row>
    <row r="5483" spans="5:11" x14ac:dyDescent="0.35">
      <c r="E5483" s="9" t="str">
        <v>EPSG</v>
      </c>
      <c r="F5483" s="7" t="str">
        <v>21007</v>
      </c>
      <c r="G5483" t="str">
        <v>ProjectedCrs</v>
      </c>
      <c r="H5483" t="str">
        <v>Transverse Mercator</v>
      </c>
      <c r="I5483" t="str">
        <v>GSK-2011 / Gauss-Kruger CM 39E</v>
      </c>
      <c r="J5483" t="str">
        <v>Russian Federation - onshore between 36°E and 42°E.</v>
      </c>
      <c r="K5483" s="11">
        <v>0</v>
      </c>
    </row>
    <row r="5484" spans="5:11" x14ac:dyDescent="0.35">
      <c r="E5484" s="9" t="str">
        <v>EPSG</v>
      </c>
      <c r="F5484" s="7" t="str">
        <v>21008</v>
      </c>
      <c r="G5484" t="str">
        <v>ProjectedCrs</v>
      </c>
      <c r="H5484" t="str">
        <v>Transverse Mercator</v>
      </c>
      <c r="I5484" t="str">
        <v>GSK-2011 / Gauss-Kruger CM 45E</v>
      </c>
      <c r="J5484" t="str">
        <v>Russian Federation - onshore between 42°E and 48°E.</v>
      </c>
      <c r="K5484" s="11">
        <v>0</v>
      </c>
    </row>
    <row r="5485" spans="5:11" x14ac:dyDescent="0.35">
      <c r="E5485" s="9" t="str">
        <v>EPSG</v>
      </c>
      <c r="F5485" s="7" t="str">
        <v>21009</v>
      </c>
      <c r="G5485" t="str">
        <v>ProjectedCrs</v>
      </c>
      <c r="H5485" t="str">
        <v>Transverse Mercator</v>
      </c>
      <c r="I5485" t="str">
        <v>GSK-2011 / Gauss-Kruger CM 51E</v>
      </c>
      <c r="J5485" t="str">
        <v>Russian Federation - onshore between 48°E and 54°E.</v>
      </c>
      <c r="K5485" s="11">
        <v>0</v>
      </c>
    </row>
    <row r="5486" spans="5:11" x14ac:dyDescent="0.35">
      <c r="E5486" s="9" t="str">
        <v>EPSG</v>
      </c>
      <c r="F5486" s="7" t="str">
        <v>21010</v>
      </c>
      <c r="G5486" t="str">
        <v>ProjectedCrs</v>
      </c>
      <c r="H5486" t="str">
        <v>Transverse Mercator</v>
      </c>
      <c r="I5486" t="str">
        <v>GSK-2011 / Gauss-Kruger CM 57E</v>
      </c>
      <c r="J5486" t="str">
        <v>Russian Federation - onshore between 54°E and 60°E.</v>
      </c>
      <c r="K5486" s="11">
        <v>0</v>
      </c>
    </row>
    <row r="5487" spans="5:11" x14ac:dyDescent="0.35">
      <c r="E5487" s="9" t="str">
        <v>EPSG</v>
      </c>
      <c r="F5487" s="7" t="str">
        <v>21011</v>
      </c>
      <c r="G5487" t="str">
        <v>ProjectedCrs</v>
      </c>
      <c r="H5487" t="str">
        <v>Transverse Mercator</v>
      </c>
      <c r="I5487" t="str">
        <v>GSK-2011 / Gauss-Kruger CM 63E</v>
      </c>
      <c r="J5487" t="str">
        <v>Russian Federation - onshore between 60°E and 66°E.</v>
      </c>
      <c r="K5487" s="11">
        <v>0</v>
      </c>
    </row>
    <row r="5488" spans="5:11" x14ac:dyDescent="0.35">
      <c r="E5488" s="9" t="str">
        <v>EPSG</v>
      </c>
      <c r="F5488" s="7" t="str">
        <v>21012</v>
      </c>
      <c r="G5488" t="str">
        <v>ProjectedCrs</v>
      </c>
      <c r="H5488" t="str">
        <v>Transverse Mercator</v>
      </c>
      <c r="I5488" t="str">
        <v>GSK-2011 / Gauss-Kruger CM 69E</v>
      </c>
      <c r="J5488" t="str">
        <v>Russian Federation - onshore between 66°E and 72°E .</v>
      </c>
      <c r="K5488" s="11">
        <v>0</v>
      </c>
    </row>
    <row r="5489" spans="5:11" x14ac:dyDescent="0.35">
      <c r="E5489" s="9" t="str">
        <v>EPSG</v>
      </c>
      <c r="F5489" s="7" t="str">
        <v>21013</v>
      </c>
      <c r="G5489" t="str">
        <v>ProjectedCrs</v>
      </c>
      <c r="H5489" t="str">
        <v>Transverse Mercator</v>
      </c>
      <c r="I5489" t="str">
        <v>GSK-2011 / Gauss-Kruger CM 75E</v>
      </c>
      <c r="J5489" t="str">
        <v>Russian Federation - onshore between 72°E and 78°E.</v>
      </c>
      <c r="K5489" s="11">
        <v>0</v>
      </c>
    </row>
    <row r="5490" spans="5:11" x14ac:dyDescent="0.35">
      <c r="E5490" s="9" t="str">
        <v>EPSG</v>
      </c>
      <c r="F5490" s="7" t="str">
        <v>21014</v>
      </c>
      <c r="G5490" t="str">
        <v>ProjectedCrs</v>
      </c>
      <c r="H5490" t="str">
        <v>Transverse Mercator</v>
      </c>
      <c r="I5490" t="str">
        <v>GSK-2011 / Gauss-Kruger CM 81E</v>
      </c>
      <c r="J5490" t="str">
        <v>Russian Federation - onshore between 78°E and 84°E.</v>
      </c>
      <c r="K5490" s="11">
        <v>0</v>
      </c>
    </row>
    <row r="5491" spans="5:11" x14ac:dyDescent="0.35">
      <c r="E5491" s="9" t="str">
        <v>EPSG</v>
      </c>
      <c r="F5491" s="7" t="str">
        <v>21015</v>
      </c>
      <c r="G5491" t="str">
        <v>ProjectedCrs</v>
      </c>
      <c r="H5491" t="str">
        <v>Transverse Mercator</v>
      </c>
      <c r="I5491" t="str">
        <v>GSK-2011 / Gauss-Kruger CM 87E</v>
      </c>
      <c r="J5491" t="str">
        <v>Russian Federation - onshore between 84°E and 90°E.</v>
      </c>
      <c r="K5491" s="11">
        <v>0</v>
      </c>
    </row>
    <row r="5492" spans="5:11" x14ac:dyDescent="0.35">
      <c r="E5492" s="9" t="str">
        <v>EPSG</v>
      </c>
      <c r="F5492" s="7" t="str">
        <v>21016</v>
      </c>
      <c r="G5492" t="str">
        <v>ProjectedCrs</v>
      </c>
      <c r="H5492" t="str">
        <v>Transverse Mercator</v>
      </c>
      <c r="I5492" t="str">
        <v>GSK-2011 / Gauss-Kruger CM 93E</v>
      </c>
      <c r="J5492" t="str">
        <v>Russian Federation - onshore between 90°E and 96°E.</v>
      </c>
      <c r="K5492" s="11">
        <v>0</v>
      </c>
    </row>
    <row r="5493" spans="5:11" x14ac:dyDescent="0.35">
      <c r="E5493" s="9" t="str">
        <v>EPSG</v>
      </c>
      <c r="F5493" s="7" t="str">
        <v>21017</v>
      </c>
      <c r="G5493" t="str">
        <v>ProjectedCrs</v>
      </c>
      <c r="H5493" t="str">
        <v>Transverse Mercator</v>
      </c>
      <c r="I5493" t="str">
        <v>GSK-2011 / Gauss-Kruger CM 99E</v>
      </c>
      <c r="J5493" t="str">
        <v>Russian Federation - onshore between 96°E and 102°E.</v>
      </c>
      <c r="K5493" s="11">
        <v>0</v>
      </c>
    </row>
    <row r="5494" spans="5:11" x14ac:dyDescent="0.35">
      <c r="E5494" s="9" t="str">
        <v>EPSG</v>
      </c>
      <c r="F5494" s="7" t="str">
        <v>21018</v>
      </c>
      <c r="G5494" t="str">
        <v>ProjectedCrs</v>
      </c>
      <c r="H5494" t="str">
        <v>Transverse Mercator</v>
      </c>
      <c r="I5494" t="str">
        <v>GSK-2011 / Gauss-Kruger CM 105E</v>
      </c>
      <c r="J5494" t="str">
        <v>Russian Federation - onshore between 102°E and 108°E.</v>
      </c>
      <c r="K5494" s="11">
        <v>0</v>
      </c>
    </row>
    <row r="5495" spans="5:11" x14ac:dyDescent="0.35">
      <c r="E5495" s="9" t="str">
        <v>EPSG</v>
      </c>
      <c r="F5495" s="7" t="str">
        <v>21019</v>
      </c>
      <c r="G5495" t="str">
        <v>ProjectedCrs</v>
      </c>
      <c r="H5495" t="str">
        <v>Transverse Mercator</v>
      </c>
      <c r="I5495" t="str">
        <v>GSK-2011 / Gauss-Kruger CM 111E</v>
      </c>
      <c r="J5495" t="str">
        <v>Russian Federation - onshore between 108°E and 114°E.</v>
      </c>
      <c r="K5495" s="11">
        <v>0</v>
      </c>
    </row>
    <row r="5496" spans="5:11" x14ac:dyDescent="0.35">
      <c r="E5496" s="9" t="str">
        <v>EPSG</v>
      </c>
      <c r="F5496" s="7" t="str">
        <v>21020</v>
      </c>
      <c r="G5496" t="str">
        <v>ProjectedCrs</v>
      </c>
      <c r="H5496" t="str">
        <v>Transverse Mercator</v>
      </c>
      <c r="I5496" t="str">
        <v>GSK-2011 / Gauss-Kruger CM 117E</v>
      </c>
      <c r="J5496" t="str">
        <v>Russian Federation - onshore between 114°E and 120°E.</v>
      </c>
      <c r="K5496" s="11">
        <v>0</v>
      </c>
    </row>
    <row r="5497" spans="5:11" x14ac:dyDescent="0.35">
      <c r="E5497" s="9" t="str">
        <v>EPSG</v>
      </c>
      <c r="F5497" s="7" t="str">
        <v>21021</v>
      </c>
      <c r="G5497" t="str">
        <v>ProjectedCrs</v>
      </c>
      <c r="H5497" t="str">
        <v>Transverse Mercator</v>
      </c>
      <c r="I5497" t="str">
        <v>GSK-2011 / Gauss-Kruger CM 123E</v>
      </c>
      <c r="J5497" t="str">
        <v>Russian Federation - onshore between 120°E and 126°E.</v>
      </c>
      <c r="K5497" s="11">
        <v>0</v>
      </c>
    </row>
    <row r="5498" spans="5:11" x14ac:dyDescent="0.35">
      <c r="E5498" s="9" t="str">
        <v>EPSG</v>
      </c>
      <c r="F5498" s="7" t="str">
        <v>21022</v>
      </c>
      <c r="G5498" t="str">
        <v>ProjectedCrs</v>
      </c>
      <c r="H5498" t="str">
        <v>Transverse Mercator</v>
      </c>
      <c r="I5498" t="str">
        <v>GSK-2011 / Gauss-Kruger CM 129E</v>
      </c>
      <c r="J5498" t="str">
        <v>Russian Federation - onshore between 126°E and 132°E.</v>
      </c>
      <c r="K5498" s="11">
        <v>0</v>
      </c>
    </row>
    <row r="5499" spans="5:11" x14ac:dyDescent="0.35">
      <c r="E5499" s="9" t="str">
        <v>EPSG</v>
      </c>
      <c r="F5499" s="7" t="str">
        <v>21023</v>
      </c>
      <c r="G5499" t="str">
        <v>ProjectedCrs</v>
      </c>
      <c r="H5499" t="str">
        <v>Transverse Mercator</v>
      </c>
      <c r="I5499" t="str">
        <v>GSK-2011 / Gauss-Kruger CM 135E</v>
      </c>
      <c r="J5499" t="str">
        <v>Russian Federation - onshore between 132°E and 138°E.</v>
      </c>
      <c r="K5499" s="11">
        <v>0</v>
      </c>
    </row>
    <row r="5500" spans="5:11" x14ac:dyDescent="0.35">
      <c r="E5500" s="9" t="str">
        <v>EPSG</v>
      </c>
      <c r="F5500" s="7" t="str">
        <v>21024</v>
      </c>
      <c r="G5500" t="str">
        <v>ProjectedCrs</v>
      </c>
      <c r="H5500" t="str">
        <v>Transverse Mercator</v>
      </c>
      <c r="I5500" t="str">
        <v>GSK-2011 / Gauss-Kruger CM 141E</v>
      </c>
      <c r="J5500" t="str">
        <v>Russian Federation - onshore between 138°E and 144°E.</v>
      </c>
      <c r="K5500" s="11">
        <v>0</v>
      </c>
    </row>
    <row r="5501" spans="5:11" x14ac:dyDescent="0.35">
      <c r="E5501" s="9" t="str">
        <v>EPSG</v>
      </c>
      <c r="F5501" s="7" t="str">
        <v>21025</v>
      </c>
      <c r="G5501" t="str">
        <v>ProjectedCrs</v>
      </c>
      <c r="H5501" t="str">
        <v>Transverse Mercator</v>
      </c>
      <c r="I5501" t="str">
        <v>GSK-2011 / Gauss-Kruger CM 147E</v>
      </c>
      <c r="J5501" t="str">
        <v>Russian Federation - onshore between 144°E and 150°E.</v>
      </c>
      <c r="K5501" s="11">
        <v>0</v>
      </c>
    </row>
    <row r="5502" spans="5:11" x14ac:dyDescent="0.35">
      <c r="E5502" s="9" t="str">
        <v>EPSG</v>
      </c>
      <c r="F5502" s="7" t="str">
        <v>21026</v>
      </c>
      <c r="G5502" t="str">
        <v>ProjectedCrs</v>
      </c>
      <c r="H5502" t="str">
        <v>Transverse Mercator</v>
      </c>
      <c r="I5502" t="str">
        <v>GSK-2011 / Gauss-Kruger CM 153E</v>
      </c>
      <c r="J5502" t="str">
        <v>Russian Federation - onshore between 150°E and 156°E.</v>
      </c>
      <c r="K5502" s="11">
        <v>0</v>
      </c>
    </row>
    <row r="5503" spans="5:11" x14ac:dyDescent="0.35">
      <c r="E5503" s="9" t="str">
        <v>EPSG</v>
      </c>
      <c r="F5503" s="7" t="str">
        <v>21027</v>
      </c>
      <c r="G5503" t="str">
        <v>ProjectedCrs</v>
      </c>
      <c r="H5503" t="str">
        <v>Transverse Mercator</v>
      </c>
      <c r="I5503" t="str">
        <v>GSK-2011 / Gauss-Kruger CM 159E</v>
      </c>
      <c r="J5503" t="str">
        <v>Russian Federation - onshore between 156°E and 162°E.</v>
      </c>
      <c r="K5503" s="11">
        <v>0</v>
      </c>
    </row>
    <row r="5504" spans="5:11" x14ac:dyDescent="0.35">
      <c r="E5504" s="9" t="str">
        <v>EPSG</v>
      </c>
      <c r="F5504" s="7" t="str">
        <v>21028</v>
      </c>
      <c r="G5504" t="str">
        <v>ProjectedCrs</v>
      </c>
      <c r="H5504" t="str">
        <v>Transverse Mercator</v>
      </c>
      <c r="I5504" t="str">
        <v>GSK-2011 / Gauss-Kruger CM 165E</v>
      </c>
      <c r="J5504" t="str">
        <v>Russian Federation - onshore between 162°E and 168°E.</v>
      </c>
      <c r="K5504" s="11">
        <v>0</v>
      </c>
    </row>
    <row r="5505" spans="5:11" x14ac:dyDescent="0.35">
      <c r="E5505" s="9" t="str">
        <v>EPSG</v>
      </c>
      <c r="F5505" s="7" t="str">
        <v>21029</v>
      </c>
      <c r="G5505" t="str">
        <v>ProjectedCrs</v>
      </c>
      <c r="H5505" t="str">
        <v>Transverse Mercator</v>
      </c>
      <c r="I5505" t="str">
        <v>GSK-2011 / Gauss-Kruger CM 171E</v>
      </c>
      <c r="J5505" t="str">
        <v>Russian Federation - onshore between 168°E and 174°E.</v>
      </c>
      <c r="K5505" s="11">
        <v>0</v>
      </c>
    </row>
    <row r="5506" spans="5:11" x14ac:dyDescent="0.35">
      <c r="E5506" s="9" t="str">
        <v>EPSG</v>
      </c>
      <c r="F5506" s="7" t="str">
        <v>21030</v>
      </c>
      <c r="G5506" t="str">
        <v>ProjectedCrs</v>
      </c>
      <c r="H5506" t="str">
        <v>Transverse Mercator</v>
      </c>
      <c r="I5506" t="str">
        <v>GSK-2011 / Gauss-Kruger CM 177E</v>
      </c>
      <c r="J5506" t="str">
        <v>Russian Federation - onshore between 174°E and 180°E .</v>
      </c>
      <c r="K5506" s="11">
        <v>0</v>
      </c>
    </row>
    <row r="5507" spans="5:11" x14ac:dyDescent="0.35">
      <c r="E5507" s="9" t="str">
        <v>EPSG</v>
      </c>
      <c r="F5507" s="7" t="str">
        <v>21031</v>
      </c>
      <c r="G5507" t="str">
        <v>ProjectedCrs</v>
      </c>
      <c r="H5507" t="str">
        <v>Transverse Mercator</v>
      </c>
      <c r="I5507" t="str">
        <v>GSK-2011 / Gauss-Kruger CM 177W</v>
      </c>
      <c r="J5507" t="str">
        <v>Russian Federation - onshore between 180°E and 174°W.</v>
      </c>
      <c r="K5507" s="11">
        <v>0</v>
      </c>
    </row>
    <row r="5508" spans="5:11" x14ac:dyDescent="0.35">
      <c r="E5508" s="9" t="str">
        <v>EPSG</v>
      </c>
      <c r="F5508" s="7" t="str">
        <v>21032</v>
      </c>
      <c r="G5508" t="str">
        <v>ProjectedCrs</v>
      </c>
      <c r="H5508" t="str">
        <v>Transverse Mercator</v>
      </c>
      <c r="I5508" t="str">
        <v>GSK-2011 / Gauss-Kruger CM 171W</v>
      </c>
      <c r="J5508" t="str">
        <v>Russian Federation - onshore east of 174°W.</v>
      </c>
      <c r="K5508" s="11">
        <v>0</v>
      </c>
    </row>
    <row r="5509" spans="5:11" x14ac:dyDescent="0.35">
      <c r="E5509" s="9" t="str">
        <v>EPSG</v>
      </c>
      <c r="F5509" s="7" t="str">
        <v>21035</v>
      </c>
      <c r="G5509" t="str">
        <v>ProjectedCrs</v>
      </c>
      <c r="H5509" t="str">
        <v>Transverse Mercator</v>
      </c>
      <c r="I5509" t="str">
        <v>Arc 1960 / UTM zone 35S</v>
      </c>
      <c r="J5509" t="str">
        <v>Tanzania - west of 30°E; Uganda - south of equator and west of 30°E.</v>
      </c>
      <c r="K5509" s="11">
        <v>0</v>
      </c>
    </row>
    <row r="5510" spans="5:11" x14ac:dyDescent="0.35">
      <c r="E5510" s="9" t="str">
        <v>EPSG</v>
      </c>
      <c r="F5510" s="7" t="str">
        <v>21036</v>
      </c>
      <c r="G5510" t="str">
        <v>ProjectedCrs</v>
      </c>
      <c r="H5510" t="str">
        <v>Transverse Mercator</v>
      </c>
      <c r="I5510" t="str">
        <v>Arc 1960 / UTM zone 36S</v>
      </c>
      <c r="J5510" t="str">
        <v>Kenya - south of equator and west of 36°E; Tanzania - 30°E to 36°E; Uganda - south of equator and east of 30°E.</v>
      </c>
      <c r="K5510" s="11">
        <v>0</v>
      </c>
    </row>
    <row r="5511" spans="5:11" x14ac:dyDescent="0.35">
      <c r="E5511" s="9" t="str">
        <v>EPSG</v>
      </c>
      <c r="F5511" s="7" t="str">
        <v>21037</v>
      </c>
      <c r="G5511" t="str">
        <v>ProjectedCrs</v>
      </c>
      <c r="H5511" t="str">
        <v>Transverse Mercator</v>
      </c>
      <c r="I5511" t="str">
        <v>Arc 1960 / UTM zone 37S</v>
      </c>
      <c r="J5511" t="str">
        <v>Kenya - south of equator and east of 36°E; Tanzania - east of 36°E.</v>
      </c>
      <c r="K5511" s="11">
        <v>0</v>
      </c>
    </row>
    <row r="5512" spans="5:11" x14ac:dyDescent="0.35">
      <c r="E5512" s="9" t="str">
        <v>EPSG</v>
      </c>
      <c r="F5512" s="7" t="str">
        <v>21095</v>
      </c>
      <c r="G5512" t="str">
        <v>ProjectedCrs</v>
      </c>
      <c r="H5512" t="str">
        <v>Transverse Mercator</v>
      </c>
      <c r="I5512" t="str">
        <v>Arc 1960 / UTM zone 35N</v>
      </c>
      <c r="J5512" t="str">
        <v>Uganda - north of equator and west of 30°E.</v>
      </c>
      <c r="K5512" s="11">
        <v>0</v>
      </c>
    </row>
    <row r="5513" spans="5:11" x14ac:dyDescent="0.35">
      <c r="E5513" s="9" t="str">
        <v>EPSG</v>
      </c>
      <c r="F5513" s="7" t="str">
        <v>21096</v>
      </c>
      <c r="G5513" t="str">
        <v>ProjectedCrs</v>
      </c>
      <c r="H5513" t="str">
        <v>Transverse Mercator</v>
      </c>
      <c r="I5513" t="str">
        <v>Arc 1960 / UTM zone 36N</v>
      </c>
      <c r="J5513" t="str">
        <v>Kenya - north of equator and west of 36°E; Uganda - north of equator and east of 30°E.</v>
      </c>
      <c r="K5513" s="11">
        <v>0</v>
      </c>
    </row>
    <row r="5514" spans="5:11" x14ac:dyDescent="0.35">
      <c r="E5514" s="9" t="str">
        <v>EPSG</v>
      </c>
      <c r="F5514" s="7" t="str">
        <v>21097</v>
      </c>
      <c r="G5514" t="str">
        <v>ProjectedCrs</v>
      </c>
      <c r="H5514" t="str">
        <v>Transverse Mercator</v>
      </c>
      <c r="I5514" t="str">
        <v>Arc 1960 / UTM zone 37N</v>
      </c>
      <c r="J5514" t="str">
        <v>Kenya - north of equator and east of 36°E.</v>
      </c>
      <c r="K5514" s="11">
        <v>0</v>
      </c>
    </row>
    <row r="5515" spans="5:11" x14ac:dyDescent="0.35">
      <c r="E5515" s="9" t="str">
        <v>EPSG</v>
      </c>
      <c r="F5515" s="7" t="str">
        <v>21148</v>
      </c>
      <c r="G5515" t="str">
        <v>ProjectedCrs</v>
      </c>
      <c r="H5515" t="str">
        <v>Transverse Mercator</v>
      </c>
      <c r="I5515" t="str">
        <v>Batavia / UTM zone 48S</v>
      </c>
      <c r="J5515" t="str">
        <v>Indonesia - onshore Java and offshore southern Java Sea west of 108°E.</v>
      </c>
      <c r="K5515" s="11">
        <v>0</v>
      </c>
    </row>
    <row r="5516" spans="5:11" x14ac:dyDescent="0.35">
      <c r="E5516" s="9" t="str">
        <v>EPSG</v>
      </c>
      <c r="F5516" s="7" t="str">
        <v>21149</v>
      </c>
      <c r="G5516" t="str">
        <v>ProjectedCrs</v>
      </c>
      <c r="H5516" t="str">
        <v>Transverse Mercator</v>
      </c>
      <c r="I5516" t="str">
        <v>Batavia / UTM zone 49S</v>
      </c>
      <c r="J5516" t="str">
        <v>Indonesia - onshore Java and Madura and offshore southern Java Sea and Madura Strait - between 108°E and 114°E.</v>
      </c>
      <c r="K5516" s="11">
        <v>0</v>
      </c>
    </row>
    <row r="5517" spans="5:11" x14ac:dyDescent="0.35">
      <c r="E5517" s="9" t="str">
        <v>EPSG</v>
      </c>
      <c r="F5517" s="7" t="str">
        <v>21150</v>
      </c>
      <c r="G5517" t="str">
        <v>ProjectedCrs</v>
      </c>
      <c r="H5517" t="str">
        <v>Transverse Mercator</v>
      </c>
      <c r="I5517" t="str">
        <v>Batavia / UTM zone 50S</v>
      </c>
      <c r="J5517" t="str">
        <v>Indonesia - onshore Java and Bali, offshore southern Java Sea, Madura Strait and western Bali Sea - east of 114°E.</v>
      </c>
      <c r="K5517" s="11">
        <v>0</v>
      </c>
    </row>
    <row r="5518" spans="5:11" x14ac:dyDescent="0.35">
      <c r="E5518" s="9" t="str">
        <v>EPSG</v>
      </c>
      <c r="F5518" s="7" t="str">
        <v>21207</v>
      </c>
      <c r="G5518" t="str">
        <v>ProjectedCrs</v>
      </c>
      <c r="H5518" t="str">
        <v>Transverse Mercator</v>
      </c>
      <c r="I5518" t="str">
        <v>GSK-2011 / GSK 3GK zone 7</v>
      </c>
      <c r="J5518" t="str">
        <v>Russian Federation - Kaliningrad - onshore between 19°30'E and 22°30'E.</v>
      </c>
      <c r="K5518" s="11">
        <v>0</v>
      </c>
    </row>
    <row r="5519" spans="5:11" x14ac:dyDescent="0.35">
      <c r="E5519" s="9" t="str">
        <v>EPSG</v>
      </c>
      <c r="F5519" s="7" t="str">
        <v>21208</v>
      </c>
      <c r="G5519" t="str">
        <v>ProjectedCrs</v>
      </c>
      <c r="H5519" t="str">
        <v>Transverse Mercator</v>
      </c>
      <c r="I5519" t="str">
        <v>GSK-2011 / GSK 3GK zone 8</v>
      </c>
      <c r="J5519" t="str">
        <v>Russian Federation - onshore between 22°30'E and 25°30'E - Kaliningrad.</v>
      </c>
      <c r="K5519" s="11">
        <v>0</v>
      </c>
    </row>
    <row r="5520" spans="5:11" x14ac:dyDescent="0.35">
      <c r="E5520" s="9" t="str">
        <v>EPSG</v>
      </c>
      <c r="F5520" s="7" t="str">
        <v>21209</v>
      </c>
      <c r="G5520" t="str">
        <v>ProjectedCrs</v>
      </c>
      <c r="H5520" t="str">
        <v>Transverse Mercator</v>
      </c>
      <c r="I5520" t="str">
        <v>GSK-2011 / GSK 3GK zone 9</v>
      </c>
      <c r="J5520" t="str">
        <v>Russian Federation - onshore between 25°30'E and 28°30'E.</v>
      </c>
      <c r="K5520" s="11">
        <v>0</v>
      </c>
    </row>
    <row r="5521" spans="5:11" x14ac:dyDescent="0.35">
      <c r="E5521" s="9" t="str">
        <v>EPSG</v>
      </c>
      <c r="F5521" s="7" t="str">
        <v>21210</v>
      </c>
      <c r="G5521" t="str">
        <v>ProjectedCrs</v>
      </c>
      <c r="H5521" t="str">
        <v>Transverse Mercator</v>
      </c>
      <c r="I5521" t="str">
        <v>GSK-2011 / GSK 3GK zone 10</v>
      </c>
      <c r="J5521" t="str">
        <v>Russian Federation - onshore between 28°30'E and 31°30'E.</v>
      </c>
      <c r="K5521" s="11">
        <v>0</v>
      </c>
    </row>
    <row r="5522" spans="5:11" x14ac:dyDescent="0.35">
      <c r="E5522" s="9" t="str">
        <v>EPSG</v>
      </c>
      <c r="F5522" s="7" t="str">
        <v>21211</v>
      </c>
      <c r="G5522" t="str">
        <v>ProjectedCrs</v>
      </c>
      <c r="H5522" t="str">
        <v>Transverse Mercator</v>
      </c>
      <c r="I5522" t="str">
        <v>GSK-2011 / GSK 3GK zone 11</v>
      </c>
      <c r="J5522" t="str">
        <v>Russian Federation - onshore between 31°30'E and 34°30'E.</v>
      </c>
      <c r="K5522" s="11">
        <v>0</v>
      </c>
    </row>
    <row r="5523" spans="5:11" x14ac:dyDescent="0.35">
      <c r="E5523" s="9" t="str">
        <v>EPSG</v>
      </c>
      <c r="F5523" s="7" t="str">
        <v>21212</v>
      </c>
      <c r="G5523" t="str">
        <v>ProjectedCrs</v>
      </c>
      <c r="H5523" t="str">
        <v>Transverse Mercator</v>
      </c>
      <c r="I5523" t="str">
        <v>GSK-2011 / GSK 3GK zone 12</v>
      </c>
      <c r="J5523" t="str">
        <v>Russian Federation - onshore between 34°30'E and 37°30'E.</v>
      </c>
      <c r="K5523" s="11">
        <v>0</v>
      </c>
    </row>
    <row r="5524" spans="5:11" x14ac:dyDescent="0.35">
      <c r="E5524" s="9" t="str">
        <v>EPSG</v>
      </c>
      <c r="F5524" s="7" t="str">
        <v>21213</v>
      </c>
      <c r="G5524" t="str">
        <v>ProjectedCrs</v>
      </c>
      <c r="H5524" t="str">
        <v>Transverse Mercator</v>
      </c>
      <c r="I5524" t="str">
        <v>GSK-2011 / GSK 3GK zone 13</v>
      </c>
      <c r="J5524" t="str">
        <v>Russian Federation - onshore between 37°30'E and 40°30'E.</v>
      </c>
      <c r="K5524" s="11">
        <v>0</v>
      </c>
    </row>
    <row r="5525" spans="5:11" x14ac:dyDescent="0.35">
      <c r="E5525" s="9" t="str">
        <v>EPSG</v>
      </c>
      <c r="F5525" s="7" t="str">
        <v>21214</v>
      </c>
      <c r="G5525" t="str">
        <v>ProjectedCrs</v>
      </c>
      <c r="H5525" t="str">
        <v>Transverse Mercator</v>
      </c>
      <c r="I5525" t="str">
        <v>GSK-2011 / GSK 3GK zone 14</v>
      </c>
      <c r="J5525" t="str">
        <v>Russian Federation - onshore between 40°30'E and 43°30'E.</v>
      </c>
      <c r="K5525" s="11">
        <v>0</v>
      </c>
    </row>
    <row r="5526" spans="5:11" x14ac:dyDescent="0.35">
      <c r="E5526" s="9" t="str">
        <v>EPSG</v>
      </c>
      <c r="F5526" s="7" t="str">
        <v>21215</v>
      </c>
      <c r="G5526" t="str">
        <v>ProjectedCrs</v>
      </c>
      <c r="H5526" t="str">
        <v>Transverse Mercator</v>
      </c>
      <c r="I5526" t="str">
        <v>GSK-2011 / GSK 3GK zone 15</v>
      </c>
      <c r="J5526" t="str">
        <v>Russian Federation - onshore between 43°30'E and 46°30'E.</v>
      </c>
      <c r="K5526" s="11">
        <v>0</v>
      </c>
    </row>
    <row r="5527" spans="5:11" x14ac:dyDescent="0.35">
      <c r="E5527" s="9" t="str">
        <v>EPSG</v>
      </c>
      <c r="F5527" s="7" t="str">
        <v>21216</v>
      </c>
      <c r="G5527" t="str">
        <v>ProjectedCrs</v>
      </c>
      <c r="H5527" t="str">
        <v>Transverse Mercator</v>
      </c>
      <c r="I5527" t="str">
        <v>GSK-2011 / GSK 3GK zone 16</v>
      </c>
      <c r="J5527" t="str">
        <v>Russian Federation - onshore between 46°30'E and 49°30'E.</v>
      </c>
      <c r="K5527" s="11">
        <v>0</v>
      </c>
    </row>
    <row r="5528" spans="5:11" x14ac:dyDescent="0.35">
      <c r="E5528" s="9" t="str">
        <v>EPSG</v>
      </c>
      <c r="F5528" s="7" t="str">
        <v>21217</v>
      </c>
      <c r="G5528" t="str">
        <v>ProjectedCrs</v>
      </c>
      <c r="H5528" t="str">
        <v>Transverse Mercator</v>
      </c>
      <c r="I5528" t="str">
        <v>GSK-2011 / GSK 3GK zone 17</v>
      </c>
      <c r="J5528" t="str">
        <v>Russian Federation - onshore between 49°30'E and 52°30'E.</v>
      </c>
      <c r="K5528" s="11">
        <v>0</v>
      </c>
    </row>
    <row r="5529" spans="5:11" x14ac:dyDescent="0.35">
      <c r="E5529" s="9" t="str">
        <v>EPSG</v>
      </c>
      <c r="F5529" s="7" t="str">
        <v>21218</v>
      </c>
      <c r="G5529" t="str">
        <v>ProjectedCrs</v>
      </c>
      <c r="H5529" t="str">
        <v>Transverse Mercator</v>
      </c>
      <c r="I5529" t="str">
        <v>GSK-2011 / GSK 3GK zone 18</v>
      </c>
      <c r="J5529" t="str">
        <v>Russian Federation - onshore between 52°30'E and 55°30'E.</v>
      </c>
      <c r="K5529" s="11">
        <v>0</v>
      </c>
    </row>
    <row r="5530" spans="5:11" x14ac:dyDescent="0.35">
      <c r="E5530" s="9" t="str">
        <v>EPSG</v>
      </c>
      <c r="F5530" s="7" t="str">
        <v>21219</v>
      </c>
      <c r="G5530" t="str">
        <v>ProjectedCrs</v>
      </c>
      <c r="H5530" t="str">
        <v>Transverse Mercator</v>
      </c>
      <c r="I5530" t="str">
        <v>GSK-2011 / GSK 3GK zone 19</v>
      </c>
      <c r="J5530" t="str">
        <v>Russian Federation - onshore between 55°30'E and 58°30'E.</v>
      </c>
      <c r="K5530" s="11">
        <v>0</v>
      </c>
    </row>
    <row r="5531" spans="5:11" x14ac:dyDescent="0.35">
      <c r="E5531" s="9" t="str">
        <v>EPSG</v>
      </c>
      <c r="F5531" s="7" t="str">
        <v>21220</v>
      </c>
      <c r="G5531" t="str">
        <v>ProjectedCrs</v>
      </c>
      <c r="H5531" t="str">
        <v>Transverse Mercator</v>
      </c>
      <c r="I5531" t="str">
        <v>GSK-2011 / GSK 3GK zone 20</v>
      </c>
      <c r="J5531" t="str">
        <v>Russian Federation - onshore between 58°30'E and 61°30'E.</v>
      </c>
      <c r="K5531" s="11">
        <v>0</v>
      </c>
    </row>
    <row r="5532" spans="5:11" x14ac:dyDescent="0.35">
      <c r="E5532" s="9" t="str">
        <v>EPSG</v>
      </c>
      <c r="F5532" s="7" t="str">
        <v>21221</v>
      </c>
      <c r="G5532" t="str">
        <v>ProjectedCrs</v>
      </c>
      <c r="H5532" t="str">
        <v>Transverse Mercator</v>
      </c>
      <c r="I5532" t="str">
        <v>GSK-2011 / GSK 3GK zone 21</v>
      </c>
      <c r="J5532" t="str">
        <v>Russian Federation - onshore between 61°30'E and 64°30'E.</v>
      </c>
      <c r="K5532" s="11">
        <v>0</v>
      </c>
    </row>
    <row r="5533" spans="5:11" x14ac:dyDescent="0.35">
      <c r="E5533" s="9" t="str">
        <v>EPSG</v>
      </c>
      <c r="F5533" s="7" t="str">
        <v>21222</v>
      </c>
      <c r="G5533" t="str">
        <v>ProjectedCrs</v>
      </c>
      <c r="H5533" t="str">
        <v>Transverse Mercator</v>
      </c>
      <c r="I5533" t="str">
        <v>GSK-2011 / GSK 3GK zone 22</v>
      </c>
      <c r="J5533" t="str">
        <v>Russian Federation - onshore between 64°30'E and 67°30'E.</v>
      </c>
      <c r="K5533" s="11">
        <v>0</v>
      </c>
    </row>
    <row r="5534" spans="5:11" x14ac:dyDescent="0.35">
      <c r="E5534" s="9" t="str">
        <v>EPSG</v>
      </c>
      <c r="F5534" s="7" t="str">
        <v>21223</v>
      </c>
      <c r="G5534" t="str">
        <v>ProjectedCrs</v>
      </c>
      <c r="H5534" t="str">
        <v>Transverse Mercator</v>
      </c>
      <c r="I5534" t="str">
        <v>GSK-2011 / GSK 3GK zone 23</v>
      </c>
      <c r="J5534" t="str">
        <v>Russian Federation - onshore between 67°30'E and 70°30'E.</v>
      </c>
      <c r="K5534" s="11">
        <v>0</v>
      </c>
    </row>
    <row r="5535" spans="5:11" x14ac:dyDescent="0.35">
      <c r="E5535" s="9" t="str">
        <v>EPSG</v>
      </c>
      <c r="F5535" s="7" t="str">
        <v>21224</v>
      </c>
      <c r="G5535" t="str">
        <v>ProjectedCrs</v>
      </c>
      <c r="H5535" t="str">
        <v>Transverse Mercator</v>
      </c>
      <c r="I5535" t="str">
        <v>GSK-2011 / GSK 3GK zone 24</v>
      </c>
      <c r="J5535" t="str">
        <v>Russian Federation - onshore between 70°30'E and 73°30'E.</v>
      </c>
      <c r="K5535" s="11">
        <v>0</v>
      </c>
    </row>
    <row r="5536" spans="5:11" x14ac:dyDescent="0.35">
      <c r="E5536" s="9" t="str">
        <v>EPSG</v>
      </c>
      <c r="F5536" s="7" t="str">
        <v>21225</v>
      </c>
      <c r="G5536" t="str">
        <v>ProjectedCrs</v>
      </c>
      <c r="H5536" t="str">
        <v>Transverse Mercator</v>
      </c>
      <c r="I5536" t="str">
        <v>GSK-2011 / GSK 3GK zone 25</v>
      </c>
      <c r="J5536" t="str">
        <v>Russian Federation - onshore between 73°30'E and 76°30'E.</v>
      </c>
      <c r="K5536" s="11">
        <v>0</v>
      </c>
    </row>
    <row r="5537" spans="5:11" x14ac:dyDescent="0.35">
      <c r="E5537" s="9" t="str">
        <v>EPSG</v>
      </c>
      <c r="F5537" s="7" t="str">
        <v>21226</v>
      </c>
      <c r="G5537" t="str">
        <v>ProjectedCrs</v>
      </c>
      <c r="H5537" t="str">
        <v>Transverse Mercator</v>
      </c>
      <c r="I5537" t="str">
        <v>GSK-2011 / GSK 3GK zone 26</v>
      </c>
      <c r="J5537" t="str">
        <v>Russian Federation - onshore between 76°30'E and 79°30'E.</v>
      </c>
      <c r="K5537" s="11">
        <v>0</v>
      </c>
    </row>
    <row r="5538" spans="5:11" x14ac:dyDescent="0.35">
      <c r="E5538" s="9" t="str">
        <v>EPSG</v>
      </c>
      <c r="F5538" s="7" t="str">
        <v>21227</v>
      </c>
      <c r="G5538" t="str">
        <v>ProjectedCrs</v>
      </c>
      <c r="H5538" t="str">
        <v>Transverse Mercator</v>
      </c>
      <c r="I5538" t="str">
        <v>GSK-2011 / GSK 3GK zone 27</v>
      </c>
      <c r="J5538" t="str">
        <v>Russian Federation - onshore between 79°30'E and 82°30'E.</v>
      </c>
      <c r="K5538" s="11">
        <v>0</v>
      </c>
    </row>
    <row r="5539" spans="5:11" x14ac:dyDescent="0.35">
      <c r="E5539" s="9" t="str">
        <v>EPSG</v>
      </c>
      <c r="F5539" s="7" t="str">
        <v>21228</v>
      </c>
      <c r="G5539" t="str">
        <v>ProjectedCrs</v>
      </c>
      <c r="H5539" t="str">
        <v>Transverse Mercator</v>
      </c>
      <c r="I5539" t="str">
        <v>GSK-2011 / GSK 3GK zone 28</v>
      </c>
      <c r="J5539" t="str">
        <v>Russian Federation - onshore between 82°30'E and 85°30'E.</v>
      </c>
      <c r="K5539" s="11">
        <v>0</v>
      </c>
    </row>
    <row r="5540" spans="5:11" x14ac:dyDescent="0.35">
      <c r="E5540" s="9" t="str">
        <v>EPSG</v>
      </c>
      <c r="F5540" s="7" t="str">
        <v>21229</v>
      </c>
      <c r="G5540" t="str">
        <v>ProjectedCrs</v>
      </c>
      <c r="H5540" t="str">
        <v>Transverse Mercator</v>
      </c>
      <c r="I5540" t="str">
        <v>GSK-2011 / GSK 3GK zone 29</v>
      </c>
      <c r="J5540" t="str">
        <v>Russian Federation - onshore between 85°30'E and 88°30'E.</v>
      </c>
      <c r="K5540" s="11">
        <v>0</v>
      </c>
    </row>
    <row r="5541" spans="5:11" x14ac:dyDescent="0.35">
      <c r="E5541" s="9" t="str">
        <v>EPSG</v>
      </c>
      <c r="F5541" s="7" t="str">
        <v>21230</v>
      </c>
      <c r="G5541" t="str">
        <v>ProjectedCrs</v>
      </c>
      <c r="H5541" t="str">
        <v>Transverse Mercator</v>
      </c>
      <c r="I5541" t="str">
        <v>GSK-2011 / GSK 3GK zone 30</v>
      </c>
      <c r="J5541" t="str">
        <v>Russian Federation - onshore between 88°30'E and 91°30'E.</v>
      </c>
      <c r="K5541" s="11">
        <v>0</v>
      </c>
    </row>
    <row r="5542" spans="5:11" x14ac:dyDescent="0.35">
      <c r="E5542" s="9" t="str">
        <v>EPSG</v>
      </c>
      <c r="F5542" s="7" t="str">
        <v>21231</v>
      </c>
      <c r="G5542" t="str">
        <v>ProjectedCrs</v>
      </c>
      <c r="H5542" t="str">
        <v>Transverse Mercator</v>
      </c>
      <c r="I5542" t="str">
        <v>GSK-2011 / GSK 3GK zone 31</v>
      </c>
      <c r="J5542" t="str">
        <v>Russian Federation - onshore between 91°30'E and 94°30'E.</v>
      </c>
      <c r="K5542" s="11">
        <v>0</v>
      </c>
    </row>
    <row r="5543" spans="5:11" x14ac:dyDescent="0.35">
      <c r="E5543" s="9" t="str">
        <v>EPSG</v>
      </c>
      <c r="F5543" s="7" t="str">
        <v>21232</v>
      </c>
      <c r="G5543" t="str">
        <v>ProjectedCrs</v>
      </c>
      <c r="H5543" t="str">
        <v>Transverse Mercator</v>
      </c>
      <c r="I5543" t="str">
        <v>GSK-2011 / GSK 3GK zone 32</v>
      </c>
      <c r="J5543" t="str">
        <v>Russian Federation - onshore between 94°30'E and 97°30'E.</v>
      </c>
      <c r="K5543" s="11">
        <v>0</v>
      </c>
    </row>
    <row r="5544" spans="5:11" x14ac:dyDescent="0.35">
      <c r="E5544" s="9" t="str">
        <v>EPSG</v>
      </c>
      <c r="F5544" s="7" t="str">
        <v>21233</v>
      </c>
      <c r="G5544" t="str">
        <v>ProjectedCrs</v>
      </c>
      <c r="H5544" t="str">
        <v>Transverse Mercator</v>
      </c>
      <c r="I5544" t="str">
        <v>GSK-2011 / GSK 3GK zone 33</v>
      </c>
      <c r="J5544" t="str">
        <v>Russian Federation - onshore between 97°30'E and 100°30'E.</v>
      </c>
      <c r="K5544" s="11">
        <v>0</v>
      </c>
    </row>
    <row r="5545" spans="5:11" x14ac:dyDescent="0.35">
      <c r="E5545" s="9" t="str">
        <v>EPSG</v>
      </c>
      <c r="F5545" s="7" t="str">
        <v>21234</v>
      </c>
      <c r="G5545" t="str">
        <v>ProjectedCrs</v>
      </c>
      <c r="H5545" t="str">
        <v>Transverse Mercator</v>
      </c>
      <c r="I5545" t="str">
        <v>GSK-2011 / GSK 3GK zone 34</v>
      </c>
      <c r="J5545" t="str">
        <v>Russian Federation - onshore between 100°30'E and 103°30'E.</v>
      </c>
      <c r="K5545" s="11">
        <v>0</v>
      </c>
    </row>
    <row r="5546" spans="5:11" x14ac:dyDescent="0.35">
      <c r="E5546" s="9" t="str">
        <v>EPSG</v>
      </c>
      <c r="F5546" s="7" t="str">
        <v>21235</v>
      </c>
      <c r="G5546" t="str">
        <v>ProjectedCrs</v>
      </c>
      <c r="H5546" t="str">
        <v>Transverse Mercator</v>
      </c>
      <c r="I5546" t="str">
        <v>GSK-2011 / GSK 3GK zone 35</v>
      </c>
      <c r="J5546" t="str">
        <v>Russian Federation - onshore between 103°30'E and 106°30'E.</v>
      </c>
      <c r="K5546" s="11">
        <v>0</v>
      </c>
    </row>
    <row r="5547" spans="5:11" x14ac:dyDescent="0.35">
      <c r="E5547" s="9" t="str">
        <v>EPSG</v>
      </c>
      <c r="F5547" s="7" t="str">
        <v>21236</v>
      </c>
      <c r="G5547" t="str">
        <v>ProjectedCrs</v>
      </c>
      <c r="H5547" t="str">
        <v>Transverse Mercator</v>
      </c>
      <c r="I5547" t="str">
        <v>GSK-2011 / GSK 3GK zone 36</v>
      </c>
      <c r="J5547" t="str">
        <v>Russian Federation - onshore between 106°30'E and 109°30'E.</v>
      </c>
      <c r="K5547" s="11">
        <v>0</v>
      </c>
    </row>
    <row r="5548" spans="5:11" x14ac:dyDescent="0.35">
      <c r="E5548" s="9" t="str">
        <v>EPSG</v>
      </c>
      <c r="F5548" s="7" t="str">
        <v>21237</v>
      </c>
      <c r="G5548" t="str">
        <v>ProjectedCrs</v>
      </c>
      <c r="H5548" t="str">
        <v>Transverse Mercator</v>
      </c>
      <c r="I5548" t="str">
        <v>GSK-2011 / GSK 3GK zone 37</v>
      </c>
      <c r="J5548" t="str">
        <v>Russian Federation - onshore between 109°30'E and 112°30'E.</v>
      </c>
      <c r="K5548" s="11">
        <v>0</v>
      </c>
    </row>
    <row r="5549" spans="5:11" x14ac:dyDescent="0.35">
      <c r="E5549" s="9" t="str">
        <v>EPSG</v>
      </c>
      <c r="F5549" s="7" t="str">
        <v>21238</v>
      </c>
      <c r="G5549" t="str">
        <v>ProjectedCrs</v>
      </c>
      <c r="H5549" t="str">
        <v>Transverse Mercator</v>
      </c>
      <c r="I5549" t="str">
        <v>GSK-2011 / GSK 3GK zone 38</v>
      </c>
      <c r="J5549" t="str">
        <v>Russian Federation - onshore between 112°30'E and 115°30'E.</v>
      </c>
      <c r="K5549" s="11">
        <v>0</v>
      </c>
    </row>
    <row r="5550" spans="5:11" x14ac:dyDescent="0.35">
      <c r="E5550" s="9" t="str">
        <v>EPSG</v>
      </c>
      <c r="F5550" s="7" t="str">
        <v>21239</v>
      </c>
      <c r="G5550" t="str">
        <v>ProjectedCrs</v>
      </c>
      <c r="H5550" t="str">
        <v>Transverse Mercator</v>
      </c>
      <c r="I5550" t="str">
        <v>GSK-2011 / GSK 3GK zone 39</v>
      </c>
      <c r="J5550" t="str">
        <v>Russian Federation - onshore between 115°30'E and 118°30'E.</v>
      </c>
      <c r="K5550" s="11">
        <v>0</v>
      </c>
    </row>
    <row r="5551" spans="5:11" x14ac:dyDescent="0.35">
      <c r="E5551" s="9" t="str">
        <v>EPSG</v>
      </c>
      <c r="F5551" s="7" t="str">
        <v>21240</v>
      </c>
      <c r="G5551" t="str">
        <v>ProjectedCrs</v>
      </c>
      <c r="H5551" t="str">
        <v>Transverse Mercator</v>
      </c>
      <c r="I5551" t="str">
        <v>GSK-2011 / GSK 3GK zone 40</v>
      </c>
      <c r="J5551" t="str">
        <v>Russian Federation - onshore between 118°30'E and 121°30'E.</v>
      </c>
      <c r="K5551" s="11">
        <v>0</v>
      </c>
    </row>
    <row r="5552" spans="5:11" x14ac:dyDescent="0.35">
      <c r="E5552" s="9" t="str">
        <v>EPSG</v>
      </c>
      <c r="F5552" s="7" t="str">
        <v>21241</v>
      </c>
      <c r="G5552" t="str">
        <v>ProjectedCrs</v>
      </c>
      <c r="H5552" t="str">
        <v>Transverse Mercator</v>
      </c>
      <c r="I5552" t="str">
        <v>GSK-2011 / GSK 3GK zone 41</v>
      </c>
      <c r="J5552" t="str">
        <v>Russian Federation - onshore between 121°30'E and 124°30'E.</v>
      </c>
      <c r="K5552" s="11">
        <v>0</v>
      </c>
    </row>
    <row r="5553" spans="5:11" x14ac:dyDescent="0.35">
      <c r="E5553" s="9" t="str">
        <v>EPSG</v>
      </c>
      <c r="F5553" s="7" t="str">
        <v>21242</v>
      </c>
      <c r="G5553" t="str">
        <v>ProjectedCrs</v>
      </c>
      <c r="H5553" t="str">
        <v>Transverse Mercator</v>
      </c>
      <c r="I5553" t="str">
        <v>GSK-2011 / GSK 3GK zone 42</v>
      </c>
      <c r="J5553" t="str">
        <v>Russian Federation - onshore between 124°30'E and 127°30'E.</v>
      </c>
      <c r="K5553" s="11">
        <v>0</v>
      </c>
    </row>
    <row r="5554" spans="5:11" x14ac:dyDescent="0.35">
      <c r="E5554" s="9" t="str">
        <v>EPSG</v>
      </c>
      <c r="F5554" s="7" t="str">
        <v>21243</v>
      </c>
      <c r="G5554" t="str">
        <v>ProjectedCrs</v>
      </c>
      <c r="H5554" t="str">
        <v>Transverse Mercator</v>
      </c>
      <c r="I5554" t="str">
        <v>GSK-2011 / GSK 3GK zone 43</v>
      </c>
      <c r="J5554" t="str">
        <v>Russian Federation - onshore between 127°30'E and 130°30'E.</v>
      </c>
      <c r="K5554" s="11">
        <v>0</v>
      </c>
    </row>
    <row r="5555" spans="5:11" x14ac:dyDescent="0.35">
      <c r="E5555" s="9" t="str">
        <v>EPSG</v>
      </c>
      <c r="F5555" s="7" t="str">
        <v>21244</v>
      </c>
      <c r="G5555" t="str">
        <v>ProjectedCrs</v>
      </c>
      <c r="H5555" t="str">
        <v>Transverse Mercator</v>
      </c>
      <c r="I5555" t="str">
        <v>GSK-2011 / GSK 3GK zone 44</v>
      </c>
      <c r="J5555" t="str">
        <v>Russian Federation - onshore between 130°30'E and 133°30'E.</v>
      </c>
      <c r="K5555" s="11">
        <v>0</v>
      </c>
    </row>
    <row r="5556" spans="5:11" x14ac:dyDescent="0.35">
      <c r="E5556" s="9" t="str">
        <v>EPSG</v>
      </c>
      <c r="F5556" s="7" t="str">
        <v>21245</v>
      </c>
      <c r="G5556" t="str">
        <v>ProjectedCrs</v>
      </c>
      <c r="H5556" t="str">
        <v>Transverse Mercator</v>
      </c>
      <c r="I5556" t="str">
        <v>GSK-2011 / GSK 3GK zone 45</v>
      </c>
      <c r="J5556" t="str">
        <v>Russian Federation - onshore between 133°30'E and 136°30'E.</v>
      </c>
      <c r="K5556" s="11">
        <v>0</v>
      </c>
    </row>
    <row r="5557" spans="5:11" x14ac:dyDescent="0.35">
      <c r="E5557" s="9" t="str">
        <v>EPSG</v>
      </c>
      <c r="F5557" s="7" t="str">
        <v>21246</v>
      </c>
      <c r="G5557" t="str">
        <v>ProjectedCrs</v>
      </c>
      <c r="H5557" t="str">
        <v>Transverse Mercator</v>
      </c>
      <c r="I5557" t="str">
        <v>GSK-2011 / GSK 3GK zone 46</v>
      </c>
      <c r="J5557" t="str">
        <v>Russian Federation - onshore between 136°30'E and 139°30'E.</v>
      </c>
      <c r="K5557" s="11">
        <v>0</v>
      </c>
    </row>
    <row r="5558" spans="5:11" x14ac:dyDescent="0.35">
      <c r="E5558" s="9" t="str">
        <v>EPSG</v>
      </c>
      <c r="F5558" s="7" t="str">
        <v>21247</v>
      </c>
      <c r="G5558" t="str">
        <v>ProjectedCrs</v>
      </c>
      <c r="H5558" t="str">
        <v>Transverse Mercator</v>
      </c>
      <c r="I5558" t="str">
        <v>GSK-2011 / GSK 3GK zone 47</v>
      </c>
      <c r="J5558" t="str">
        <v>Russian Federation - onshore between 139°30'E and 142°30'E.</v>
      </c>
      <c r="K5558" s="11">
        <v>0</v>
      </c>
    </row>
    <row r="5559" spans="5:11" x14ac:dyDescent="0.35">
      <c r="E5559" s="9" t="str">
        <v>EPSG</v>
      </c>
      <c r="F5559" s="7" t="str">
        <v>21248</v>
      </c>
      <c r="G5559" t="str">
        <v>ProjectedCrs</v>
      </c>
      <c r="H5559" t="str">
        <v>Transverse Mercator</v>
      </c>
      <c r="I5559" t="str">
        <v>GSK-2011 / GSK 3GK zone 48</v>
      </c>
      <c r="J5559" t="str">
        <v>Russian Federation - onshore between 142°30'E and 145°30'E.</v>
      </c>
      <c r="K5559" s="11">
        <v>0</v>
      </c>
    </row>
    <row r="5560" spans="5:11" x14ac:dyDescent="0.35">
      <c r="E5560" s="9" t="str">
        <v>EPSG</v>
      </c>
      <c r="F5560" s="7" t="str">
        <v>21249</v>
      </c>
      <c r="G5560" t="str">
        <v>ProjectedCrs</v>
      </c>
      <c r="H5560" t="str">
        <v>Transverse Mercator</v>
      </c>
      <c r="I5560" t="str">
        <v>GSK-2011 / GSK 3GK zone 49</v>
      </c>
      <c r="J5560" t="str">
        <v>Russian Federation - onshore between 145°30'E and 148°30'E.</v>
      </c>
      <c r="K5560" s="11">
        <v>0</v>
      </c>
    </row>
    <row r="5561" spans="5:11" x14ac:dyDescent="0.35">
      <c r="E5561" s="9" t="str">
        <v>EPSG</v>
      </c>
      <c r="F5561" s="7" t="str">
        <v>21250</v>
      </c>
      <c r="G5561" t="str">
        <v>ProjectedCrs</v>
      </c>
      <c r="H5561" t="str">
        <v>Transverse Mercator</v>
      </c>
      <c r="I5561" t="str">
        <v>GSK-2011 / GSK 3GK zone 50</v>
      </c>
      <c r="J5561" t="str">
        <v>Russian Federation - onshore between 148°30'E and 151°30'E.</v>
      </c>
      <c r="K5561" s="11">
        <v>0</v>
      </c>
    </row>
    <row r="5562" spans="5:11" x14ac:dyDescent="0.35">
      <c r="E5562" s="9" t="str">
        <v>EPSG</v>
      </c>
      <c r="F5562" s="7" t="str">
        <v>21251</v>
      </c>
      <c r="G5562" t="str">
        <v>ProjectedCrs</v>
      </c>
      <c r="H5562" t="str">
        <v>Transverse Mercator</v>
      </c>
      <c r="I5562" t="str">
        <v>GSK-2011 / GSK 3GK zone 51</v>
      </c>
      <c r="J5562" t="str">
        <v>Russian Federation - onshore between 151°30'E and 154°30'E.</v>
      </c>
      <c r="K5562" s="11">
        <v>0</v>
      </c>
    </row>
    <row r="5563" spans="5:11" x14ac:dyDescent="0.35">
      <c r="E5563" s="9" t="str">
        <v>EPSG</v>
      </c>
      <c r="F5563" s="7" t="str">
        <v>21252</v>
      </c>
      <c r="G5563" t="str">
        <v>ProjectedCrs</v>
      </c>
      <c r="H5563" t="str">
        <v>Transverse Mercator</v>
      </c>
      <c r="I5563" t="str">
        <v>GSK-2011 / GSK 3GK zone 52</v>
      </c>
      <c r="J5563" t="str">
        <v>Russian Federation - onshore between 154°30'E and 157°30'E.</v>
      </c>
      <c r="K5563" s="11">
        <v>0</v>
      </c>
    </row>
    <row r="5564" spans="5:11" x14ac:dyDescent="0.35">
      <c r="E5564" s="9" t="str">
        <v>EPSG</v>
      </c>
      <c r="F5564" s="7" t="str">
        <v>21253</v>
      </c>
      <c r="G5564" t="str">
        <v>ProjectedCrs</v>
      </c>
      <c r="H5564" t="str">
        <v>Transverse Mercator</v>
      </c>
      <c r="I5564" t="str">
        <v>GSK-2011 / GSK 3GK zone 53</v>
      </c>
      <c r="J5564" t="str">
        <v>Russian Federation - onshore between 157°30'E and 160°30'E.</v>
      </c>
      <c r="K5564" s="11">
        <v>0</v>
      </c>
    </row>
    <row r="5565" spans="5:11" x14ac:dyDescent="0.35">
      <c r="E5565" s="9" t="str">
        <v>EPSG</v>
      </c>
      <c r="F5565" s="7" t="str">
        <v>21254</v>
      </c>
      <c r="G5565" t="str">
        <v>ProjectedCrs</v>
      </c>
      <c r="H5565" t="str">
        <v>Transverse Mercator</v>
      </c>
      <c r="I5565" t="str">
        <v>GSK-2011 / GSK 3GK zone 54</v>
      </c>
      <c r="J5565" t="str">
        <v>Russian Federation - onshore between 160°30'E and 163°30'E.</v>
      </c>
      <c r="K5565" s="11">
        <v>0</v>
      </c>
    </row>
    <row r="5566" spans="5:11" x14ac:dyDescent="0.35">
      <c r="E5566" s="9" t="str">
        <v>EPSG</v>
      </c>
      <c r="F5566" s="7" t="str">
        <v>21255</v>
      </c>
      <c r="G5566" t="str">
        <v>ProjectedCrs</v>
      </c>
      <c r="H5566" t="str">
        <v>Transverse Mercator</v>
      </c>
      <c r="I5566" t="str">
        <v>GSK-2011 / GSK 3GK zone 55</v>
      </c>
      <c r="J5566" t="str">
        <v>Russian Federation - onshore between 163°30'E and 166°30'E.</v>
      </c>
      <c r="K5566" s="11">
        <v>0</v>
      </c>
    </row>
    <row r="5567" spans="5:11" x14ac:dyDescent="0.35">
      <c r="E5567" s="9" t="str">
        <v>EPSG</v>
      </c>
      <c r="F5567" s="7" t="str">
        <v>21256</v>
      </c>
      <c r="G5567" t="str">
        <v>ProjectedCrs</v>
      </c>
      <c r="H5567" t="str">
        <v>Transverse Mercator</v>
      </c>
      <c r="I5567" t="str">
        <v>GSK-2011 / GSK 3GK zone 56</v>
      </c>
      <c r="J5567" t="str">
        <v>Russian Federation - onshore between 166°30'E and 169°30'E.</v>
      </c>
      <c r="K5567" s="11">
        <v>0</v>
      </c>
    </row>
    <row r="5568" spans="5:11" x14ac:dyDescent="0.35">
      <c r="E5568" s="9" t="str">
        <v>EPSG</v>
      </c>
      <c r="F5568" s="7" t="str">
        <v>21257</v>
      </c>
      <c r="G5568" t="str">
        <v>ProjectedCrs</v>
      </c>
      <c r="H5568" t="str">
        <v>Transverse Mercator</v>
      </c>
      <c r="I5568" t="str">
        <v>GSK-2011 / GSK 3GK zone 57</v>
      </c>
      <c r="J5568" t="str">
        <v>Russian Federation - onshore between 169°30'E and 172°30'E.</v>
      </c>
      <c r="K5568" s="11">
        <v>0</v>
      </c>
    </row>
    <row r="5569" spans="5:11" x14ac:dyDescent="0.35">
      <c r="E5569" s="9" t="str">
        <v>EPSG</v>
      </c>
      <c r="F5569" s="7" t="str">
        <v>21258</v>
      </c>
      <c r="G5569" t="str">
        <v>ProjectedCrs</v>
      </c>
      <c r="H5569" t="str">
        <v>Transverse Mercator</v>
      </c>
      <c r="I5569" t="str">
        <v>GSK-2011 / GSK 3GK zone 58</v>
      </c>
      <c r="J5569" t="str">
        <v>Russian Federation - onshore between 172°30'E and 175°30'E.</v>
      </c>
      <c r="K5569" s="11">
        <v>0</v>
      </c>
    </row>
    <row r="5570" spans="5:11" x14ac:dyDescent="0.35">
      <c r="E5570" s="9" t="str">
        <v>EPSG</v>
      </c>
      <c r="F5570" s="7" t="str">
        <v>21259</v>
      </c>
      <c r="G5570" t="str">
        <v>ProjectedCrs</v>
      </c>
      <c r="H5570" t="str">
        <v>Transverse Mercator</v>
      </c>
      <c r="I5570" t="str">
        <v>GSK-2011 / GSK 3GK zone 59</v>
      </c>
      <c r="J5570" t="str">
        <v>Russian Federation - onshore between 175°30'E and 178°30'E.</v>
      </c>
      <c r="K5570" s="11">
        <v>0</v>
      </c>
    </row>
    <row r="5571" spans="5:11" x14ac:dyDescent="0.35">
      <c r="E5571" s="9" t="str">
        <v>EPSG</v>
      </c>
      <c r="F5571" s="7" t="str">
        <v>21260</v>
      </c>
      <c r="G5571" t="str">
        <v>ProjectedCrs</v>
      </c>
      <c r="H5571" t="str">
        <v>Transverse Mercator</v>
      </c>
      <c r="I5571" t="str">
        <v>GSK-2011 / GSK 3GK zone 60</v>
      </c>
      <c r="J5571" t="str">
        <v>Russian Federation - onshore between 178°30'E and 178°30'W.</v>
      </c>
      <c r="K5571" s="11">
        <v>0</v>
      </c>
    </row>
    <row r="5572" spans="5:11" x14ac:dyDescent="0.35">
      <c r="E5572" s="9" t="str">
        <v>EPSG</v>
      </c>
      <c r="F5572" s="7" t="str">
        <v>21261</v>
      </c>
      <c r="G5572" t="str">
        <v>ProjectedCrs</v>
      </c>
      <c r="H5572" t="str">
        <v>Transverse Mercator</v>
      </c>
      <c r="I5572" t="str">
        <v>GSK-2011 / GSK 3GK zone 61</v>
      </c>
      <c r="J5572" t="str">
        <v>Russian Federation - onshore between 178°30'W and 175°30'W.</v>
      </c>
      <c r="K5572" s="11">
        <v>0</v>
      </c>
    </row>
    <row r="5573" spans="5:11" x14ac:dyDescent="0.35">
      <c r="E5573" s="9" t="str">
        <v>EPSG</v>
      </c>
      <c r="F5573" s="7" t="str">
        <v>21262</v>
      </c>
      <c r="G5573" t="str">
        <v>ProjectedCrs</v>
      </c>
      <c r="H5573" t="str">
        <v>Transverse Mercator</v>
      </c>
      <c r="I5573" t="str">
        <v>GSK-2011 / GSK 3GK zone 62</v>
      </c>
      <c r="J5573" t="str">
        <v>Russian Federation - onshore between 175°30'W and 172°30'W.</v>
      </c>
      <c r="K5573" s="11">
        <v>0</v>
      </c>
    </row>
    <row r="5574" spans="5:11" x14ac:dyDescent="0.35">
      <c r="E5574" s="9" t="str">
        <v>EPSG</v>
      </c>
      <c r="F5574" s="7" t="str">
        <v>21263</v>
      </c>
      <c r="G5574" t="str">
        <v>ProjectedCrs</v>
      </c>
      <c r="H5574" t="str">
        <v>Transverse Mercator</v>
      </c>
      <c r="I5574" t="str">
        <v>GSK-2011 / GSK 3GK zone 63</v>
      </c>
      <c r="J5574" t="str">
        <v>Russian Federation - onshore between 172°30'W and 169°30'W.</v>
      </c>
      <c r="K5574" s="11">
        <v>0</v>
      </c>
    </row>
    <row r="5575" spans="5:11" x14ac:dyDescent="0.35">
      <c r="E5575" s="9" t="str">
        <v>EPSG</v>
      </c>
      <c r="F5575" s="7" t="str">
        <v>21264</v>
      </c>
      <c r="G5575" t="str">
        <v>ProjectedCrs</v>
      </c>
      <c r="H5575" t="str">
        <v>Transverse Mercator</v>
      </c>
      <c r="I5575" t="str">
        <v>GSK-2011 / GSK 3GK zone 64</v>
      </c>
      <c r="J5575" t="str">
        <v>Russian Federation - onshore between 169°30'W and 166°30'W.</v>
      </c>
      <c r="K5575" s="11">
        <v>0</v>
      </c>
    </row>
    <row r="5576" spans="5:11" x14ac:dyDescent="0.35">
      <c r="E5576" s="9" t="str">
        <v>EPSG</v>
      </c>
      <c r="F5576" s="7" t="str">
        <v>21291</v>
      </c>
      <c r="G5576" t="str">
        <v>ProjectedCrs</v>
      </c>
      <c r="H5576" t="str">
        <v>Transverse Mercator</v>
      </c>
      <c r="I5576" t="str">
        <v>Barbados 1938 / British West Indies Grid</v>
      </c>
      <c r="J5576" t="str">
        <v>Barbados - onshore.</v>
      </c>
      <c r="K5576" s="11">
        <v>0</v>
      </c>
    </row>
    <row r="5577" spans="5:11" x14ac:dyDescent="0.35">
      <c r="E5577" s="9" t="str">
        <v>EPSG</v>
      </c>
      <c r="F5577" s="7" t="str">
        <v>21292</v>
      </c>
      <c r="G5577" t="str">
        <v>ProjectedCrs</v>
      </c>
      <c r="H5577" t="str">
        <v>Transverse Mercator</v>
      </c>
      <c r="I5577" t="str">
        <v>Barbados 1938 / Barbados National Grid</v>
      </c>
      <c r="J5577" t="str">
        <v>Barbados - onshore.</v>
      </c>
      <c r="K5577" s="11">
        <v>0</v>
      </c>
    </row>
    <row r="5578" spans="5:11" x14ac:dyDescent="0.35">
      <c r="E5578" s="9" t="str">
        <v>EPSG</v>
      </c>
      <c r="F5578" s="7" t="str">
        <v>21307</v>
      </c>
      <c r="G5578" t="str">
        <v>ProjectedCrs</v>
      </c>
      <c r="H5578" t="str">
        <v>Transverse Mercator</v>
      </c>
      <c r="I5578" t="str">
        <v>GSK-2011 / GSK 3GK CM 21E</v>
      </c>
      <c r="J5578" t="str">
        <v>Russian Federation - Kaliningrad - onshore between 19°30'E and 22°30'E.</v>
      </c>
      <c r="K5578" s="11">
        <v>0</v>
      </c>
    </row>
    <row r="5579" spans="5:11" x14ac:dyDescent="0.35">
      <c r="E5579" s="9" t="str">
        <v>EPSG</v>
      </c>
      <c r="F5579" s="7" t="str">
        <v>21308</v>
      </c>
      <c r="G5579" t="str">
        <v>ProjectedCrs</v>
      </c>
      <c r="H5579" t="str">
        <v>Transverse Mercator</v>
      </c>
      <c r="I5579" t="str">
        <v>GSK-2011 / GSK 3GK CM 24E</v>
      </c>
      <c r="J5579" t="str">
        <v>Russian Federation - onshore between 22°30'E and 25°30'E - Kaliningrad.</v>
      </c>
      <c r="K5579" s="11">
        <v>0</v>
      </c>
    </row>
    <row r="5580" spans="5:11" x14ac:dyDescent="0.35">
      <c r="E5580" s="9" t="str">
        <v>EPSG</v>
      </c>
      <c r="F5580" s="7" t="str">
        <v>21309</v>
      </c>
      <c r="G5580" t="str">
        <v>ProjectedCrs</v>
      </c>
      <c r="H5580" t="str">
        <v>Transverse Mercator</v>
      </c>
      <c r="I5580" t="str">
        <v>GSK-2011 / GSK 3GK CM 27E</v>
      </c>
      <c r="J5580" t="str">
        <v>Russian Federation - onshore between 25°30'E and 28°30'E.</v>
      </c>
      <c r="K5580" s="11">
        <v>0</v>
      </c>
    </row>
    <row r="5581" spans="5:11" x14ac:dyDescent="0.35">
      <c r="E5581" s="9" t="str">
        <v>EPSG</v>
      </c>
      <c r="F5581" s="7" t="str">
        <v>21310</v>
      </c>
      <c r="G5581" t="str">
        <v>ProjectedCrs</v>
      </c>
      <c r="H5581" t="str">
        <v>Transverse Mercator</v>
      </c>
      <c r="I5581" t="str">
        <v>GSK-2011 / GSK 3GK CM 30E</v>
      </c>
      <c r="J5581" t="str">
        <v>Russian Federation - onshore between 28°30'E and 31°30'E.</v>
      </c>
      <c r="K5581" s="11">
        <v>0</v>
      </c>
    </row>
    <row r="5582" spans="5:11" x14ac:dyDescent="0.35">
      <c r="E5582" s="9" t="str">
        <v>EPSG</v>
      </c>
      <c r="F5582" s="7" t="str">
        <v>21311</v>
      </c>
      <c r="G5582" t="str">
        <v>ProjectedCrs</v>
      </c>
      <c r="H5582" t="str">
        <v>Transverse Mercator</v>
      </c>
      <c r="I5582" t="str">
        <v>GSK-2011 / GSK 3GK CM 33E</v>
      </c>
      <c r="J5582" t="str">
        <v>Russian Federation - onshore between 31°30'E and 34°30'E.</v>
      </c>
      <c r="K5582" s="11">
        <v>0</v>
      </c>
    </row>
    <row r="5583" spans="5:11" x14ac:dyDescent="0.35">
      <c r="E5583" s="9" t="str">
        <v>EPSG</v>
      </c>
      <c r="F5583" s="7" t="str">
        <v>21312</v>
      </c>
      <c r="G5583" t="str">
        <v>ProjectedCrs</v>
      </c>
      <c r="H5583" t="str">
        <v>Transverse Mercator</v>
      </c>
      <c r="I5583" t="str">
        <v>GSK-2011 / GSK 3GK CM 36E</v>
      </c>
      <c r="J5583" t="str">
        <v>Russian Federation - onshore between 34°30'E and 37°30'E.</v>
      </c>
      <c r="K5583" s="11">
        <v>0</v>
      </c>
    </row>
    <row r="5584" spans="5:11" x14ac:dyDescent="0.35">
      <c r="E5584" s="9" t="str">
        <v>EPSG</v>
      </c>
      <c r="F5584" s="7" t="str">
        <v>21313</v>
      </c>
      <c r="G5584" t="str">
        <v>ProjectedCrs</v>
      </c>
      <c r="H5584" t="str">
        <v>Transverse Mercator</v>
      </c>
      <c r="I5584" t="str">
        <v>GSK-2011 / GSK 3GK CM 39E</v>
      </c>
      <c r="J5584" t="str">
        <v>Russian Federation - onshore between 37°30'E and 40°30'E.</v>
      </c>
      <c r="K5584" s="11">
        <v>0</v>
      </c>
    </row>
    <row r="5585" spans="5:11" x14ac:dyDescent="0.35">
      <c r="E5585" s="9" t="str">
        <v>EPSG</v>
      </c>
      <c r="F5585" s="7" t="str">
        <v>21314</v>
      </c>
      <c r="G5585" t="str">
        <v>ProjectedCrs</v>
      </c>
      <c r="H5585" t="str">
        <v>Transverse Mercator</v>
      </c>
      <c r="I5585" t="str">
        <v>GSK-2011 / GSK 3GK CM 42E</v>
      </c>
      <c r="J5585" t="str">
        <v>Russian Federation - onshore between 40°30'E and 43°30'E.</v>
      </c>
      <c r="K5585" s="11">
        <v>0</v>
      </c>
    </row>
    <row r="5586" spans="5:11" x14ac:dyDescent="0.35">
      <c r="E5586" s="9" t="str">
        <v>EPSG</v>
      </c>
      <c r="F5586" s="7" t="str">
        <v>21315</v>
      </c>
      <c r="G5586" t="str">
        <v>ProjectedCrs</v>
      </c>
      <c r="H5586" t="str">
        <v>Transverse Mercator</v>
      </c>
      <c r="I5586" t="str">
        <v>GSK-2011 / GSK 3GK CM 45E</v>
      </c>
      <c r="J5586" t="str">
        <v>Russian Federation - onshore between 43°30'E and 46°30'E.</v>
      </c>
      <c r="K5586" s="11">
        <v>0</v>
      </c>
    </row>
    <row r="5587" spans="5:11" x14ac:dyDescent="0.35">
      <c r="E5587" s="9" t="str">
        <v>EPSG</v>
      </c>
      <c r="F5587" s="7" t="str">
        <v>21316</v>
      </c>
      <c r="G5587" t="str">
        <v>ProjectedCrs</v>
      </c>
      <c r="H5587" t="str">
        <v>Transverse Mercator</v>
      </c>
      <c r="I5587" t="str">
        <v>GSK-2011 / GSK 3GK CM 48E</v>
      </c>
      <c r="J5587" t="str">
        <v>Russian Federation - onshore between 46°30'E and 49°30'E.</v>
      </c>
      <c r="K5587" s="11">
        <v>0</v>
      </c>
    </row>
    <row r="5588" spans="5:11" x14ac:dyDescent="0.35">
      <c r="E5588" s="9" t="str">
        <v>EPSG</v>
      </c>
      <c r="F5588" s="7" t="str">
        <v>21317</v>
      </c>
      <c r="G5588" t="str">
        <v>ProjectedCrs</v>
      </c>
      <c r="H5588" t="str">
        <v>Transverse Mercator</v>
      </c>
      <c r="I5588" t="str">
        <v>GSK-2011 / GSK 3GK CM 51E</v>
      </c>
      <c r="J5588" t="str">
        <v>Russian Federation - onshore between 49°30'E and 52°30'E.</v>
      </c>
      <c r="K5588" s="11">
        <v>0</v>
      </c>
    </row>
    <row r="5589" spans="5:11" x14ac:dyDescent="0.35">
      <c r="E5589" s="9" t="str">
        <v>EPSG</v>
      </c>
      <c r="F5589" s="7" t="str">
        <v>21318</v>
      </c>
      <c r="G5589" t="str">
        <v>ProjectedCrs</v>
      </c>
      <c r="H5589" t="str">
        <v>Transverse Mercator</v>
      </c>
      <c r="I5589" t="str">
        <v>GSK-2011 / GSK 3GK CM 54E</v>
      </c>
      <c r="J5589" t="str">
        <v>Russian Federation - onshore between 52°30'E and 55°30'E.</v>
      </c>
      <c r="K5589" s="11">
        <v>0</v>
      </c>
    </row>
    <row r="5590" spans="5:11" x14ac:dyDescent="0.35">
      <c r="E5590" s="9" t="str">
        <v>EPSG</v>
      </c>
      <c r="F5590" s="7" t="str">
        <v>21319</v>
      </c>
      <c r="G5590" t="str">
        <v>ProjectedCrs</v>
      </c>
      <c r="H5590" t="str">
        <v>Transverse Mercator</v>
      </c>
      <c r="I5590" t="str">
        <v>GSK-2011 / GSK 3GK CM 57E</v>
      </c>
      <c r="J5590" t="str">
        <v>Russian Federation - onshore between 55°30'E and 58°30'E.</v>
      </c>
      <c r="K5590" s="11">
        <v>0</v>
      </c>
    </row>
    <row r="5591" spans="5:11" x14ac:dyDescent="0.35">
      <c r="E5591" s="9" t="str">
        <v>EPSG</v>
      </c>
      <c r="F5591" s="7" t="str">
        <v>21320</v>
      </c>
      <c r="G5591" t="str">
        <v>ProjectedCrs</v>
      </c>
      <c r="H5591" t="str">
        <v>Transverse Mercator</v>
      </c>
      <c r="I5591" t="str">
        <v>GSK-2011 / GSK 3GK CM 60E</v>
      </c>
      <c r="J5591" t="str">
        <v>Russian Federation - onshore between 58°30'E and 61°30'E.</v>
      </c>
      <c r="K5591" s="11">
        <v>0</v>
      </c>
    </row>
    <row r="5592" spans="5:11" x14ac:dyDescent="0.35">
      <c r="E5592" s="9" t="str">
        <v>EPSG</v>
      </c>
      <c r="F5592" s="7" t="str">
        <v>21321</v>
      </c>
      <c r="G5592" t="str">
        <v>ProjectedCrs</v>
      </c>
      <c r="H5592" t="str">
        <v>Transverse Mercator</v>
      </c>
      <c r="I5592" t="str">
        <v>GSK-2011 / GSK 3GK CM 63E</v>
      </c>
      <c r="J5592" t="str">
        <v>Russian Federation - onshore between 61°30'E and 64°30'E.</v>
      </c>
      <c r="K5592" s="11">
        <v>0</v>
      </c>
    </row>
    <row r="5593" spans="5:11" x14ac:dyDescent="0.35">
      <c r="E5593" s="9" t="str">
        <v>EPSG</v>
      </c>
      <c r="F5593" s="7" t="str">
        <v>21322</v>
      </c>
      <c r="G5593" t="str">
        <v>ProjectedCrs</v>
      </c>
      <c r="H5593" t="str">
        <v>Transverse Mercator</v>
      </c>
      <c r="I5593" t="str">
        <v>GSK-2011 / GSK 3GK CM 66E</v>
      </c>
      <c r="J5593" t="str">
        <v>Russian Federation - onshore between 64°30'E and 67°30'E.</v>
      </c>
      <c r="K5593" s="11">
        <v>0</v>
      </c>
    </row>
    <row r="5594" spans="5:11" x14ac:dyDescent="0.35">
      <c r="E5594" s="9" t="str">
        <v>EPSG</v>
      </c>
      <c r="F5594" s="7" t="str">
        <v>21323</v>
      </c>
      <c r="G5594" t="str">
        <v>ProjectedCrs</v>
      </c>
      <c r="H5594" t="str">
        <v>Transverse Mercator</v>
      </c>
      <c r="I5594" t="str">
        <v>GSK-2011 / GSK 3GK CM 69E</v>
      </c>
      <c r="J5594" t="str">
        <v>Russian Federation - onshore between 67°30'E and 70°30'E.</v>
      </c>
      <c r="K5594" s="11">
        <v>0</v>
      </c>
    </row>
    <row r="5595" spans="5:11" x14ac:dyDescent="0.35">
      <c r="E5595" s="9" t="str">
        <v>EPSG</v>
      </c>
      <c r="F5595" s="7" t="str">
        <v>21324</v>
      </c>
      <c r="G5595" t="str">
        <v>ProjectedCrs</v>
      </c>
      <c r="H5595" t="str">
        <v>Transverse Mercator</v>
      </c>
      <c r="I5595" t="str">
        <v>GSK-2011 / GSK 3GK CM 72E</v>
      </c>
      <c r="J5595" t="str">
        <v>Russian Federation - onshore between 70°30'E and 73°30'E.</v>
      </c>
      <c r="K5595" s="11">
        <v>0</v>
      </c>
    </row>
    <row r="5596" spans="5:11" x14ac:dyDescent="0.35">
      <c r="E5596" s="9" t="str">
        <v>EPSG</v>
      </c>
      <c r="F5596" s="7" t="str">
        <v>21325</v>
      </c>
      <c r="G5596" t="str">
        <v>ProjectedCrs</v>
      </c>
      <c r="H5596" t="str">
        <v>Transverse Mercator</v>
      </c>
      <c r="I5596" t="str">
        <v>GSK-2011 / GSK 3GK CM 75E</v>
      </c>
      <c r="J5596" t="str">
        <v>Russian Federation - onshore between 73°30'E and 76°30'E.</v>
      </c>
      <c r="K5596" s="11">
        <v>0</v>
      </c>
    </row>
    <row r="5597" spans="5:11" x14ac:dyDescent="0.35">
      <c r="E5597" s="9" t="str">
        <v>EPSG</v>
      </c>
      <c r="F5597" s="7" t="str">
        <v>21326</v>
      </c>
      <c r="G5597" t="str">
        <v>ProjectedCrs</v>
      </c>
      <c r="H5597" t="str">
        <v>Transverse Mercator</v>
      </c>
      <c r="I5597" t="str">
        <v>GSK-2011 / GSK 3GK CM 78E</v>
      </c>
      <c r="J5597" t="str">
        <v>Russian Federation - onshore between 76°30'E and 79°30'E.</v>
      </c>
      <c r="K5597" s="11">
        <v>0</v>
      </c>
    </row>
    <row r="5598" spans="5:11" x14ac:dyDescent="0.35">
      <c r="E5598" s="9" t="str">
        <v>EPSG</v>
      </c>
      <c r="F5598" s="7" t="str">
        <v>21327</v>
      </c>
      <c r="G5598" t="str">
        <v>ProjectedCrs</v>
      </c>
      <c r="H5598" t="str">
        <v>Transverse Mercator</v>
      </c>
      <c r="I5598" t="str">
        <v>GSK-2011 / GSK 3GK CM 81E</v>
      </c>
      <c r="J5598" t="str">
        <v>Russian Federation - onshore between 79°30'E and 82°30'E.</v>
      </c>
      <c r="K5598" s="11">
        <v>0</v>
      </c>
    </row>
    <row r="5599" spans="5:11" x14ac:dyDescent="0.35">
      <c r="E5599" s="9" t="str">
        <v>EPSG</v>
      </c>
      <c r="F5599" s="7" t="str">
        <v>21328</v>
      </c>
      <c r="G5599" t="str">
        <v>ProjectedCrs</v>
      </c>
      <c r="H5599" t="str">
        <v>Transverse Mercator</v>
      </c>
      <c r="I5599" t="str">
        <v>GSK-2011 / GSK 3GK CM 84E</v>
      </c>
      <c r="J5599" t="str">
        <v>Russian Federation - onshore between 82°30'E and 85°30'E.</v>
      </c>
      <c r="K5599" s="11">
        <v>0</v>
      </c>
    </row>
    <row r="5600" spans="5:11" x14ac:dyDescent="0.35">
      <c r="E5600" s="9" t="str">
        <v>EPSG</v>
      </c>
      <c r="F5600" s="7" t="str">
        <v>21329</v>
      </c>
      <c r="G5600" t="str">
        <v>ProjectedCrs</v>
      </c>
      <c r="H5600" t="str">
        <v>Transverse Mercator</v>
      </c>
      <c r="I5600" t="str">
        <v>GSK-2011 / GSK 3GK CM 87E</v>
      </c>
      <c r="J5600" t="str">
        <v>Russian Federation - onshore between 85°30'E and 88°30'E.</v>
      </c>
      <c r="K5600" s="11">
        <v>0</v>
      </c>
    </row>
    <row r="5601" spans="5:11" x14ac:dyDescent="0.35">
      <c r="E5601" s="9" t="str">
        <v>EPSG</v>
      </c>
      <c r="F5601" s="7" t="str">
        <v>21330</v>
      </c>
      <c r="G5601" t="str">
        <v>ProjectedCrs</v>
      </c>
      <c r="H5601" t="str">
        <v>Transverse Mercator</v>
      </c>
      <c r="I5601" t="str">
        <v>GSK-2011 / GSK 3GK CM 90E</v>
      </c>
      <c r="J5601" t="str">
        <v>Russian Federation - onshore between 88°30'E and 91°30'E.</v>
      </c>
      <c r="K5601" s="11">
        <v>0</v>
      </c>
    </row>
    <row r="5602" spans="5:11" x14ac:dyDescent="0.35">
      <c r="E5602" s="9" t="str">
        <v>EPSG</v>
      </c>
      <c r="F5602" s="7" t="str">
        <v>21331</v>
      </c>
      <c r="G5602" t="str">
        <v>ProjectedCrs</v>
      </c>
      <c r="H5602" t="str">
        <v>Transverse Mercator</v>
      </c>
      <c r="I5602" t="str">
        <v>GSK-2011 / GSK 3GK CM 93E</v>
      </c>
      <c r="J5602" t="str">
        <v>Russian Federation - onshore between 91°30'E and 94°30'E.</v>
      </c>
      <c r="K5602" s="11">
        <v>0</v>
      </c>
    </row>
    <row r="5603" spans="5:11" x14ac:dyDescent="0.35">
      <c r="E5603" s="9" t="str">
        <v>EPSG</v>
      </c>
      <c r="F5603" s="7" t="str">
        <v>21332</v>
      </c>
      <c r="G5603" t="str">
        <v>ProjectedCrs</v>
      </c>
      <c r="H5603" t="str">
        <v>Transverse Mercator</v>
      </c>
      <c r="I5603" t="str">
        <v>GSK-2011 / GSK 3GK CM 96E</v>
      </c>
      <c r="J5603" t="str">
        <v>Russian Federation - onshore between 94°30'E and 97°30'E.</v>
      </c>
      <c r="K5603" s="11">
        <v>0</v>
      </c>
    </row>
    <row r="5604" spans="5:11" x14ac:dyDescent="0.35">
      <c r="E5604" s="9" t="str">
        <v>EPSG</v>
      </c>
      <c r="F5604" s="7" t="str">
        <v>21333</v>
      </c>
      <c r="G5604" t="str">
        <v>ProjectedCrs</v>
      </c>
      <c r="H5604" t="str">
        <v>Transverse Mercator</v>
      </c>
      <c r="I5604" t="str">
        <v>GSK-2011 / GSK 3GK CM 99E</v>
      </c>
      <c r="J5604" t="str">
        <v>Russian Federation - onshore between 97°30'E and 100°30'E.</v>
      </c>
      <c r="K5604" s="11">
        <v>0</v>
      </c>
    </row>
    <row r="5605" spans="5:11" x14ac:dyDescent="0.35">
      <c r="E5605" s="9" t="str">
        <v>EPSG</v>
      </c>
      <c r="F5605" s="7" t="str">
        <v>21334</v>
      </c>
      <c r="G5605" t="str">
        <v>ProjectedCrs</v>
      </c>
      <c r="H5605" t="str">
        <v>Transverse Mercator</v>
      </c>
      <c r="I5605" t="str">
        <v>GSK-2011 / GSK 3GK CM 102E</v>
      </c>
      <c r="J5605" t="str">
        <v>Russian Federation - onshore between 100°30'E and 103°30'E.</v>
      </c>
      <c r="K5605" s="11">
        <v>0</v>
      </c>
    </row>
    <row r="5606" spans="5:11" x14ac:dyDescent="0.35">
      <c r="E5606" s="9" t="str">
        <v>EPSG</v>
      </c>
      <c r="F5606" s="7" t="str">
        <v>21335</v>
      </c>
      <c r="G5606" t="str">
        <v>ProjectedCrs</v>
      </c>
      <c r="H5606" t="str">
        <v>Transverse Mercator</v>
      </c>
      <c r="I5606" t="str">
        <v>GSK-2011 / GSK 3GK CM 105E</v>
      </c>
      <c r="J5606" t="str">
        <v>Russian Federation - onshore between 103°30'E and 106°30'E.</v>
      </c>
      <c r="K5606" s="11">
        <v>0</v>
      </c>
    </row>
    <row r="5607" spans="5:11" x14ac:dyDescent="0.35">
      <c r="E5607" s="9" t="str">
        <v>EPSG</v>
      </c>
      <c r="F5607" s="7" t="str">
        <v>21336</v>
      </c>
      <c r="G5607" t="str">
        <v>ProjectedCrs</v>
      </c>
      <c r="H5607" t="str">
        <v>Transverse Mercator</v>
      </c>
      <c r="I5607" t="str">
        <v>GSK-2011 / GSK 3GK CM 108E</v>
      </c>
      <c r="J5607" t="str">
        <v>Russian Federation - onshore between 106°30'E and 109°30'E.</v>
      </c>
      <c r="K5607" s="11">
        <v>0</v>
      </c>
    </row>
    <row r="5608" spans="5:11" x14ac:dyDescent="0.35">
      <c r="E5608" s="9" t="str">
        <v>EPSG</v>
      </c>
      <c r="F5608" s="7" t="str">
        <v>21337</v>
      </c>
      <c r="G5608" t="str">
        <v>ProjectedCrs</v>
      </c>
      <c r="H5608" t="str">
        <v>Transverse Mercator</v>
      </c>
      <c r="I5608" t="str">
        <v>GSK-2011 / GSK 3GK CM 111E</v>
      </c>
      <c r="J5608" t="str">
        <v>Russian Federation - onshore between 109°30'E and 112°30'E.</v>
      </c>
      <c r="K5608" s="11">
        <v>0</v>
      </c>
    </row>
    <row r="5609" spans="5:11" x14ac:dyDescent="0.35">
      <c r="E5609" s="9" t="str">
        <v>EPSG</v>
      </c>
      <c r="F5609" s="7" t="str">
        <v>21338</v>
      </c>
      <c r="G5609" t="str">
        <v>ProjectedCrs</v>
      </c>
      <c r="H5609" t="str">
        <v>Transverse Mercator</v>
      </c>
      <c r="I5609" t="str">
        <v>GSK-2011 / GSK 3GK CM 114E</v>
      </c>
      <c r="J5609" t="str">
        <v>Russian Federation - onshore between 112°30'E and 115°30'E.</v>
      </c>
      <c r="K5609" s="11">
        <v>0</v>
      </c>
    </row>
    <row r="5610" spans="5:11" x14ac:dyDescent="0.35">
      <c r="E5610" s="9" t="str">
        <v>EPSG</v>
      </c>
      <c r="F5610" s="7" t="str">
        <v>21339</v>
      </c>
      <c r="G5610" t="str">
        <v>ProjectedCrs</v>
      </c>
      <c r="H5610" t="str">
        <v>Transverse Mercator</v>
      </c>
      <c r="I5610" t="str">
        <v>GSK-2011 / GSK 3GK CM 117E</v>
      </c>
      <c r="J5610" t="str">
        <v>Russian Federation - onshore between 115°30'E and 118°30'E.</v>
      </c>
      <c r="K5610" s="11">
        <v>0</v>
      </c>
    </row>
    <row r="5611" spans="5:11" x14ac:dyDescent="0.35">
      <c r="E5611" s="9" t="str">
        <v>EPSG</v>
      </c>
      <c r="F5611" s="7" t="str">
        <v>21340</v>
      </c>
      <c r="G5611" t="str">
        <v>ProjectedCrs</v>
      </c>
      <c r="H5611" t="str">
        <v>Transverse Mercator</v>
      </c>
      <c r="I5611" t="str">
        <v>GSK-2011 / GSK 3GK CM 120E</v>
      </c>
      <c r="J5611" t="str">
        <v>Russian Federation - onshore between 118°30'E and 121°30'E.</v>
      </c>
      <c r="K5611" s="11">
        <v>0</v>
      </c>
    </row>
    <row r="5612" spans="5:11" x14ac:dyDescent="0.35">
      <c r="E5612" s="9" t="str">
        <v>EPSG</v>
      </c>
      <c r="F5612" s="7" t="str">
        <v>21341</v>
      </c>
      <c r="G5612" t="str">
        <v>ProjectedCrs</v>
      </c>
      <c r="H5612" t="str">
        <v>Transverse Mercator</v>
      </c>
      <c r="I5612" t="str">
        <v>GSK-2011 / GSK 3GK CM 123E</v>
      </c>
      <c r="J5612" t="str">
        <v>Russian Federation - onshore between 121°30'E and 124°30'E.</v>
      </c>
      <c r="K5612" s="11">
        <v>0</v>
      </c>
    </row>
    <row r="5613" spans="5:11" x14ac:dyDescent="0.35">
      <c r="E5613" s="9" t="str">
        <v>EPSG</v>
      </c>
      <c r="F5613" s="7" t="str">
        <v>21342</v>
      </c>
      <c r="G5613" t="str">
        <v>ProjectedCrs</v>
      </c>
      <c r="H5613" t="str">
        <v>Transverse Mercator</v>
      </c>
      <c r="I5613" t="str">
        <v>GSK-2011 / GSK 3GK CM 126E</v>
      </c>
      <c r="J5613" t="str">
        <v>Russian Federation - onshore between 124°30'E and 127°30'E.</v>
      </c>
      <c r="K5613" s="11">
        <v>0</v>
      </c>
    </row>
    <row r="5614" spans="5:11" x14ac:dyDescent="0.35">
      <c r="E5614" s="9" t="str">
        <v>EPSG</v>
      </c>
      <c r="F5614" s="7" t="str">
        <v>21343</v>
      </c>
      <c r="G5614" t="str">
        <v>ProjectedCrs</v>
      </c>
      <c r="H5614" t="str">
        <v>Transverse Mercator</v>
      </c>
      <c r="I5614" t="str">
        <v>GSK-2011 / GSK 3GK CM 129E</v>
      </c>
      <c r="J5614" t="str">
        <v>Russian Federation - onshore between 127°30'E and 130°30'E.</v>
      </c>
      <c r="K5614" s="11">
        <v>0</v>
      </c>
    </row>
    <row r="5615" spans="5:11" x14ac:dyDescent="0.35">
      <c r="E5615" s="9" t="str">
        <v>EPSG</v>
      </c>
      <c r="F5615" s="7" t="str">
        <v>21344</v>
      </c>
      <c r="G5615" t="str">
        <v>ProjectedCrs</v>
      </c>
      <c r="H5615" t="str">
        <v>Transverse Mercator</v>
      </c>
      <c r="I5615" t="str">
        <v>GSK-2011 / GSK 3GK CM 132E</v>
      </c>
      <c r="J5615" t="str">
        <v>Russian Federation - onshore between 130°30'E and 133°30'E.</v>
      </c>
      <c r="K5615" s="11">
        <v>0</v>
      </c>
    </row>
    <row r="5616" spans="5:11" x14ac:dyDescent="0.35">
      <c r="E5616" s="9" t="str">
        <v>EPSG</v>
      </c>
      <c r="F5616" s="7" t="str">
        <v>21345</v>
      </c>
      <c r="G5616" t="str">
        <v>ProjectedCrs</v>
      </c>
      <c r="H5616" t="str">
        <v>Transverse Mercator</v>
      </c>
      <c r="I5616" t="str">
        <v>GSK-2011 / GSK 3GK CM 135E</v>
      </c>
      <c r="J5616" t="str">
        <v>Russian Federation - onshore between 133°30'E and 136°30'E.</v>
      </c>
      <c r="K5616" s="11">
        <v>0</v>
      </c>
    </row>
    <row r="5617" spans="5:11" x14ac:dyDescent="0.35">
      <c r="E5617" s="9" t="str">
        <v>EPSG</v>
      </c>
      <c r="F5617" s="7" t="str">
        <v>21346</v>
      </c>
      <c r="G5617" t="str">
        <v>ProjectedCrs</v>
      </c>
      <c r="H5617" t="str">
        <v>Transverse Mercator</v>
      </c>
      <c r="I5617" t="str">
        <v>GSK-2011 / GSK 3GK CM 138E</v>
      </c>
      <c r="J5617" t="str">
        <v>Russian Federation - onshore between 136°30'E and 139°30'E.</v>
      </c>
      <c r="K5617" s="11">
        <v>0</v>
      </c>
    </row>
    <row r="5618" spans="5:11" x14ac:dyDescent="0.35">
      <c r="E5618" s="9" t="str">
        <v>EPSG</v>
      </c>
      <c r="F5618" s="7" t="str">
        <v>21347</v>
      </c>
      <c r="G5618" t="str">
        <v>ProjectedCrs</v>
      </c>
      <c r="H5618" t="str">
        <v>Transverse Mercator</v>
      </c>
      <c r="I5618" t="str">
        <v>GSK-2011 / GSK 3GK CM 141E</v>
      </c>
      <c r="J5618" t="str">
        <v>Russian Federation - onshore between 139°30'E and 142°30'E.</v>
      </c>
      <c r="K5618" s="11">
        <v>0</v>
      </c>
    </row>
    <row r="5619" spans="5:11" x14ac:dyDescent="0.35">
      <c r="E5619" s="9" t="str">
        <v>EPSG</v>
      </c>
      <c r="F5619" s="7" t="str">
        <v>21348</v>
      </c>
      <c r="G5619" t="str">
        <v>ProjectedCrs</v>
      </c>
      <c r="H5619" t="str">
        <v>Transverse Mercator</v>
      </c>
      <c r="I5619" t="str">
        <v>GSK-2011 / GSK 3GK CM 144E</v>
      </c>
      <c r="J5619" t="str">
        <v>Russian Federation - onshore between 142°30'E and 145°30'E.</v>
      </c>
      <c r="K5619" s="11">
        <v>0</v>
      </c>
    </row>
    <row r="5620" spans="5:11" x14ac:dyDescent="0.35">
      <c r="E5620" s="9" t="str">
        <v>EPSG</v>
      </c>
      <c r="F5620" s="7" t="str">
        <v>21349</v>
      </c>
      <c r="G5620" t="str">
        <v>ProjectedCrs</v>
      </c>
      <c r="H5620" t="str">
        <v>Transverse Mercator</v>
      </c>
      <c r="I5620" t="str">
        <v>GSK-2011 / GSK 3GK CM 147E</v>
      </c>
      <c r="J5620" t="str">
        <v>Russian Federation - onshore between 145°30'E and 148°30'E.</v>
      </c>
      <c r="K5620" s="11">
        <v>0</v>
      </c>
    </row>
    <row r="5621" spans="5:11" x14ac:dyDescent="0.35">
      <c r="E5621" s="9" t="str">
        <v>EPSG</v>
      </c>
      <c r="F5621" s="7" t="str">
        <v>21350</v>
      </c>
      <c r="G5621" t="str">
        <v>ProjectedCrs</v>
      </c>
      <c r="H5621" t="str">
        <v>Transverse Mercator</v>
      </c>
      <c r="I5621" t="str">
        <v>GSK-2011 / GSK 3GK CM 150E</v>
      </c>
      <c r="J5621" t="str">
        <v>Russian Federation - onshore between 148°30'E and 151°30'E.</v>
      </c>
      <c r="K5621" s="11">
        <v>0</v>
      </c>
    </row>
    <row r="5622" spans="5:11" x14ac:dyDescent="0.35">
      <c r="E5622" s="9" t="str">
        <v>EPSG</v>
      </c>
      <c r="F5622" s="7" t="str">
        <v>21351</v>
      </c>
      <c r="G5622" t="str">
        <v>ProjectedCrs</v>
      </c>
      <c r="H5622" t="str">
        <v>Transverse Mercator</v>
      </c>
      <c r="I5622" t="str">
        <v>GSK-2011 / GSK 3GK CM 153E</v>
      </c>
      <c r="J5622" t="str">
        <v>Russian Federation - onshore between 151°30'E and 154°30'E.</v>
      </c>
      <c r="K5622" s="11">
        <v>0</v>
      </c>
    </row>
    <row r="5623" spans="5:11" x14ac:dyDescent="0.35">
      <c r="E5623" s="9" t="str">
        <v>EPSG</v>
      </c>
      <c r="F5623" s="7" t="str">
        <v>21352</v>
      </c>
      <c r="G5623" t="str">
        <v>ProjectedCrs</v>
      </c>
      <c r="H5623" t="str">
        <v>Transverse Mercator</v>
      </c>
      <c r="I5623" t="str">
        <v>GSK-2011 / GSK 3GK CM 156E</v>
      </c>
      <c r="J5623" t="str">
        <v>Russian Federation - onshore between 154°30'E and 157°30'E.</v>
      </c>
      <c r="K5623" s="11">
        <v>0</v>
      </c>
    </row>
    <row r="5624" spans="5:11" x14ac:dyDescent="0.35">
      <c r="E5624" s="9" t="str">
        <v>EPSG</v>
      </c>
      <c r="F5624" s="7" t="str">
        <v>21353</v>
      </c>
      <c r="G5624" t="str">
        <v>ProjectedCrs</v>
      </c>
      <c r="H5624" t="str">
        <v>Transverse Mercator</v>
      </c>
      <c r="I5624" t="str">
        <v>GSK-2011 / GSK 3GK CM 159E</v>
      </c>
      <c r="J5624" t="str">
        <v>Russian Federation - onshore between 157°30'E and 160°30'E.</v>
      </c>
      <c r="K5624" s="11">
        <v>0</v>
      </c>
    </row>
    <row r="5625" spans="5:11" x14ac:dyDescent="0.35">
      <c r="E5625" s="9" t="str">
        <v>EPSG</v>
      </c>
      <c r="F5625" s="7" t="str">
        <v>21354</v>
      </c>
      <c r="G5625" t="str">
        <v>ProjectedCrs</v>
      </c>
      <c r="H5625" t="str">
        <v>Transverse Mercator</v>
      </c>
      <c r="I5625" t="str">
        <v>GSK-2011 / GSK 3GK CM 162E</v>
      </c>
      <c r="J5625" t="str">
        <v>Russian Federation - onshore between 160°30'E and 163°30'E.</v>
      </c>
      <c r="K5625" s="11">
        <v>0</v>
      </c>
    </row>
    <row r="5626" spans="5:11" x14ac:dyDescent="0.35">
      <c r="E5626" s="9" t="str">
        <v>EPSG</v>
      </c>
      <c r="F5626" s="7" t="str">
        <v>21355</v>
      </c>
      <c r="G5626" t="str">
        <v>ProjectedCrs</v>
      </c>
      <c r="H5626" t="str">
        <v>Transverse Mercator</v>
      </c>
      <c r="I5626" t="str">
        <v>GSK-2011 / GSK 3GK CM 165E</v>
      </c>
      <c r="J5626" t="str">
        <v>Russian Federation - onshore between 163°30'E and 166°30'E.</v>
      </c>
      <c r="K5626" s="11">
        <v>0</v>
      </c>
    </row>
    <row r="5627" spans="5:11" x14ac:dyDescent="0.35">
      <c r="E5627" s="9" t="str">
        <v>EPSG</v>
      </c>
      <c r="F5627" s="7" t="str">
        <v>21356</v>
      </c>
      <c r="G5627" t="str">
        <v>ProjectedCrs</v>
      </c>
      <c r="H5627" t="str">
        <v>Transverse Mercator</v>
      </c>
      <c r="I5627" t="str">
        <v>GSK-2011 / GSK 3GK CM 168E</v>
      </c>
      <c r="J5627" t="str">
        <v>Russian Federation - onshore between 166°30'E and 169°30'E.</v>
      </c>
      <c r="K5627" s="11">
        <v>0</v>
      </c>
    </row>
    <row r="5628" spans="5:11" x14ac:dyDescent="0.35">
      <c r="E5628" s="9" t="str">
        <v>EPSG</v>
      </c>
      <c r="F5628" s="7" t="str">
        <v>21357</v>
      </c>
      <c r="G5628" t="str">
        <v>ProjectedCrs</v>
      </c>
      <c r="H5628" t="str">
        <v>Transverse Mercator</v>
      </c>
      <c r="I5628" t="str">
        <v>GSK-2011 / GSK 3GK CM 171E</v>
      </c>
      <c r="J5628" t="str">
        <v>Russian Federation - onshore between 169°30'E and 172°30'E.</v>
      </c>
      <c r="K5628" s="11">
        <v>0</v>
      </c>
    </row>
    <row r="5629" spans="5:11" x14ac:dyDescent="0.35">
      <c r="E5629" s="9" t="str">
        <v>EPSG</v>
      </c>
      <c r="F5629" s="7" t="str">
        <v>21358</v>
      </c>
      <c r="G5629" t="str">
        <v>ProjectedCrs</v>
      </c>
      <c r="H5629" t="str">
        <v>Transverse Mercator</v>
      </c>
      <c r="I5629" t="str">
        <v>GSK-2011 / GSK 3GK CM 174E</v>
      </c>
      <c r="J5629" t="str">
        <v>Russian Federation - onshore between 172°30'E and 175°30'E.</v>
      </c>
      <c r="K5629" s="11">
        <v>0</v>
      </c>
    </row>
    <row r="5630" spans="5:11" x14ac:dyDescent="0.35">
      <c r="E5630" s="9" t="str">
        <v>EPSG</v>
      </c>
      <c r="F5630" s="7" t="str">
        <v>21359</v>
      </c>
      <c r="G5630" t="str">
        <v>ProjectedCrs</v>
      </c>
      <c r="H5630" t="str">
        <v>Transverse Mercator</v>
      </c>
      <c r="I5630" t="str">
        <v>GSK-2011 / GSK 3GK CM 177E</v>
      </c>
      <c r="J5630" t="str">
        <v>Russian Federation - onshore between 175°30'E and 178°30'E.</v>
      </c>
      <c r="K5630" s="11">
        <v>0</v>
      </c>
    </row>
    <row r="5631" spans="5:11" x14ac:dyDescent="0.35">
      <c r="E5631" s="9" t="str">
        <v>EPSG</v>
      </c>
      <c r="F5631" s="7" t="str">
        <v>21360</v>
      </c>
      <c r="G5631" t="str">
        <v>ProjectedCrs</v>
      </c>
      <c r="H5631" t="str">
        <v>Transverse Mercator</v>
      </c>
      <c r="I5631" t="str">
        <v>GSK-2011 / GSK 3GK CM 180E</v>
      </c>
      <c r="J5631" t="str">
        <v>Russian Federation - onshore between 178°30'E and 178°30'W.</v>
      </c>
      <c r="K5631" s="11">
        <v>0</v>
      </c>
    </row>
    <row r="5632" spans="5:11" x14ac:dyDescent="0.35">
      <c r="E5632" s="9" t="str">
        <v>EPSG</v>
      </c>
      <c r="F5632" s="7" t="str">
        <v>21361</v>
      </c>
      <c r="G5632" t="str">
        <v>ProjectedCrs</v>
      </c>
      <c r="H5632" t="str">
        <v>Transverse Mercator</v>
      </c>
      <c r="I5632" t="str">
        <v>GSK-2011 / GSK 3GK CM 177W</v>
      </c>
      <c r="J5632" t="str">
        <v>Russian Federation - onshore between 178°30'W and 175°30'W.</v>
      </c>
      <c r="K5632" s="11">
        <v>0</v>
      </c>
    </row>
    <row r="5633" spans="5:11" x14ac:dyDescent="0.35">
      <c r="E5633" s="9" t="str">
        <v>EPSG</v>
      </c>
      <c r="F5633" s="7" t="str">
        <v>21362</v>
      </c>
      <c r="G5633" t="str">
        <v>ProjectedCrs</v>
      </c>
      <c r="H5633" t="str">
        <v>Transverse Mercator</v>
      </c>
      <c r="I5633" t="str">
        <v>GSK-2011 / GSK 3GK CM 174W</v>
      </c>
      <c r="J5633" t="str">
        <v>Russian Federation - onshore between 175°30'W and 172°30'W.</v>
      </c>
      <c r="K5633" s="11">
        <v>0</v>
      </c>
    </row>
    <row r="5634" spans="5:11" x14ac:dyDescent="0.35">
      <c r="E5634" s="9" t="str">
        <v>EPSG</v>
      </c>
      <c r="F5634" s="7" t="str">
        <v>21363</v>
      </c>
      <c r="G5634" t="str">
        <v>ProjectedCrs</v>
      </c>
      <c r="H5634" t="str">
        <v>Transverse Mercator</v>
      </c>
      <c r="I5634" t="str">
        <v>GSK-2011 / GSK 3GK CM 171W</v>
      </c>
      <c r="J5634" t="str">
        <v>Russian Federation - onshore between 172°30'W and 169°30'W.</v>
      </c>
      <c r="K5634" s="11">
        <v>0</v>
      </c>
    </row>
    <row r="5635" spans="5:11" x14ac:dyDescent="0.35">
      <c r="E5635" s="9" t="str">
        <v>EPSG</v>
      </c>
      <c r="F5635" s="7" t="str">
        <v>21364</v>
      </c>
      <c r="G5635" t="str">
        <v>ProjectedCrs</v>
      </c>
      <c r="H5635" t="str">
        <v>Transverse Mercator</v>
      </c>
      <c r="I5635" t="str">
        <v>GSK-2011 / GSK 3GK CM 168W</v>
      </c>
      <c r="J5635" t="str">
        <v>Russian Federation - onshore between 169°30'W and 166°30'W.</v>
      </c>
      <c r="K5635" s="11">
        <v>0</v>
      </c>
    </row>
    <row r="5636" spans="5:11" x14ac:dyDescent="0.35">
      <c r="E5636" s="9" t="str">
        <v>EPSG</v>
      </c>
      <c r="F5636" s="7" t="str">
        <v>21413</v>
      </c>
      <c r="G5636" t="str">
        <v>ProjectedCrs</v>
      </c>
      <c r="H5636" t="str">
        <v>Transverse Mercator</v>
      </c>
      <c r="I5636" t="str">
        <v>Beijing 1954 / Gauss-Kruger zone 13</v>
      </c>
      <c r="J5636" t="str">
        <v>China - west of 78°E.</v>
      </c>
      <c r="K5636" s="11">
        <v>0</v>
      </c>
    </row>
    <row r="5637" spans="5:11" x14ac:dyDescent="0.35">
      <c r="E5637" s="9" t="str">
        <v>EPSG</v>
      </c>
      <c r="F5637" s="7" t="str">
        <v>21414</v>
      </c>
      <c r="G5637" t="str">
        <v>ProjectedCrs</v>
      </c>
      <c r="H5637" t="str">
        <v>Transverse Mercator</v>
      </c>
      <c r="I5637" t="str">
        <v>Beijing 1954 / Gauss-Kruger zone 14</v>
      </c>
      <c r="J5637" t="str">
        <v>China - between 78°E and 84°E.</v>
      </c>
      <c r="K5637" s="11">
        <v>0</v>
      </c>
    </row>
    <row r="5638" spans="5:11" x14ac:dyDescent="0.35">
      <c r="E5638" s="9" t="str">
        <v>EPSG</v>
      </c>
      <c r="F5638" s="7" t="str">
        <v>21415</v>
      </c>
      <c r="G5638" t="str">
        <v>ProjectedCrs</v>
      </c>
      <c r="H5638" t="str">
        <v>Transverse Mercator</v>
      </c>
      <c r="I5638" t="str">
        <v>Beijing 1954 / Gauss-Kruger zone 15</v>
      </c>
      <c r="J5638" t="str">
        <v>China - between 84°E and 90°E.</v>
      </c>
      <c r="K5638" s="11">
        <v>0</v>
      </c>
    </row>
    <row r="5639" spans="5:11" x14ac:dyDescent="0.35">
      <c r="E5639" s="9" t="str">
        <v>EPSG</v>
      </c>
      <c r="F5639" s="7" t="str">
        <v>21416</v>
      </c>
      <c r="G5639" t="str">
        <v>ProjectedCrs</v>
      </c>
      <c r="H5639" t="str">
        <v>Transverse Mercator</v>
      </c>
      <c r="I5639" t="str">
        <v>Beijing 1954 / Gauss-Kruger zone 16</v>
      </c>
      <c r="J5639" t="str">
        <v>China - between 90°E and 96°E.</v>
      </c>
      <c r="K5639" s="11">
        <v>0</v>
      </c>
    </row>
    <row r="5640" spans="5:11" x14ac:dyDescent="0.35">
      <c r="E5640" s="9" t="str">
        <v>EPSG</v>
      </c>
      <c r="F5640" s="7" t="str">
        <v>21417</v>
      </c>
      <c r="G5640" t="str">
        <v>ProjectedCrs</v>
      </c>
      <c r="H5640" t="str">
        <v>Transverse Mercator</v>
      </c>
      <c r="I5640" t="str">
        <v>Beijing 1954 / Gauss-Kruger zone 17</v>
      </c>
      <c r="J5640" t="str">
        <v>China - between 96°E and 102°E.</v>
      </c>
      <c r="K5640" s="11">
        <v>0</v>
      </c>
    </row>
    <row r="5641" spans="5:11" x14ac:dyDescent="0.35">
      <c r="E5641" s="9" t="str">
        <v>EPSG</v>
      </c>
      <c r="F5641" s="7" t="str">
        <v>21418</v>
      </c>
      <c r="G5641" t="str">
        <v>ProjectedCrs</v>
      </c>
      <c r="H5641" t="str">
        <v>Transverse Mercator</v>
      </c>
      <c r="I5641" t="str">
        <v>Beijing 1954 / Gauss-Kruger zone 18</v>
      </c>
      <c r="J5641" t="str">
        <v>China - onshore between 102°E and 108°E.</v>
      </c>
      <c r="K5641" s="11">
        <v>0</v>
      </c>
    </row>
    <row r="5642" spans="5:11" x14ac:dyDescent="0.35">
      <c r="E5642" s="9" t="str">
        <v>EPSG</v>
      </c>
      <c r="F5642" s="7" t="str">
        <v>21419</v>
      </c>
      <c r="G5642" t="str">
        <v>ProjectedCrs</v>
      </c>
      <c r="H5642" t="str">
        <v>Transverse Mercator</v>
      </c>
      <c r="I5642" t="str">
        <v>Beijing 1954 / Gauss-Kruger zone 19</v>
      </c>
      <c r="J5642" t="str">
        <v>China - onshore between 108°E and 114°E.</v>
      </c>
      <c r="K5642" s="11">
        <v>0</v>
      </c>
    </row>
    <row r="5643" spans="5:11" x14ac:dyDescent="0.35">
      <c r="E5643" s="9" t="str">
        <v>EPSG</v>
      </c>
      <c r="F5643" s="7" t="str">
        <v>21420</v>
      </c>
      <c r="G5643" t="str">
        <v>ProjectedCrs</v>
      </c>
      <c r="H5643" t="str">
        <v>Transverse Mercator</v>
      </c>
      <c r="I5643" t="str">
        <v>Beijing 1954 / Gauss-Kruger zone 20</v>
      </c>
      <c r="J5643" t="str">
        <v>China - onshore between 114°E and 120°E.</v>
      </c>
      <c r="K5643" s="11">
        <v>0</v>
      </c>
    </row>
    <row r="5644" spans="5:11" x14ac:dyDescent="0.35">
      <c r="E5644" s="9" t="str">
        <v>EPSG</v>
      </c>
      <c r="F5644" s="7" t="str">
        <v>21421</v>
      </c>
      <c r="G5644" t="str">
        <v>ProjectedCrs</v>
      </c>
      <c r="H5644" t="str">
        <v>Transverse Mercator</v>
      </c>
      <c r="I5644" t="str">
        <v>Beijing 1954 / Gauss-Kruger zone 21</v>
      </c>
      <c r="J5644" t="str">
        <v>China - onshore between 120°E and 126°E.</v>
      </c>
      <c r="K5644" s="11">
        <v>0</v>
      </c>
    </row>
    <row r="5645" spans="5:11" x14ac:dyDescent="0.35">
      <c r="E5645" s="9" t="str">
        <v>EPSG</v>
      </c>
      <c r="F5645" s="7" t="str">
        <v>21422</v>
      </c>
      <c r="G5645" t="str">
        <v>ProjectedCrs</v>
      </c>
      <c r="H5645" t="str">
        <v>Transverse Mercator</v>
      </c>
      <c r="I5645" t="str">
        <v>Beijing 1954 / Gauss-Kruger zone 22</v>
      </c>
      <c r="J5645" t="str">
        <v>China - onshore between 126°E and 132°E.</v>
      </c>
      <c r="K5645" s="11">
        <v>0</v>
      </c>
    </row>
    <row r="5646" spans="5:11" x14ac:dyDescent="0.35">
      <c r="E5646" s="9" t="str">
        <v>EPSG</v>
      </c>
      <c r="F5646" s="7" t="str">
        <v>21423</v>
      </c>
      <c r="G5646" t="str">
        <v>ProjectedCrs</v>
      </c>
      <c r="H5646" t="str">
        <v>Transverse Mercator</v>
      </c>
      <c r="I5646" t="str">
        <v>Beijing 1954 / Gauss-Kruger zone 23</v>
      </c>
      <c r="J5646" t="str">
        <v>China - east of 132°E.</v>
      </c>
      <c r="K5646" s="11">
        <v>0</v>
      </c>
    </row>
    <row r="5647" spans="5:11" x14ac:dyDescent="0.35">
      <c r="E5647" s="9" t="str">
        <v>EPSG</v>
      </c>
      <c r="F5647" s="7" t="str">
        <v>21453</v>
      </c>
      <c r="G5647" t="str">
        <v>ProjectedCrs</v>
      </c>
      <c r="H5647" t="str">
        <v>Transverse Mercator</v>
      </c>
      <c r="I5647" t="str">
        <v>Beijing 1954 / Gauss-Kruger CM 75E</v>
      </c>
      <c r="J5647" t="str">
        <v>China - west of 78°E.</v>
      </c>
      <c r="K5647" s="11">
        <v>0</v>
      </c>
    </row>
    <row r="5648" spans="5:11" x14ac:dyDescent="0.35">
      <c r="E5648" s="9" t="str">
        <v>EPSG</v>
      </c>
      <c r="F5648" s="7" t="str">
        <v>21454</v>
      </c>
      <c r="G5648" t="str">
        <v>ProjectedCrs</v>
      </c>
      <c r="H5648" t="str">
        <v>Transverse Mercator</v>
      </c>
      <c r="I5648" t="str">
        <v>Beijing 1954 / Gauss-Kruger CM 81E</v>
      </c>
      <c r="J5648" t="str">
        <v>China - between 78°E and 84°E.</v>
      </c>
      <c r="K5648" s="11">
        <v>0</v>
      </c>
    </row>
    <row r="5649" spans="5:11" x14ac:dyDescent="0.35">
      <c r="E5649" s="9" t="str">
        <v>EPSG</v>
      </c>
      <c r="F5649" s="7" t="str">
        <v>21455</v>
      </c>
      <c r="G5649" t="str">
        <v>ProjectedCrs</v>
      </c>
      <c r="H5649" t="str">
        <v>Transverse Mercator</v>
      </c>
      <c r="I5649" t="str">
        <v>Beijing 1954 / Gauss-Kruger CM 87E</v>
      </c>
      <c r="J5649" t="str">
        <v>China - between 84°E and 90°E.</v>
      </c>
      <c r="K5649" s="11">
        <v>0</v>
      </c>
    </row>
    <row r="5650" spans="5:11" x14ac:dyDescent="0.35">
      <c r="E5650" s="9" t="str">
        <v>EPSG</v>
      </c>
      <c r="F5650" s="7" t="str">
        <v>21456</v>
      </c>
      <c r="G5650" t="str">
        <v>ProjectedCrs</v>
      </c>
      <c r="H5650" t="str">
        <v>Transverse Mercator</v>
      </c>
      <c r="I5650" t="str">
        <v>Beijing 1954 / Gauss-Kruger CM 93E</v>
      </c>
      <c r="J5650" t="str">
        <v>China - between 90°E and 96°E.</v>
      </c>
      <c r="K5650" s="11">
        <v>0</v>
      </c>
    </row>
    <row r="5651" spans="5:11" x14ac:dyDescent="0.35">
      <c r="E5651" s="9" t="str">
        <v>EPSG</v>
      </c>
      <c r="F5651" s="7" t="str">
        <v>21457</v>
      </c>
      <c r="G5651" t="str">
        <v>ProjectedCrs</v>
      </c>
      <c r="H5651" t="str">
        <v>Transverse Mercator</v>
      </c>
      <c r="I5651" t="str">
        <v>Beijing 1954 / Gauss-Kruger CM 99E</v>
      </c>
      <c r="J5651" t="str">
        <v>China - between 96°E and 102°E.</v>
      </c>
      <c r="K5651" s="11">
        <v>0</v>
      </c>
    </row>
    <row r="5652" spans="5:11" x14ac:dyDescent="0.35">
      <c r="E5652" s="9" t="str">
        <v>EPSG</v>
      </c>
      <c r="F5652" s="7" t="str">
        <v>21458</v>
      </c>
      <c r="G5652" t="str">
        <v>ProjectedCrs</v>
      </c>
      <c r="H5652" t="str">
        <v>Transverse Mercator</v>
      </c>
      <c r="I5652" t="str">
        <v>Beijing 1954 / Gauss-Kruger CM 105E</v>
      </c>
      <c r="J5652" t="str">
        <v>China - onshore between 102°E and 108°E.</v>
      </c>
      <c r="K5652" s="11">
        <v>0</v>
      </c>
    </row>
    <row r="5653" spans="5:11" x14ac:dyDescent="0.35">
      <c r="E5653" s="9" t="str">
        <v>EPSG</v>
      </c>
      <c r="F5653" s="7" t="str">
        <v>21459</v>
      </c>
      <c r="G5653" t="str">
        <v>ProjectedCrs</v>
      </c>
      <c r="H5653" t="str">
        <v>Transverse Mercator</v>
      </c>
      <c r="I5653" t="str">
        <v>Beijing 1954 / Gauss-Kruger CM 111E</v>
      </c>
      <c r="J5653" t="str">
        <v>China - onshore between 108°E and 114°E.</v>
      </c>
      <c r="K5653" s="11">
        <v>0</v>
      </c>
    </row>
    <row r="5654" spans="5:11" x14ac:dyDescent="0.35">
      <c r="E5654" s="9" t="str">
        <v>EPSG</v>
      </c>
      <c r="F5654" s="7" t="str">
        <v>21460</v>
      </c>
      <c r="G5654" t="str">
        <v>ProjectedCrs</v>
      </c>
      <c r="H5654" t="str">
        <v>Transverse Mercator</v>
      </c>
      <c r="I5654" t="str">
        <v>Beijing 1954 / Gauss-Kruger CM 117E</v>
      </c>
      <c r="J5654" t="str">
        <v>China - onshore between 114°E and 120°E.</v>
      </c>
      <c r="K5654" s="11">
        <v>0</v>
      </c>
    </row>
    <row r="5655" spans="5:11" x14ac:dyDescent="0.35">
      <c r="E5655" s="9" t="str">
        <v>EPSG</v>
      </c>
      <c r="F5655" s="7" t="str">
        <v>21461</v>
      </c>
      <c r="G5655" t="str">
        <v>ProjectedCrs</v>
      </c>
      <c r="H5655" t="str">
        <v>Transverse Mercator</v>
      </c>
      <c r="I5655" t="str">
        <v>Beijing 1954 / Gauss-Kruger CM 123E</v>
      </c>
      <c r="J5655" t="str">
        <v>China - onshore between 120°E and 126°E.</v>
      </c>
      <c r="K5655" s="11">
        <v>0</v>
      </c>
    </row>
    <row r="5656" spans="5:11" x14ac:dyDescent="0.35">
      <c r="E5656" s="9" t="str">
        <v>EPSG</v>
      </c>
      <c r="F5656" s="7" t="str">
        <v>21462</v>
      </c>
      <c r="G5656" t="str">
        <v>ProjectedCrs</v>
      </c>
      <c r="H5656" t="str">
        <v>Transverse Mercator</v>
      </c>
      <c r="I5656" t="str">
        <v>Beijing 1954 / Gauss-Kruger CM 129E</v>
      </c>
      <c r="J5656" t="str">
        <v>China - onshore between 126°E and 132°E.</v>
      </c>
      <c r="K5656" s="11">
        <v>0</v>
      </c>
    </row>
    <row r="5657" spans="5:11" x14ac:dyDescent="0.35">
      <c r="E5657" s="9" t="str">
        <v>EPSG</v>
      </c>
      <c r="F5657" s="7" t="str">
        <v>21463</v>
      </c>
      <c r="G5657" t="str">
        <v>ProjectedCrs</v>
      </c>
      <c r="H5657" t="str">
        <v>Transverse Mercator</v>
      </c>
      <c r="I5657" t="str">
        <v>Beijing 1954 / Gauss-Kruger CM 135E</v>
      </c>
      <c r="J5657" t="str">
        <v>China - east of 132°E.</v>
      </c>
      <c r="K5657" s="11">
        <v>0</v>
      </c>
    </row>
    <row r="5658" spans="5:11" x14ac:dyDescent="0.35">
      <c r="E5658" s="9" t="str">
        <v>EPSG</v>
      </c>
      <c r="F5658" s="7" t="str">
        <v>21500</v>
      </c>
      <c r="G5658" t="str">
        <v>ProjectedCrs</v>
      </c>
      <c r="H5658" t="str">
        <v>Lambert Conic Conformal (2SP)</v>
      </c>
      <c r="I5658" t="str">
        <v>BD50 (Brussels) / Belge Lambert 50</v>
      </c>
      <c r="J5658" t="str">
        <v>Belgium - onshore.</v>
      </c>
      <c r="K5658" s="11">
        <v>0</v>
      </c>
    </row>
    <row r="5659" spans="5:11" x14ac:dyDescent="0.35">
      <c r="E5659" s="9" t="str">
        <v>EPSG</v>
      </c>
      <c r="F5659" s="7" t="str">
        <v>21780</v>
      </c>
      <c r="G5659" t="str">
        <v>ProjectedCrs</v>
      </c>
      <c r="H5659" t="str">
        <v>Hotine Oblique Mercator (variant B)</v>
      </c>
      <c r="I5659" t="str">
        <v>CH1903 (Bern) / LV03C</v>
      </c>
      <c r="J5659" t="str">
        <v>Liechtenstein; Switzerland.</v>
      </c>
      <c r="K5659" s="11">
        <v>0</v>
      </c>
    </row>
    <row r="5660" spans="5:11" x14ac:dyDescent="0.35">
      <c r="E5660" s="9" t="str">
        <v>EPSG</v>
      </c>
      <c r="F5660" s="7" t="str">
        <v>21781</v>
      </c>
      <c r="G5660" t="str">
        <v>ProjectedCrs</v>
      </c>
      <c r="H5660" t="str">
        <v>Hotine Oblique Mercator (variant B)</v>
      </c>
      <c r="I5660" t="str">
        <v>CH1903 / LV03</v>
      </c>
      <c r="J5660" t="str">
        <v>Liechtenstein; Switzerland.</v>
      </c>
      <c r="K5660" s="11">
        <v>0</v>
      </c>
    </row>
    <row r="5661" spans="5:11" x14ac:dyDescent="0.35">
      <c r="E5661" s="9" t="str">
        <v>EPSG</v>
      </c>
      <c r="F5661" s="7" t="str">
        <v>21782</v>
      </c>
      <c r="G5661" t="str">
        <v>ProjectedCrs</v>
      </c>
      <c r="H5661" t="str">
        <v>Hotine Oblique Mercator (variant B)</v>
      </c>
      <c r="I5661" t="str">
        <v>CH1903 / LV03C-G</v>
      </c>
      <c r="J5661" t="str">
        <v>Liechtenstein.</v>
      </c>
      <c r="K5661" s="11">
        <v>0</v>
      </c>
    </row>
    <row r="5662" spans="5:11" x14ac:dyDescent="0.35">
      <c r="E5662" s="9" t="str">
        <v>EPSG</v>
      </c>
      <c r="F5662" s="7" t="str">
        <v>21818</v>
      </c>
      <c r="G5662" t="str">
        <v>ProjectedCrs</v>
      </c>
      <c r="H5662" t="str">
        <v>Transverse Mercator</v>
      </c>
      <c r="I5662" t="str">
        <v>Bogota 1975 / UTM zone 18N</v>
      </c>
      <c r="J5662" t="str">
        <v>Colombia - offshore Caribbean west of 72°W of Greenwich.</v>
      </c>
      <c r="K5662" s="11">
        <v>0</v>
      </c>
    </row>
    <row r="5663" spans="5:11" x14ac:dyDescent="0.35">
      <c r="E5663" s="9" t="str">
        <v>EPSG</v>
      </c>
      <c r="F5663" s="7" t="str">
        <v>21896</v>
      </c>
      <c r="G5663" t="str">
        <v>ProjectedCrs</v>
      </c>
      <c r="H5663" t="str">
        <v>Transverse Mercator</v>
      </c>
      <c r="I5663" t="str">
        <v>Bogota 1975 / Colombia West zone</v>
      </c>
      <c r="J5663" t="str">
        <v>Colombia - mainland onshore west of 1°30'W of Bogota (approximately 75°35'W of Greenwich).</v>
      </c>
      <c r="K5663" s="11">
        <v>0</v>
      </c>
    </row>
    <row r="5664" spans="5:11" x14ac:dyDescent="0.35">
      <c r="E5664" s="9" t="str">
        <v>EPSG</v>
      </c>
      <c r="F5664" s="7" t="str">
        <v>21897</v>
      </c>
      <c r="G5664" t="str">
        <v>ProjectedCrs</v>
      </c>
      <c r="H5664" t="str">
        <v>Transverse Mercator</v>
      </c>
      <c r="I5664" t="str">
        <v>Bogota 1975 / Colombia Bogota zone</v>
      </c>
      <c r="J5664" t="str">
        <v>Colombia - onshore between 1°30'W and 1°30'E of Bogota (approximately 75°35'W and 72°35'W of Greenwich).</v>
      </c>
      <c r="K5664" s="11">
        <v>0</v>
      </c>
    </row>
    <row r="5665" spans="5:11" x14ac:dyDescent="0.35">
      <c r="E5665" s="9" t="str">
        <v>EPSG</v>
      </c>
      <c r="F5665" s="7" t="str">
        <v>21898</v>
      </c>
      <c r="G5665" t="str">
        <v>ProjectedCrs</v>
      </c>
      <c r="H5665" t="str">
        <v>Transverse Mercator</v>
      </c>
      <c r="I5665" t="str">
        <v>Bogota 1975 / Colombia East Central zone</v>
      </c>
      <c r="J5665" t="str">
        <v>Colombia - onshore between 1°30'E and 4°30'E of Bogota (approximately 72°35'W and 69°35'W of Greenwich).</v>
      </c>
      <c r="K5665" s="11">
        <v>0</v>
      </c>
    </row>
    <row r="5666" spans="5:11" x14ac:dyDescent="0.35">
      <c r="E5666" s="9" t="str">
        <v>EPSG</v>
      </c>
      <c r="F5666" s="7" t="str">
        <v>21899</v>
      </c>
      <c r="G5666" t="str">
        <v>ProjectedCrs</v>
      </c>
      <c r="H5666" t="str">
        <v>Transverse Mercator</v>
      </c>
      <c r="I5666" t="str">
        <v>Bogota 1975 / Colombia East zone</v>
      </c>
      <c r="J5666" t="str">
        <v>Colombia - east of 4°30'E of Bogota (approximately 69°35'W of Greenwich).</v>
      </c>
      <c r="K5666" s="11">
        <v>0</v>
      </c>
    </row>
    <row r="5667" spans="5:11" x14ac:dyDescent="0.35">
      <c r="E5667" s="9" t="str">
        <v>EPSG</v>
      </c>
      <c r="F5667" s="7" t="str">
        <v>22032</v>
      </c>
      <c r="G5667" t="str">
        <v>ProjectedCrs</v>
      </c>
      <c r="H5667" t="str">
        <v>Transverse Mercator</v>
      </c>
      <c r="I5667" t="str">
        <v>Camacupa 1948 / UTM zone 32S</v>
      </c>
      <c r="J5667" t="str">
        <v>Angola - Angola proper - offshore - west of 12°E.</v>
      </c>
      <c r="K5667" s="11">
        <v>0</v>
      </c>
    </row>
    <row r="5668" spans="5:11" x14ac:dyDescent="0.35">
      <c r="E5668" s="9" t="str">
        <v>EPSG</v>
      </c>
      <c r="F5668" s="7" t="str">
        <v>22033</v>
      </c>
      <c r="G5668" t="str">
        <v>ProjectedCrs</v>
      </c>
      <c r="H5668" t="str">
        <v>Transverse Mercator</v>
      </c>
      <c r="I5668" t="str">
        <v>Camacupa 1948 / UTM zone 33S</v>
      </c>
      <c r="J5668" t="str">
        <v>Angola - Angola proper between 12°E and 18°E.</v>
      </c>
      <c r="K5668" s="11">
        <v>0</v>
      </c>
    </row>
    <row r="5669" spans="5:11" x14ac:dyDescent="0.35">
      <c r="E5669" s="9" t="str">
        <v>EPSG</v>
      </c>
      <c r="F5669" s="7" t="str">
        <v>22091</v>
      </c>
      <c r="G5669" t="str">
        <v>ProjectedCrs</v>
      </c>
      <c r="H5669" t="str">
        <v>Transverse Mercator</v>
      </c>
      <c r="I5669" t="str">
        <v>Camacupa 1948 / TM 11.30 SE</v>
      </c>
      <c r="J5669" t="str">
        <v>Angola - offshore block 15.</v>
      </c>
      <c r="K5669" s="11">
        <v>0</v>
      </c>
    </row>
    <row r="5670" spans="5:11" x14ac:dyDescent="0.35">
      <c r="E5670" s="9" t="str">
        <v>EPSG</v>
      </c>
      <c r="F5670" s="7" t="str">
        <v>22092</v>
      </c>
      <c r="G5670" t="str">
        <v>ProjectedCrs</v>
      </c>
      <c r="H5670" t="str">
        <v>Transverse Mercator</v>
      </c>
      <c r="I5670" t="str">
        <v>Camacupa 1948 / TM 12 SE</v>
      </c>
      <c r="J5670" t="str">
        <v>Angola - Angola proper - offshore.</v>
      </c>
      <c r="K5670" s="11">
        <v>0</v>
      </c>
    </row>
    <row r="5671" spans="5:11" x14ac:dyDescent="0.35">
      <c r="E5671" s="9" t="str">
        <v>EPSG</v>
      </c>
      <c r="F5671" s="7" t="str">
        <v>22171</v>
      </c>
      <c r="G5671" t="str">
        <v>ProjectedCrs</v>
      </c>
      <c r="H5671" t="str">
        <v>Transverse Mercator</v>
      </c>
      <c r="I5671" t="str">
        <v>POSGAR 98 / Argentina 1</v>
      </c>
      <c r="J5671" t="str">
        <v>Argentina - west of 70°30'W.</v>
      </c>
      <c r="K5671" s="11">
        <v>0</v>
      </c>
    </row>
    <row r="5672" spans="5:11" x14ac:dyDescent="0.35">
      <c r="E5672" s="9" t="str">
        <v>EPSG</v>
      </c>
      <c r="F5672" s="7" t="str">
        <v>22172</v>
      </c>
      <c r="G5672" t="str">
        <v>ProjectedCrs</v>
      </c>
      <c r="H5672" t="str">
        <v>Transverse Mercator</v>
      </c>
      <c r="I5672" t="str">
        <v>POSGAR 98 / Argentina 2</v>
      </c>
      <c r="J5672" t="str">
        <v>Argentina - between 70°30'W and 67°30'W, onshore.</v>
      </c>
      <c r="K5672" s="11">
        <v>0</v>
      </c>
    </row>
    <row r="5673" spans="5:11" x14ac:dyDescent="0.35">
      <c r="E5673" s="9" t="str">
        <v>EPSG</v>
      </c>
      <c r="F5673" s="7" t="str">
        <v>22173</v>
      </c>
      <c r="G5673" t="str">
        <v>ProjectedCrs</v>
      </c>
      <c r="H5673" t="str">
        <v>Transverse Mercator</v>
      </c>
      <c r="I5673" t="str">
        <v>POSGAR 98 / Argentina 3</v>
      </c>
      <c r="J5673" t="str">
        <v>Argentina - between 67°30'W and 64°30'W, onshore.</v>
      </c>
      <c r="K5673" s="11">
        <v>0</v>
      </c>
    </row>
    <row r="5674" spans="5:11" x14ac:dyDescent="0.35">
      <c r="E5674" s="9" t="str">
        <v>EPSG</v>
      </c>
      <c r="F5674" s="7" t="str">
        <v>22174</v>
      </c>
      <c r="G5674" t="str">
        <v>ProjectedCrs</v>
      </c>
      <c r="H5674" t="str">
        <v>Transverse Mercator</v>
      </c>
      <c r="I5674" t="str">
        <v>POSGAR 98 / Argentina 4</v>
      </c>
      <c r="J5674" t="str">
        <v>Argentina - between 64°30'W and 61°30'W, onshore.</v>
      </c>
      <c r="K5674" s="11">
        <v>0</v>
      </c>
    </row>
    <row r="5675" spans="5:11" x14ac:dyDescent="0.35">
      <c r="E5675" s="9" t="str">
        <v>EPSG</v>
      </c>
      <c r="F5675" s="7" t="str">
        <v>22175</v>
      </c>
      <c r="G5675" t="str">
        <v>ProjectedCrs</v>
      </c>
      <c r="H5675" t="str">
        <v>Transverse Mercator</v>
      </c>
      <c r="I5675" t="str">
        <v>POSGAR 98 / Argentina 5</v>
      </c>
      <c r="J5675" t="str">
        <v>Argentina - between 61°30'W and 58°30'W onshore.</v>
      </c>
      <c r="K5675" s="11">
        <v>0</v>
      </c>
    </row>
    <row r="5676" spans="5:11" x14ac:dyDescent="0.35">
      <c r="E5676" s="9" t="str">
        <v>EPSG</v>
      </c>
      <c r="F5676" s="7" t="str">
        <v>22176</v>
      </c>
      <c r="G5676" t="str">
        <v>ProjectedCrs</v>
      </c>
      <c r="H5676" t="str">
        <v>Transverse Mercator</v>
      </c>
      <c r="I5676" t="str">
        <v>POSGAR 98 / Argentina 6</v>
      </c>
      <c r="J5676" t="str">
        <v>Argentina - between 58°30'W and 55°30'W, onshore.</v>
      </c>
      <c r="K5676" s="11">
        <v>0</v>
      </c>
    </row>
    <row r="5677" spans="5:11" x14ac:dyDescent="0.35">
      <c r="E5677" s="9" t="str">
        <v>EPSG</v>
      </c>
      <c r="F5677" s="7" t="str">
        <v>22177</v>
      </c>
      <c r="G5677" t="str">
        <v>ProjectedCrs</v>
      </c>
      <c r="H5677" t="str">
        <v>Transverse Mercator</v>
      </c>
      <c r="I5677" t="str">
        <v>POSGAR 98 / Argentina 7</v>
      </c>
      <c r="J5677" t="str">
        <v>Argentina - east of 55°30'W, onshore.</v>
      </c>
      <c r="K5677" s="11">
        <v>0</v>
      </c>
    </row>
    <row r="5678" spans="5:11" x14ac:dyDescent="0.35">
      <c r="E5678" s="9" t="str">
        <v>EPSG</v>
      </c>
      <c r="F5678" s="7" t="str">
        <v>22181</v>
      </c>
      <c r="G5678" t="str">
        <v>ProjectedCrs</v>
      </c>
      <c r="H5678" t="str">
        <v>Transverse Mercator</v>
      </c>
      <c r="I5678" t="str">
        <v>POSGAR 94 / Argentina 1</v>
      </c>
      <c r="J5678" t="str">
        <v>Argentina - west of 70°30'W.</v>
      </c>
      <c r="K5678" s="11">
        <v>0</v>
      </c>
    </row>
    <row r="5679" spans="5:11" x14ac:dyDescent="0.35">
      <c r="E5679" s="9" t="str">
        <v>EPSG</v>
      </c>
      <c r="F5679" s="7" t="str">
        <v>22182</v>
      </c>
      <c r="G5679" t="str">
        <v>ProjectedCrs</v>
      </c>
      <c r="H5679" t="str">
        <v>Transverse Mercator</v>
      </c>
      <c r="I5679" t="str">
        <v>POSGAR 94 / Argentina 2</v>
      </c>
      <c r="J5679" t="str">
        <v>Argentina - between 70°30'W and 67°30'W, onshore.</v>
      </c>
      <c r="K5679" s="11">
        <v>0</v>
      </c>
    </row>
    <row r="5680" spans="5:11" x14ac:dyDescent="0.35">
      <c r="E5680" s="9" t="str">
        <v>EPSG</v>
      </c>
      <c r="F5680" s="7" t="str">
        <v>22183</v>
      </c>
      <c r="G5680" t="str">
        <v>ProjectedCrs</v>
      </c>
      <c r="H5680" t="str">
        <v>Transverse Mercator</v>
      </c>
      <c r="I5680" t="str">
        <v>POSGAR 94 / Argentina 3</v>
      </c>
      <c r="J5680" t="str">
        <v>Argentina - between 67°30'W and 64°30'W, onshore.</v>
      </c>
      <c r="K5680" s="11">
        <v>0</v>
      </c>
    </row>
    <row r="5681" spans="5:11" x14ac:dyDescent="0.35">
      <c r="E5681" s="9" t="str">
        <v>EPSG</v>
      </c>
      <c r="F5681" s="7" t="str">
        <v>22184</v>
      </c>
      <c r="G5681" t="str">
        <v>ProjectedCrs</v>
      </c>
      <c r="H5681" t="str">
        <v>Transverse Mercator</v>
      </c>
      <c r="I5681" t="str">
        <v>POSGAR 94 / Argentina 4</v>
      </c>
      <c r="J5681" t="str">
        <v>Argentina - between 64°30'W and 61°30'W, onshore.</v>
      </c>
      <c r="K5681" s="11">
        <v>0</v>
      </c>
    </row>
    <row r="5682" spans="5:11" x14ac:dyDescent="0.35">
      <c r="E5682" s="9" t="str">
        <v>EPSG</v>
      </c>
      <c r="F5682" s="7" t="str">
        <v>22185</v>
      </c>
      <c r="G5682" t="str">
        <v>ProjectedCrs</v>
      </c>
      <c r="H5682" t="str">
        <v>Transverse Mercator</v>
      </c>
      <c r="I5682" t="str">
        <v>POSGAR 94 / Argentina 5</v>
      </c>
      <c r="J5682" t="str">
        <v>Argentina - between 61°30'W and 58°30'W onshore.</v>
      </c>
      <c r="K5682" s="11">
        <v>0</v>
      </c>
    </row>
    <row r="5683" spans="5:11" x14ac:dyDescent="0.35">
      <c r="E5683" s="9" t="str">
        <v>EPSG</v>
      </c>
      <c r="F5683" s="7" t="str">
        <v>22186</v>
      </c>
      <c r="G5683" t="str">
        <v>ProjectedCrs</v>
      </c>
      <c r="H5683" t="str">
        <v>Transverse Mercator</v>
      </c>
      <c r="I5683" t="str">
        <v>POSGAR 94 / Argentina 6</v>
      </c>
      <c r="J5683" t="str">
        <v>Argentina - between 58°30'W and 55°30'W, onshore.</v>
      </c>
      <c r="K5683" s="11">
        <v>0</v>
      </c>
    </row>
    <row r="5684" spans="5:11" x14ac:dyDescent="0.35">
      <c r="E5684" s="9" t="str">
        <v>EPSG</v>
      </c>
      <c r="F5684" s="7" t="str">
        <v>22187</v>
      </c>
      <c r="G5684" t="str">
        <v>ProjectedCrs</v>
      </c>
      <c r="H5684" t="str">
        <v>Transverse Mercator</v>
      </c>
      <c r="I5684" t="str">
        <v>POSGAR 94 / Argentina 7</v>
      </c>
      <c r="J5684" t="str">
        <v>Argentina - east of 55°30'W, onshore.</v>
      </c>
      <c r="K5684" s="11">
        <v>0</v>
      </c>
    </row>
    <row r="5685" spans="5:11" x14ac:dyDescent="0.35">
      <c r="E5685" s="9" t="str">
        <v>EPSG</v>
      </c>
      <c r="F5685" s="7" t="str">
        <v>22191</v>
      </c>
      <c r="G5685" t="str">
        <v>ProjectedCrs</v>
      </c>
      <c r="H5685" t="str">
        <v>Transverse Mercator</v>
      </c>
      <c r="I5685" t="str">
        <v>Campo Inchauspe / Argentina 1</v>
      </c>
      <c r="J5685" t="str">
        <v>Argentina - west of 70°30'W.</v>
      </c>
      <c r="K5685" s="11">
        <v>0</v>
      </c>
    </row>
    <row r="5686" spans="5:11" x14ac:dyDescent="0.35">
      <c r="E5686" s="9" t="str">
        <v>EPSG</v>
      </c>
      <c r="F5686" s="7" t="str">
        <v>22192</v>
      </c>
      <c r="G5686" t="str">
        <v>ProjectedCrs</v>
      </c>
      <c r="H5686" t="str">
        <v>Transverse Mercator</v>
      </c>
      <c r="I5686" t="str">
        <v>Campo Inchauspe / Argentina 2</v>
      </c>
      <c r="J5686" t="str">
        <v>Argentina - between 70°30'W and 67°30'W, onshore mainland.</v>
      </c>
      <c r="K5686" s="11">
        <v>0</v>
      </c>
    </row>
    <row r="5687" spans="5:11" x14ac:dyDescent="0.35">
      <c r="E5687" s="9" t="str">
        <v>EPSG</v>
      </c>
      <c r="F5687" s="7" t="str">
        <v>22193</v>
      </c>
      <c r="G5687" t="str">
        <v>ProjectedCrs</v>
      </c>
      <c r="H5687" t="str">
        <v>Transverse Mercator</v>
      </c>
      <c r="I5687" t="str">
        <v>Campo Inchauspe / Argentina 3</v>
      </c>
      <c r="J5687" t="str">
        <v>Argentina - between 67°30'W and 64°30'W, onshore mainland.</v>
      </c>
      <c r="K5687" s="11">
        <v>0</v>
      </c>
    </row>
    <row r="5688" spans="5:11" x14ac:dyDescent="0.35">
      <c r="E5688" s="9" t="str">
        <v>EPSG</v>
      </c>
      <c r="F5688" s="7" t="str">
        <v>22194</v>
      </c>
      <c r="G5688" t="str">
        <v>ProjectedCrs</v>
      </c>
      <c r="H5688" t="str">
        <v>Transverse Mercator</v>
      </c>
      <c r="I5688" t="str">
        <v>Campo Inchauspe / Argentina 4</v>
      </c>
      <c r="J5688" t="str">
        <v>Argentina - between 64°30'W and 61°30'W, onshore mainland.</v>
      </c>
      <c r="K5688" s="11">
        <v>0</v>
      </c>
    </row>
    <row r="5689" spans="5:11" x14ac:dyDescent="0.35">
      <c r="E5689" s="9" t="str">
        <v>EPSG</v>
      </c>
      <c r="F5689" s="7" t="str">
        <v>22195</v>
      </c>
      <c r="G5689" t="str">
        <v>ProjectedCrs</v>
      </c>
      <c r="H5689" t="str">
        <v>Transverse Mercator</v>
      </c>
      <c r="I5689" t="str">
        <v>Campo Inchauspe / Argentina 5</v>
      </c>
      <c r="J5689" t="str">
        <v>Argentina - between 61°30'W and 58°30'W onshore.</v>
      </c>
      <c r="K5689" s="11">
        <v>0</v>
      </c>
    </row>
    <row r="5690" spans="5:11" x14ac:dyDescent="0.35">
      <c r="E5690" s="9" t="str">
        <v>EPSG</v>
      </c>
      <c r="F5690" s="7" t="str">
        <v>22196</v>
      </c>
      <c r="G5690" t="str">
        <v>ProjectedCrs</v>
      </c>
      <c r="H5690" t="str">
        <v>Transverse Mercator</v>
      </c>
      <c r="I5690" t="str">
        <v>Campo Inchauspe / Argentina 6</v>
      </c>
      <c r="J5690" t="str">
        <v>Argentina - between 58°30'W and 55°30'W, onshore.</v>
      </c>
      <c r="K5690" s="11">
        <v>0</v>
      </c>
    </row>
    <row r="5691" spans="5:11" x14ac:dyDescent="0.35">
      <c r="E5691" s="9" t="str">
        <v>EPSG</v>
      </c>
      <c r="F5691" s="7" t="str">
        <v>22197</v>
      </c>
      <c r="G5691" t="str">
        <v>ProjectedCrs</v>
      </c>
      <c r="H5691" t="str">
        <v>Transverse Mercator</v>
      </c>
      <c r="I5691" t="str">
        <v>Campo Inchauspe / Argentina 7</v>
      </c>
      <c r="J5691" t="str">
        <v>Argentina - east of 55°30'W, onshore.</v>
      </c>
      <c r="K5691" s="11">
        <v>0</v>
      </c>
    </row>
    <row r="5692" spans="5:11" x14ac:dyDescent="0.35">
      <c r="E5692" s="9" t="str">
        <v>EPSG</v>
      </c>
      <c r="F5692" s="7" t="str">
        <v>22207</v>
      </c>
      <c r="G5692" t="str">
        <v>ProjectedCrs</v>
      </c>
      <c r="H5692" t="str">
        <v>Transverse Mercator</v>
      </c>
      <c r="I5692" t="str">
        <v>NAD83(CSRS)v2 / UTM zone 7N</v>
      </c>
      <c r="J5692" t="str">
        <v>Canada west of 138°W, onshore and offshore south of 84°N - British Columbia, Yukon.</v>
      </c>
      <c r="K5692" s="11">
        <v>0</v>
      </c>
    </row>
    <row r="5693" spans="5:11" x14ac:dyDescent="0.35">
      <c r="E5693" s="9" t="str">
        <v>EPSG</v>
      </c>
      <c r="F5693" s="7" t="str">
        <v>22208</v>
      </c>
      <c r="G5693" t="str">
        <v>ProjectedCrs</v>
      </c>
      <c r="H5693" t="str">
        <v>Transverse Mercator</v>
      </c>
      <c r="I5693" t="str">
        <v>NAD83(CSRS)v2 / UTM zone 8N</v>
      </c>
      <c r="J5693" t="str">
        <v>Canada between 138°W and 132°W, onshore and offshore south of 84°N - British Columbia, Northwest Territories, Yukon.</v>
      </c>
      <c r="K5693" s="11">
        <v>0</v>
      </c>
    </row>
    <row r="5694" spans="5:11" x14ac:dyDescent="0.35">
      <c r="E5694" s="9" t="str">
        <v>EPSG</v>
      </c>
      <c r="F5694" s="7" t="str">
        <v>22209</v>
      </c>
      <c r="G5694" t="str">
        <v>ProjectedCrs</v>
      </c>
      <c r="H5694" t="str">
        <v>Transverse Mercator</v>
      </c>
      <c r="I5694" t="str">
        <v>NAD83(CSRS)v2 / UTM zone 9N</v>
      </c>
      <c r="J5694" t="str">
        <v>Canada - between 132°W and 126°W, onshore and offshore south of 84°N - British Columbia, Northwest Territories, Yukon.</v>
      </c>
      <c r="K5694" s="11">
        <v>0</v>
      </c>
    </row>
    <row r="5695" spans="5:11" x14ac:dyDescent="0.35">
      <c r="E5695" s="9" t="str">
        <v>EPSG</v>
      </c>
      <c r="F5695" s="7" t="str">
        <v>22210</v>
      </c>
      <c r="G5695" t="str">
        <v>ProjectedCrs</v>
      </c>
      <c r="H5695" t="str">
        <v>Transverse Mercator</v>
      </c>
      <c r="I5695" t="str">
        <v>NAD83(CSRS)v2 / UTM zone 10N</v>
      </c>
      <c r="J5695" t="str">
        <v>Canada between 126°W and 120°W, onshore and offshore south of 84°N - British Columbia, Northwest Territories, Yukon.</v>
      </c>
      <c r="K5695" s="11">
        <v>0</v>
      </c>
    </row>
    <row r="5696" spans="5:11" x14ac:dyDescent="0.35">
      <c r="E5696" s="9" t="str">
        <v>EPSG</v>
      </c>
      <c r="F5696" s="7" t="str">
        <v>22211</v>
      </c>
      <c r="G5696" t="str">
        <v>ProjectedCrs</v>
      </c>
      <c r="H5696" t="str">
        <v>Transverse Mercator</v>
      </c>
      <c r="I5696" t="str">
        <v>NAD83(CSRS)v2 / UTM zone 11N</v>
      </c>
      <c r="J5696" t="str">
        <v>Canada between 120°W and 114°W onshore and offshore - Alberta, British Columbia, Northwest Territories, Nunavut.</v>
      </c>
      <c r="K5696" s="11">
        <v>0</v>
      </c>
    </row>
    <row r="5697" spans="5:11" x14ac:dyDescent="0.35">
      <c r="E5697" s="9" t="str">
        <v>EPSG</v>
      </c>
      <c r="F5697" s="7" t="str">
        <v>22212</v>
      </c>
      <c r="G5697" t="str">
        <v>ProjectedCrs</v>
      </c>
      <c r="H5697" t="str">
        <v>Transverse Mercator</v>
      </c>
      <c r="I5697" t="str">
        <v>NAD83(CSRS)v2 / UTM zone 12N</v>
      </c>
      <c r="J5697" t="str">
        <v>Canada between 114°W and 108°W onshore and offshore - Alberta, Northwest Territories, Nunavut, Saskatchewan.</v>
      </c>
      <c r="K5697" s="11">
        <v>0</v>
      </c>
    </row>
    <row r="5698" spans="5:11" x14ac:dyDescent="0.35">
      <c r="E5698" s="9" t="str">
        <v>EPSG</v>
      </c>
      <c r="F5698" s="7" t="str">
        <v>22213</v>
      </c>
      <c r="G5698" t="str">
        <v>ProjectedCrs</v>
      </c>
      <c r="H5698" t="str">
        <v>Transverse Mercator</v>
      </c>
      <c r="I5698" t="str">
        <v>NAD83(CSRS)v2 / UTM zone 13N</v>
      </c>
      <c r="J5698" t="str">
        <v>Canada - Saskatchewan.</v>
      </c>
      <c r="K5698" s="11">
        <v>0</v>
      </c>
    </row>
    <row r="5699" spans="5:11" x14ac:dyDescent="0.35">
      <c r="E5699" s="9" t="str">
        <v>EPSG</v>
      </c>
      <c r="F5699" s="7" t="str">
        <v>22213</v>
      </c>
      <c r="G5699" t="str">
        <v>ProjectedCrs</v>
      </c>
      <c r="H5699" t="str">
        <v>Transverse Mercator</v>
      </c>
      <c r="I5699" t="str">
        <v>NAD83(CSRS)v2 / UTM zone 13N</v>
      </c>
      <c r="J5699" t="str">
        <v>Canada between 108°W and 102°W onshore and offshore - Northwest Territories, Nunavut, Saskatchewan.</v>
      </c>
      <c r="K5699" s="11">
        <v>0</v>
      </c>
    </row>
    <row r="5700" spans="5:11" x14ac:dyDescent="0.35">
      <c r="E5700" s="9" t="str">
        <v>EPSG</v>
      </c>
      <c r="F5700" s="7" t="str">
        <v>22214</v>
      </c>
      <c r="G5700" t="str">
        <v>ProjectedCrs</v>
      </c>
      <c r="H5700" t="str">
        <v>Transverse Mercator</v>
      </c>
      <c r="I5700" t="str">
        <v>NAD83(CSRS)v2 / UTM zone 14N</v>
      </c>
      <c r="J5700" t="str">
        <v>Canada between 102°W and 96°W, onshore and offshore south of 84°N - Manitoba, Nunavut, Saskatchewan.</v>
      </c>
      <c r="K5700" s="11">
        <v>0</v>
      </c>
    </row>
    <row r="5701" spans="5:11" x14ac:dyDescent="0.35">
      <c r="E5701" s="9" t="str">
        <v>EPSG</v>
      </c>
      <c r="F5701" s="7" t="str">
        <v>22215</v>
      </c>
      <c r="G5701" t="str">
        <v>ProjectedCrs</v>
      </c>
      <c r="H5701" t="str">
        <v>Transverse Mercator</v>
      </c>
      <c r="I5701" t="str">
        <v>NAD83(CSRS)v2 / UTM zone 15N</v>
      </c>
      <c r="J5701" t="str">
        <v>Canada between 96°W and 90°W, onshore and offshore south of 84°N - Manitoba, Nunavut, Ontario.</v>
      </c>
      <c r="K5701" s="11">
        <v>0</v>
      </c>
    </row>
    <row r="5702" spans="5:11" x14ac:dyDescent="0.35">
      <c r="E5702" s="9" t="str">
        <v>EPSG</v>
      </c>
      <c r="F5702" s="7" t="str">
        <v>22216</v>
      </c>
      <c r="G5702" t="str">
        <v>ProjectedCrs</v>
      </c>
      <c r="H5702" t="str">
        <v>Transverse Mercator</v>
      </c>
      <c r="I5702" t="str">
        <v>NAD83(CSRS)v2 / UTM zone 16N</v>
      </c>
      <c r="J5702" t="str">
        <v>Canada between 90°W and 84°W, onshore and offshore south of 84°N - Manitoba, Nunavut, Ontario.</v>
      </c>
      <c r="K5702" s="11">
        <v>0</v>
      </c>
    </row>
    <row r="5703" spans="5:11" x14ac:dyDescent="0.35">
      <c r="E5703" s="9" t="str">
        <v>EPSG</v>
      </c>
      <c r="F5703" s="7" t="str">
        <v>22217</v>
      </c>
      <c r="G5703" t="str">
        <v>ProjectedCrs</v>
      </c>
      <c r="H5703" t="str">
        <v>Transverse Mercator</v>
      </c>
      <c r="I5703" t="str">
        <v>NAD83(CSRS)v2 / UTM zone 17N</v>
      </c>
      <c r="J5703" t="str">
        <v>Canada between 84°W and 78°W, onshore and offshore south of 84°N - Nunavut, Ontario and Quebec.</v>
      </c>
      <c r="K5703" s="11">
        <v>0</v>
      </c>
    </row>
    <row r="5704" spans="5:11" x14ac:dyDescent="0.35">
      <c r="E5704" s="9" t="str">
        <v>EPSG</v>
      </c>
      <c r="F5704" s="7" t="str">
        <v>22218</v>
      </c>
      <c r="G5704" t="str">
        <v>ProjectedCrs</v>
      </c>
      <c r="H5704" t="str">
        <v>Transverse Mercator</v>
      </c>
      <c r="I5704" t="str">
        <v>NAD83(CSRS)v2 / UTM zone 18N</v>
      </c>
      <c r="J5704" t="str">
        <v>Canada between 78°W and 72°W, onshore and offshore south of 84°N - Nunavut, Ontario and Quebec.</v>
      </c>
      <c r="K5704" s="11">
        <v>0</v>
      </c>
    </row>
    <row r="5705" spans="5:11" x14ac:dyDescent="0.35">
      <c r="E5705" s="9" t="str">
        <v>EPSG</v>
      </c>
      <c r="F5705" s="7" t="str">
        <v>22219</v>
      </c>
      <c r="G5705" t="str">
        <v>ProjectedCrs</v>
      </c>
      <c r="H5705" t="str">
        <v>Transverse Mercator</v>
      </c>
      <c r="I5705" t="str">
        <v>NAD83(CSRS)v2 / UTM zone 19N</v>
      </c>
      <c r="J5705" t="str">
        <v>Canada between 72°W and 66°W onshore and offshore - New Brunswick, Labrador, Nova Scotia, Nunavut, Quebec.</v>
      </c>
      <c r="K5705" s="11">
        <v>0</v>
      </c>
    </row>
    <row r="5706" spans="5:11" x14ac:dyDescent="0.35">
      <c r="E5706" s="9" t="str">
        <v>EPSG</v>
      </c>
      <c r="F5706" s="7" t="str">
        <v>22220</v>
      </c>
      <c r="G5706" t="str">
        <v>ProjectedCrs</v>
      </c>
      <c r="H5706" t="str">
        <v>Transverse Mercator</v>
      </c>
      <c r="I5706" t="str">
        <v>NAD83(CSRS)v2 / UTM zone 20N</v>
      </c>
      <c r="J5706" t="str">
        <v>Canada between 66°W and 60°W onshore and offshore - New Brunswick, Labrador, Nova Scotia, Nunavut, Prince Edward Island, Quebec.</v>
      </c>
      <c r="K5706" s="11">
        <v>0</v>
      </c>
    </row>
    <row r="5707" spans="5:11" x14ac:dyDescent="0.35">
      <c r="E5707" s="9" t="str">
        <v>EPSG</v>
      </c>
      <c r="F5707" s="7" t="str">
        <v>22221</v>
      </c>
      <c r="G5707" t="str">
        <v>ProjectedCrs</v>
      </c>
      <c r="H5707" t="str">
        <v>Transverse Mercator</v>
      </c>
      <c r="I5707" t="str">
        <v>NAD83(CSRS)v2 / UTM zone 21N</v>
      </c>
      <c r="J5707" t="str">
        <v>Canada between 60°W and 54°W - Newfoundland and Labrador; Nunavut; Quebec.</v>
      </c>
      <c r="K5707" s="11">
        <v>0</v>
      </c>
    </row>
    <row r="5708" spans="5:11" x14ac:dyDescent="0.35">
      <c r="E5708" s="9" t="str">
        <v>EPSG</v>
      </c>
      <c r="F5708" s="7" t="str">
        <v>22222</v>
      </c>
      <c r="G5708" t="str">
        <v>ProjectedCrs</v>
      </c>
      <c r="H5708" t="str">
        <v>Transverse Mercator</v>
      </c>
      <c r="I5708" t="str">
        <v>NAD83(CSRS)v2 / UTM zone 22N</v>
      </c>
      <c r="J5708" t="str">
        <v>Canada between 54°W and 48°W onshore and offshore - Newfoundland and Labrador.</v>
      </c>
      <c r="K5708" s="11">
        <v>0</v>
      </c>
    </row>
    <row r="5709" spans="5:11" x14ac:dyDescent="0.35">
      <c r="E5709" s="9" t="str">
        <v>EPSG</v>
      </c>
      <c r="F5709" s="7" t="str">
        <v>22229</v>
      </c>
      <c r="G5709" t="str">
        <v>ProjectedCrs</v>
      </c>
      <c r="H5709" t="str">
        <v>Transverse Mercator</v>
      </c>
      <c r="I5709" t="str">
        <v>RGSH2020 / UTM zone 29N</v>
      </c>
      <c r="J5709" t="str">
        <v>Algeria - west of 6°W (of Greenwich).</v>
      </c>
      <c r="K5709" s="11">
        <v>0</v>
      </c>
    </row>
    <row r="5710" spans="5:11" x14ac:dyDescent="0.35">
      <c r="E5710" s="9" t="str">
        <v>EPSG</v>
      </c>
      <c r="F5710" s="7" t="str">
        <v>22230</v>
      </c>
      <c r="G5710" t="str">
        <v>ProjectedCrs</v>
      </c>
      <c r="H5710" t="str">
        <v>Transverse Mercator</v>
      </c>
      <c r="I5710" t="str">
        <v>RGSH2020 / UTM zone 30N</v>
      </c>
      <c r="J5710" t="str">
        <v>Algeria - between 6°W and 0°W (of Greenwich), onshore and offshore.</v>
      </c>
      <c r="K5710" s="11">
        <v>0</v>
      </c>
    </row>
    <row r="5711" spans="5:11" x14ac:dyDescent="0.35">
      <c r="E5711" s="9" t="str">
        <v>EPSG</v>
      </c>
      <c r="F5711" s="7" t="str">
        <v>22231</v>
      </c>
      <c r="G5711" t="str">
        <v>ProjectedCrs</v>
      </c>
      <c r="H5711" t="str">
        <v>Transverse Mercator</v>
      </c>
      <c r="I5711" t="str">
        <v>RGSH2020 / UTM zone 31N</v>
      </c>
      <c r="J5711" t="str">
        <v>Algeria - between 0°E and 6°E (of Greenwich), onshore and offshore.</v>
      </c>
      <c r="K5711" s="11">
        <v>0</v>
      </c>
    </row>
    <row r="5712" spans="5:11" x14ac:dyDescent="0.35">
      <c r="E5712" s="9" t="str">
        <v>EPSG</v>
      </c>
      <c r="F5712" s="7" t="str">
        <v>22232</v>
      </c>
      <c r="G5712" t="str">
        <v>ProjectedCrs</v>
      </c>
      <c r="H5712" t="str">
        <v>Transverse Mercator</v>
      </c>
      <c r="I5712" t="str">
        <v>RGSH2020 / UTM zone 32N</v>
      </c>
      <c r="J5712" t="str">
        <v>Algeria - east of 6°E (of Greenwich), onshore and offshore.</v>
      </c>
      <c r="K5712" s="11">
        <v>0</v>
      </c>
    </row>
    <row r="5713" spans="5:11" x14ac:dyDescent="0.35">
      <c r="E5713" s="9" t="str">
        <v>EPSG</v>
      </c>
      <c r="F5713" s="7" t="str">
        <v>22234</v>
      </c>
      <c r="G5713" t="str">
        <v>ProjectedCrs</v>
      </c>
      <c r="H5713" t="str">
        <v>Transverse Mercator</v>
      </c>
      <c r="I5713" t="str">
        <v>Cape / UTM zone 34S</v>
      </c>
      <c r="J5713" t="str">
        <v>Botswana - west of 24°E.</v>
      </c>
      <c r="K5713" s="11">
        <v>0</v>
      </c>
    </row>
    <row r="5714" spans="5:11" x14ac:dyDescent="0.35">
      <c r="E5714" s="9" t="str">
        <v>EPSG</v>
      </c>
      <c r="F5714" s="7" t="str">
        <v>22235</v>
      </c>
      <c r="G5714" t="str">
        <v>ProjectedCrs</v>
      </c>
      <c r="H5714" t="str">
        <v>Transverse Mercator</v>
      </c>
      <c r="I5714" t="str">
        <v>Cape / UTM zone 35S</v>
      </c>
      <c r="J5714" t="str">
        <v>Botswana - east of 24°E.</v>
      </c>
      <c r="K5714" s="11">
        <v>0</v>
      </c>
    </row>
    <row r="5715" spans="5:11" x14ac:dyDescent="0.35">
      <c r="E5715" s="9" t="str">
        <v>EPSG</v>
      </c>
      <c r="F5715" s="7" t="str">
        <v>22239</v>
      </c>
      <c r="G5715" t="str">
        <v>ProjectedCrs</v>
      </c>
      <c r="H5715" t="str">
        <v>Oblique Stereographic</v>
      </c>
      <c r="I5715" t="str">
        <v>NAD83(CSRS)v2 / PEI Stereographic</v>
      </c>
      <c r="J5715" t="str">
        <v>Canada - Prince Edward Island.</v>
      </c>
      <c r="K5715" s="11">
        <v>0</v>
      </c>
    </row>
    <row r="5716" spans="5:11" x14ac:dyDescent="0.35">
      <c r="E5716" s="9" t="str">
        <v>EPSG</v>
      </c>
      <c r="F5716" s="7" t="str">
        <v>22240</v>
      </c>
      <c r="G5716" t="str">
        <v>ProjectedCrs</v>
      </c>
      <c r="H5716" t="str">
        <v>Oblique Stereographic</v>
      </c>
      <c r="I5716" t="str">
        <v>NAD83(CSRS)v2 / NB Stereographic</v>
      </c>
      <c r="J5716" t="str">
        <v>Canada - New Brunswick.</v>
      </c>
      <c r="K5716" s="11">
        <v>0</v>
      </c>
    </row>
    <row r="5717" spans="5:11" x14ac:dyDescent="0.35">
      <c r="E5717" s="9" t="str">
        <v>EPSG</v>
      </c>
      <c r="F5717" s="7" t="str">
        <v>22243</v>
      </c>
      <c r="G5717" t="str">
        <v>ProjectedCrs</v>
      </c>
      <c r="H5717" t="str">
        <v>Transverse Mercator</v>
      </c>
      <c r="I5717" t="str">
        <v>NAD83(CSRS)v2 / SCoPQ zone 3</v>
      </c>
      <c r="J5717" t="str">
        <v>Canada - Quebec - east of 60°W.</v>
      </c>
      <c r="K5717" s="11">
        <v>0</v>
      </c>
    </row>
    <row r="5718" spans="5:11" x14ac:dyDescent="0.35">
      <c r="E5718" s="9" t="str">
        <v>EPSG</v>
      </c>
      <c r="F5718" s="7" t="str">
        <v>22244</v>
      </c>
      <c r="G5718" t="str">
        <v>ProjectedCrs</v>
      </c>
      <c r="H5718" t="str">
        <v>Transverse Mercator</v>
      </c>
      <c r="I5718" t="str">
        <v>NAD83(CSRS)v2 / SCoPQ zone 4</v>
      </c>
      <c r="J5718" t="str">
        <v>Canada - Quebec - between 63°W and 60°W.</v>
      </c>
      <c r="K5718" s="11">
        <v>0</v>
      </c>
    </row>
    <row r="5719" spans="5:11" x14ac:dyDescent="0.35">
      <c r="E5719" s="9" t="str">
        <v>EPSG</v>
      </c>
      <c r="F5719" s="7" t="str">
        <v>22245</v>
      </c>
      <c r="G5719" t="str">
        <v>ProjectedCrs</v>
      </c>
      <c r="H5719" t="str">
        <v>Transverse Mercator</v>
      </c>
      <c r="I5719" t="str">
        <v>NAD83(CSRS)v2 / SCoPQ zone 5</v>
      </c>
      <c r="J5719" t="str">
        <v>Canada - Quebec - between 66°W and 63°W.</v>
      </c>
      <c r="K5719" s="11">
        <v>0</v>
      </c>
    </row>
    <row r="5720" spans="5:11" x14ac:dyDescent="0.35">
      <c r="E5720" s="9" t="str">
        <v>EPSG</v>
      </c>
      <c r="F5720" s="7" t="str">
        <v>22246</v>
      </c>
      <c r="G5720" t="str">
        <v>ProjectedCrs</v>
      </c>
      <c r="H5720" t="str">
        <v>Transverse Mercator</v>
      </c>
      <c r="I5720" t="str">
        <v>NAD83(CSRS)v2 / SCoPQ zone 6</v>
      </c>
      <c r="J5720" t="str">
        <v>Canada - Quebec - between 69°W and 66°W.</v>
      </c>
      <c r="K5720" s="11">
        <v>0</v>
      </c>
    </row>
    <row r="5721" spans="5:11" x14ac:dyDescent="0.35">
      <c r="E5721" s="9" t="str">
        <v>EPSG</v>
      </c>
      <c r="F5721" s="7" t="str">
        <v>22247</v>
      </c>
      <c r="G5721" t="str">
        <v>ProjectedCrs</v>
      </c>
      <c r="H5721" t="str">
        <v>Transverse Mercator</v>
      </c>
      <c r="I5721" t="str">
        <v>NAD83(CSRS)v2 / SCoPQ zone 7</v>
      </c>
      <c r="J5721" t="str">
        <v>Canada - Quebec - between 72°W and 69°W.</v>
      </c>
      <c r="K5721" s="11">
        <v>0</v>
      </c>
    </row>
    <row r="5722" spans="5:11" x14ac:dyDescent="0.35">
      <c r="E5722" s="9" t="str">
        <v>EPSG</v>
      </c>
      <c r="F5722" s="7" t="str">
        <v>22248</v>
      </c>
      <c r="G5722" t="str">
        <v>ProjectedCrs</v>
      </c>
      <c r="H5722" t="str">
        <v>Transverse Mercator</v>
      </c>
      <c r="I5722" t="str">
        <v>NAD83(CSRS)v2 / SCoPQ zone 8</v>
      </c>
      <c r="J5722" t="str">
        <v>Canada - Quebec - between 75°W and 72°W.</v>
      </c>
      <c r="K5722" s="11">
        <v>0</v>
      </c>
    </row>
    <row r="5723" spans="5:11" x14ac:dyDescent="0.35">
      <c r="E5723" s="9" t="str">
        <v>EPSG</v>
      </c>
      <c r="F5723" s="7" t="str">
        <v>22249</v>
      </c>
      <c r="G5723" t="str">
        <v>ProjectedCrs</v>
      </c>
      <c r="H5723" t="str">
        <v>Transverse Mercator</v>
      </c>
      <c r="I5723" t="str">
        <v>NAD83(CSRS)v2 / SCoPQ zone 9</v>
      </c>
      <c r="J5723" t="str">
        <v>Canada - Quebec - between 78°W and 75°W.</v>
      </c>
      <c r="K5723" s="11">
        <v>0</v>
      </c>
    </row>
    <row r="5724" spans="5:11" x14ac:dyDescent="0.35">
      <c r="E5724" s="9" t="str">
        <v>EPSG</v>
      </c>
      <c r="F5724" s="7" t="str">
        <v>22250</v>
      </c>
      <c r="G5724" t="str">
        <v>ProjectedCrs</v>
      </c>
      <c r="H5724" t="str">
        <v>Transverse Mercator</v>
      </c>
      <c r="I5724" t="str">
        <v>NAD83(CSRS)v2 / SCoPQ zone 10</v>
      </c>
      <c r="J5724" t="str">
        <v>Canada - Quebec - west of 78°W.</v>
      </c>
      <c r="K5724" s="11">
        <v>0</v>
      </c>
    </row>
    <row r="5725" spans="5:11" x14ac:dyDescent="0.35">
      <c r="E5725" s="9" t="str">
        <v>EPSG</v>
      </c>
      <c r="F5725" s="7" t="str">
        <v>22262</v>
      </c>
      <c r="G5725" t="str">
        <v>ProjectedCrs</v>
      </c>
      <c r="H5725" t="str">
        <v>Transverse Mercator</v>
      </c>
      <c r="I5725" t="str">
        <v>NAD83(CSRS)v2 / Alberta 3TM ref merid 111 W</v>
      </c>
      <c r="J5725" t="str">
        <v>Canada - Alberta - east of 112°30'W.</v>
      </c>
      <c r="K5725" s="11">
        <v>0</v>
      </c>
    </row>
    <row r="5726" spans="5:11" x14ac:dyDescent="0.35">
      <c r="E5726" s="9" t="str">
        <v>EPSG</v>
      </c>
      <c r="F5726" s="7" t="str">
        <v>22263</v>
      </c>
      <c r="G5726" t="str">
        <v>ProjectedCrs</v>
      </c>
      <c r="H5726" t="str">
        <v>Transverse Mercator</v>
      </c>
      <c r="I5726" t="str">
        <v>NAD83(CSRS)v2 / Alberta 3TM ref merid 114 W</v>
      </c>
      <c r="J5726" t="str">
        <v>Canada - Alberta - between 115°30'W and 112°30'W.</v>
      </c>
      <c r="K5726" s="11">
        <v>0</v>
      </c>
    </row>
    <row r="5727" spans="5:11" x14ac:dyDescent="0.35">
      <c r="E5727" s="9" t="str">
        <v>EPSG</v>
      </c>
      <c r="F5727" s="7" t="str">
        <v>22264</v>
      </c>
      <c r="G5727" t="str">
        <v>ProjectedCrs</v>
      </c>
      <c r="H5727" t="str">
        <v>Transverse Mercator</v>
      </c>
      <c r="I5727" t="str">
        <v>NAD83(CSRS)v2 / Alberta 3TM ref merid 117 W</v>
      </c>
      <c r="J5727" t="str">
        <v>Canada - Alberta - between 118°30'W and 115°30' W.</v>
      </c>
      <c r="K5727" s="11">
        <v>0</v>
      </c>
    </row>
    <row r="5728" spans="5:11" x14ac:dyDescent="0.35">
      <c r="E5728" s="9" t="str">
        <v>EPSG</v>
      </c>
      <c r="F5728" s="7" t="str">
        <v>22265</v>
      </c>
      <c r="G5728" t="str">
        <v>ProjectedCrs</v>
      </c>
      <c r="H5728" t="str">
        <v>Transverse Mercator</v>
      </c>
      <c r="I5728" t="str">
        <v>NAD83(CSRS)v2 / Alberta 3TM ref merid 120 W</v>
      </c>
      <c r="J5728" t="str">
        <v>Canada - Alberta - west of 118°30' W.</v>
      </c>
      <c r="K5728" s="11">
        <v>0</v>
      </c>
    </row>
    <row r="5729" spans="5:11" x14ac:dyDescent="0.35">
      <c r="E5729" s="9" t="str">
        <v>EPSG</v>
      </c>
      <c r="F5729" s="7" t="str">
        <v>22275</v>
      </c>
      <c r="G5729" t="str">
        <v>ProjectedCrs</v>
      </c>
      <c r="H5729" t="str">
        <v>Transverse Mercator (South Orientated)</v>
      </c>
      <c r="I5729" t="str">
        <v>Cape / Lo15</v>
      </c>
      <c r="J5729" t="str">
        <v>Namibia - Walvis Bay.</v>
      </c>
      <c r="K5729" s="11">
        <v>0</v>
      </c>
    </row>
    <row r="5730" spans="5:11" x14ac:dyDescent="0.35">
      <c r="E5730" s="9" t="str">
        <v>EPSG</v>
      </c>
      <c r="F5730" s="7" t="str">
        <v>22277</v>
      </c>
      <c r="G5730" t="str">
        <v>ProjectedCrs</v>
      </c>
      <c r="H5730" t="str">
        <v>Transverse Mercator (South Orientated)</v>
      </c>
      <c r="I5730" t="str">
        <v>Cape / Lo17</v>
      </c>
      <c r="J5730" t="str">
        <v>South Africa - onshore west of 18°E.</v>
      </c>
      <c r="K5730" s="11">
        <v>0</v>
      </c>
    </row>
    <row r="5731" spans="5:11" x14ac:dyDescent="0.35">
      <c r="E5731" s="9" t="str">
        <v>EPSG</v>
      </c>
      <c r="F5731" s="7" t="str">
        <v>22279</v>
      </c>
      <c r="G5731" t="str">
        <v>ProjectedCrs</v>
      </c>
      <c r="H5731" t="str">
        <v>Transverse Mercator (South Orientated)</v>
      </c>
      <c r="I5731" t="str">
        <v>Cape / Lo19</v>
      </c>
      <c r="J5731" t="str">
        <v>South Africa - onshore between 18°E and 20°E.</v>
      </c>
      <c r="K5731" s="11">
        <v>0</v>
      </c>
    </row>
    <row r="5732" spans="5:11" x14ac:dyDescent="0.35">
      <c r="E5732" s="9" t="str">
        <v>EPSG</v>
      </c>
      <c r="F5732" s="7" t="str">
        <v>22281</v>
      </c>
      <c r="G5732" t="str">
        <v>ProjectedCrs</v>
      </c>
      <c r="H5732" t="str">
        <v>Transverse Mercator (South Orientated)</v>
      </c>
      <c r="I5732" t="str">
        <v>Cape / Lo21</v>
      </c>
      <c r="J5732" t="str">
        <v>South Africa - onshore between 20°E and 22°E.</v>
      </c>
      <c r="K5732" s="11">
        <v>0</v>
      </c>
    </row>
    <row r="5733" spans="5:11" x14ac:dyDescent="0.35">
      <c r="E5733" s="9" t="str">
        <v>EPSG</v>
      </c>
      <c r="F5733" s="7" t="str">
        <v>22283</v>
      </c>
      <c r="G5733" t="str">
        <v>ProjectedCrs</v>
      </c>
      <c r="H5733" t="str">
        <v>Transverse Mercator (South Orientated)</v>
      </c>
      <c r="I5733" t="str">
        <v>Cape / Lo23</v>
      </c>
      <c r="J5733" t="str">
        <v>South Africa - onshore between 22°E and 24°E.</v>
      </c>
      <c r="K5733" s="11">
        <v>0</v>
      </c>
    </row>
    <row r="5734" spans="5:11" x14ac:dyDescent="0.35">
      <c r="E5734" s="9" t="str">
        <v>EPSG</v>
      </c>
      <c r="F5734" s="7" t="str">
        <v>22285</v>
      </c>
      <c r="G5734" t="str">
        <v>ProjectedCrs</v>
      </c>
      <c r="H5734" t="str">
        <v>Transverse Mercator (South Orientated)</v>
      </c>
      <c r="I5734" t="str">
        <v>Cape / Lo25</v>
      </c>
      <c r="J5734" t="str">
        <v>South Africa - onshore between 24°E and 26°E.</v>
      </c>
      <c r="K5734" s="11">
        <v>0</v>
      </c>
    </row>
    <row r="5735" spans="5:11" x14ac:dyDescent="0.35">
      <c r="E5735" s="9" t="str">
        <v>EPSG</v>
      </c>
      <c r="F5735" s="7" t="str">
        <v>22287</v>
      </c>
      <c r="G5735" t="str">
        <v>ProjectedCrs</v>
      </c>
      <c r="H5735" t="str">
        <v>Transverse Mercator (South Orientated)</v>
      </c>
      <c r="I5735" t="str">
        <v>Cape / Lo27</v>
      </c>
      <c r="J5735" t="str">
        <v>Lesotho - west of 28°E. South Africa - onshore between 26°E and 28°E.</v>
      </c>
      <c r="K5735" s="11">
        <v>0</v>
      </c>
    </row>
    <row r="5736" spans="5:11" x14ac:dyDescent="0.35">
      <c r="E5736" s="9" t="str">
        <v>EPSG</v>
      </c>
      <c r="F5736" s="7" t="str">
        <v>22289</v>
      </c>
      <c r="G5736" t="str">
        <v>ProjectedCrs</v>
      </c>
      <c r="H5736" t="str">
        <v>Transverse Mercator (South Orientated)</v>
      </c>
      <c r="I5736" t="str">
        <v>Cape / Lo29</v>
      </c>
      <c r="J5736" t="str">
        <v>Lesotho - east of 28°E. South Africa - onshore between 28°E and 30°E.</v>
      </c>
      <c r="K5736" s="11">
        <v>0</v>
      </c>
    </row>
    <row r="5737" spans="5:11" x14ac:dyDescent="0.35">
      <c r="E5737" s="9" t="str">
        <v>EPSG</v>
      </c>
      <c r="F5737" s="7" t="str">
        <v>22291</v>
      </c>
      <c r="G5737" t="str">
        <v>ProjectedCrs</v>
      </c>
      <c r="H5737" t="str">
        <v>Transverse Mercator (South Orientated)</v>
      </c>
      <c r="I5737" t="str">
        <v>Cape / Lo31</v>
      </c>
      <c r="J5737" t="str">
        <v>South Africa - onshore between 30°E and 32°E. Eswatini (Swaziland).</v>
      </c>
      <c r="K5737" s="11">
        <v>0</v>
      </c>
    </row>
    <row r="5738" spans="5:11" x14ac:dyDescent="0.35">
      <c r="E5738" s="9" t="str">
        <v>EPSG</v>
      </c>
      <c r="F5738" s="7" t="str">
        <v>22293</v>
      </c>
      <c r="G5738" t="str">
        <v>ProjectedCrs</v>
      </c>
      <c r="H5738" t="str">
        <v>Transverse Mercator (South Orientated)</v>
      </c>
      <c r="I5738" t="str">
        <v>Cape / Lo33</v>
      </c>
      <c r="J5738" t="str">
        <v>South Africa - east of 32°E.</v>
      </c>
      <c r="K5738" s="11">
        <v>0</v>
      </c>
    </row>
    <row r="5739" spans="5:11" x14ac:dyDescent="0.35">
      <c r="E5739" s="9" t="str">
        <v>EPSG</v>
      </c>
      <c r="F5739" s="7" t="str">
        <v>22300</v>
      </c>
      <c r="G5739" t="str">
        <v>ProjectedCrs</v>
      </c>
      <c r="H5739" t="str">
        <v>Tunisia Mining Grid</v>
      </c>
      <c r="I5739" t="str">
        <v>Carthage (Paris) / Tunisia Mining Grid</v>
      </c>
      <c r="J5739" t="str">
        <v>Tunisia - onshore.</v>
      </c>
      <c r="K5739" s="11">
        <v>0</v>
      </c>
    </row>
    <row r="5740" spans="5:11" x14ac:dyDescent="0.35">
      <c r="E5740" s="9" t="str">
        <v>EPSG</v>
      </c>
      <c r="F5740" s="7" t="str">
        <v>22307</v>
      </c>
      <c r="G5740" t="str">
        <v>ProjectedCrs</v>
      </c>
      <c r="H5740" t="str">
        <v>Transverse Mercator</v>
      </c>
      <c r="I5740" t="str">
        <v>NAD83(CSRS)v3 / UTM zone 7N</v>
      </c>
      <c r="J5740" t="str">
        <v>Canada west of 138°W, onshore and offshore south of 84°N - British Columbia, Yukon.</v>
      </c>
      <c r="K5740" s="11">
        <v>0</v>
      </c>
    </row>
    <row r="5741" spans="5:11" x14ac:dyDescent="0.35">
      <c r="E5741" s="9" t="str">
        <v>EPSG</v>
      </c>
      <c r="F5741" s="7" t="str">
        <v>22308</v>
      </c>
      <c r="G5741" t="str">
        <v>ProjectedCrs</v>
      </c>
      <c r="H5741" t="str">
        <v>Transverse Mercator</v>
      </c>
      <c r="I5741" t="str">
        <v>NAD83(CSRS)v3 / UTM zone 8N</v>
      </c>
      <c r="J5741" t="str">
        <v>Canada between 138°W and 132°W, onshore and offshore south of 84°N - British Columbia, Northwest Territories, Yukon.</v>
      </c>
      <c r="K5741" s="11">
        <v>0</v>
      </c>
    </row>
    <row r="5742" spans="5:11" x14ac:dyDescent="0.35">
      <c r="E5742" s="9" t="str">
        <v>EPSG</v>
      </c>
      <c r="F5742" s="7" t="str">
        <v>22309</v>
      </c>
      <c r="G5742" t="str">
        <v>ProjectedCrs</v>
      </c>
      <c r="H5742" t="str">
        <v>Transverse Mercator</v>
      </c>
      <c r="I5742" t="str">
        <v>NAD83(CSRS)v3 / UTM zone 9N</v>
      </c>
      <c r="J5742" t="str">
        <v>Canada - between 132°W and 126°W, onshore and offshore south of 84°N - British Columbia, Northwest Territories, Yukon.</v>
      </c>
      <c r="K5742" s="11">
        <v>0</v>
      </c>
    </row>
    <row r="5743" spans="5:11" x14ac:dyDescent="0.35">
      <c r="E5743" s="9" t="str">
        <v>EPSG</v>
      </c>
      <c r="F5743" s="7" t="str">
        <v>22310</v>
      </c>
      <c r="G5743" t="str">
        <v>ProjectedCrs</v>
      </c>
      <c r="H5743" t="str">
        <v>Transverse Mercator</v>
      </c>
      <c r="I5743" t="str">
        <v>NAD83(CSRS)v3 / UTM zone 10N</v>
      </c>
      <c r="J5743" t="str">
        <v>Canada between 126°W and 120°W, onshore and offshore south of 84°N - British Columbia, Northwest Territories, Yukon.</v>
      </c>
      <c r="K5743" s="11">
        <v>0</v>
      </c>
    </row>
    <row r="5744" spans="5:11" x14ac:dyDescent="0.35">
      <c r="E5744" s="9" t="str">
        <v>EPSG</v>
      </c>
      <c r="F5744" s="7" t="str">
        <v>22311</v>
      </c>
      <c r="G5744" t="str">
        <v>ProjectedCrs</v>
      </c>
      <c r="H5744" t="str">
        <v>Transverse Mercator</v>
      </c>
      <c r="I5744" t="str">
        <v>NAD83(CSRS)v3 / UTM zone 11N</v>
      </c>
      <c r="J5744" t="str">
        <v>Canada between 120°W and 114°W onshore and offshore - Alberta, British Columbia, Northwest Territories, Nunavut.</v>
      </c>
      <c r="K5744" s="11">
        <v>0</v>
      </c>
    </row>
    <row r="5745" spans="5:11" x14ac:dyDescent="0.35">
      <c r="E5745" s="9" t="str">
        <v>EPSG</v>
      </c>
      <c r="F5745" s="7" t="str">
        <v>22312</v>
      </c>
      <c r="G5745" t="str">
        <v>ProjectedCrs</v>
      </c>
      <c r="H5745" t="str">
        <v>Transverse Mercator</v>
      </c>
      <c r="I5745" t="str">
        <v>NAD83(CSRS)v3 / UTM zone 12N</v>
      </c>
      <c r="J5745" t="str">
        <v>Canada between 114°W and 108°W onshore and offshore - Alberta, Northwest Territories, Nunavut, Saskatchewan.</v>
      </c>
      <c r="K5745" s="11">
        <v>0</v>
      </c>
    </row>
    <row r="5746" spans="5:11" x14ac:dyDescent="0.35">
      <c r="E5746" s="9" t="str">
        <v>EPSG</v>
      </c>
      <c r="F5746" s="7" t="str">
        <v>22313</v>
      </c>
      <c r="G5746" t="str">
        <v>ProjectedCrs</v>
      </c>
      <c r="H5746" t="str">
        <v>Transverse Mercator</v>
      </c>
      <c r="I5746" t="str">
        <v>NAD83(CSRS)v3 / UTM zone 13N</v>
      </c>
      <c r="J5746" t="str">
        <v>Canada between 108°W and 102°W onshore and offshore - Northwest Territories, Nunavut, Saskatchewan.</v>
      </c>
      <c r="K5746" s="11">
        <v>0</v>
      </c>
    </row>
    <row r="5747" spans="5:11" x14ac:dyDescent="0.35">
      <c r="E5747" s="9" t="str">
        <v>EPSG</v>
      </c>
      <c r="F5747" s="7" t="str">
        <v>22314</v>
      </c>
      <c r="G5747" t="str">
        <v>ProjectedCrs</v>
      </c>
      <c r="H5747" t="str">
        <v>Transverse Mercator</v>
      </c>
      <c r="I5747" t="str">
        <v>NAD83(CSRS)v3 / UTM zone 14N</v>
      </c>
      <c r="J5747" t="str">
        <v>Canada between 102°W and 96°W, onshore and offshore south of 84°N - Manitoba, Nunavut, Saskatchewan.</v>
      </c>
      <c r="K5747" s="11">
        <v>0</v>
      </c>
    </row>
    <row r="5748" spans="5:11" x14ac:dyDescent="0.35">
      <c r="E5748" s="9" t="str">
        <v>EPSG</v>
      </c>
      <c r="F5748" s="7" t="str">
        <v>22315</v>
      </c>
      <c r="G5748" t="str">
        <v>ProjectedCrs</v>
      </c>
      <c r="H5748" t="str">
        <v>Transverse Mercator</v>
      </c>
      <c r="I5748" t="str">
        <v>NAD83(CSRS)v3 / UTM zone 15N</v>
      </c>
      <c r="J5748" t="str">
        <v>Canada between 96°W and 90°W, onshore and offshore south of 84°N - Manitoba, Nunavut, Ontario.</v>
      </c>
      <c r="K5748" s="11">
        <v>0</v>
      </c>
    </row>
    <row r="5749" spans="5:11" x14ac:dyDescent="0.35">
      <c r="E5749" s="9" t="str">
        <v>EPSG</v>
      </c>
      <c r="F5749" s="7" t="str">
        <v>22316</v>
      </c>
      <c r="G5749" t="str">
        <v>ProjectedCrs</v>
      </c>
      <c r="H5749" t="str">
        <v>Transverse Mercator</v>
      </c>
      <c r="I5749" t="str">
        <v>NAD83(CSRS)v3 / UTM zone 16N</v>
      </c>
      <c r="J5749" t="str">
        <v>Canada between 90°W and 84°W, onshore and offshore south of 84°N - Manitoba, Nunavut, Ontario.</v>
      </c>
      <c r="K5749" s="11">
        <v>0</v>
      </c>
    </row>
    <row r="5750" spans="5:11" x14ac:dyDescent="0.35">
      <c r="E5750" s="9" t="str">
        <v>EPSG</v>
      </c>
      <c r="F5750" s="7" t="str">
        <v>22317</v>
      </c>
      <c r="G5750" t="str">
        <v>ProjectedCrs</v>
      </c>
      <c r="H5750" t="str">
        <v>Transverse Mercator</v>
      </c>
      <c r="I5750" t="str">
        <v>NAD83(CSRS)v3 / UTM zone 17N</v>
      </c>
      <c r="J5750" t="str">
        <v>Canada between 84°W and 78°W, onshore and offshore south of 84°N - Nunavut, Ontario and Quebec.</v>
      </c>
      <c r="K5750" s="11">
        <v>0</v>
      </c>
    </row>
    <row r="5751" spans="5:11" x14ac:dyDescent="0.35">
      <c r="E5751" s="9" t="str">
        <v>EPSG</v>
      </c>
      <c r="F5751" s="7" t="str">
        <v>22318</v>
      </c>
      <c r="G5751" t="str">
        <v>ProjectedCrs</v>
      </c>
      <c r="H5751" t="str">
        <v>Transverse Mercator</v>
      </c>
      <c r="I5751" t="str">
        <v>NAD83(CSRS)v3 / UTM zone 18N</v>
      </c>
      <c r="J5751" t="str">
        <v>Canada between 78°W and 72°W, onshore and offshore south of 84°N - Nunavut, Ontario and Quebec.</v>
      </c>
      <c r="K5751" s="11">
        <v>0</v>
      </c>
    </row>
    <row r="5752" spans="5:11" x14ac:dyDescent="0.35">
      <c r="E5752" s="9" t="str">
        <v>EPSG</v>
      </c>
      <c r="F5752" s="7" t="str">
        <v>22319</v>
      </c>
      <c r="G5752" t="str">
        <v>ProjectedCrs</v>
      </c>
      <c r="H5752" t="str">
        <v>Transverse Mercator</v>
      </c>
      <c r="I5752" t="str">
        <v>NAD83(CSRS)v3 / UTM zone 19N</v>
      </c>
      <c r="J5752" t="str">
        <v>Canada between 72°W and 66°W onshore and offshore - New Brunswick, Labrador, Nova Scotia, Nunavut, Quebec.</v>
      </c>
      <c r="K5752" s="11">
        <v>0</v>
      </c>
    </row>
    <row r="5753" spans="5:11" x14ac:dyDescent="0.35">
      <c r="E5753" s="9" t="str">
        <v>EPSG</v>
      </c>
      <c r="F5753" s="7" t="str">
        <v>22320</v>
      </c>
      <c r="G5753" t="str">
        <v>ProjectedCrs</v>
      </c>
      <c r="H5753" t="str">
        <v>Transverse Mercator</v>
      </c>
      <c r="I5753" t="str">
        <v>NAD83(CSRS)v3 / UTM zone 20N</v>
      </c>
      <c r="J5753" t="str">
        <v>Canada between 66°W and 60°W onshore and offshore - New Brunswick, Labrador, Nova Scotia, Nunavut, Prince Edward Island, Quebec.</v>
      </c>
      <c r="K5753" s="11">
        <v>0</v>
      </c>
    </row>
    <row r="5754" spans="5:11" x14ac:dyDescent="0.35">
      <c r="E5754" s="9" t="str">
        <v>EPSG</v>
      </c>
      <c r="F5754" s="7" t="str">
        <v>22321</v>
      </c>
      <c r="G5754" t="str">
        <v>ProjectedCrs</v>
      </c>
      <c r="H5754" t="str">
        <v>Transverse Mercator</v>
      </c>
      <c r="I5754" t="str">
        <v>NAD83(CSRS)v3 / UTM zone 21N</v>
      </c>
      <c r="J5754" t="str">
        <v>Canada between 60°W and 54°W - Newfoundland and Labrador; Nunavut; Quebec.</v>
      </c>
      <c r="K5754" s="11">
        <v>0</v>
      </c>
    </row>
    <row r="5755" spans="5:11" x14ac:dyDescent="0.35">
      <c r="E5755" s="9" t="str">
        <v>EPSG</v>
      </c>
      <c r="F5755" s="7" t="str">
        <v>22322</v>
      </c>
      <c r="G5755" t="str">
        <v>ProjectedCrs</v>
      </c>
      <c r="H5755" t="str">
        <v>Transverse Mercator</v>
      </c>
      <c r="I5755" t="str">
        <v>NAD83(CSRS)v3 / UTM zone 22N</v>
      </c>
      <c r="J5755" t="str">
        <v>Canada between 54°W and 48°W onshore and offshore - Newfoundland and Labrador.</v>
      </c>
      <c r="K5755" s="11">
        <v>0</v>
      </c>
    </row>
    <row r="5756" spans="5:11" x14ac:dyDescent="0.35">
      <c r="E5756" s="9" t="str">
        <v>EPSG</v>
      </c>
      <c r="F5756" s="7" t="str">
        <v>22332</v>
      </c>
      <c r="G5756" t="str">
        <v>ProjectedCrs</v>
      </c>
      <c r="H5756" t="str">
        <v>Transverse Mercator</v>
      </c>
      <c r="I5756" t="str">
        <v>Carthage / UTM zone 32N</v>
      </c>
      <c r="J5756" t="str">
        <v>Tunisia - offshore.</v>
      </c>
      <c r="K5756" s="11">
        <v>0</v>
      </c>
    </row>
    <row r="5757" spans="5:11" x14ac:dyDescent="0.35">
      <c r="E5757" s="9" t="str">
        <v>EPSG</v>
      </c>
      <c r="F5757" s="7" t="str">
        <v>22337</v>
      </c>
      <c r="G5757" t="str">
        <v>ProjectedCrs</v>
      </c>
      <c r="H5757" t="str">
        <v>Transverse Mercator</v>
      </c>
      <c r="I5757" t="str">
        <v>NAD83(CSRS)v3 / MTM NS 1997 zone 5</v>
      </c>
      <c r="J5757" t="str">
        <v>Canada - Nova Scotia - west of 63°W.</v>
      </c>
      <c r="K5757" s="11">
        <v>0</v>
      </c>
    </row>
    <row r="5758" spans="5:11" x14ac:dyDescent="0.35">
      <c r="E5758" s="9" t="str">
        <v>EPSG</v>
      </c>
      <c r="F5758" s="7" t="str">
        <v>22338</v>
      </c>
      <c r="G5758" t="str">
        <v>ProjectedCrs</v>
      </c>
      <c r="H5758" t="str">
        <v>Transverse Mercator</v>
      </c>
      <c r="I5758" t="str">
        <v>NAD83(CSRS)v3 / MTM NS 1997 zone 4</v>
      </c>
      <c r="J5758" t="str">
        <v>Canada - Nova Scotia - east of 63°W.</v>
      </c>
      <c r="K5758" s="11">
        <v>0</v>
      </c>
    </row>
    <row r="5759" spans="5:11" x14ac:dyDescent="0.35">
      <c r="E5759" s="9" t="str">
        <v>EPSG</v>
      </c>
      <c r="F5759" s="7" t="str">
        <v>22348</v>
      </c>
      <c r="G5759" t="str">
        <v>ProjectedCrs</v>
      </c>
      <c r="H5759" t="str">
        <v>Transverse Mercator</v>
      </c>
      <c r="I5759" t="str">
        <v>NAD83(CSRS)v3 / MTM zone 8</v>
      </c>
      <c r="J5759" t="str">
        <v>Canada - Ontario - east of 75°W.</v>
      </c>
      <c r="K5759" s="11">
        <v>0</v>
      </c>
    </row>
    <row r="5760" spans="5:11" x14ac:dyDescent="0.35">
      <c r="E5760" s="9" t="str">
        <v>EPSG</v>
      </c>
      <c r="F5760" s="7" t="str">
        <v>22349</v>
      </c>
      <c r="G5760" t="str">
        <v>ProjectedCrs</v>
      </c>
      <c r="H5760" t="str">
        <v>Transverse Mercator</v>
      </c>
      <c r="I5760" t="str">
        <v>NAD83(CSRS)v3 / MTM zone 9</v>
      </c>
      <c r="J5760" t="str">
        <v>Canada - Ontario - between 78°W and 75°W.</v>
      </c>
      <c r="K5760" s="11">
        <v>0</v>
      </c>
    </row>
    <row r="5761" spans="5:11" x14ac:dyDescent="0.35">
      <c r="E5761" s="9" t="str">
        <v>EPSG</v>
      </c>
      <c r="F5761" s="7" t="str">
        <v>22350</v>
      </c>
      <c r="G5761" t="str">
        <v>ProjectedCrs</v>
      </c>
      <c r="H5761" t="str">
        <v>Transverse Mercator</v>
      </c>
      <c r="I5761" t="str">
        <v>NAD83(CSRS)v3 / MTM zone 10</v>
      </c>
      <c r="J5761" t="str">
        <v>Canada - Ontario - between 81°W and 78°W: south of 46°N in area to west of 80°15'W, south of 47°N in area between 80°15'W and 79°30'W, entire province between 79°30'W and 78°W.</v>
      </c>
      <c r="K5761" s="11">
        <v>0</v>
      </c>
    </row>
    <row r="5762" spans="5:11" x14ac:dyDescent="0.35">
      <c r="E5762" s="9" t="str">
        <v>EPSG</v>
      </c>
      <c r="F5762" s="7" t="str">
        <v>22351</v>
      </c>
      <c r="G5762" t="str">
        <v>ProjectedCrs</v>
      </c>
      <c r="H5762" t="str">
        <v>Transverse Mercator</v>
      </c>
      <c r="I5762" t="str">
        <v>NAD83(CSRS)v3 / MTM zone 11</v>
      </c>
      <c r="J5762" t="str">
        <v>Canada - Ontario - south of 46°N and west of 81°W.</v>
      </c>
      <c r="K5762" s="11">
        <v>0</v>
      </c>
    </row>
    <row r="5763" spans="5:11" x14ac:dyDescent="0.35">
      <c r="E5763" s="9" t="str">
        <v>EPSG</v>
      </c>
      <c r="F5763" s="7" t="str">
        <v>22352</v>
      </c>
      <c r="G5763" t="str">
        <v>ProjectedCrs</v>
      </c>
      <c r="H5763" t="str">
        <v>Transverse Mercator</v>
      </c>
      <c r="I5763" t="str">
        <v>NAD83(CSRS)v3 / MTM zone 12</v>
      </c>
      <c r="J5763" t="str">
        <v>Canada - Ontario - between 82°30'W and 79°30'W: north of 46°N in area between 82°30'W and 80°15'W, north of 47°N in area between 80°15'W and 79°30'W.</v>
      </c>
      <c r="K5763" s="11">
        <v>0</v>
      </c>
    </row>
    <row r="5764" spans="5:11" x14ac:dyDescent="0.35">
      <c r="E5764" s="9" t="str">
        <v>EPSG</v>
      </c>
      <c r="F5764" s="7" t="str">
        <v>22353</v>
      </c>
      <c r="G5764" t="str">
        <v>ProjectedCrs</v>
      </c>
      <c r="H5764" t="str">
        <v>Transverse Mercator</v>
      </c>
      <c r="I5764" t="str">
        <v>NAD83(CSRS)v3 / MTM zone 13</v>
      </c>
      <c r="J5764" t="str">
        <v>Canada - Ontario - between 85°30'W and 82°30'W and north of 46°N.</v>
      </c>
      <c r="K5764" s="11">
        <v>0</v>
      </c>
    </row>
    <row r="5765" spans="5:11" x14ac:dyDescent="0.35">
      <c r="E5765" s="9" t="str">
        <v>EPSG</v>
      </c>
      <c r="F5765" s="7" t="str">
        <v>22354</v>
      </c>
      <c r="G5765" t="str">
        <v>ProjectedCrs</v>
      </c>
      <c r="H5765" t="str">
        <v>Transverse Mercator</v>
      </c>
      <c r="I5765" t="str">
        <v>NAD83(CSRS)v3 / MTM zone 14</v>
      </c>
      <c r="J5765" t="str">
        <v>Canada - Ontario - between 88°30'W and 85°30'W.</v>
      </c>
      <c r="K5765" s="11">
        <v>0</v>
      </c>
    </row>
    <row r="5766" spans="5:11" x14ac:dyDescent="0.35">
      <c r="E5766" s="9" t="str">
        <v>EPSG</v>
      </c>
      <c r="F5766" s="7" t="str">
        <v>22355</v>
      </c>
      <c r="G5766" t="str">
        <v>ProjectedCrs</v>
      </c>
      <c r="H5766" t="str">
        <v>Transverse Mercator</v>
      </c>
      <c r="I5766" t="str">
        <v>NAD83(CSRS)v3 / MTM zone 15</v>
      </c>
      <c r="J5766" t="str">
        <v>Canada - Ontario - between 91°30'W and 88°30'W.</v>
      </c>
      <c r="K5766" s="11">
        <v>0</v>
      </c>
    </row>
    <row r="5767" spans="5:11" x14ac:dyDescent="0.35">
      <c r="E5767" s="9" t="str">
        <v>EPSG</v>
      </c>
      <c r="F5767" s="7" t="str">
        <v>22356</v>
      </c>
      <c r="G5767" t="str">
        <v>ProjectedCrs</v>
      </c>
      <c r="H5767" t="str">
        <v>Transverse Mercator</v>
      </c>
      <c r="I5767" t="str">
        <v>NAD83(CSRS)v3 / MTM zone 16</v>
      </c>
      <c r="J5767" t="str">
        <v>Canada - Ontario - between 94°30'W and 91°30'W.</v>
      </c>
      <c r="K5767" s="11">
        <v>0</v>
      </c>
    </row>
    <row r="5768" spans="5:11" x14ac:dyDescent="0.35">
      <c r="E5768" s="9" t="str">
        <v>EPSG</v>
      </c>
      <c r="F5768" s="7" t="str">
        <v>22357</v>
      </c>
      <c r="G5768" t="str">
        <v>ProjectedCrs</v>
      </c>
      <c r="H5768" t="str">
        <v>Transverse Mercator</v>
      </c>
      <c r="I5768" t="str">
        <v>NAD83(CSRS)v3 / MTM zone 17</v>
      </c>
      <c r="J5768" t="str">
        <v>Canada - Ontario - west of 94°30'W.</v>
      </c>
      <c r="K5768" s="11">
        <v>0</v>
      </c>
    </row>
    <row r="5769" spans="5:11" x14ac:dyDescent="0.35">
      <c r="E5769" s="9" t="str">
        <v>EPSG</v>
      </c>
      <c r="F5769" s="7" t="str">
        <v>22391</v>
      </c>
      <c r="G5769" t="str">
        <v>ProjectedCrs</v>
      </c>
      <c r="H5769" t="str">
        <v>Lambert Conic Conformal (1SP)</v>
      </c>
      <c r="I5769" t="str">
        <v>Carthage / Nord Tunisie</v>
      </c>
      <c r="J5769" t="str">
        <v>Tunisia - onshore north of 38.5 grads North (34°39'N).</v>
      </c>
      <c r="K5769" s="11">
        <v>0</v>
      </c>
    </row>
    <row r="5770" spans="5:11" x14ac:dyDescent="0.35">
      <c r="E5770" s="9" t="str">
        <v>EPSG</v>
      </c>
      <c r="F5770" s="7" t="str">
        <v>22392</v>
      </c>
      <c r="G5770" t="str">
        <v>ProjectedCrs</v>
      </c>
      <c r="H5770" t="str">
        <v>Lambert Conic Conformal (1SP)</v>
      </c>
      <c r="I5770" t="str">
        <v>Carthage / Sud Tunisie</v>
      </c>
      <c r="J5770" t="str">
        <v>Tunisia - onshore south of 38.5 grads North (34°39'N) .</v>
      </c>
      <c r="K5770" s="11">
        <v>0</v>
      </c>
    </row>
    <row r="5771" spans="5:11" x14ac:dyDescent="0.35">
      <c r="E5771" s="9" t="str">
        <v>EPSG</v>
      </c>
      <c r="F5771" s="7" t="str">
        <v>22407</v>
      </c>
      <c r="G5771" t="str">
        <v>ProjectedCrs</v>
      </c>
      <c r="H5771" t="str">
        <v>Transverse Mercator</v>
      </c>
      <c r="I5771" t="str">
        <v>NAD83(CSRS)v4 / UTM zone 7N</v>
      </c>
      <c r="J5771" t="str">
        <v>Canada west of 138°W, onshore and offshore south of 84°N - British Columbia, Yukon.</v>
      </c>
      <c r="K5771" s="11">
        <v>0</v>
      </c>
    </row>
    <row r="5772" spans="5:11" x14ac:dyDescent="0.35">
      <c r="E5772" s="9" t="str">
        <v>EPSG</v>
      </c>
      <c r="F5772" s="7" t="str">
        <v>22408</v>
      </c>
      <c r="G5772" t="str">
        <v>ProjectedCrs</v>
      </c>
      <c r="H5772" t="str">
        <v>Transverse Mercator</v>
      </c>
      <c r="I5772" t="str">
        <v>NAD83(CSRS)v4 / UTM zone 8N</v>
      </c>
      <c r="J5772" t="str">
        <v>Canada between 138°W and 132°W, onshore and offshore south of 84°N - British Columbia, Northwest Territories, Yukon.</v>
      </c>
      <c r="K5772" s="11">
        <v>0</v>
      </c>
    </row>
    <row r="5773" spans="5:11" x14ac:dyDescent="0.35">
      <c r="E5773" s="9" t="str">
        <v>EPSG</v>
      </c>
      <c r="F5773" s="7" t="str">
        <v>22409</v>
      </c>
      <c r="G5773" t="str">
        <v>ProjectedCrs</v>
      </c>
      <c r="H5773" t="str">
        <v>Transverse Mercator</v>
      </c>
      <c r="I5773" t="str">
        <v>NAD83(CSRS)v4 / UTM zone 9N</v>
      </c>
      <c r="J5773" t="str">
        <v>Canada - between 132°W and 126°W, onshore and offshore south of 84°N - British Columbia, Northwest Territories, Yukon.</v>
      </c>
      <c r="K5773" s="11">
        <v>0</v>
      </c>
    </row>
    <row r="5774" spans="5:11" x14ac:dyDescent="0.35">
      <c r="E5774" s="9" t="str">
        <v>EPSG</v>
      </c>
      <c r="F5774" s="7" t="str">
        <v>22410</v>
      </c>
      <c r="G5774" t="str">
        <v>ProjectedCrs</v>
      </c>
      <c r="H5774" t="str">
        <v>Transverse Mercator</v>
      </c>
      <c r="I5774" t="str">
        <v>NAD83(CSRS)v4 / UTM zone 10N</v>
      </c>
      <c r="J5774" t="str">
        <v>Canada between 126°W and 120°W, onshore and offshore south of 84°N - British Columbia, Northwest Territories, Yukon.</v>
      </c>
      <c r="K5774" s="11">
        <v>0</v>
      </c>
    </row>
    <row r="5775" spans="5:11" x14ac:dyDescent="0.35">
      <c r="E5775" s="9" t="str">
        <v>EPSG</v>
      </c>
      <c r="F5775" s="7" t="str">
        <v>22411</v>
      </c>
      <c r="G5775" t="str">
        <v>ProjectedCrs</v>
      </c>
      <c r="H5775" t="str">
        <v>Transverse Mercator</v>
      </c>
      <c r="I5775" t="str">
        <v>NAD83(CSRS)v4 / UTM zone 11N</v>
      </c>
      <c r="J5775" t="str">
        <v>Canada between 120°W and 114°W onshore and offshore - Alberta, British Columbia, Northwest Territories, Nunavut.</v>
      </c>
      <c r="K5775" s="11">
        <v>0</v>
      </c>
    </row>
    <row r="5776" spans="5:11" x14ac:dyDescent="0.35">
      <c r="E5776" s="9" t="str">
        <v>EPSG</v>
      </c>
      <c r="F5776" s="7" t="str">
        <v>22412</v>
      </c>
      <c r="G5776" t="str">
        <v>ProjectedCrs</v>
      </c>
      <c r="H5776" t="str">
        <v>Transverse Mercator</v>
      </c>
      <c r="I5776" t="str">
        <v>NAD83(CSRS)v4 / UTM zone 12N</v>
      </c>
      <c r="J5776" t="str">
        <v>Canada between 114°W and 108°W onshore and offshore - Alberta, Northwest Territories, Nunavut, Saskatchewan.</v>
      </c>
      <c r="K5776" s="11">
        <v>0</v>
      </c>
    </row>
    <row r="5777" spans="5:11" x14ac:dyDescent="0.35">
      <c r="E5777" s="9" t="str">
        <v>EPSG</v>
      </c>
      <c r="F5777" s="7" t="str">
        <v>22413</v>
      </c>
      <c r="G5777" t="str">
        <v>ProjectedCrs</v>
      </c>
      <c r="H5777" t="str">
        <v>Transverse Mercator</v>
      </c>
      <c r="I5777" t="str">
        <v>NAD83(CSRS)v4 / UTM zone 13N</v>
      </c>
      <c r="J5777" t="str">
        <v>Canada between 108°W and 102°W onshore and offshore - Northwest Territories, Nunavut, Saskatchewan.</v>
      </c>
      <c r="K5777" s="11">
        <v>0</v>
      </c>
    </row>
    <row r="5778" spans="5:11" x14ac:dyDescent="0.35">
      <c r="E5778" s="9" t="str">
        <v>EPSG</v>
      </c>
      <c r="F5778" s="7" t="str">
        <v>22414</v>
      </c>
      <c r="G5778" t="str">
        <v>ProjectedCrs</v>
      </c>
      <c r="H5778" t="str">
        <v>Transverse Mercator</v>
      </c>
      <c r="I5778" t="str">
        <v>NAD83(CSRS)v4 / UTM zone 14N</v>
      </c>
      <c r="J5778" t="str">
        <v>Canada between 102°W and 96°W, onshore and offshore south of 84°N - Manitoba, Nunavut, Saskatchewan.</v>
      </c>
      <c r="K5778" s="11">
        <v>0</v>
      </c>
    </row>
    <row r="5779" spans="5:11" x14ac:dyDescent="0.35">
      <c r="E5779" s="9" t="str">
        <v>EPSG</v>
      </c>
      <c r="F5779" s="7" t="str">
        <v>22415</v>
      </c>
      <c r="G5779" t="str">
        <v>ProjectedCrs</v>
      </c>
      <c r="H5779" t="str">
        <v>Transverse Mercator</v>
      </c>
      <c r="I5779" t="str">
        <v>NAD83(CSRS)v4 / UTM zone 15N</v>
      </c>
      <c r="J5779" t="str">
        <v>Canada between 96°W and 90°W, onshore and offshore south of 84°N - Manitoba, Nunavut, Ontario.</v>
      </c>
      <c r="K5779" s="11">
        <v>0</v>
      </c>
    </row>
    <row r="5780" spans="5:11" x14ac:dyDescent="0.35">
      <c r="E5780" s="9" t="str">
        <v>EPSG</v>
      </c>
      <c r="F5780" s="7" t="str">
        <v>22416</v>
      </c>
      <c r="G5780" t="str">
        <v>ProjectedCrs</v>
      </c>
      <c r="H5780" t="str">
        <v>Transverse Mercator</v>
      </c>
      <c r="I5780" t="str">
        <v>NAD83(CSRS)v4 / UTM zone 16N</v>
      </c>
      <c r="J5780" t="str">
        <v>Canada between 90°W and 84°W, onshore and offshore south of 84°N - Manitoba, Nunavut, Ontario.</v>
      </c>
      <c r="K5780" s="11">
        <v>0</v>
      </c>
    </row>
    <row r="5781" spans="5:11" x14ac:dyDescent="0.35">
      <c r="E5781" s="9" t="str">
        <v>EPSG</v>
      </c>
      <c r="F5781" s="7" t="str">
        <v>22417</v>
      </c>
      <c r="G5781" t="str">
        <v>ProjectedCrs</v>
      </c>
      <c r="H5781" t="str">
        <v>Transverse Mercator</v>
      </c>
      <c r="I5781" t="str">
        <v>NAD83(CSRS)v4 / UTM zone 17N</v>
      </c>
      <c r="J5781" t="str">
        <v>Canada between 84°W and 78°W, onshore and offshore south of 84°N - Nunavut, Ontario and Quebec.</v>
      </c>
      <c r="K5781" s="11">
        <v>0</v>
      </c>
    </row>
    <row r="5782" spans="5:11" x14ac:dyDescent="0.35">
      <c r="E5782" s="9" t="str">
        <v>EPSG</v>
      </c>
      <c r="F5782" s="7" t="str">
        <v>22418</v>
      </c>
      <c r="G5782" t="str">
        <v>ProjectedCrs</v>
      </c>
      <c r="H5782" t="str">
        <v>Transverse Mercator</v>
      </c>
      <c r="I5782" t="str">
        <v>NAD83(CSRS)v4 / UTM zone 18N</v>
      </c>
      <c r="J5782" t="str">
        <v>Canada between 78°W and 72°W, onshore and offshore south of 84°N - Nunavut, Ontario and Quebec.</v>
      </c>
      <c r="K5782" s="11">
        <v>0</v>
      </c>
    </row>
    <row r="5783" spans="5:11" x14ac:dyDescent="0.35">
      <c r="E5783" s="9" t="str">
        <v>EPSG</v>
      </c>
      <c r="F5783" s="7" t="str">
        <v>22419</v>
      </c>
      <c r="G5783" t="str">
        <v>ProjectedCrs</v>
      </c>
      <c r="H5783" t="str">
        <v>Transverse Mercator</v>
      </c>
      <c r="I5783" t="str">
        <v>NAD83(CSRS)v4 / UTM zone 19N</v>
      </c>
      <c r="J5783" t="str">
        <v>Canada between 72°W and 66°W onshore and offshore - New Brunswick, Labrador, Nova Scotia, Nunavut, Quebec.</v>
      </c>
      <c r="K5783" s="11">
        <v>0</v>
      </c>
    </row>
    <row r="5784" spans="5:11" x14ac:dyDescent="0.35">
      <c r="E5784" s="9" t="str">
        <v>EPSG</v>
      </c>
      <c r="F5784" s="7" t="str">
        <v>22420</v>
      </c>
      <c r="G5784" t="str">
        <v>ProjectedCrs</v>
      </c>
      <c r="H5784" t="str">
        <v>Transverse Mercator</v>
      </c>
      <c r="I5784" t="str">
        <v>NAD83(CSRS)v4 / UTM zone 20N</v>
      </c>
      <c r="J5784" t="str">
        <v>Canada between 66°W and 60°W onshore and offshore - New Brunswick, Labrador, Nova Scotia, Nunavut, Prince Edward Island, Quebec.</v>
      </c>
      <c r="K5784" s="11">
        <v>0</v>
      </c>
    </row>
    <row r="5785" spans="5:11" x14ac:dyDescent="0.35">
      <c r="E5785" s="9" t="str">
        <v>EPSG</v>
      </c>
      <c r="F5785" s="7" t="str">
        <v>22421</v>
      </c>
      <c r="G5785" t="str">
        <v>ProjectedCrs</v>
      </c>
      <c r="H5785" t="str">
        <v>Transverse Mercator</v>
      </c>
      <c r="I5785" t="str">
        <v>NAD83(CSRS)v4 / UTM zone 21N</v>
      </c>
      <c r="J5785" t="str">
        <v>Canada between 60°W and 54°W - Newfoundland and Labrador; Nunavut; Quebec.</v>
      </c>
      <c r="K5785" s="11">
        <v>0</v>
      </c>
    </row>
    <row r="5786" spans="5:11" x14ac:dyDescent="0.35">
      <c r="E5786" s="9" t="str">
        <v>EPSG</v>
      </c>
      <c r="F5786" s="7" t="str">
        <v>22422</v>
      </c>
      <c r="G5786" t="str">
        <v>ProjectedCrs</v>
      </c>
      <c r="H5786" t="str">
        <v>Transverse Mercator</v>
      </c>
      <c r="I5786" t="str">
        <v>NAD83(CSRS)v4 / UTM zone 22N</v>
      </c>
      <c r="J5786" t="str">
        <v>Canada between 54°W and 48°W onshore and offshore - Newfoundland and Labrador.</v>
      </c>
      <c r="K5786" s="11">
        <v>0</v>
      </c>
    </row>
    <row r="5787" spans="5:11" x14ac:dyDescent="0.35">
      <c r="E5787" s="9" t="str">
        <v>EPSG</v>
      </c>
      <c r="F5787" s="7" t="str">
        <v>22462</v>
      </c>
      <c r="G5787" t="str">
        <v>ProjectedCrs</v>
      </c>
      <c r="H5787" t="str">
        <v>Transverse Mercator</v>
      </c>
      <c r="I5787" t="str">
        <v>NAD83(CSRS)v4 / Alberta 3TM ref merid 111 W</v>
      </c>
      <c r="J5787" t="str">
        <v>Canada - Alberta - east of 112°30'W.</v>
      </c>
      <c r="K5787" s="11">
        <v>0</v>
      </c>
    </row>
    <row r="5788" spans="5:11" x14ac:dyDescent="0.35">
      <c r="E5788" s="9" t="str">
        <v>EPSG</v>
      </c>
      <c r="F5788" s="7" t="str">
        <v>22463</v>
      </c>
      <c r="G5788" t="str">
        <v>ProjectedCrs</v>
      </c>
      <c r="H5788" t="str">
        <v>Transverse Mercator</v>
      </c>
      <c r="I5788" t="str">
        <v>NAD83(CSRS)v4 / Alberta 3TM ref merid 114 W</v>
      </c>
      <c r="J5788" t="str">
        <v>Canada - Alberta - between 115°30'W and 112°30'W.</v>
      </c>
      <c r="K5788" s="11">
        <v>0</v>
      </c>
    </row>
    <row r="5789" spans="5:11" x14ac:dyDescent="0.35">
      <c r="E5789" s="9" t="str">
        <v>EPSG</v>
      </c>
      <c r="F5789" s="7" t="str">
        <v>22464</v>
      </c>
      <c r="G5789" t="str">
        <v>ProjectedCrs</v>
      </c>
      <c r="H5789" t="str">
        <v>Transverse Mercator</v>
      </c>
      <c r="I5789" t="str">
        <v>NAD83(CSRS)v4 / Alberta 3TM ref merid 117 W</v>
      </c>
      <c r="J5789" t="str">
        <v>Canada - Alberta - between 118°30'W and 115°30' W.</v>
      </c>
      <c r="K5789" s="11">
        <v>0</v>
      </c>
    </row>
    <row r="5790" spans="5:11" x14ac:dyDescent="0.35">
      <c r="E5790" s="9" t="str">
        <v>EPSG</v>
      </c>
      <c r="F5790" s="7" t="str">
        <v>22465</v>
      </c>
      <c r="G5790" t="str">
        <v>ProjectedCrs</v>
      </c>
      <c r="H5790" t="str">
        <v>Transverse Mercator</v>
      </c>
      <c r="I5790" t="str">
        <v>NAD83(CSRS)v4 / Alberta 3TM ref merid 120 W</v>
      </c>
      <c r="J5790" t="str">
        <v>Canada - Alberta - west of 118°30' W.</v>
      </c>
      <c r="K5790" s="11">
        <v>0</v>
      </c>
    </row>
    <row r="5791" spans="5:11" x14ac:dyDescent="0.35">
      <c r="E5791" s="9" t="str">
        <v>EPSG</v>
      </c>
      <c r="F5791" s="7" t="str">
        <v>22521</v>
      </c>
      <c r="G5791" t="str">
        <v>ProjectedCrs</v>
      </c>
      <c r="H5791" t="str">
        <v>Transverse Mercator</v>
      </c>
      <c r="I5791" t="str">
        <v>Corrego Alegre 1970-72 / UTM zone 21S</v>
      </c>
      <c r="J5791" t="str">
        <v>Brazil - west of 54°W and south of 18°S.</v>
      </c>
      <c r="K5791" s="11">
        <v>0</v>
      </c>
    </row>
    <row r="5792" spans="5:11" x14ac:dyDescent="0.35">
      <c r="E5792" s="9" t="str">
        <v>EPSG</v>
      </c>
      <c r="F5792" s="7" t="str">
        <v>22522</v>
      </c>
      <c r="G5792" t="str">
        <v>ProjectedCrs</v>
      </c>
      <c r="H5792" t="str">
        <v>Transverse Mercator</v>
      </c>
      <c r="I5792" t="str">
        <v>Corrego Alegre 1970-72 / UTM zone 22S</v>
      </c>
      <c r="J5792" t="str">
        <v>Brazil - onshore between 54°W and 48°W and south of 15°S.</v>
      </c>
      <c r="K5792" s="11">
        <v>0</v>
      </c>
    </row>
    <row r="5793" spans="5:11" x14ac:dyDescent="0.35">
      <c r="E5793" s="9" t="str">
        <v>EPSG</v>
      </c>
      <c r="F5793" s="7" t="str">
        <v>22523</v>
      </c>
      <c r="G5793" t="str">
        <v>ProjectedCrs</v>
      </c>
      <c r="H5793" t="str">
        <v>Transverse Mercator</v>
      </c>
      <c r="I5793" t="str">
        <v>Corrego Alegre 1970-72 / UTM zone 23S</v>
      </c>
      <c r="J5793" t="str">
        <v>Brazil - onshore between 48°W and 42°W and south of 15°S.</v>
      </c>
      <c r="K5793" s="11">
        <v>0</v>
      </c>
    </row>
    <row r="5794" spans="5:11" x14ac:dyDescent="0.35">
      <c r="E5794" s="9" t="str">
        <v>EPSG</v>
      </c>
      <c r="F5794" s="7" t="str">
        <v>22524</v>
      </c>
      <c r="G5794" t="str">
        <v>ProjectedCrs</v>
      </c>
      <c r="H5794" t="str">
        <v>Transverse Mercator</v>
      </c>
      <c r="I5794" t="str">
        <v>Corrego Alegre 1970-72 / UTM zone 24S</v>
      </c>
      <c r="J5794" t="str">
        <v>Brazil - between 42°W and 36°W, onshore.</v>
      </c>
      <c r="K5794" s="11">
        <v>0</v>
      </c>
    </row>
    <row r="5795" spans="5:11" x14ac:dyDescent="0.35">
      <c r="E5795" s="9" t="str">
        <v>EPSG</v>
      </c>
      <c r="F5795" s="7" t="str">
        <v>22525</v>
      </c>
      <c r="G5795" t="str">
        <v>ProjectedCrs</v>
      </c>
      <c r="H5795" t="str">
        <v>Transverse Mercator</v>
      </c>
      <c r="I5795" t="str">
        <v>Corrego Alegre 1970-72 / UTM zone 25S</v>
      </c>
      <c r="J5795" t="str">
        <v>Brazil - onshore east of 36°W .</v>
      </c>
      <c r="K5795" s="11">
        <v>0</v>
      </c>
    </row>
    <row r="5796" spans="5:11" x14ac:dyDescent="0.35">
      <c r="E5796" s="9" t="str">
        <v>EPSG</v>
      </c>
      <c r="F5796" s="7" t="str">
        <v>22607</v>
      </c>
      <c r="G5796" t="str">
        <v>ProjectedCrs</v>
      </c>
      <c r="H5796" t="str">
        <v>Transverse Mercator</v>
      </c>
      <c r="I5796" t="str">
        <v>NAD83(CSRS)v6 / UTM zone 7N</v>
      </c>
      <c r="J5796" t="str">
        <v>Canada west of 138°W, onshore and offshore south of 84°N - British Columbia, Yukon.</v>
      </c>
      <c r="K5796" s="11">
        <v>0</v>
      </c>
    </row>
    <row r="5797" spans="5:11" x14ac:dyDescent="0.35">
      <c r="E5797" s="9" t="str">
        <v>EPSG</v>
      </c>
      <c r="F5797" s="7" t="str">
        <v>22608</v>
      </c>
      <c r="G5797" t="str">
        <v>ProjectedCrs</v>
      </c>
      <c r="H5797" t="str">
        <v>Transverse Mercator</v>
      </c>
      <c r="I5797" t="str">
        <v>NAD83(CSRS)v6 / UTM zone 8N</v>
      </c>
      <c r="J5797" t="str">
        <v>Canada between 138°W and 132°W, onshore and offshore south of 84°N - British Columbia, Northwest Territories, Yukon.</v>
      </c>
      <c r="K5797" s="11">
        <v>0</v>
      </c>
    </row>
    <row r="5798" spans="5:11" x14ac:dyDescent="0.35">
      <c r="E5798" s="9" t="str">
        <v>EPSG</v>
      </c>
      <c r="F5798" s="7" t="str">
        <v>22609</v>
      </c>
      <c r="G5798" t="str">
        <v>ProjectedCrs</v>
      </c>
      <c r="H5798" t="str">
        <v>Transverse Mercator</v>
      </c>
      <c r="I5798" t="str">
        <v>NAD83(CSRS)v6 / UTM zone 9N</v>
      </c>
      <c r="J5798" t="str">
        <v>Canada - between 132°W and 126°W, onshore and offshore south of 84°N - British Columbia, Northwest Territories, Yukon.</v>
      </c>
      <c r="K5798" s="11">
        <v>0</v>
      </c>
    </row>
    <row r="5799" spans="5:11" x14ac:dyDescent="0.35">
      <c r="E5799" s="9" t="str">
        <v>EPSG</v>
      </c>
      <c r="F5799" s="7" t="str">
        <v>22610</v>
      </c>
      <c r="G5799" t="str">
        <v>ProjectedCrs</v>
      </c>
      <c r="H5799" t="str">
        <v>Transverse Mercator</v>
      </c>
      <c r="I5799" t="str">
        <v>NAD83(CSRS)v6 / UTM zone 10N</v>
      </c>
      <c r="J5799" t="str">
        <v>Canada between 126°W and 120°W, onshore and offshore south of 84°N - British Columbia, Northwest Territories, Yukon.</v>
      </c>
      <c r="K5799" s="11">
        <v>0</v>
      </c>
    </row>
    <row r="5800" spans="5:11" x14ac:dyDescent="0.35">
      <c r="E5800" s="9" t="str">
        <v>EPSG</v>
      </c>
      <c r="F5800" s="7" t="str">
        <v>22611</v>
      </c>
      <c r="G5800" t="str">
        <v>ProjectedCrs</v>
      </c>
      <c r="H5800" t="str">
        <v>Transverse Mercator</v>
      </c>
      <c r="I5800" t="str">
        <v>NAD83(CSRS)v6 / UTM zone 11N</v>
      </c>
      <c r="J5800" t="str">
        <v>Canada between 120°W and 114°W onshore and offshore - Alberta, British Columbia, Northwest Territories, Nunavut.</v>
      </c>
      <c r="K5800" s="11">
        <v>0</v>
      </c>
    </row>
    <row r="5801" spans="5:11" x14ac:dyDescent="0.35">
      <c r="E5801" s="9" t="str">
        <v>EPSG</v>
      </c>
      <c r="F5801" s="7" t="str">
        <v>22612</v>
      </c>
      <c r="G5801" t="str">
        <v>ProjectedCrs</v>
      </c>
      <c r="H5801" t="str">
        <v>Transverse Mercator</v>
      </c>
      <c r="I5801" t="str">
        <v>NAD83(CSRS)v6 / UTM zone 12N</v>
      </c>
      <c r="J5801" t="str">
        <v>Canada between 114°W and 108°W onshore and offshore - Alberta, Northwest Territories, Nunavut, Saskatchewan.</v>
      </c>
      <c r="K5801" s="11">
        <v>0</v>
      </c>
    </row>
    <row r="5802" spans="5:11" x14ac:dyDescent="0.35">
      <c r="E5802" s="9" t="str">
        <v>EPSG</v>
      </c>
      <c r="F5802" s="7" t="str">
        <v>22613</v>
      </c>
      <c r="G5802" t="str">
        <v>ProjectedCrs</v>
      </c>
      <c r="H5802" t="str">
        <v>Transverse Mercator</v>
      </c>
      <c r="I5802" t="str">
        <v>NAD83(CSRS)v6 / UTM zone 13N</v>
      </c>
      <c r="J5802" t="str">
        <v>Canada between 108°W and 102°W onshore and offshore - Northwest Territories, Nunavut, Saskatchewan.</v>
      </c>
      <c r="K5802" s="11">
        <v>0</v>
      </c>
    </row>
    <row r="5803" spans="5:11" x14ac:dyDescent="0.35">
      <c r="E5803" s="9" t="str">
        <v>EPSG</v>
      </c>
      <c r="F5803" s="7" t="str">
        <v>22614</v>
      </c>
      <c r="G5803" t="str">
        <v>ProjectedCrs</v>
      </c>
      <c r="H5803" t="str">
        <v>Transverse Mercator</v>
      </c>
      <c r="I5803" t="str">
        <v>NAD83(CSRS)v6 / UTM zone 14N</v>
      </c>
      <c r="J5803" t="str">
        <v>Canada between 102°W and 96°W, onshore and offshore south of 84°N - Manitoba, Nunavut, Saskatchewan.</v>
      </c>
      <c r="K5803" s="11">
        <v>0</v>
      </c>
    </row>
    <row r="5804" spans="5:11" x14ac:dyDescent="0.35">
      <c r="E5804" s="9" t="str">
        <v>EPSG</v>
      </c>
      <c r="F5804" s="7" t="str">
        <v>22615</v>
      </c>
      <c r="G5804" t="str">
        <v>ProjectedCrs</v>
      </c>
      <c r="H5804" t="str">
        <v>Transverse Mercator</v>
      </c>
      <c r="I5804" t="str">
        <v>NAD83(CSRS)v6 / UTM zone 15N</v>
      </c>
      <c r="J5804" t="str">
        <v>Canada between 96°W and 90°W, onshore and offshore south of 84°N - Manitoba, Nunavut, Ontario.</v>
      </c>
      <c r="K5804" s="11">
        <v>0</v>
      </c>
    </row>
    <row r="5805" spans="5:11" x14ac:dyDescent="0.35">
      <c r="E5805" s="9" t="str">
        <v>EPSG</v>
      </c>
      <c r="F5805" s="7" t="str">
        <v>22616</v>
      </c>
      <c r="G5805" t="str">
        <v>ProjectedCrs</v>
      </c>
      <c r="H5805" t="str">
        <v>Transverse Mercator</v>
      </c>
      <c r="I5805" t="str">
        <v>NAD83(CSRS)v6 / UTM zone 16N</v>
      </c>
      <c r="J5805" t="str">
        <v>Canada between 90°W and 84°W, onshore and offshore south of 84°N - Manitoba, Nunavut, Ontario.</v>
      </c>
      <c r="K5805" s="11">
        <v>0</v>
      </c>
    </row>
    <row r="5806" spans="5:11" x14ac:dyDescent="0.35">
      <c r="E5806" s="9" t="str">
        <v>EPSG</v>
      </c>
      <c r="F5806" s="7" t="str">
        <v>22617</v>
      </c>
      <c r="G5806" t="str">
        <v>ProjectedCrs</v>
      </c>
      <c r="H5806" t="str">
        <v>Transverse Mercator</v>
      </c>
      <c r="I5806" t="str">
        <v>NAD83(CSRS)v6 / UTM zone 17N</v>
      </c>
      <c r="J5806" t="str">
        <v>Canada between 84°W and 78°W, onshore and offshore south of 84°N - Nunavut, Ontario and Quebec.</v>
      </c>
      <c r="K5806" s="11">
        <v>0</v>
      </c>
    </row>
    <row r="5807" spans="5:11" x14ac:dyDescent="0.35">
      <c r="E5807" s="9" t="str">
        <v>EPSG</v>
      </c>
      <c r="F5807" s="7" t="str">
        <v>22618</v>
      </c>
      <c r="G5807" t="str">
        <v>ProjectedCrs</v>
      </c>
      <c r="H5807" t="str">
        <v>Transverse Mercator</v>
      </c>
      <c r="I5807" t="str">
        <v>NAD83(CSRS)v6 / UTM zone 18N</v>
      </c>
      <c r="J5807" t="str">
        <v>Canada between 78°W and 72°W, onshore and offshore south of 84°N - Nunavut, Ontario and Quebec.</v>
      </c>
      <c r="K5807" s="11">
        <v>0</v>
      </c>
    </row>
    <row r="5808" spans="5:11" x14ac:dyDescent="0.35">
      <c r="E5808" s="9" t="str">
        <v>EPSG</v>
      </c>
      <c r="F5808" s="7" t="str">
        <v>22619</v>
      </c>
      <c r="G5808" t="str">
        <v>ProjectedCrs</v>
      </c>
      <c r="H5808" t="str">
        <v>Transverse Mercator</v>
      </c>
      <c r="I5808" t="str">
        <v>NAD83(CSRS)v6 / UTM zone 19N</v>
      </c>
      <c r="J5808" t="str">
        <v>Canada between 72°W and 66°W onshore and offshore - New Brunswick, Labrador, Nova Scotia, Nunavut, Quebec.</v>
      </c>
      <c r="K5808" s="11">
        <v>0</v>
      </c>
    </row>
    <row r="5809" spans="5:11" x14ac:dyDescent="0.35">
      <c r="E5809" s="9" t="str">
        <v>EPSG</v>
      </c>
      <c r="F5809" s="7" t="str">
        <v>22620</v>
      </c>
      <c r="G5809" t="str">
        <v>ProjectedCrs</v>
      </c>
      <c r="H5809" t="str">
        <v>Transverse Mercator</v>
      </c>
      <c r="I5809" t="str">
        <v>NAD83(CSRS)v6 / UTM zone 20N</v>
      </c>
      <c r="J5809" t="str">
        <v>Canada between 66°W and 60°W onshore and offshore - New Brunswick, Labrador, Nova Scotia, Nunavut, Prince Edward Island, Quebec.</v>
      </c>
      <c r="K5809" s="11">
        <v>0</v>
      </c>
    </row>
    <row r="5810" spans="5:11" x14ac:dyDescent="0.35">
      <c r="E5810" s="9" t="str">
        <v>EPSG</v>
      </c>
      <c r="F5810" s="7" t="str">
        <v>22621</v>
      </c>
      <c r="G5810" t="str">
        <v>ProjectedCrs</v>
      </c>
      <c r="H5810" t="str">
        <v>Transverse Mercator</v>
      </c>
      <c r="I5810" t="str">
        <v>NAD83(CSRS)v6 / UTM zone 21N</v>
      </c>
      <c r="J5810" t="str">
        <v>Canada between 60°W and 54°W - Newfoundland and Labrador; Nunavut; Quebec.</v>
      </c>
      <c r="K5810" s="11">
        <v>0</v>
      </c>
    </row>
    <row r="5811" spans="5:11" x14ac:dyDescent="0.35">
      <c r="E5811" s="9" t="str">
        <v>EPSG</v>
      </c>
      <c r="F5811" s="7" t="str">
        <v>22622</v>
      </c>
      <c r="G5811" t="str">
        <v>ProjectedCrs</v>
      </c>
      <c r="H5811" t="str">
        <v>Transverse Mercator</v>
      </c>
      <c r="I5811" t="str">
        <v>NAD83(CSRS)v6 / UTM zone 22N</v>
      </c>
      <c r="J5811" t="str">
        <v>Canada between 54°W and 48°W onshore and offshore - Newfoundland and Labrador.</v>
      </c>
      <c r="K5811" s="11">
        <v>0</v>
      </c>
    </row>
    <row r="5812" spans="5:11" x14ac:dyDescent="0.35">
      <c r="E5812" s="9" t="str">
        <v>EPSG</v>
      </c>
      <c r="F5812" s="7" t="str">
        <v>22639</v>
      </c>
      <c r="G5812" t="str">
        <v>ProjectedCrs</v>
      </c>
      <c r="H5812" t="str">
        <v>Oblique Stereographic</v>
      </c>
      <c r="I5812" t="str">
        <v>NAD83(CSRS)v6 / PEI Stereographic</v>
      </c>
      <c r="J5812" t="str">
        <v>Canada - Prince Edward Island.</v>
      </c>
      <c r="K5812" s="11">
        <v>0</v>
      </c>
    </row>
    <row r="5813" spans="5:11" x14ac:dyDescent="0.35">
      <c r="E5813" s="9" t="str">
        <v>EPSG</v>
      </c>
      <c r="F5813" s="7" t="str">
        <v>22641</v>
      </c>
      <c r="G5813" t="str">
        <v>ProjectedCrs</v>
      </c>
      <c r="H5813" t="str">
        <v>Transverse Mercator</v>
      </c>
      <c r="I5813" t="str">
        <v>NAD83(CSRS)v6 / MTM zone 1</v>
      </c>
      <c r="J5813" t="str">
        <v>Canada - Newfoundland - onshore east of 54°30'W.</v>
      </c>
      <c r="K5813" s="11">
        <v>0</v>
      </c>
    </row>
    <row r="5814" spans="5:11" x14ac:dyDescent="0.35">
      <c r="E5814" s="9" t="str">
        <v>EPSG</v>
      </c>
      <c r="F5814" s="7" t="str">
        <v>22642</v>
      </c>
      <c r="G5814" t="str">
        <v>ProjectedCrs</v>
      </c>
      <c r="H5814" t="str">
        <v>Transverse Mercator</v>
      </c>
      <c r="I5814" t="str">
        <v>NAD83(CSRS)v6 / MTM zone 2</v>
      </c>
      <c r="J5814" t="str">
        <v>Canada - Newfoundland and Labrador between 57°30'W and 54°30'W.</v>
      </c>
      <c r="K5814" s="11">
        <v>0</v>
      </c>
    </row>
    <row r="5815" spans="5:11" x14ac:dyDescent="0.35">
      <c r="E5815" s="9" t="str">
        <v>EPSG</v>
      </c>
      <c r="F5815" s="7" t="str">
        <v>22643</v>
      </c>
      <c r="G5815" t="str">
        <v>ProjectedCrs</v>
      </c>
      <c r="H5815" t="str">
        <v>Transverse Mercator</v>
      </c>
      <c r="I5815" t="str">
        <v>NAD83(CSRS)v6 / MTM zone 3</v>
      </c>
      <c r="J5815" t="str">
        <v>Canada - Newfoundland west of 57°30'W.</v>
      </c>
      <c r="K5815" s="11">
        <v>0</v>
      </c>
    </row>
    <row r="5816" spans="5:11" x14ac:dyDescent="0.35">
      <c r="E5816" s="9" t="str">
        <v>EPSG</v>
      </c>
      <c r="F5816" s="7" t="str">
        <v>22644</v>
      </c>
      <c r="G5816" t="str">
        <v>ProjectedCrs</v>
      </c>
      <c r="H5816" t="str">
        <v>Transverse Mercator</v>
      </c>
      <c r="I5816" t="str">
        <v>NAD83(CSRS)v6 / MTM zone 4</v>
      </c>
      <c r="J5816" t="str">
        <v>Canada - Labrador between 63°W and 60°W.</v>
      </c>
      <c r="K5816" s="11">
        <v>0</v>
      </c>
    </row>
    <row r="5817" spans="5:11" x14ac:dyDescent="0.35">
      <c r="E5817" s="9" t="str">
        <v>EPSG</v>
      </c>
      <c r="F5817" s="7" t="str">
        <v>22645</v>
      </c>
      <c r="G5817" t="str">
        <v>ProjectedCrs</v>
      </c>
      <c r="H5817" t="str">
        <v>Transverse Mercator</v>
      </c>
      <c r="I5817" t="str">
        <v>NAD83(CSRS)v6 / MTM zone 5</v>
      </c>
      <c r="J5817" t="str">
        <v>Canada - Labrador - 66°W to 63°W.</v>
      </c>
      <c r="K5817" s="11">
        <v>0</v>
      </c>
    </row>
    <row r="5818" spans="5:11" x14ac:dyDescent="0.35">
      <c r="E5818" s="9" t="str">
        <v>EPSG</v>
      </c>
      <c r="F5818" s="7" t="str">
        <v>22646</v>
      </c>
      <c r="G5818" t="str">
        <v>ProjectedCrs</v>
      </c>
      <c r="H5818" t="str">
        <v>Transverse Mercator</v>
      </c>
      <c r="I5818" t="str">
        <v>NAD83(CSRS)v6 / MTM zone 6</v>
      </c>
      <c r="J5818" t="str">
        <v>Canada - Labrador - west of 66°W.</v>
      </c>
      <c r="K5818" s="11">
        <v>0</v>
      </c>
    </row>
    <row r="5819" spans="5:11" x14ac:dyDescent="0.35">
      <c r="E5819" s="9" t="str">
        <v>EPSG</v>
      </c>
      <c r="F5819" s="7" t="str">
        <v>22648</v>
      </c>
      <c r="G5819" t="str">
        <v>ProjectedCrs</v>
      </c>
      <c r="H5819" t="str">
        <v>Transverse Mercator</v>
      </c>
      <c r="I5819" t="str">
        <v>NAD83(CSRS)v6 / MTM zone 8</v>
      </c>
      <c r="J5819" t="str">
        <v>Canada - Ontario - east of 75°W.</v>
      </c>
      <c r="K5819" s="11">
        <v>0</v>
      </c>
    </row>
    <row r="5820" spans="5:11" x14ac:dyDescent="0.35">
      <c r="E5820" s="9" t="str">
        <v>EPSG</v>
      </c>
      <c r="F5820" s="7" t="str">
        <v>22649</v>
      </c>
      <c r="G5820" t="str">
        <v>ProjectedCrs</v>
      </c>
      <c r="H5820" t="str">
        <v>Transverse Mercator</v>
      </c>
      <c r="I5820" t="str">
        <v>NAD83(CSRS)v6 / MTM zone 9</v>
      </c>
      <c r="J5820" t="str">
        <v>Canada - Ontario - between 78°W and 75°W.</v>
      </c>
      <c r="K5820" s="11">
        <v>0</v>
      </c>
    </row>
    <row r="5821" spans="5:11" x14ac:dyDescent="0.35">
      <c r="E5821" s="9" t="str">
        <v>EPSG</v>
      </c>
      <c r="F5821" s="7" t="str">
        <v>22650</v>
      </c>
      <c r="G5821" t="str">
        <v>ProjectedCrs</v>
      </c>
      <c r="H5821" t="str">
        <v>Transverse Mercator</v>
      </c>
      <c r="I5821" t="str">
        <v>NAD83(CSRS)v6 / MTM zone 10</v>
      </c>
      <c r="J5821" t="str">
        <v>Canada - Ontario - between 81°W and 78°W: south of 46°N in area to west of 80°15'W, south of 47°N in area between 80°15'W and 79°30'W, entire province between 79°30'W and 78°W.</v>
      </c>
      <c r="K5821" s="11">
        <v>0</v>
      </c>
    </row>
    <row r="5822" spans="5:11" x14ac:dyDescent="0.35">
      <c r="E5822" s="9" t="str">
        <v>EPSG</v>
      </c>
      <c r="F5822" s="7" t="str">
        <v>22651</v>
      </c>
      <c r="G5822" t="str">
        <v>ProjectedCrs</v>
      </c>
      <c r="H5822" t="str">
        <v>Transverse Mercator</v>
      </c>
      <c r="I5822" t="str">
        <v>NAD83(CSRS)v6 / MTM zone 11</v>
      </c>
      <c r="J5822" t="str">
        <v>Canada - Ontario - south of 46°N and west of 81°W.</v>
      </c>
      <c r="K5822" s="11">
        <v>0</v>
      </c>
    </row>
    <row r="5823" spans="5:11" x14ac:dyDescent="0.35">
      <c r="E5823" s="9" t="str">
        <v>EPSG</v>
      </c>
      <c r="F5823" s="7" t="str">
        <v>22652</v>
      </c>
      <c r="G5823" t="str">
        <v>ProjectedCrs</v>
      </c>
      <c r="H5823" t="str">
        <v>Transverse Mercator</v>
      </c>
      <c r="I5823" t="str">
        <v>NAD83(CSRS)v6 / MTM zone 12</v>
      </c>
      <c r="J5823" t="str">
        <v>Canada - Ontario - between 82°30'W and 79°30'W: north of 46°N in area between 82°30'W and 80°15'W, north of 47°N in area between 80°15'W and 79°30'W.</v>
      </c>
      <c r="K5823" s="11">
        <v>0</v>
      </c>
    </row>
    <row r="5824" spans="5:11" x14ac:dyDescent="0.35">
      <c r="E5824" s="9" t="str">
        <v>EPSG</v>
      </c>
      <c r="F5824" s="7" t="str">
        <v>22653</v>
      </c>
      <c r="G5824" t="str">
        <v>ProjectedCrs</v>
      </c>
      <c r="H5824" t="str">
        <v>Transverse Mercator</v>
      </c>
      <c r="I5824" t="str">
        <v>NAD83(CSRS)v6 / MTM zone 13</v>
      </c>
      <c r="J5824" t="str">
        <v>Canada - Ontario - between 85°30'W and 82°30'W and north of 46°N.</v>
      </c>
      <c r="K5824" s="11">
        <v>0</v>
      </c>
    </row>
    <row r="5825" spans="5:11" x14ac:dyDescent="0.35">
      <c r="E5825" s="9" t="str">
        <v>EPSG</v>
      </c>
      <c r="F5825" s="7" t="str">
        <v>22654</v>
      </c>
      <c r="G5825" t="str">
        <v>ProjectedCrs</v>
      </c>
      <c r="H5825" t="str">
        <v>Transverse Mercator</v>
      </c>
      <c r="I5825" t="str">
        <v>NAD83(CSRS)v6 / MTM zone 14</v>
      </c>
      <c r="J5825" t="str">
        <v>Canada - Ontario - between 88°30'W and 85°30'W.</v>
      </c>
      <c r="K5825" s="11">
        <v>0</v>
      </c>
    </row>
    <row r="5826" spans="5:11" x14ac:dyDescent="0.35">
      <c r="E5826" s="9" t="str">
        <v>EPSG</v>
      </c>
      <c r="F5826" s="7" t="str">
        <v>22655</v>
      </c>
      <c r="G5826" t="str">
        <v>ProjectedCrs</v>
      </c>
      <c r="H5826" t="str">
        <v>Transverse Mercator</v>
      </c>
      <c r="I5826" t="str">
        <v>NAD83(CSRS)v6 / MTM zone 15</v>
      </c>
      <c r="J5826" t="str">
        <v>Canada - Ontario - between 91°30'W and 88°30'W.</v>
      </c>
      <c r="K5826" s="11">
        <v>0</v>
      </c>
    </row>
    <row r="5827" spans="5:11" x14ac:dyDescent="0.35">
      <c r="E5827" s="9" t="str">
        <v>EPSG</v>
      </c>
      <c r="F5827" s="7" t="str">
        <v>22656</v>
      </c>
      <c r="G5827" t="str">
        <v>ProjectedCrs</v>
      </c>
      <c r="H5827" t="str">
        <v>Transverse Mercator</v>
      </c>
      <c r="I5827" t="str">
        <v>NAD83(CSRS)v6 / MTM zone 16</v>
      </c>
      <c r="J5827" t="str">
        <v>Canada - Ontario - between 94°30'W and 91°30'W.</v>
      </c>
      <c r="K5827" s="11">
        <v>0</v>
      </c>
    </row>
    <row r="5828" spans="5:11" x14ac:dyDescent="0.35">
      <c r="E5828" s="9" t="str">
        <v>EPSG</v>
      </c>
      <c r="F5828" s="7" t="str">
        <v>22657</v>
      </c>
      <c r="G5828" t="str">
        <v>ProjectedCrs</v>
      </c>
      <c r="H5828" t="str">
        <v>Transverse Mercator</v>
      </c>
      <c r="I5828" t="str">
        <v>NAD83(CSRS)v6 / MTM zone 17</v>
      </c>
      <c r="J5828" t="str">
        <v>Canada - Ontario - west of 94°30'W.</v>
      </c>
      <c r="K5828" s="11">
        <v>0</v>
      </c>
    </row>
    <row r="5829" spans="5:11" x14ac:dyDescent="0.35">
      <c r="E5829" s="9" t="str">
        <v>EPSG</v>
      </c>
      <c r="F5829" s="7" t="str">
        <v>22700</v>
      </c>
      <c r="G5829" t="str">
        <v>ProjectedCrs</v>
      </c>
      <c r="H5829" t="str">
        <v>Lambert Conic Near-Conformal</v>
      </c>
      <c r="I5829" t="str">
        <v>Deir ez Zor / Levant Zone</v>
      </c>
      <c r="J5829" t="str">
        <v>Lebanon - onshore. Syrian Arab Republic - onshore.</v>
      </c>
      <c r="K5829" s="11">
        <v>0</v>
      </c>
    </row>
    <row r="5830" spans="5:11" x14ac:dyDescent="0.35">
      <c r="E5830" s="9" t="str">
        <v>EPSG</v>
      </c>
      <c r="F5830" s="7" t="str">
        <v>22707</v>
      </c>
      <c r="G5830" t="str">
        <v>ProjectedCrs</v>
      </c>
      <c r="H5830" t="str">
        <v>Transverse Mercator</v>
      </c>
      <c r="I5830" t="str">
        <v>NAD83(CSRS)v7 / UTM zone 7N</v>
      </c>
      <c r="J5830" t="str">
        <v>Canada west of 138°W, onshore and offshore south of 84°N - British Columbia, Yukon.</v>
      </c>
      <c r="K5830" s="11">
        <v>0</v>
      </c>
    </row>
    <row r="5831" spans="5:11" x14ac:dyDescent="0.35">
      <c r="E5831" s="9" t="str">
        <v>EPSG</v>
      </c>
      <c r="F5831" s="7" t="str">
        <v>22708</v>
      </c>
      <c r="G5831" t="str">
        <v>ProjectedCrs</v>
      </c>
      <c r="H5831" t="str">
        <v>Transverse Mercator</v>
      </c>
      <c r="I5831" t="str">
        <v>NAD83(CSRS)v7 / UTM zone 8N</v>
      </c>
      <c r="J5831" t="str">
        <v>Canada between 138°W and 132°W, onshore and offshore south of 84°N - British Columbia, Northwest Territories, Yukon.</v>
      </c>
      <c r="K5831" s="11">
        <v>0</v>
      </c>
    </row>
    <row r="5832" spans="5:11" x14ac:dyDescent="0.35">
      <c r="E5832" s="9" t="str">
        <v>EPSG</v>
      </c>
      <c r="F5832" s="7" t="str">
        <v>22709</v>
      </c>
      <c r="G5832" t="str">
        <v>ProjectedCrs</v>
      </c>
      <c r="H5832" t="str">
        <v>Transverse Mercator</v>
      </c>
      <c r="I5832" t="str">
        <v>NAD83(CSRS)v7 / UTM zone 9N</v>
      </c>
      <c r="J5832" t="str">
        <v>Canada - between 132°W and 126°W, onshore and offshore south of 84°N - British Columbia, Northwest Territories, Yukon.</v>
      </c>
      <c r="K5832" s="11">
        <v>0</v>
      </c>
    </row>
    <row r="5833" spans="5:11" x14ac:dyDescent="0.35">
      <c r="E5833" s="9" t="str">
        <v>EPSG</v>
      </c>
      <c r="F5833" s="7" t="str">
        <v>22710</v>
      </c>
      <c r="G5833" t="str">
        <v>ProjectedCrs</v>
      </c>
      <c r="H5833" t="str">
        <v>Transverse Mercator</v>
      </c>
      <c r="I5833" t="str">
        <v>NAD83(CSRS)v7 / UTM zone 10N</v>
      </c>
      <c r="J5833" t="str">
        <v>Canada between 126°W and 120°W, onshore and offshore south of 84°N - British Columbia, Northwest Territories, Yukon.</v>
      </c>
      <c r="K5833" s="11">
        <v>0</v>
      </c>
    </row>
    <row r="5834" spans="5:11" x14ac:dyDescent="0.35">
      <c r="E5834" s="9" t="str">
        <v>EPSG</v>
      </c>
      <c r="F5834" s="7" t="str">
        <v>22711</v>
      </c>
      <c r="G5834" t="str">
        <v>ProjectedCrs</v>
      </c>
      <c r="H5834" t="str">
        <v>Transverse Mercator</v>
      </c>
      <c r="I5834" t="str">
        <v>NAD83(CSRS)v7 / UTM zone 11N</v>
      </c>
      <c r="J5834" t="str">
        <v>Canada between 120°W and 114°W onshore and offshore - Alberta, British Columbia, Northwest Territories, Nunavut.</v>
      </c>
      <c r="K5834" s="11">
        <v>0</v>
      </c>
    </row>
    <row r="5835" spans="5:11" x14ac:dyDescent="0.35">
      <c r="E5835" s="9" t="str">
        <v>EPSG</v>
      </c>
      <c r="F5835" s="7" t="str">
        <v>22712</v>
      </c>
      <c r="G5835" t="str">
        <v>ProjectedCrs</v>
      </c>
      <c r="H5835" t="str">
        <v>Transverse Mercator</v>
      </c>
      <c r="I5835" t="str">
        <v>NAD83(CSRS)v7 / UTM zone 12N</v>
      </c>
      <c r="J5835" t="str">
        <v>Canada between 114°W and 108°W onshore and offshore - Alberta, Northwest Territories, Nunavut, Saskatchewan.</v>
      </c>
      <c r="K5835" s="11">
        <v>0</v>
      </c>
    </row>
    <row r="5836" spans="5:11" x14ac:dyDescent="0.35">
      <c r="E5836" s="9" t="str">
        <v>EPSG</v>
      </c>
      <c r="F5836" s="7" t="str">
        <v>22713</v>
      </c>
      <c r="G5836" t="str">
        <v>ProjectedCrs</v>
      </c>
      <c r="H5836" t="str">
        <v>Transverse Mercator</v>
      </c>
      <c r="I5836" t="str">
        <v>NAD83(CSRS)v7 / UTM zone 13N</v>
      </c>
      <c r="J5836" t="str">
        <v>Canada between 108°W and 102°W onshore and offshore - Northwest Territories, Nunavut, Saskatchewan.</v>
      </c>
      <c r="K5836" s="11">
        <v>0</v>
      </c>
    </row>
    <row r="5837" spans="5:11" x14ac:dyDescent="0.35">
      <c r="E5837" s="9" t="str">
        <v>EPSG</v>
      </c>
      <c r="F5837" s="7" t="str">
        <v>22714</v>
      </c>
      <c r="G5837" t="str">
        <v>ProjectedCrs</v>
      </c>
      <c r="H5837" t="str">
        <v>Transverse Mercator</v>
      </c>
      <c r="I5837" t="str">
        <v>NAD83(CSRS)v7 / UTM zone 14N</v>
      </c>
      <c r="J5837" t="str">
        <v>Canada between 102°W and 96°W, onshore and offshore south of 84°N - Manitoba, Nunavut, Saskatchewan.</v>
      </c>
      <c r="K5837" s="11">
        <v>0</v>
      </c>
    </row>
    <row r="5838" spans="5:11" x14ac:dyDescent="0.35">
      <c r="E5838" s="9" t="str">
        <v>EPSG</v>
      </c>
      <c r="F5838" s="7" t="str">
        <v>22715</v>
      </c>
      <c r="G5838" t="str">
        <v>ProjectedCrs</v>
      </c>
      <c r="H5838" t="str">
        <v>Transverse Mercator</v>
      </c>
      <c r="I5838" t="str">
        <v>NAD83(CSRS)v7 / UTM zone 15N</v>
      </c>
      <c r="J5838" t="str">
        <v>Canada between 96°W and 90°W, onshore and offshore south of 84°N - Manitoba, Nunavut, Ontario.</v>
      </c>
      <c r="K5838" s="11">
        <v>0</v>
      </c>
    </row>
    <row r="5839" spans="5:11" x14ac:dyDescent="0.35">
      <c r="E5839" s="9" t="str">
        <v>EPSG</v>
      </c>
      <c r="F5839" s="7" t="str">
        <v>22716</v>
      </c>
      <c r="G5839" t="str">
        <v>ProjectedCrs</v>
      </c>
      <c r="H5839" t="str">
        <v>Transverse Mercator</v>
      </c>
      <c r="I5839" t="str">
        <v>NAD83(CSRS)v7 / UTM zone 16N</v>
      </c>
      <c r="J5839" t="str">
        <v>Canada between 90°W and 84°W, onshore and offshore south of 84°N - Manitoba, Nunavut, Ontario.</v>
      </c>
      <c r="K5839" s="11">
        <v>0</v>
      </c>
    </row>
    <row r="5840" spans="5:11" x14ac:dyDescent="0.35">
      <c r="E5840" s="9" t="str">
        <v>EPSG</v>
      </c>
      <c r="F5840" s="7" t="str">
        <v>22717</v>
      </c>
      <c r="G5840" t="str">
        <v>ProjectedCrs</v>
      </c>
      <c r="H5840" t="str">
        <v>Transverse Mercator</v>
      </c>
      <c r="I5840" t="str">
        <v>NAD83(CSRS)v7 / UTM zone 17N</v>
      </c>
      <c r="J5840" t="str">
        <v>Canada between 84°W and 78°W, onshore and offshore south of 84°N - Nunavut, Ontario and Quebec.</v>
      </c>
      <c r="K5840" s="11">
        <v>0</v>
      </c>
    </row>
    <row r="5841" spans="5:11" x14ac:dyDescent="0.35">
      <c r="E5841" s="9" t="str">
        <v>EPSG</v>
      </c>
      <c r="F5841" s="7" t="str">
        <v>22718</v>
      </c>
      <c r="G5841" t="str">
        <v>ProjectedCrs</v>
      </c>
      <c r="H5841" t="str">
        <v>Transverse Mercator</v>
      </c>
      <c r="I5841" t="str">
        <v>NAD83(CSRS)v7 / UTM zone 18N</v>
      </c>
      <c r="J5841" t="str">
        <v>Canada between 78°W and 72°W, onshore and offshore south of 84°N - Nunavut, Ontario and Quebec.</v>
      </c>
      <c r="K5841" s="11">
        <v>0</v>
      </c>
    </row>
    <row r="5842" spans="5:11" x14ac:dyDescent="0.35">
      <c r="E5842" s="9" t="str">
        <v>EPSG</v>
      </c>
      <c r="F5842" s="7" t="str">
        <v>22719</v>
      </c>
      <c r="G5842" t="str">
        <v>ProjectedCrs</v>
      </c>
      <c r="H5842" t="str">
        <v>Transverse Mercator</v>
      </c>
      <c r="I5842" t="str">
        <v>NAD83(CSRS)v7 / UTM zone 19N</v>
      </c>
      <c r="J5842" t="str">
        <v>Canada between 72°W and 66°W onshore and offshore - New Brunswick, Labrador, Nova Scotia, Nunavut, Quebec.</v>
      </c>
      <c r="K5842" s="11">
        <v>0</v>
      </c>
    </row>
    <row r="5843" spans="5:11" x14ac:dyDescent="0.35">
      <c r="E5843" s="9" t="str">
        <v>EPSG</v>
      </c>
      <c r="F5843" s="7" t="str">
        <v>22720</v>
      </c>
      <c r="G5843" t="str">
        <v>ProjectedCrs</v>
      </c>
      <c r="H5843" t="str">
        <v>Transverse Mercator</v>
      </c>
      <c r="I5843" t="str">
        <v>NAD83(CSRS)v7 / UTM zone 20N</v>
      </c>
      <c r="J5843" t="str">
        <v>Canada between 66°W and 60°W onshore and offshore - New Brunswick, Labrador, Nova Scotia, Nunavut, Prince Edward Island, Quebec.</v>
      </c>
      <c r="K5843" s="11">
        <v>0</v>
      </c>
    </row>
    <row r="5844" spans="5:11" x14ac:dyDescent="0.35">
      <c r="E5844" s="9" t="str">
        <v>EPSG</v>
      </c>
      <c r="F5844" s="7" t="str">
        <v>22721</v>
      </c>
      <c r="G5844" t="str">
        <v>ProjectedCrs</v>
      </c>
      <c r="H5844" t="str">
        <v>Transverse Mercator</v>
      </c>
      <c r="I5844" t="str">
        <v>NAD83(CSRS)v7 / UTM zone 21N</v>
      </c>
      <c r="J5844" t="str">
        <v>Canada between 60°W and 54°W - Newfoundland and Labrador; Nunavut; Quebec.</v>
      </c>
      <c r="K5844" s="11">
        <v>0</v>
      </c>
    </row>
    <row r="5845" spans="5:11" x14ac:dyDescent="0.35">
      <c r="E5845" s="9" t="str">
        <v>EPSG</v>
      </c>
      <c r="F5845" s="7" t="str">
        <v>22722</v>
      </c>
      <c r="G5845" t="str">
        <v>ProjectedCrs</v>
      </c>
      <c r="H5845" t="str">
        <v>Transverse Mercator</v>
      </c>
      <c r="I5845" t="str">
        <v>NAD83(CSRS)v7 / UTM zone 22N</v>
      </c>
      <c r="J5845" t="str">
        <v>Canada between 54°W and 48°W onshore and offshore - Newfoundland and Labrador.</v>
      </c>
      <c r="K5845" s="11">
        <v>0</v>
      </c>
    </row>
    <row r="5846" spans="5:11" x14ac:dyDescent="0.35">
      <c r="E5846" s="9" t="str">
        <v>EPSG</v>
      </c>
      <c r="F5846" s="7" t="str">
        <v>22739</v>
      </c>
      <c r="G5846" t="str">
        <v>ProjectedCrs</v>
      </c>
      <c r="H5846" t="str">
        <v>Oblique Stereographic</v>
      </c>
      <c r="I5846" t="str">
        <v>NAD83(CSRS)v7 / PEI Stereographic</v>
      </c>
      <c r="J5846" t="str">
        <v>Canada - Prince Edward Island.</v>
      </c>
      <c r="K5846" s="11">
        <v>0</v>
      </c>
    </row>
    <row r="5847" spans="5:11" x14ac:dyDescent="0.35">
      <c r="E5847" s="9" t="str">
        <v>EPSG</v>
      </c>
      <c r="F5847" s="7" t="str">
        <v>22762</v>
      </c>
      <c r="G5847" t="str">
        <v>ProjectedCrs</v>
      </c>
      <c r="H5847" t="str">
        <v>Transverse Mercator</v>
      </c>
      <c r="I5847" t="str">
        <v>NAD83(CSRS)v7 / Alberta 3TM ref merid 111 W</v>
      </c>
      <c r="J5847" t="str">
        <v>Canada - Alberta - east of 112°30'W.</v>
      </c>
      <c r="K5847" s="11">
        <v>0</v>
      </c>
    </row>
    <row r="5848" spans="5:11" x14ac:dyDescent="0.35">
      <c r="E5848" s="9" t="str">
        <v>EPSG</v>
      </c>
      <c r="F5848" s="7" t="str">
        <v>22763</v>
      </c>
      <c r="G5848" t="str">
        <v>ProjectedCrs</v>
      </c>
      <c r="H5848" t="str">
        <v>Transverse Mercator</v>
      </c>
      <c r="I5848" t="str">
        <v>NAD83(CSRS)v7 / Alberta 3TM ref merid 114 W</v>
      </c>
      <c r="J5848" t="str">
        <v>Canada - Alberta - between 115°30'W and 112°30'W.</v>
      </c>
      <c r="K5848" s="11">
        <v>0</v>
      </c>
    </row>
    <row r="5849" spans="5:11" x14ac:dyDescent="0.35">
      <c r="E5849" s="9" t="str">
        <v>EPSG</v>
      </c>
      <c r="F5849" s="7" t="str">
        <v>22764</v>
      </c>
      <c r="G5849" t="str">
        <v>ProjectedCrs</v>
      </c>
      <c r="H5849" t="str">
        <v>Transverse Mercator</v>
      </c>
      <c r="I5849" t="str">
        <v>NAD83(CSRS)v7 / Alberta 3TM ref merid 117 W</v>
      </c>
      <c r="J5849" t="str">
        <v>Canada - Alberta - between 118°30'W and 115°30' W.</v>
      </c>
      <c r="K5849" s="11">
        <v>0</v>
      </c>
    </row>
    <row r="5850" spans="5:11" x14ac:dyDescent="0.35">
      <c r="E5850" s="9" t="str">
        <v>EPSG</v>
      </c>
      <c r="F5850" s="7" t="str">
        <v>22765</v>
      </c>
      <c r="G5850" t="str">
        <v>ProjectedCrs</v>
      </c>
      <c r="H5850" t="str">
        <v>Transverse Mercator</v>
      </c>
      <c r="I5850" t="str">
        <v>NAD83(CSRS)v7 / Alberta 3TM ref merid 120 W</v>
      </c>
      <c r="J5850" t="str">
        <v>Canada - Alberta - west of 118°30' W.</v>
      </c>
      <c r="K5850" s="11">
        <v>0</v>
      </c>
    </row>
    <row r="5851" spans="5:11" x14ac:dyDescent="0.35">
      <c r="E5851" s="9" t="str">
        <v>EPSG</v>
      </c>
      <c r="F5851" s="7" t="str">
        <v>22770</v>
      </c>
      <c r="G5851" t="str">
        <v>ProjectedCrs</v>
      </c>
      <c r="H5851" t="str">
        <v>Lambert Conic Conformal (1SP)</v>
      </c>
      <c r="I5851" t="str">
        <v>Deir ez Zor / Syria Lambert</v>
      </c>
      <c r="J5851" t="str">
        <v>Lebanon - onshore. Syrian Arab Republic - onshore.</v>
      </c>
      <c r="K5851" s="11">
        <v>0</v>
      </c>
    </row>
    <row r="5852" spans="5:11" x14ac:dyDescent="0.35">
      <c r="E5852" s="9" t="str">
        <v>EPSG</v>
      </c>
      <c r="F5852" s="7" t="str">
        <v>22780</v>
      </c>
      <c r="G5852" t="str">
        <v>ProjectedCrs</v>
      </c>
      <c r="H5852" t="str">
        <v>Oblique Stereographic</v>
      </c>
      <c r="I5852" t="str">
        <v>Deir ez Zor / Levant Stereographic</v>
      </c>
      <c r="J5852" t="str">
        <v>Lebanon - onshore. Syrian Arab Republic - onshore.</v>
      </c>
      <c r="K5852" s="11">
        <v>0</v>
      </c>
    </row>
    <row r="5853" spans="5:11" x14ac:dyDescent="0.35">
      <c r="E5853" s="9" t="str">
        <v>EPSG</v>
      </c>
      <c r="F5853" s="7" t="str">
        <v>22807</v>
      </c>
      <c r="G5853" t="str">
        <v>ProjectedCrs</v>
      </c>
      <c r="H5853" t="str">
        <v>Transverse Mercator</v>
      </c>
      <c r="I5853" t="str">
        <v>NAD83(CSRS)v8 / UTM zone 7N</v>
      </c>
      <c r="J5853" t="str">
        <v>Canada west of 138°W, onshore and offshore south of 84°N - British Columbia, Yukon.</v>
      </c>
      <c r="K5853" s="11">
        <v>0</v>
      </c>
    </row>
    <row r="5854" spans="5:11" x14ac:dyDescent="0.35">
      <c r="E5854" s="9" t="str">
        <v>EPSG</v>
      </c>
      <c r="F5854" s="7" t="str">
        <v>22808</v>
      </c>
      <c r="G5854" t="str">
        <v>ProjectedCrs</v>
      </c>
      <c r="H5854" t="str">
        <v>Transverse Mercator</v>
      </c>
      <c r="I5854" t="str">
        <v>NAD83(CSRS)v8 / UTM zone 8N</v>
      </c>
      <c r="J5854" t="str">
        <v>Canada between 138°W and 132°W, onshore and offshore south of 84°N - British Columbia, Northwest Territories, Yukon.</v>
      </c>
      <c r="K5854" s="11">
        <v>0</v>
      </c>
    </row>
    <row r="5855" spans="5:11" x14ac:dyDescent="0.35">
      <c r="E5855" s="9" t="str">
        <v>EPSG</v>
      </c>
      <c r="F5855" s="7" t="str">
        <v>22809</v>
      </c>
      <c r="G5855" t="str">
        <v>ProjectedCrs</v>
      </c>
      <c r="H5855" t="str">
        <v>Transverse Mercator</v>
      </c>
      <c r="I5855" t="str">
        <v>NAD83(CSRS)v8 / UTM zone 9N</v>
      </c>
      <c r="J5855" t="str">
        <v>Canada - between 132°W and 126°W, onshore and offshore south of 84°N - British Columbia, Northwest Territories, Yukon.</v>
      </c>
      <c r="K5855" s="11">
        <v>0</v>
      </c>
    </row>
    <row r="5856" spans="5:11" x14ac:dyDescent="0.35">
      <c r="E5856" s="9" t="str">
        <v>EPSG</v>
      </c>
      <c r="F5856" s="7" t="str">
        <v>22810</v>
      </c>
      <c r="G5856" t="str">
        <v>ProjectedCrs</v>
      </c>
      <c r="H5856" t="str">
        <v>Transverse Mercator</v>
      </c>
      <c r="I5856" t="str">
        <v>NAD83(CSRS)v8 / UTM zone 10N</v>
      </c>
      <c r="J5856" t="str">
        <v>Canada between 126°W and 120°W, onshore and offshore south of 84°N - British Columbia, Northwest Territories, Yukon.</v>
      </c>
      <c r="K5856" s="11">
        <v>0</v>
      </c>
    </row>
    <row r="5857" spans="5:11" x14ac:dyDescent="0.35">
      <c r="E5857" s="9" t="str">
        <v>EPSG</v>
      </c>
      <c r="F5857" s="7" t="str">
        <v>22811</v>
      </c>
      <c r="G5857" t="str">
        <v>ProjectedCrs</v>
      </c>
      <c r="H5857" t="str">
        <v>Transverse Mercator</v>
      </c>
      <c r="I5857" t="str">
        <v>NAD83(CSRS)v8 / UTM zone 11N</v>
      </c>
      <c r="J5857" t="str">
        <v>Canada between 120°W and 114°W onshore and offshore - Alberta, British Columbia, Northwest Territories, Nunavut.</v>
      </c>
      <c r="K5857" s="11">
        <v>0</v>
      </c>
    </row>
    <row r="5858" spans="5:11" x14ac:dyDescent="0.35">
      <c r="E5858" s="9" t="str">
        <v>EPSG</v>
      </c>
      <c r="F5858" s="7" t="str">
        <v>22812</v>
      </c>
      <c r="G5858" t="str">
        <v>ProjectedCrs</v>
      </c>
      <c r="H5858" t="str">
        <v>Transverse Mercator</v>
      </c>
      <c r="I5858" t="str">
        <v>NAD83(CSRS)v8 / UTM zone 12N</v>
      </c>
      <c r="J5858" t="str">
        <v>Canada between 114°W and 108°W onshore and offshore - Alberta, Northwest Territories, Nunavut, Saskatchewan.</v>
      </c>
      <c r="K5858" s="11">
        <v>0</v>
      </c>
    </row>
    <row r="5859" spans="5:11" x14ac:dyDescent="0.35">
      <c r="E5859" s="9" t="str">
        <v>EPSG</v>
      </c>
      <c r="F5859" s="7" t="str">
        <v>22813</v>
      </c>
      <c r="G5859" t="str">
        <v>ProjectedCrs</v>
      </c>
      <c r="H5859" t="str">
        <v>Transverse Mercator</v>
      </c>
      <c r="I5859" t="str">
        <v>NAD83(CSRS)v8 / UTM zone 13N</v>
      </c>
      <c r="J5859" t="str">
        <v>Canada between 108°W and 102°W onshore and offshore - Northwest Territories, Nunavut, Saskatchewan.</v>
      </c>
      <c r="K5859" s="11">
        <v>0</v>
      </c>
    </row>
    <row r="5860" spans="5:11" x14ac:dyDescent="0.35">
      <c r="E5860" s="9" t="str">
        <v>EPSG</v>
      </c>
      <c r="F5860" s="7" t="str">
        <v>22814</v>
      </c>
      <c r="G5860" t="str">
        <v>ProjectedCrs</v>
      </c>
      <c r="H5860" t="str">
        <v>Transverse Mercator</v>
      </c>
      <c r="I5860" t="str">
        <v>NAD83(CSRS)v8 / UTM zone 14N</v>
      </c>
      <c r="J5860" t="str">
        <v>Canada between 102°W and 96°W, onshore and offshore south of 84°N - Manitoba, Nunavut, Saskatchewan.</v>
      </c>
      <c r="K5860" s="11">
        <v>0</v>
      </c>
    </row>
    <row r="5861" spans="5:11" x14ac:dyDescent="0.35">
      <c r="E5861" s="9" t="str">
        <v>EPSG</v>
      </c>
      <c r="F5861" s="7" t="str">
        <v>22815</v>
      </c>
      <c r="G5861" t="str">
        <v>ProjectedCrs</v>
      </c>
      <c r="H5861" t="str">
        <v>Transverse Mercator</v>
      </c>
      <c r="I5861" t="str">
        <v>NAD83(CSRS)v8 / UTM zone 15N</v>
      </c>
      <c r="J5861" t="str">
        <v>Canada between 96°W and 90°W, onshore and offshore south of 84°N - Manitoba, Nunavut, Ontario.</v>
      </c>
      <c r="K5861" s="11">
        <v>0</v>
      </c>
    </row>
    <row r="5862" spans="5:11" x14ac:dyDescent="0.35">
      <c r="E5862" s="9" t="str">
        <v>EPSG</v>
      </c>
      <c r="F5862" s="7" t="str">
        <v>22816</v>
      </c>
      <c r="G5862" t="str">
        <v>ProjectedCrs</v>
      </c>
      <c r="H5862" t="str">
        <v>Transverse Mercator</v>
      </c>
      <c r="I5862" t="str">
        <v>NAD83(CSRS)v8 / UTM zone 16N</v>
      </c>
      <c r="J5862" t="str">
        <v>Canada between 90°W and 84°W, onshore and offshore south of 84°N - Manitoba, Nunavut, Ontario.</v>
      </c>
      <c r="K5862" s="11">
        <v>0</v>
      </c>
    </row>
    <row r="5863" spans="5:11" x14ac:dyDescent="0.35">
      <c r="E5863" s="9" t="str">
        <v>EPSG</v>
      </c>
      <c r="F5863" s="7" t="str">
        <v>22817</v>
      </c>
      <c r="G5863" t="str">
        <v>ProjectedCrs</v>
      </c>
      <c r="H5863" t="str">
        <v>Transverse Mercator</v>
      </c>
      <c r="I5863" t="str">
        <v>NAD83(CSRS)v8 / UTM zone 17N</v>
      </c>
      <c r="J5863" t="str">
        <v>Canada between 84°W and 78°W, onshore and offshore south of 84°N - Nunavut, Ontario and Quebec.</v>
      </c>
      <c r="K5863" s="11">
        <v>0</v>
      </c>
    </row>
    <row r="5864" spans="5:11" x14ac:dyDescent="0.35">
      <c r="E5864" s="9" t="str">
        <v>EPSG</v>
      </c>
      <c r="F5864" s="7" t="str">
        <v>22818</v>
      </c>
      <c r="G5864" t="str">
        <v>ProjectedCrs</v>
      </c>
      <c r="H5864" t="str">
        <v>Transverse Mercator</v>
      </c>
      <c r="I5864" t="str">
        <v>NAD83(CSRS)v8 / UTM zone 18N</v>
      </c>
      <c r="J5864" t="str">
        <v>Canada between 78°W and 72°W, onshore and offshore south of 84°N - Nunavut, Ontario and Quebec.</v>
      </c>
      <c r="K5864" s="11">
        <v>0</v>
      </c>
    </row>
    <row r="5865" spans="5:11" x14ac:dyDescent="0.35">
      <c r="E5865" s="9" t="str">
        <v>EPSG</v>
      </c>
      <c r="F5865" s="7" t="str">
        <v>22819</v>
      </c>
      <c r="G5865" t="str">
        <v>ProjectedCrs</v>
      </c>
      <c r="H5865" t="str">
        <v>Transverse Mercator</v>
      </c>
      <c r="I5865" t="str">
        <v>NAD83(CSRS)v8 / UTM zone 19N</v>
      </c>
      <c r="J5865" t="str">
        <v>Canada between 72°W and 66°W onshore and offshore - New Brunswick, Labrador, Nova Scotia, Nunavut, Quebec.</v>
      </c>
      <c r="K5865" s="11">
        <v>0</v>
      </c>
    </row>
    <row r="5866" spans="5:11" x14ac:dyDescent="0.35">
      <c r="E5866" s="9" t="str">
        <v>EPSG</v>
      </c>
      <c r="F5866" s="7" t="str">
        <v>22820</v>
      </c>
      <c r="G5866" t="str">
        <v>ProjectedCrs</v>
      </c>
      <c r="H5866" t="str">
        <v>Transverse Mercator</v>
      </c>
      <c r="I5866" t="str">
        <v>NAD83(CSRS)v8 / UTM zone 20N</v>
      </c>
      <c r="J5866" t="str">
        <v>Canada between 66°W and 60°W onshore and offshore - New Brunswick, Labrador, Nova Scotia, Nunavut, Prince Edward Island, Quebec.</v>
      </c>
      <c r="K5866" s="11">
        <v>0</v>
      </c>
    </row>
    <row r="5867" spans="5:11" x14ac:dyDescent="0.35">
      <c r="E5867" s="9" t="str">
        <v>EPSG</v>
      </c>
      <c r="F5867" s="7" t="str">
        <v>22821</v>
      </c>
      <c r="G5867" t="str">
        <v>ProjectedCrs</v>
      </c>
      <c r="H5867" t="str">
        <v>Transverse Mercator</v>
      </c>
      <c r="I5867" t="str">
        <v>NAD83(CSRS)v8 / UTM zone 21N</v>
      </c>
      <c r="J5867" t="str">
        <v>Canada between 60°W and 54°W - Newfoundland and Labrador; Nunavut; Quebec.</v>
      </c>
      <c r="K5867" s="11">
        <v>0</v>
      </c>
    </row>
    <row r="5868" spans="5:11" x14ac:dyDescent="0.35">
      <c r="E5868" s="9" t="str">
        <v>EPSG</v>
      </c>
      <c r="F5868" s="7" t="str">
        <v>22822</v>
      </c>
      <c r="G5868" t="str">
        <v>ProjectedCrs</v>
      </c>
      <c r="H5868" t="str">
        <v>Transverse Mercator</v>
      </c>
      <c r="I5868" t="str">
        <v>NAD83(CSRS)v8 / UTM zone 22N</v>
      </c>
      <c r="J5868" t="str">
        <v>Canada between 54°W and 48°W onshore and offshore - Newfoundland and Labrador.</v>
      </c>
      <c r="K5868" s="11">
        <v>0</v>
      </c>
    </row>
    <row r="5869" spans="5:11" x14ac:dyDescent="0.35">
      <c r="E5869" s="9" t="str">
        <v>EPSG</v>
      </c>
      <c r="F5869" s="7" t="str">
        <v>22991</v>
      </c>
      <c r="G5869" t="str">
        <v>ProjectedCrs</v>
      </c>
      <c r="H5869" t="str">
        <v>Transverse Mercator</v>
      </c>
      <c r="I5869" t="str">
        <v>Egypt 1907 / Blue Belt</v>
      </c>
      <c r="J5869" t="str">
        <v>Egypt - east of 33°E - onshore plus offshore Gulf of Suez.</v>
      </c>
      <c r="K5869" s="11">
        <v>0</v>
      </c>
    </row>
    <row r="5870" spans="5:11" x14ac:dyDescent="0.35">
      <c r="E5870" s="9" t="str">
        <v>EPSG</v>
      </c>
      <c r="F5870" s="7" t="str">
        <v>22992</v>
      </c>
      <c r="G5870" t="str">
        <v>ProjectedCrs</v>
      </c>
      <c r="H5870" t="str">
        <v>Transverse Mercator</v>
      </c>
      <c r="I5870" t="str">
        <v>Egypt 1907 / Red Belt</v>
      </c>
      <c r="J5870" t="str">
        <v>Egypt - onshore between 29°E and 33°E, offshore Mediterranean east of 29°E and offshore Gulf of Suez.</v>
      </c>
      <c r="K5870" s="11">
        <v>0</v>
      </c>
    </row>
    <row r="5871" spans="5:11" x14ac:dyDescent="0.35">
      <c r="E5871" s="9" t="str">
        <v>EPSG</v>
      </c>
      <c r="F5871" s="7" t="str">
        <v>22993</v>
      </c>
      <c r="G5871" t="str">
        <v>ProjectedCrs</v>
      </c>
      <c r="H5871" t="str">
        <v>Transverse Mercator</v>
      </c>
      <c r="I5871" t="str">
        <v>Egypt 1907 / Purple Belt</v>
      </c>
      <c r="J5871" t="str">
        <v>Egypt - onshore west of 29°E and north of approximately 28°11'N.</v>
      </c>
      <c r="K5871" s="11">
        <v>0</v>
      </c>
    </row>
    <row r="5872" spans="5:11" x14ac:dyDescent="0.35">
      <c r="E5872" s="9" t="str">
        <v>EPSG</v>
      </c>
      <c r="F5872" s="7" t="str">
        <v>22994</v>
      </c>
      <c r="G5872" t="str">
        <v>ProjectedCrs</v>
      </c>
      <c r="H5872" t="str">
        <v>Transverse Mercator</v>
      </c>
      <c r="I5872" t="str">
        <v>Egypt 1907 / Extended Purple Belt</v>
      </c>
      <c r="J5872" t="str">
        <v>Egypt - west of 29°E; south of approximately 28°11'N.</v>
      </c>
      <c r="K5872" s="11">
        <v>0</v>
      </c>
    </row>
    <row r="5873" spans="5:11" x14ac:dyDescent="0.35">
      <c r="E5873" s="9" t="str">
        <v>EPSG</v>
      </c>
      <c r="F5873" s="7" t="str">
        <v>23028</v>
      </c>
      <c r="G5873" t="str">
        <v>ProjectedCrs</v>
      </c>
      <c r="H5873" t="str">
        <v>Transverse Mercator</v>
      </c>
      <c r="I5873" t="str">
        <v>ED50 / UTM zone 28N</v>
      </c>
      <c r="J5873" t="str">
        <v>Europe - between 18°W and 12°W - Ireland offshore.</v>
      </c>
      <c r="K5873" s="11">
        <v>0</v>
      </c>
    </row>
    <row r="5874" spans="5:11" x14ac:dyDescent="0.35">
      <c r="E5874" s="9" t="str">
        <v>EPSG</v>
      </c>
      <c r="F5874" s="7" t="str">
        <v>23029</v>
      </c>
      <c r="G5874" t="str">
        <v>ProjectedCrs</v>
      </c>
      <c r="H5874" t="str">
        <v>Transverse Mercator</v>
      </c>
      <c r="I5874" t="str">
        <v>ED50 / UTM zone 29N</v>
      </c>
      <c r="J5874" t="str">
        <v>Europe - between 12°W and 6°W - Faroe Islands - onshore; Spain - mainland onshore; Ireland offshore.</v>
      </c>
      <c r="K5874" s="11">
        <v>0</v>
      </c>
    </row>
    <row r="5875" spans="5:11" x14ac:dyDescent="0.35">
      <c r="E5875" s="9" t="str">
        <v>EPSG</v>
      </c>
      <c r="F5875" s="7" t="str">
        <v>23030</v>
      </c>
      <c r="G5875" t="str">
        <v>ProjectedCrs</v>
      </c>
      <c r="H5875" t="str">
        <v>Transverse Mercator</v>
      </c>
      <c r="I5875" t="str">
        <v>ED50 / UTM zone 30N</v>
      </c>
      <c r="J5875" t="str">
        <v>Europe - between 6°W and 0°W - Channel Islands (Jersey, Guernsey); France offshore; Gibraltar; Ireland offshore; Norway including Svalbard - offshore; Spain - onshore; United Kingdom - UKCS offshore.</v>
      </c>
      <c r="K5875" s="11">
        <v>0</v>
      </c>
    </row>
    <row r="5876" spans="5:11" x14ac:dyDescent="0.35">
      <c r="E5876" s="9" t="str">
        <v>EPSG</v>
      </c>
      <c r="F5876" s="7" t="str">
        <v>23031</v>
      </c>
      <c r="G5876" t="str">
        <v>ProjectedCrs</v>
      </c>
      <c r="H5876" t="str">
        <v>Transverse Mercator</v>
      </c>
      <c r="I5876" t="str">
        <v>ED50 / UTM zone 31N</v>
      </c>
      <c r="J5876" t="str">
        <v>Europe - between 0°E and 6°E - Andorra; Denmark (North Sea); France - offshore; Germany - offshore; Netherlands - offshore; Norway including Svalbard - onshore and offshore; Spain - onshore (mainland and Balearic Islands); United Kingdom - offshore UKCS.</v>
      </c>
      <c r="K5876" s="11">
        <v>0</v>
      </c>
    </row>
    <row r="5877" spans="5:11" x14ac:dyDescent="0.35">
      <c r="E5877" s="9" t="str">
        <v>EPSG</v>
      </c>
      <c r="F5877" s="7" t="str">
        <v>23032</v>
      </c>
      <c r="G5877" t="str">
        <v>ProjectedCrs</v>
      </c>
      <c r="H5877" t="str">
        <v>Transverse Mercator</v>
      </c>
      <c r="I5877" t="str">
        <v>ED50 / UTM zone 32N</v>
      </c>
      <c r="J5877" t="str">
        <v>Europe - between 6°E and 12°E - Denmark - onshore and offshore; France - offshore; Germany offshore; Italy - onshore and offshore; Netherlands offshore; Norway including Svalbard - onshore and offshore.</v>
      </c>
      <c r="K5877" s="11">
        <v>0</v>
      </c>
    </row>
    <row r="5878" spans="5:11" x14ac:dyDescent="0.35">
      <c r="E5878" s="9" t="str">
        <v>EPSG</v>
      </c>
      <c r="F5878" s="7" t="str">
        <v>23033</v>
      </c>
      <c r="G5878" t="str">
        <v>ProjectedCrs</v>
      </c>
      <c r="H5878" t="str">
        <v>Transverse Mercator</v>
      </c>
      <c r="I5878" t="str">
        <v>ED50 / UTM zone 33N</v>
      </c>
      <c r="J5878" t="str">
        <v>Europe - between 12°E and 18°E onshore and offshore - Denmark (including Bornholm); Italy including San Marino and Vatican City State; Malta; Norway including Svalbard.</v>
      </c>
      <c r="K5878" s="11">
        <v>0</v>
      </c>
    </row>
    <row r="5879" spans="5:11" x14ac:dyDescent="0.35">
      <c r="E5879" s="9" t="str">
        <v>EPSG</v>
      </c>
      <c r="F5879" s="7" t="str">
        <v>23034</v>
      </c>
      <c r="G5879" t="str">
        <v>ProjectedCrs</v>
      </c>
      <c r="H5879" t="str">
        <v>Transverse Mercator</v>
      </c>
      <c r="I5879" t="str">
        <v>ED50 / UTM zone 34N</v>
      </c>
      <c r="J5879" t="str">
        <v>Europe - between 18°E and 24°E - Greece - offshore; Italy - onshore and offshore; Norway including Svalbard - onshore and offshore.</v>
      </c>
      <c r="K5879" s="11">
        <v>0</v>
      </c>
    </row>
    <row r="5880" spans="5:11" x14ac:dyDescent="0.35">
      <c r="E5880" s="9" t="str">
        <v>EPSG</v>
      </c>
      <c r="F5880" s="7" t="str">
        <v>23035</v>
      </c>
      <c r="G5880" t="str">
        <v>ProjectedCrs</v>
      </c>
      <c r="H5880" t="str">
        <v>Transverse Mercator</v>
      </c>
      <c r="I5880" t="str">
        <v>ED50 / UTM zone 35N</v>
      </c>
      <c r="J5880" t="str">
        <v>Europe - between 24°E and 30°E - Greece - offshore; Norway including Svalbard - onshore and offshore; Türkiye (Turkey) - onshore and offshore. Egypt - Western Desert.</v>
      </c>
      <c r="K5880" s="11">
        <v>0</v>
      </c>
    </row>
    <row r="5881" spans="5:11" x14ac:dyDescent="0.35">
      <c r="E5881" s="9" t="str">
        <v>EPSG</v>
      </c>
      <c r="F5881" s="7" t="str">
        <v>23036</v>
      </c>
      <c r="G5881" t="str">
        <v>ProjectedCrs</v>
      </c>
      <c r="H5881" t="str">
        <v>Transverse Mercator</v>
      </c>
      <c r="I5881" t="str">
        <v>ED50 / UTM zone 36N</v>
      </c>
      <c r="J5881" t="str">
        <v>Europe - between 30°E and 36°E - Israel - offshore; Jordan; Norway including Svalbard - onshore and offshore; Türkiye (Turkey) - onshore and offshore.</v>
      </c>
      <c r="K5881" s="11">
        <v>0</v>
      </c>
    </row>
    <row r="5882" spans="5:11" x14ac:dyDescent="0.35">
      <c r="E5882" s="9" t="str">
        <v>EPSG</v>
      </c>
      <c r="F5882" s="7" t="str">
        <v>23037</v>
      </c>
      <c r="G5882" t="str">
        <v>ProjectedCrs</v>
      </c>
      <c r="H5882" t="str">
        <v>Transverse Mercator</v>
      </c>
      <c r="I5882" t="str">
        <v>ED50 / UTM zone 37N</v>
      </c>
      <c r="J5882" t="str">
        <v>Europe - between 36°E and 42°E - Jordan; Norway including Svalbard - offshore; Türkiye (Turkey) - onshore and offshore.</v>
      </c>
      <c r="K5882" s="11">
        <v>0</v>
      </c>
    </row>
    <row r="5883" spans="5:11" x14ac:dyDescent="0.35">
      <c r="E5883" s="9" t="str">
        <v>EPSG</v>
      </c>
      <c r="F5883" s="7" t="str">
        <v>23038</v>
      </c>
      <c r="G5883" t="str">
        <v>ProjectedCrs</v>
      </c>
      <c r="H5883" t="str">
        <v>Transverse Mercator</v>
      </c>
      <c r="I5883" t="str">
        <v>ED50 / UTM zone 38N</v>
      </c>
      <c r="J5883" t="str">
        <v>Europe - between 42°E and 48°E - Türkiye (Turkey).</v>
      </c>
      <c r="K5883" s="11">
        <v>0</v>
      </c>
    </row>
    <row r="5884" spans="5:11" x14ac:dyDescent="0.35">
      <c r="E5884" s="9" t="str">
        <v>EPSG</v>
      </c>
      <c r="F5884" s="7" t="str">
        <v>23090</v>
      </c>
      <c r="G5884" t="str">
        <v>ProjectedCrs</v>
      </c>
      <c r="H5884" t="str">
        <v>Transverse Mercator</v>
      </c>
      <c r="I5884" t="str">
        <v>ED50 / TM 0 N</v>
      </c>
      <c r="J5884" t="str">
        <v>United Kingdom (UK) - offshore - North Sea.</v>
      </c>
      <c r="K5884" s="11">
        <v>0</v>
      </c>
    </row>
    <row r="5885" spans="5:11" x14ac:dyDescent="0.35">
      <c r="E5885" s="9" t="str">
        <v>EPSG</v>
      </c>
      <c r="F5885" s="7" t="str">
        <v>23095</v>
      </c>
      <c r="G5885" t="str">
        <v>ProjectedCrs</v>
      </c>
      <c r="H5885" t="str">
        <v>Transverse Mercator</v>
      </c>
      <c r="I5885" t="str">
        <v>ED50 / TM 5 NE</v>
      </c>
      <c r="J5885" t="str">
        <v>Netherlands - offshore North Sea.</v>
      </c>
      <c r="K5885" s="11">
        <v>0</v>
      </c>
    </row>
    <row r="5886" spans="5:11" x14ac:dyDescent="0.35">
      <c r="E5886" s="9" t="str">
        <v>EPSG</v>
      </c>
      <c r="F5886" s="7" t="str">
        <v>23239</v>
      </c>
      <c r="G5886" t="str">
        <v>ProjectedCrs</v>
      </c>
      <c r="H5886" t="str">
        <v>Transverse Mercator</v>
      </c>
      <c r="I5886" t="str">
        <v>Fahud / UTM zone 39N</v>
      </c>
      <c r="J5886" t="str">
        <v>Oman - onshore west of 54°E.</v>
      </c>
      <c r="K5886" s="11">
        <v>0</v>
      </c>
    </row>
    <row r="5887" spans="5:11" x14ac:dyDescent="0.35">
      <c r="E5887" s="9" t="str">
        <v>EPSG</v>
      </c>
      <c r="F5887" s="7" t="str">
        <v>23240</v>
      </c>
      <c r="G5887" t="str">
        <v>ProjectedCrs</v>
      </c>
      <c r="H5887" t="str">
        <v>Transverse Mercator</v>
      </c>
      <c r="I5887" t="str">
        <v>Fahud / UTM zone 40N</v>
      </c>
      <c r="J5887" t="str">
        <v>Oman - mainland onshore east of 54°E.</v>
      </c>
      <c r="K5887" s="11">
        <v>0</v>
      </c>
    </row>
    <row r="5888" spans="5:11" x14ac:dyDescent="0.35">
      <c r="E5888" s="9" t="str">
        <v>EPSG</v>
      </c>
      <c r="F5888" s="7" t="str">
        <v>23301</v>
      </c>
      <c r="G5888" t="str">
        <v>ProjectedCrs</v>
      </c>
      <c r="H5888" t="str">
        <v>Lambert Conic Conformal (1SP)</v>
      </c>
      <c r="I5888" t="str">
        <v>NAD83(2011) / ICS83-Freeport (ftUS)</v>
      </c>
      <c r="J5888" t="str">
        <v>United States (USA) - Illinois - counties of Carroll, Jo Daviess and Stephenson.</v>
      </c>
      <c r="K5888" s="11">
        <v>0</v>
      </c>
    </row>
    <row r="5889" spans="5:11" x14ac:dyDescent="0.35">
      <c r="E5889" s="9" t="str">
        <v>EPSG</v>
      </c>
      <c r="F5889" s="7" t="str">
        <v>23302</v>
      </c>
      <c r="G5889" t="str">
        <v>ProjectedCrs</v>
      </c>
      <c r="H5889" t="str">
        <v>Transverse Mercator</v>
      </c>
      <c r="I5889" t="str">
        <v>NAD83(2011) / ICS83-Rockford (ftUS)</v>
      </c>
      <c r="J5889" t="str">
        <v>United States (USA) - Illinois - counties of Lee, Ogle and Winnebago.</v>
      </c>
      <c r="K5889" s="11">
        <v>0</v>
      </c>
    </row>
    <row r="5890" spans="5:11" x14ac:dyDescent="0.35">
      <c r="E5890" s="9" t="str">
        <v>EPSG</v>
      </c>
      <c r="F5890" s="7" t="str">
        <v>23303</v>
      </c>
      <c r="G5890" t="str">
        <v>ProjectedCrs</v>
      </c>
      <c r="H5890" t="str">
        <v>Transverse Mercator</v>
      </c>
      <c r="I5890" t="str">
        <v>NAD83(2011) / ICS83-Aurora (ftUS)</v>
      </c>
      <c r="J5890" t="str">
        <v>United States (USA) - Illinois - counties of Boone, Dekalb, Kane, Kendall and McHenry.</v>
      </c>
      <c r="K5890" s="11">
        <v>0</v>
      </c>
    </row>
    <row r="5891" spans="5:11" x14ac:dyDescent="0.35">
      <c r="E5891" s="9" t="str">
        <v>EPSG</v>
      </c>
      <c r="F5891" s="7" t="str">
        <v>23304</v>
      </c>
      <c r="G5891" t="str">
        <v>ProjectedCrs</v>
      </c>
      <c r="H5891" t="str">
        <v>Transverse Mercator</v>
      </c>
      <c r="I5891" t="str">
        <v>NAD83(2011) / ICS83-Chicago (ftUS)</v>
      </c>
      <c r="J5891" t="str">
        <v>United States (USA) - Illinois - counties of Cook, DuPage and Lake.</v>
      </c>
      <c r="K5891" s="11">
        <v>0</v>
      </c>
    </row>
    <row r="5892" spans="5:11" x14ac:dyDescent="0.35">
      <c r="E5892" s="9" t="str">
        <v>EPSG</v>
      </c>
      <c r="F5892" s="7" t="str">
        <v>23305</v>
      </c>
      <c r="G5892" t="str">
        <v>ProjectedCrs</v>
      </c>
      <c r="H5892" t="str">
        <v>Lambert Conic Conformal (1SP)</v>
      </c>
      <c r="I5892" t="str">
        <v>NAD83(2011) / ICS83-Moline (ftUS)</v>
      </c>
      <c r="J5892" t="str">
        <v>United States (USA) - Illinois - Rock Island county.</v>
      </c>
      <c r="K5892" s="11">
        <v>0</v>
      </c>
    </row>
    <row r="5893" spans="5:11" x14ac:dyDescent="0.35">
      <c r="E5893" s="9" t="str">
        <v>EPSG</v>
      </c>
      <c r="F5893" s="7" t="str">
        <v>23306</v>
      </c>
      <c r="G5893" t="str">
        <v>ProjectedCrs</v>
      </c>
      <c r="H5893" t="str">
        <v>Lambert Conic Conformal (1SP)</v>
      </c>
      <c r="I5893" t="str">
        <v>NAD83(2011) / ICS83-Sterling (ftUS)</v>
      </c>
      <c r="J5893" t="str">
        <v>United States (USA) - Illinois - counties of Henry and Whiteside.</v>
      </c>
      <c r="K5893" s="11">
        <v>0</v>
      </c>
    </row>
    <row r="5894" spans="5:11" x14ac:dyDescent="0.35">
      <c r="E5894" s="9" t="str">
        <v>EPSG</v>
      </c>
      <c r="F5894" s="7" t="str">
        <v>23307</v>
      </c>
      <c r="G5894" t="str">
        <v>ProjectedCrs</v>
      </c>
      <c r="H5894" t="str">
        <v>Lambert Conic Conformal (1SP)</v>
      </c>
      <c r="I5894" t="str">
        <v>NAD83(2011) / ICS83-Ottawa (ftUS)</v>
      </c>
      <c r="J5894" t="str">
        <v>United States (USA) - Illinois - counties of Bureau, Grundy, LaSalle and Putnam.</v>
      </c>
      <c r="K5894" s="11">
        <v>0</v>
      </c>
    </row>
    <row r="5895" spans="5:11" x14ac:dyDescent="0.35">
      <c r="E5895" s="9" t="str">
        <v>EPSG</v>
      </c>
      <c r="F5895" s="7" t="str">
        <v>23308</v>
      </c>
      <c r="G5895" t="str">
        <v>ProjectedCrs</v>
      </c>
      <c r="H5895" t="str">
        <v>Transverse Mercator</v>
      </c>
      <c r="I5895" t="str">
        <v>NAD83(2011) / ICS83-Joliet (ftUS)</v>
      </c>
      <c r="J5895" t="str">
        <v>United States (USA) - Illinois - counties of Kankakee and Will.</v>
      </c>
      <c r="K5895" s="11">
        <v>0</v>
      </c>
    </row>
    <row r="5896" spans="5:11" x14ac:dyDescent="0.35">
      <c r="E5896" s="9" t="str">
        <v>EPSG</v>
      </c>
      <c r="F5896" s="7" t="str">
        <v>23309</v>
      </c>
      <c r="G5896" t="str">
        <v>ProjectedCrs</v>
      </c>
      <c r="H5896" t="str">
        <v>Transverse Mercator</v>
      </c>
      <c r="I5896" t="str">
        <v>NAD83(2011) / ICS83-Monmouth (ftUS)</v>
      </c>
      <c r="J5896" t="str">
        <v>United States (USA) - Illinois - counties of Henderson, Mercer and Warren.</v>
      </c>
      <c r="K5896" s="11">
        <v>0</v>
      </c>
    </row>
    <row r="5897" spans="5:11" x14ac:dyDescent="0.35">
      <c r="E5897" s="9" t="str">
        <v>EPSG</v>
      </c>
      <c r="F5897" s="7" t="str">
        <v>23310</v>
      </c>
      <c r="G5897" t="str">
        <v>ProjectedCrs</v>
      </c>
      <c r="H5897" t="str">
        <v>Transverse Mercator</v>
      </c>
      <c r="I5897" t="str">
        <v>NAD83(2011) / ICS83-Galesburg (ftUS)</v>
      </c>
      <c r="J5897" t="str">
        <v>United States (USA) - Illinois - counties of Fulton, Knox and Stark.</v>
      </c>
      <c r="K5897" s="11">
        <v>0</v>
      </c>
    </row>
    <row r="5898" spans="5:11" x14ac:dyDescent="0.35">
      <c r="E5898" s="9" t="str">
        <v>EPSG</v>
      </c>
      <c r="F5898" s="7" t="str">
        <v>23311</v>
      </c>
      <c r="G5898" t="str">
        <v>ProjectedCrs</v>
      </c>
      <c r="H5898" t="str">
        <v>Transverse Mercator</v>
      </c>
      <c r="I5898" t="str">
        <v>NAD83(2011) / ICS83-Peoria (ftUS)</v>
      </c>
      <c r="J5898" t="str">
        <v>United States (USA) - Illinois - counties of Peoria and Tazewell.</v>
      </c>
      <c r="K5898" s="11">
        <v>0</v>
      </c>
    </row>
    <row r="5899" spans="5:11" x14ac:dyDescent="0.35">
      <c r="E5899" s="9" t="str">
        <v>EPSG</v>
      </c>
      <c r="F5899" s="7" t="str">
        <v>23312</v>
      </c>
      <c r="G5899" t="str">
        <v>ProjectedCrs</v>
      </c>
      <c r="H5899" t="str">
        <v>Transverse Mercator</v>
      </c>
      <c r="I5899" t="str">
        <v>NAD83(2011) / ICS83-Eureka (ftUS)</v>
      </c>
      <c r="J5899" t="str">
        <v>United States (USA) - Illinois - counties of Marshall and Woodford.</v>
      </c>
      <c r="K5899" s="11">
        <v>0</v>
      </c>
    </row>
    <row r="5900" spans="5:11" x14ac:dyDescent="0.35">
      <c r="E5900" s="9" t="str">
        <v>EPSG</v>
      </c>
      <c r="F5900" s="7" t="str">
        <v>23313</v>
      </c>
      <c r="G5900" t="str">
        <v>ProjectedCrs</v>
      </c>
      <c r="H5900" t="str">
        <v>Lambert Conic Conformal (1SP)</v>
      </c>
      <c r="I5900" t="str">
        <v>NAD83(2011) / ICS83-Bloomington (ftUS)</v>
      </c>
      <c r="J5900" t="str">
        <v>United States (USA) - Illinois - McLean county.</v>
      </c>
      <c r="K5900" s="11">
        <v>0</v>
      </c>
    </row>
    <row r="5901" spans="5:11" x14ac:dyDescent="0.35">
      <c r="E5901" s="9" t="str">
        <v>EPSG</v>
      </c>
      <c r="F5901" s="7" t="str">
        <v>23314</v>
      </c>
      <c r="G5901" t="str">
        <v>ProjectedCrs</v>
      </c>
      <c r="H5901" t="str">
        <v>Lambert Conic Conformal (1SP)</v>
      </c>
      <c r="I5901" t="str">
        <v>NAD83(2011) / ICS83-Pontiac (ftUS)</v>
      </c>
      <c r="J5901" t="str">
        <v>United States (USA) - Illinois - Livingston county.</v>
      </c>
      <c r="K5901" s="11">
        <v>0</v>
      </c>
    </row>
    <row r="5902" spans="5:11" x14ac:dyDescent="0.35">
      <c r="E5902" s="9" t="str">
        <v>EPSG</v>
      </c>
      <c r="F5902" s="7" t="str">
        <v>23315</v>
      </c>
      <c r="G5902" t="str">
        <v>ProjectedCrs</v>
      </c>
      <c r="H5902" t="str">
        <v>Lambert Conic Conformal (1SP)</v>
      </c>
      <c r="I5902" t="str">
        <v>NAD83(2011) / ICS83-Watseka (ftUS)</v>
      </c>
      <c r="J5902" t="str">
        <v>United States (USA) - Illinois - counties of Ford and Iroquois.</v>
      </c>
      <c r="K5902" s="11">
        <v>0</v>
      </c>
    </row>
    <row r="5903" spans="5:11" x14ac:dyDescent="0.35">
      <c r="E5903" s="9" t="str">
        <v>EPSG</v>
      </c>
      <c r="F5903" s="7" t="str">
        <v>23316</v>
      </c>
      <c r="G5903" t="str">
        <v>ProjectedCrs</v>
      </c>
      <c r="H5903" t="str">
        <v>Transverse Mercator</v>
      </c>
      <c r="I5903" t="str">
        <v>NAD83(2011) / ICS83-Quincy (ftUS)</v>
      </c>
      <c r="J5903" t="str">
        <v>United States (USA) - Illinois - counties of Adams and Hancock.</v>
      </c>
      <c r="K5903" s="11">
        <v>0</v>
      </c>
    </row>
    <row r="5904" spans="5:11" x14ac:dyDescent="0.35">
      <c r="E5904" s="9" t="str">
        <v>EPSG</v>
      </c>
      <c r="F5904" s="7" t="str">
        <v>23317</v>
      </c>
      <c r="G5904" t="str">
        <v>ProjectedCrs</v>
      </c>
      <c r="H5904" t="str">
        <v>Transverse Mercator</v>
      </c>
      <c r="I5904" t="str">
        <v>NAD83(2011) / ICS83-Macomb (ftUS)</v>
      </c>
      <c r="J5904" t="str">
        <v>United States (USA) - Illinois - counties of Brown, McDonough and Schuyler.</v>
      </c>
      <c r="K5904" s="11">
        <v>0</v>
      </c>
    </row>
    <row r="5905" spans="5:11" x14ac:dyDescent="0.35">
      <c r="E5905" s="9" t="str">
        <v>EPSG</v>
      </c>
      <c r="F5905" s="7" t="str">
        <v>23318</v>
      </c>
      <c r="G5905" t="str">
        <v>ProjectedCrs</v>
      </c>
      <c r="H5905" t="str">
        <v>Lambert Conic Conformal (1SP)</v>
      </c>
      <c r="I5905" t="str">
        <v>NAD83(2011) / ICS83-Lincoln (ftUS)</v>
      </c>
      <c r="J5905" t="str">
        <v>United States (USA) - Illinois - counties of Cass, Logan, Mason and Menard.</v>
      </c>
      <c r="K5905" s="11">
        <v>0</v>
      </c>
    </row>
    <row r="5906" spans="5:11" x14ac:dyDescent="0.35">
      <c r="E5906" s="9" t="str">
        <v>EPSG</v>
      </c>
      <c r="F5906" s="7" t="str">
        <v>23319</v>
      </c>
      <c r="G5906" t="str">
        <v>ProjectedCrs</v>
      </c>
      <c r="H5906" t="str">
        <v>Transverse Mercator</v>
      </c>
      <c r="I5906" t="str">
        <v>NAD83(2011) / ICS83-Decatur (ftUS)</v>
      </c>
      <c r="J5906" t="str">
        <v>United States (USA) - Illinois - counties of Dewitt, Macon, Moultrie, Piatt and Shelby.</v>
      </c>
      <c r="K5906" s="11">
        <v>0</v>
      </c>
    </row>
    <row r="5907" spans="5:11" x14ac:dyDescent="0.35">
      <c r="E5907" s="9" t="str">
        <v>EPSG</v>
      </c>
      <c r="F5907" s="7" t="str">
        <v>23320</v>
      </c>
      <c r="G5907" t="str">
        <v>ProjectedCrs</v>
      </c>
      <c r="H5907" t="str">
        <v>Lambert Conic Conformal (1SP)</v>
      </c>
      <c r="I5907" t="str">
        <v>NAD83(2011) / ICS83-Champaign (ftUS)</v>
      </c>
      <c r="J5907" t="str">
        <v>United States (USA) - Illinois - counties of Champaign and Vermilion.</v>
      </c>
      <c r="K5907" s="11">
        <v>0</v>
      </c>
    </row>
    <row r="5908" spans="5:11" x14ac:dyDescent="0.35">
      <c r="E5908" s="9" t="str">
        <v>EPSG</v>
      </c>
      <c r="F5908" s="7" t="str">
        <v>23321</v>
      </c>
      <c r="G5908" t="str">
        <v>ProjectedCrs</v>
      </c>
      <c r="H5908" t="str">
        <v>Lambert Conic Conformal (1SP)</v>
      </c>
      <c r="I5908" t="str">
        <v>NAD83(2011) / ICS83-Jacksonville (ftUS)</v>
      </c>
      <c r="J5908" t="str">
        <v>United States (USA) - Illinois - counties of Morgan, Pike and Scott.</v>
      </c>
      <c r="K5908" s="11">
        <v>0</v>
      </c>
    </row>
    <row r="5909" spans="5:11" x14ac:dyDescent="0.35">
      <c r="E5909" s="9" t="str">
        <v>EPSG</v>
      </c>
      <c r="F5909" s="7" t="str">
        <v>23322</v>
      </c>
      <c r="G5909" t="str">
        <v>ProjectedCrs</v>
      </c>
      <c r="H5909" t="str">
        <v>Lambert Conic Conformal (1SP)</v>
      </c>
      <c r="I5909" t="str">
        <v>NAD83(2011) / ICS83-Springfield (ftUS)</v>
      </c>
      <c r="J5909" t="str">
        <v>United States (USA) - Illinois - Sangamon county.</v>
      </c>
      <c r="K5909" s="11">
        <v>0</v>
      </c>
    </row>
    <row r="5910" spans="5:11" x14ac:dyDescent="0.35">
      <c r="E5910" s="9" t="str">
        <v>EPSG</v>
      </c>
      <c r="F5910" s="7" t="str">
        <v>23323</v>
      </c>
      <c r="G5910" t="str">
        <v>ProjectedCrs</v>
      </c>
      <c r="H5910" t="str">
        <v>Lambert Conic Conformal (1SP)</v>
      </c>
      <c r="I5910" t="str">
        <v>NAD83(2011) / ICS83-Charleston (ftUS)</v>
      </c>
      <c r="J5910" t="str">
        <v>United States (USA) - Illinois - counties of Coles, Douglas and Edgar.</v>
      </c>
      <c r="K5910" s="11">
        <v>0</v>
      </c>
    </row>
    <row r="5911" spans="5:11" x14ac:dyDescent="0.35">
      <c r="E5911" s="9" t="str">
        <v>EPSG</v>
      </c>
      <c r="F5911" s="7" t="str">
        <v>23324</v>
      </c>
      <c r="G5911" t="str">
        <v>ProjectedCrs</v>
      </c>
      <c r="H5911" t="str">
        <v>Transverse Mercator</v>
      </c>
      <c r="I5911" t="str">
        <v>NAD83(2011) / ICS83-Jerseyville (ftUS)</v>
      </c>
      <c r="J5911" t="str">
        <v>United States (USA) - Illinois - counties of Calhoun and Jersey.</v>
      </c>
      <c r="K5911" s="11">
        <v>0</v>
      </c>
    </row>
    <row r="5912" spans="5:11" x14ac:dyDescent="0.35">
      <c r="E5912" s="9" t="str">
        <v>EPSG</v>
      </c>
      <c r="F5912" s="7" t="str">
        <v>23325</v>
      </c>
      <c r="G5912" t="str">
        <v>ProjectedCrs</v>
      </c>
      <c r="H5912" t="str">
        <v>Lambert Conic Conformal (1SP)</v>
      </c>
      <c r="I5912" t="str">
        <v>NAD83(2011) / ICS83-Carlinville (ftUS)</v>
      </c>
      <c r="J5912" t="str">
        <v>United States (USA) - Illinois - counties of Greene and Macoupin.</v>
      </c>
      <c r="K5912" s="11">
        <v>0</v>
      </c>
    </row>
    <row r="5913" spans="5:11" x14ac:dyDescent="0.35">
      <c r="E5913" s="9" t="str">
        <v>EPSG</v>
      </c>
      <c r="F5913" s="7" t="str">
        <v>23326</v>
      </c>
      <c r="G5913" t="str">
        <v>ProjectedCrs</v>
      </c>
      <c r="H5913" t="str">
        <v>Transverse Mercator</v>
      </c>
      <c r="I5913" t="str">
        <v>NAD83(2011) / ICS83-Taylorville (ftUS)</v>
      </c>
      <c r="J5913" t="str">
        <v>United States (USA) - Illinois - counties of Christian and Montgomery.</v>
      </c>
      <c r="K5913" s="11">
        <v>0</v>
      </c>
    </row>
    <row r="5914" spans="5:11" x14ac:dyDescent="0.35">
      <c r="E5914" s="9" t="str">
        <v>EPSG</v>
      </c>
      <c r="F5914" s="7" t="str">
        <v>23327</v>
      </c>
      <c r="G5914" t="str">
        <v>ProjectedCrs</v>
      </c>
      <c r="H5914" t="str">
        <v>Lambert Conic Conformal (1SP)</v>
      </c>
      <c r="I5914" t="str">
        <v>NAD83(2011) / ICS83-Effingham (ftUS)</v>
      </c>
      <c r="J5914" t="str">
        <v>United States (USA) - Illinois - counties of Bond, Effingham and Fayette.</v>
      </c>
      <c r="K5914" s="11">
        <v>0</v>
      </c>
    </row>
    <row r="5915" spans="5:11" x14ac:dyDescent="0.35">
      <c r="E5915" s="9" t="str">
        <v>EPSG</v>
      </c>
      <c r="F5915" s="7" t="str">
        <v>23328</v>
      </c>
      <c r="G5915" t="str">
        <v>ProjectedCrs</v>
      </c>
      <c r="H5915" t="str">
        <v>Lambert Conic Conformal (1SP)</v>
      </c>
      <c r="I5915" t="str">
        <v>NAD83(2011) / ICS83-Robinson (ftUS)</v>
      </c>
      <c r="J5915" t="str">
        <v>United States (USA) - Illinois - counties of Clark, Crawford, Cumberland and Jasper.</v>
      </c>
      <c r="K5915" s="11">
        <v>0</v>
      </c>
    </row>
    <row r="5916" spans="5:11" x14ac:dyDescent="0.35">
      <c r="E5916" s="9" t="str">
        <v>EPSG</v>
      </c>
      <c r="F5916" s="7" t="str">
        <v>23329</v>
      </c>
      <c r="G5916" t="str">
        <v>ProjectedCrs</v>
      </c>
      <c r="H5916" t="str">
        <v>Transverse Mercator</v>
      </c>
      <c r="I5916" t="str">
        <v>NAD83(2011) / ICS83-Belleville (ftUS)</v>
      </c>
      <c r="J5916" t="str">
        <v>United States (USA) - Illinois - counties of Madison, Monroe and St Clair.</v>
      </c>
      <c r="K5916" s="11">
        <v>0</v>
      </c>
    </row>
    <row r="5917" spans="5:11" x14ac:dyDescent="0.35">
      <c r="E5917" s="9" t="str">
        <v>EPSG</v>
      </c>
      <c r="F5917" s="7" t="str">
        <v>23330</v>
      </c>
      <c r="G5917" t="str">
        <v>ProjectedCrs</v>
      </c>
      <c r="H5917" t="str">
        <v>Lambert Conic Conformal (1SP)</v>
      </c>
      <c r="I5917" t="str">
        <v>NAD83(2011) / ICS83-Mount Vernon (ftUS)</v>
      </c>
      <c r="J5917" t="str">
        <v>United States (USA) - Illinois - counties of Clinton, Jefferson, Marion and Washington.</v>
      </c>
      <c r="K5917" s="11">
        <v>0</v>
      </c>
    </row>
    <row r="5918" spans="5:11" x14ac:dyDescent="0.35">
      <c r="E5918" s="9" t="str">
        <v>EPSG</v>
      </c>
      <c r="F5918" s="7" t="str">
        <v>23331</v>
      </c>
      <c r="G5918" t="str">
        <v>ProjectedCrs</v>
      </c>
      <c r="H5918" t="str">
        <v>Lambert Conic Conformal (1SP)</v>
      </c>
      <c r="I5918" t="str">
        <v>NAD83(2011) / ICS83-Olney (ftUS)</v>
      </c>
      <c r="J5918" t="str">
        <v>United States (USA) - Illinois - counties of Clay, Edwards, Lawrence, Richland, Wabash and Wayne.</v>
      </c>
      <c r="K5918" s="11">
        <v>0</v>
      </c>
    </row>
    <row r="5919" spans="5:11" x14ac:dyDescent="0.35">
      <c r="E5919" s="9" t="str">
        <v>EPSG</v>
      </c>
      <c r="F5919" s="7" t="str">
        <v>23332</v>
      </c>
      <c r="G5919" t="str">
        <v>ProjectedCrs</v>
      </c>
      <c r="H5919" t="str">
        <v>Lambert Conic Conformal (1SP)</v>
      </c>
      <c r="I5919" t="str">
        <v>NAD83(2011) / ICS83-Carbondale (ftUS)</v>
      </c>
      <c r="J5919" t="str">
        <v>United States (USA) - Illinois - counties of Franklin, Gallatin, Hamilton, Jackson, Perry,  Randolph, Saline, White and Williamson.</v>
      </c>
      <c r="K5919" s="11">
        <v>0</v>
      </c>
    </row>
    <row r="5920" spans="5:11" x14ac:dyDescent="0.35">
      <c r="E5920" s="9" t="str">
        <v>EPSG</v>
      </c>
      <c r="F5920" s="7" t="str">
        <v>23333</v>
      </c>
      <c r="G5920" t="str">
        <v>ProjectedCrs</v>
      </c>
      <c r="H5920" t="str">
        <v>Lambert Conic Conformal (1SP)</v>
      </c>
      <c r="I5920" t="str">
        <v>NAD83(2011) / ICS83-Metropolis (ftUS)</v>
      </c>
      <c r="J5920" t="str">
        <v>United States (USA) - Illinois - counties of Alexander, Hardin, Johnson, Massac, Pope, Pulaski and Union.</v>
      </c>
      <c r="K5920" s="11">
        <v>0</v>
      </c>
    </row>
    <row r="5921" spans="5:11" x14ac:dyDescent="0.35">
      <c r="E5921" s="9" t="str">
        <v>EPSG</v>
      </c>
      <c r="F5921" s="7" t="str">
        <v>23700</v>
      </c>
      <c r="G5921" t="str">
        <v>ProjectedCrs</v>
      </c>
      <c r="H5921" t="str">
        <v>Hotine Oblique Mercator (variant B)</v>
      </c>
      <c r="I5921" t="str">
        <v>HD72 / EOV</v>
      </c>
      <c r="J5921" t="str">
        <v>Hungary.</v>
      </c>
      <c r="K5921" s="11">
        <v>0</v>
      </c>
    </row>
    <row r="5922" spans="5:11" x14ac:dyDescent="0.35">
      <c r="E5922" s="9" t="str">
        <v>EPSG</v>
      </c>
      <c r="F5922" s="7" t="str">
        <v>23830</v>
      </c>
      <c r="G5922" t="str">
        <v>ProjectedCrs</v>
      </c>
      <c r="H5922" t="str">
        <v>Transverse Mercator</v>
      </c>
      <c r="I5922" t="str">
        <v>DGN95 / Indonesia TM-3 zone 46.2</v>
      </c>
      <c r="J5922" t="str">
        <v>Indonesia - onshore west of 96°E.</v>
      </c>
      <c r="K5922" s="11">
        <v>0</v>
      </c>
    </row>
    <row r="5923" spans="5:11" x14ac:dyDescent="0.35">
      <c r="E5923" s="9" t="str">
        <v>EPSG</v>
      </c>
      <c r="F5923" s="7" t="str">
        <v>23831</v>
      </c>
      <c r="G5923" t="str">
        <v>ProjectedCrs</v>
      </c>
      <c r="H5923" t="str">
        <v>Transverse Mercator</v>
      </c>
      <c r="I5923" t="str">
        <v>DGN95 / Indonesia TM-3 zone 47.1</v>
      </c>
      <c r="J5923" t="str">
        <v>Indonesia - onshore between 96°E and 99°E.</v>
      </c>
      <c r="K5923" s="11">
        <v>0</v>
      </c>
    </row>
    <row r="5924" spans="5:11" x14ac:dyDescent="0.35">
      <c r="E5924" s="9" t="str">
        <v>EPSG</v>
      </c>
      <c r="F5924" s="7" t="str">
        <v>23832</v>
      </c>
      <c r="G5924" t="str">
        <v>ProjectedCrs</v>
      </c>
      <c r="H5924" t="str">
        <v>Transverse Mercator</v>
      </c>
      <c r="I5924" t="str">
        <v>DGN95 / Indonesia TM-3 zone 47.2</v>
      </c>
      <c r="J5924" t="str">
        <v>Indonesia - onshore between 99°E and 102°E.</v>
      </c>
      <c r="K5924" s="11">
        <v>0</v>
      </c>
    </row>
    <row r="5925" spans="5:11" x14ac:dyDescent="0.35">
      <c r="E5925" s="9" t="str">
        <v>EPSG</v>
      </c>
      <c r="F5925" s="7" t="str">
        <v>23833</v>
      </c>
      <c r="G5925" t="str">
        <v>ProjectedCrs</v>
      </c>
      <c r="H5925" t="str">
        <v>Transverse Mercator</v>
      </c>
      <c r="I5925" t="str">
        <v>DGN95 / Indonesia TM-3 zone 48.1</v>
      </c>
      <c r="J5925" t="str">
        <v>Indonesia - onshore between 102°E and 105°E.</v>
      </c>
      <c r="K5925" s="11">
        <v>0</v>
      </c>
    </row>
    <row r="5926" spans="5:11" x14ac:dyDescent="0.35">
      <c r="E5926" s="9" t="str">
        <v>EPSG</v>
      </c>
      <c r="F5926" s="7" t="str">
        <v>23834</v>
      </c>
      <c r="G5926" t="str">
        <v>ProjectedCrs</v>
      </c>
      <c r="H5926" t="str">
        <v>Transverse Mercator</v>
      </c>
      <c r="I5926" t="str">
        <v>DGN95 / Indonesia TM-3 zone 48.2</v>
      </c>
      <c r="J5926" t="str">
        <v>Indonesia - onshore between 105°E and 108°E.</v>
      </c>
      <c r="K5926" s="11">
        <v>0</v>
      </c>
    </row>
    <row r="5927" spans="5:11" x14ac:dyDescent="0.35">
      <c r="E5927" s="9" t="str">
        <v>EPSG</v>
      </c>
      <c r="F5927" s="7" t="str">
        <v>23835</v>
      </c>
      <c r="G5927" t="str">
        <v>ProjectedCrs</v>
      </c>
      <c r="H5927" t="str">
        <v>Transverse Mercator</v>
      </c>
      <c r="I5927" t="str">
        <v>DGN95 / Indonesia TM-3 zone 49.1</v>
      </c>
      <c r="J5927" t="str">
        <v>Indonesia - onshore between 108°E and 111°E.</v>
      </c>
      <c r="K5927" s="11">
        <v>0</v>
      </c>
    </row>
    <row r="5928" spans="5:11" x14ac:dyDescent="0.35">
      <c r="E5928" s="9" t="str">
        <v>EPSG</v>
      </c>
      <c r="F5928" s="7" t="str">
        <v>23836</v>
      </c>
      <c r="G5928" t="str">
        <v>ProjectedCrs</v>
      </c>
      <c r="H5928" t="str">
        <v>Transverse Mercator</v>
      </c>
      <c r="I5928" t="str">
        <v>DGN95 / Indonesia TM-3 zone 49.2</v>
      </c>
      <c r="J5928" t="str">
        <v>Indonesia - onshore between 111°E and 114°E.</v>
      </c>
      <c r="K5928" s="11">
        <v>0</v>
      </c>
    </row>
    <row r="5929" spans="5:11" x14ac:dyDescent="0.35">
      <c r="E5929" s="9" t="str">
        <v>EPSG</v>
      </c>
      <c r="F5929" s="7" t="str">
        <v>23837</v>
      </c>
      <c r="G5929" t="str">
        <v>ProjectedCrs</v>
      </c>
      <c r="H5929" t="str">
        <v>Transverse Mercator</v>
      </c>
      <c r="I5929" t="str">
        <v>DGN95 / Indonesia TM-3 zone 50.1</v>
      </c>
      <c r="J5929" t="str">
        <v>Indonesia - onshore between 114°E and 117°E.</v>
      </c>
      <c r="K5929" s="11">
        <v>0</v>
      </c>
    </row>
    <row r="5930" spans="5:11" x14ac:dyDescent="0.35">
      <c r="E5930" s="9" t="str">
        <v>EPSG</v>
      </c>
      <c r="F5930" s="7" t="str">
        <v>23838</v>
      </c>
      <c r="G5930" t="str">
        <v>ProjectedCrs</v>
      </c>
      <c r="H5930" t="str">
        <v>Transverse Mercator</v>
      </c>
      <c r="I5930" t="str">
        <v>DGN95 / Indonesia TM-3 zone 50.2</v>
      </c>
      <c r="J5930" t="str">
        <v>Indonesia - onshore between 117°E and 120°E.</v>
      </c>
      <c r="K5930" s="11">
        <v>0</v>
      </c>
    </row>
    <row r="5931" spans="5:11" x14ac:dyDescent="0.35">
      <c r="E5931" s="9" t="str">
        <v>EPSG</v>
      </c>
      <c r="F5931" s="7" t="str">
        <v>23839</v>
      </c>
      <c r="G5931" t="str">
        <v>ProjectedCrs</v>
      </c>
      <c r="H5931" t="str">
        <v>Transverse Mercator</v>
      </c>
      <c r="I5931" t="str">
        <v>DGN95 / Indonesia TM-3 zone 51.1</v>
      </c>
      <c r="J5931" t="str">
        <v>Indonesia - onshore between 120°E and 123°E.</v>
      </c>
      <c r="K5931" s="11">
        <v>0</v>
      </c>
    </row>
    <row r="5932" spans="5:11" x14ac:dyDescent="0.35">
      <c r="E5932" s="9" t="str">
        <v>EPSG</v>
      </c>
      <c r="F5932" s="7" t="str">
        <v>23840</v>
      </c>
      <c r="G5932" t="str">
        <v>ProjectedCrs</v>
      </c>
      <c r="H5932" t="str">
        <v>Transverse Mercator</v>
      </c>
      <c r="I5932" t="str">
        <v>DGN95 / Indonesia TM-3 zone 51.2</v>
      </c>
      <c r="J5932" t="str">
        <v>Indonesia - onshore between 123°E and 126°E.</v>
      </c>
      <c r="K5932" s="11">
        <v>0</v>
      </c>
    </row>
    <row r="5933" spans="5:11" x14ac:dyDescent="0.35">
      <c r="E5933" s="9" t="str">
        <v>EPSG</v>
      </c>
      <c r="F5933" s="7" t="str">
        <v>23841</v>
      </c>
      <c r="G5933" t="str">
        <v>ProjectedCrs</v>
      </c>
      <c r="H5933" t="str">
        <v>Transverse Mercator</v>
      </c>
      <c r="I5933" t="str">
        <v>DGN95 / Indonesia TM-3 zone 52.1</v>
      </c>
      <c r="J5933" t="str">
        <v>Indonesia - onshore between 126°E and 129°E.</v>
      </c>
      <c r="K5933" s="11">
        <v>0</v>
      </c>
    </row>
    <row r="5934" spans="5:11" x14ac:dyDescent="0.35">
      <c r="E5934" s="9" t="str">
        <v>EPSG</v>
      </c>
      <c r="F5934" s="7" t="str">
        <v>23842</v>
      </c>
      <c r="G5934" t="str">
        <v>ProjectedCrs</v>
      </c>
      <c r="H5934" t="str">
        <v>Transverse Mercator</v>
      </c>
      <c r="I5934" t="str">
        <v>DGN95 / Indonesia TM-3 zone 52.2</v>
      </c>
      <c r="J5934" t="str">
        <v>Indonesia - onshore between 129°E and 132°E.</v>
      </c>
      <c r="K5934" s="11">
        <v>0</v>
      </c>
    </row>
    <row r="5935" spans="5:11" x14ac:dyDescent="0.35">
      <c r="E5935" s="9" t="str">
        <v>EPSG</v>
      </c>
      <c r="F5935" s="7" t="str">
        <v>23843</v>
      </c>
      <c r="G5935" t="str">
        <v>ProjectedCrs</v>
      </c>
      <c r="H5935" t="str">
        <v>Transverse Mercator</v>
      </c>
      <c r="I5935" t="str">
        <v>DGN95 / Indonesia TM-3 zone 53.1</v>
      </c>
      <c r="J5935" t="str">
        <v>Indonesia - onshore between 132°E and 135°E.</v>
      </c>
      <c r="K5935" s="11">
        <v>0</v>
      </c>
    </row>
    <row r="5936" spans="5:11" x14ac:dyDescent="0.35">
      <c r="E5936" s="9" t="str">
        <v>EPSG</v>
      </c>
      <c r="F5936" s="7" t="str">
        <v>23844</v>
      </c>
      <c r="G5936" t="str">
        <v>ProjectedCrs</v>
      </c>
      <c r="H5936" t="str">
        <v>Transverse Mercator</v>
      </c>
      <c r="I5936" t="str">
        <v>DGN95 / Indonesia TM-3 zone 53.2</v>
      </c>
      <c r="J5936" t="str">
        <v>Indonesia - onshore between 135°E and 138°E.</v>
      </c>
      <c r="K5936" s="11">
        <v>0</v>
      </c>
    </row>
    <row r="5937" spans="5:11" x14ac:dyDescent="0.35">
      <c r="E5937" s="9" t="str">
        <v>EPSG</v>
      </c>
      <c r="F5937" s="7" t="str">
        <v>23845</v>
      </c>
      <c r="G5937" t="str">
        <v>ProjectedCrs</v>
      </c>
      <c r="H5937" t="str">
        <v>Transverse Mercator</v>
      </c>
      <c r="I5937" t="str">
        <v>DGN95 / Indonesia TM-3 zone 54.1</v>
      </c>
      <c r="J5937" t="str">
        <v>Indonesia - onshore east of 138°E.</v>
      </c>
      <c r="K5937" s="11">
        <v>0</v>
      </c>
    </row>
    <row r="5938" spans="5:11" x14ac:dyDescent="0.35">
      <c r="E5938" s="9" t="str">
        <v>EPSG</v>
      </c>
      <c r="F5938" s="7" t="str">
        <v>23846</v>
      </c>
      <c r="G5938" t="str">
        <v>ProjectedCrs</v>
      </c>
      <c r="H5938" t="str">
        <v>Transverse Mercator</v>
      </c>
      <c r="I5938" t="str">
        <v>ID74 / UTM zone 46N</v>
      </c>
      <c r="J5938" t="str">
        <v>Indonesia - onshore west of 96°E.</v>
      </c>
      <c r="K5938" s="11">
        <v>0</v>
      </c>
    </row>
    <row r="5939" spans="5:11" x14ac:dyDescent="0.35">
      <c r="E5939" s="9" t="str">
        <v>EPSG</v>
      </c>
      <c r="F5939" s="7" t="str">
        <v>23847</v>
      </c>
      <c r="G5939" t="str">
        <v>ProjectedCrs</v>
      </c>
      <c r="H5939" t="str">
        <v>Transverse Mercator</v>
      </c>
      <c r="I5939" t="str">
        <v>ID74 / UTM zone 47N</v>
      </c>
      <c r="J5939" t="str">
        <v>Indonesia - onshore north of equator and between 96°E and 102°E.</v>
      </c>
      <c r="K5939" s="11">
        <v>0</v>
      </c>
    </row>
    <row r="5940" spans="5:11" x14ac:dyDescent="0.35">
      <c r="E5940" s="9" t="str">
        <v>EPSG</v>
      </c>
      <c r="F5940" s="7" t="str">
        <v>23848</v>
      </c>
      <c r="G5940" t="str">
        <v>ProjectedCrs</v>
      </c>
      <c r="H5940" t="str">
        <v>Transverse Mercator</v>
      </c>
      <c r="I5940" t="str">
        <v>ID74 / UTM zone 48N</v>
      </c>
      <c r="J5940" t="str">
        <v>Indonesia - onshore north of equator and between 102°E and 108°E.</v>
      </c>
      <c r="K5940" s="11">
        <v>0</v>
      </c>
    </row>
    <row r="5941" spans="5:11" x14ac:dyDescent="0.35">
      <c r="E5941" s="9" t="str">
        <v>EPSG</v>
      </c>
      <c r="F5941" s="7" t="str">
        <v>23849</v>
      </c>
      <c r="G5941" t="str">
        <v>ProjectedCrs</v>
      </c>
      <c r="H5941" t="str">
        <v>Transverse Mercator</v>
      </c>
      <c r="I5941" t="str">
        <v>ID74 / UTM zone 49N</v>
      </c>
      <c r="J5941" t="str">
        <v>Indonesia - onshore north of equator and between 108°E and 114°E.</v>
      </c>
      <c r="K5941" s="11">
        <v>0</v>
      </c>
    </row>
    <row r="5942" spans="5:11" x14ac:dyDescent="0.35">
      <c r="E5942" s="9" t="str">
        <v>EPSG</v>
      </c>
      <c r="F5942" s="7" t="str">
        <v>23850</v>
      </c>
      <c r="G5942" t="str">
        <v>ProjectedCrs</v>
      </c>
      <c r="H5942" t="str">
        <v>Transverse Mercator</v>
      </c>
      <c r="I5942" t="str">
        <v>ID74 / UTM zone 50N</v>
      </c>
      <c r="J5942" t="str">
        <v>Indonesia - onshore north of equator and between 114°E and 120°E.</v>
      </c>
      <c r="K5942" s="11">
        <v>0</v>
      </c>
    </row>
    <row r="5943" spans="5:11" x14ac:dyDescent="0.35">
      <c r="E5943" s="9" t="str">
        <v>EPSG</v>
      </c>
      <c r="F5943" s="7" t="str">
        <v>23851</v>
      </c>
      <c r="G5943" t="str">
        <v>ProjectedCrs</v>
      </c>
      <c r="H5943" t="str">
        <v>Transverse Mercator</v>
      </c>
      <c r="I5943" t="str">
        <v>ID74 / UTM zone 51N</v>
      </c>
      <c r="J5943" t="str">
        <v>Indonesia - onshore north of equator and between 120°E and 126°E.</v>
      </c>
      <c r="K5943" s="11">
        <v>0</v>
      </c>
    </row>
    <row r="5944" spans="5:11" x14ac:dyDescent="0.35">
      <c r="E5944" s="9" t="str">
        <v>EPSG</v>
      </c>
      <c r="F5944" s="7" t="str">
        <v>23852</v>
      </c>
      <c r="G5944" t="str">
        <v>ProjectedCrs</v>
      </c>
      <c r="H5944" t="str">
        <v>Transverse Mercator</v>
      </c>
      <c r="I5944" t="str">
        <v>ID74 / UTM zone 52N</v>
      </c>
      <c r="J5944" t="str">
        <v>Indonesia - onshore north of equator and between 126°E and 132°E.</v>
      </c>
      <c r="K5944" s="11">
        <v>0</v>
      </c>
    </row>
    <row r="5945" spans="5:11" x14ac:dyDescent="0.35">
      <c r="E5945" s="9" t="str">
        <v>EPSG</v>
      </c>
      <c r="F5945" s="7" t="str">
        <v>23866</v>
      </c>
      <c r="G5945" t="str">
        <v>ProjectedCrs</v>
      </c>
      <c r="H5945" t="str">
        <v>Transverse Mercator</v>
      </c>
      <c r="I5945" t="str">
        <v>DGN95 / UTM zone 46N</v>
      </c>
      <c r="J5945" t="str">
        <v>Indonesia - north of equator and west of 96°E - onshore and offshore.</v>
      </c>
      <c r="K5945" s="11">
        <v>0</v>
      </c>
    </row>
    <row r="5946" spans="5:11" x14ac:dyDescent="0.35">
      <c r="E5946" s="9" t="str">
        <v>EPSG</v>
      </c>
      <c r="F5946" s="7" t="str">
        <v>23867</v>
      </c>
      <c r="G5946" t="str">
        <v>ProjectedCrs</v>
      </c>
      <c r="H5946" t="str">
        <v>Transverse Mercator</v>
      </c>
      <c r="I5946" t="str">
        <v>DGN95 / UTM zone 47N</v>
      </c>
      <c r="J5946" t="str">
        <v>Indonesia - north of equator and between 96°E and 102°E - onshore and offshore.</v>
      </c>
      <c r="K5946" s="11">
        <v>0</v>
      </c>
    </row>
    <row r="5947" spans="5:11" x14ac:dyDescent="0.35">
      <c r="E5947" s="9" t="str">
        <v>EPSG</v>
      </c>
      <c r="F5947" s="7" t="str">
        <v>23868</v>
      </c>
      <c r="G5947" t="str">
        <v>ProjectedCrs</v>
      </c>
      <c r="H5947" t="str">
        <v>Transverse Mercator</v>
      </c>
      <c r="I5947" t="str">
        <v>DGN95 / UTM zone 48N</v>
      </c>
      <c r="J5947" t="str">
        <v>Indonesia - north of equator and between 102°E and 108°E - onshore and offshore.</v>
      </c>
      <c r="K5947" s="11">
        <v>0</v>
      </c>
    </row>
    <row r="5948" spans="5:11" x14ac:dyDescent="0.35">
      <c r="E5948" s="9" t="str">
        <v>EPSG</v>
      </c>
      <c r="F5948" s="7" t="str">
        <v>23869</v>
      </c>
      <c r="G5948" t="str">
        <v>ProjectedCrs</v>
      </c>
      <c r="H5948" t="str">
        <v>Transverse Mercator</v>
      </c>
      <c r="I5948" t="str">
        <v>DGN95 / UTM zone 49N</v>
      </c>
      <c r="J5948" t="str">
        <v>Indonesia - north of equator and between 108°E and 114°E - onshore and offshore.</v>
      </c>
      <c r="K5948" s="11">
        <v>0</v>
      </c>
    </row>
    <row r="5949" spans="5:11" x14ac:dyDescent="0.35">
      <c r="E5949" s="9" t="str">
        <v>EPSG</v>
      </c>
      <c r="F5949" s="7" t="str">
        <v>23870</v>
      </c>
      <c r="G5949" t="str">
        <v>ProjectedCrs</v>
      </c>
      <c r="H5949" t="str">
        <v>Transverse Mercator</v>
      </c>
      <c r="I5949" t="str">
        <v>DGN95 / UTM zone 50N</v>
      </c>
      <c r="J5949" t="str">
        <v>Indonesia - north of equator and between 114°E and 120°E - onshore and offshore.</v>
      </c>
      <c r="K5949" s="11">
        <v>0</v>
      </c>
    </row>
    <row r="5950" spans="5:11" x14ac:dyDescent="0.35">
      <c r="E5950" s="9" t="str">
        <v>EPSG</v>
      </c>
      <c r="F5950" s="7" t="str">
        <v>23871</v>
      </c>
      <c r="G5950" t="str">
        <v>ProjectedCrs</v>
      </c>
      <c r="H5950" t="str">
        <v>Transverse Mercator</v>
      </c>
      <c r="I5950" t="str">
        <v>DGN95 / UTM zone 51N</v>
      </c>
      <c r="J5950" t="str">
        <v>Indonesia - north of equator and between 120°E and 126°E - onshore and offshore.</v>
      </c>
      <c r="K5950" s="11">
        <v>0</v>
      </c>
    </row>
    <row r="5951" spans="5:11" x14ac:dyDescent="0.35">
      <c r="E5951" s="9" t="str">
        <v>EPSG</v>
      </c>
      <c r="F5951" s="7" t="str">
        <v>23872</v>
      </c>
      <c r="G5951" t="str">
        <v>ProjectedCrs</v>
      </c>
      <c r="H5951" t="str">
        <v>Transverse Mercator</v>
      </c>
      <c r="I5951" t="str">
        <v>DGN95 / UTM zone 52N</v>
      </c>
      <c r="J5951" t="str">
        <v>Indonesia - north of equator and between 126°E and 132°E - onshore and offshore.</v>
      </c>
      <c r="K5951" s="11">
        <v>0</v>
      </c>
    </row>
    <row r="5952" spans="5:11" x14ac:dyDescent="0.35">
      <c r="E5952" s="9" t="str">
        <v>EPSG</v>
      </c>
      <c r="F5952" s="7" t="str">
        <v>23877</v>
      </c>
      <c r="G5952" t="str">
        <v>ProjectedCrs</v>
      </c>
      <c r="H5952" t="str">
        <v>Transverse Mercator</v>
      </c>
      <c r="I5952" t="str">
        <v>DGN95 / UTM zone 47S</v>
      </c>
      <c r="J5952" t="str">
        <v>Indonesia - south of equator and between 96°E and 102°E - onshore and offshore.</v>
      </c>
      <c r="K5952" s="11">
        <v>0</v>
      </c>
    </row>
    <row r="5953" spans="5:11" x14ac:dyDescent="0.35">
      <c r="E5953" s="9" t="str">
        <v>EPSG</v>
      </c>
      <c r="F5953" s="7" t="str">
        <v>23878</v>
      </c>
      <c r="G5953" t="str">
        <v>ProjectedCrs</v>
      </c>
      <c r="H5953" t="str">
        <v>Transverse Mercator</v>
      </c>
      <c r="I5953" t="str">
        <v>DGN95 / UTM zone 48S</v>
      </c>
      <c r="J5953" t="str">
        <v>Indonesia - south of equator and between 102°E and 108°E - onshore and offshore.</v>
      </c>
      <c r="K5953" s="11">
        <v>0</v>
      </c>
    </row>
    <row r="5954" spans="5:11" x14ac:dyDescent="0.35">
      <c r="E5954" s="9" t="str">
        <v>EPSG</v>
      </c>
      <c r="F5954" s="7" t="str">
        <v>23879</v>
      </c>
      <c r="G5954" t="str">
        <v>ProjectedCrs</v>
      </c>
      <c r="H5954" t="str">
        <v>Transverse Mercator</v>
      </c>
      <c r="I5954" t="str">
        <v>DGN95 / UTM zone 49S</v>
      </c>
      <c r="J5954" t="str">
        <v>Indonesia - south of equator and between 108°E and 114°E - onshore and offshore.</v>
      </c>
      <c r="K5954" s="11">
        <v>0</v>
      </c>
    </row>
    <row r="5955" spans="5:11" x14ac:dyDescent="0.35">
      <c r="E5955" s="9" t="str">
        <v>EPSG</v>
      </c>
      <c r="F5955" s="7" t="str">
        <v>23880</v>
      </c>
      <c r="G5955" t="str">
        <v>ProjectedCrs</v>
      </c>
      <c r="H5955" t="str">
        <v>Transverse Mercator</v>
      </c>
      <c r="I5955" t="str">
        <v>DGN95 / UTM zone 50S</v>
      </c>
      <c r="J5955" t="str">
        <v>Indonesia - south of equator and between 114°E and 120°E - onshore and offshore.</v>
      </c>
      <c r="K5955" s="11">
        <v>0</v>
      </c>
    </row>
    <row r="5956" spans="5:11" x14ac:dyDescent="0.35">
      <c r="E5956" s="9" t="str">
        <v>EPSG</v>
      </c>
      <c r="F5956" s="7" t="str">
        <v>23881</v>
      </c>
      <c r="G5956" t="str">
        <v>ProjectedCrs</v>
      </c>
      <c r="H5956" t="str">
        <v>Transverse Mercator</v>
      </c>
      <c r="I5956" t="str">
        <v>DGN95 / UTM zone 51S</v>
      </c>
      <c r="J5956" t="str">
        <v>Indonesia - south of equator and between 120°E and 126°E - onshore and offshore.</v>
      </c>
      <c r="K5956" s="11">
        <v>0</v>
      </c>
    </row>
    <row r="5957" spans="5:11" x14ac:dyDescent="0.35">
      <c r="E5957" s="9" t="str">
        <v>EPSG</v>
      </c>
      <c r="F5957" s="7" t="str">
        <v>23882</v>
      </c>
      <c r="G5957" t="str">
        <v>ProjectedCrs</v>
      </c>
      <c r="H5957" t="str">
        <v>Transverse Mercator</v>
      </c>
      <c r="I5957" t="str">
        <v>DGN95 / UTM zone 52S</v>
      </c>
      <c r="J5957" t="str">
        <v>Indonesia - south of equator and between 126°E and 132°E - onshore and offshore.</v>
      </c>
      <c r="K5957" s="11">
        <v>0</v>
      </c>
    </row>
    <row r="5958" spans="5:11" x14ac:dyDescent="0.35">
      <c r="E5958" s="9" t="str">
        <v>EPSG</v>
      </c>
      <c r="F5958" s="7" t="str">
        <v>23883</v>
      </c>
      <c r="G5958" t="str">
        <v>ProjectedCrs</v>
      </c>
      <c r="H5958" t="str">
        <v>Transverse Mercator</v>
      </c>
      <c r="I5958" t="str">
        <v>DGN95 / UTM zone 53S</v>
      </c>
      <c r="J5958" t="str">
        <v>Indonesia - south of equator and between 132°E and 138°E - onshore and offshore.</v>
      </c>
      <c r="K5958" s="11">
        <v>0</v>
      </c>
    </row>
    <row r="5959" spans="5:11" x14ac:dyDescent="0.35">
      <c r="E5959" s="9" t="str">
        <v>EPSG</v>
      </c>
      <c r="F5959" s="7" t="str">
        <v>23884</v>
      </c>
      <c r="G5959" t="str">
        <v>ProjectedCrs</v>
      </c>
      <c r="H5959" t="str">
        <v>Transverse Mercator</v>
      </c>
      <c r="I5959" t="str">
        <v>DGN95 / UTM zone 54S</v>
      </c>
      <c r="J5959" t="str">
        <v>Indonesia - south of equator and east of 138°E - onshore and offshore.</v>
      </c>
      <c r="K5959" s="11">
        <v>0</v>
      </c>
    </row>
    <row r="5960" spans="5:11" x14ac:dyDescent="0.35">
      <c r="E5960" s="9" t="str">
        <v>EPSG</v>
      </c>
      <c r="F5960" s="7" t="str">
        <v>23887</v>
      </c>
      <c r="G5960" t="str">
        <v>ProjectedCrs</v>
      </c>
      <c r="H5960" t="str">
        <v>Transverse Mercator</v>
      </c>
      <c r="I5960" t="str">
        <v>ID74 / UTM zone 47S</v>
      </c>
      <c r="J5960" t="str">
        <v>Indonesia - onshore south of equator and between 96°E and 102°E.</v>
      </c>
      <c r="K5960" s="11">
        <v>0</v>
      </c>
    </row>
    <row r="5961" spans="5:11" x14ac:dyDescent="0.35">
      <c r="E5961" s="9" t="str">
        <v>EPSG</v>
      </c>
      <c r="F5961" s="7" t="str">
        <v>23888</v>
      </c>
      <c r="G5961" t="str">
        <v>ProjectedCrs</v>
      </c>
      <c r="H5961" t="str">
        <v>Transverse Mercator</v>
      </c>
      <c r="I5961" t="str">
        <v>ID74 / UTM zone 48S</v>
      </c>
      <c r="J5961" t="str">
        <v>Indonesia - onshore south of equator and between 102°E and 108°E.</v>
      </c>
      <c r="K5961" s="11">
        <v>0</v>
      </c>
    </row>
    <row r="5962" spans="5:11" x14ac:dyDescent="0.35">
      <c r="E5962" s="9" t="str">
        <v>EPSG</v>
      </c>
      <c r="F5962" s="7" t="str">
        <v>23889</v>
      </c>
      <c r="G5962" t="str">
        <v>ProjectedCrs</v>
      </c>
      <c r="H5962" t="str">
        <v>Transverse Mercator</v>
      </c>
      <c r="I5962" t="str">
        <v>ID74 / UTM zone 49S</v>
      </c>
      <c r="J5962" t="str">
        <v>Indonesia - onshore south of equator and between 108°E and 114°E.</v>
      </c>
      <c r="K5962" s="11">
        <v>0</v>
      </c>
    </row>
    <row r="5963" spans="5:11" x14ac:dyDescent="0.35">
      <c r="E5963" s="9" t="str">
        <v>EPSG</v>
      </c>
      <c r="F5963" s="7" t="str">
        <v>23890</v>
      </c>
      <c r="G5963" t="str">
        <v>ProjectedCrs</v>
      </c>
      <c r="H5963" t="str">
        <v>Transverse Mercator</v>
      </c>
      <c r="I5963" t="str">
        <v>ID74 / UTM zone 50S</v>
      </c>
      <c r="J5963" t="str">
        <v>Indonesia - onshore south of equator and between 114°E and 120°E.</v>
      </c>
      <c r="K5963" s="11">
        <v>0</v>
      </c>
    </row>
    <row r="5964" spans="5:11" x14ac:dyDescent="0.35">
      <c r="E5964" s="9" t="str">
        <v>EPSG</v>
      </c>
      <c r="F5964" s="7" t="str">
        <v>23891</v>
      </c>
      <c r="G5964" t="str">
        <v>ProjectedCrs</v>
      </c>
      <c r="H5964" t="str">
        <v>Transverse Mercator</v>
      </c>
      <c r="I5964" t="str">
        <v>ID74 / UTM zone 51S</v>
      </c>
      <c r="J5964" t="str">
        <v>Indonesia - onshore south of equator and between 120°E and 126°E.</v>
      </c>
      <c r="K5964" s="11">
        <v>0</v>
      </c>
    </row>
    <row r="5965" spans="5:11" x14ac:dyDescent="0.35">
      <c r="E5965" s="9" t="str">
        <v>EPSG</v>
      </c>
      <c r="F5965" s="7" t="str">
        <v>23892</v>
      </c>
      <c r="G5965" t="str">
        <v>ProjectedCrs</v>
      </c>
      <c r="H5965" t="str">
        <v>Transverse Mercator</v>
      </c>
      <c r="I5965" t="str">
        <v>ID74 / UTM zone 52S</v>
      </c>
      <c r="J5965" t="str">
        <v>Indonesia - onshore south of equator and between 126°E and 132°E.</v>
      </c>
      <c r="K5965" s="11">
        <v>0</v>
      </c>
    </row>
    <row r="5966" spans="5:11" x14ac:dyDescent="0.35">
      <c r="E5966" s="9" t="str">
        <v>EPSG</v>
      </c>
      <c r="F5966" s="7" t="str">
        <v>23893</v>
      </c>
      <c r="G5966" t="str">
        <v>ProjectedCrs</v>
      </c>
      <c r="H5966" t="str">
        <v>Transverse Mercator</v>
      </c>
      <c r="I5966" t="str">
        <v>ID74 / UTM zone 53S</v>
      </c>
      <c r="J5966" t="str">
        <v>Indonesia - onshore south of equator and between 132°E and 138°E.</v>
      </c>
      <c r="K5966" s="11">
        <v>0</v>
      </c>
    </row>
    <row r="5967" spans="5:11" x14ac:dyDescent="0.35">
      <c r="E5967" s="9" t="str">
        <v>EPSG</v>
      </c>
      <c r="F5967" s="7" t="str">
        <v>23894</v>
      </c>
      <c r="G5967" t="str">
        <v>ProjectedCrs</v>
      </c>
      <c r="H5967" t="str">
        <v>Transverse Mercator</v>
      </c>
      <c r="I5967" t="str">
        <v>ID74 / UTM zone 54S</v>
      </c>
      <c r="J5967" t="str">
        <v>Indonesia - onshore east of 138°E.</v>
      </c>
      <c r="K5967" s="11">
        <v>0</v>
      </c>
    </row>
    <row r="5968" spans="5:11" x14ac:dyDescent="0.35">
      <c r="E5968" s="9" t="str">
        <v>EPSG</v>
      </c>
      <c r="F5968" s="7" t="str">
        <v>23946</v>
      </c>
      <c r="G5968" t="str">
        <v>ProjectedCrs</v>
      </c>
      <c r="H5968" t="str">
        <v>Transverse Mercator</v>
      </c>
      <c r="I5968" t="str">
        <v>Indian 1954 / UTM zone 46N</v>
      </c>
      <c r="J5968" t="str">
        <v>Myanmar (Burma) - onshore west of 96°E.</v>
      </c>
      <c r="K5968" s="11">
        <v>0</v>
      </c>
    </row>
    <row r="5969" spans="5:11" x14ac:dyDescent="0.35">
      <c r="E5969" s="9" t="str">
        <v>EPSG</v>
      </c>
      <c r="F5969" s="7" t="str">
        <v>23947</v>
      </c>
      <c r="G5969" t="str">
        <v>ProjectedCrs</v>
      </c>
      <c r="H5969" t="str">
        <v>Transverse Mercator</v>
      </c>
      <c r="I5969" t="str">
        <v>Indian 1954 / UTM zone 47N</v>
      </c>
      <c r="J5969" t="str">
        <v>Myanmar (Burma) - onshore east of 96°E; Thailand - onshore west of 102°E.</v>
      </c>
      <c r="K5969" s="11">
        <v>0</v>
      </c>
    </row>
    <row r="5970" spans="5:11" x14ac:dyDescent="0.35">
      <c r="E5970" s="9" t="str">
        <v>EPSG</v>
      </c>
      <c r="F5970" s="7" t="str">
        <v>23948</v>
      </c>
      <c r="G5970" t="str">
        <v>ProjectedCrs</v>
      </c>
      <c r="H5970" t="str">
        <v>Transverse Mercator</v>
      </c>
      <c r="I5970" t="str">
        <v>Indian 1954 / UTM zone 48N</v>
      </c>
      <c r="J5970" t="str">
        <v>Thailand - onshore east of 102°E.</v>
      </c>
      <c r="K5970" s="11">
        <v>0</v>
      </c>
    </row>
    <row r="5971" spans="5:11" x14ac:dyDescent="0.35">
      <c r="E5971" s="9" t="str">
        <v>EPSG</v>
      </c>
      <c r="F5971" s="7" t="str">
        <v>24047</v>
      </c>
      <c r="G5971" t="str">
        <v>ProjectedCrs</v>
      </c>
      <c r="H5971" t="str">
        <v>Transverse Mercator</v>
      </c>
      <c r="I5971" t="str">
        <v>Indian 1975 / UTM zone 47N</v>
      </c>
      <c r="J5971" t="str">
        <v>Thailand - onshore west of 102°E plus offshore Gulf of Thailand west of 102°E.</v>
      </c>
      <c r="K5971" s="11">
        <v>0</v>
      </c>
    </row>
    <row r="5972" spans="5:11" x14ac:dyDescent="0.35">
      <c r="E5972" s="9" t="str">
        <v>EPSG</v>
      </c>
      <c r="F5972" s="7" t="str">
        <v>24048</v>
      </c>
      <c r="G5972" t="str">
        <v>ProjectedCrs</v>
      </c>
      <c r="H5972" t="str">
        <v>Transverse Mercator</v>
      </c>
      <c r="I5972" t="str">
        <v>Indian 1975 / UTM zone 48N</v>
      </c>
      <c r="J5972" t="str">
        <v>Thailand - onshore and offshore east of 102°E.</v>
      </c>
      <c r="K5972" s="11">
        <v>0</v>
      </c>
    </row>
    <row r="5973" spans="5:11" x14ac:dyDescent="0.35">
      <c r="E5973" s="9" t="str">
        <v>EPSG</v>
      </c>
      <c r="F5973" s="7" t="str">
        <v>24100</v>
      </c>
      <c r="G5973" t="str">
        <v>ProjectedCrs</v>
      </c>
      <c r="H5973" t="str">
        <v>Lambert Conic Conformal (1SP)</v>
      </c>
      <c r="I5973" t="str">
        <v>Jamaica 1875 / Jamaica (Old Grid)</v>
      </c>
      <c r="J5973" t="str">
        <v>Jamaica - onshore.</v>
      </c>
      <c r="K5973" s="11">
        <v>0</v>
      </c>
    </row>
    <row r="5974" spans="5:11" x14ac:dyDescent="0.35">
      <c r="E5974" s="9" t="str">
        <v>EPSG</v>
      </c>
      <c r="F5974" s="7" t="str">
        <v>24200</v>
      </c>
      <c r="G5974" t="str">
        <v>ProjectedCrs</v>
      </c>
      <c r="H5974" t="str">
        <v>Lambert Conic Conformal (1SP)</v>
      </c>
      <c r="I5974" t="str">
        <v>JAD69 / Jamaica National Grid</v>
      </c>
      <c r="J5974" t="str">
        <v>Jamaica - onshore.</v>
      </c>
      <c r="K5974" s="11">
        <v>0</v>
      </c>
    </row>
    <row r="5975" spans="5:11" x14ac:dyDescent="0.35">
      <c r="E5975" s="9" t="str">
        <v>EPSG</v>
      </c>
      <c r="F5975" s="7" t="str">
        <v>24305</v>
      </c>
      <c r="G5975" t="str">
        <v>ProjectedCrs</v>
      </c>
      <c r="H5975" t="str">
        <v>Transverse Mercator</v>
      </c>
      <c r="I5975" t="str">
        <v>Kalianpur 1937 / UTM zone 45N</v>
      </c>
      <c r="J5975" t="str">
        <v>Bangladesh - onshore west of 90°E.</v>
      </c>
      <c r="K5975" s="11">
        <v>0</v>
      </c>
    </row>
    <row r="5976" spans="5:11" x14ac:dyDescent="0.35">
      <c r="E5976" s="9" t="str">
        <v>EPSG</v>
      </c>
      <c r="F5976" s="7" t="str">
        <v>24306</v>
      </c>
      <c r="G5976" t="str">
        <v>ProjectedCrs</v>
      </c>
      <c r="H5976" t="str">
        <v>Transverse Mercator</v>
      </c>
      <c r="I5976" t="str">
        <v>Kalianpur 1937 / UTM zone 46N</v>
      </c>
      <c r="J5976" t="str">
        <v>Bangladesh - onshore east of 90°E.</v>
      </c>
      <c r="K5976" s="11">
        <v>0</v>
      </c>
    </row>
    <row r="5977" spans="5:11" x14ac:dyDescent="0.35">
      <c r="E5977" s="9" t="str">
        <v>EPSG</v>
      </c>
      <c r="F5977" s="7" t="str">
        <v>24311</v>
      </c>
      <c r="G5977" t="str">
        <v>ProjectedCrs</v>
      </c>
      <c r="H5977" t="str">
        <v>Transverse Mercator</v>
      </c>
      <c r="I5977" t="str">
        <v>Kalianpur 1962 / UTM zone 41N</v>
      </c>
      <c r="J5977" t="str">
        <v>Pakistan - onshore west of 66°E.</v>
      </c>
      <c r="K5977" s="11">
        <v>0</v>
      </c>
    </row>
    <row r="5978" spans="5:11" x14ac:dyDescent="0.35">
      <c r="E5978" s="9" t="str">
        <v>EPSG</v>
      </c>
      <c r="F5978" s="7" t="str">
        <v>24312</v>
      </c>
      <c r="G5978" t="str">
        <v>ProjectedCrs</v>
      </c>
      <c r="H5978" t="str">
        <v>Transverse Mercator</v>
      </c>
      <c r="I5978" t="str">
        <v>Kalianpur 1962 / UTM zone 42N</v>
      </c>
      <c r="J5978" t="str">
        <v>Pakistan - onshore between 66°E and 72°E.</v>
      </c>
      <c r="K5978" s="11">
        <v>0</v>
      </c>
    </row>
    <row r="5979" spans="5:11" x14ac:dyDescent="0.35">
      <c r="E5979" s="9" t="str">
        <v>EPSG</v>
      </c>
      <c r="F5979" s="7" t="str">
        <v>24313</v>
      </c>
      <c r="G5979" t="str">
        <v>ProjectedCrs</v>
      </c>
      <c r="H5979" t="str">
        <v>Transverse Mercator</v>
      </c>
      <c r="I5979" t="str">
        <v>Kalianpur 1962 / UTM zone 43N</v>
      </c>
      <c r="J5979" t="str">
        <v>Pakistan - east of 72°E.</v>
      </c>
      <c r="K5979" s="11">
        <v>0</v>
      </c>
    </row>
    <row r="5980" spans="5:11" x14ac:dyDescent="0.35">
      <c r="E5980" s="9" t="str">
        <v>EPSG</v>
      </c>
      <c r="F5980" s="7" t="str">
        <v>24342</v>
      </c>
      <c r="G5980" t="str">
        <v>ProjectedCrs</v>
      </c>
      <c r="H5980" t="str">
        <v>Transverse Mercator</v>
      </c>
      <c r="I5980" t="str">
        <v>Kalianpur 1975 / UTM zone 42N</v>
      </c>
      <c r="J5980" t="str">
        <v>India - onshore west of 72°E.</v>
      </c>
      <c r="K5980" s="11">
        <v>0</v>
      </c>
    </row>
    <row r="5981" spans="5:11" x14ac:dyDescent="0.35">
      <c r="E5981" s="9" t="str">
        <v>EPSG</v>
      </c>
      <c r="F5981" s="7" t="str">
        <v>24343</v>
      </c>
      <c r="G5981" t="str">
        <v>ProjectedCrs</v>
      </c>
      <c r="H5981" t="str">
        <v>Transverse Mercator</v>
      </c>
      <c r="I5981" t="str">
        <v>Kalianpur 1975 / UTM zone 43N</v>
      </c>
      <c r="J5981" t="str">
        <v>India - mainland onshore between 72°E and 78°E.</v>
      </c>
      <c r="K5981" s="11">
        <v>0</v>
      </c>
    </row>
    <row r="5982" spans="5:11" x14ac:dyDescent="0.35">
      <c r="E5982" s="9" t="str">
        <v>EPSG</v>
      </c>
      <c r="F5982" s="7" t="str">
        <v>24344</v>
      </c>
      <c r="G5982" t="str">
        <v>ProjectedCrs</v>
      </c>
      <c r="H5982" t="str">
        <v>Transverse Mercator</v>
      </c>
      <c r="I5982" t="str">
        <v>Kalianpur 1975 / UTM zone 44N</v>
      </c>
      <c r="J5982" t="str">
        <v>India - onshore between 78°E and 84°E.</v>
      </c>
      <c r="K5982" s="11">
        <v>0</v>
      </c>
    </row>
    <row r="5983" spans="5:11" x14ac:dyDescent="0.35">
      <c r="E5983" s="9" t="str">
        <v>EPSG</v>
      </c>
      <c r="F5983" s="7" t="str">
        <v>24345</v>
      </c>
      <c r="G5983" t="str">
        <v>ProjectedCrs</v>
      </c>
      <c r="H5983" t="str">
        <v>Transverse Mercator</v>
      </c>
      <c r="I5983" t="str">
        <v>Kalianpur 1975 / UTM zone 45N</v>
      </c>
      <c r="J5983" t="str">
        <v>India - onshore between 84°E and 90°E.</v>
      </c>
      <c r="K5983" s="11">
        <v>0</v>
      </c>
    </row>
    <row r="5984" spans="5:11" x14ac:dyDescent="0.35">
      <c r="E5984" s="9" t="str">
        <v>EPSG</v>
      </c>
      <c r="F5984" s="7" t="str">
        <v>24346</v>
      </c>
      <c r="G5984" t="str">
        <v>ProjectedCrs</v>
      </c>
      <c r="H5984" t="str">
        <v>Transverse Mercator</v>
      </c>
      <c r="I5984" t="str">
        <v>Kalianpur 1975 / UTM zone 46N</v>
      </c>
      <c r="J5984" t="str">
        <v>India - mainland onshore between 90°E and 96°E.</v>
      </c>
      <c r="K5984" s="11">
        <v>0</v>
      </c>
    </row>
    <row r="5985" spans="5:11" x14ac:dyDescent="0.35">
      <c r="E5985" s="9" t="str">
        <v>EPSG</v>
      </c>
      <c r="F5985" s="7" t="str">
        <v>24347</v>
      </c>
      <c r="G5985" t="str">
        <v>ProjectedCrs</v>
      </c>
      <c r="H5985" t="str">
        <v>Transverse Mercator</v>
      </c>
      <c r="I5985" t="str">
        <v>Kalianpur 1975 / UTM zone 47N</v>
      </c>
      <c r="J5985" t="str">
        <v>India - east of 96°E.</v>
      </c>
      <c r="K5985" s="11">
        <v>0</v>
      </c>
    </row>
    <row r="5986" spans="5:11" x14ac:dyDescent="0.35">
      <c r="E5986" s="9" t="str">
        <v>EPSG</v>
      </c>
      <c r="F5986" s="7" t="str">
        <v>24370</v>
      </c>
      <c r="G5986" t="str">
        <v>ProjectedCrs</v>
      </c>
      <c r="H5986" t="str">
        <v>Lambert Conic Conformal (1SP)</v>
      </c>
      <c r="I5986" t="str">
        <v>Kalianpur 1880 / India zone 0</v>
      </c>
      <c r="J5986" t="str">
        <v>Pakistan - north of 35°35'N.</v>
      </c>
      <c r="K5986" s="11">
        <v>0</v>
      </c>
    </row>
    <row r="5987" spans="5:11" x14ac:dyDescent="0.35">
      <c r="E5987" s="9" t="str">
        <v>EPSG</v>
      </c>
      <c r="F5987" s="7" t="str">
        <v>24371</v>
      </c>
      <c r="G5987" t="str">
        <v>ProjectedCrs</v>
      </c>
      <c r="H5987" t="str">
        <v>Lambert Conic Conformal (1SP)</v>
      </c>
      <c r="I5987" t="str">
        <v>Kalianpur 1880 / India zone I</v>
      </c>
      <c r="J5987" t="str">
        <v>India - north of 28°N; Pakistan - between 28°N and 35°35'N.</v>
      </c>
      <c r="K5987" s="11">
        <v>0</v>
      </c>
    </row>
    <row r="5988" spans="5:11" x14ac:dyDescent="0.35">
      <c r="E5988" s="9" t="str">
        <v>EPSG</v>
      </c>
      <c r="F5988" s="7" t="str">
        <v>24372</v>
      </c>
      <c r="G5988" t="str">
        <v>ProjectedCrs</v>
      </c>
      <c r="H5988" t="str">
        <v>Lambert Conic Conformal (1SP)</v>
      </c>
      <c r="I5988" t="str">
        <v>Kalianpur 1880 / India zone IIa</v>
      </c>
      <c r="J5988" t="str">
        <v>India - onshore between 21°N and 28°N and west of 82°E; Pakistan - onshore south of 28°N.</v>
      </c>
      <c r="K5988" s="11">
        <v>0</v>
      </c>
    </row>
    <row r="5989" spans="5:11" x14ac:dyDescent="0.35">
      <c r="E5989" s="9" t="str">
        <v>EPSG</v>
      </c>
      <c r="F5989" s="7" t="str">
        <v>24373</v>
      </c>
      <c r="G5989" t="str">
        <v>ProjectedCrs</v>
      </c>
      <c r="H5989" t="str">
        <v>Lambert Conic Conformal (1SP)</v>
      </c>
      <c r="I5989" t="str">
        <v>Kalianpur 1880 / India zone IIIa</v>
      </c>
      <c r="J5989" t="str">
        <v>India - onshore between 15°N and 21°N.</v>
      </c>
      <c r="K5989" s="11">
        <v>0</v>
      </c>
    </row>
    <row r="5990" spans="5:11" x14ac:dyDescent="0.35">
      <c r="E5990" s="9" t="str">
        <v>EPSG</v>
      </c>
      <c r="F5990" s="7" t="str">
        <v>24374</v>
      </c>
      <c r="G5990" t="str">
        <v>ProjectedCrs</v>
      </c>
      <c r="H5990" t="str">
        <v>Lambert Conic Conformal (1SP)</v>
      </c>
      <c r="I5990" t="str">
        <v>Kalianpur 1880 / India zone IVa</v>
      </c>
      <c r="J5990" t="str">
        <v>India - mainland onshore south of 15°N.</v>
      </c>
      <c r="K5990" s="11">
        <v>0</v>
      </c>
    </row>
    <row r="5991" spans="5:11" x14ac:dyDescent="0.35">
      <c r="E5991" s="9" t="str">
        <v>EPSG</v>
      </c>
      <c r="F5991" s="7" t="str">
        <v>24375</v>
      </c>
      <c r="G5991" t="str">
        <v>ProjectedCrs</v>
      </c>
      <c r="H5991" t="str">
        <v>Lambert Conic Conformal (1SP)</v>
      </c>
      <c r="I5991" t="str">
        <v>Kalianpur 1937 / India zone IIb</v>
      </c>
      <c r="J5991" t="str">
        <v>Bangladesh - onshore.</v>
      </c>
      <c r="K5991" s="11">
        <v>0</v>
      </c>
    </row>
    <row r="5992" spans="5:11" x14ac:dyDescent="0.35">
      <c r="E5992" s="9" t="str">
        <v>EPSG</v>
      </c>
      <c r="F5992" s="7" t="str">
        <v>24376</v>
      </c>
      <c r="G5992" t="str">
        <v>ProjectedCrs</v>
      </c>
      <c r="H5992" t="str">
        <v>Lambert Conic Conformal (1SP)</v>
      </c>
      <c r="I5992" t="str">
        <v>Kalianpur 1962 / India zone I</v>
      </c>
      <c r="J5992" t="str">
        <v>Pakistan - between 28°N and 35°35'N.</v>
      </c>
      <c r="K5992" s="11">
        <v>0</v>
      </c>
    </row>
    <row r="5993" spans="5:11" x14ac:dyDescent="0.35">
      <c r="E5993" s="9" t="str">
        <v>EPSG</v>
      </c>
      <c r="F5993" s="7" t="str">
        <v>24377</v>
      </c>
      <c r="G5993" t="str">
        <v>ProjectedCrs</v>
      </c>
      <c r="H5993" t="str">
        <v>Lambert Conic Conformal (1SP)</v>
      </c>
      <c r="I5993" t="str">
        <v>Kalianpur 1962 / India zone IIa</v>
      </c>
      <c r="J5993" t="str">
        <v>Pakistan - onshore south of 28°N.</v>
      </c>
      <c r="K5993" s="11">
        <v>0</v>
      </c>
    </row>
    <row r="5994" spans="5:11" x14ac:dyDescent="0.35">
      <c r="E5994" s="9" t="str">
        <v>EPSG</v>
      </c>
      <c r="F5994" s="7" t="str">
        <v>24378</v>
      </c>
      <c r="G5994" t="str">
        <v>ProjectedCrs</v>
      </c>
      <c r="H5994" t="str">
        <v>Lambert Conic Conformal (1SP)</v>
      </c>
      <c r="I5994" t="str">
        <v>Kalianpur 1975 / India zone I</v>
      </c>
      <c r="J5994" t="str">
        <v>India - north of 28°N.</v>
      </c>
      <c r="K5994" s="11">
        <v>0</v>
      </c>
    </row>
    <row r="5995" spans="5:11" x14ac:dyDescent="0.35">
      <c r="E5995" s="9" t="str">
        <v>EPSG</v>
      </c>
      <c r="F5995" s="7" t="str">
        <v>24379</v>
      </c>
      <c r="G5995" t="str">
        <v>ProjectedCrs</v>
      </c>
      <c r="H5995" t="str">
        <v>Lambert Conic Conformal (1SP)</v>
      </c>
      <c r="I5995" t="str">
        <v>Kalianpur 1975 / India zone IIa</v>
      </c>
      <c r="J5995" t="str">
        <v>India - onshore between 21°N and 28°N and west of 82°E.</v>
      </c>
      <c r="K5995" s="11">
        <v>0</v>
      </c>
    </row>
    <row r="5996" spans="5:11" x14ac:dyDescent="0.35">
      <c r="E5996" s="9" t="str">
        <v>EPSG</v>
      </c>
      <c r="F5996" s="7" t="str">
        <v>24380</v>
      </c>
      <c r="G5996" t="str">
        <v>ProjectedCrs</v>
      </c>
      <c r="H5996" t="str">
        <v>Lambert Conic Conformal (1SP)</v>
      </c>
      <c r="I5996" t="str">
        <v>Kalianpur 1975 / India zone IIb</v>
      </c>
      <c r="J5996" t="str">
        <v>India - onshore north of 21°N and east of 82°E.</v>
      </c>
      <c r="K5996" s="11">
        <v>0</v>
      </c>
    </row>
    <row r="5997" spans="5:11" x14ac:dyDescent="0.35">
      <c r="E5997" s="9" t="str">
        <v>EPSG</v>
      </c>
      <c r="F5997" s="7" t="str">
        <v>24381</v>
      </c>
      <c r="G5997" t="str">
        <v>ProjectedCrs</v>
      </c>
      <c r="H5997" t="str">
        <v>Lambert Conic Conformal (1SP)</v>
      </c>
      <c r="I5997" t="str">
        <v>Kalianpur 1975 / India zone IIIa</v>
      </c>
      <c r="J5997" t="str">
        <v>India - onshore between 15°N and 21°N.</v>
      </c>
      <c r="K5997" s="11">
        <v>0</v>
      </c>
    </row>
    <row r="5998" spans="5:11" x14ac:dyDescent="0.35">
      <c r="E5998" s="9" t="str">
        <v>EPSG</v>
      </c>
      <c r="F5998" s="7" t="str">
        <v>24382</v>
      </c>
      <c r="G5998" t="str">
        <v>ProjectedCrs</v>
      </c>
      <c r="H5998" t="str">
        <v>Lambert Conic Conformal (1SP)</v>
      </c>
      <c r="I5998" t="str">
        <v>Kalianpur 1880 / India zone IIb</v>
      </c>
      <c r="J5998" t="str">
        <v>Bangladesh - onshore north of 21°N; India - onshore north of 21°N and east of 82°E; Myanmar (Burma) - north of 21°N.</v>
      </c>
      <c r="K5998" s="11">
        <v>0</v>
      </c>
    </row>
    <row r="5999" spans="5:11" x14ac:dyDescent="0.35">
      <c r="E5999" s="9" t="str">
        <v>EPSG</v>
      </c>
      <c r="F5999" s="7" t="str">
        <v>24383</v>
      </c>
      <c r="G5999" t="str">
        <v>ProjectedCrs</v>
      </c>
      <c r="H5999" t="str">
        <v>Lambert Conic Conformal (1SP)</v>
      </c>
      <c r="I5999" t="str">
        <v>Kalianpur 1975 / India zone IVa</v>
      </c>
      <c r="J5999" t="str">
        <v>India - mainland onshore south of 15°N.</v>
      </c>
      <c r="K5999" s="11">
        <v>0</v>
      </c>
    </row>
    <row r="6000" spans="5:11" x14ac:dyDescent="0.35">
      <c r="E6000" s="9" t="str">
        <v>EPSG</v>
      </c>
      <c r="F6000" s="7" t="str">
        <v>24500</v>
      </c>
      <c r="G6000" t="str">
        <v>ProjectedCrs</v>
      </c>
      <c r="H6000" t="str">
        <v>Cassini-Soldner</v>
      </c>
      <c r="I6000" t="str">
        <v>Kertau 1968 / Singapore Grid</v>
      </c>
      <c r="J6000" t="str">
        <v>Singapore - onshore and offshore.</v>
      </c>
      <c r="K6000" s="11">
        <v>0</v>
      </c>
    </row>
    <row r="6001" spans="5:11" x14ac:dyDescent="0.35">
      <c r="E6001" s="9" t="str">
        <v>EPSG</v>
      </c>
      <c r="F6001" s="7" t="str">
        <v>24547</v>
      </c>
      <c r="G6001" t="str">
        <v>ProjectedCrs</v>
      </c>
      <c r="H6001" t="str">
        <v>Transverse Mercator</v>
      </c>
      <c r="I6001" t="str">
        <v>Kertau 1968 / UTM zone 47N</v>
      </c>
      <c r="J6001" t="str">
        <v>Malaysia - West Malaysia onshore west of 102°E.</v>
      </c>
      <c r="K6001" s="11">
        <v>0</v>
      </c>
    </row>
    <row r="6002" spans="5:11" x14ac:dyDescent="0.35">
      <c r="E6002" s="9" t="str">
        <v>EPSG</v>
      </c>
      <c r="F6002" s="7" t="str">
        <v>24548</v>
      </c>
      <c r="G6002" t="str">
        <v>ProjectedCrs</v>
      </c>
      <c r="H6002" t="str">
        <v>Transverse Mercator</v>
      </c>
      <c r="I6002" t="str">
        <v>Kertau 1968 / UTM zone 48N</v>
      </c>
      <c r="J6002" t="str">
        <v>Malaysia - onshore West Malaysia east of 102°E and offshore east coast.</v>
      </c>
      <c r="K6002" s="11">
        <v>0</v>
      </c>
    </row>
    <row r="6003" spans="5:11" x14ac:dyDescent="0.35">
      <c r="E6003" s="9" t="str">
        <v>EPSG</v>
      </c>
      <c r="F6003" s="7" t="str">
        <v>24600</v>
      </c>
      <c r="G6003" t="str">
        <v>ProjectedCrs</v>
      </c>
      <c r="H6003" t="str">
        <v>Lambert Conic Conformal (1SP)</v>
      </c>
      <c r="I6003" t="str">
        <v>KOC Lambert</v>
      </c>
      <c r="J6003" t="str">
        <v>Kuwait - onshore.</v>
      </c>
      <c r="K6003" s="11">
        <v>0</v>
      </c>
    </row>
    <row r="6004" spans="5:11" x14ac:dyDescent="0.35">
      <c r="E6004" s="9" t="str">
        <v>EPSG</v>
      </c>
      <c r="F6004" s="7" t="str">
        <v>24718</v>
      </c>
      <c r="G6004" t="str">
        <v>ProjectedCrs</v>
      </c>
      <c r="H6004" t="str">
        <v>Transverse Mercator</v>
      </c>
      <c r="I6004" t="str">
        <v>La Canoa / UTM zone 18N</v>
      </c>
      <c r="J6004" t="str">
        <v>Venezuela - west of 72°W.</v>
      </c>
      <c r="K6004" s="11">
        <v>0</v>
      </c>
    </row>
    <row r="6005" spans="5:11" x14ac:dyDescent="0.35">
      <c r="E6005" s="9" t="str">
        <v>EPSG</v>
      </c>
      <c r="F6005" s="7" t="str">
        <v>24719</v>
      </c>
      <c r="G6005" t="str">
        <v>ProjectedCrs</v>
      </c>
      <c r="H6005" t="str">
        <v>Transverse Mercator</v>
      </c>
      <c r="I6005" t="str">
        <v>La Canoa / UTM zone 19N</v>
      </c>
      <c r="J6005" t="str">
        <v>Venezuela - between 72°W and 66°W, onshore.</v>
      </c>
      <c r="K6005" s="11">
        <v>0</v>
      </c>
    </row>
    <row r="6006" spans="5:11" x14ac:dyDescent="0.35">
      <c r="E6006" s="9" t="str">
        <v>EPSG</v>
      </c>
      <c r="F6006" s="7" t="str">
        <v>24720</v>
      </c>
      <c r="G6006" t="str">
        <v>ProjectedCrs</v>
      </c>
      <c r="H6006" t="str">
        <v>Transverse Mercator</v>
      </c>
      <c r="I6006" t="str">
        <v>La Canoa / UTM zone 20N</v>
      </c>
      <c r="J6006" t="str">
        <v>Venezuela - onshore east of 66°W.</v>
      </c>
      <c r="K6006" s="11">
        <v>0</v>
      </c>
    </row>
    <row r="6007" spans="5:11" x14ac:dyDescent="0.35">
      <c r="E6007" s="9" t="str">
        <v>EPSG</v>
      </c>
      <c r="F6007" s="7" t="str">
        <v>24817</v>
      </c>
      <c r="G6007" t="str">
        <v>ProjectedCrs</v>
      </c>
      <c r="H6007" t="str">
        <v>Transverse Mercator</v>
      </c>
      <c r="I6007" t="str">
        <v>PSAD56 / UTM zone 17N</v>
      </c>
      <c r="J6007" t="str">
        <v>South America (Ecuador) between 84°W and 78°W, northern hemisphere, onshore.</v>
      </c>
      <c r="K6007" s="11">
        <v>0</v>
      </c>
    </row>
    <row r="6008" spans="5:11" x14ac:dyDescent="0.35">
      <c r="E6008" s="9" t="str">
        <v>EPSG</v>
      </c>
      <c r="F6008" s="7" t="str">
        <v>24818</v>
      </c>
      <c r="G6008" t="str">
        <v>ProjectedCrs</v>
      </c>
      <c r="H6008" t="str">
        <v>Transverse Mercator</v>
      </c>
      <c r="I6008" t="str">
        <v>PSAD56 / UTM zone 18N</v>
      </c>
      <c r="J6008" t="str">
        <v>South America (Ecuador; Venezuela) between 78°W and 72°W, northern hemisphere, onshore.</v>
      </c>
      <c r="K6008" s="11">
        <v>0</v>
      </c>
    </row>
    <row r="6009" spans="5:11" x14ac:dyDescent="0.35">
      <c r="E6009" s="9" t="str">
        <v>EPSG</v>
      </c>
      <c r="F6009" s="7" t="str">
        <v>24819</v>
      </c>
      <c r="G6009" t="str">
        <v>ProjectedCrs</v>
      </c>
      <c r="H6009" t="str">
        <v>Transverse Mercator</v>
      </c>
      <c r="I6009" t="str">
        <v>PSAD56 / UTM zone 19N</v>
      </c>
      <c r="J6009" t="str">
        <v>South America (Aruba; Bonaire; Curacao; Venezuela) between 72°W and 66°W, northern hemisphere, onshore.</v>
      </c>
      <c r="K6009" s="11">
        <v>0</v>
      </c>
    </row>
    <row r="6010" spans="5:11" x14ac:dyDescent="0.35">
      <c r="E6010" s="9" t="str">
        <v>EPSG</v>
      </c>
      <c r="F6010" s="7" t="str">
        <v>24820</v>
      </c>
      <c r="G6010" t="str">
        <v>ProjectedCrs</v>
      </c>
      <c r="H6010" t="str">
        <v>Transverse Mercator</v>
      </c>
      <c r="I6010" t="str">
        <v>PSAD56 / UTM zone 20N</v>
      </c>
      <c r="J6010" t="str">
        <v>South America (Guyana; Venezuela) onshore between 66°W and 60°W, northern hemisphere.</v>
      </c>
      <c r="K6010" s="11">
        <v>0</v>
      </c>
    </row>
    <row r="6011" spans="5:11" x14ac:dyDescent="0.35">
      <c r="E6011" s="9" t="str">
        <v>EPSG</v>
      </c>
      <c r="F6011" s="7" t="str">
        <v>24821</v>
      </c>
      <c r="G6011" t="str">
        <v>ProjectedCrs</v>
      </c>
      <c r="H6011" t="str">
        <v>Transverse Mercator</v>
      </c>
      <c r="I6011" t="str">
        <v>PSAD56 / UTM zone 21N</v>
      </c>
      <c r="J6011" t="str">
        <v>South America (Guyana) onshore between 60°W and 54°W, northern hemisphere.</v>
      </c>
      <c r="K6011" s="11">
        <v>0</v>
      </c>
    </row>
    <row r="6012" spans="5:11" x14ac:dyDescent="0.35">
      <c r="E6012" s="9" t="str">
        <v>EPSG</v>
      </c>
      <c r="F6012" s="7" t="str">
        <v>24877</v>
      </c>
      <c r="G6012" t="str">
        <v>ProjectedCrs</v>
      </c>
      <c r="H6012" t="str">
        <v>Transverse Mercator</v>
      </c>
      <c r="I6012" t="str">
        <v>PSAD56 / UTM zone 17S</v>
      </c>
      <c r="J6012" t="str">
        <v>South America (Ecuador and Peru) between 84°W and 78°W, southern hemisphere, onshore.</v>
      </c>
      <c r="K6012" s="11">
        <v>0</v>
      </c>
    </row>
    <row r="6013" spans="5:11" x14ac:dyDescent="0.35">
      <c r="E6013" s="9" t="str">
        <v>EPSG</v>
      </c>
      <c r="F6013" s="7" t="str">
        <v>24878</v>
      </c>
      <c r="G6013" t="str">
        <v>ProjectedCrs</v>
      </c>
      <c r="H6013" t="str">
        <v>Transverse Mercator</v>
      </c>
      <c r="I6013" t="str">
        <v>PSAD56 / UTM zone 18S</v>
      </c>
      <c r="J6013" t="str">
        <v>South America (Chile - north of 45°S; Ecuador; Peru) between 78°W and 72°W, southern hemisphere, onshore.</v>
      </c>
      <c r="K6013" s="11">
        <v>0</v>
      </c>
    </row>
    <row r="6014" spans="5:11" x14ac:dyDescent="0.35">
      <c r="E6014" s="9" t="str">
        <v>EPSG</v>
      </c>
      <c r="F6014" s="7" t="str">
        <v>24879</v>
      </c>
      <c r="G6014" t="str">
        <v>ProjectedCrs</v>
      </c>
      <c r="H6014" t="str">
        <v>Transverse Mercator</v>
      </c>
      <c r="I6014" t="str">
        <v>PSAD56 / UTM zone 19S</v>
      </c>
      <c r="J6014" t="str">
        <v>South America (Bolivia; Chile - north of 45°S; Peru) between 72°W and 66°W, southern hemisphere, onshore.</v>
      </c>
      <c r="K6014" s="11">
        <v>0</v>
      </c>
    </row>
    <row r="6015" spans="5:11" x14ac:dyDescent="0.35">
      <c r="E6015" s="9" t="str">
        <v>EPSG</v>
      </c>
      <c r="F6015" s="7" t="str">
        <v>24880</v>
      </c>
      <c r="G6015" t="str">
        <v>ProjectedCrs</v>
      </c>
      <c r="H6015" t="str">
        <v>Transverse Mercator</v>
      </c>
      <c r="I6015" t="str">
        <v>PSAD56 / UTM zone 20S</v>
      </c>
      <c r="J6015" t="str">
        <v>Bolivia between 66°W and 60°W.</v>
      </c>
      <c r="K6015" s="11">
        <v>0</v>
      </c>
    </row>
    <row r="6016" spans="5:11" x14ac:dyDescent="0.35">
      <c r="E6016" s="9" t="str">
        <v>EPSG</v>
      </c>
      <c r="F6016" s="7" t="str">
        <v>24881</v>
      </c>
      <c r="G6016" t="str">
        <v>ProjectedCrs</v>
      </c>
      <c r="H6016" t="str">
        <v>Transverse Mercator</v>
      </c>
      <c r="I6016" t="str">
        <v>PSAD56 / UTM zone 21S</v>
      </c>
      <c r="J6016" t="str">
        <v>Bolivia - east of 60°W.</v>
      </c>
      <c r="K6016" s="11">
        <v>0</v>
      </c>
    </row>
    <row r="6017" spans="5:11" x14ac:dyDescent="0.35">
      <c r="E6017" s="9" t="str">
        <v>EPSG</v>
      </c>
      <c r="F6017" s="7" t="str">
        <v>24882</v>
      </c>
      <c r="G6017" t="str">
        <v>ProjectedCrs</v>
      </c>
      <c r="H6017" t="str">
        <v>Transverse Mercator</v>
      </c>
      <c r="I6017" t="str">
        <v>PSAD56 / UTM zone 22S</v>
      </c>
      <c r="J6017" t="str">
        <v>Brazil - offshore shelf - Amazon cone.</v>
      </c>
      <c r="K6017" s="11">
        <v>0</v>
      </c>
    </row>
    <row r="6018" spans="5:11" x14ac:dyDescent="0.35">
      <c r="E6018" s="9" t="str">
        <v>EPSG</v>
      </c>
      <c r="F6018" s="7" t="str">
        <v>24891</v>
      </c>
      <c r="G6018" t="str">
        <v>ProjectedCrs</v>
      </c>
      <c r="H6018" t="str">
        <v>Transverse Mercator</v>
      </c>
      <c r="I6018" t="str">
        <v>PSAD56 / Peru west zone</v>
      </c>
      <c r="J6018" t="str">
        <v>Peru - west of 79°W.</v>
      </c>
      <c r="K6018" s="11">
        <v>0</v>
      </c>
    </row>
    <row r="6019" spans="5:11" x14ac:dyDescent="0.35">
      <c r="E6019" s="9" t="str">
        <v>EPSG</v>
      </c>
      <c r="F6019" s="7" t="str">
        <v>24892</v>
      </c>
      <c r="G6019" t="str">
        <v>ProjectedCrs</v>
      </c>
      <c r="H6019" t="str">
        <v>Transverse Mercator</v>
      </c>
      <c r="I6019" t="str">
        <v>PSAD56 / Peru central zone</v>
      </c>
      <c r="J6019" t="str">
        <v>Peru - between 79°W and 73°W, onshore.</v>
      </c>
      <c r="K6019" s="11">
        <v>0</v>
      </c>
    </row>
    <row r="6020" spans="5:11" x14ac:dyDescent="0.35">
      <c r="E6020" s="9" t="str">
        <v>EPSG</v>
      </c>
      <c r="F6020" s="7" t="str">
        <v>24893</v>
      </c>
      <c r="G6020" t="str">
        <v>ProjectedCrs</v>
      </c>
      <c r="H6020" t="str">
        <v>Transverse Mercator</v>
      </c>
      <c r="I6020" t="str">
        <v>PSAD56 / Peru east zone</v>
      </c>
      <c r="J6020" t="str">
        <v>Peru - east of 73°W, onshore.</v>
      </c>
      <c r="K6020" s="11">
        <v>0</v>
      </c>
    </row>
    <row r="6021" spans="5:11" x14ac:dyDescent="0.35">
      <c r="E6021" s="9" t="str">
        <v>EPSG</v>
      </c>
      <c r="F6021" s="7" t="str">
        <v>25000</v>
      </c>
      <c r="G6021" t="str">
        <v>ProjectedCrs</v>
      </c>
      <c r="H6021" t="str">
        <v>Transverse Mercator</v>
      </c>
      <c r="I6021" t="str">
        <v>Leigon / Ghana Metre Grid</v>
      </c>
      <c r="J6021" t="str">
        <v>Ghana - onshore and offshore.</v>
      </c>
      <c r="K6021" s="11">
        <v>0</v>
      </c>
    </row>
    <row r="6022" spans="5:11" x14ac:dyDescent="0.35">
      <c r="E6022" s="9" t="str">
        <v>EPSG</v>
      </c>
      <c r="F6022" s="7" t="str">
        <v>25231</v>
      </c>
      <c r="G6022" t="str">
        <v>ProjectedCrs</v>
      </c>
      <c r="H6022" t="str">
        <v>Transverse Mercator</v>
      </c>
      <c r="I6022" t="str">
        <v>Lome / UTM zone 31N</v>
      </c>
      <c r="J6022" t="str">
        <v>Togo - onshore and offshore.</v>
      </c>
      <c r="K6022" s="11">
        <v>0</v>
      </c>
    </row>
    <row r="6023" spans="5:11" x14ac:dyDescent="0.35">
      <c r="E6023" s="9" t="str">
        <v>EPSG</v>
      </c>
      <c r="F6023" s="7" t="str">
        <v>25391</v>
      </c>
      <c r="G6023" t="str">
        <v>ProjectedCrs</v>
      </c>
      <c r="H6023" t="str">
        <v>Transverse Mercator</v>
      </c>
      <c r="I6023" t="str">
        <v>Luzon 1911 / Philippines zone I</v>
      </c>
      <c r="J6023" t="str">
        <v>Philippines - onshore west of 118°E.</v>
      </c>
      <c r="K6023" s="11">
        <v>0</v>
      </c>
    </row>
    <row r="6024" spans="5:11" x14ac:dyDescent="0.35">
      <c r="E6024" s="9" t="str">
        <v>EPSG</v>
      </c>
      <c r="F6024" s="7" t="str">
        <v>25392</v>
      </c>
      <c r="G6024" t="str">
        <v>ProjectedCrs</v>
      </c>
      <c r="H6024" t="str">
        <v>Transverse Mercator</v>
      </c>
      <c r="I6024" t="str">
        <v>Luzon 1911 / Philippines zone II</v>
      </c>
      <c r="J6024" t="str">
        <v>Philippines - onshore approximately between 118°E and 120°E - Palawan; Calamian Islands.</v>
      </c>
      <c r="K6024" s="11">
        <v>0</v>
      </c>
    </row>
    <row r="6025" spans="5:11" x14ac:dyDescent="0.35">
      <c r="E6025" s="9" t="str">
        <v>EPSG</v>
      </c>
      <c r="F6025" s="7" t="str">
        <v>25393</v>
      </c>
      <c r="G6025" t="str">
        <v>ProjectedCrs</v>
      </c>
      <c r="H6025" t="str">
        <v>Transverse Mercator</v>
      </c>
      <c r="I6025" t="str">
        <v>Luzon 1911 / Philippines zone III</v>
      </c>
      <c r="J6025" t="str">
        <v>Philippines - onshore approximately between 120°E and 122°E. Luzon (west of 122°E); Mindoro.</v>
      </c>
      <c r="K6025" s="11">
        <v>0</v>
      </c>
    </row>
    <row r="6026" spans="5:11" x14ac:dyDescent="0.35">
      <c r="E6026" s="9" t="str">
        <v>EPSG</v>
      </c>
      <c r="F6026" s="7" t="str">
        <v>25394</v>
      </c>
      <c r="G6026" t="str">
        <v>ProjectedCrs</v>
      </c>
      <c r="H6026" t="str">
        <v>Transverse Mercator</v>
      </c>
      <c r="I6026" t="str">
        <v>Luzon 1911 / Philippines zone IV</v>
      </c>
      <c r="J6026" t="str">
        <v>Philippines - onshore approximately between 122°E and 124°E - southeast Luzon (east of 122°E); Tablas; Masbate; Panay; Cebu; Negros; northwest Mindanao (west of 124°E).</v>
      </c>
      <c r="K6026" s="11">
        <v>0</v>
      </c>
    </row>
    <row r="6027" spans="5:11" x14ac:dyDescent="0.35">
      <c r="E6027" s="9" t="str">
        <v>EPSG</v>
      </c>
      <c r="F6027" s="7" t="str">
        <v>25395</v>
      </c>
      <c r="G6027" t="str">
        <v>ProjectedCrs</v>
      </c>
      <c r="H6027" t="str">
        <v>Transverse Mercator</v>
      </c>
      <c r="I6027" t="str">
        <v>Luzon 1911 / Philippines zone V</v>
      </c>
      <c r="J6027" t="str">
        <v>Philippines - onshore approximately between 124°E and 126°E - east Mindanao (east of 124°E); Bohol; Samar.</v>
      </c>
      <c r="K6027" s="11">
        <v>0</v>
      </c>
    </row>
    <row r="6028" spans="5:11" x14ac:dyDescent="0.35">
      <c r="E6028" s="9" t="str">
        <v>EPSG</v>
      </c>
      <c r="F6028" s="7" t="str">
        <v>25828</v>
      </c>
      <c r="G6028" t="str">
        <v>ProjectedCrs</v>
      </c>
      <c r="H6028" t="str">
        <v>Transverse Mercator</v>
      </c>
      <c r="I6028" t="str">
        <v>ETRS89 / UTM zone 28N</v>
      </c>
      <c r="J6028" t="str">
        <v>Europe between 18°W and 12°W: Faroe Islands - offshore; Ireland - offshore; Jan Mayen - offshore; Portugal - offshore mainland; Spain - offshore mainland; United Kingdom (UKCS) - offshore.</v>
      </c>
      <c r="K6028" s="11">
        <v>0</v>
      </c>
    </row>
    <row r="6029" spans="5:11" x14ac:dyDescent="0.35">
      <c r="E6029" s="9" t="str">
        <v>EPSG</v>
      </c>
      <c r="F6029" s="7" t="str">
        <v>25829</v>
      </c>
      <c r="G6029" t="str">
        <v>ProjectedCrs</v>
      </c>
      <c r="H6029" t="str">
        <v>Transverse Mercator</v>
      </c>
      <c r="I6029" t="str">
        <v>ETRS89 / UTM zone 29N</v>
      </c>
      <c r="J6029" t="str">
        <v>Europe between 12°W and 6°W and approximately 34°50'N to 74°10'N.</v>
      </c>
      <c r="K6029" s="11">
        <v>0</v>
      </c>
    </row>
    <row r="6030" spans="5:11" x14ac:dyDescent="0.35">
      <c r="E6030" s="9" t="str">
        <v>EPSG</v>
      </c>
      <c r="F6030" s="7" t="str">
        <v>25829</v>
      </c>
      <c r="G6030" t="str">
        <v>ProjectedCrs</v>
      </c>
      <c r="H6030" t="str">
        <v>Transverse Mercator</v>
      </c>
      <c r="I6030" t="str">
        <v>ETRS89 / UTM zone 29N</v>
      </c>
      <c r="J6030" t="str">
        <v>Europe between 12°W and 6°W: Faroe Islands - offshore; Ireland - offshore; Jan Mayen - onshore and offshore; Portugal - mainland - onshore and offshore; Spain - mainland - onshore and offshore; United Kingdom - UKCS offshore.</v>
      </c>
      <c r="K6030" s="11">
        <v>0</v>
      </c>
    </row>
    <row r="6031" spans="5:11" x14ac:dyDescent="0.35">
      <c r="E6031" s="9" t="str">
        <v>EPSG</v>
      </c>
      <c r="F6031" s="7" t="str">
        <v>25830</v>
      </c>
      <c r="G6031" t="str">
        <v>ProjectedCrs</v>
      </c>
      <c r="H6031" t="str">
        <v>Transverse Mercator</v>
      </c>
      <c r="I6031" t="str">
        <v>ETRS89 / UTM zone 30N</v>
      </c>
      <c r="J6031" t="str">
        <v>Europe between 6°W and 0°W and approximately 35°15'N to 80°30'N.</v>
      </c>
      <c r="K6031" s="11">
        <v>0</v>
      </c>
    </row>
    <row r="6032" spans="5:11" x14ac:dyDescent="0.35">
      <c r="E6032" s="9" t="str">
        <v>EPSG</v>
      </c>
      <c r="F6032" s="7" t="str">
        <v>25830</v>
      </c>
      <c r="G6032" t="str">
        <v>ProjectedCrs</v>
      </c>
      <c r="H6032" t="str">
        <v>Transverse Mercator</v>
      </c>
      <c r="I6032" t="str">
        <v>ETRS89 / UTM zone 30N</v>
      </c>
      <c r="J6032" t="str">
        <v>Europe between 6°W and 0°W: Faroe Islands offshore; Ireland - offshore; Jan Mayen - offshore; Norway including Svalbard - offshore; Spain - mainland - onshore and offshore.</v>
      </c>
      <c r="K6032" s="11">
        <v>0</v>
      </c>
    </row>
    <row r="6033" spans="5:11" x14ac:dyDescent="0.35">
      <c r="E6033" s="9" t="str">
        <v>EPSG</v>
      </c>
      <c r="F6033" s="7" t="str">
        <v>25831</v>
      </c>
      <c r="G6033" t="str">
        <v>ProjectedCrs</v>
      </c>
      <c r="H6033" t="str">
        <v>Transverse Mercator</v>
      </c>
      <c r="I6033" t="str">
        <v>ETRS89 / UTM zone 31N</v>
      </c>
      <c r="J6033" t="str">
        <v>Europe between 0°E and 6°E and approximately 37°N to 82°27'N.</v>
      </c>
      <c r="K6033" s="11">
        <v>0</v>
      </c>
    </row>
    <row r="6034" spans="5:11" x14ac:dyDescent="0.35">
      <c r="E6034" s="9" t="str">
        <v>EPSG</v>
      </c>
      <c r="F6034" s="7" t="str">
        <v>25831</v>
      </c>
      <c r="G6034" t="str">
        <v>ProjectedCrs</v>
      </c>
      <c r="H6034" t="str">
        <v>Transverse Mercator</v>
      </c>
      <c r="I6034" t="str">
        <v>ETRS89 / UTM zone 31N</v>
      </c>
      <c r="J6034" t="str">
        <v>Europe between 0°E and 6°E: Andorra; Denmark - offshore; Germany - offshore; Jan Mayen - offshore; Norway including Svalbard - onshore and offshore; Spain - mainland and Balearic islands - onshore and offshore.</v>
      </c>
      <c r="K6034" s="11">
        <v>0</v>
      </c>
    </row>
    <row r="6035" spans="5:11" x14ac:dyDescent="0.35">
      <c r="E6035" s="9" t="str">
        <v>EPSG</v>
      </c>
      <c r="F6035" s="7" t="str">
        <v>25832</v>
      </c>
      <c r="G6035" t="str">
        <v>ProjectedCrs</v>
      </c>
      <c r="H6035" t="str">
        <v>Transverse Mercator</v>
      </c>
      <c r="I6035" t="str">
        <v>ETRS89 / UTM zone 32N</v>
      </c>
      <c r="J6035" t="str">
        <v>Europe between 6°E and 12°E and approximately 36°30'N to 84°N.</v>
      </c>
      <c r="K6035" s="11">
        <v>0</v>
      </c>
    </row>
    <row r="6036" spans="5:11" x14ac:dyDescent="0.35">
      <c r="E6036" s="9" t="str">
        <v>EPSG</v>
      </c>
      <c r="F6036" s="7" t="str">
        <v>25832</v>
      </c>
      <c r="G6036" t="str">
        <v>ProjectedCrs</v>
      </c>
      <c r="H6036" t="str">
        <v>Transverse Mercator</v>
      </c>
      <c r="I6036" t="str">
        <v>ETRS89 / UTM zone 32N</v>
      </c>
      <c r="J6036" t="str">
        <v>Europe between 6°E and 12°E: Austria; Denmark - onshore and offshore; Germany - onshore and offshore; Italy - onshore and offshore; Norway including Svalbard - onshore and offshore; Spain - offshore.</v>
      </c>
      <c r="K6036" s="11">
        <v>0</v>
      </c>
    </row>
    <row r="6037" spans="5:11" x14ac:dyDescent="0.35">
      <c r="E6037" s="9" t="str">
        <v>EPSG</v>
      </c>
      <c r="F6037" s="7" t="str">
        <v>25833</v>
      </c>
      <c r="G6037" t="str">
        <v>ProjectedCrs</v>
      </c>
      <c r="H6037" t="str">
        <v>Transverse Mercator</v>
      </c>
      <c r="I6037" t="str">
        <v>ETRS89 / UTM zone 33N</v>
      </c>
      <c r="J6037" t="str">
        <v>Europe between 12°E and 18°E and approximately 34°30'N to 84°N.</v>
      </c>
      <c r="K6037" s="11">
        <v>0</v>
      </c>
    </row>
    <row r="6038" spans="5:11" x14ac:dyDescent="0.35">
      <c r="E6038" s="9" t="str">
        <v>EPSG</v>
      </c>
      <c r="F6038" s="7" t="str">
        <v>25833</v>
      </c>
      <c r="G6038" t="str">
        <v>ProjectedCrs</v>
      </c>
      <c r="H6038" t="str">
        <v>Transverse Mercator</v>
      </c>
      <c r="I6038" t="str">
        <v>ETRS89 / UTM zone 33N</v>
      </c>
      <c r="J6038" t="str">
        <v>Europe between 12°E and 18°E: Austria; Croatia; Denmark - offshore and offshore; Germany - onshore and offshore; Italy - onshore and offshore; Norway including Svalbard - onshore and offshore.</v>
      </c>
      <c r="K6038" s="11">
        <v>0</v>
      </c>
    </row>
    <row r="6039" spans="5:11" x14ac:dyDescent="0.35">
      <c r="E6039" s="9" t="str">
        <v>EPSG</v>
      </c>
      <c r="F6039" s="7" t="str">
        <v>25834</v>
      </c>
      <c r="G6039" t="str">
        <v>ProjectedCrs</v>
      </c>
      <c r="H6039" t="str">
        <v>Transverse Mercator</v>
      </c>
      <c r="I6039" t="str">
        <v>ETRS89 / UTM zone 34N</v>
      </c>
      <c r="J6039" t="str">
        <v>Europe between 18°E and 24°E and approximately 33°36'N to 84°N.</v>
      </c>
      <c r="K6039" s="11">
        <v>0</v>
      </c>
    </row>
    <row r="6040" spans="5:11" x14ac:dyDescent="0.35">
      <c r="E6040" s="9" t="str">
        <v>EPSG</v>
      </c>
      <c r="F6040" s="7" t="str">
        <v>25834</v>
      </c>
      <c r="G6040" t="str">
        <v>ProjectedCrs</v>
      </c>
      <c r="H6040" t="str">
        <v>Transverse Mercator</v>
      </c>
      <c r="I6040" t="str">
        <v>ETRS89 / UTM zone 34N</v>
      </c>
      <c r="J6040" t="str">
        <v>Europe between 18°E and 24°E: Bulgaria; Croatia; Italy - onshore and offshore; Norway including Svalbard - onshore and offshore.</v>
      </c>
      <c r="K6040" s="11">
        <v>0</v>
      </c>
    </row>
    <row r="6041" spans="5:11" x14ac:dyDescent="0.35">
      <c r="E6041" s="9" t="str">
        <v>EPSG</v>
      </c>
      <c r="F6041" s="7" t="str">
        <v>25835</v>
      </c>
      <c r="G6041" t="str">
        <v>ProjectedCrs</v>
      </c>
      <c r="H6041" t="str">
        <v>Transverse Mercator</v>
      </c>
      <c r="I6041" t="str">
        <v>ETRS89 / UTM zone 35N</v>
      </c>
      <c r="J6041" t="str">
        <v>Europe between 24°E and 30°E and approximately 33°15'N to 84°N.</v>
      </c>
      <c r="K6041" s="11">
        <v>0</v>
      </c>
    </row>
    <row r="6042" spans="5:11" x14ac:dyDescent="0.35">
      <c r="E6042" s="9" t="str">
        <v>EPSG</v>
      </c>
      <c r="F6042" s="7" t="str">
        <v>25835</v>
      </c>
      <c r="G6042" t="str">
        <v>ProjectedCrs</v>
      </c>
      <c r="H6042" t="str">
        <v>Transverse Mercator</v>
      </c>
      <c r="I6042" t="str">
        <v>ETRS89 / UTM zone 35N</v>
      </c>
      <c r="J6042" t="str">
        <v>Europe between 24°E and 30°E: Bulgaria - onshore and offshore; Norway including Svalbard - onshore and offshore.</v>
      </c>
      <c r="K6042" s="11">
        <v>0</v>
      </c>
    </row>
    <row r="6043" spans="5:11" x14ac:dyDescent="0.35">
      <c r="E6043" s="9" t="str">
        <v>EPSG</v>
      </c>
      <c r="F6043" s="7" t="str">
        <v>25836</v>
      </c>
      <c r="G6043" t="str">
        <v>ProjectedCrs</v>
      </c>
      <c r="H6043" t="str">
        <v>Transverse Mercator</v>
      </c>
      <c r="I6043" t="str">
        <v>ETRS89 / UTM zone 36N</v>
      </c>
      <c r="J6043" t="str">
        <v>Europe between 30°E and 36°E and approximately 33°55'N to 84°N.</v>
      </c>
      <c r="K6043" s="11">
        <v>0</v>
      </c>
    </row>
    <row r="6044" spans="5:11" x14ac:dyDescent="0.35">
      <c r="E6044" s="9" t="str">
        <v>EPSG</v>
      </c>
      <c r="F6044" s="7" t="str">
        <v>25836</v>
      </c>
      <c r="G6044" t="str">
        <v>ProjectedCrs</v>
      </c>
      <c r="H6044" t="str">
        <v>Transverse Mercator</v>
      </c>
      <c r="I6044" t="str">
        <v>ETRS89 / UTM zone 36N</v>
      </c>
      <c r="J6044" t="str">
        <v>Europe between 30°E and 36°E: Bulgaria - offshore; Norway including Svalbard - onshore and offshore.</v>
      </c>
      <c r="K6044" s="11">
        <v>0</v>
      </c>
    </row>
    <row r="6045" spans="5:11" x14ac:dyDescent="0.35">
      <c r="E6045" s="9" t="str">
        <v>EPSG</v>
      </c>
      <c r="F6045" s="7" t="str">
        <v>25837</v>
      </c>
      <c r="G6045" t="str">
        <v>ProjectedCrs</v>
      </c>
      <c r="H6045" t="str">
        <v>Transverse Mercator</v>
      </c>
      <c r="I6045" t="str">
        <v>ETRS89 / UTM zone 37N</v>
      </c>
      <c r="J6045" t="str">
        <v>Europe between 36°E and 42°E: Norway including Svalbard - offshore.</v>
      </c>
      <c r="K6045" s="11">
        <v>0</v>
      </c>
    </row>
    <row r="6046" spans="5:11" x14ac:dyDescent="0.35">
      <c r="E6046" s="9" t="str">
        <v>EPSG</v>
      </c>
      <c r="F6046" s="7" t="str">
        <v>25884</v>
      </c>
      <c r="G6046" t="str">
        <v>ProjectedCrs</v>
      </c>
      <c r="H6046" t="str">
        <v>Transverse Mercator</v>
      </c>
      <c r="I6046" t="str">
        <v>ETRS89 / TM Baltic93</v>
      </c>
      <c r="J6046" t="str">
        <v>Estonia, Latvia and Lithuania - onshore and offshore.</v>
      </c>
      <c r="K6046" s="11">
        <v>0</v>
      </c>
    </row>
    <row r="6047" spans="5:11" x14ac:dyDescent="0.35">
      <c r="E6047" s="9" t="str">
        <v>EPSG</v>
      </c>
      <c r="F6047" s="7" t="str">
        <v>25932</v>
      </c>
      <c r="G6047" t="str">
        <v>ProjectedCrs</v>
      </c>
      <c r="H6047" t="str">
        <v>Transverse Mercator</v>
      </c>
      <c r="I6047" t="str">
        <v>Malongo 1987 / UTM zone 32S</v>
      </c>
      <c r="J6047" t="str">
        <v>Angola (Cabinda) - offshore; The Democratic Republic of the Congo (Zaire) - offshore.</v>
      </c>
      <c r="K6047" s="11">
        <v>0</v>
      </c>
    </row>
    <row r="6048" spans="5:11" x14ac:dyDescent="0.35">
      <c r="E6048" s="9" t="str">
        <v>EPSG</v>
      </c>
      <c r="F6048" s="7" t="str">
        <v>26191</v>
      </c>
      <c r="G6048" t="str">
        <v>ProjectedCrs</v>
      </c>
      <c r="H6048" t="str">
        <v>Lambert Conic Conformal (1SP)</v>
      </c>
      <c r="I6048" t="str">
        <v>Merchich / Nord Maroc</v>
      </c>
      <c r="J6048" t="str">
        <v>Morocco onshore north of 35 grads North (31°30'N).</v>
      </c>
      <c r="K6048" s="11">
        <v>0</v>
      </c>
    </row>
    <row r="6049" spans="5:11" x14ac:dyDescent="0.35">
      <c r="E6049" s="9" t="str">
        <v>EPSG</v>
      </c>
      <c r="F6049" s="7" t="str">
        <v>26192</v>
      </c>
      <c r="G6049" t="str">
        <v>ProjectedCrs</v>
      </c>
      <c r="H6049" t="str">
        <v>Lambert Conic Conformal (1SP)</v>
      </c>
      <c r="I6049" t="str">
        <v>Merchich / Sud Maroc</v>
      </c>
      <c r="J6049" t="str">
        <v>Morocco onshore south of 35 grads North (31°30'N).</v>
      </c>
      <c r="K6049" s="11">
        <v>0</v>
      </c>
    </row>
    <row r="6050" spans="5:11" x14ac:dyDescent="0.35">
      <c r="E6050" s="9" t="str">
        <v>EPSG</v>
      </c>
      <c r="F6050" s="7" t="str">
        <v>26194</v>
      </c>
      <c r="G6050" t="str">
        <v>ProjectedCrs</v>
      </c>
      <c r="H6050" t="str">
        <v>Lambert Conic Conformal (1SP)</v>
      </c>
      <c r="I6050" t="str">
        <v>Merchich / Sahara Nord</v>
      </c>
      <c r="J6050" t="str">
        <v>Western Sahara - onshore north of 27grads North (24°18'N).</v>
      </c>
      <c r="K6050" s="11">
        <v>0</v>
      </c>
    </row>
    <row r="6051" spans="5:11" x14ac:dyDescent="0.35">
      <c r="E6051" s="9" t="str">
        <v>EPSG</v>
      </c>
      <c r="F6051" s="7" t="str">
        <v>26195</v>
      </c>
      <c r="G6051" t="str">
        <v>ProjectedCrs</v>
      </c>
      <c r="H6051" t="str">
        <v>Lambert Conic Conformal (1SP)</v>
      </c>
      <c r="I6051" t="str">
        <v>Merchich / Sahara Sud</v>
      </c>
      <c r="J6051" t="str">
        <v>Western Sahara - onshore south of 27grads North (24°18'N).</v>
      </c>
      <c r="K6051" s="11">
        <v>0</v>
      </c>
    </row>
    <row r="6052" spans="5:11" x14ac:dyDescent="0.35">
      <c r="E6052" s="9" t="str">
        <v>EPSG</v>
      </c>
      <c r="F6052" s="7" t="str">
        <v>26237</v>
      </c>
      <c r="G6052" t="str">
        <v>ProjectedCrs</v>
      </c>
      <c r="H6052" t="str">
        <v>Transverse Mercator</v>
      </c>
      <c r="I6052" t="str">
        <v>Massawa / UTM zone 37N</v>
      </c>
      <c r="J6052" t="str">
        <v>Eritrea - onshore and offshore.</v>
      </c>
      <c r="K6052" s="11">
        <v>0</v>
      </c>
    </row>
    <row r="6053" spans="5:11" x14ac:dyDescent="0.35">
      <c r="E6053" s="9" t="str">
        <v>EPSG</v>
      </c>
      <c r="F6053" s="7" t="str">
        <v>26331</v>
      </c>
      <c r="G6053" t="str">
        <v>ProjectedCrs</v>
      </c>
      <c r="H6053" t="str">
        <v>Transverse Mercator</v>
      </c>
      <c r="I6053" t="str">
        <v>Minna / UTM zone 31N</v>
      </c>
      <c r="J6053" t="str">
        <v>Nigeria - offshore beyond continental shelf west of 6°E.</v>
      </c>
      <c r="K6053" s="11">
        <v>0</v>
      </c>
    </row>
    <row r="6054" spans="5:11" x14ac:dyDescent="0.35">
      <c r="E6054" s="9" t="str">
        <v>EPSG</v>
      </c>
      <c r="F6054" s="7" t="str">
        <v>26332</v>
      </c>
      <c r="G6054" t="str">
        <v>ProjectedCrs</v>
      </c>
      <c r="H6054" t="str">
        <v>Transverse Mercator</v>
      </c>
      <c r="I6054" t="str">
        <v>Minna / UTM zone 32N</v>
      </c>
      <c r="J6054" t="str">
        <v>Nigeria - offshore deep water - east of 6°E.</v>
      </c>
      <c r="K6054" s="11">
        <v>0</v>
      </c>
    </row>
    <row r="6055" spans="5:11" x14ac:dyDescent="0.35">
      <c r="E6055" s="9" t="str">
        <v>EPSG</v>
      </c>
      <c r="F6055" s="7" t="str">
        <v>26391</v>
      </c>
      <c r="G6055" t="str">
        <v>ProjectedCrs</v>
      </c>
      <c r="H6055" t="str">
        <v>Transverse Mercator</v>
      </c>
      <c r="I6055" t="str">
        <v>Minna / Nigeria West Belt</v>
      </c>
      <c r="J6055" t="str">
        <v>Nigeria - onshore west of 6°30'E, onshore and offshore shelf.</v>
      </c>
      <c r="K6055" s="11">
        <v>0</v>
      </c>
    </row>
    <row r="6056" spans="5:11" x14ac:dyDescent="0.35">
      <c r="E6056" s="9" t="str">
        <v>EPSG</v>
      </c>
      <c r="F6056" s="7" t="str">
        <v>26392</v>
      </c>
      <c r="G6056" t="str">
        <v>ProjectedCrs</v>
      </c>
      <c r="H6056" t="str">
        <v>Transverse Mercator</v>
      </c>
      <c r="I6056" t="str">
        <v>Minna / Nigeria Mid Belt</v>
      </c>
      <c r="J6056" t="str">
        <v>Nigeria between 6°30'E and 10°30'E, onshore and offshore shelf.</v>
      </c>
      <c r="K6056" s="11">
        <v>0</v>
      </c>
    </row>
    <row r="6057" spans="5:11" x14ac:dyDescent="0.35">
      <c r="E6057" s="9" t="str">
        <v>EPSG</v>
      </c>
      <c r="F6057" s="7" t="str">
        <v>26393</v>
      </c>
      <c r="G6057" t="str">
        <v>ProjectedCrs</v>
      </c>
      <c r="H6057" t="str">
        <v>Transverse Mercator</v>
      </c>
      <c r="I6057" t="str">
        <v>Minna / Nigeria East Belt</v>
      </c>
      <c r="J6057" t="str">
        <v>Nigeria east of 10°30'E.</v>
      </c>
      <c r="K6057" s="11">
        <v>0</v>
      </c>
    </row>
    <row r="6058" spans="5:11" x14ac:dyDescent="0.35">
      <c r="E6058" s="9" t="str">
        <v>EPSG</v>
      </c>
      <c r="F6058" s="7" t="str">
        <v>26632</v>
      </c>
      <c r="G6058" t="str">
        <v>ProjectedCrs</v>
      </c>
      <c r="H6058" t="str">
        <v>Transverse Mercator</v>
      </c>
      <c r="I6058" t="str">
        <v>M'poraloko / UTM zone 32N</v>
      </c>
      <c r="J6058" t="str">
        <v>Gabon - onshore north of equator and west of 12°E.</v>
      </c>
      <c r="K6058" s="11">
        <v>0</v>
      </c>
    </row>
    <row r="6059" spans="5:11" x14ac:dyDescent="0.35">
      <c r="E6059" s="9" t="str">
        <v>EPSG</v>
      </c>
      <c r="F6059" s="7" t="str">
        <v>26692</v>
      </c>
      <c r="G6059" t="str">
        <v>ProjectedCrs</v>
      </c>
      <c r="H6059" t="str">
        <v>Transverse Mercator</v>
      </c>
      <c r="I6059" t="str">
        <v>M'poraloko / UTM zone 32S</v>
      </c>
      <c r="J6059" t="str">
        <v>Gabon - west of 12°E - onshore and offshore.</v>
      </c>
      <c r="K6059" s="11">
        <v>0</v>
      </c>
    </row>
    <row r="6060" spans="5:11" x14ac:dyDescent="0.35">
      <c r="E6060" s="9" t="str">
        <v>EPSG</v>
      </c>
      <c r="F6060" s="7" t="str">
        <v>26701</v>
      </c>
      <c r="G6060" t="str">
        <v>ProjectedCrs</v>
      </c>
      <c r="H6060" t="str">
        <v>Transverse Mercator</v>
      </c>
      <c r="I6060" t="str">
        <v>NAD27 / UTM zone 1N</v>
      </c>
      <c r="J6060" t="str">
        <v>United States (USA) - between 180°W and 174°W - Alaska and offshore continental shelf (OCS).</v>
      </c>
      <c r="K6060" s="11">
        <v>0</v>
      </c>
    </row>
    <row r="6061" spans="5:11" x14ac:dyDescent="0.35">
      <c r="E6061" s="9" t="str">
        <v>EPSG</v>
      </c>
      <c r="F6061" s="7" t="str">
        <v>26702</v>
      </c>
      <c r="G6061" t="str">
        <v>ProjectedCrs</v>
      </c>
      <c r="H6061" t="str">
        <v>Transverse Mercator</v>
      </c>
      <c r="I6061" t="str">
        <v>NAD27 / UTM zone 2N</v>
      </c>
      <c r="J6061" t="str">
        <v>United States (USA) - between 174°W and 168°W - Alaska and offshore continental shelf (OCS).</v>
      </c>
      <c r="K6061" s="11">
        <v>0</v>
      </c>
    </row>
    <row r="6062" spans="5:11" x14ac:dyDescent="0.35">
      <c r="E6062" s="9" t="str">
        <v>EPSG</v>
      </c>
      <c r="F6062" s="7" t="str">
        <v>26703</v>
      </c>
      <c r="G6062" t="str">
        <v>ProjectedCrs</v>
      </c>
      <c r="H6062" t="str">
        <v>Transverse Mercator</v>
      </c>
      <c r="I6062" t="str">
        <v>NAD27 / UTM zone 3N</v>
      </c>
      <c r="J6062" t="str">
        <v>United States (USA) - between 168°W and 162°W - Alaska and offshore continental shelf (OCS).</v>
      </c>
      <c r="K6062" s="11">
        <v>0</v>
      </c>
    </row>
    <row r="6063" spans="5:11" x14ac:dyDescent="0.35">
      <c r="E6063" s="9" t="str">
        <v>EPSG</v>
      </c>
      <c r="F6063" s="7" t="str">
        <v>26704</v>
      </c>
      <c r="G6063" t="str">
        <v>ProjectedCrs</v>
      </c>
      <c r="H6063" t="str">
        <v>Transverse Mercator</v>
      </c>
      <c r="I6063" t="str">
        <v>NAD27 / UTM zone 4N</v>
      </c>
      <c r="J6063" t="str">
        <v>United States (USA) - between 162°W and 156°W - Alaska and offshore continental shelf (OCS).</v>
      </c>
      <c r="K6063" s="11">
        <v>0</v>
      </c>
    </row>
    <row r="6064" spans="5:11" x14ac:dyDescent="0.35">
      <c r="E6064" s="9" t="str">
        <v>EPSG</v>
      </c>
      <c r="F6064" s="7" t="str">
        <v>26705</v>
      </c>
      <c r="G6064" t="str">
        <v>ProjectedCrs</v>
      </c>
      <c r="H6064" t="str">
        <v>Transverse Mercator</v>
      </c>
      <c r="I6064" t="str">
        <v>NAD27 / UTM zone 5N</v>
      </c>
      <c r="J6064" t="str">
        <v>United States (USA) - between 156°W and 150°W - Alaska and offshore continental shelf (OCS).</v>
      </c>
      <c r="K6064" s="11">
        <v>0</v>
      </c>
    </row>
    <row r="6065" spans="5:11" x14ac:dyDescent="0.35">
      <c r="E6065" s="9" t="str">
        <v>EPSG</v>
      </c>
      <c r="F6065" s="7" t="str">
        <v>26706</v>
      </c>
      <c r="G6065" t="str">
        <v>ProjectedCrs</v>
      </c>
      <c r="H6065" t="str">
        <v>Transverse Mercator</v>
      </c>
      <c r="I6065" t="str">
        <v>NAD27 / UTM zone 6N</v>
      </c>
      <c r="J6065" t="str">
        <v>United States (USA) - between 150°W and 144°W - Alaska and offshore continental shelf (OCS).</v>
      </c>
      <c r="K6065" s="11">
        <v>0</v>
      </c>
    </row>
    <row r="6066" spans="5:11" x14ac:dyDescent="0.35">
      <c r="E6066" s="9" t="str">
        <v>EPSG</v>
      </c>
      <c r="F6066" s="7" t="str">
        <v>26707</v>
      </c>
      <c r="G6066" t="str">
        <v>ProjectedCrs</v>
      </c>
      <c r="H6066" t="str">
        <v>Transverse Mercator</v>
      </c>
      <c r="I6066" t="str">
        <v>NAD27 / UTM zone 7N</v>
      </c>
      <c r="J6066" t="str">
        <v>North America - between 144°W and 138°W. Canada - British Columbia; Yukon. United States (USA) - Alaska. Onshore for western Canada &amp; but onshore and offshore for Alaska.</v>
      </c>
      <c r="K6066" s="11">
        <v>0</v>
      </c>
    </row>
    <row r="6067" spans="5:11" x14ac:dyDescent="0.35">
      <c r="E6067" s="9" t="str">
        <v>EPSG</v>
      </c>
      <c r="F6067" s="7" t="str">
        <v>26708</v>
      </c>
      <c r="G6067" t="str">
        <v>ProjectedCrs</v>
      </c>
      <c r="H6067" t="str">
        <v>Transverse Mercator</v>
      </c>
      <c r="I6067" t="str">
        <v>NAD27 / UTM zone 8N</v>
      </c>
      <c r="J6067" t="str">
        <v>North America - between 138°W and 132°W - onshore. Canada - British Columbia; Northwest Territiories; Yukon. United States (USA) - Alaska. Onshore for Canadian British Columbia &amp; Arctic and for US Pacific coast including Alaska panhandle.</v>
      </c>
      <c r="K6067" s="11">
        <v>0</v>
      </c>
    </row>
    <row r="6068" spans="5:11" x14ac:dyDescent="0.35">
      <c r="E6068" s="9" t="str">
        <v>EPSG</v>
      </c>
      <c r="F6068" s="7" t="str">
        <v>26709</v>
      </c>
      <c r="G6068" t="str">
        <v>ProjectedCrs</v>
      </c>
      <c r="H6068" t="str">
        <v>Transverse Mercator</v>
      </c>
      <c r="I6068" t="str">
        <v>NAD27 / UTM zone 9N</v>
      </c>
      <c r="J6068" t="str">
        <v>North America - between 132°W and 126°W - onshore. Canada - British Columbia; Northwest Territories; Yukon. United States (USA) - Alaska. Onshore for Canadian British Colombia &amp; Arctic coasts and for the US Pacific coast including Alaska panhandle.</v>
      </c>
      <c r="K6068" s="11">
        <v>0</v>
      </c>
    </row>
    <row r="6069" spans="5:11" x14ac:dyDescent="0.35">
      <c r="E6069" s="9" t="str">
        <v>EPSG</v>
      </c>
      <c r="F6069" s="7" t="str">
        <v>26710</v>
      </c>
      <c r="G6069" t="str">
        <v>ProjectedCrs</v>
      </c>
      <c r="H6069" t="str">
        <v>Transverse Mercator</v>
      </c>
      <c r="I6069" t="str">
        <v>NAD27 / UTM zone 10N</v>
      </c>
      <c r="J6069" t="str">
        <v>North America - between 126°W and 120°W - onshore. Canada - British Columbia; Northwest Territories; Nunavut; Yukon. United States (USA) - California; Oregon; Washington.</v>
      </c>
      <c r="K6069" s="11">
        <v>0</v>
      </c>
    </row>
    <row r="6070" spans="5:11" x14ac:dyDescent="0.35">
      <c r="E6070" s="9" t="str">
        <v>EPSG</v>
      </c>
      <c r="F6070" s="7" t="str">
        <v>26711</v>
      </c>
      <c r="G6070" t="str">
        <v>ProjectedCrs</v>
      </c>
      <c r="H6070" t="str">
        <v>Transverse Mercator</v>
      </c>
      <c r="I6070" t="str">
        <v>NAD27 / UTM zone 11N</v>
      </c>
      <c r="J6070" t="str">
        <v>North America - between 120°W and 114°W - onshore. Canada - Alberta; British Columbia; Northwest Territories; Nunavut. Mexico. United States (USA) - California; Idaho; Nevada; Oregon; Washington.</v>
      </c>
      <c r="K6070" s="11">
        <v>0</v>
      </c>
    </row>
    <row r="6071" spans="5:11" x14ac:dyDescent="0.35">
      <c r="E6071" s="9" t="str">
        <v>EPSG</v>
      </c>
      <c r="F6071" s="7" t="str">
        <v>26712</v>
      </c>
      <c r="G6071" t="str">
        <v>ProjectedCrs</v>
      </c>
      <c r="H6071" t="str">
        <v>Transverse Mercator</v>
      </c>
      <c r="I6071" t="str">
        <v>NAD27 / UTM zone 12N</v>
      </c>
      <c r="J6071" t="str">
        <v>North America - between 114°W and 108°W. Canada - Alberta; Northwest Territories; Nunavut; Saskatchewan. Mexico. United States (USA) - Arizona; Colorado; Idaho; Montana; New Mexico; Utah; Wyoming. Onshore for Mexican Pacific and Canadian Arctic coasts.</v>
      </c>
      <c r="K6071" s="11">
        <v>0</v>
      </c>
    </row>
    <row r="6072" spans="5:11" x14ac:dyDescent="0.35">
      <c r="E6072" s="9" t="str">
        <v>EPSG</v>
      </c>
      <c r="F6072" s="7" t="str">
        <v>26713</v>
      </c>
      <c r="G6072" t="str">
        <v>ProjectedCrs</v>
      </c>
      <c r="H6072" t="str">
        <v>Transverse Mercator</v>
      </c>
      <c r="I6072" t="str">
        <v>NAD27 / UTM zone 13N</v>
      </c>
      <c r="J6072" t="str">
        <v>North America - between 108°W and 102°W. Canada - Northwest Territories; Nunavut; Saskatchewan. Mexico. United States (USA) - Colorado; Montana; Nebraska; New Mexico; North Dakota; Oklahoma; South Dakota; Texas; Wyoming. Onshore for Mexican Pacific and Canadian Arctic coasts.</v>
      </c>
      <c r="K6072" s="11">
        <v>0</v>
      </c>
    </row>
    <row r="6073" spans="5:11" x14ac:dyDescent="0.35">
      <c r="E6073" s="9" t="str">
        <v>EPSG</v>
      </c>
      <c r="F6073" s="7" t="str">
        <v>26714</v>
      </c>
      <c r="G6073" t="str">
        <v>ProjectedCrs</v>
      </c>
      <c r="H6073" t="str">
        <v>Transverse Mercator</v>
      </c>
      <c r="I6073" t="str">
        <v>NAD27 / UTM zone 14N</v>
      </c>
      <c r="J6073" t="str">
        <v>North America - between 102°W and 96°W. Canada - Manitoba; Nunavut; Saskatchewan. Mexico. United States (USA) - Iowa; Kansas; Minnesota; Nebraska; North Dakota; Oklahoma; South Dakota; Texas. Onshore for Mexican Pacific coast and Canadian Arctic but onshore and offshore for US &amp; Mexico Gulf of Mexico and Caribbean coasts.</v>
      </c>
      <c r="K6073" s="11">
        <v>0</v>
      </c>
    </row>
    <row r="6074" spans="5:11" x14ac:dyDescent="0.35">
      <c r="E6074" s="9" t="str">
        <v>EPSG</v>
      </c>
      <c r="F6074" s="7" t="str">
        <v>26715</v>
      </c>
      <c r="G6074" t="str">
        <v>ProjectedCrs</v>
      </c>
      <c r="H6074" t="str">
        <v>Transverse Mercator</v>
      </c>
      <c r="I6074" t="str">
        <v>NAD27 / UTM zone 15N</v>
      </c>
      <c r="J6074" t="str">
        <v>North America - between 96°W and 90°W. Canada - Manitoba; Nunavut; Ontario. Guatemala. Mexico. United States (USA) - Arkansas; Illinois; Iowa; Kansas; Louisiana; Michigan; Minnesota; Mississippi; Missouri; Nebraska; Oklahoma; Tennessee; Texas; Wisconsin. Onshore for Canadian Arctic and Central America, onshore and offshore for Gulf of Mexico (both US and Mexican sectors).</v>
      </c>
      <c r="K6074" s="11">
        <v>0</v>
      </c>
    </row>
    <row r="6075" spans="5:11" x14ac:dyDescent="0.35">
      <c r="E6075" s="9" t="str">
        <v>EPSG</v>
      </c>
      <c r="F6075" s="7" t="str">
        <v>26716</v>
      </c>
      <c r="G6075" t="str">
        <v>ProjectedCrs</v>
      </c>
      <c r="H6075" t="str">
        <v>Transverse Mercator</v>
      </c>
      <c r="I6075" t="str">
        <v>NAD27 / UTM zone 16N</v>
      </c>
      <c r="J6075" t="str">
        <v>North America - between 90°W and 84°W. Belize. Canada - Manitoba; Nunavut; Ontario. Costa Rica. Cuba. El Salvador. Guatemala. Honduras. Mexico. Nicaragua. United States (USA) - Alabama; Arkansas; Florida; Georgia; Indiana; Illinois; Kentucky; Louisiana; Michigan; Minnesota; Mississippi; Missouri; North Carolina; Ohio; Tennessee; Wisconsin. Onshore for Canadian Arctic and Central America, onshore and offshore for Cuba and Gulf of Mexico (both US and Mexican sectors).</v>
      </c>
      <c r="K6075" s="11">
        <v>0</v>
      </c>
    </row>
    <row r="6076" spans="5:11" x14ac:dyDescent="0.35">
      <c r="E6076" s="9" t="str">
        <v>EPSG</v>
      </c>
      <c r="F6076" s="7" t="str">
        <v>26717</v>
      </c>
      <c r="G6076" t="str">
        <v>ProjectedCrs</v>
      </c>
      <c r="H6076" t="str">
        <v>Transverse Mercator</v>
      </c>
      <c r="I6076" t="str">
        <v>NAD27 / UTM zone 17N</v>
      </c>
      <c r="J6076" t="str">
        <v>North America - between 84°W and 78°W. Bahamas. Canada - Nunavut; Ontario; Quebec. Costa Rica. Cuba. Honduras. Nicaragua. United States (USA) - Florida; Georgia; Kentucky; Maryland; Michigan; New York; North Carolina; Ohio; Pennsylvania; South Carolina; Tennessee; Virginia; West Virginia. Onshore for Canadian Arctic. onshore and offshore for US east coast and Cuba, with usage in Bahamas onshore plus offshore over internal continental shelf only.</v>
      </c>
      <c r="K6076" s="11">
        <v>0</v>
      </c>
    </row>
    <row r="6077" spans="5:11" x14ac:dyDescent="0.35">
      <c r="E6077" s="9" t="str">
        <v>EPSG</v>
      </c>
      <c r="F6077" s="7" t="str">
        <v>26718</v>
      </c>
      <c r="G6077" t="str">
        <v>ProjectedCrs</v>
      </c>
      <c r="H6077" t="str">
        <v>Transverse Mercator</v>
      </c>
      <c r="I6077" t="str">
        <v>NAD27 / UTM zone 18N</v>
      </c>
      <c r="J6077" t="str">
        <v>North America - between 78°W and 72°W. Bahamas. Canada - Nunavut; Ontario; Quebec. Cuba. United States (USA) - Connecticut; Delaware; Maryland; Massachusetts; New Hampshire; New Jersey; New York; North Carolina; Pennsylvania; Virginia; Vermont. Onshore for Canadian arctic. onshore and offshore for US east coast and Cuba, with usage in Bahamas onshore plus offshore over internal continental shelf only.</v>
      </c>
      <c r="K6077" s="11">
        <v>0</v>
      </c>
    </row>
    <row r="6078" spans="5:11" x14ac:dyDescent="0.35">
      <c r="E6078" s="9" t="str">
        <v>EPSG</v>
      </c>
      <c r="F6078" s="7" t="str">
        <v>26719</v>
      </c>
      <c r="G6078" t="str">
        <v>ProjectedCrs</v>
      </c>
      <c r="H6078" t="str">
        <v>Transverse Mercator</v>
      </c>
      <c r="I6078" t="str">
        <v>NAD27 / UTM zone 19N</v>
      </c>
      <c r="J6078" t="str">
        <v>North America - between 72°W and 66°W. Canada - New Brunswick; Labrador; Nunavut; Nova Scotia; Quebec. United States (USA) - Connecticut; Maine; Massachusetts; New Hampshire; New York (Long Island); Rhode Island; Vermont. Onshore and offshore for US and Canadian east coasts.</v>
      </c>
      <c r="K6078" s="11">
        <v>0</v>
      </c>
    </row>
    <row r="6079" spans="5:11" x14ac:dyDescent="0.35">
      <c r="E6079" s="9" t="str">
        <v>EPSG</v>
      </c>
      <c r="F6079" s="7" t="str">
        <v>26720</v>
      </c>
      <c r="G6079" t="str">
        <v>ProjectedCrs</v>
      </c>
      <c r="H6079" t="str">
        <v>Transverse Mercator</v>
      </c>
      <c r="I6079" t="str">
        <v>NAD27 / UTM zone 20N</v>
      </c>
      <c r="J6079" t="str">
        <v>North America - between 66°W and 60°W - onshore and offshore. Canada - New Brunswick; Labrador; Nova Scotia; Nunavut; Prince Edward Island; Quebec. United States (USA) offshore Atlantic.</v>
      </c>
      <c r="K6079" s="11">
        <v>0</v>
      </c>
    </row>
    <row r="6080" spans="5:11" x14ac:dyDescent="0.35">
      <c r="E6080" s="9" t="str">
        <v>EPSG</v>
      </c>
      <c r="F6080" s="7" t="str">
        <v>26721</v>
      </c>
      <c r="G6080" t="str">
        <v>ProjectedCrs</v>
      </c>
      <c r="H6080" t="str">
        <v>Transverse Mercator</v>
      </c>
      <c r="I6080" t="str">
        <v>NAD27 / UTM zone 21N</v>
      </c>
      <c r="J6080" t="str">
        <v>Canada between 60°W and 54°W, onshore and offshore - Newfoundland and Labrador; Quebec.</v>
      </c>
      <c r="K6080" s="11">
        <v>0</v>
      </c>
    </row>
    <row r="6081" spans="5:11" x14ac:dyDescent="0.35">
      <c r="E6081" s="9" t="str">
        <v>EPSG</v>
      </c>
      <c r="F6081" s="7" t="str">
        <v>26722</v>
      </c>
      <c r="G6081" t="str">
        <v>ProjectedCrs</v>
      </c>
      <c r="H6081" t="str">
        <v>Transverse Mercator</v>
      </c>
      <c r="I6081" t="str">
        <v>NAD27 / UTM zone 22N</v>
      </c>
      <c r="J6081" t="str">
        <v>Canada between 54°W and 48°W onshore and offshore - Newfoundland and Labrador.</v>
      </c>
      <c r="K6081" s="11">
        <v>0</v>
      </c>
    </row>
    <row r="6082" spans="5:11" x14ac:dyDescent="0.35">
      <c r="E6082" s="9" t="str">
        <v>EPSG</v>
      </c>
      <c r="F6082" s="7" t="str">
        <v>26729</v>
      </c>
      <c r="G6082" t="str">
        <v>ProjectedCrs</v>
      </c>
      <c r="H6082" t="str">
        <v>Transverse Mercator</v>
      </c>
      <c r="I6082" t="str">
        <v>NAD27 / Alabama East</v>
      </c>
      <c r="J6082"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6082" s="11">
        <v>0</v>
      </c>
    </row>
    <row r="6083" spans="5:11" x14ac:dyDescent="0.35">
      <c r="E6083" s="9" t="str">
        <v>EPSG</v>
      </c>
      <c r="F6083" s="7" t="str">
        <v>26730</v>
      </c>
      <c r="G6083" t="str">
        <v>ProjectedCrs</v>
      </c>
      <c r="H6083" t="str">
        <v>Transverse Mercator</v>
      </c>
      <c r="I6083" t="str">
        <v>NAD27 / Alabama West</v>
      </c>
      <c r="J6083"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6083" s="11">
        <v>0</v>
      </c>
    </row>
    <row r="6084" spans="5:11" x14ac:dyDescent="0.35">
      <c r="E6084" s="9" t="str">
        <v>EPSG</v>
      </c>
      <c r="F6084" s="7" t="str">
        <v>26731</v>
      </c>
      <c r="G6084" t="str">
        <v>ProjectedCrs</v>
      </c>
      <c r="H6084" t="str">
        <v>Hotine Oblique Mercator (variant A)</v>
      </c>
      <c r="I6084" t="str">
        <v>NAD27 / Alaska zone 1</v>
      </c>
      <c r="J6084" t="str">
        <v>United States (USA) - Alaska - east of 141°W; i.e. Panhandle.</v>
      </c>
      <c r="K6084" s="11">
        <v>0</v>
      </c>
    </row>
    <row r="6085" spans="5:11" x14ac:dyDescent="0.35">
      <c r="E6085" s="9" t="str">
        <v>EPSG</v>
      </c>
      <c r="F6085" s="7" t="str">
        <v>26732</v>
      </c>
      <c r="G6085" t="str">
        <v>ProjectedCrs</v>
      </c>
      <c r="H6085" t="str">
        <v>Transverse Mercator</v>
      </c>
      <c r="I6085" t="str">
        <v>NAD27 / Alaska zone 2</v>
      </c>
      <c r="J6085" t="str">
        <v>United States (USA) - Alaska - between 144°W and 141°W, onshore.</v>
      </c>
      <c r="K6085" s="11">
        <v>0</v>
      </c>
    </row>
    <row r="6086" spans="5:11" x14ac:dyDescent="0.35">
      <c r="E6086" s="9" t="str">
        <v>EPSG</v>
      </c>
      <c r="F6086" s="7" t="str">
        <v>26733</v>
      </c>
      <c r="G6086" t="str">
        <v>ProjectedCrs</v>
      </c>
      <c r="H6086" t="str">
        <v>Transverse Mercator</v>
      </c>
      <c r="I6086" t="str">
        <v>NAD27 / Alaska zone 3</v>
      </c>
      <c r="J6086" t="str">
        <v>United States (USA) - Alaska - between 148°W and 144°W.</v>
      </c>
      <c r="K6086" s="11">
        <v>0</v>
      </c>
    </row>
    <row r="6087" spans="5:11" x14ac:dyDescent="0.35">
      <c r="E6087" s="9" t="str">
        <v>EPSG</v>
      </c>
      <c r="F6087" s="7" t="str">
        <v>26734</v>
      </c>
      <c r="G6087" t="str">
        <v>ProjectedCrs</v>
      </c>
      <c r="H6087" t="str">
        <v>Transverse Mercator</v>
      </c>
      <c r="I6087" t="str">
        <v>NAD27 / Alaska zone 4</v>
      </c>
      <c r="J6087" t="str">
        <v>United States (USA) - Alaska - between 152°W and 148°W, onshore.</v>
      </c>
      <c r="K6087" s="11">
        <v>0</v>
      </c>
    </row>
    <row r="6088" spans="5:11" x14ac:dyDescent="0.35">
      <c r="E6088" s="9" t="str">
        <v>EPSG</v>
      </c>
      <c r="F6088" s="7" t="str">
        <v>26735</v>
      </c>
      <c r="G6088" t="str">
        <v>ProjectedCrs</v>
      </c>
      <c r="H6088" t="str">
        <v>Transverse Mercator</v>
      </c>
      <c r="I6088" t="str">
        <v>NAD27 / Alaska zone 5</v>
      </c>
      <c r="J6088" t="str">
        <v>United States (USA) - Alaska - between 156°W and 152°W.</v>
      </c>
      <c r="K6088" s="11">
        <v>0</v>
      </c>
    </row>
    <row r="6089" spans="5:11" x14ac:dyDescent="0.35">
      <c r="E6089" s="9" t="str">
        <v>EPSG</v>
      </c>
      <c r="F6089" s="7" t="str">
        <v>26736</v>
      </c>
      <c r="G6089" t="str">
        <v>ProjectedCrs</v>
      </c>
      <c r="H6089" t="str">
        <v>Transverse Mercator</v>
      </c>
      <c r="I6089" t="str">
        <v>NAD27 / Alaska zone 6</v>
      </c>
      <c r="J6089" t="str">
        <v>United States (USA) - Alaska - between 160°W and 156°W, onshore.</v>
      </c>
      <c r="K6089" s="11">
        <v>0</v>
      </c>
    </row>
    <row r="6090" spans="5:11" x14ac:dyDescent="0.35">
      <c r="E6090" s="9" t="str">
        <v>EPSG</v>
      </c>
      <c r="F6090" s="7" t="str">
        <v>26737</v>
      </c>
      <c r="G6090" t="str">
        <v>ProjectedCrs</v>
      </c>
      <c r="H6090" t="str">
        <v>Transverse Mercator</v>
      </c>
      <c r="I6090" t="str">
        <v>NAD27 / Alaska zone 7</v>
      </c>
      <c r="J6090" t="str">
        <v>United States (USA) - Alaska - between 164°W and 160°W, onshore.</v>
      </c>
      <c r="K6090" s="11">
        <v>0</v>
      </c>
    </row>
    <row r="6091" spans="5:11" x14ac:dyDescent="0.35">
      <c r="E6091" s="9" t="str">
        <v>EPSG</v>
      </c>
      <c r="F6091" s="7" t="str">
        <v>26738</v>
      </c>
      <c r="G6091" t="str">
        <v>ProjectedCrs</v>
      </c>
      <c r="H6091" t="str">
        <v>Transverse Mercator</v>
      </c>
      <c r="I6091" t="str">
        <v>NAD27 / Alaska zone 8</v>
      </c>
      <c r="J6091" t="str">
        <v>United States (USA) - Alaska onshore north of 54°30'N and between 168°W and 164°W.</v>
      </c>
      <c r="K6091" s="11">
        <v>0</v>
      </c>
    </row>
    <row r="6092" spans="5:11" x14ac:dyDescent="0.35">
      <c r="E6092" s="9" t="str">
        <v>EPSG</v>
      </c>
      <c r="F6092" s="7" t="str">
        <v>26739</v>
      </c>
      <c r="G6092" t="str">
        <v>ProjectedCrs</v>
      </c>
      <c r="H6092" t="str">
        <v>Transverse Mercator</v>
      </c>
      <c r="I6092" t="str">
        <v>NAD27 / Alaska zone 9</v>
      </c>
      <c r="J6092" t="str">
        <v>United States (USA) - Alaska onshore north of 54°30'N and west of 168°W.</v>
      </c>
      <c r="K6092" s="11">
        <v>0</v>
      </c>
    </row>
    <row r="6093" spans="5:11" x14ac:dyDescent="0.35">
      <c r="E6093" s="9" t="str">
        <v>EPSG</v>
      </c>
      <c r="F6093" s="7" t="str">
        <v>26740</v>
      </c>
      <c r="G6093" t="str">
        <v>ProjectedCrs</v>
      </c>
      <c r="H6093" t="str">
        <v>Lambert Conic Conformal (2SP)</v>
      </c>
      <c r="I6093" t="str">
        <v>NAD27 / Alaska zone 10</v>
      </c>
      <c r="J6093" t="str">
        <v>United States (USA) - Alaska - Aleutian Islands onshore.</v>
      </c>
      <c r="K6093" s="11">
        <v>0</v>
      </c>
    </row>
    <row r="6094" spans="5:11" x14ac:dyDescent="0.35">
      <c r="E6094" s="9" t="str">
        <v>EPSG</v>
      </c>
      <c r="F6094" s="7" t="str">
        <v>26741</v>
      </c>
      <c r="G6094" t="str">
        <v>ProjectedCrs</v>
      </c>
      <c r="H6094" t="str">
        <v>Lambert Conic Conformal (2SP)</v>
      </c>
      <c r="I6094" t="str">
        <v>NAD27 / California zone I</v>
      </c>
      <c r="J6094" t="str">
        <v>United States (USA) - California - counties Del Norte; Humboldt; Lassen; Modoc; Plumas; Shasta; Siskiyou; Tehama; Trinity.</v>
      </c>
      <c r="K6094" s="11">
        <v>0</v>
      </c>
    </row>
    <row r="6095" spans="5:11" x14ac:dyDescent="0.35">
      <c r="E6095" s="9" t="str">
        <v>EPSG</v>
      </c>
      <c r="F6095" s="7" t="str">
        <v>26742</v>
      </c>
      <c r="G6095" t="str">
        <v>ProjectedCrs</v>
      </c>
      <c r="H6095" t="str">
        <v>Lambert Conic Conformal (2SP)</v>
      </c>
      <c r="I6095" t="str">
        <v>NAD27 / California zone II</v>
      </c>
      <c r="J6095" t="str">
        <v>United States (USA) - California - counties of Alpine; Amador; Butte; Colusa; El Dorado; Glenn; Lake; Mendocino; Napa; Nevada; Placer; Sacramento; Sierra; Solano; Sonoma; Sutter; Yolo; Yuba.</v>
      </c>
      <c r="K6095" s="11">
        <v>0</v>
      </c>
    </row>
    <row r="6096" spans="5:11" x14ac:dyDescent="0.35">
      <c r="E6096" s="9" t="str">
        <v>EPSG</v>
      </c>
      <c r="F6096" s="7" t="str">
        <v>26743</v>
      </c>
      <c r="G6096" t="str">
        <v>ProjectedCrs</v>
      </c>
      <c r="H6096" t="str">
        <v>Lambert Conic Conformal (2SP)</v>
      </c>
      <c r="I6096" t="str">
        <v>NAD27 / California zone III</v>
      </c>
      <c r="J6096" t="str">
        <v>United States (USA) - California - counties Alameda; Calaveras; Contra Costa; Madera; Marin; Mariposa; Merced; Mono; San Francisco; San Joaquin; San Mateo; Santa Clara; Santa Cruz; Stanislaus; Tuolumne.</v>
      </c>
      <c r="K6096" s="11">
        <v>0</v>
      </c>
    </row>
    <row r="6097" spans="5:11" x14ac:dyDescent="0.35">
      <c r="E6097" s="9" t="str">
        <v>EPSG</v>
      </c>
      <c r="F6097" s="7" t="str">
        <v>26744</v>
      </c>
      <c r="G6097" t="str">
        <v>ProjectedCrs</v>
      </c>
      <c r="H6097" t="str">
        <v>Lambert Conic Conformal (2SP)</v>
      </c>
      <c r="I6097" t="str">
        <v>NAD27 / California zone IV</v>
      </c>
      <c r="J6097" t="str">
        <v>United States (USA) - California - counties Fresno; Inyo; Kings; Monterey; San Benito; Tulare.</v>
      </c>
      <c r="K6097" s="11">
        <v>0</v>
      </c>
    </row>
    <row r="6098" spans="5:11" x14ac:dyDescent="0.35">
      <c r="E6098" s="9" t="str">
        <v>EPSG</v>
      </c>
      <c r="F6098" s="7" t="str">
        <v>26745</v>
      </c>
      <c r="G6098" t="str">
        <v>ProjectedCrs</v>
      </c>
      <c r="H6098" t="str">
        <v>Lambert Conic Conformal (2SP)</v>
      </c>
      <c r="I6098" t="str">
        <v>NAD27 / California zone V</v>
      </c>
      <c r="J6098" t="str">
        <v>United States (USA) - California - counties of Kern; San Bernardino; San Luis Obispo; Santa Barbara; Ventura.</v>
      </c>
      <c r="K6098" s="11">
        <v>0</v>
      </c>
    </row>
    <row r="6099" spans="5:11" x14ac:dyDescent="0.35">
      <c r="E6099" s="9" t="str">
        <v>EPSG</v>
      </c>
      <c r="F6099" s="7" t="str">
        <v>26746</v>
      </c>
      <c r="G6099" t="str">
        <v>ProjectedCrs</v>
      </c>
      <c r="H6099" t="str">
        <v>Lambert Conic Conformal (2SP)</v>
      </c>
      <c r="I6099" t="str">
        <v>NAD27 / California zone VI</v>
      </c>
      <c r="J6099" t="str">
        <v>United States (USA) - California - counties Imperial; Orange; Riverside; San Diego.</v>
      </c>
      <c r="K6099" s="11">
        <v>0</v>
      </c>
    </row>
    <row r="6100" spans="5:11" x14ac:dyDescent="0.35">
      <c r="E6100" s="9" t="str">
        <v>EPSG</v>
      </c>
      <c r="F6100" s="7" t="str">
        <v>26748</v>
      </c>
      <c r="G6100" t="str">
        <v>ProjectedCrs</v>
      </c>
      <c r="H6100" t="str">
        <v>Transverse Mercator</v>
      </c>
      <c r="I6100" t="str">
        <v>NAD27 / Arizona East</v>
      </c>
      <c r="J6100" t="str">
        <v>United States (USA) - Arizona - counties Apache; Cochise; Gila; Graham; Greenlee; Navajo.</v>
      </c>
      <c r="K6100" s="11">
        <v>0</v>
      </c>
    </row>
    <row r="6101" spans="5:11" x14ac:dyDescent="0.35">
      <c r="E6101" s="9" t="str">
        <v>EPSG</v>
      </c>
      <c r="F6101" s="7" t="str">
        <v>26749</v>
      </c>
      <c r="G6101" t="str">
        <v>ProjectedCrs</v>
      </c>
      <c r="H6101" t="str">
        <v>Transverse Mercator</v>
      </c>
      <c r="I6101" t="str">
        <v>NAD27 / Arizona Central</v>
      </c>
      <c r="J6101" t="str">
        <v>United States (USA) - Arizona - counties Coconino; Maricopa; Pima; Pinal; Santa Cruz; Yavapai.</v>
      </c>
      <c r="K6101" s="11">
        <v>0</v>
      </c>
    </row>
    <row r="6102" spans="5:11" x14ac:dyDescent="0.35">
      <c r="E6102" s="9" t="str">
        <v>EPSG</v>
      </c>
      <c r="F6102" s="7" t="str">
        <v>26750</v>
      </c>
      <c r="G6102" t="str">
        <v>ProjectedCrs</v>
      </c>
      <c r="H6102" t="str">
        <v>Transverse Mercator</v>
      </c>
      <c r="I6102" t="str">
        <v>NAD27 / Arizona West</v>
      </c>
      <c r="J6102" t="str">
        <v>United States (USA) - Arizona - counties of La Paz; Mohave; Yuma.</v>
      </c>
      <c r="K6102" s="11">
        <v>0</v>
      </c>
    </row>
    <row r="6103" spans="5:11" x14ac:dyDescent="0.35">
      <c r="E6103" s="9" t="str">
        <v>EPSG</v>
      </c>
      <c r="F6103" s="7" t="str">
        <v>26751</v>
      </c>
      <c r="G6103" t="str">
        <v>ProjectedCrs</v>
      </c>
      <c r="H6103" t="str">
        <v>Lambert Conic Conformal (2SP)</v>
      </c>
      <c r="I6103" t="str">
        <v>NAD27 / Arkansas North</v>
      </c>
      <c r="J6103"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6103" s="11">
        <v>0</v>
      </c>
    </row>
    <row r="6104" spans="5:11" x14ac:dyDescent="0.35">
      <c r="E6104" s="9" t="str">
        <v>EPSG</v>
      </c>
      <c r="F6104" s="7" t="str">
        <v>26752</v>
      </c>
      <c r="G6104" t="str">
        <v>ProjectedCrs</v>
      </c>
      <c r="H6104" t="str">
        <v>Lambert Conic Conformal (2SP)</v>
      </c>
      <c r="I6104" t="str">
        <v>NAD27 / Arkansas South</v>
      </c>
      <c r="J6104"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6104" s="11">
        <v>0</v>
      </c>
    </row>
    <row r="6105" spans="5:11" x14ac:dyDescent="0.35">
      <c r="E6105" s="9" t="str">
        <v>EPSG</v>
      </c>
      <c r="F6105" s="7" t="str">
        <v>26753</v>
      </c>
      <c r="G6105" t="str">
        <v>ProjectedCrs</v>
      </c>
      <c r="H6105" t="str">
        <v>Lambert Conic Conformal (2SP)</v>
      </c>
      <c r="I6105" t="str">
        <v>NAD27 / Colorado North</v>
      </c>
      <c r="J6105" t="str">
        <v>United States (USA) - Colorado - counties Adams; Boulder; Gilpin; Grand; Jackson; Larimer; Logan; Moffat; Morgan; Phillips; Rio Blanco; Routt; Sedgwick; Washington; Weld; Yuma.</v>
      </c>
      <c r="K6105" s="11">
        <v>0</v>
      </c>
    </row>
    <row r="6106" spans="5:11" x14ac:dyDescent="0.35">
      <c r="E6106" s="9" t="str">
        <v>EPSG</v>
      </c>
      <c r="F6106" s="7" t="str">
        <v>26754</v>
      </c>
      <c r="G6106" t="str">
        <v>ProjectedCrs</v>
      </c>
      <c r="H6106" t="str">
        <v>Lambert Conic Conformal (2SP)</v>
      </c>
      <c r="I6106" t="str">
        <v>NAD27 / Colorado Central</v>
      </c>
      <c r="J6106" t="str">
        <v>United States (USA) - Colorado - counties Arapahoe; Chaffee; Cheyenne; Clear Creek; Delta; Denver; Douglas; Eagle; El Paso; Elbert; Fremont; Garfield; Gunnison; Jefferson; Kit Carson; Lake; Lincoln; Mesa; Park; Pitkin; Summit; Teller.</v>
      </c>
      <c r="K6106" s="11">
        <v>0</v>
      </c>
    </row>
    <row r="6107" spans="5:11" x14ac:dyDescent="0.35">
      <c r="E6107" s="9" t="str">
        <v>EPSG</v>
      </c>
      <c r="F6107" s="7" t="str">
        <v>26755</v>
      </c>
      <c r="G6107" t="str">
        <v>ProjectedCrs</v>
      </c>
      <c r="H6107" t="str">
        <v>Lambert Conic Conformal (2SP)</v>
      </c>
      <c r="I6107" t="str">
        <v>NAD27 / Colorado South</v>
      </c>
      <c r="J6107" t="str">
        <v>United States (USA) - Colorado - counties Alamosa; Archuleta; Baca; Bent; Conejos; Costilla; Crowley; Custer; Dolores; Hinsdale; Huerfano; Kiowa; La Plata; Las Animas; Mineral; Montezuma; Montrose; Otero; Ouray; Prowers; Pueblo; Rio Grande; Saguache; San Juan; San Miguel.</v>
      </c>
      <c r="K6107" s="11">
        <v>0</v>
      </c>
    </row>
    <row r="6108" spans="5:11" x14ac:dyDescent="0.35">
      <c r="E6108" s="9" t="str">
        <v>EPSG</v>
      </c>
      <c r="F6108" s="7" t="str">
        <v>26756</v>
      </c>
      <c r="G6108" t="str">
        <v>ProjectedCrs</v>
      </c>
      <c r="H6108" t="str">
        <v>Lambert Conic Conformal (2SP)</v>
      </c>
      <c r="I6108" t="str">
        <v>NAD27 / Connecticut</v>
      </c>
      <c r="J6108" t="str">
        <v>United States (USA) - Connecticut - counties of Fairfield; Hartford; Litchfield; Middlesex; New Haven; New London; Tolland; Windham.</v>
      </c>
      <c r="K6108" s="11">
        <v>0</v>
      </c>
    </row>
    <row r="6109" spans="5:11" x14ac:dyDescent="0.35">
      <c r="E6109" s="9" t="str">
        <v>EPSG</v>
      </c>
      <c r="F6109" s="7" t="str">
        <v>26757</v>
      </c>
      <c r="G6109" t="str">
        <v>ProjectedCrs</v>
      </c>
      <c r="H6109" t="str">
        <v>Transverse Mercator</v>
      </c>
      <c r="I6109" t="str">
        <v>NAD27 / Delaware</v>
      </c>
      <c r="J6109" t="str">
        <v>United States (USA) - Delaware - counties of Kent; New Castle; Sussex.</v>
      </c>
      <c r="K6109" s="11">
        <v>0</v>
      </c>
    </row>
    <row r="6110" spans="5:11" x14ac:dyDescent="0.35">
      <c r="E6110" s="9" t="str">
        <v>EPSG</v>
      </c>
      <c r="F6110" s="7" t="str">
        <v>26758</v>
      </c>
      <c r="G6110" t="str">
        <v>ProjectedCrs</v>
      </c>
      <c r="H6110" t="str">
        <v>Transverse Mercator</v>
      </c>
      <c r="I6110" t="str">
        <v>NAD27 / Florida East</v>
      </c>
      <c r="J6110" t="str">
        <v>United States (USA) - Florida - counties of Brevard; Broward; Clay; Collier; Dade; Duval; Flagler; Glades; Hendry; Highlands; Indian River; Lake; Martin; Monroe; Nassau; Okeechobee; Orange; Osceola; Palm Beach; Putnam; Seminole; St Johns; St Lucie; Volusia.</v>
      </c>
      <c r="K6110" s="11">
        <v>0</v>
      </c>
    </row>
    <row r="6111" spans="5:11" x14ac:dyDescent="0.35">
      <c r="E6111" s="9" t="str">
        <v>EPSG</v>
      </c>
      <c r="F6111" s="7" t="str">
        <v>26759</v>
      </c>
      <c r="G6111" t="str">
        <v>ProjectedCrs</v>
      </c>
      <c r="H6111" t="str">
        <v>Transverse Mercator</v>
      </c>
      <c r="I6111" t="str">
        <v>NAD27 / Florida West</v>
      </c>
      <c r="J6111" t="str">
        <v>United States (USA) - Florida - counties of Charlotte; Citrus; De Soto; Hardee; Hernando; Hillsborough; Lee; Levy; Manatee; Marion; Pasco; Pinellas; Polk; Sarasota; Sumter.</v>
      </c>
      <c r="K6111" s="11">
        <v>0</v>
      </c>
    </row>
    <row r="6112" spans="5:11" x14ac:dyDescent="0.35">
      <c r="E6112" s="9" t="str">
        <v>EPSG</v>
      </c>
      <c r="F6112" s="7" t="str">
        <v>26760</v>
      </c>
      <c r="G6112" t="str">
        <v>ProjectedCrs</v>
      </c>
      <c r="H6112" t="str">
        <v>Lambert Conic Conformal (2SP)</v>
      </c>
      <c r="I6112" t="str">
        <v>NAD27 / Florida North</v>
      </c>
      <c r="J6112" t="str">
        <v>United States (USA) - Florida - counties of Alachua; Baker; Bay; Bradford; Calhoun; Columbia; Dixie; Escambia; Franklin; Gadsden; Gilchrist; Gulf; Hamilton; Holmes; Jackson; Jefferson; Lafayette; Leon; Liberty; Madison; Okaloosa; Santa Rosa; Suwannee; Taylor; Union; Wakulla; Walton; Washington.</v>
      </c>
      <c r="K6112" s="11">
        <v>0</v>
      </c>
    </row>
    <row r="6113" spans="5:11" x14ac:dyDescent="0.35">
      <c r="E6113" s="9" t="str">
        <v>EPSG</v>
      </c>
      <c r="F6113" s="7" t="str">
        <v>26766</v>
      </c>
      <c r="G6113" t="str">
        <v>ProjectedCrs</v>
      </c>
      <c r="H6113" t="str">
        <v>Transverse Mercator</v>
      </c>
      <c r="I6113" t="str">
        <v>NAD27 / Georgia East</v>
      </c>
      <c r="J6113"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6113" s="11">
        <v>0</v>
      </c>
    </row>
    <row r="6114" spans="5:11" x14ac:dyDescent="0.35">
      <c r="E6114" s="9" t="str">
        <v>EPSG</v>
      </c>
      <c r="F6114" s="7" t="str">
        <v>26767</v>
      </c>
      <c r="G6114" t="str">
        <v>ProjectedCrs</v>
      </c>
      <c r="H6114" t="str">
        <v>Transverse Mercator</v>
      </c>
      <c r="I6114" t="str">
        <v>NAD27 / Georgia West</v>
      </c>
      <c r="J6114"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6114" s="11">
        <v>0</v>
      </c>
    </row>
    <row r="6115" spans="5:11" x14ac:dyDescent="0.35">
      <c r="E6115" s="9" t="str">
        <v>EPSG</v>
      </c>
      <c r="F6115" s="7" t="str">
        <v>26768</v>
      </c>
      <c r="G6115" t="str">
        <v>ProjectedCrs</v>
      </c>
      <c r="H6115" t="str">
        <v>Transverse Mercator</v>
      </c>
      <c r="I6115" t="str">
        <v>NAD27 / Idaho East</v>
      </c>
      <c r="J6115" t="str">
        <v>United States (USA) - Idaho - counties of Bannock; Bear Lake; Bingham; Bonneville; Caribou; Clark; Franklin; Fremont; Jefferson; Madison; Oneida; Power; Teton.</v>
      </c>
      <c r="K6115" s="11">
        <v>0</v>
      </c>
    </row>
    <row r="6116" spans="5:11" x14ac:dyDescent="0.35">
      <c r="E6116" s="9" t="str">
        <v>EPSG</v>
      </c>
      <c r="F6116" s="7" t="str">
        <v>26769</v>
      </c>
      <c r="G6116" t="str">
        <v>ProjectedCrs</v>
      </c>
      <c r="H6116" t="str">
        <v>Transverse Mercator</v>
      </c>
      <c r="I6116" t="str">
        <v>NAD27 / Idaho Central</v>
      </c>
      <c r="J6116" t="str">
        <v>United States (USA) - Idaho - counties of Blaine; Butte; Camas; Cassia; Custer; Gooding; Jerome; Lemhi; Lincoln; Minidoka; Twin Falls.</v>
      </c>
      <c r="K6116" s="11">
        <v>0</v>
      </c>
    </row>
    <row r="6117" spans="5:11" x14ac:dyDescent="0.35">
      <c r="E6117" s="9" t="str">
        <v>EPSG</v>
      </c>
      <c r="F6117" s="7" t="str">
        <v>26770</v>
      </c>
      <c r="G6117" t="str">
        <v>ProjectedCrs</v>
      </c>
      <c r="H6117" t="str">
        <v>Transverse Mercator</v>
      </c>
      <c r="I6117" t="str">
        <v>NAD27 / Idaho West</v>
      </c>
      <c r="J6117" t="str">
        <v>United States (USA) - Idaho - counties of Ada; Adams; Benewah; Boise; Bonner; Boundary; Canyon; Clearwater; Elmore; Gem; Idaho; Kootenai; Latah; Lewis; Nez Perce; Owyhee; Payette; Shoshone; Valley; Washington.</v>
      </c>
      <c r="K6117" s="11">
        <v>0</v>
      </c>
    </row>
    <row r="6118" spans="5:11" x14ac:dyDescent="0.35">
      <c r="E6118" s="9" t="str">
        <v>EPSG</v>
      </c>
      <c r="F6118" s="7" t="str">
        <v>26771</v>
      </c>
      <c r="G6118" t="str">
        <v>ProjectedCrs</v>
      </c>
      <c r="H6118" t="str">
        <v>Transverse Mercator</v>
      </c>
      <c r="I6118" t="str">
        <v>NAD27 / Illinois East</v>
      </c>
      <c r="J6118"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6118" s="11">
        <v>0</v>
      </c>
    </row>
    <row r="6119" spans="5:11" x14ac:dyDescent="0.35">
      <c r="E6119" s="9" t="str">
        <v>EPSG</v>
      </c>
      <c r="F6119" s="7" t="str">
        <v>26772</v>
      </c>
      <c r="G6119" t="str">
        <v>ProjectedCrs</v>
      </c>
      <c r="H6119" t="str">
        <v>Transverse Mercator</v>
      </c>
      <c r="I6119" t="str">
        <v>NAD27 / Illinois West</v>
      </c>
      <c r="J6119"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6119" s="11">
        <v>0</v>
      </c>
    </row>
    <row r="6120" spans="5:11" x14ac:dyDescent="0.35">
      <c r="E6120" s="9" t="str">
        <v>EPSG</v>
      </c>
      <c r="F6120" s="7" t="str">
        <v>26773</v>
      </c>
      <c r="G6120" t="str">
        <v>ProjectedCrs</v>
      </c>
      <c r="H6120" t="str">
        <v>Transverse Mercator</v>
      </c>
      <c r="I6120" t="str">
        <v>NAD27 / Indiana East</v>
      </c>
      <c r="J6120"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6120" s="11">
        <v>0</v>
      </c>
    </row>
    <row r="6121" spans="5:11" x14ac:dyDescent="0.35">
      <c r="E6121" s="9" t="str">
        <v>EPSG</v>
      </c>
      <c r="F6121" s="7" t="str">
        <v>26774</v>
      </c>
      <c r="G6121" t="str">
        <v>ProjectedCrs</v>
      </c>
      <c r="H6121" t="str">
        <v>Transverse Mercator</v>
      </c>
      <c r="I6121" t="str">
        <v>NAD27 / Indiana West</v>
      </c>
      <c r="J6121"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6121" s="11">
        <v>0</v>
      </c>
    </row>
    <row r="6122" spans="5:11" x14ac:dyDescent="0.35">
      <c r="E6122" s="9" t="str">
        <v>EPSG</v>
      </c>
      <c r="F6122" s="7" t="str">
        <v>26775</v>
      </c>
      <c r="G6122" t="str">
        <v>ProjectedCrs</v>
      </c>
      <c r="H6122" t="str">
        <v>Lambert Conic Conformal (2SP)</v>
      </c>
      <c r="I6122" t="str">
        <v>NAD27 / Iowa North</v>
      </c>
      <c r="J6122"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6122" s="11">
        <v>0</v>
      </c>
    </row>
    <row r="6123" spans="5:11" x14ac:dyDescent="0.35">
      <c r="E6123" s="9" t="str">
        <v>EPSG</v>
      </c>
      <c r="F6123" s="7" t="str">
        <v>26776</v>
      </c>
      <c r="G6123" t="str">
        <v>ProjectedCrs</v>
      </c>
      <c r="H6123" t="str">
        <v>Lambert Conic Conformal (2SP)</v>
      </c>
      <c r="I6123" t="str">
        <v>NAD27 / Iowa South</v>
      </c>
      <c r="J6123"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6123" s="11">
        <v>0</v>
      </c>
    </row>
    <row r="6124" spans="5:11" x14ac:dyDescent="0.35">
      <c r="E6124" s="9" t="str">
        <v>EPSG</v>
      </c>
      <c r="F6124" s="7" t="str">
        <v>26777</v>
      </c>
      <c r="G6124" t="str">
        <v>ProjectedCrs</v>
      </c>
      <c r="H6124" t="str">
        <v>Lambert Conic Conformal (2SP)</v>
      </c>
      <c r="I6124" t="str">
        <v>NAD27 / Kansas North</v>
      </c>
      <c r="J6124"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6124" s="11">
        <v>0</v>
      </c>
    </row>
    <row r="6125" spans="5:11" x14ac:dyDescent="0.35">
      <c r="E6125" s="9" t="str">
        <v>EPSG</v>
      </c>
      <c r="F6125" s="7" t="str">
        <v>26778</v>
      </c>
      <c r="G6125" t="str">
        <v>ProjectedCrs</v>
      </c>
      <c r="H6125" t="str">
        <v>Lambert Conic Conformal (2SP)</v>
      </c>
      <c r="I6125" t="str">
        <v>NAD27 / Kansas South</v>
      </c>
      <c r="J6125"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6125" s="11">
        <v>0</v>
      </c>
    </row>
    <row r="6126" spans="5:11" x14ac:dyDescent="0.35">
      <c r="E6126" s="9" t="str">
        <v>EPSG</v>
      </c>
      <c r="F6126" s="7" t="str">
        <v>26779</v>
      </c>
      <c r="G6126" t="str">
        <v>ProjectedCrs</v>
      </c>
      <c r="H6126" t="str">
        <v>Lambert Conic Conformal (2SP)</v>
      </c>
      <c r="I6126" t="str">
        <v>NAD27 / Kentucky North</v>
      </c>
      <c r="J6126"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6126" s="11">
        <v>0</v>
      </c>
    </row>
    <row r="6127" spans="5:11" x14ac:dyDescent="0.35">
      <c r="E6127" s="9" t="str">
        <v>EPSG</v>
      </c>
      <c r="F6127" s="7" t="str">
        <v>26780</v>
      </c>
      <c r="G6127" t="str">
        <v>ProjectedCrs</v>
      </c>
      <c r="H6127" t="str">
        <v>Lambert Conic Conformal (2SP)</v>
      </c>
      <c r="I6127" t="str">
        <v>NAD27 / Kentucky South</v>
      </c>
      <c r="J6127"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6127" s="11">
        <v>0</v>
      </c>
    </row>
    <row r="6128" spans="5:11" x14ac:dyDescent="0.35">
      <c r="E6128" s="9" t="str">
        <v>EPSG</v>
      </c>
      <c r="F6128" s="7" t="str">
        <v>26781</v>
      </c>
      <c r="G6128" t="str">
        <v>ProjectedCrs</v>
      </c>
      <c r="H6128" t="str">
        <v>Lambert Conic Conformal (2SP)</v>
      </c>
      <c r="I6128" t="str">
        <v>NAD27 / Louisiana North</v>
      </c>
      <c r="J6128"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6128" s="11">
        <v>0</v>
      </c>
    </row>
    <row r="6129" spans="5:11" x14ac:dyDescent="0.35">
      <c r="E6129" s="9" t="str">
        <v>EPSG</v>
      </c>
      <c r="F6129" s="7" t="str">
        <v>26782</v>
      </c>
      <c r="G6129" t="str">
        <v>ProjectedCrs</v>
      </c>
      <c r="H6129" t="str">
        <v>Lambert Conic Conformal (2SP)</v>
      </c>
      <c r="I6129" t="str">
        <v>NAD27 / Louisiana South</v>
      </c>
      <c r="J6129"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 Also Gulf of Mexico outer continental shelf (GoM OCS) protraction areas Sabine Pass (LA); West Cameron; East Cameron; Vermilion; South Marsh Island; Eugene Island; Ship Shoal; South Pelto; Bay Marchand; South Timbalier; Grand Isle; West Delta; South Pass; Main Pass; Breton Sound; Chandeleur.</v>
      </c>
      <c r="K6129" s="11">
        <v>0</v>
      </c>
    </row>
    <row r="6130" spans="5:11" x14ac:dyDescent="0.35">
      <c r="E6130" s="9" t="str">
        <v>EPSG</v>
      </c>
      <c r="F6130" s="7" t="str">
        <v>26783</v>
      </c>
      <c r="G6130" t="str">
        <v>ProjectedCrs</v>
      </c>
      <c r="H6130" t="str">
        <v>Transverse Mercator</v>
      </c>
      <c r="I6130" t="str">
        <v>NAD27 / Maine East</v>
      </c>
      <c r="J6130" t="str">
        <v>United States (USA) - Maine - counties of Aroostook; Hancock; Knox; Penobscot; Piscataquis; Waldo; Washington.</v>
      </c>
      <c r="K6130" s="11">
        <v>0</v>
      </c>
    </row>
    <row r="6131" spans="5:11" x14ac:dyDescent="0.35">
      <c r="E6131" s="9" t="str">
        <v>EPSG</v>
      </c>
      <c r="F6131" s="7" t="str">
        <v>26784</v>
      </c>
      <c r="G6131" t="str">
        <v>ProjectedCrs</v>
      </c>
      <c r="H6131" t="str">
        <v>Transverse Mercator</v>
      </c>
      <c r="I6131" t="str">
        <v>NAD27 / Maine West</v>
      </c>
      <c r="J6131" t="str">
        <v>United States (USA) - Maine - counties of Androscoggin; Cumberland; Franklin; Kennebec; Lincoln; Oxford; Sagadahoc; Somerset; York.</v>
      </c>
      <c r="K6131" s="11">
        <v>0</v>
      </c>
    </row>
    <row r="6132" spans="5:11" x14ac:dyDescent="0.35">
      <c r="E6132" s="9" t="str">
        <v>EPSG</v>
      </c>
      <c r="F6132" s="7" t="str">
        <v>26785</v>
      </c>
      <c r="G6132" t="str">
        <v>ProjectedCrs</v>
      </c>
      <c r="H6132" t="str">
        <v>Lambert Conic Conformal (2SP)</v>
      </c>
      <c r="I6132" t="str">
        <v>NAD27 / Maryland</v>
      </c>
      <c r="J6132" t="str">
        <v>United States (USA) - Maryland - counties of Allegany; Anne Arundel; Baltimore; Calvert; Caroline; Carroll; Cecil; Charles; Dorchester; Frederick; Garrett; Harford; Howard; Kent; Montgomery; Prince Georges; Queen Annes; Somerset; St Marys; Talbot; Washington; Wicomico; Worcester.</v>
      </c>
      <c r="K6132" s="11">
        <v>0</v>
      </c>
    </row>
    <row r="6133" spans="5:11" x14ac:dyDescent="0.35">
      <c r="E6133" s="9" t="str">
        <v>EPSG</v>
      </c>
      <c r="F6133" s="7" t="str">
        <v>26786</v>
      </c>
      <c r="G6133" t="str">
        <v>ProjectedCrs</v>
      </c>
      <c r="H6133" t="str">
        <v>Lambert Conic Conformal (2SP)</v>
      </c>
      <c r="I6133" t="str">
        <v>NAD27 / Massachusetts Mainland</v>
      </c>
      <c r="J6133" t="str">
        <v>United States (USA) - Massachusetts onshore - counties of Barnstable; Berkshire; Bristol; Essex; Franklin; Hampden; Hampshire; Middlesex; Norfolk; Plymouth; Suffolk; Worcester.</v>
      </c>
      <c r="K6133" s="11">
        <v>0</v>
      </c>
    </row>
    <row r="6134" spans="5:11" x14ac:dyDescent="0.35">
      <c r="E6134" s="9" t="str">
        <v>EPSG</v>
      </c>
      <c r="F6134" s="7" t="str">
        <v>26787</v>
      </c>
      <c r="G6134" t="str">
        <v>ProjectedCrs</v>
      </c>
      <c r="H6134" t="str">
        <v>Lambert Conic Conformal (2SP)</v>
      </c>
      <c r="I6134" t="str">
        <v>NAD27 / Massachusetts Island</v>
      </c>
      <c r="J6134" t="str">
        <v>United States (USA) - Massachusetts offshore - counties of Dukes; Nantucket.</v>
      </c>
      <c r="K6134" s="11">
        <v>0</v>
      </c>
    </row>
    <row r="6135" spans="5:11" x14ac:dyDescent="0.35">
      <c r="E6135" s="9" t="str">
        <v>EPSG</v>
      </c>
      <c r="F6135" s="7" t="str">
        <v>26791</v>
      </c>
      <c r="G6135" t="str">
        <v>ProjectedCrs</v>
      </c>
      <c r="H6135" t="str">
        <v>Lambert Conic Conformal (2SP)</v>
      </c>
      <c r="I6135" t="str">
        <v>NAD27 / Minnesota North</v>
      </c>
      <c r="J6135" t="str">
        <v>United States (USA) - Minnesota - counties of Beltrami; Clearwater; Cook; Itasca; Kittson; Koochiching; Lake; Lake of the Woods; Mahnomen; Marshall; Norman; Pennington; Polk; Red Lake; Roseau; St Louis.</v>
      </c>
      <c r="K6135" s="11">
        <v>0</v>
      </c>
    </row>
    <row r="6136" spans="5:11" x14ac:dyDescent="0.35">
      <c r="E6136" s="9" t="str">
        <v>EPSG</v>
      </c>
      <c r="F6136" s="7" t="str">
        <v>26792</v>
      </c>
      <c r="G6136" t="str">
        <v>ProjectedCrs</v>
      </c>
      <c r="H6136" t="str">
        <v>Lambert Conic Conformal (2SP)</v>
      </c>
      <c r="I6136" t="str">
        <v>NAD27 / Minnesota Central</v>
      </c>
      <c r="J6136" t="str">
        <v>United States (USA) - Minnesota - counties of Aitkin; Becker; Benton; Carlton; Cass; Chisago; Clay; Crow Wing; Douglas; Grant; Hubbard; Isanti; Kanabec; Mille Lacs; Morrison; Otter Tail; Pine; Pope; Stearns; Stevens; Todd; Traverse; Wadena; Wilkin.</v>
      </c>
      <c r="K6136" s="11">
        <v>0</v>
      </c>
    </row>
    <row r="6137" spans="5:11" x14ac:dyDescent="0.35">
      <c r="E6137" s="9" t="str">
        <v>EPSG</v>
      </c>
      <c r="F6137" s="7" t="str">
        <v>26793</v>
      </c>
      <c r="G6137" t="str">
        <v>ProjectedCrs</v>
      </c>
      <c r="H6137" t="str">
        <v>Lambert Conic Conformal (2SP)</v>
      </c>
      <c r="I6137" t="str">
        <v>NAD27 / Minnesota South</v>
      </c>
      <c r="J6137"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6137" s="11">
        <v>0</v>
      </c>
    </row>
    <row r="6138" spans="5:11" x14ac:dyDescent="0.35">
      <c r="E6138" s="9" t="str">
        <v>EPSG</v>
      </c>
      <c r="F6138" s="7" t="str">
        <v>26794</v>
      </c>
      <c r="G6138" t="str">
        <v>ProjectedCrs</v>
      </c>
      <c r="H6138" t="str">
        <v>Transverse Mercator</v>
      </c>
      <c r="I6138" t="str">
        <v>NAD27 / Mississippi East</v>
      </c>
      <c r="J6138"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6138" s="11">
        <v>0</v>
      </c>
    </row>
    <row r="6139" spans="5:11" x14ac:dyDescent="0.35">
      <c r="E6139" s="9" t="str">
        <v>EPSG</v>
      </c>
      <c r="F6139" s="7" t="str">
        <v>26795</v>
      </c>
      <c r="G6139" t="str">
        <v>ProjectedCrs</v>
      </c>
      <c r="H6139" t="str">
        <v>Transverse Mercator</v>
      </c>
      <c r="I6139" t="str">
        <v>NAD27 / Mississippi West</v>
      </c>
      <c r="J6139"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6139" s="11">
        <v>0</v>
      </c>
    </row>
    <row r="6140" spans="5:11" x14ac:dyDescent="0.35">
      <c r="E6140" s="9" t="str">
        <v>EPSG</v>
      </c>
      <c r="F6140" s="7" t="str">
        <v>26796</v>
      </c>
      <c r="G6140" t="str">
        <v>ProjectedCrs</v>
      </c>
      <c r="H6140" t="str">
        <v>Transverse Mercator</v>
      </c>
      <c r="I6140" t="str">
        <v>NAD27 / Missouri East</v>
      </c>
      <c r="J6140" t="str">
        <v>United States (USA) - Missouri - counties of Bollinger; Butler; Cape Girardeau; Carter; Clark; Crawford; Dent; Dunklin; Franklin; Gasconade; Iron; Jefferson; Lewis; Lincoln; Madison; Marion; Mississippi; Montgomery; New Madrid; Oregon; Pemiscot; Perry; Pike; Ralls; Reynolds; Ripley; Scott; Shannon; St Charles; St Francois; St Louis; Ste. Genevieve; Stoddard; Warren; Washington; Wayne.</v>
      </c>
      <c r="K6140" s="11">
        <v>0</v>
      </c>
    </row>
    <row r="6141" spans="5:11" x14ac:dyDescent="0.35">
      <c r="E6141" s="9" t="str">
        <v>EPSG</v>
      </c>
      <c r="F6141" s="7" t="str">
        <v>26797</v>
      </c>
      <c r="G6141" t="str">
        <v>ProjectedCrs</v>
      </c>
      <c r="H6141" t="str">
        <v>Transverse Mercator</v>
      </c>
      <c r="I6141" t="str">
        <v>NAD27 / Missouri Central</v>
      </c>
      <c r="J6141" t="str">
        <v>United States (USA) - Missouri - counties of Adair; Audrain; Benton; Boone; Callaway; Camden; Carroll; Chariton; Christian; Cole; Cooper; Dallas; Douglas; Greene; Grundy; Hickory; Howard; Howell; Knox; Laclede; Linn; Livingston; Macon; Maries; Mercer; Miller; Moniteau; Monroe; Morgan; Osage; Ozark; Pettis; Phelps; Polk; Pulaski; Putnam; Randolph; Saline; Schuyler; Scotland; Shelby; Stone; Sullivan; Taney; Texas; Webster; Wright.</v>
      </c>
      <c r="K6141" s="11">
        <v>0</v>
      </c>
    </row>
    <row r="6142" spans="5:11" x14ac:dyDescent="0.35">
      <c r="E6142" s="9" t="str">
        <v>EPSG</v>
      </c>
      <c r="F6142" s="7" t="str">
        <v>26798</v>
      </c>
      <c r="G6142" t="str">
        <v>ProjectedCrs</v>
      </c>
      <c r="H6142" t="str">
        <v>Transverse Mercator</v>
      </c>
      <c r="I6142" t="str">
        <v>NAD27 / Missouri West</v>
      </c>
      <c r="J6142" t="str">
        <v>United States (USA) - Missouri - counties of Andrew; Atchison; Barry; Barton; Bates; Buchanan; Caldwell; Cass; Cedar; Clay; Clinton; Dade; Daviess; De Kalb; Gentry; Harrison; Henry; Holt; Jackson; Jasper; Johnson; Lafayette; Lawrence; McDonald; Newton; Nodaway; Platte; Ray; St Clair; Vernon; Worth.</v>
      </c>
      <c r="K6142" s="11">
        <v>0</v>
      </c>
    </row>
    <row r="6143" spans="5:11" x14ac:dyDescent="0.35">
      <c r="E6143" s="9" t="str">
        <v>EPSG</v>
      </c>
      <c r="F6143" s="7" t="str">
        <v>26799</v>
      </c>
      <c r="G6143" t="str">
        <v>ProjectedCrs</v>
      </c>
      <c r="H6143" t="str">
        <v>Lambert Conic Conformal (2SP)</v>
      </c>
      <c r="I6143" t="str">
        <v>NAD27 / California zone VII</v>
      </c>
      <c r="J6143" t="str">
        <v>United States (USA) - California - Los Angeles county.</v>
      </c>
      <c r="K6143" s="11">
        <v>0</v>
      </c>
    </row>
    <row r="6144" spans="5:11" x14ac:dyDescent="0.35">
      <c r="E6144" s="9" t="str">
        <v>EPSG</v>
      </c>
      <c r="F6144" s="7" t="str">
        <v>26847</v>
      </c>
      <c r="G6144" t="str">
        <v>ProjectedCrs</v>
      </c>
      <c r="H6144" t="str">
        <v>Transverse Mercator</v>
      </c>
      <c r="I6144" t="str">
        <v>NAD83 / Maine East (ftUS)</v>
      </c>
      <c r="J6144" t="str">
        <v>United States (USA) - Maine - counties of Aroostook; Hancock; Knox; Penobscot; Piscataquis; Waldo; Washington.</v>
      </c>
      <c r="K6144" s="11">
        <v>0</v>
      </c>
    </row>
    <row r="6145" spans="5:11" x14ac:dyDescent="0.35">
      <c r="E6145" s="9" t="str">
        <v>EPSG</v>
      </c>
      <c r="F6145" s="7" t="str">
        <v>26848</v>
      </c>
      <c r="G6145" t="str">
        <v>ProjectedCrs</v>
      </c>
      <c r="H6145" t="str">
        <v>Transverse Mercator</v>
      </c>
      <c r="I6145" t="str">
        <v>NAD83 / Maine West (ftUS)</v>
      </c>
      <c r="J6145" t="str">
        <v>United States (USA) - Maine - counties of Androscoggin; Cumberland; Franklin; Kennebec; Lincoln; Oxford; Sagadahoc; Somerset; York.</v>
      </c>
      <c r="K6145" s="11">
        <v>0</v>
      </c>
    </row>
    <row r="6146" spans="5:11" x14ac:dyDescent="0.35">
      <c r="E6146" s="9" t="str">
        <v>EPSG</v>
      </c>
      <c r="F6146" s="7" t="str">
        <v>26849</v>
      </c>
      <c r="G6146" t="str">
        <v>ProjectedCrs</v>
      </c>
      <c r="H6146" t="str">
        <v>Lambert Conic Conformal (2SP)</v>
      </c>
      <c r="I6146" t="str">
        <v>NAD83 / Minnesota North (ftUS)</v>
      </c>
      <c r="J6146" t="str">
        <v>United States (USA) - Minnesota - counties of Beltrami; Clearwater; Cook; Itasca; Kittson; Koochiching; Lake; Lake of the Woods; Mahnomen; Marshall; Norman; Pennington; Polk; Red Lake; Roseau; St Louis.</v>
      </c>
      <c r="K6146" s="11">
        <v>0</v>
      </c>
    </row>
    <row r="6147" spans="5:11" x14ac:dyDescent="0.35">
      <c r="E6147" s="9" t="str">
        <v>EPSG</v>
      </c>
      <c r="F6147" s="7" t="str">
        <v>26850</v>
      </c>
      <c r="G6147" t="str">
        <v>ProjectedCrs</v>
      </c>
      <c r="H6147" t="str">
        <v>Lambert Conic Conformal (2SP)</v>
      </c>
      <c r="I6147" t="str">
        <v>NAD83 / Minnesota Central (ftUS)</v>
      </c>
      <c r="J6147" t="str">
        <v>United States (USA) - Minnesota - counties of Aitkin; Becker; Benton; Carlton; Cass; Chisago; Clay; Crow Wing; Douglas; Grant; Hubbard; Isanti; Kanabec; Mille Lacs; Morrison; Otter Tail; Pine; Pope; Stearns; Stevens; Todd; Traverse; Wadena; Wilkin.</v>
      </c>
      <c r="K6147" s="11">
        <v>0</v>
      </c>
    </row>
    <row r="6148" spans="5:11" x14ac:dyDescent="0.35">
      <c r="E6148" s="9" t="str">
        <v>EPSG</v>
      </c>
      <c r="F6148" s="7" t="str">
        <v>26851</v>
      </c>
      <c r="G6148" t="str">
        <v>ProjectedCrs</v>
      </c>
      <c r="H6148" t="str">
        <v>Lambert Conic Conformal (2SP)</v>
      </c>
      <c r="I6148" t="str">
        <v>NAD83 / Minnesota South (ftUS)</v>
      </c>
      <c r="J6148"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6148" s="11">
        <v>0</v>
      </c>
    </row>
    <row r="6149" spans="5:11" x14ac:dyDescent="0.35">
      <c r="E6149" s="9" t="str">
        <v>EPSG</v>
      </c>
      <c r="F6149" s="7" t="str">
        <v>26852</v>
      </c>
      <c r="G6149" t="str">
        <v>ProjectedCrs</v>
      </c>
      <c r="H6149" t="str">
        <v>Lambert Conic Conformal (2SP)</v>
      </c>
      <c r="I6149" t="str">
        <v>NAD83 / Nebraska (ftUS)</v>
      </c>
      <c r="J6149"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6149" s="11">
        <v>0</v>
      </c>
    </row>
    <row r="6150" spans="5:11" x14ac:dyDescent="0.35">
      <c r="E6150" s="9" t="str">
        <v>EPSG</v>
      </c>
      <c r="F6150" s="7" t="str">
        <v>26853</v>
      </c>
      <c r="G6150" t="str">
        <v>ProjectedCrs</v>
      </c>
      <c r="H6150" t="str">
        <v>Lambert Conic Conformal (2SP)</v>
      </c>
      <c r="I6150" t="str">
        <v>NAD83 / West Virginia North (ftUS)</v>
      </c>
      <c r="J6150" t="str">
        <v>United States (USA) - West Virginia - counties of Barbour; Berkeley; Brooke; Doddridge; Grant; Hampshire; Hancock; Hardy; Harrison; Jefferson; Marion; Marshall; Mineral; Monongalia; Morgan; Ohio; Pleasants; Preston; Ritchie; Taylor; Tucker; Tyler; Wetzel; Wirt; Wood.</v>
      </c>
      <c r="K6150" s="11">
        <v>0</v>
      </c>
    </row>
    <row r="6151" spans="5:11" x14ac:dyDescent="0.35">
      <c r="E6151" s="9" t="str">
        <v>EPSG</v>
      </c>
      <c r="F6151" s="7" t="str">
        <v>26854</v>
      </c>
      <c r="G6151" t="str">
        <v>ProjectedCrs</v>
      </c>
      <c r="H6151" t="str">
        <v>Lambert Conic Conformal (2SP)</v>
      </c>
      <c r="I6151" t="str">
        <v>NAD83 / West Virginia South (ftUS)</v>
      </c>
      <c r="J6151"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6151" s="11">
        <v>0</v>
      </c>
    </row>
    <row r="6152" spans="5:11" x14ac:dyDescent="0.35">
      <c r="E6152" s="9" t="str">
        <v>EPSG</v>
      </c>
      <c r="F6152" s="7" t="str">
        <v>26855</v>
      </c>
      <c r="G6152" t="str">
        <v>ProjectedCrs</v>
      </c>
      <c r="H6152" t="str">
        <v>Transverse Mercator</v>
      </c>
      <c r="I6152" t="str">
        <v>NAD83(HARN) / Maine East (ftUS)</v>
      </c>
      <c r="J6152" t="str">
        <v>United States (USA) - Maine - counties of Aroostook; Hancock; Knox; Penobscot; Piscataquis; Waldo; Washington.</v>
      </c>
      <c r="K6152" s="11">
        <v>0</v>
      </c>
    </row>
    <row r="6153" spans="5:11" x14ac:dyDescent="0.35">
      <c r="E6153" s="9" t="str">
        <v>EPSG</v>
      </c>
      <c r="F6153" s="7" t="str">
        <v>26856</v>
      </c>
      <c r="G6153" t="str">
        <v>ProjectedCrs</v>
      </c>
      <c r="H6153" t="str">
        <v>Transverse Mercator</v>
      </c>
      <c r="I6153" t="str">
        <v>NAD83(HARN) / Maine West (ftUS)</v>
      </c>
      <c r="J6153" t="str">
        <v>United States (USA) - Maine - counties of Androscoggin; Cumberland; Franklin; Kennebec; Lincoln; Oxford; Sagadahoc; Somerset; York.</v>
      </c>
      <c r="K6153" s="11">
        <v>0</v>
      </c>
    </row>
    <row r="6154" spans="5:11" x14ac:dyDescent="0.35">
      <c r="E6154" s="9" t="str">
        <v>EPSG</v>
      </c>
      <c r="F6154" s="7" t="str">
        <v>26857</v>
      </c>
      <c r="G6154" t="str">
        <v>ProjectedCrs</v>
      </c>
      <c r="H6154" t="str">
        <v>Lambert Conic Conformal (2SP)</v>
      </c>
      <c r="I6154" t="str">
        <v>NAD83(HARN) / Minnesota North (ftUS)</v>
      </c>
      <c r="J6154" t="str">
        <v>United States (USA) - Minnesota - counties of Beltrami; Clearwater; Cook; Itasca; Kittson; Koochiching; Lake; Lake of the Woods; Mahnomen; Marshall; Norman; Pennington; Polk; Red Lake; Roseau; St Louis.</v>
      </c>
      <c r="K6154" s="11">
        <v>0</v>
      </c>
    </row>
    <row r="6155" spans="5:11" x14ac:dyDescent="0.35">
      <c r="E6155" s="9" t="str">
        <v>EPSG</v>
      </c>
      <c r="F6155" s="7" t="str">
        <v>26858</v>
      </c>
      <c r="G6155" t="str">
        <v>ProjectedCrs</v>
      </c>
      <c r="H6155" t="str">
        <v>Lambert Conic Conformal (2SP)</v>
      </c>
      <c r="I6155" t="str">
        <v>NAD83(HARN) / Minnesota Central (ftUS)</v>
      </c>
      <c r="J6155" t="str">
        <v>United States (USA) - Minnesota - counties of Aitkin; Becker; Benton; Carlton; Cass; Chisago; Clay; Crow Wing; Douglas; Grant; Hubbard; Isanti; Kanabec; Mille Lacs; Morrison; Otter Tail; Pine; Pope; Stearns; Stevens; Todd; Traverse; Wadena; Wilkin.</v>
      </c>
      <c r="K6155" s="11">
        <v>0</v>
      </c>
    </row>
    <row r="6156" spans="5:11" x14ac:dyDescent="0.35">
      <c r="E6156" s="9" t="str">
        <v>EPSG</v>
      </c>
      <c r="F6156" s="7" t="str">
        <v>26859</v>
      </c>
      <c r="G6156" t="str">
        <v>ProjectedCrs</v>
      </c>
      <c r="H6156" t="str">
        <v>Lambert Conic Conformal (2SP)</v>
      </c>
      <c r="I6156" t="str">
        <v>NAD83(HARN) / Minnesota South (ftUS)</v>
      </c>
      <c r="J6156"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6156" s="11">
        <v>0</v>
      </c>
    </row>
    <row r="6157" spans="5:11" x14ac:dyDescent="0.35">
      <c r="E6157" s="9" t="str">
        <v>EPSG</v>
      </c>
      <c r="F6157" s="7" t="str">
        <v>26860</v>
      </c>
      <c r="G6157" t="str">
        <v>ProjectedCrs</v>
      </c>
      <c r="H6157" t="str">
        <v>Lambert Conic Conformal (2SP)</v>
      </c>
      <c r="I6157" t="str">
        <v>NAD83(HARN) / Nebraska (ftUS)</v>
      </c>
      <c r="J6157"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6157" s="11">
        <v>0</v>
      </c>
    </row>
    <row r="6158" spans="5:11" x14ac:dyDescent="0.35">
      <c r="E6158" s="9" t="str">
        <v>EPSG</v>
      </c>
      <c r="F6158" s="7" t="str">
        <v>26861</v>
      </c>
      <c r="G6158" t="str">
        <v>ProjectedCrs</v>
      </c>
      <c r="H6158" t="str">
        <v>Lambert Conic Conformal (2SP)</v>
      </c>
      <c r="I6158" t="str">
        <v>NAD83(HARN) / West Virginia North (ftUS)</v>
      </c>
      <c r="J6158" t="str">
        <v>United States (USA) - West Virginia - counties of Barbour; Berkeley; Brooke; Doddridge; Grant; Hampshire; Hancock; Hardy; Harrison; Jefferson; Marion; Marshall; Mineral; Monongalia; Morgan; Ohio; Pleasants; Preston; Ritchie; Taylor; Tucker; Tyler; Wetzel; Wirt; Wood.</v>
      </c>
      <c r="K6158" s="11">
        <v>0</v>
      </c>
    </row>
    <row r="6159" spans="5:11" x14ac:dyDescent="0.35">
      <c r="E6159" s="9" t="str">
        <v>EPSG</v>
      </c>
      <c r="F6159" s="7" t="str">
        <v>26862</v>
      </c>
      <c r="G6159" t="str">
        <v>ProjectedCrs</v>
      </c>
      <c r="H6159" t="str">
        <v>Lambert Conic Conformal (2SP)</v>
      </c>
      <c r="I6159" t="str">
        <v>NAD83(HARN) / West Virginia South (ftUS)</v>
      </c>
      <c r="J6159"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6159" s="11">
        <v>0</v>
      </c>
    </row>
    <row r="6160" spans="5:11" x14ac:dyDescent="0.35">
      <c r="E6160" s="9" t="str">
        <v>EPSG</v>
      </c>
      <c r="F6160" s="7" t="str">
        <v>26863</v>
      </c>
      <c r="G6160" t="str">
        <v>ProjectedCrs</v>
      </c>
      <c r="H6160" t="str">
        <v>Transverse Mercator</v>
      </c>
      <c r="I6160" t="str">
        <v>NAD83(NSRS2007) / Maine East (ftUS)</v>
      </c>
      <c r="J6160" t="str">
        <v>United States (USA) - Maine - counties of Aroostook; Hancock; Knox; Penobscot; Piscataquis; Waldo; Washington.</v>
      </c>
      <c r="K6160" s="11">
        <v>0</v>
      </c>
    </row>
    <row r="6161" spans="5:11" x14ac:dyDescent="0.35">
      <c r="E6161" s="9" t="str">
        <v>EPSG</v>
      </c>
      <c r="F6161" s="7" t="str">
        <v>26864</v>
      </c>
      <c r="G6161" t="str">
        <v>ProjectedCrs</v>
      </c>
      <c r="H6161" t="str">
        <v>Transverse Mercator</v>
      </c>
      <c r="I6161" t="str">
        <v>NAD83(NSRS2007) / Maine West (ftUS)</v>
      </c>
      <c r="J6161" t="str">
        <v>United States (USA) - Maine - counties of Androscoggin; Cumberland; Franklin; Kennebec; Lincoln; Oxford; Sagadahoc; Somerset; York.</v>
      </c>
      <c r="K6161" s="11">
        <v>0</v>
      </c>
    </row>
    <row r="6162" spans="5:11" x14ac:dyDescent="0.35">
      <c r="E6162" s="9" t="str">
        <v>EPSG</v>
      </c>
      <c r="F6162" s="7" t="str">
        <v>26865</v>
      </c>
      <c r="G6162" t="str">
        <v>ProjectedCrs</v>
      </c>
      <c r="H6162" t="str">
        <v>Lambert Conic Conformal (2SP)</v>
      </c>
      <c r="I6162" t="str">
        <v>NAD83(NSRS2007) / Minnesota North (ftUS)</v>
      </c>
      <c r="J6162" t="str">
        <v>United States (USA) - Minnesota - counties of Beltrami; Clearwater; Cook; Itasca; Kittson; Koochiching; Lake; Lake of the Woods; Mahnomen; Marshall; Norman; Pennington; Polk; Red Lake; Roseau; St Louis.</v>
      </c>
      <c r="K6162" s="11">
        <v>0</v>
      </c>
    </row>
    <row r="6163" spans="5:11" x14ac:dyDescent="0.35">
      <c r="E6163" s="9" t="str">
        <v>EPSG</v>
      </c>
      <c r="F6163" s="7" t="str">
        <v>26866</v>
      </c>
      <c r="G6163" t="str">
        <v>ProjectedCrs</v>
      </c>
      <c r="H6163" t="str">
        <v>Lambert Conic Conformal (2SP)</v>
      </c>
      <c r="I6163" t="str">
        <v>NAD83(NSRS2007) / Minnesota Central (ftUS)</v>
      </c>
      <c r="J6163" t="str">
        <v>United States (USA) - Minnesota - counties of Aitkin; Becker; Benton; Carlton; Cass; Chisago; Clay; Crow Wing; Douglas; Grant; Hubbard; Isanti; Kanabec; Mille Lacs; Morrison; Otter Tail; Pine; Pope; Stearns; Stevens; Todd; Traverse; Wadena; Wilkin.</v>
      </c>
      <c r="K6163" s="11">
        <v>0</v>
      </c>
    </row>
    <row r="6164" spans="5:11" x14ac:dyDescent="0.35">
      <c r="E6164" s="9" t="str">
        <v>EPSG</v>
      </c>
      <c r="F6164" s="7" t="str">
        <v>26867</v>
      </c>
      <c r="G6164" t="str">
        <v>ProjectedCrs</v>
      </c>
      <c r="H6164" t="str">
        <v>Lambert Conic Conformal (2SP)</v>
      </c>
      <c r="I6164" t="str">
        <v>NAD83(NSRS2007) / Minnesota South (ftUS)</v>
      </c>
      <c r="J6164"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6164" s="11">
        <v>0</v>
      </c>
    </row>
    <row r="6165" spans="5:11" x14ac:dyDescent="0.35">
      <c r="E6165" s="9" t="str">
        <v>EPSG</v>
      </c>
      <c r="F6165" s="7" t="str">
        <v>26868</v>
      </c>
      <c r="G6165" t="str">
        <v>ProjectedCrs</v>
      </c>
      <c r="H6165" t="str">
        <v>Lambert Conic Conformal (2SP)</v>
      </c>
      <c r="I6165" t="str">
        <v>NAD83(NSRS2007) / Nebraska (ftUS)</v>
      </c>
      <c r="J6165"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6165" s="11">
        <v>0</v>
      </c>
    </row>
    <row r="6166" spans="5:11" x14ac:dyDescent="0.35">
      <c r="E6166" s="9" t="str">
        <v>EPSG</v>
      </c>
      <c r="F6166" s="7" t="str">
        <v>26869</v>
      </c>
      <c r="G6166" t="str">
        <v>ProjectedCrs</v>
      </c>
      <c r="H6166" t="str">
        <v>Lambert Conic Conformal (2SP)</v>
      </c>
      <c r="I6166" t="str">
        <v>NAD83(NSRS2007) / West Virginia North (ftUS)</v>
      </c>
      <c r="J6166" t="str">
        <v>United States (USA) - West Virginia - counties of Barbour; Berkeley; Brooke; Doddridge; Grant; Hampshire; Hancock; Hardy; Harrison; Jefferson; Marion; Marshall; Mineral; Monongalia; Morgan; Ohio; Pleasants; Preston; Ritchie; Taylor; Tucker; Tyler; Wetzel; Wirt; Wood.</v>
      </c>
      <c r="K6166" s="11">
        <v>0</v>
      </c>
    </row>
    <row r="6167" spans="5:11" x14ac:dyDescent="0.35">
      <c r="E6167" s="9" t="str">
        <v>EPSG</v>
      </c>
      <c r="F6167" s="7" t="str">
        <v>26870</v>
      </c>
      <c r="G6167" t="str">
        <v>ProjectedCrs</v>
      </c>
      <c r="H6167" t="str">
        <v>Lambert Conic Conformal (2SP)</v>
      </c>
      <c r="I6167" t="str">
        <v>NAD83(NSRS2007) / West Virginia South (ftUS)</v>
      </c>
      <c r="J6167"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6167" s="11">
        <v>0</v>
      </c>
    </row>
    <row r="6168" spans="5:11" x14ac:dyDescent="0.35">
      <c r="E6168" s="9" t="str">
        <v>EPSG</v>
      </c>
      <c r="F6168" s="7" t="str">
        <v>26891</v>
      </c>
      <c r="G6168" t="str">
        <v>ProjectedCrs</v>
      </c>
      <c r="H6168" t="str">
        <v>Transverse Mercator</v>
      </c>
      <c r="I6168" t="str">
        <v>NAD83(CSRS) / MTM zone 11</v>
      </c>
      <c r="J6168" t="str">
        <v>Canada - Ontario - south of 46°N and west of 81°W.</v>
      </c>
      <c r="K6168" s="11">
        <v>0</v>
      </c>
    </row>
    <row r="6169" spans="5:11" x14ac:dyDescent="0.35">
      <c r="E6169" s="9" t="str">
        <v>EPSG</v>
      </c>
      <c r="F6169" s="7" t="str">
        <v>26892</v>
      </c>
      <c r="G6169" t="str">
        <v>ProjectedCrs</v>
      </c>
      <c r="H6169" t="str">
        <v>Transverse Mercator</v>
      </c>
      <c r="I6169" t="str">
        <v>NAD83(CSRS) / MTM zone 12</v>
      </c>
      <c r="J6169" t="str">
        <v>Canada - Ontario - between 82°30'W and 79°30'W: north of 46°N in area between 82°30'W and 80°15'W, north of 47°N in area between 80°15'W and 79°30'W.</v>
      </c>
      <c r="K6169" s="11">
        <v>0</v>
      </c>
    </row>
    <row r="6170" spans="5:11" x14ac:dyDescent="0.35">
      <c r="E6170" s="9" t="str">
        <v>EPSG</v>
      </c>
      <c r="F6170" s="7" t="str">
        <v>26893</v>
      </c>
      <c r="G6170" t="str">
        <v>ProjectedCrs</v>
      </c>
      <c r="H6170" t="str">
        <v>Transverse Mercator</v>
      </c>
      <c r="I6170" t="str">
        <v>NAD83(CSRS) / MTM zone 13</v>
      </c>
      <c r="J6170" t="str">
        <v>Canada - Ontario - between 85°30'W and 82°30'W and north of 46°N.</v>
      </c>
      <c r="K6170" s="11">
        <v>0</v>
      </c>
    </row>
    <row r="6171" spans="5:11" x14ac:dyDescent="0.35">
      <c r="E6171" s="9" t="str">
        <v>EPSG</v>
      </c>
      <c r="F6171" s="7" t="str">
        <v>26894</v>
      </c>
      <c r="G6171" t="str">
        <v>ProjectedCrs</v>
      </c>
      <c r="H6171" t="str">
        <v>Transverse Mercator</v>
      </c>
      <c r="I6171" t="str">
        <v>NAD83(CSRS) / MTM zone 14</v>
      </c>
      <c r="J6171" t="str">
        <v>Canada - Ontario - between 88°30'W and 85°30'W.</v>
      </c>
      <c r="K6171" s="11">
        <v>0</v>
      </c>
    </row>
    <row r="6172" spans="5:11" x14ac:dyDescent="0.35">
      <c r="E6172" s="9" t="str">
        <v>EPSG</v>
      </c>
      <c r="F6172" s="7" t="str">
        <v>26895</v>
      </c>
      <c r="G6172" t="str">
        <v>ProjectedCrs</v>
      </c>
      <c r="H6172" t="str">
        <v>Transverse Mercator</v>
      </c>
      <c r="I6172" t="str">
        <v>NAD83(CSRS) / MTM zone 15</v>
      </c>
      <c r="J6172" t="str">
        <v>Canada - Ontario - between 91°30'W and 88°30'W.</v>
      </c>
      <c r="K6172" s="11">
        <v>0</v>
      </c>
    </row>
    <row r="6173" spans="5:11" x14ac:dyDescent="0.35">
      <c r="E6173" s="9" t="str">
        <v>EPSG</v>
      </c>
      <c r="F6173" s="7" t="str">
        <v>26896</v>
      </c>
      <c r="G6173" t="str">
        <v>ProjectedCrs</v>
      </c>
      <c r="H6173" t="str">
        <v>Transverse Mercator</v>
      </c>
      <c r="I6173" t="str">
        <v>NAD83(CSRS) / MTM zone 16</v>
      </c>
      <c r="J6173" t="str">
        <v>Canada - Ontario - between 94°30'W and 91°30'W.</v>
      </c>
      <c r="K6173" s="11">
        <v>0</v>
      </c>
    </row>
    <row r="6174" spans="5:11" x14ac:dyDescent="0.35">
      <c r="E6174" s="9" t="str">
        <v>EPSG</v>
      </c>
      <c r="F6174" s="7" t="str">
        <v>26897</v>
      </c>
      <c r="G6174" t="str">
        <v>ProjectedCrs</v>
      </c>
      <c r="H6174" t="str">
        <v>Transverse Mercator</v>
      </c>
      <c r="I6174" t="str">
        <v>NAD83(CSRS) / MTM zone 17</v>
      </c>
      <c r="J6174" t="str">
        <v>Canada - Ontario - west of 94°30'W.</v>
      </c>
      <c r="K6174" s="11">
        <v>0</v>
      </c>
    </row>
    <row r="6175" spans="5:11" x14ac:dyDescent="0.35">
      <c r="E6175" s="9" t="str">
        <v>EPSG</v>
      </c>
      <c r="F6175" s="7" t="str">
        <v>26898</v>
      </c>
      <c r="G6175" t="str">
        <v>ProjectedCrs</v>
      </c>
      <c r="H6175" t="str">
        <v>Transverse Mercator</v>
      </c>
      <c r="I6175" t="str">
        <v>NAD83(CSRS) / MTM zone 1</v>
      </c>
      <c r="J6175" t="str">
        <v>Canada - Newfoundland - onshore east of 54°30'W.</v>
      </c>
      <c r="K6175" s="11">
        <v>0</v>
      </c>
    </row>
    <row r="6176" spans="5:11" x14ac:dyDescent="0.35">
      <c r="E6176" s="9" t="str">
        <v>EPSG</v>
      </c>
      <c r="F6176" s="7" t="str">
        <v>26899</v>
      </c>
      <c r="G6176" t="str">
        <v>ProjectedCrs</v>
      </c>
      <c r="H6176" t="str">
        <v>Transverse Mercator</v>
      </c>
      <c r="I6176" t="str">
        <v>NAD83(CSRS) / MTM zone 2</v>
      </c>
      <c r="J6176" t="str">
        <v>Canada - Newfoundland and Labrador between 57°30'W and 54°30'W.</v>
      </c>
      <c r="K6176" s="11">
        <v>0</v>
      </c>
    </row>
    <row r="6177" spans="5:11" x14ac:dyDescent="0.35">
      <c r="E6177" s="9" t="str">
        <v>EPSG</v>
      </c>
      <c r="F6177" s="7" t="str">
        <v>26901</v>
      </c>
      <c r="G6177" t="str">
        <v>ProjectedCrs</v>
      </c>
      <c r="H6177" t="str">
        <v>Transverse Mercator</v>
      </c>
      <c r="I6177" t="str">
        <v>NAD83 / UTM zone 1N</v>
      </c>
      <c r="J6177" t="str">
        <v>United States (USA) - between 180°W and 174°W - Alaska and offshore continental shelf (OCS).</v>
      </c>
      <c r="K6177" s="11">
        <v>0</v>
      </c>
    </row>
    <row r="6178" spans="5:11" x14ac:dyDescent="0.35">
      <c r="E6178" s="9" t="str">
        <v>EPSG</v>
      </c>
      <c r="F6178" s="7" t="str">
        <v>26902</v>
      </c>
      <c r="G6178" t="str">
        <v>ProjectedCrs</v>
      </c>
      <c r="H6178" t="str">
        <v>Transverse Mercator</v>
      </c>
      <c r="I6178" t="str">
        <v>NAD83 / UTM zone 2N</v>
      </c>
      <c r="J6178" t="str">
        <v>United States (USA) - between 174°W and 168°W - Alaska and offshore continental shelf (OCS).</v>
      </c>
      <c r="K6178" s="11">
        <v>0</v>
      </c>
    </row>
    <row r="6179" spans="5:11" x14ac:dyDescent="0.35">
      <c r="E6179" s="9" t="str">
        <v>EPSG</v>
      </c>
      <c r="F6179" s="7" t="str">
        <v>26903</v>
      </c>
      <c r="G6179" t="str">
        <v>ProjectedCrs</v>
      </c>
      <c r="H6179" t="str">
        <v>Transverse Mercator</v>
      </c>
      <c r="I6179" t="str">
        <v>NAD83 / UTM zone 3N</v>
      </c>
      <c r="J6179" t="str">
        <v>United States (USA) - between 168°W and 162°W - Alaska and offshore continental shelf (OCS).</v>
      </c>
      <c r="K6179" s="11">
        <v>0</v>
      </c>
    </row>
    <row r="6180" spans="5:11" x14ac:dyDescent="0.35">
      <c r="E6180" s="9" t="str">
        <v>EPSG</v>
      </c>
      <c r="F6180" s="7" t="str">
        <v>26904</v>
      </c>
      <c r="G6180" t="str">
        <v>ProjectedCrs</v>
      </c>
      <c r="H6180" t="str">
        <v>Transverse Mercator</v>
      </c>
      <c r="I6180" t="str">
        <v>NAD83 / UTM zone 4N</v>
      </c>
      <c r="J6180" t="str">
        <v>United States (USA) - between 162°W and 156°W onshore and offshore - Alaska, Hawaii.</v>
      </c>
      <c r="K6180" s="11">
        <v>0</v>
      </c>
    </row>
    <row r="6181" spans="5:11" x14ac:dyDescent="0.35">
      <c r="E6181" s="9" t="str">
        <v>EPSG</v>
      </c>
      <c r="F6181" s="7" t="str">
        <v>26905</v>
      </c>
      <c r="G6181" t="str">
        <v>ProjectedCrs</v>
      </c>
      <c r="H6181" t="str">
        <v>Transverse Mercator</v>
      </c>
      <c r="I6181" t="str">
        <v>NAD83 / UTM zone 5N</v>
      </c>
      <c r="J6181" t="str">
        <v>United States (USA) - between 156°W and 150°W onshore and offshore - Alaska, Hawaii.</v>
      </c>
      <c r="K6181" s="11">
        <v>0</v>
      </c>
    </row>
    <row r="6182" spans="5:11" x14ac:dyDescent="0.35">
      <c r="E6182" s="9" t="str">
        <v>EPSG</v>
      </c>
      <c r="F6182" s="7" t="str">
        <v>26906</v>
      </c>
      <c r="G6182" t="str">
        <v>ProjectedCrs</v>
      </c>
      <c r="H6182" t="str">
        <v>Transverse Mercator</v>
      </c>
      <c r="I6182" t="str">
        <v>NAD83 / UTM zone 6N</v>
      </c>
      <c r="J6182" t="str">
        <v>United States (USA) - between 150°W and 144°W - Alaska and offshore continental shelf (OCS).</v>
      </c>
      <c r="K6182" s="11">
        <v>0</v>
      </c>
    </row>
    <row r="6183" spans="5:11" x14ac:dyDescent="0.35">
      <c r="E6183" s="9" t="str">
        <v>EPSG</v>
      </c>
      <c r="F6183" s="7" t="str">
        <v>26907</v>
      </c>
      <c r="G6183" t="str">
        <v>ProjectedCrs</v>
      </c>
      <c r="H6183" t="str">
        <v>Transverse Mercator</v>
      </c>
      <c r="I6183" t="str">
        <v>NAD83 / UTM zone 7N</v>
      </c>
      <c r="J6183" t="str">
        <v>North America - between 144°W and 138°W - onshore and offshore. Canada - British Columbia; Yukon. United States (USA) - Alaska.</v>
      </c>
      <c r="K6183" s="11">
        <v>0</v>
      </c>
    </row>
    <row r="6184" spans="5:11" x14ac:dyDescent="0.35">
      <c r="E6184" s="9" t="str">
        <v>EPSG</v>
      </c>
      <c r="F6184" s="7" t="str">
        <v>26908</v>
      </c>
      <c r="G6184" t="str">
        <v>ProjectedCrs</v>
      </c>
      <c r="H6184" t="str">
        <v>Transverse Mercator</v>
      </c>
      <c r="I6184" t="str">
        <v>NAD83 / UTM zone 8N</v>
      </c>
      <c r="J6184" t="str">
        <v>North America - between 138°W and 132°W - onshore and offshore. Canada - British Columbia; Northwest Territiories; Yukon. United States (USA) - Alaska.</v>
      </c>
      <c r="K6184" s="11">
        <v>0</v>
      </c>
    </row>
    <row r="6185" spans="5:11" x14ac:dyDescent="0.35">
      <c r="E6185" s="9" t="str">
        <v>EPSG</v>
      </c>
      <c r="F6185" s="7" t="str">
        <v>26909</v>
      </c>
      <c r="G6185" t="str">
        <v>ProjectedCrs</v>
      </c>
      <c r="H6185" t="str">
        <v>Transverse Mercator</v>
      </c>
      <c r="I6185" t="str">
        <v>NAD83 / UTM zone 9N</v>
      </c>
      <c r="J6185" t="str">
        <v>North America - between 132°W and 126°W - onshore and offshore. Canada - British Columbia; Northwest Territories; Yukon. United States (USA) - Alaska.</v>
      </c>
      <c r="K6185" s="11">
        <v>0</v>
      </c>
    </row>
    <row r="6186" spans="5:11" x14ac:dyDescent="0.35">
      <c r="E6186" s="9" t="str">
        <v>EPSG</v>
      </c>
      <c r="F6186" s="7" t="str">
        <v>26910</v>
      </c>
      <c r="G6186" t="str">
        <v>ProjectedCrs</v>
      </c>
      <c r="H6186" t="str">
        <v>Transverse Mercator</v>
      </c>
      <c r="I6186" t="str">
        <v>NAD83 / UTM zone 10N</v>
      </c>
      <c r="J6186" t="str">
        <v>North America - between 126°W and 120°W - onshore and offshore. Canada - British Columbia; Northwest Territories; Yukon. United States (USA) - California; Oregon; Washington.</v>
      </c>
      <c r="K6186" s="11">
        <v>0</v>
      </c>
    </row>
    <row r="6187" spans="5:11" x14ac:dyDescent="0.35">
      <c r="E6187" s="9" t="str">
        <v>EPSG</v>
      </c>
      <c r="F6187" s="7" t="str">
        <v>26911</v>
      </c>
      <c r="G6187" t="str">
        <v>ProjectedCrs</v>
      </c>
      <c r="H6187" t="str">
        <v>Transverse Mercator</v>
      </c>
      <c r="I6187" t="str">
        <v>NAD83 / UTM zone 11N</v>
      </c>
      <c r="J6187" t="str">
        <v>North America - between 120°W and 114°W - onshore and offshore. Canada - Alberta; British Columbia; Northwest Territories; Nunavut. United States (USA) - California; Idaho; Nevada, Oregon; Washington.</v>
      </c>
      <c r="K6187" s="11">
        <v>0</v>
      </c>
    </row>
    <row r="6188" spans="5:11" x14ac:dyDescent="0.35">
      <c r="E6188" s="9" t="str">
        <v>EPSG</v>
      </c>
      <c r="F6188" s="7" t="str">
        <v>26912</v>
      </c>
      <c r="G6188" t="str">
        <v>ProjectedCrs</v>
      </c>
      <c r="H6188" t="str">
        <v>Transverse Mercator</v>
      </c>
      <c r="I6188" t="str">
        <v>NAD83 / UTM zone 12N</v>
      </c>
      <c r="J6188" t="str">
        <v>North America - between 114°W and 108°W - onshore and offshore. Canada - Alberta; Northwest Territories; Nunavut; Saskatchewan. United States (USA) - Arizona; Colorado; Idaho; Montana; New Mexico; Utah; Wyoming.</v>
      </c>
      <c r="K6188" s="11">
        <v>0</v>
      </c>
    </row>
    <row r="6189" spans="5:11" x14ac:dyDescent="0.35">
      <c r="E6189" s="9" t="str">
        <v>EPSG</v>
      </c>
      <c r="F6189" s="7" t="str">
        <v>26913</v>
      </c>
      <c r="G6189" t="str">
        <v>ProjectedCrs</v>
      </c>
      <c r="H6189" t="str">
        <v>Transverse Mercator</v>
      </c>
      <c r="I6189" t="str">
        <v>NAD83 / UTM zone 13N</v>
      </c>
      <c r="J6189" t="str">
        <v>North America - between 108°W and 102°W - onshore and offshore. Canada - Northwest Territories; Nunavut; Saskatchewan. United States (USA) - Colorado; Montana; Nebraska; New Mexico; North Dakota; Oklahoma; South Dakota; Texas; Wyoming.</v>
      </c>
      <c r="K6189" s="11">
        <v>0</v>
      </c>
    </row>
    <row r="6190" spans="5:11" x14ac:dyDescent="0.35">
      <c r="E6190" s="9" t="str">
        <v>EPSG</v>
      </c>
      <c r="F6190" s="7" t="str">
        <v>26914</v>
      </c>
      <c r="G6190" t="str">
        <v>ProjectedCrs</v>
      </c>
      <c r="H6190" t="str">
        <v>Transverse Mercator</v>
      </c>
      <c r="I6190" t="str">
        <v>NAD83 / UTM zone 14N</v>
      </c>
      <c r="J6190" t="str">
        <v>North America - between 102°W and 96°W - onshore and offshore. Canada - Manitoba; Nunavut; Saskatchewan. United States (USA) - Iowa; Kansas; Minnesota; Nebraska; North Dakota; Oklahoma; South Dakota; Texas.</v>
      </c>
      <c r="K6190" s="11">
        <v>0</v>
      </c>
    </row>
    <row r="6191" spans="5:11" x14ac:dyDescent="0.35">
      <c r="E6191" s="9" t="str">
        <v>EPSG</v>
      </c>
      <c r="F6191" s="7" t="str">
        <v>26915</v>
      </c>
      <c r="G6191" t="str">
        <v>ProjectedCrs</v>
      </c>
      <c r="H6191" t="str">
        <v>Transverse Mercator</v>
      </c>
      <c r="I6191" t="str">
        <v>NAD83 / UTM zone 15N</v>
      </c>
      <c r="J6191" t="str">
        <v>North America - between 96°W and 90°W - onshore and offshore. Canada - Manitoba; Nunavut; Ontario. United States (USA) - Arkansas; Illinois; Iowa; Kansas; Louisiana; Michigan; Minnesota; Mississippi; Missouri; Nebraska; Oklahoma; Tennessee; Texas; Wisconsin.</v>
      </c>
      <c r="K6191" s="11">
        <v>0</v>
      </c>
    </row>
    <row r="6192" spans="5:11" x14ac:dyDescent="0.35">
      <c r="E6192" s="9" t="str">
        <v>EPSG</v>
      </c>
      <c r="F6192" s="7" t="str">
        <v>26916</v>
      </c>
      <c r="G6192" t="str">
        <v>ProjectedCrs</v>
      </c>
      <c r="H6192" t="str">
        <v>Transverse Mercator</v>
      </c>
      <c r="I6192" t="str">
        <v>NAD83 / UTM zone 16N</v>
      </c>
      <c r="J6192" t="str">
        <v>North America - between 90°W and 84°W - onshore and offshore. Canada - Manitoba; Nunavut; Ontario. United States (USA) - Alabama; Arkansas; Florida; Georgia; Indiana; Illinois; Kentucky; Louisiana; Michigan; Minnesota; Mississippi; Missouri; North Carolina; Ohio; Tennessee; Wisconsin.</v>
      </c>
      <c r="K6192" s="11">
        <v>0</v>
      </c>
    </row>
    <row r="6193" spans="5:11" x14ac:dyDescent="0.35">
      <c r="E6193" s="9" t="str">
        <v>EPSG</v>
      </c>
      <c r="F6193" s="7" t="str">
        <v>26917</v>
      </c>
      <c r="G6193" t="str">
        <v>ProjectedCrs</v>
      </c>
      <c r="H6193" t="str">
        <v>Transverse Mercator</v>
      </c>
      <c r="I6193" t="str">
        <v>NAD83 / UTM zone 17N</v>
      </c>
      <c r="J6193" t="str">
        <v>North America - between 84°W and 78°W - onshore and offshore. Canada - Nunavut; Ontario; Quebec. United States (USA) - Florida; Georgia; Kentucky; Maryland; Michigan; New York; North Carolina; Ohio; Pennsylvania; South Carolina; Tennessee; Virginia; West Virginia.</v>
      </c>
      <c r="K6193" s="11">
        <v>0</v>
      </c>
    </row>
    <row r="6194" spans="5:11" x14ac:dyDescent="0.35">
      <c r="E6194" s="9" t="str">
        <v>EPSG</v>
      </c>
      <c r="F6194" s="7" t="str">
        <v>26918</v>
      </c>
      <c r="G6194" t="str">
        <v>ProjectedCrs</v>
      </c>
      <c r="H6194" t="str">
        <v>Transverse Mercator</v>
      </c>
      <c r="I6194" t="str">
        <v>NAD83 / UTM zone 18N</v>
      </c>
      <c r="J6194" t="str">
        <v>North America - between 78°W and 72°W - onshore and offshore. Canada - Nunavut; Ontario; Quebec. United States (USA) - Connecticut; Delaware; Maryland; Massachusetts; New Hampshire; New Jersey; New York; North Carolina; Pennsylvania; Virginia; Vermont.</v>
      </c>
      <c r="K6194" s="11">
        <v>0</v>
      </c>
    </row>
    <row r="6195" spans="5:11" x14ac:dyDescent="0.35">
      <c r="E6195" s="9" t="str">
        <v>EPSG</v>
      </c>
      <c r="F6195" s="7" t="str">
        <v>26919</v>
      </c>
      <c r="G6195" t="str">
        <v>ProjectedCrs</v>
      </c>
      <c r="H6195" t="str">
        <v>Transverse Mercator</v>
      </c>
      <c r="I6195" t="str">
        <v>NAD83 / UTM zone 19N</v>
      </c>
      <c r="J6195" t="str">
        <v>North America - between 72°W and 66°W - onshore and offshore. Canada - Labrador; New Brunswick; Nova Scotia; Nunavut; Quebec. Puerto Rico. United States (USA) - Connecticut; Maine; Massachusetts; New Hampshire; New York (Long Island); Rhode Island; Vermont.</v>
      </c>
      <c r="K6195" s="11">
        <v>0</v>
      </c>
    </row>
    <row r="6196" spans="5:11" x14ac:dyDescent="0.35">
      <c r="E6196" s="9" t="str">
        <v>EPSG</v>
      </c>
      <c r="F6196" s="7" t="str">
        <v>26920</v>
      </c>
      <c r="G6196" t="str">
        <v>ProjectedCrs</v>
      </c>
      <c r="H6196" t="str">
        <v>Transverse Mercator</v>
      </c>
      <c r="I6196" t="str">
        <v>NAD83 / UTM zone 20N</v>
      </c>
      <c r="J6196" t="str">
        <v>North America - between 66°W and 60°W - onshore and offshore. British Virgin Islands. Canada - New Brunswick; Labrador; Nunavut; Prince Edward Island; Quebec. Puerto Rico. US Virgin Islands. United States (USA) offshore Atlantic.</v>
      </c>
      <c r="K6196" s="11">
        <v>0</v>
      </c>
    </row>
    <row r="6197" spans="5:11" x14ac:dyDescent="0.35">
      <c r="E6197" s="9" t="str">
        <v>EPSG</v>
      </c>
      <c r="F6197" s="7" t="str">
        <v>26921</v>
      </c>
      <c r="G6197" t="str">
        <v>ProjectedCrs</v>
      </c>
      <c r="H6197" t="str">
        <v>Transverse Mercator</v>
      </c>
      <c r="I6197" t="str">
        <v>NAD83 / UTM zone 21N</v>
      </c>
      <c r="J6197" t="str">
        <v>Canada between 60°W and 54°W - Newfoundland and Labrador; Nunavut; Quebec.</v>
      </c>
      <c r="K6197" s="11">
        <v>0</v>
      </c>
    </row>
    <row r="6198" spans="5:11" x14ac:dyDescent="0.35">
      <c r="E6198" s="9" t="str">
        <v>EPSG</v>
      </c>
      <c r="F6198" s="7" t="str">
        <v>26922</v>
      </c>
      <c r="G6198" t="str">
        <v>ProjectedCrs</v>
      </c>
      <c r="H6198" t="str">
        <v>Transverse Mercator</v>
      </c>
      <c r="I6198" t="str">
        <v>NAD83 / UTM zone 22N</v>
      </c>
      <c r="J6198" t="str">
        <v>Canada between 54°W and 48°W onshore and offshore - Newfoundland and Labrador.</v>
      </c>
      <c r="K6198" s="11">
        <v>0</v>
      </c>
    </row>
    <row r="6199" spans="5:11" x14ac:dyDescent="0.35">
      <c r="E6199" s="9" t="str">
        <v>EPSG</v>
      </c>
      <c r="F6199" s="7" t="str">
        <v>26923</v>
      </c>
      <c r="G6199" t="str">
        <v>ProjectedCrs</v>
      </c>
      <c r="H6199" t="str">
        <v>Transverse Mercator</v>
      </c>
      <c r="I6199" t="str">
        <v>NAD83 / UTM zone 23N</v>
      </c>
      <c r="J6199" t="str">
        <v>Canada offshore Atlantic - 48°W to 42°W.</v>
      </c>
      <c r="K6199" s="11">
        <v>0</v>
      </c>
    </row>
    <row r="6200" spans="5:11" x14ac:dyDescent="0.35">
      <c r="E6200" s="9" t="str">
        <v>EPSG</v>
      </c>
      <c r="F6200" s="7" t="str">
        <v>26929</v>
      </c>
      <c r="G6200" t="str">
        <v>ProjectedCrs</v>
      </c>
      <c r="H6200" t="str">
        <v>Transverse Mercator</v>
      </c>
      <c r="I6200" t="str">
        <v>NAD83 / Alabama East</v>
      </c>
      <c r="J6200"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6200" s="11">
        <v>0</v>
      </c>
    </row>
    <row r="6201" spans="5:11" x14ac:dyDescent="0.35">
      <c r="E6201" s="9" t="str">
        <v>EPSG</v>
      </c>
      <c r="F6201" s="7" t="str">
        <v>26930</v>
      </c>
      <c r="G6201" t="str">
        <v>ProjectedCrs</v>
      </c>
      <c r="H6201" t="str">
        <v>Transverse Mercator</v>
      </c>
      <c r="I6201" t="str">
        <v>NAD83 / Alabama West</v>
      </c>
      <c r="J6201"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6201" s="11">
        <v>0</v>
      </c>
    </row>
    <row r="6202" spans="5:11" x14ac:dyDescent="0.35">
      <c r="E6202" s="9" t="str">
        <v>EPSG</v>
      </c>
      <c r="F6202" s="7" t="str">
        <v>26931</v>
      </c>
      <c r="G6202" t="str">
        <v>ProjectedCrs</v>
      </c>
      <c r="H6202" t="str">
        <v>Hotine Oblique Mercator (variant A)</v>
      </c>
      <c r="I6202" t="str">
        <v>NAD83 / Alaska zone 1</v>
      </c>
      <c r="J6202" t="str">
        <v>United States (USA) - Alaska - east of 141°W; i.e. Panhandle.</v>
      </c>
      <c r="K6202" s="11">
        <v>0</v>
      </c>
    </row>
    <row r="6203" spans="5:11" x14ac:dyDescent="0.35">
      <c r="E6203" s="9" t="str">
        <v>EPSG</v>
      </c>
      <c r="F6203" s="7" t="str">
        <v>26932</v>
      </c>
      <c r="G6203" t="str">
        <v>ProjectedCrs</v>
      </c>
      <c r="H6203" t="str">
        <v>Transverse Mercator</v>
      </c>
      <c r="I6203" t="str">
        <v>NAD83 / Alaska zone 2</v>
      </c>
      <c r="J6203" t="str">
        <v>United States (USA) - Alaska - between 144°W and 141°W, onshore.</v>
      </c>
      <c r="K6203" s="11">
        <v>0</v>
      </c>
    </row>
    <row r="6204" spans="5:11" x14ac:dyDescent="0.35">
      <c r="E6204" s="9" t="str">
        <v>EPSG</v>
      </c>
      <c r="F6204" s="7" t="str">
        <v>26933</v>
      </c>
      <c r="G6204" t="str">
        <v>ProjectedCrs</v>
      </c>
      <c r="H6204" t="str">
        <v>Transverse Mercator</v>
      </c>
      <c r="I6204" t="str">
        <v>NAD83 / Alaska zone 3</v>
      </c>
      <c r="J6204" t="str">
        <v>United States (USA) - Alaska - between 148°W and 144°W.</v>
      </c>
      <c r="K6204" s="11">
        <v>0</v>
      </c>
    </row>
    <row r="6205" spans="5:11" x14ac:dyDescent="0.35">
      <c r="E6205" s="9" t="str">
        <v>EPSG</v>
      </c>
      <c r="F6205" s="7" t="str">
        <v>26934</v>
      </c>
      <c r="G6205" t="str">
        <v>ProjectedCrs</v>
      </c>
      <c r="H6205" t="str">
        <v>Transverse Mercator</v>
      </c>
      <c r="I6205" t="str">
        <v>NAD83 / Alaska zone 4</v>
      </c>
      <c r="J6205" t="str">
        <v>United States (USA) - Alaska - between 152°W and 148°W, onshore.</v>
      </c>
      <c r="K6205" s="11">
        <v>0</v>
      </c>
    </row>
    <row r="6206" spans="5:11" x14ac:dyDescent="0.35">
      <c r="E6206" s="9" t="str">
        <v>EPSG</v>
      </c>
      <c r="F6206" s="7" t="str">
        <v>26935</v>
      </c>
      <c r="G6206" t="str">
        <v>ProjectedCrs</v>
      </c>
      <c r="H6206" t="str">
        <v>Transverse Mercator</v>
      </c>
      <c r="I6206" t="str">
        <v>NAD83 / Alaska zone 5</v>
      </c>
      <c r="J6206" t="str">
        <v>United States (USA) - Alaska - between 156°W and 152°W.</v>
      </c>
      <c r="K6206" s="11">
        <v>0</v>
      </c>
    </row>
    <row r="6207" spans="5:11" x14ac:dyDescent="0.35">
      <c r="E6207" s="9" t="str">
        <v>EPSG</v>
      </c>
      <c r="F6207" s="7" t="str">
        <v>26936</v>
      </c>
      <c r="G6207" t="str">
        <v>ProjectedCrs</v>
      </c>
      <c r="H6207" t="str">
        <v>Transverse Mercator</v>
      </c>
      <c r="I6207" t="str">
        <v>NAD83 / Alaska zone 6</v>
      </c>
      <c r="J6207" t="str">
        <v>United States (USA) - Alaska - between 160°W and 156°W, onshore.</v>
      </c>
      <c r="K6207" s="11">
        <v>0</v>
      </c>
    </row>
    <row r="6208" spans="5:11" x14ac:dyDescent="0.35">
      <c r="E6208" s="9" t="str">
        <v>EPSG</v>
      </c>
      <c r="F6208" s="7" t="str">
        <v>26937</v>
      </c>
      <c r="G6208" t="str">
        <v>ProjectedCrs</v>
      </c>
      <c r="H6208" t="str">
        <v>Transverse Mercator</v>
      </c>
      <c r="I6208" t="str">
        <v>NAD83 / Alaska zone 7</v>
      </c>
      <c r="J6208" t="str">
        <v>United States (USA) - Alaska - between 164°W and 160°W, onshore.</v>
      </c>
      <c r="K6208" s="11">
        <v>0</v>
      </c>
    </row>
    <row r="6209" spans="5:11" x14ac:dyDescent="0.35">
      <c r="E6209" s="9" t="str">
        <v>EPSG</v>
      </c>
      <c r="F6209" s="7" t="str">
        <v>26938</v>
      </c>
      <c r="G6209" t="str">
        <v>ProjectedCrs</v>
      </c>
      <c r="H6209" t="str">
        <v>Transverse Mercator</v>
      </c>
      <c r="I6209" t="str">
        <v>NAD83 / Alaska zone 8</v>
      </c>
      <c r="J6209" t="str">
        <v>United States (USA) - Alaska onshore north of 54°30'N and between 168°W and 164°W.</v>
      </c>
      <c r="K6209" s="11">
        <v>0</v>
      </c>
    </row>
    <row r="6210" spans="5:11" x14ac:dyDescent="0.35">
      <c r="E6210" s="9" t="str">
        <v>EPSG</v>
      </c>
      <c r="F6210" s="7" t="str">
        <v>26939</v>
      </c>
      <c r="G6210" t="str">
        <v>ProjectedCrs</v>
      </c>
      <c r="H6210" t="str">
        <v>Transverse Mercator</v>
      </c>
      <c r="I6210" t="str">
        <v>NAD83 / Alaska zone 9</v>
      </c>
      <c r="J6210" t="str">
        <v>United States (USA) - Alaska onshore north of 54°30'N and west of 168°W.</v>
      </c>
      <c r="K6210" s="11">
        <v>0</v>
      </c>
    </row>
    <row r="6211" spans="5:11" x14ac:dyDescent="0.35">
      <c r="E6211" s="9" t="str">
        <v>EPSG</v>
      </c>
      <c r="F6211" s="7" t="str">
        <v>26940</v>
      </c>
      <c r="G6211" t="str">
        <v>ProjectedCrs</v>
      </c>
      <c r="H6211" t="str">
        <v>Lambert Conic Conformal (2SP)</v>
      </c>
      <c r="I6211" t="str">
        <v>NAD83 / Alaska zone 10</v>
      </c>
      <c r="J6211" t="str">
        <v>United States (USA) - Alaska - Aleutian Islands onshore.</v>
      </c>
      <c r="K6211" s="11">
        <v>0</v>
      </c>
    </row>
    <row r="6212" spans="5:11" x14ac:dyDescent="0.35">
      <c r="E6212" s="9" t="str">
        <v>EPSG</v>
      </c>
      <c r="F6212" s="7" t="str">
        <v>26941</v>
      </c>
      <c r="G6212" t="str">
        <v>ProjectedCrs</v>
      </c>
      <c r="H6212" t="str">
        <v>Lambert Conic Conformal (2SP)</v>
      </c>
      <c r="I6212" t="str">
        <v>NAD83 / California zone 1</v>
      </c>
      <c r="J6212" t="str">
        <v>United States (USA) - California - counties Del Norte; Humboldt; Lassen; Modoc; Plumas; Shasta; Siskiyou; Tehama; Trinity.</v>
      </c>
      <c r="K6212" s="11">
        <v>0</v>
      </c>
    </row>
    <row r="6213" spans="5:11" x14ac:dyDescent="0.35">
      <c r="E6213" s="9" t="str">
        <v>EPSG</v>
      </c>
      <c r="F6213" s="7" t="str">
        <v>26942</v>
      </c>
      <c r="G6213" t="str">
        <v>ProjectedCrs</v>
      </c>
      <c r="H6213" t="str">
        <v>Lambert Conic Conformal (2SP)</v>
      </c>
      <c r="I6213" t="str">
        <v>NAD83 / California zone 2</v>
      </c>
      <c r="J6213" t="str">
        <v>United States (USA) - California - counties of Alpine; Amador; Butte; Colusa; El Dorado; Glenn; Lake; Mendocino; Napa; Nevada; Placer; Sacramento; Sierra; Solano; Sonoma; Sutter; Yolo; Yuba.</v>
      </c>
      <c r="K6213" s="11">
        <v>0</v>
      </c>
    </row>
    <row r="6214" spans="5:11" x14ac:dyDescent="0.35">
      <c r="E6214" s="9" t="str">
        <v>EPSG</v>
      </c>
      <c r="F6214" s="7" t="str">
        <v>26943</v>
      </c>
      <c r="G6214" t="str">
        <v>ProjectedCrs</v>
      </c>
      <c r="H6214" t="str">
        <v>Lambert Conic Conformal (2SP)</v>
      </c>
      <c r="I6214" t="str">
        <v>NAD83 / California zone 3</v>
      </c>
      <c r="J6214" t="str">
        <v>United States (USA) - California - counties Alameda; Calaveras; Contra Costa; Madera; Marin; Mariposa; Merced; Mono; San Francisco; San Joaquin; San Mateo; Santa Clara; Santa Cruz; Stanislaus; Tuolumne.</v>
      </c>
      <c r="K6214" s="11">
        <v>0</v>
      </c>
    </row>
    <row r="6215" spans="5:11" x14ac:dyDescent="0.35">
      <c r="E6215" s="9" t="str">
        <v>EPSG</v>
      </c>
      <c r="F6215" s="7" t="str">
        <v>26944</v>
      </c>
      <c r="G6215" t="str">
        <v>ProjectedCrs</v>
      </c>
      <c r="H6215" t="str">
        <v>Lambert Conic Conformal (2SP)</v>
      </c>
      <c r="I6215" t="str">
        <v>NAD83 / California zone 4</v>
      </c>
      <c r="J6215" t="str">
        <v>United States (USA) - California - counties Fresno; Inyo; Kings; Monterey; San Benito; Tulare.</v>
      </c>
      <c r="K6215" s="11">
        <v>0</v>
      </c>
    </row>
    <row r="6216" spans="5:11" x14ac:dyDescent="0.35">
      <c r="E6216" s="9" t="str">
        <v>EPSG</v>
      </c>
      <c r="F6216" s="7" t="str">
        <v>26945</v>
      </c>
      <c r="G6216" t="str">
        <v>ProjectedCrs</v>
      </c>
      <c r="H6216" t="str">
        <v>Lambert Conic Conformal (2SP)</v>
      </c>
      <c r="I6216" t="str">
        <v>NAD83 / California zone 5</v>
      </c>
      <c r="J6216" t="str">
        <v>United States (USA) - California - counties Kern; Los Angeles; San Bernardino; San Luis Obispo; Santa Barbara; Ventura.</v>
      </c>
      <c r="K6216" s="11">
        <v>0</v>
      </c>
    </row>
    <row r="6217" spans="5:11" x14ac:dyDescent="0.35">
      <c r="E6217" s="9" t="str">
        <v>EPSG</v>
      </c>
      <c r="F6217" s="7" t="str">
        <v>26946</v>
      </c>
      <c r="G6217" t="str">
        <v>ProjectedCrs</v>
      </c>
      <c r="H6217" t="str">
        <v>Lambert Conic Conformal (2SP)</v>
      </c>
      <c r="I6217" t="str">
        <v>NAD83 / California zone 6</v>
      </c>
      <c r="J6217" t="str">
        <v>United States (USA) - California - counties Imperial; Orange; Riverside; San Diego.</v>
      </c>
      <c r="K6217" s="11">
        <v>0</v>
      </c>
    </row>
    <row r="6218" spans="5:11" x14ac:dyDescent="0.35">
      <c r="E6218" s="9" t="str">
        <v>EPSG</v>
      </c>
      <c r="F6218" s="7" t="str">
        <v>26948</v>
      </c>
      <c r="G6218" t="str">
        <v>ProjectedCrs</v>
      </c>
      <c r="H6218" t="str">
        <v>Transverse Mercator</v>
      </c>
      <c r="I6218" t="str">
        <v>NAD83 / Arizona East</v>
      </c>
      <c r="J6218" t="str">
        <v>United States (USA) - Arizona - counties Apache; Cochise; Gila; Graham; Greenlee; Navajo.</v>
      </c>
      <c r="K6218" s="11">
        <v>0</v>
      </c>
    </row>
    <row r="6219" spans="5:11" x14ac:dyDescent="0.35">
      <c r="E6219" s="9" t="str">
        <v>EPSG</v>
      </c>
      <c r="F6219" s="7" t="str">
        <v>26949</v>
      </c>
      <c r="G6219" t="str">
        <v>ProjectedCrs</v>
      </c>
      <c r="H6219" t="str">
        <v>Transverse Mercator</v>
      </c>
      <c r="I6219" t="str">
        <v>NAD83 / Arizona Central</v>
      </c>
      <c r="J6219" t="str">
        <v>United States (USA) - Arizona - counties Coconino; Maricopa; Pima; Pinal; Santa Cruz; Yavapai.</v>
      </c>
      <c r="K6219" s="11">
        <v>0</v>
      </c>
    </row>
    <row r="6220" spans="5:11" x14ac:dyDescent="0.35">
      <c r="E6220" s="9" t="str">
        <v>EPSG</v>
      </c>
      <c r="F6220" s="7" t="str">
        <v>26950</v>
      </c>
      <c r="G6220" t="str">
        <v>ProjectedCrs</v>
      </c>
      <c r="H6220" t="str">
        <v>Transverse Mercator</v>
      </c>
      <c r="I6220" t="str">
        <v>NAD83 / Arizona West</v>
      </c>
      <c r="J6220" t="str">
        <v>United States (USA) - Arizona - counties of La Paz; Mohave; Yuma.</v>
      </c>
      <c r="K6220" s="11">
        <v>0</v>
      </c>
    </row>
    <row r="6221" spans="5:11" x14ac:dyDescent="0.35">
      <c r="E6221" s="9" t="str">
        <v>EPSG</v>
      </c>
      <c r="F6221" s="7" t="str">
        <v>26951</v>
      </c>
      <c r="G6221" t="str">
        <v>ProjectedCrs</v>
      </c>
      <c r="H6221" t="str">
        <v>Lambert Conic Conformal (2SP)</v>
      </c>
      <c r="I6221" t="str">
        <v>NAD83 / Arkansas North</v>
      </c>
      <c r="J6221"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6221" s="11">
        <v>0</v>
      </c>
    </row>
    <row r="6222" spans="5:11" x14ac:dyDescent="0.35">
      <c r="E6222" s="9" t="str">
        <v>EPSG</v>
      </c>
      <c r="F6222" s="7" t="str">
        <v>26952</v>
      </c>
      <c r="G6222" t="str">
        <v>ProjectedCrs</v>
      </c>
      <c r="H6222" t="str">
        <v>Lambert Conic Conformal (2SP)</v>
      </c>
      <c r="I6222" t="str">
        <v>NAD83 / Arkansas South</v>
      </c>
      <c r="J6222"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6222" s="11">
        <v>0</v>
      </c>
    </row>
    <row r="6223" spans="5:11" x14ac:dyDescent="0.35">
      <c r="E6223" s="9" t="str">
        <v>EPSG</v>
      </c>
      <c r="F6223" s="7" t="str">
        <v>26953</v>
      </c>
      <c r="G6223" t="str">
        <v>ProjectedCrs</v>
      </c>
      <c r="H6223" t="str">
        <v>Lambert Conic Conformal (2SP)</v>
      </c>
      <c r="I6223" t="str">
        <v>NAD83 / Colorado North</v>
      </c>
      <c r="J6223" t="str">
        <v>United States (USA) - Colorado - counties Adams; Boulder; Gilpin; Grand; Jackson; Larimer; Logan; Moffat; Morgan; Phillips; Rio Blanco; Routt; Sedgwick; Washington; Weld; Yuma.</v>
      </c>
      <c r="K6223" s="11">
        <v>0</v>
      </c>
    </row>
    <row r="6224" spans="5:11" x14ac:dyDescent="0.35">
      <c r="E6224" s="9" t="str">
        <v>EPSG</v>
      </c>
      <c r="F6224" s="7" t="str">
        <v>26954</v>
      </c>
      <c r="G6224" t="str">
        <v>ProjectedCrs</v>
      </c>
      <c r="H6224" t="str">
        <v>Lambert Conic Conformal (2SP)</v>
      </c>
      <c r="I6224" t="str">
        <v>NAD83 / Colorado Central</v>
      </c>
      <c r="J6224" t="str">
        <v>United States (USA) - Colorado - counties Arapahoe; Chaffee; Cheyenne; Clear Creek; Delta; Denver; Douglas; Eagle; El Paso; Elbert; Fremont; Garfield; Gunnison; Jefferson; Kit Carson; Lake; Lincoln; Mesa; Park; Pitkin; Summit; Teller.</v>
      </c>
      <c r="K6224" s="11">
        <v>0</v>
      </c>
    </row>
    <row r="6225" spans="5:11" x14ac:dyDescent="0.35">
      <c r="E6225" s="9" t="str">
        <v>EPSG</v>
      </c>
      <c r="F6225" s="7" t="str">
        <v>26955</v>
      </c>
      <c r="G6225" t="str">
        <v>ProjectedCrs</v>
      </c>
      <c r="H6225" t="str">
        <v>Lambert Conic Conformal (2SP)</v>
      </c>
      <c r="I6225" t="str">
        <v>NAD83 / Colorado South</v>
      </c>
      <c r="J6225" t="str">
        <v>United States (USA) - Colorado - counties Alamosa; Archuleta; Baca; Bent; Conejos; Costilla; Crowley; Custer; Dolores; Hinsdale; Huerfano; Kiowa; La Plata; Las Animas; Mineral; Montezuma; Montrose; Otero; Ouray; Prowers; Pueblo; Rio Grande; Saguache; San Juan; San Miguel.</v>
      </c>
      <c r="K6225" s="11">
        <v>0</v>
      </c>
    </row>
    <row r="6226" spans="5:11" x14ac:dyDescent="0.35">
      <c r="E6226" s="9" t="str">
        <v>EPSG</v>
      </c>
      <c r="F6226" s="7" t="str">
        <v>26956</v>
      </c>
      <c r="G6226" t="str">
        <v>ProjectedCrs</v>
      </c>
      <c r="H6226" t="str">
        <v>Lambert Conic Conformal (2SP)</v>
      </c>
      <c r="I6226" t="str">
        <v>NAD83 / Connecticut</v>
      </c>
      <c r="J6226" t="str">
        <v>United States (USA) - Connecticut - counties of Fairfield; Hartford; Litchfield; Middlesex; New Haven; New London; Tolland; Windham.</v>
      </c>
      <c r="K6226" s="11">
        <v>0</v>
      </c>
    </row>
    <row r="6227" spans="5:11" x14ac:dyDescent="0.35">
      <c r="E6227" s="9" t="str">
        <v>EPSG</v>
      </c>
      <c r="F6227" s="7" t="str">
        <v>26957</v>
      </c>
      <c r="G6227" t="str">
        <v>ProjectedCrs</v>
      </c>
      <c r="H6227" t="str">
        <v>Transverse Mercator</v>
      </c>
      <c r="I6227" t="str">
        <v>NAD83 / Delaware</v>
      </c>
      <c r="J6227" t="str">
        <v>United States (USA) - Delaware - counties of Kent; New Castle; Sussex.</v>
      </c>
      <c r="K6227" s="11">
        <v>0</v>
      </c>
    </row>
    <row r="6228" spans="5:11" x14ac:dyDescent="0.35">
      <c r="E6228" s="9" t="str">
        <v>EPSG</v>
      </c>
      <c r="F6228" s="7" t="str">
        <v>26958</v>
      </c>
      <c r="G6228" t="str">
        <v>ProjectedCrs</v>
      </c>
      <c r="H6228" t="str">
        <v>Transverse Mercator</v>
      </c>
      <c r="I6228" t="str">
        <v>NAD83 / Florida East</v>
      </c>
      <c r="J6228" t="str">
        <v>United States (USA) - Florida - counties of Brevard; Broward; Clay; Collier; Dade; Duval; Flagler; Glades; Hendry; Highlands; Indian River; Lake; Martin; Monroe; Nassau; Okeechobee; Orange; Osceola; Palm Beach; Putnam; Seminole; St Johns; St Lucie; Volusia.</v>
      </c>
      <c r="K6228" s="11">
        <v>0</v>
      </c>
    </row>
    <row r="6229" spans="5:11" x14ac:dyDescent="0.35">
      <c r="E6229" s="9" t="str">
        <v>EPSG</v>
      </c>
      <c r="F6229" s="7" t="str">
        <v>26959</v>
      </c>
      <c r="G6229" t="str">
        <v>ProjectedCrs</v>
      </c>
      <c r="H6229" t="str">
        <v>Transverse Mercator</v>
      </c>
      <c r="I6229" t="str">
        <v>NAD83 / Florida West</v>
      </c>
      <c r="J6229" t="str">
        <v>United States (USA) - Florida - counties of Charlotte; Citrus; De Soto; Hardee; Hernando; Hillsborough; Lee; Levy; Manatee; Marion; Pasco; Pinellas; Polk; Sarasota; Sumter.</v>
      </c>
      <c r="K6229" s="11">
        <v>0</v>
      </c>
    </row>
    <row r="6230" spans="5:11" x14ac:dyDescent="0.35">
      <c r="E6230" s="9" t="str">
        <v>EPSG</v>
      </c>
      <c r="F6230" s="7" t="str">
        <v>26960</v>
      </c>
      <c r="G6230" t="str">
        <v>ProjectedCrs</v>
      </c>
      <c r="H6230" t="str">
        <v>Lambert Conic Conformal (2SP)</v>
      </c>
      <c r="I6230" t="str">
        <v>NAD83 / Florida North</v>
      </c>
      <c r="J6230" t="str">
        <v>United States (USA) - Florida - counties of Alachua; Baker; Bay; Bradford; Calhoun; Columbia; Dixie; Escambia; Franklin; Gadsden; Gilchrist; Gulf; Hamilton; Holmes; Jackson; Jefferson; Lafayette; Leon; Liberty; Madison; Okaloosa; Santa Rosa; Suwannee; Taylor; Union; Wakulla; Walton; Washington.</v>
      </c>
      <c r="K6230" s="11">
        <v>0</v>
      </c>
    </row>
    <row r="6231" spans="5:11" x14ac:dyDescent="0.35">
      <c r="E6231" s="9" t="str">
        <v>EPSG</v>
      </c>
      <c r="F6231" s="7" t="str">
        <v>26961</v>
      </c>
      <c r="G6231" t="str">
        <v>ProjectedCrs</v>
      </c>
      <c r="H6231" t="str">
        <v>Transverse Mercator</v>
      </c>
      <c r="I6231" t="str">
        <v>NAD83 / Hawaii zone 1</v>
      </c>
      <c r="J6231" t="str">
        <v>United States (USA) - Hawaii - island of Hawaii - onshore.</v>
      </c>
      <c r="K6231" s="11">
        <v>0</v>
      </c>
    </row>
    <row r="6232" spans="5:11" x14ac:dyDescent="0.35">
      <c r="E6232" s="9" t="str">
        <v>EPSG</v>
      </c>
      <c r="F6232" s="7" t="str">
        <v>26962</v>
      </c>
      <c r="G6232" t="str">
        <v>ProjectedCrs</v>
      </c>
      <c r="H6232" t="str">
        <v>Transverse Mercator</v>
      </c>
      <c r="I6232" t="str">
        <v>NAD83 / Hawaii zone 2</v>
      </c>
      <c r="J6232" t="str">
        <v>United States (USA) - Hawaii - Maui; Kahoolawe; Lanai; Molokai - onshore.</v>
      </c>
      <c r="K6232" s="11">
        <v>0</v>
      </c>
    </row>
    <row r="6233" spans="5:11" x14ac:dyDescent="0.35">
      <c r="E6233" s="9" t="str">
        <v>EPSG</v>
      </c>
      <c r="F6233" s="7" t="str">
        <v>26963</v>
      </c>
      <c r="G6233" t="str">
        <v>ProjectedCrs</v>
      </c>
      <c r="H6233" t="str">
        <v>Transverse Mercator</v>
      </c>
      <c r="I6233" t="str">
        <v>NAD83 / Hawaii zone 3</v>
      </c>
      <c r="J6233" t="str">
        <v>United States (USA) - Hawaii - Oahu - onshore.</v>
      </c>
      <c r="K6233" s="11">
        <v>0</v>
      </c>
    </row>
    <row r="6234" spans="5:11" x14ac:dyDescent="0.35">
      <c r="E6234" s="9" t="str">
        <v>EPSG</v>
      </c>
      <c r="F6234" s="7" t="str">
        <v>26964</v>
      </c>
      <c r="G6234" t="str">
        <v>ProjectedCrs</v>
      </c>
      <c r="H6234" t="str">
        <v>Transverse Mercator</v>
      </c>
      <c r="I6234" t="str">
        <v>NAD83 / Hawaii zone 4</v>
      </c>
      <c r="J6234" t="str">
        <v>United States (USA) - Hawaii - Kauai - onshore.</v>
      </c>
      <c r="K6234" s="11">
        <v>0</v>
      </c>
    </row>
    <row r="6235" spans="5:11" x14ac:dyDescent="0.35">
      <c r="E6235" s="9" t="str">
        <v>EPSG</v>
      </c>
      <c r="F6235" s="7" t="str">
        <v>26965</v>
      </c>
      <c r="G6235" t="str">
        <v>ProjectedCrs</v>
      </c>
      <c r="H6235" t="str">
        <v>Transverse Mercator</v>
      </c>
      <c r="I6235" t="str">
        <v>NAD83 / Hawaii zone 5</v>
      </c>
      <c r="J6235" t="str">
        <v>United States (USA) - Hawaii - Niihau - onshore.</v>
      </c>
      <c r="K6235" s="11">
        <v>0</v>
      </c>
    </row>
    <row r="6236" spans="5:11" x14ac:dyDescent="0.35">
      <c r="E6236" s="9" t="str">
        <v>EPSG</v>
      </c>
      <c r="F6236" s="7" t="str">
        <v>26966</v>
      </c>
      <c r="G6236" t="str">
        <v>ProjectedCrs</v>
      </c>
      <c r="H6236" t="str">
        <v>Transverse Mercator</v>
      </c>
      <c r="I6236" t="str">
        <v>NAD83 / Georgia East</v>
      </c>
      <c r="J6236"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6236" s="11">
        <v>0</v>
      </c>
    </row>
    <row r="6237" spans="5:11" x14ac:dyDescent="0.35">
      <c r="E6237" s="9" t="str">
        <v>EPSG</v>
      </c>
      <c r="F6237" s="7" t="str">
        <v>26967</v>
      </c>
      <c r="G6237" t="str">
        <v>ProjectedCrs</v>
      </c>
      <c r="H6237" t="str">
        <v>Transverse Mercator</v>
      </c>
      <c r="I6237" t="str">
        <v>NAD83 / Georgia West</v>
      </c>
      <c r="J6237"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6237" s="11">
        <v>0</v>
      </c>
    </row>
    <row r="6238" spans="5:11" x14ac:dyDescent="0.35">
      <c r="E6238" s="9" t="str">
        <v>EPSG</v>
      </c>
      <c r="F6238" s="7" t="str">
        <v>26968</v>
      </c>
      <c r="G6238" t="str">
        <v>ProjectedCrs</v>
      </c>
      <c r="H6238" t="str">
        <v>Transverse Mercator</v>
      </c>
      <c r="I6238" t="str">
        <v>NAD83 / Idaho East</v>
      </c>
      <c r="J6238" t="str">
        <v>United States (USA) - Idaho - counties of Bannock; Bear Lake; Bingham; Bonneville; Caribou; Clark; Franklin; Fremont; Jefferson; Madison; Oneida; Power; Teton.</v>
      </c>
      <c r="K6238" s="11">
        <v>0</v>
      </c>
    </row>
    <row r="6239" spans="5:11" x14ac:dyDescent="0.35">
      <c r="E6239" s="9" t="str">
        <v>EPSG</v>
      </c>
      <c r="F6239" s="7" t="str">
        <v>26969</v>
      </c>
      <c r="G6239" t="str">
        <v>ProjectedCrs</v>
      </c>
      <c r="H6239" t="str">
        <v>Transverse Mercator</v>
      </c>
      <c r="I6239" t="str">
        <v>NAD83 / Idaho Central</v>
      </c>
      <c r="J6239" t="str">
        <v>United States (USA) - Idaho - counties of Blaine; Butte; Camas; Cassia; Custer; Gooding; Jerome; Lemhi; Lincoln; Minidoka; Twin Falls.</v>
      </c>
      <c r="K6239" s="11">
        <v>0</v>
      </c>
    </row>
    <row r="6240" spans="5:11" x14ac:dyDescent="0.35">
      <c r="E6240" s="9" t="str">
        <v>EPSG</v>
      </c>
      <c r="F6240" s="7" t="str">
        <v>26970</v>
      </c>
      <c r="G6240" t="str">
        <v>ProjectedCrs</v>
      </c>
      <c r="H6240" t="str">
        <v>Transverse Mercator</v>
      </c>
      <c r="I6240" t="str">
        <v>NAD83 / Idaho West</v>
      </c>
      <c r="J6240" t="str">
        <v>United States (USA) - Idaho - counties of Ada; Adams; Benewah; Boise; Bonner; Boundary; Canyon; Clearwater; Elmore; Gem; Idaho; Kootenai; Latah; Lewis; Nez Perce; Owyhee; Payette; Shoshone; Valley; Washington.</v>
      </c>
      <c r="K6240" s="11">
        <v>0</v>
      </c>
    </row>
    <row r="6241" spans="5:11" x14ac:dyDescent="0.35">
      <c r="E6241" s="9" t="str">
        <v>EPSG</v>
      </c>
      <c r="F6241" s="7" t="str">
        <v>26971</v>
      </c>
      <c r="G6241" t="str">
        <v>ProjectedCrs</v>
      </c>
      <c r="H6241" t="str">
        <v>Transverse Mercator</v>
      </c>
      <c r="I6241" t="str">
        <v>NAD83 / Illinois East</v>
      </c>
      <c r="J6241"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6241" s="11">
        <v>0</v>
      </c>
    </row>
    <row r="6242" spans="5:11" x14ac:dyDescent="0.35">
      <c r="E6242" s="9" t="str">
        <v>EPSG</v>
      </c>
      <c r="F6242" s="7" t="str">
        <v>26972</v>
      </c>
      <c r="G6242" t="str">
        <v>ProjectedCrs</v>
      </c>
      <c r="H6242" t="str">
        <v>Transverse Mercator</v>
      </c>
      <c r="I6242" t="str">
        <v>NAD83 / Illinois West</v>
      </c>
      <c r="J6242"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6242" s="11">
        <v>0</v>
      </c>
    </row>
    <row r="6243" spans="5:11" x14ac:dyDescent="0.35">
      <c r="E6243" s="9" t="str">
        <v>EPSG</v>
      </c>
      <c r="F6243" s="7" t="str">
        <v>26973</v>
      </c>
      <c r="G6243" t="str">
        <v>ProjectedCrs</v>
      </c>
      <c r="H6243" t="str">
        <v>Transverse Mercator</v>
      </c>
      <c r="I6243" t="str">
        <v>NAD83 / Indiana East</v>
      </c>
      <c r="J6243"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6243" s="11">
        <v>0</v>
      </c>
    </row>
    <row r="6244" spans="5:11" x14ac:dyDescent="0.35">
      <c r="E6244" s="9" t="str">
        <v>EPSG</v>
      </c>
      <c r="F6244" s="7" t="str">
        <v>26974</v>
      </c>
      <c r="G6244" t="str">
        <v>ProjectedCrs</v>
      </c>
      <c r="H6244" t="str">
        <v>Transverse Mercator</v>
      </c>
      <c r="I6244" t="str">
        <v>NAD83 / Indiana West</v>
      </c>
      <c r="J6244"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6244" s="11">
        <v>0</v>
      </c>
    </row>
    <row r="6245" spans="5:11" x14ac:dyDescent="0.35">
      <c r="E6245" s="9" t="str">
        <v>EPSG</v>
      </c>
      <c r="F6245" s="7" t="str">
        <v>26975</v>
      </c>
      <c r="G6245" t="str">
        <v>ProjectedCrs</v>
      </c>
      <c r="H6245" t="str">
        <v>Lambert Conic Conformal (2SP)</v>
      </c>
      <c r="I6245" t="str">
        <v>NAD83 / Iowa North</v>
      </c>
      <c r="J6245"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6245" s="11">
        <v>0</v>
      </c>
    </row>
    <row r="6246" spans="5:11" x14ac:dyDescent="0.35">
      <c r="E6246" s="9" t="str">
        <v>EPSG</v>
      </c>
      <c r="F6246" s="7" t="str">
        <v>26976</v>
      </c>
      <c r="G6246" t="str">
        <v>ProjectedCrs</v>
      </c>
      <c r="H6246" t="str">
        <v>Lambert Conic Conformal (2SP)</v>
      </c>
      <c r="I6246" t="str">
        <v>NAD83 / Iowa South</v>
      </c>
      <c r="J6246"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6246" s="11">
        <v>0</v>
      </c>
    </row>
    <row r="6247" spans="5:11" x14ac:dyDescent="0.35">
      <c r="E6247" s="9" t="str">
        <v>EPSG</v>
      </c>
      <c r="F6247" s="7" t="str">
        <v>26977</v>
      </c>
      <c r="G6247" t="str">
        <v>ProjectedCrs</v>
      </c>
      <c r="H6247" t="str">
        <v>Lambert Conic Conformal (2SP)</v>
      </c>
      <c r="I6247" t="str">
        <v>NAD83 / Kansas North</v>
      </c>
      <c r="J6247"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6247" s="11">
        <v>0</v>
      </c>
    </row>
    <row r="6248" spans="5:11" x14ac:dyDescent="0.35">
      <c r="E6248" s="9" t="str">
        <v>EPSG</v>
      </c>
      <c r="F6248" s="7" t="str">
        <v>26978</v>
      </c>
      <c r="G6248" t="str">
        <v>ProjectedCrs</v>
      </c>
      <c r="H6248" t="str">
        <v>Lambert Conic Conformal (2SP)</v>
      </c>
      <c r="I6248" t="str">
        <v>NAD83 / Kansas South</v>
      </c>
      <c r="J6248"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6248" s="11">
        <v>0</v>
      </c>
    </row>
    <row r="6249" spans="5:11" x14ac:dyDescent="0.35">
      <c r="E6249" s="9" t="str">
        <v>EPSG</v>
      </c>
      <c r="F6249" s="7" t="str">
        <v>26980</v>
      </c>
      <c r="G6249" t="str">
        <v>ProjectedCrs</v>
      </c>
      <c r="H6249" t="str">
        <v>Lambert Conic Conformal (2SP)</v>
      </c>
      <c r="I6249" t="str">
        <v>NAD83 / Kentucky South</v>
      </c>
      <c r="J6249"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6249" s="11">
        <v>0</v>
      </c>
    </row>
    <row r="6250" spans="5:11" x14ac:dyDescent="0.35">
      <c r="E6250" s="9" t="str">
        <v>EPSG</v>
      </c>
      <c r="F6250" s="7" t="str">
        <v>26981</v>
      </c>
      <c r="G6250" t="str">
        <v>ProjectedCrs</v>
      </c>
      <c r="H6250" t="str">
        <v>Lambert Conic Conformal (2SP)</v>
      </c>
      <c r="I6250" t="str">
        <v>NAD83 / Louisiana North</v>
      </c>
      <c r="J6250"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6250" s="11">
        <v>0</v>
      </c>
    </row>
    <row r="6251" spans="5:11" x14ac:dyDescent="0.35">
      <c r="E6251" s="9" t="str">
        <v>EPSG</v>
      </c>
      <c r="F6251" s="7" t="str">
        <v>26982</v>
      </c>
      <c r="G6251" t="str">
        <v>ProjectedCrs</v>
      </c>
      <c r="H6251" t="str">
        <v>Lambert Conic Conformal (2SP)</v>
      </c>
      <c r="I6251" t="str">
        <v>NAD83 / Louisiana South</v>
      </c>
      <c r="J6251"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6251" s="11">
        <v>0</v>
      </c>
    </row>
    <row r="6252" spans="5:11" x14ac:dyDescent="0.35">
      <c r="E6252" s="9" t="str">
        <v>EPSG</v>
      </c>
      <c r="F6252" s="7" t="str">
        <v>26983</v>
      </c>
      <c r="G6252" t="str">
        <v>ProjectedCrs</v>
      </c>
      <c r="H6252" t="str">
        <v>Transverse Mercator</v>
      </c>
      <c r="I6252" t="str">
        <v>NAD83 / Maine East</v>
      </c>
      <c r="J6252" t="str">
        <v>United States (USA) - Maine - counties of Aroostook; Hancock; Knox; Penobscot; Piscataquis; Waldo; Washington.</v>
      </c>
      <c r="K6252" s="11">
        <v>0</v>
      </c>
    </row>
    <row r="6253" spans="5:11" x14ac:dyDescent="0.35">
      <c r="E6253" s="9" t="str">
        <v>EPSG</v>
      </c>
      <c r="F6253" s="7" t="str">
        <v>26984</v>
      </c>
      <c r="G6253" t="str">
        <v>ProjectedCrs</v>
      </c>
      <c r="H6253" t="str">
        <v>Transverse Mercator</v>
      </c>
      <c r="I6253" t="str">
        <v>NAD83 / Maine West</v>
      </c>
      <c r="J6253" t="str">
        <v>United States (USA) - Maine - counties of Androscoggin; Cumberland; Franklin; Kennebec; Lincoln; Oxford; Sagadahoc; Somerset; York.</v>
      </c>
      <c r="K6253" s="11">
        <v>0</v>
      </c>
    </row>
    <row r="6254" spans="5:11" x14ac:dyDescent="0.35">
      <c r="E6254" s="9" t="str">
        <v>EPSG</v>
      </c>
      <c r="F6254" s="7" t="str">
        <v>26985</v>
      </c>
      <c r="G6254" t="str">
        <v>ProjectedCrs</v>
      </c>
      <c r="H6254" t="str">
        <v>Lambert Conic Conformal (2SP)</v>
      </c>
      <c r="I6254" t="str">
        <v>NAD83 / Maryland</v>
      </c>
      <c r="J6254" t="str">
        <v>United States (USA) - Maryland - counties of Allegany; Anne Arundel; Baltimore; Calvert; Caroline; Carroll; Cecil; Charles; Dorchester; Frederick; Garrett; Harford; Howard; Kent; Montgomery; Prince Georges; Queen Annes; Somerset; St Marys; Talbot; Washington; Wicomico; Worcester.</v>
      </c>
      <c r="K6254" s="11">
        <v>0</v>
      </c>
    </row>
    <row r="6255" spans="5:11" x14ac:dyDescent="0.35">
      <c r="E6255" s="9" t="str">
        <v>EPSG</v>
      </c>
      <c r="F6255" s="7" t="str">
        <v>26986</v>
      </c>
      <c r="G6255" t="str">
        <v>ProjectedCrs</v>
      </c>
      <c r="H6255" t="str">
        <v>Lambert Conic Conformal (2SP)</v>
      </c>
      <c r="I6255" t="str">
        <v>NAD83 / Massachusetts Mainland</v>
      </c>
      <c r="J6255" t="str">
        <v>United States (USA) - Massachusetts onshore - counties of Barnstable; Berkshire; Bristol; Essex; Franklin; Hampden; Hampshire; Middlesex; Norfolk; Plymouth; Suffolk; Worcester.</v>
      </c>
      <c r="K6255" s="11">
        <v>0</v>
      </c>
    </row>
    <row r="6256" spans="5:11" x14ac:dyDescent="0.35">
      <c r="E6256" s="9" t="str">
        <v>EPSG</v>
      </c>
      <c r="F6256" s="7" t="str">
        <v>26987</v>
      </c>
      <c r="G6256" t="str">
        <v>ProjectedCrs</v>
      </c>
      <c r="H6256" t="str">
        <v>Lambert Conic Conformal (2SP)</v>
      </c>
      <c r="I6256" t="str">
        <v>NAD83 / Massachusetts Island</v>
      </c>
      <c r="J6256" t="str">
        <v>United States (USA) - Massachusetts offshore - counties of Dukes; Nantucket.</v>
      </c>
      <c r="K6256" s="11">
        <v>0</v>
      </c>
    </row>
    <row r="6257" spans="5:11" x14ac:dyDescent="0.35">
      <c r="E6257" s="9" t="str">
        <v>EPSG</v>
      </c>
      <c r="F6257" s="7" t="str">
        <v>26988</v>
      </c>
      <c r="G6257" t="str">
        <v>ProjectedCrs</v>
      </c>
      <c r="H6257" t="str">
        <v>Lambert Conic Conformal (2SP)</v>
      </c>
      <c r="I6257" t="str">
        <v>NAD83 / Michigan North</v>
      </c>
      <c r="J6257" t="str">
        <v>United States (USA) - Michigan north of approximately 45°45'N - counties of Alger; Baraga; Chippewa; Delta; Dickinson; Gogebic; Houghton; Iron; Keweenaw; Luce; Mackinac; Marquette; Menominee; Ontonagon; Schoolcraft.</v>
      </c>
      <c r="K6257" s="11">
        <v>0</v>
      </c>
    </row>
    <row r="6258" spans="5:11" x14ac:dyDescent="0.35">
      <c r="E6258" s="9" t="str">
        <v>EPSG</v>
      </c>
      <c r="F6258" s="7" t="str">
        <v>26989</v>
      </c>
      <c r="G6258" t="str">
        <v>ProjectedCrs</v>
      </c>
      <c r="H6258" t="str">
        <v>Lambert Conic Conformal (2SP)</v>
      </c>
      <c r="I6258" t="str">
        <v>NAD83 / Michigan Central</v>
      </c>
      <c r="J6258"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6258" s="11">
        <v>0</v>
      </c>
    </row>
    <row r="6259" spans="5:11" x14ac:dyDescent="0.35">
      <c r="E6259" s="9" t="str">
        <v>EPSG</v>
      </c>
      <c r="F6259" s="7" t="str">
        <v>26990</v>
      </c>
      <c r="G6259" t="str">
        <v>ProjectedCrs</v>
      </c>
      <c r="H6259" t="str">
        <v>Lambert Conic Conformal (2SP)</v>
      </c>
      <c r="I6259" t="str">
        <v>NAD83 / Michigan South</v>
      </c>
      <c r="J6259"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6259" s="11">
        <v>0</v>
      </c>
    </row>
    <row r="6260" spans="5:11" x14ac:dyDescent="0.35">
      <c r="E6260" s="9" t="str">
        <v>EPSG</v>
      </c>
      <c r="F6260" s="7" t="str">
        <v>26991</v>
      </c>
      <c r="G6260" t="str">
        <v>ProjectedCrs</v>
      </c>
      <c r="H6260" t="str">
        <v>Lambert Conic Conformal (2SP)</v>
      </c>
      <c r="I6260" t="str">
        <v>NAD83 / Minnesota North</v>
      </c>
      <c r="J6260" t="str">
        <v>United States (USA) - Minnesota - counties of Beltrami; Clearwater; Cook; Itasca; Kittson; Koochiching; Lake; Lake of the Woods; Mahnomen; Marshall; Norman; Pennington; Polk; Red Lake; Roseau; St Louis.</v>
      </c>
      <c r="K6260" s="11">
        <v>0</v>
      </c>
    </row>
    <row r="6261" spans="5:11" x14ac:dyDescent="0.35">
      <c r="E6261" s="9" t="str">
        <v>EPSG</v>
      </c>
      <c r="F6261" s="7" t="str">
        <v>26992</v>
      </c>
      <c r="G6261" t="str">
        <v>ProjectedCrs</v>
      </c>
      <c r="H6261" t="str">
        <v>Lambert Conic Conformal (2SP)</v>
      </c>
      <c r="I6261" t="str">
        <v>NAD83 / Minnesota Central</v>
      </c>
      <c r="J6261" t="str">
        <v>United States (USA) - Minnesota - counties of Aitkin; Becker; Benton; Carlton; Cass; Chisago; Clay; Crow Wing; Douglas; Grant; Hubbard; Isanti; Kanabec; Mille Lacs; Morrison; Otter Tail; Pine; Pope; Stearns; Stevens; Todd; Traverse; Wadena; Wilkin.</v>
      </c>
      <c r="K6261" s="11">
        <v>0</v>
      </c>
    </row>
    <row r="6262" spans="5:11" x14ac:dyDescent="0.35">
      <c r="E6262" s="9" t="str">
        <v>EPSG</v>
      </c>
      <c r="F6262" s="7" t="str">
        <v>26993</v>
      </c>
      <c r="G6262" t="str">
        <v>ProjectedCrs</v>
      </c>
      <c r="H6262" t="str">
        <v>Lambert Conic Conformal (2SP)</v>
      </c>
      <c r="I6262" t="str">
        <v>NAD83 / Minnesota South</v>
      </c>
      <c r="J6262"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6262" s="11">
        <v>0</v>
      </c>
    </row>
    <row r="6263" spans="5:11" x14ac:dyDescent="0.35">
      <c r="E6263" s="9" t="str">
        <v>EPSG</v>
      </c>
      <c r="F6263" s="7" t="str">
        <v>26994</v>
      </c>
      <c r="G6263" t="str">
        <v>ProjectedCrs</v>
      </c>
      <c r="H6263" t="str">
        <v>Transverse Mercator</v>
      </c>
      <c r="I6263" t="str">
        <v>NAD83 / Mississippi East</v>
      </c>
      <c r="J6263"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6263" s="11">
        <v>0</v>
      </c>
    </row>
    <row r="6264" spans="5:11" x14ac:dyDescent="0.35">
      <c r="E6264" s="9" t="str">
        <v>EPSG</v>
      </c>
      <c r="F6264" s="7" t="str">
        <v>26995</v>
      </c>
      <c r="G6264" t="str">
        <v>ProjectedCrs</v>
      </c>
      <c r="H6264" t="str">
        <v>Transverse Mercator</v>
      </c>
      <c r="I6264" t="str">
        <v>NAD83 / Mississippi West</v>
      </c>
      <c r="J6264"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6264" s="11">
        <v>0</v>
      </c>
    </row>
    <row r="6265" spans="5:11" x14ac:dyDescent="0.35">
      <c r="E6265" s="9" t="str">
        <v>EPSG</v>
      </c>
      <c r="F6265" s="7" t="str">
        <v>26996</v>
      </c>
      <c r="G6265" t="str">
        <v>ProjectedCrs</v>
      </c>
      <c r="H6265" t="str">
        <v>Transverse Mercator</v>
      </c>
      <c r="I6265" t="str">
        <v>NAD83 / Missouri East</v>
      </c>
      <c r="J6265" t="str">
        <v>United States (USA) - Missouri - counties of Bollinger; Butler; Cape Girardeau; Carter; Clark; Crawford; Dent; Dunklin; Franklin; Gasconade; Iron; Jefferson; Lewis; Lincoln; Madison; Marion; Mississippi; Montgomery; New Madrid; Oregon; Pemiscot; Perry; Pike; Ralls; Reynolds; Ripley; Scott; Shannon; St Charles; St Francois; St Louis; Ste. Genevieve; Stoddard; Warren; Washington; Wayne.</v>
      </c>
      <c r="K6265" s="11">
        <v>0</v>
      </c>
    </row>
    <row r="6266" spans="5:11" x14ac:dyDescent="0.35">
      <c r="E6266" s="9" t="str">
        <v>EPSG</v>
      </c>
      <c r="F6266" s="7" t="str">
        <v>26997</v>
      </c>
      <c r="G6266" t="str">
        <v>ProjectedCrs</v>
      </c>
      <c r="H6266" t="str">
        <v>Transverse Mercator</v>
      </c>
      <c r="I6266" t="str">
        <v>NAD83 / Missouri Central</v>
      </c>
      <c r="J6266" t="str">
        <v>United States (USA) - Missouri - counties of Adair; Audrain; Benton; Boone; Callaway; Camden; Carroll; Chariton; Christian; Cole; Cooper; Dallas; Douglas; Greene; Grundy; Hickory; Howard; Howell; Knox; Laclede; Linn; Livingston; Macon; Maries; Mercer; Miller; Moniteau; Monroe; Morgan; Osage; Ozark; Pettis; Phelps; Polk; Pulaski; Putnam; Randolph; Saline; Schuyler; Scotland; Shelby; Stone; Sullivan; Taney; Texas; Webster; Wright.</v>
      </c>
      <c r="K6266" s="11">
        <v>0</v>
      </c>
    </row>
    <row r="6267" spans="5:11" x14ac:dyDescent="0.35">
      <c r="E6267" s="9" t="str">
        <v>EPSG</v>
      </c>
      <c r="F6267" s="7" t="str">
        <v>26998</v>
      </c>
      <c r="G6267" t="str">
        <v>ProjectedCrs</v>
      </c>
      <c r="H6267" t="str">
        <v>Transverse Mercator</v>
      </c>
      <c r="I6267" t="str">
        <v>NAD83 / Missouri West</v>
      </c>
      <c r="J6267" t="str">
        <v>United States (USA) - Missouri - counties of Andrew; Atchison; Barry; Barton; Bates; Buchanan; Caldwell; Cass; Cedar; Clay; Clinton; Dade; Daviess; De Kalb; Gentry; Harrison; Henry; Holt; Jackson; Jasper; Johnson; Lafayette; Lawrence; McDonald; Newton; Nodaway; Platte; Ray; St Clair; Vernon; Worth.</v>
      </c>
      <c r="K6267" s="11">
        <v>0</v>
      </c>
    </row>
    <row r="6268" spans="5:11" x14ac:dyDescent="0.35">
      <c r="E6268" s="9" t="str">
        <v>EPSG</v>
      </c>
      <c r="F6268" s="7" t="str">
        <v>27039</v>
      </c>
      <c r="G6268" t="str">
        <v>ProjectedCrs</v>
      </c>
      <c r="H6268" t="str">
        <v>Transverse Mercator</v>
      </c>
      <c r="I6268" t="str">
        <v>Nahrwan 1967 / UTM zone 39N</v>
      </c>
      <c r="J6268" t="str">
        <v>Qatar - offshore. United Arab Emirates (UAE) - Abu Dhabi - onshore and offshore west of 54°E.</v>
      </c>
      <c r="K6268" s="11">
        <v>0</v>
      </c>
    </row>
    <row r="6269" spans="5:11" x14ac:dyDescent="0.35">
      <c r="E6269" s="9" t="str">
        <v>EPSG</v>
      </c>
      <c r="F6269" s="7" t="str">
        <v>27040</v>
      </c>
      <c r="G6269" t="str">
        <v>ProjectedCrs</v>
      </c>
      <c r="H6269" t="str">
        <v>Transverse Mercator</v>
      </c>
      <c r="I6269" t="str">
        <v>Nahrwan 1967 / UTM zone 40N</v>
      </c>
      <c r="J6269" t="str">
        <v>United Arab Emirates (UAE) onshore and offshore east of 54°E - Abu Dhabi; Dubai; Sharjah; Ajman; Fujairah; Ras Al Kaimah; Umm Al Qaiwain.</v>
      </c>
      <c r="K6269" s="11">
        <v>0</v>
      </c>
    </row>
    <row r="6270" spans="5:11" x14ac:dyDescent="0.35">
      <c r="E6270" s="9" t="str">
        <v>EPSG</v>
      </c>
      <c r="F6270" s="7" t="str">
        <v>27120</v>
      </c>
      <c r="G6270" t="str">
        <v>ProjectedCrs</v>
      </c>
      <c r="H6270" t="str">
        <v>Transverse Mercator</v>
      </c>
      <c r="I6270" t="str">
        <v>Naparima 1972 / UTM zone 20N</v>
      </c>
      <c r="J6270" t="str">
        <v>Trinidad and Tobago - Tobago - onshore.</v>
      </c>
      <c r="K6270" s="11">
        <v>0</v>
      </c>
    </row>
    <row r="6271" spans="5:11" x14ac:dyDescent="0.35">
      <c r="E6271" s="9" t="str">
        <v>EPSG</v>
      </c>
      <c r="F6271" s="7" t="str">
        <v>27200</v>
      </c>
      <c r="G6271" t="str">
        <v>ProjectedCrs</v>
      </c>
      <c r="H6271" t="str">
        <v>New Zealand Map Grid</v>
      </c>
      <c r="I6271" t="str">
        <v>NZGD49 / New Zealand Map Grid</v>
      </c>
      <c r="J6271" t="str">
        <v>New Zealand - North Island, South Island, Stewart Island - onshore.</v>
      </c>
      <c r="K6271" s="11">
        <v>0</v>
      </c>
    </row>
    <row r="6272" spans="5:11" x14ac:dyDescent="0.35">
      <c r="E6272" s="9" t="str">
        <v>EPSG</v>
      </c>
      <c r="F6272" s="7" t="str">
        <v>27205</v>
      </c>
      <c r="G6272" t="str">
        <v>ProjectedCrs</v>
      </c>
      <c r="H6272" t="str">
        <v>Transverse Mercator</v>
      </c>
      <c r="I6272" t="str">
        <v>NZGD49 / Mount Eden Circuit</v>
      </c>
      <c r="J6272" t="str">
        <v>New Zealand - North Island - Mount Eden meridional circuit area.</v>
      </c>
      <c r="K6272" s="11">
        <v>0</v>
      </c>
    </row>
    <row r="6273" spans="5:11" x14ac:dyDescent="0.35">
      <c r="E6273" s="9" t="str">
        <v>EPSG</v>
      </c>
      <c r="F6273" s="7" t="str">
        <v>27206</v>
      </c>
      <c r="G6273" t="str">
        <v>ProjectedCrs</v>
      </c>
      <c r="H6273" t="str">
        <v>Transverse Mercator</v>
      </c>
      <c r="I6273" t="str">
        <v>NZGD49 / Bay of Plenty Circuit</v>
      </c>
      <c r="J6273" t="str">
        <v>New Zealand - North Island - Bay of Plenty meridional circuit area.</v>
      </c>
      <c r="K6273" s="11">
        <v>0</v>
      </c>
    </row>
    <row r="6274" spans="5:11" x14ac:dyDescent="0.35">
      <c r="E6274" s="9" t="str">
        <v>EPSG</v>
      </c>
      <c r="F6274" s="7" t="str">
        <v>27207</v>
      </c>
      <c r="G6274" t="str">
        <v>ProjectedCrs</v>
      </c>
      <c r="H6274" t="str">
        <v>Transverse Mercator</v>
      </c>
      <c r="I6274" t="str">
        <v>NZGD49 / Poverty Bay Circuit</v>
      </c>
      <c r="J6274" t="str">
        <v>New Zealand - North Island - Poverty Bay meridional circuit area.</v>
      </c>
      <c r="K6274" s="11">
        <v>0</v>
      </c>
    </row>
    <row r="6275" spans="5:11" x14ac:dyDescent="0.35">
      <c r="E6275" s="9" t="str">
        <v>EPSG</v>
      </c>
      <c r="F6275" s="7" t="str">
        <v>27208</v>
      </c>
      <c r="G6275" t="str">
        <v>ProjectedCrs</v>
      </c>
      <c r="H6275" t="str">
        <v>Transverse Mercator</v>
      </c>
      <c r="I6275" t="str">
        <v>NZGD49 / Hawkes Bay Circuit</v>
      </c>
      <c r="J6275" t="str">
        <v>New Zealand - North Island - Hawkes Bay meridional circuit and Napier vertical crs area.</v>
      </c>
      <c r="K6275" s="11">
        <v>0</v>
      </c>
    </row>
    <row r="6276" spans="5:11" x14ac:dyDescent="0.35">
      <c r="E6276" s="9" t="str">
        <v>EPSG</v>
      </c>
      <c r="F6276" s="7" t="str">
        <v>27209</v>
      </c>
      <c r="G6276" t="str">
        <v>ProjectedCrs</v>
      </c>
      <c r="H6276" t="str">
        <v>Transverse Mercator</v>
      </c>
      <c r="I6276" t="str">
        <v>NZGD49 / Taranaki Circuit</v>
      </c>
      <c r="J6276" t="str">
        <v>New Zealand - North Island - Taranaki meridional circuit area.</v>
      </c>
      <c r="K6276" s="11">
        <v>0</v>
      </c>
    </row>
    <row r="6277" spans="5:11" x14ac:dyDescent="0.35">
      <c r="E6277" s="9" t="str">
        <v>EPSG</v>
      </c>
      <c r="F6277" s="7" t="str">
        <v>27210</v>
      </c>
      <c r="G6277" t="str">
        <v>ProjectedCrs</v>
      </c>
      <c r="H6277" t="str">
        <v>Transverse Mercator</v>
      </c>
      <c r="I6277" t="str">
        <v>NZGD49 / Tuhirangi Circuit</v>
      </c>
      <c r="J6277" t="str">
        <v>New Zealand - North Island - Tuhirangi meridional circuit area.</v>
      </c>
      <c r="K6277" s="11">
        <v>0</v>
      </c>
    </row>
    <row r="6278" spans="5:11" x14ac:dyDescent="0.35">
      <c r="E6278" s="9" t="str">
        <v>EPSG</v>
      </c>
      <c r="F6278" s="7" t="str">
        <v>27211</v>
      </c>
      <c r="G6278" t="str">
        <v>ProjectedCrs</v>
      </c>
      <c r="H6278" t="str">
        <v>Transverse Mercator</v>
      </c>
      <c r="I6278" t="str">
        <v>NZGD49 / Wanganui Circuit</v>
      </c>
      <c r="J6278" t="str">
        <v>New Zealand - North Island - Wanganui meridional circuit area.</v>
      </c>
      <c r="K6278" s="11">
        <v>0</v>
      </c>
    </row>
    <row r="6279" spans="5:11" x14ac:dyDescent="0.35">
      <c r="E6279" s="9" t="str">
        <v>EPSG</v>
      </c>
      <c r="F6279" s="7" t="str">
        <v>27212</v>
      </c>
      <c r="G6279" t="str">
        <v>ProjectedCrs</v>
      </c>
      <c r="H6279" t="str">
        <v>Transverse Mercator</v>
      </c>
      <c r="I6279" t="str">
        <v>NZGD49 / Wairarapa Circuit</v>
      </c>
      <c r="J6279" t="str">
        <v>New Zealand - North Island - Wairarapa meridional circuit area.</v>
      </c>
      <c r="K6279" s="11">
        <v>0</v>
      </c>
    </row>
    <row r="6280" spans="5:11" x14ac:dyDescent="0.35">
      <c r="E6280" s="9" t="str">
        <v>EPSG</v>
      </c>
      <c r="F6280" s="7" t="str">
        <v>27213</v>
      </c>
      <c r="G6280" t="str">
        <v>ProjectedCrs</v>
      </c>
      <c r="H6280" t="str">
        <v>Transverse Mercator</v>
      </c>
      <c r="I6280" t="str">
        <v>NZGD49 / Wellington Circuit</v>
      </c>
      <c r="J6280" t="str">
        <v>New Zealand - North Island - Wellington meridional circuit area.</v>
      </c>
      <c r="K6280" s="11">
        <v>0</v>
      </c>
    </row>
    <row r="6281" spans="5:11" x14ac:dyDescent="0.35">
      <c r="E6281" s="9" t="str">
        <v>EPSG</v>
      </c>
      <c r="F6281" s="7" t="str">
        <v>27214</v>
      </c>
      <c r="G6281" t="str">
        <v>ProjectedCrs</v>
      </c>
      <c r="H6281" t="str">
        <v>Transverse Mercator</v>
      </c>
      <c r="I6281" t="str">
        <v>NZGD49 / Collingwood Circuit</v>
      </c>
      <c r="J6281" t="str">
        <v>New Zealand - South Island - Collingwood meridional circuit area.</v>
      </c>
      <c r="K6281" s="11">
        <v>0</v>
      </c>
    </row>
    <row r="6282" spans="5:11" x14ac:dyDescent="0.35">
      <c r="E6282" s="9" t="str">
        <v>EPSG</v>
      </c>
      <c r="F6282" s="7" t="str">
        <v>27215</v>
      </c>
      <c r="G6282" t="str">
        <v>ProjectedCrs</v>
      </c>
      <c r="H6282" t="str">
        <v>Transverse Mercator</v>
      </c>
      <c r="I6282" t="str">
        <v>NZGD49 / Nelson Circuit</v>
      </c>
      <c r="J6282" t="str">
        <v>New Zealand - South Island - Nelson meridional circuit area.</v>
      </c>
      <c r="K6282" s="11">
        <v>0</v>
      </c>
    </row>
    <row r="6283" spans="5:11" x14ac:dyDescent="0.35">
      <c r="E6283" s="9" t="str">
        <v>EPSG</v>
      </c>
      <c r="F6283" s="7" t="str">
        <v>27216</v>
      </c>
      <c r="G6283" t="str">
        <v>ProjectedCrs</v>
      </c>
      <c r="H6283" t="str">
        <v>Transverse Mercator</v>
      </c>
      <c r="I6283" t="str">
        <v>NZGD49 / Karamea Circuit</v>
      </c>
      <c r="J6283" t="str">
        <v>New Zealand - South Island - Karamea meridional circuit area.</v>
      </c>
      <c r="K6283" s="11">
        <v>0</v>
      </c>
    </row>
    <row r="6284" spans="5:11" x14ac:dyDescent="0.35">
      <c r="E6284" s="9" t="str">
        <v>EPSG</v>
      </c>
      <c r="F6284" s="7" t="str">
        <v>27217</v>
      </c>
      <c r="G6284" t="str">
        <v>ProjectedCrs</v>
      </c>
      <c r="H6284" t="str">
        <v>Transverse Mercator</v>
      </c>
      <c r="I6284" t="str">
        <v>NZGD49 / Buller Circuit</v>
      </c>
      <c r="J6284" t="str">
        <v>New Zealand - South Island - Buller meridional circuit area.</v>
      </c>
      <c r="K6284" s="11">
        <v>0</v>
      </c>
    </row>
    <row r="6285" spans="5:11" x14ac:dyDescent="0.35">
      <c r="E6285" s="9" t="str">
        <v>EPSG</v>
      </c>
      <c r="F6285" s="7" t="str">
        <v>27218</v>
      </c>
      <c r="G6285" t="str">
        <v>ProjectedCrs</v>
      </c>
      <c r="H6285" t="str">
        <v>Transverse Mercator</v>
      </c>
      <c r="I6285" t="str">
        <v>NZGD49 / Grey Circuit</v>
      </c>
      <c r="J6285" t="str">
        <v>New Zealand - South Island - Grey meridional circuit area.</v>
      </c>
      <c r="K6285" s="11">
        <v>0</v>
      </c>
    </row>
    <row r="6286" spans="5:11" x14ac:dyDescent="0.35">
      <c r="E6286" s="9" t="str">
        <v>EPSG</v>
      </c>
      <c r="F6286" s="7" t="str">
        <v>27219</v>
      </c>
      <c r="G6286" t="str">
        <v>ProjectedCrs</v>
      </c>
      <c r="H6286" t="str">
        <v>Transverse Mercator</v>
      </c>
      <c r="I6286" t="str">
        <v>NZGD49 / Amuri Circuit</v>
      </c>
      <c r="J6286" t="str">
        <v>New Zealand - South Island - Amuri meridional circuit area.</v>
      </c>
      <c r="K6286" s="11">
        <v>0</v>
      </c>
    </row>
    <row r="6287" spans="5:11" x14ac:dyDescent="0.35">
      <c r="E6287" s="9" t="str">
        <v>EPSG</v>
      </c>
      <c r="F6287" s="7" t="str">
        <v>27220</v>
      </c>
      <c r="G6287" t="str">
        <v>ProjectedCrs</v>
      </c>
      <c r="H6287" t="str">
        <v>Transverse Mercator</v>
      </c>
      <c r="I6287" t="str">
        <v>NZGD49 / Marlborough Circuit</v>
      </c>
      <c r="J6287" t="str">
        <v>New Zealand - South Island - Marlborough meridional circuit area.</v>
      </c>
      <c r="K6287" s="11">
        <v>0</v>
      </c>
    </row>
    <row r="6288" spans="5:11" x14ac:dyDescent="0.35">
      <c r="E6288" s="9" t="str">
        <v>EPSG</v>
      </c>
      <c r="F6288" s="7" t="str">
        <v>27221</v>
      </c>
      <c r="G6288" t="str">
        <v>ProjectedCrs</v>
      </c>
      <c r="H6288" t="str">
        <v>Transverse Mercator</v>
      </c>
      <c r="I6288" t="str">
        <v>NZGD49 / Hokitika Circuit</v>
      </c>
      <c r="J6288" t="str">
        <v>New Zealand - South Island - Hokitika meridional circuit area.</v>
      </c>
      <c r="K6288" s="11">
        <v>0</v>
      </c>
    </row>
    <row r="6289" spans="5:11" x14ac:dyDescent="0.35">
      <c r="E6289" s="9" t="str">
        <v>EPSG</v>
      </c>
      <c r="F6289" s="7" t="str">
        <v>27222</v>
      </c>
      <c r="G6289" t="str">
        <v>ProjectedCrs</v>
      </c>
      <c r="H6289" t="str">
        <v>Transverse Mercator</v>
      </c>
      <c r="I6289" t="str">
        <v>NZGD49 / Okarito Circuit</v>
      </c>
      <c r="J6289" t="str">
        <v>New Zealand - South Island - Okarito meridional circuit area.</v>
      </c>
      <c r="K6289" s="11">
        <v>0</v>
      </c>
    </row>
    <row r="6290" spans="5:11" x14ac:dyDescent="0.35">
      <c r="E6290" s="9" t="str">
        <v>EPSG</v>
      </c>
      <c r="F6290" s="7" t="str">
        <v>27223</v>
      </c>
      <c r="G6290" t="str">
        <v>ProjectedCrs</v>
      </c>
      <c r="H6290" t="str">
        <v>Transverse Mercator</v>
      </c>
      <c r="I6290" t="str">
        <v>NZGD49 / Jacksons Bay Circuit</v>
      </c>
      <c r="J6290" t="str">
        <v>New Zealand - South Island - Jacksons Bay meridional circuit area.</v>
      </c>
      <c r="K6290" s="11">
        <v>0</v>
      </c>
    </row>
    <row r="6291" spans="5:11" x14ac:dyDescent="0.35">
      <c r="E6291" s="9" t="str">
        <v>EPSG</v>
      </c>
      <c r="F6291" s="7" t="str">
        <v>27224</v>
      </c>
      <c r="G6291" t="str">
        <v>ProjectedCrs</v>
      </c>
      <c r="H6291" t="str">
        <v>Transverse Mercator</v>
      </c>
      <c r="I6291" t="str">
        <v>NZGD49 / Mount Pleasant Circuit</v>
      </c>
      <c r="J6291" t="str">
        <v>New Zealand - South Island - Mount Pleasant meridional circuit area.</v>
      </c>
      <c r="K6291" s="11">
        <v>0</v>
      </c>
    </row>
    <row r="6292" spans="5:11" x14ac:dyDescent="0.35">
      <c r="E6292" s="9" t="str">
        <v>EPSG</v>
      </c>
      <c r="F6292" s="7" t="str">
        <v>27225</v>
      </c>
      <c r="G6292" t="str">
        <v>ProjectedCrs</v>
      </c>
      <c r="H6292" t="str">
        <v>Transverse Mercator</v>
      </c>
      <c r="I6292" t="str">
        <v>NZGD49 / Gawler Circuit</v>
      </c>
      <c r="J6292" t="str">
        <v>New Zealand - South Island - Gawler meridional circuit area.</v>
      </c>
      <c r="K6292" s="11">
        <v>0</v>
      </c>
    </row>
    <row r="6293" spans="5:11" x14ac:dyDescent="0.35">
      <c r="E6293" s="9" t="str">
        <v>EPSG</v>
      </c>
      <c r="F6293" s="7" t="str">
        <v>27226</v>
      </c>
      <c r="G6293" t="str">
        <v>ProjectedCrs</v>
      </c>
      <c r="H6293" t="str">
        <v>Transverse Mercator</v>
      </c>
      <c r="I6293" t="str">
        <v>NZGD49 / Timaru Circuit</v>
      </c>
      <c r="J6293" t="str">
        <v>New Zealand - South Island - Timaru meridional circuit area.</v>
      </c>
      <c r="K6293" s="11">
        <v>0</v>
      </c>
    </row>
    <row r="6294" spans="5:11" x14ac:dyDescent="0.35">
      <c r="E6294" s="9" t="str">
        <v>EPSG</v>
      </c>
      <c r="F6294" s="7" t="str">
        <v>27227</v>
      </c>
      <c r="G6294" t="str">
        <v>ProjectedCrs</v>
      </c>
      <c r="H6294" t="str">
        <v>Transverse Mercator</v>
      </c>
      <c r="I6294" t="str">
        <v>NZGD49 / Lindis Peak Circuit</v>
      </c>
      <c r="J6294" t="str">
        <v>New Zealand - South Island - Lindis Peak meridional circuit area.</v>
      </c>
      <c r="K6294" s="11">
        <v>0</v>
      </c>
    </row>
    <row r="6295" spans="5:11" x14ac:dyDescent="0.35">
      <c r="E6295" s="9" t="str">
        <v>EPSG</v>
      </c>
      <c r="F6295" s="7" t="str">
        <v>27228</v>
      </c>
      <c r="G6295" t="str">
        <v>ProjectedCrs</v>
      </c>
      <c r="H6295" t="str">
        <v>Transverse Mercator</v>
      </c>
      <c r="I6295" t="str">
        <v>NZGD49 / Mount Nicholas Circuit</v>
      </c>
      <c r="J6295" t="str">
        <v>New Zealand - South Island - Mount Nicholas meridional circuit area.</v>
      </c>
      <c r="K6295" s="11">
        <v>0</v>
      </c>
    </row>
    <row r="6296" spans="5:11" x14ac:dyDescent="0.35">
      <c r="E6296" s="9" t="str">
        <v>EPSG</v>
      </c>
      <c r="F6296" s="7" t="str">
        <v>27229</v>
      </c>
      <c r="G6296" t="str">
        <v>ProjectedCrs</v>
      </c>
      <c r="H6296" t="str">
        <v>Transverse Mercator</v>
      </c>
      <c r="I6296" t="str">
        <v>NZGD49 / Mount York Circuit</v>
      </c>
      <c r="J6296" t="str">
        <v>New Zealand - South Island - Mount York meridional circuit area.</v>
      </c>
      <c r="K6296" s="11">
        <v>0</v>
      </c>
    </row>
    <row r="6297" spans="5:11" x14ac:dyDescent="0.35">
      <c r="E6297" s="9" t="str">
        <v>EPSG</v>
      </c>
      <c r="F6297" s="7" t="str">
        <v>27230</v>
      </c>
      <c r="G6297" t="str">
        <v>ProjectedCrs</v>
      </c>
      <c r="H6297" t="str">
        <v>Transverse Mercator</v>
      </c>
      <c r="I6297" t="str">
        <v>NZGD49 / Observation Point Circuit</v>
      </c>
      <c r="J6297" t="str">
        <v>New Zealand - South Island - Observation Point meridional circuit area.</v>
      </c>
      <c r="K6297" s="11">
        <v>0</v>
      </c>
    </row>
    <row r="6298" spans="5:11" x14ac:dyDescent="0.35">
      <c r="E6298" s="9" t="str">
        <v>EPSG</v>
      </c>
      <c r="F6298" s="7" t="str">
        <v>27231</v>
      </c>
      <c r="G6298" t="str">
        <v>ProjectedCrs</v>
      </c>
      <c r="H6298" t="str">
        <v>Transverse Mercator</v>
      </c>
      <c r="I6298" t="str">
        <v>NZGD49 / North Taieri Circuit</v>
      </c>
      <c r="J6298" t="str">
        <v>New Zealand - South Island - North Taieri meridional circuit area.</v>
      </c>
      <c r="K6298" s="11">
        <v>0</v>
      </c>
    </row>
    <row r="6299" spans="5:11" x14ac:dyDescent="0.35">
      <c r="E6299" s="9" t="str">
        <v>EPSG</v>
      </c>
      <c r="F6299" s="7" t="str">
        <v>27232</v>
      </c>
      <c r="G6299" t="str">
        <v>ProjectedCrs</v>
      </c>
      <c r="H6299" t="str">
        <v>Transverse Mercator</v>
      </c>
      <c r="I6299" t="str">
        <v>NZGD49 / Bluff Circuit</v>
      </c>
      <c r="J6299" t="str">
        <v>New Zealand - Stewart Island; South Island - Bluff meridional circuit area.</v>
      </c>
      <c r="K6299" s="11">
        <v>0</v>
      </c>
    </row>
    <row r="6300" spans="5:11" x14ac:dyDescent="0.35">
      <c r="E6300" s="9" t="str">
        <v>EPSG</v>
      </c>
      <c r="F6300" s="7" t="str">
        <v>27258</v>
      </c>
      <c r="G6300" t="str">
        <v>ProjectedCrs</v>
      </c>
      <c r="H6300" t="str">
        <v>Transverse Mercator</v>
      </c>
      <c r="I6300" t="str">
        <v>NZGD49 / UTM zone 58S</v>
      </c>
      <c r="J6300" t="str">
        <v>New Zealand - nearshore west of 168°E.</v>
      </c>
      <c r="K6300" s="11">
        <v>0</v>
      </c>
    </row>
    <row r="6301" spans="5:11" x14ac:dyDescent="0.35">
      <c r="E6301" s="9" t="str">
        <v>EPSG</v>
      </c>
      <c r="F6301" s="7" t="str">
        <v>27259</v>
      </c>
      <c r="G6301" t="str">
        <v>ProjectedCrs</v>
      </c>
      <c r="H6301" t="str">
        <v>Transverse Mercator</v>
      </c>
      <c r="I6301" t="str">
        <v>NZGD49 / UTM zone 59S</v>
      </c>
      <c r="J6301" t="str">
        <v>New Zealand - nearshore between 168°E and 174°E.</v>
      </c>
      <c r="K6301" s="11">
        <v>0</v>
      </c>
    </row>
    <row r="6302" spans="5:11" x14ac:dyDescent="0.35">
      <c r="E6302" s="9" t="str">
        <v>EPSG</v>
      </c>
      <c r="F6302" s="7" t="str">
        <v>27260</v>
      </c>
      <c r="G6302" t="str">
        <v>ProjectedCrs</v>
      </c>
      <c r="H6302" t="str">
        <v>Transverse Mercator</v>
      </c>
      <c r="I6302" t="str">
        <v>NZGD49 / UTM zone 60S</v>
      </c>
      <c r="J6302" t="str">
        <v>New Zealand - nearshore east of 174°E.</v>
      </c>
      <c r="K6302" s="11">
        <v>0</v>
      </c>
    </row>
    <row r="6303" spans="5:11" x14ac:dyDescent="0.35">
      <c r="E6303" s="9" t="str">
        <v>EPSG</v>
      </c>
      <c r="F6303" s="7" t="str">
        <v>27291</v>
      </c>
      <c r="G6303" t="str">
        <v>ProjectedCrs</v>
      </c>
      <c r="H6303" t="str">
        <v>Transverse Mercator</v>
      </c>
      <c r="I6303" t="str">
        <v>NZGD49 / North Island Grid</v>
      </c>
      <c r="J6303" t="str">
        <v>New Zealand - North Island.</v>
      </c>
      <c r="K6303" s="11">
        <v>0</v>
      </c>
    </row>
    <row r="6304" spans="5:11" x14ac:dyDescent="0.35">
      <c r="E6304" s="9" t="str">
        <v>EPSG</v>
      </c>
      <c r="F6304" s="7" t="str">
        <v>27292</v>
      </c>
      <c r="G6304" t="str">
        <v>ProjectedCrs</v>
      </c>
      <c r="H6304" t="str">
        <v>Transverse Mercator</v>
      </c>
      <c r="I6304" t="str">
        <v>NZGD49 / South Island Grid</v>
      </c>
      <c r="J6304" t="str">
        <v>New Zealand - South Island, Stewart Island.</v>
      </c>
      <c r="K6304" s="11">
        <v>0</v>
      </c>
    </row>
    <row r="6305" spans="5:11" x14ac:dyDescent="0.35">
      <c r="E6305" s="9" t="str">
        <v>EPSG</v>
      </c>
      <c r="F6305" s="7" t="str">
        <v>27391</v>
      </c>
      <c r="G6305" t="str">
        <v>ProjectedCrs</v>
      </c>
      <c r="H6305" t="str">
        <v>Transverse Mercator</v>
      </c>
      <c r="I6305" t="str">
        <v>NGO 1948 (Oslo) / NGO zone I</v>
      </c>
      <c r="J6305" t="str">
        <v>Norway - west of 3°30'W of Oslo (7°13'22.5"E of Greenwich).</v>
      </c>
      <c r="K6305" s="11">
        <v>0</v>
      </c>
    </row>
    <row r="6306" spans="5:11" x14ac:dyDescent="0.35">
      <c r="E6306" s="9" t="str">
        <v>EPSG</v>
      </c>
      <c r="F6306" s="7" t="str">
        <v>27392</v>
      </c>
      <c r="G6306" t="str">
        <v>ProjectedCrs</v>
      </c>
      <c r="H6306" t="str">
        <v>Transverse Mercator</v>
      </c>
      <c r="I6306" t="str">
        <v>NGO 1948 (Oslo) / NGO zone II</v>
      </c>
      <c r="J6306" t="str">
        <v>Norway - between 3°30'W and 1°10' W of Oslo (7°13'22.5"E and 9°33'22.5"E of Greenwich).</v>
      </c>
      <c r="K6306" s="11">
        <v>0</v>
      </c>
    </row>
    <row r="6307" spans="5:11" x14ac:dyDescent="0.35">
      <c r="E6307" s="9" t="str">
        <v>EPSG</v>
      </c>
      <c r="F6307" s="7" t="str">
        <v>27393</v>
      </c>
      <c r="G6307" t="str">
        <v>ProjectedCrs</v>
      </c>
      <c r="H6307" t="str">
        <v>Transverse Mercator</v>
      </c>
      <c r="I6307" t="str">
        <v>NGO 1948 (Oslo) / NGO zone III</v>
      </c>
      <c r="J6307" t="str">
        <v>Norway - between 1°10'W and 1°15'E of Oslo (9°33'22.5"E and 11°58'22.5"E of Greenwich).</v>
      </c>
      <c r="K6307" s="11">
        <v>0</v>
      </c>
    </row>
    <row r="6308" spans="5:11" x14ac:dyDescent="0.35">
      <c r="E6308" s="9" t="str">
        <v>EPSG</v>
      </c>
      <c r="F6308" s="7" t="str">
        <v>27394</v>
      </c>
      <c r="G6308" t="str">
        <v>ProjectedCrs</v>
      </c>
      <c r="H6308" t="str">
        <v>Transverse Mercator</v>
      </c>
      <c r="I6308" t="str">
        <v>NGO 1948 (Oslo) / NGO zone IV</v>
      </c>
      <c r="J6308" t="str">
        <v>Norway - between 1°15'E and 4°20'E of Oslo (11°58'22.5"E and 15°03'22.5"E of Greenwich).</v>
      </c>
      <c r="K6308" s="11">
        <v>0</v>
      </c>
    </row>
    <row r="6309" spans="5:11" x14ac:dyDescent="0.35">
      <c r="E6309" s="9" t="str">
        <v>EPSG</v>
      </c>
      <c r="F6309" s="7" t="str">
        <v>27395</v>
      </c>
      <c r="G6309" t="str">
        <v>ProjectedCrs</v>
      </c>
      <c r="H6309" t="str">
        <v>Transverse Mercator</v>
      </c>
      <c r="I6309" t="str">
        <v>NGO 1948 (Oslo) / NGO zone V</v>
      </c>
      <c r="J6309" t="str">
        <v>Norway - between 4°20'E and 8°10'E of Oslo (15°03'22.5"E and 18°53'22.5"E of Greenwich).</v>
      </c>
      <c r="K6309" s="11">
        <v>0</v>
      </c>
    </row>
    <row r="6310" spans="5:11" x14ac:dyDescent="0.35">
      <c r="E6310" s="9" t="str">
        <v>EPSG</v>
      </c>
      <c r="F6310" s="7" t="str">
        <v>27396</v>
      </c>
      <c r="G6310" t="str">
        <v>ProjectedCrs</v>
      </c>
      <c r="H6310" t="str">
        <v>Transverse Mercator</v>
      </c>
      <c r="I6310" t="str">
        <v>NGO 1948 (Oslo) / NGO zone VI</v>
      </c>
      <c r="J6310" t="str">
        <v>Norway - between 8°10'E and 12°10'E of Oslo (18°53'22.5"E and 22°53'22.5"E of Greenwich).</v>
      </c>
      <c r="K6310" s="11">
        <v>0</v>
      </c>
    </row>
    <row r="6311" spans="5:11" x14ac:dyDescent="0.35">
      <c r="E6311" s="9" t="str">
        <v>EPSG</v>
      </c>
      <c r="F6311" s="7" t="str">
        <v>27397</v>
      </c>
      <c r="G6311" t="str">
        <v>ProjectedCrs</v>
      </c>
      <c r="H6311" t="str">
        <v>Transverse Mercator</v>
      </c>
      <c r="I6311" t="str">
        <v>NGO 1948 (Oslo) / NGO zone VII</v>
      </c>
      <c r="J6311" t="str">
        <v>Norway - between 12°10'E and 16°15'E of Oslo (22°53'22.5"E and 26°58'22.5"E of Greenwich).</v>
      </c>
      <c r="K6311" s="11">
        <v>0</v>
      </c>
    </row>
    <row r="6312" spans="5:11" x14ac:dyDescent="0.35">
      <c r="E6312" s="9" t="str">
        <v>EPSG</v>
      </c>
      <c r="F6312" s="7" t="str">
        <v>27398</v>
      </c>
      <c r="G6312" t="str">
        <v>ProjectedCrs</v>
      </c>
      <c r="H6312" t="str">
        <v>Transverse Mercator</v>
      </c>
      <c r="I6312" t="str">
        <v>NGO 1948 (Oslo) / NGO zone VIII</v>
      </c>
      <c r="J6312" t="str">
        <v>Norway - east of 16°15'E of Oslo (26°58'22.5"E of Greenwich).</v>
      </c>
      <c r="K6312" s="11">
        <v>0</v>
      </c>
    </row>
    <row r="6313" spans="5:11" x14ac:dyDescent="0.35">
      <c r="E6313" s="9" t="str">
        <v>EPSG</v>
      </c>
      <c r="F6313" s="7" t="str">
        <v>27429</v>
      </c>
      <c r="G6313" t="str">
        <v>ProjectedCrs</v>
      </c>
      <c r="H6313" t="str">
        <v>Transverse Mercator</v>
      </c>
      <c r="I6313" t="str">
        <v>Datum 73 / UTM zone 29N</v>
      </c>
      <c r="J6313" t="str">
        <v>Portugal - mainland - onshore.</v>
      </c>
      <c r="K6313" s="11">
        <v>0</v>
      </c>
    </row>
    <row r="6314" spans="5:11" x14ac:dyDescent="0.35">
      <c r="E6314" s="9" t="str">
        <v>EPSG</v>
      </c>
      <c r="F6314" s="7" t="str">
        <v>27493</v>
      </c>
      <c r="G6314" t="str">
        <v>ProjectedCrs</v>
      </c>
      <c r="H6314" t="str">
        <v>Transverse Mercator</v>
      </c>
      <c r="I6314" t="str">
        <v>Datum 73 / Modified Portuguese Grid</v>
      </c>
      <c r="J6314" t="str">
        <v>Portugal - mainland - onshore.</v>
      </c>
      <c r="K6314" s="11">
        <v>0</v>
      </c>
    </row>
    <row r="6315" spans="5:11" x14ac:dyDescent="0.35">
      <c r="E6315" s="9" t="str">
        <v>EPSG</v>
      </c>
      <c r="F6315" s="7" t="str">
        <v>27500</v>
      </c>
      <c r="G6315" t="str">
        <v>ProjectedCrs</v>
      </c>
      <c r="H6315" t="str">
        <v>Lambert Conic Conformal (1SP)</v>
      </c>
      <c r="I6315" t="str">
        <v>ATF (Paris) / Nord de Guerre</v>
      </c>
      <c r="J6315" t="str">
        <v>France - Alsace.</v>
      </c>
      <c r="K6315" s="11">
        <v>0</v>
      </c>
    </row>
    <row r="6316" spans="5:11" x14ac:dyDescent="0.35">
      <c r="E6316" s="9" t="str">
        <v>EPSG</v>
      </c>
      <c r="F6316" s="7" t="str">
        <v>27561</v>
      </c>
      <c r="G6316" t="str">
        <v>ProjectedCrs</v>
      </c>
      <c r="H6316" t="str">
        <v>Lambert Conic Conformal (1SP)</v>
      </c>
      <c r="I6316" t="str">
        <v>NTF (Paris) / Lambert Nord France</v>
      </c>
      <c r="J6316" t="str">
        <v>France mainland onshore north of 53.5 grads North (48°09'N).</v>
      </c>
      <c r="K6316" s="11">
        <v>0</v>
      </c>
    </row>
    <row r="6317" spans="5:11" x14ac:dyDescent="0.35">
      <c r="E6317" s="9" t="str">
        <v>EPSG</v>
      </c>
      <c r="F6317" s="7" t="str">
        <v>27562</v>
      </c>
      <c r="G6317" t="str">
        <v>ProjectedCrs</v>
      </c>
      <c r="H6317" t="str">
        <v>Lambert Conic Conformal (1SP)</v>
      </c>
      <c r="I6317" t="str">
        <v>NTF (Paris) / Lambert Centre France</v>
      </c>
      <c r="J6317" t="str">
        <v>France mainland onshore between 50.5 grads and 53.5 grads North (45°27'N to 48°09'N).</v>
      </c>
      <c r="K6317" s="11">
        <v>0</v>
      </c>
    </row>
    <row r="6318" spans="5:11" x14ac:dyDescent="0.35">
      <c r="E6318" s="9" t="str">
        <v>EPSG</v>
      </c>
      <c r="F6318" s="7" t="str">
        <v>27563</v>
      </c>
      <c r="G6318" t="str">
        <v>ProjectedCrs</v>
      </c>
      <c r="H6318" t="str">
        <v>Lambert Conic Conformal (1SP)</v>
      </c>
      <c r="I6318" t="str">
        <v>NTF (Paris) / Lambert Sud France</v>
      </c>
      <c r="J6318" t="str">
        <v>France - mainland onshore south of 50.5 grads North (45°27'N).</v>
      </c>
      <c r="K6318" s="11">
        <v>0</v>
      </c>
    </row>
    <row r="6319" spans="5:11" x14ac:dyDescent="0.35">
      <c r="E6319" s="9" t="str">
        <v>EPSG</v>
      </c>
      <c r="F6319" s="7" t="str">
        <v>27564</v>
      </c>
      <c r="G6319" t="str">
        <v>ProjectedCrs</v>
      </c>
      <c r="H6319" t="str">
        <v>Lambert Conic Conformal (1SP)</v>
      </c>
      <c r="I6319" t="str">
        <v>NTF (Paris) / Lambert Corse</v>
      </c>
      <c r="J6319" t="str">
        <v>France - Corsica onshore.</v>
      </c>
      <c r="K6319" s="11">
        <v>0</v>
      </c>
    </row>
    <row r="6320" spans="5:11" x14ac:dyDescent="0.35">
      <c r="E6320" s="9" t="str">
        <v>EPSG</v>
      </c>
      <c r="F6320" s="7" t="str">
        <v>27571</v>
      </c>
      <c r="G6320" t="str">
        <v>ProjectedCrs</v>
      </c>
      <c r="H6320" t="str">
        <v>Lambert Conic Conformal (1SP)</v>
      </c>
      <c r="I6320" t="str">
        <v>NTF (Paris) / Lambert zone I</v>
      </c>
      <c r="J6320" t="str">
        <v>France mainland onshore north of 53.5 grads North (48°09'N).</v>
      </c>
      <c r="K6320" s="11">
        <v>0</v>
      </c>
    </row>
    <row r="6321" spans="5:11" x14ac:dyDescent="0.35">
      <c r="E6321" s="9" t="str">
        <v>EPSG</v>
      </c>
      <c r="F6321" s="7" t="str">
        <v>27572</v>
      </c>
      <c r="G6321" t="str">
        <v>ProjectedCrs</v>
      </c>
      <c r="H6321" t="str">
        <v>Lambert Conic Conformal (1SP)</v>
      </c>
      <c r="I6321" t="str">
        <v>NTF (Paris) / Lambert zone II</v>
      </c>
      <c r="J6321" t="str">
        <v>France mainland onshore between 50.5 grads and 53.5 grads North (45°27'N to 48°09'N). Also used over all onshore mainland France.</v>
      </c>
      <c r="K6321" s="11">
        <v>0</v>
      </c>
    </row>
    <row r="6322" spans="5:11" x14ac:dyDescent="0.35">
      <c r="E6322" s="9" t="str">
        <v>EPSG</v>
      </c>
      <c r="F6322" s="7" t="str">
        <v>27573</v>
      </c>
      <c r="G6322" t="str">
        <v>ProjectedCrs</v>
      </c>
      <c r="H6322" t="str">
        <v>Lambert Conic Conformal (1SP)</v>
      </c>
      <c r="I6322" t="str">
        <v>NTF (Paris) / Lambert zone III</v>
      </c>
      <c r="J6322" t="str">
        <v>France - mainland onshore south of 50.5 grads North (45°27'N).</v>
      </c>
      <c r="K6322" s="11">
        <v>0</v>
      </c>
    </row>
    <row r="6323" spans="5:11" x14ac:dyDescent="0.35">
      <c r="E6323" s="9" t="str">
        <v>EPSG</v>
      </c>
      <c r="F6323" s="7" t="str">
        <v>27574</v>
      </c>
      <c r="G6323" t="str">
        <v>ProjectedCrs</v>
      </c>
      <c r="H6323" t="str">
        <v>Lambert Conic Conformal (1SP)</v>
      </c>
      <c r="I6323" t="str">
        <v>NTF (Paris) / Lambert zone IV</v>
      </c>
      <c r="J6323" t="str">
        <v>France - Corsica onshore.</v>
      </c>
      <c r="K6323" s="11">
        <v>0</v>
      </c>
    </row>
    <row r="6324" spans="5:11" x14ac:dyDescent="0.35">
      <c r="E6324" s="9" t="str">
        <v>EPSG</v>
      </c>
      <c r="F6324" s="7" t="str">
        <v>27700</v>
      </c>
      <c r="G6324" t="str">
        <v>ProjectedCrs</v>
      </c>
      <c r="H6324" t="str">
        <v>Transverse Mercator</v>
      </c>
      <c r="I6324" t="str">
        <v>OSGB36 / British National Grid</v>
      </c>
      <c r="J6324" t="str">
        <v>United Kingdom (UK) - offshore to boundary of UKCS within 49°45'N to 61°N and 9°W to 2°E; onshore Great Britain (England, Wales and Scotland). Isle of Man onshore.</v>
      </c>
      <c r="K6324" s="11">
        <v>0</v>
      </c>
    </row>
    <row r="6325" spans="5:11" x14ac:dyDescent="0.35">
      <c r="E6325" s="9" t="str">
        <v>EPSG</v>
      </c>
      <c r="F6325" s="7" t="str">
        <v>27701</v>
      </c>
      <c r="G6325" t="str">
        <v>ProjectedCrs</v>
      </c>
      <c r="H6325" t="str">
        <v>Azimuthal Equidistant</v>
      </c>
      <c r="I6325" t="str">
        <v>WGS 84 / Equi7 Africa</v>
      </c>
      <c r="J6325" t="str">
        <v>Africa and the Arabian peninsula.</v>
      </c>
      <c r="K6325" s="11">
        <v>0</v>
      </c>
    </row>
    <row r="6326" spans="5:11" x14ac:dyDescent="0.35">
      <c r="E6326" s="9" t="str">
        <v>EPSG</v>
      </c>
      <c r="F6326" s="7" t="str">
        <v>27702</v>
      </c>
      <c r="G6326" t="str">
        <v>ProjectedCrs</v>
      </c>
      <c r="H6326" t="str">
        <v>Azimuthal Equidistant</v>
      </c>
      <c r="I6326" t="str">
        <v>WGS 84 / Equi7 Antarctica</v>
      </c>
      <c r="J6326" t="str">
        <v>Antarctica.</v>
      </c>
      <c r="K6326" s="11">
        <v>0</v>
      </c>
    </row>
    <row r="6327" spans="5:11" x14ac:dyDescent="0.35">
      <c r="E6327" s="9" t="str">
        <v>EPSG</v>
      </c>
      <c r="F6327" s="7" t="str">
        <v>27703</v>
      </c>
      <c r="G6327" t="str">
        <v>ProjectedCrs</v>
      </c>
      <c r="H6327" t="str">
        <v>Azimuthal Equidistant</v>
      </c>
      <c r="I6327" t="str">
        <v>WGS 84 / Equi7 Asia</v>
      </c>
      <c r="J6327" t="str">
        <v>Asia including Maldives and British Indian Ocean Territory.</v>
      </c>
      <c r="K6327" s="11">
        <v>0</v>
      </c>
    </row>
    <row r="6328" spans="5:11" x14ac:dyDescent="0.35">
      <c r="E6328" s="9" t="str">
        <v>EPSG</v>
      </c>
      <c r="F6328" s="7" t="str">
        <v>27704</v>
      </c>
      <c r="G6328" t="str">
        <v>ProjectedCrs</v>
      </c>
      <c r="H6328" t="str">
        <v>Azimuthal Equidistant</v>
      </c>
      <c r="I6328" t="str">
        <v>WGS 84 / Equi7 Europe</v>
      </c>
      <c r="J6328" t="str">
        <v>Europe including Russia west of the Ural Mountains.</v>
      </c>
      <c r="K6328" s="11">
        <v>0</v>
      </c>
    </row>
    <row r="6329" spans="5:11" x14ac:dyDescent="0.35">
      <c r="E6329" s="9" t="str">
        <v>EPSG</v>
      </c>
      <c r="F6329" s="7" t="str">
        <v>27705</v>
      </c>
      <c r="G6329" t="str">
        <v>ProjectedCrs</v>
      </c>
      <c r="H6329" t="str">
        <v>Azimuthal Equidistant</v>
      </c>
      <c r="I6329" t="str">
        <v>WGS 84 / Equi7 North America</v>
      </c>
      <c r="J6329" t="str">
        <v>North America including Greenland, the Caribbean and Central America, together with circum-polar area north of 83°40'N. Excluding the circum-polar area, the longitude extent is from 167.65° in west across the 180° meridian to 15.72° in east.</v>
      </c>
      <c r="K6329" s="11">
        <v>0</v>
      </c>
    </row>
    <row r="6330" spans="5:11" x14ac:dyDescent="0.35">
      <c r="E6330" s="9" t="str">
        <v>EPSG</v>
      </c>
      <c r="F6330" s="7" t="str">
        <v>27706</v>
      </c>
      <c r="G6330" t="str">
        <v>ProjectedCrs</v>
      </c>
      <c r="H6330" t="str">
        <v>Azimuthal Equidistant</v>
      </c>
      <c r="I6330" t="str">
        <v>WGS 84 / Equi7 Oceania</v>
      </c>
      <c r="J6330" t="str">
        <v>Australasia and the western Pacific Ocean.</v>
      </c>
      <c r="K6330" s="11">
        <v>0</v>
      </c>
    </row>
    <row r="6331" spans="5:11" x14ac:dyDescent="0.35">
      <c r="E6331" s="9" t="str">
        <v>EPSG</v>
      </c>
      <c r="F6331" s="7" t="str">
        <v>27707</v>
      </c>
      <c r="G6331" t="str">
        <v>ProjectedCrs</v>
      </c>
      <c r="H6331" t="str">
        <v>Azimuthal Equidistant</v>
      </c>
      <c r="I6331" t="str">
        <v>WGS 84 / Equi7 South America</v>
      </c>
      <c r="J6331" t="str">
        <v>South America including Panama.</v>
      </c>
      <c r="K6331" s="11">
        <v>0</v>
      </c>
    </row>
    <row r="6332" spans="5:11" x14ac:dyDescent="0.35">
      <c r="E6332" s="9" t="str">
        <v>EPSG</v>
      </c>
      <c r="F6332" s="7" t="str">
        <v>28191</v>
      </c>
      <c r="G6332" t="str">
        <v>ProjectedCrs</v>
      </c>
      <c r="H6332" t="str">
        <v>Cassini-Soldner</v>
      </c>
      <c r="I6332" t="str">
        <v>Palestine 1923 / Palestine Grid</v>
      </c>
      <c r="J6332" t="str">
        <v>Israel - onshore; Jordan; Palestine Territory - onshore.</v>
      </c>
      <c r="K6332" s="11">
        <v>0</v>
      </c>
    </row>
    <row r="6333" spans="5:11" x14ac:dyDescent="0.35">
      <c r="E6333" s="9" t="str">
        <v>EPSG</v>
      </c>
      <c r="F6333" s="7" t="str">
        <v>28192</v>
      </c>
      <c r="G6333" t="str">
        <v>ProjectedCrs</v>
      </c>
      <c r="H6333" t="str">
        <v>Transverse Mercator</v>
      </c>
      <c r="I6333" t="str">
        <v>Palestine 1923 / Palestine Belt</v>
      </c>
      <c r="J6333" t="str">
        <v>Israel - onshore; Jordan; Palestine Territory - onshore.</v>
      </c>
      <c r="K6333" s="11">
        <v>0</v>
      </c>
    </row>
    <row r="6334" spans="5:11" x14ac:dyDescent="0.35">
      <c r="E6334" s="9" t="str">
        <v>EPSG</v>
      </c>
      <c r="F6334" s="7" t="str">
        <v>28193</v>
      </c>
      <c r="G6334" t="str">
        <v>ProjectedCrs</v>
      </c>
      <c r="H6334" t="str">
        <v>Cassini-Soldner</v>
      </c>
      <c r="I6334" t="str">
        <v>Palestine 1923 / Israeli CS Grid</v>
      </c>
      <c r="J6334" t="str">
        <v>Israel - onshore; Palestine Territory - onshore.</v>
      </c>
      <c r="K6334" s="11">
        <v>0</v>
      </c>
    </row>
    <row r="6335" spans="5:11" x14ac:dyDescent="0.35">
      <c r="E6335" s="9" t="str">
        <v>EPSG</v>
      </c>
      <c r="F6335" s="7" t="str">
        <v>28232</v>
      </c>
      <c r="G6335" t="str">
        <v>ProjectedCrs</v>
      </c>
      <c r="H6335" t="str">
        <v>Transverse Mercator</v>
      </c>
      <c r="I6335" t="str">
        <v>Pointe Noire / UTM zone 32S</v>
      </c>
      <c r="J6335" t="str">
        <v>Congo - onshore and offshore.</v>
      </c>
      <c r="K6335" s="11">
        <v>0</v>
      </c>
    </row>
    <row r="6336" spans="5:11" x14ac:dyDescent="0.35">
      <c r="E6336" s="9" t="str">
        <v>EPSG</v>
      </c>
      <c r="F6336" s="7" t="str">
        <v>28348</v>
      </c>
      <c r="G6336" t="str">
        <v>ProjectedCrs</v>
      </c>
      <c r="H6336" t="str">
        <v>Transverse Mercator</v>
      </c>
      <c r="I6336" t="str">
        <v>GDA94 / MGA zone 48</v>
      </c>
      <c r="J6336" t="str">
        <v>Australia - offshore west of 108°E. Christmas Island - onshore and offshore west of 108°E.</v>
      </c>
      <c r="K6336" s="11">
        <v>0</v>
      </c>
    </row>
    <row r="6337" spans="5:11" x14ac:dyDescent="0.35">
      <c r="E6337" s="9" t="str">
        <v>EPSG</v>
      </c>
      <c r="F6337" s="7" t="str">
        <v>28349</v>
      </c>
      <c r="G6337" t="str">
        <v>ProjectedCrs</v>
      </c>
      <c r="H6337" t="str">
        <v>Transverse Mercator</v>
      </c>
      <c r="I6337" t="str">
        <v>GDA94 / MGA zone 49</v>
      </c>
      <c r="J6337" t="str">
        <v>Australia - onshore and offshore west of 114°E. Christmas Island - offshore east of 108°E.</v>
      </c>
      <c r="K6337" s="11">
        <v>0</v>
      </c>
    </row>
    <row r="6338" spans="5:11" x14ac:dyDescent="0.35">
      <c r="E6338" s="9" t="str">
        <v>EPSG</v>
      </c>
      <c r="F6338" s="7" t="str">
        <v>28350</v>
      </c>
      <c r="G6338" t="str">
        <v>ProjectedCrs</v>
      </c>
      <c r="H6338" t="str">
        <v>Transverse Mercator</v>
      </c>
      <c r="I6338" t="str">
        <v>GDA94 / MGA zone 50</v>
      </c>
      <c r="J6338" t="str">
        <v>Australia - onshore and offshore between 114°E and 120°E.</v>
      </c>
      <c r="K6338" s="11">
        <v>0</v>
      </c>
    </row>
    <row r="6339" spans="5:11" x14ac:dyDescent="0.35">
      <c r="E6339" s="9" t="str">
        <v>EPSG</v>
      </c>
      <c r="F6339" s="7" t="str">
        <v>28351</v>
      </c>
      <c r="G6339" t="str">
        <v>ProjectedCrs</v>
      </c>
      <c r="H6339" t="str">
        <v>Transverse Mercator</v>
      </c>
      <c r="I6339" t="str">
        <v>GDA94 / MGA zone 51</v>
      </c>
      <c r="J6339" t="str">
        <v>Australia - onshore and offshore between 120°E and 126°E.</v>
      </c>
      <c r="K6339" s="11">
        <v>0</v>
      </c>
    </row>
    <row r="6340" spans="5:11" x14ac:dyDescent="0.35">
      <c r="E6340" s="9" t="str">
        <v>EPSG</v>
      </c>
      <c r="F6340" s="7" t="str">
        <v>28352</v>
      </c>
      <c r="G6340" t="str">
        <v>ProjectedCrs</v>
      </c>
      <c r="H6340" t="str">
        <v>Transverse Mercator</v>
      </c>
      <c r="I6340" t="str">
        <v>GDA94 / MGA zone 52</v>
      </c>
      <c r="J6340" t="str">
        <v>Australia - onshore and offshore between 126°E and 132°E.</v>
      </c>
      <c r="K6340" s="11">
        <v>0</v>
      </c>
    </row>
    <row r="6341" spans="5:11" x14ac:dyDescent="0.35">
      <c r="E6341" s="9" t="str">
        <v>EPSG</v>
      </c>
      <c r="F6341" s="7" t="str">
        <v>28353</v>
      </c>
      <c r="G6341" t="str">
        <v>ProjectedCrs</v>
      </c>
      <c r="H6341" t="str">
        <v>Transverse Mercator</v>
      </c>
      <c r="I6341" t="str">
        <v>GDA94 / MGA zone 53</v>
      </c>
      <c r="J6341" t="str">
        <v>Australia - onshore and offshore between 132°E and 138°E.</v>
      </c>
      <c r="K6341" s="11">
        <v>0</v>
      </c>
    </row>
    <row r="6342" spans="5:11" x14ac:dyDescent="0.35">
      <c r="E6342" s="9" t="str">
        <v>EPSG</v>
      </c>
      <c r="F6342" s="7" t="str">
        <v>28354</v>
      </c>
      <c r="G6342" t="str">
        <v>ProjectedCrs</v>
      </c>
      <c r="H6342" t="str">
        <v>Transverse Mercator</v>
      </c>
      <c r="I6342" t="str">
        <v>GDA94 / MGA zone 54</v>
      </c>
      <c r="J6342" t="str">
        <v>Australia - onshore and offshore between 138°E and 144°E.</v>
      </c>
      <c r="K6342" s="11">
        <v>0</v>
      </c>
    </row>
    <row r="6343" spans="5:11" x14ac:dyDescent="0.35">
      <c r="E6343" s="9" t="str">
        <v>EPSG</v>
      </c>
      <c r="F6343" s="7" t="str">
        <v>28355</v>
      </c>
      <c r="G6343" t="str">
        <v>ProjectedCrs</v>
      </c>
      <c r="H6343" t="str">
        <v>Transverse Mercator</v>
      </c>
      <c r="I6343" t="str">
        <v>GDA94 / MGA zone 55</v>
      </c>
      <c r="J6343" t="str">
        <v>Australia - onshore and offshore between 144°E and 150°E.</v>
      </c>
      <c r="K6343" s="11">
        <v>0</v>
      </c>
    </row>
    <row r="6344" spans="5:11" x14ac:dyDescent="0.35">
      <c r="E6344" s="9" t="str">
        <v>EPSG</v>
      </c>
      <c r="F6344" s="7" t="str">
        <v>28356</v>
      </c>
      <c r="G6344" t="str">
        <v>ProjectedCrs</v>
      </c>
      <c r="H6344" t="str">
        <v>Transverse Mercator</v>
      </c>
      <c r="I6344" t="str">
        <v>GDA94 / MGA zone 56</v>
      </c>
      <c r="J6344" t="str">
        <v>Australia - onshore and offshore between 150°E and 156°E.</v>
      </c>
      <c r="K6344" s="11">
        <v>0</v>
      </c>
    </row>
    <row r="6345" spans="5:11" x14ac:dyDescent="0.35">
      <c r="E6345" s="9" t="str">
        <v>EPSG</v>
      </c>
      <c r="F6345" s="7" t="str">
        <v>28357</v>
      </c>
      <c r="G6345" t="str">
        <v>ProjectedCrs</v>
      </c>
      <c r="H6345" t="str">
        <v>Transverse Mercator</v>
      </c>
      <c r="I6345" t="str">
        <v>GDA94 / MGA zone 57</v>
      </c>
      <c r="J6345" t="str">
        <v>Australia including Lord Howe Island and Macquarie Island - onshore and offshore between 156°E and 162°E.</v>
      </c>
      <c r="K6345" s="11">
        <v>0</v>
      </c>
    </row>
    <row r="6346" spans="5:11" x14ac:dyDescent="0.35">
      <c r="E6346" s="9" t="str">
        <v>EPSG</v>
      </c>
      <c r="F6346" s="7" t="str">
        <v>28358</v>
      </c>
      <c r="G6346" t="str">
        <v>ProjectedCrs</v>
      </c>
      <c r="H6346" t="str">
        <v>Transverse Mercator</v>
      </c>
      <c r="I6346" t="str">
        <v>GDA94 / MGA zone 58</v>
      </c>
      <c r="J6346" t="str">
        <v>Australia - offshore east of 162°E. Norfolk Island - onshore and offshore west of 168°E.</v>
      </c>
      <c r="K6346" s="11">
        <v>0</v>
      </c>
    </row>
    <row r="6347" spans="5:11" x14ac:dyDescent="0.35">
      <c r="E6347" s="9" t="str">
        <v>EPSG</v>
      </c>
      <c r="F6347" s="7" t="str">
        <v>28404</v>
      </c>
      <c r="G6347" t="str">
        <v>ProjectedCrs</v>
      </c>
      <c r="H6347" t="str">
        <v>Transverse Mercator</v>
      </c>
      <c r="I6347" t="str">
        <v>Pulkovo 1942 / Gauss-Kruger zone 4</v>
      </c>
      <c r="J6347" t="str">
        <v>Belarus, Estonia, Latvia, Lithuania and Ukraine - onshore west of 24°E. Russian Federation - Kaliningrad onshore.</v>
      </c>
      <c r="K6347" s="11">
        <v>0</v>
      </c>
    </row>
    <row r="6348" spans="5:11" x14ac:dyDescent="0.35">
      <c r="E6348" s="9" t="str">
        <v>EPSG</v>
      </c>
      <c r="F6348" s="7" t="str">
        <v>28405</v>
      </c>
      <c r="G6348" t="str">
        <v>ProjectedCrs</v>
      </c>
      <c r="H6348" t="str">
        <v>Transverse Mercator</v>
      </c>
      <c r="I6348" t="str">
        <v>Pulkovo 1942 / Gauss-Kruger zone 5</v>
      </c>
      <c r="J6348" t="str">
        <v>Estonia; Latvia and Lithuania - onshore east of 24°E; Belarus, Moldova, Russian Federation and Ukraine - onshore 24°E to 30°E.</v>
      </c>
      <c r="K6348" s="11">
        <v>0</v>
      </c>
    </row>
    <row r="6349" spans="5:11" x14ac:dyDescent="0.35">
      <c r="E6349" s="9" t="str">
        <v>EPSG</v>
      </c>
      <c r="F6349" s="7" t="str">
        <v>28406</v>
      </c>
      <c r="G6349" t="str">
        <v>ProjectedCrs</v>
      </c>
      <c r="H6349" t="str">
        <v>Transverse Mercator</v>
      </c>
      <c r="I6349" t="str">
        <v>Pulkovo 1942 / Gauss-Kruger zone 6</v>
      </c>
      <c r="J6349" t="str">
        <v>Belarus and Moldova - east of 30°E; Russian Federation and Ukraine - onshore 30°E to 36°E.</v>
      </c>
      <c r="K6349" s="11">
        <v>0</v>
      </c>
    </row>
    <row r="6350" spans="5:11" x14ac:dyDescent="0.35">
      <c r="E6350" s="9" t="str">
        <v>EPSG</v>
      </c>
      <c r="F6350" s="7" t="str">
        <v>28407</v>
      </c>
      <c r="G6350" t="str">
        <v>ProjectedCrs</v>
      </c>
      <c r="H6350" t="str">
        <v>Transverse Mercator</v>
      </c>
      <c r="I6350" t="str">
        <v>Pulkovo 1942 / Gauss-Kruger zone 7</v>
      </c>
      <c r="J6350" t="str">
        <v>Georgia - onshore west of 36°E; Russian Federation - onshore 36°E to 42°E; Ukraine - onshore east of 36°E.</v>
      </c>
      <c r="K6350" s="11">
        <v>0</v>
      </c>
    </row>
    <row r="6351" spans="5:11" x14ac:dyDescent="0.35">
      <c r="E6351" s="9" t="str">
        <v>EPSG</v>
      </c>
      <c r="F6351" s="7" t="str">
        <v>28408</v>
      </c>
      <c r="G6351" t="str">
        <v>ProjectedCrs</v>
      </c>
      <c r="H6351" t="str">
        <v>Transverse Mercator</v>
      </c>
      <c r="I6351" t="str">
        <v>Pulkovo 1942 / Gauss-Kruger zone 8</v>
      </c>
      <c r="J6351" t="str">
        <v>Armenia - west of 48°E; Azerbaijan - west of 48°E; Georgia - east of 42°E; Kazakhstan - west of 48°E; Russian Federation - onshore 42°E to 48°E.</v>
      </c>
      <c r="K6351" s="11">
        <v>0</v>
      </c>
    </row>
    <row r="6352" spans="5:11" x14ac:dyDescent="0.35">
      <c r="E6352" s="9" t="str">
        <v>EPSG</v>
      </c>
      <c r="F6352" s="7" t="str">
        <v>28409</v>
      </c>
      <c r="G6352" t="str">
        <v>ProjectedCrs</v>
      </c>
      <c r="H6352" t="str">
        <v>Transverse Mercator</v>
      </c>
      <c r="I6352" t="str">
        <v>Pulkovo 1942 / Gauss-Kruger zone 9</v>
      </c>
      <c r="J6352" t="str">
        <v>Azerbaijan - east of 48°E; Kazakhstan - 48°E to 54°E; Russian Federation - 48°E to 54°E; Turkmenistan - west of 54°E. Includes Caspian Sea (considered a lake rather than offshore).</v>
      </c>
      <c r="K6352" s="11">
        <v>0</v>
      </c>
    </row>
    <row r="6353" spans="5:11" x14ac:dyDescent="0.35">
      <c r="E6353" s="9" t="str">
        <v>EPSG</v>
      </c>
      <c r="F6353" s="7" t="str">
        <v>28410</v>
      </c>
      <c r="G6353" t="str">
        <v>ProjectedCrs</v>
      </c>
      <c r="H6353" t="str">
        <v>Transverse Mercator</v>
      </c>
      <c r="I6353" t="str">
        <v>Pulkovo 1942 / Gauss-Kruger zone 10</v>
      </c>
      <c r="J6353" t="str">
        <v>Kazakhstan; Russian Federation - onshore; Turkmenistan - 54°E to 60°E; Uzbekistan - west of 60°E.</v>
      </c>
      <c r="K6353" s="11">
        <v>0</v>
      </c>
    </row>
    <row r="6354" spans="5:11" x14ac:dyDescent="0.35">
      <c r="E6354" s="9" t="str">
        <v>EPSG</v>
      </c>
      <c r="F6354" s="7" t="str">
        <v>28411</v>
      </c>
      <c r="G6354" t="str">
        <v>ProjectedCrs</v>
      </c>
      <c r="H6354" t="str">
        <v>Transverse Mercator</v>
      </c>
      <c r="I6354" t="str">
        <v>Pulkovo 1942 / Gauss-Kruger zone 11</v>
      </c>
      <c r="J6354" t="str">
        <v>Kazakhstan; Russian Federation - onshore; Uzbekistan - 60°E to 66°E; Turkmenistan - east of 60°E.</v>
      </c>
      <c r="K6354" s="11">
        <v>0</v>
      </c>
    </row>
    <row r="6355" spans="5:11" x14ac:dyDescent="0.35">
      <c r="E6355" s="9" t="str">
        <v>EPSG</v>
      </c>
      <c r="F6355" s="7" t="str">
        <v>28412</v>
      </c>
      <c r="G6355" t="str">
        <v>ProjectedCrs</v>
      </c>
      <c r="H6355" t="str">
        <v>Transverse Mercator</v>
      </c>
      <c r="I6355" t="str">
        <v>Pulkovo 1942 / Gauss-Kruger zone 12</v>
      </c>
      <c r="J6355" t="str">
        <v>Kazakhstan, Russian Federation onshore and Uzbekistan - 66°E to 72°E; Kyrgyzstan and Tajikistan - west of 72°E.</v>
      </c>
      <c r="K6355" s="11">
        <v>0</v>
      </c>
    </row>
    <row r="6356" spans="5:11" x14ac:dyDescent="0.35">
      <c r="E6356" s="9" t="str">
        <v>EPSG</v>
      </c>
      <c r="F6356" s="7" t="str">
        <v>28413</v>
      </c>
      <c r="G6356" t="str">
        <v>ProjectedCrs</v>
      </c>
      <c r="H6356" t="str">
        <v>Transverse Mercator</v>
      </c>
      <c r="I6356" t="str">
        <v>Pulkovo 1942 / Gauss-Kruger zone 13</v>
      </c>
      <c r="J6356" t="str">
        <v>Kazakhstan; Kyrgyzstan; Russian Federation onshore - 72°E to 78°E; Tajikistan and Uzbekistan - east of 72°E.</v>
      </c>
      <c r="K6356" s="11">
        <v>0</v>
      </c>
    </row>
    <row r="6357" spans="5:11" x14ac:dyDescent="0.35">
      <c r="E6357" s="9" t="str">
        <v>EPSG</v>
      </c>
      <c r="F6357" s="7" t="str">
        <v>28414</v>
      </c>
      <c r="G6357" t="str">
        <v>ProjectedCrs</v>
      </c>
      <c r="H6357" t="str">
        <v>Transverse Mercator</v>
      </c>
      <c r="I6357" t="str">
        <v>Pulkovo 1942 / Gauss-Kruger zone 14</v>
      </c>
      <c r="J6357" t="str">
        <v>Kazakhstan and Russian Federation onshore - 78°E to 84°E; Kyrgyzstan - east of 78°E.</v>
      </c>
      <c r="K6357" s="11">
        <v>0</v>
      </c>
    </row>
    <row r="6358" spans="5:11" x14ac:dyDescent="0.35">
      <c r="E6358" s="9" t="str">
        <v>EPSG</v>
      </c>
      <c r="F6358" s="7" t="str">
        <v>28415</v>
      </c>
      <c r="G6358" t="str">
        <v>ProjectedCrs</v>
      </c>
      <c r="H6358" t="str">
        <v>Transverse Mercator</v>
      </c>
      <c r="I6358" t="str">
        <v>Pulkovo 1942 / Gauss-Kruger zone 15</v>
      </c>
      <c r="J6358" t="str">
        <v>Kazakhstan - east of 84°E; Russian Federation - onshore 84°E to 90°E.</v>
      </c>
      <c r="K6358" s="11">
        <v>0</v>
      </c>
    </row>
    <row r="6359" spans="5:11" x14ac:dyDescent="0.35">
      <c r="E6359" s="9" t="str">
        <v>EPSG</v>
      </c>
      <c r="F6359" s="7" t="str">
        <v>28416</v>
      </c>
      <c r="G6359" t="str">
        <v>ProjectedCrs</v>
      </c>
      <c r="H6359" t="str">
        <v>Transverse Mercator</v>
      </c>
      <c r="I6359" t="str">
        <v>Pulkovo 1942 / Gauss-Kruger zone 16</v>
      </c>
      <c r="J6359" t="str">
        <v>Russian Federation - onshore between 90°E and 96°E.</v>
      </c>
      <c r="K6359" s="11">
        <v>0</v>
      </c>
    </row>
    <row r="6360" spans="5:11" x14ac:dyDescent="0.35">
      <c r="E6360" s="9" t="str">
        <v>EPSG</v>
      </c>
      <c r="F6360" s="7" t="str">
        <v>28417</v>
      </c>
      <c r="G6360" t="str">
        <v>ProjectedCrs</v>
      </c>
      <c r="H6360" t="str">
        <v>Transverse Mercator</v>
      </c>
      <c r="I6360" t="str">
        <v>Pulkovo 1942 / Gauss-Kruger zone 17</v>
      </c>
      <c r="J6360" t="str">
        <v>Russian Federation - onshore between 96°E and 102°E.</v>
      </c>
      <c r="K6360" s="11">
        <v>0</v>
      </c>
    </row>
    <row r="6361" spans="5:11" x14ac:dyDescent="0.35">
      <c r="E6361" s="9" t="str">
        <v>EPSG</v>
      </c>
      <c r="F6361" s="7" t="str">
        <v>28418</v>
      </c>
      <c r="G6361" t="str">
        <v>ProjectedCrs</v>
      </c>
      <c r="H6361" t="str">
        <v>Transverse Mercator</v>
      </c>
      <c r="I6361" t="str">
        <v>Pulkovo 1942 / Gauss-Kruger zone 18</v>
      </c>
      <c r="J6361" t="str">
        <v>Russian Federation - onshore between 102°E and 108°E.</v>
      </c>
      <c r="K6361" s="11">
        <v>0</v>
      </c>
    </row>
    <row r="6362" spans="5:11" x14ac:dyDescent="0.35">
      <c r="E6362" s="9" t="str">
        <v>EPSG</v>
      </c>
      <c r="F6362" s="7" t="str">
        <v>28419</v>
      </c>
      <c r="G6362" t="str">
        <v>ProjectedCrs</v>
      </c>
      <c r="H6362" t="str">
        <v>Transverse Mercator</v>
      </c>
      <c r="I6362" t="str">
        <v>Pulkovo 1942 / Gauss-Kruger zone 19</v>
      </c>
      <c r="J6362" t="str">
        <v>Russian Federation - onshore between 108°E and 114°E.</v>
      </c>
      <c r="K6362" s="11">
        <v>0</v>
      </c>
    </row>
    <row r="6363" spans="5:11" x14ac:dyDescent="0.35">
      <c r="E6363" s="9" t="str">
        <v>EPSG</v>
      </c>
      <c r="F6363" s="7" t="str">
        <v>28420</v>
      </c>
      <c r="G6363" t="str">
        <v>ProjectedCrs</v>
      </c>
      <c r="H6363" t="str">
        <v>Transverse Mercator</v>
      </c>
      <c r="I6363" t="str">
        <v>Pulkovo 1942 / Gauss-Kruger zone 20</v>
      </c>
      <c r="J6363" t="str">
        <v>Russian Federation - onshore between 114°E and 120°E.</v>
      </c>
      <c r="K6363" s="11">
        <v>0</v>
      </c>
    </row>
    <row r="6364" spans="5:11" x14ac:dyDescent="0.35">
      <c r="E6364" s="9" t="str">
        <v>EPSG</v>
      </c>
      <c r="F6364" s="7" t="str">
        <v>28421</v>
      </c>
      <c r="G6364" t="str">
        <v>ProjectedCrs</v>
      </c>
      <c r="H6364" t="str">
        <v>Transverse Mercator</v>
      </c>
      <c r="I6364" t="str">
        <v>Pulkovo 1942 / Gauss-Kruger zone 21</v>
      </c>
      <c r="J6364" t="str">
        <v>Russian Federation - onshore between 120°E and 126°E.</v>
      </c>
      <c r="K6364" s="11">
        <v>0</v>
      </c>
    </row>
    <row r="6365" spans="5:11" x14ac:dyDescent="0.35">
      <c r="E6365" s="9" t="str">
        <v>EPSG</v>
      </c>
      <c r="F6365" s="7" t="str">
        <v>28422</v>
      </c>
      <c r="G6365" t="str">
        <v>ProjectedCrs</v>
      </c>
      <c r="H6365" t="str">
        <v>Transverse Mercator</v>
      </c>
      <c r="I6365" t="str">
        <v>Pulkovo 1942 / Gauss-Kruger zone 22</v>
      </c>
      <c r="J6365" t="str">
        <v>Russian Federation - onshore between 126°E and 132°E.</v>
      </c>
      <c r="K6365" s="11">
        <v>0</v>
      </c>
    </row>
    <row r="6366" spans="5:11" x14ac:dyDescent="0.35">
      <c r="E6366" s="9" t="str">
        <v>EPSG</v>
      </c>
      <c r="F6366" s="7" t="str">
        <v>28423</v>
      </c>
      <c r="G6366" t="str">
        <v>ProjectedCrs</v>
      </c>
      <c r="H6366" t="str">
        <v>Transverse Mercator</v>
      </c>
      <c r="I6366" t="str">
        <v>Pulkovo 1942 / Gauss-Kruger zone 23</v>
      </c>
      <c r="J6366" t="str">
        <v>Russian Federation - onshore between 132°E and 138°E.</v>
      </c>
      <c r="K6366" s="11">
        <v>0</v>
      </c>
    </row>
    <row r="6367" spans="5:11" x14ac:dyDescent="0.35">
      <c r="E6367" s="9" t="str">
        <v>EPSG</v>
      </c>
      <c r="F6367" s="7" t="str">
        <v>28424</v>
      </c>
      <c r="G6367" t="str">
        <v>ProjectedCrs</v>
      </c>
      <c r="H6367" t="str">
        <v>Transverse Mercator</v>
      </c>
      <c r="I6367" t="str">
        <v>Pulkovo 1942 / Gauss-Kruger zone 24</v>
      </c>
      <c r="J6367" t="str">
        <v>Russian Federation - onshore between 138°E and 144°E.</v>
      </c>
      <c r="K6367" s="11">
        <v>0</v>
      </c>
    </row>
    <row r="6368" spans="5:11" x14ac:dyDescent="0.35">
      <c r="E6368" s="9" t="str">
        <v>EPSG</v>
      </c>
      <c r="F6368" s="7" t="str">
        <v>28425</v>
      </c>
      <c r="G6368" t="str">
        <v>ProjectedCrs</v>
      </c>
      <c r="H6368" t="str">
        <v>Transverse Mercator</v>
      </c>
      <c r="I6368" t="str">
        <v>Pulkovo 1942 / Gauss-Kruger zone 25</v>
      </c>
      <c r="J6368" t="str">
        <v>Russian Federation - onshore between 144°E and 150°E.</v>
      </c>
      <c r="K6368" s="11">
        <v>0</v>
      </c>
    </row>
    <row r="6369" spans="5:11" x14ac:dyDescent="0.35">
      <c r="E6369" s="9" t="str">
        <v>EPSG</v>
      </c>
      <c r="F6369" s="7" t="str">
        <v>28426</v>
      </c>
      <c r="G6369" t="str">
        <v>ProjectedCrs</v>
      </c>
      <c r="H6369" t="str">
        <v>Transverse Mercator</v>
      </c>
      <c r="I6369" t="str">
        <v>Pulkovo 1942 / Gauss-Kruger zone 26</v>
      </c>
      <c r="J6369" t="str">
        <v>Russian Federation - onshore between 150°E and 156°E.</v>
      </c>
      <c r="K6369" s="11">
        <v>0</v>
      </c>
    </row>
    <row r="6370" spans="5:11" x14ac:dyDescent="0.35">
      <c r="E6370" s="9" t="str">
        <v>EPSG</v>
      </c>
      <c r="F6370" s="7" t="str">
        <v>28427</v>
      </c>
      <c r="G6370" t="str">
        <v>ProjectedCrs</v>
      </c>
      <c r="H6370" t="str">
        <v>Transverse Mercator</v>
      </c>
      <c r="I6370" t="str">
        <v>Pulkovo 1942 / Gauss-Kruger zone 27</v>
      </c>
      <c r="J6370" t="str">
        <v>Russian Federation - onshore between 156°E and 162°E.</v>
      </c>
      <c r="K6370" s="11">
        <v>0</v>
      </c>
    </row>
    <row r="6371" spans="5:11" x14ac:dyDescent="0.35">
      <c r="E6371" s="9" t="str">
        <v>EPSG</v>
      </c>
      <c r="F6371" s="7" t="str">
        <v>28428</v>
      </c>
      <c r="G6371" t="str">
        <v>ProjectedCrs</v>
      </c>
      <c r="H6371" t="str">
        <v>Transverse Mercator</v>
      </c>
      <c r="I6371" t="str">
        <v>Pulkovo 1942 / Gauss-Kruger zone 28</v>
      </c>
      <c r="J6371" t="str">
        <v>Russian Federation - onshore between 162°E and 168°E.</v>
      </c>
      <c r="K6371" s="11">
        <v>0</v>
      </c>
    </row>
    <row r="6372" spans="5:11" x14ac:dyDescent="0.35">
      <c r="E6372" s="9" t="str">
        <v>EPSG</v>
      </c>
      <c r="F6372" s="7" t="str">
        <v>28429</v>
      </c>
      <c r="G6372" t="str">
        <v>ProjectedCrs</v>
      </c>
      <c r="H6372" t="str">
        <v>Transverse Mercator</v>
      </c>
      <c r="I6372" t="str">
        <v>Pulkovo 1942 / Gauss-Kruger zone 29</v>
      </c>
      <c r="J6372" t="str">
        <v>Russian Federation - onshore between 168°E and 174°E.</v>
      </c>
      <c r="K6372" s="11">
        <v>0</v>
      </c>
    </row>
    <row r="6373" spans="5:11" x14ac:dyDescent="0.35">
      <c r="E6373" s="9" t="str">
        <v>EPSG</v>
      </c>
      <c r="F6373" s="7" t="str">
        <v>28430</v>
      </c>
      <c r="G6373" t="str">
        <v>ProjectedCrs</v>
      </c>
      <c r="H6373" t="str">
        <v>Transverse Mercator</v>
      </c>
      <c r="I6373" t="str">
        <v>Pulkovo 1942 / Gauss-Kruger zone 30</v>
      </c>
      <c r="J6373" t="str">
        <v>Russian Federation - onshore between 174°E and 180°E .</v>
      </c>
      <c r="K6373" s="11">
        <v>0</v>
      </c>
    </row>
    <row r="6374" spans="5:11" x14ac:dyDescent="0.35">
      <c r="E6374" s="9" t="str">
        <v>EPSG</v>
      </c>
      <c r="F6374" s="7" t="str">
        <v>28431</v>
      </c>
      <c r="G6374" t="str">
        <v>ProjectedCrs</v>
      </c>
      <c r="H6374" t="str">
        <v>Transverse Mercator</v>
      </c>
      <c r="I6374" t="str">
        <v>Pulkovo 1942 / Gauss-Kruger zone 31</v>
      </c>
      <c r="J6374" t="str">
        <v>Russian Federation - onshore between 180°E and 174°W.</v>
      </c>
      <c r="K6374" s="11">
        <v>0</v>
      </c>
    </row>
    <row r="6375" spans="5:11" x14ac:dyDescent="0.35">
      <c r="E6375" s="9" t="str">
        <v>EPSG</v>
      </c>
      <c r="F6375" s="7" t="str">
        <v>28432</v>
      </c>
      <c r="G6375" t="str">
        <v>ProjectedCrs</v>
      </c>
      <c r="H6375" t="str">
        <v>Transverse Mercator</v>
      </c>
      <c r="I6375" t="str">
        <v>Pulkovo 1942 / Gauss-Kruger zone 32</v>
      </c>
      <c r="J6375" t="str">
        <v>Russian Federation - onshore east of 174°W.</v>
      </c>
      <c r="K6375" s="11">
        <v>0</v>
      </c>
    </row>
    <row r="6376" spans="5:11" x14ac:dyDescent="0.35">
      <c r="E6376" s="9" t="str">
        <v>EPSG</v>
      </c>
      <c r="F6376" s="7" t="str">
        <v>28600</v>
      </c>
      <c r="G6376" t="str">
        <v>ProjectedCrs</v>
      </c>
      <c r="H6376" t="str">
        <v>Transverse Mercator</v>
      </c>
      <c r="I6376" t="str">
        <v>Qatar 1974 / Qatar National Grid</v>
      </c>
      <c r="J6376" t="str">
        <v>Qatar - onshore.</v>
      </c>
      <c r="K6376" s="11">
        <v>0</v>
      </c>
    </row>
    <row r="6377" spans="5:11" x14ac:dyDescent="0.35">
      <c r="E6377" s="9" t="str">
        <v>EPSG</v>
      </c>
      <c r="F6377" s="7" t="str">
        <v>28991</v>
      </c>
      <c r="G6377" t="str">
        <v>ProjectedCrs</v>
      </c>
      <c r="H6377" t="str">
        <v>Oblique Stereographic</v>
      </c>
      <c r="I6377" t="str">
        <v>Amersfoort / RD Old</v>
      </c>
      <c r="J6377" t="str">
        <v>Netherlands - onshore, including Waddenzee, Dutch Wadden Islands and 12-mile offshore coastal zone.</v>
      </c>
      <c r="K6377" s="11">
        <v>0</v>
      </c>
    </row>
    <row r="6378" spans="5:11" x14ac:dyDescent="0.35">
      <c r="E6378" s="9" t="str">
        <v>EPSG</v>
      </c>
      <c r="F6378" s="7" t="str">
        <v>28992</v>
      </c>
      <c r="G6378" t="str">
        <v>ProjectedCrs</v>
      </c>
      <c r="H6378" t="str">
        <v>Oblique Stereographic</v>
      </c>
      <c r="I6378" t="str">
        <v>Amersfoort / RD New</v>
      </c>
      <c r="J6378" t="str">
        <v>Netherlands - onshore, including Waddenzee, Dutch Wadden Islands and 12-mile offshore coastal zone.</v>
      </c>
      <c r="K6378" s="11">
        <v>0</v>
      </c>
    </row>
    <row r="6379" spans="5:11" x14ac:dyDescent="0.35">
      <c r="E6379" s="9" t="str">
        <v>EPSG</v>
      </c>
      <c r="F6379" s="7" t="str">
        <v>29101</v>
      </c>
      <c r="G6379" t="str">
        <v>ProjectedCrs</v>
      </c>
      <c r="H6379" t="str">
        <v>American Polyconic</v>
      </c>
      <c r="I6379" t="str">
        <v>SAD69 / Brazil Polyconic</v>
      </c>
      <c r="J6379" t="str">
        <v>Brazil - onshore and offshore. Includes Rocas, Fernando de Noronha archipelago, Trindade, Ihlas Martim Vaz and Sao Pedro e Sao Paulo.</v>
      </c>
      <c r="K6379" s="11">
        <v>0</v>
      </c>
    </row>
    <row r="6380" spans="5:11" x14ac:dyDescent="0.35">
      <c r="E6380" s="9" t="str">
        <v>EPSG</v>
      </c>
      <c r="F6380" s="7" t="str">
        <v>29168</v>
      </c>
      <c r="G6380" t="str">
        <v>ProjectedCrs</v>
      </c>
      <c r="H6380" t="str">
        <v>Transverse Mercator</v>
      </c>
      <c r="I6380" t="str">
        <v>SAD69 / UTM zone 18N</v>
      </c>
      <c r="J6380" t="str">
        <v>South America between 78°W and 72°W, northern hemisphere, onshore.</v>
      </c>
      <c r="K6380" s="11">
        <v>0</v>
      </c>
    </row>
    <row r="6381" spans="5:11" x14ac:dyDescent="0.35">
      <c r="E6381" s="9" t="str">
        <v>EPSG</v>
      </c>
      <c r="F6381" s="7" t="str">
        <v>29169</v>
      </c>
      <c r="G6381" t="str">
        <v>ProjectedCrs</v>
      </c>
      <c r="H6381" t="str">
        <v>Transverse Mercator</v>
      </c>
      <c r="I6381" t="str">
        <v>SAD69 / UTM zone 19N</v>
      </c>
      <c r="J6381" t="str">
        <v>South America between 72°W and 66°W, northern hemisphere, onshore, but excluding the area between approximately 0°N, 70°W to 2°N, 70°W to 2°N, 66°W.</v>
      </c>
      <c r="K6381" s="11">
        <v>0</v>
      </c>
    </row>
    <row r="6382" spans="5:11" x14ac:dyDescent="0.35">
      <c r="E6382" s="9" t="str">
        <v>EPSG</v>
      </c>
      <c r="F6382" s="7" t="str">
        <v>29170</v>
      </c>
      <c r="G6382" t="str">
        <v>ProjectedCrs</v>
      </c>
      <c r="H6382" t="str">
        <v>Transverse Mercator</v>
      </c>
      <c r="I6382" t="str">
        <v>SAD69 / UTM zone 20N</v>
      </c>
      <c r="J6382" t="str">
        <v>South America between 66°W and 60°W, northern hemisphere, onshore, but excluding most of the area south of 4°N.</v>
      </c>
      <c r="K6382" s="11">
        <v>0</v>
      </c>
    </row>
    <row r="6383" spans="5:11" x14ac:dyDescent="0.35">
      <c r="E6383" s="9" t="str">
        <v>EPSG</v>
      </c>
      <c r="F6383" s="7" t="str">
        <v>29171</v>
      </c>
      <c r="G6383" t="str">
        <v>ProjectedCrs</v>
      </c>
      <c r="H6383" t="str">
        <v>Transverse Mercator</v>
      </c>
      <c r="I6383" t="str">
        <v>SAD69 / UTM zone 21N</v>
      </c>
      <c r="J6383" t="str">
        <v>South America between 60°W and 54°W, northern hemisphere onshore, but excluding most of the area south of approximately 2°N.</v>
      </c>
      <c r="K6383" s="11">
        <v>0</v>
      </c>
    </row>
    <row r="6384" spans="5:11" x14ac:dyDescent="0.35">
      <c r="E6384" s="9" t="str">
        <v>EPSG</v>
      </c>
      <c r="F6384" s="7" t="str">
        <v>29172</v>
      </c>
      <c r="G6384" t="str">
        <v>ProjectedCrs</v>
      </c>
      <c r="H6384" t="str">
        <v>Transverse Mercator</v>
      </c>
      <c r="I6384" t="str">
        <v>SAD69 / UTM zone 22N</v>
      </c>
      <c r="J6384" t="str">
        <v>Brazil - offshore deep water - Amazon cone. In remainder of South America, between 54°W and 48°W, northern hemisphere onshore but excluding most of the area southeast of a line between approximately 2°N, 54°W and 4°N, 52°W.</v>
      </c>
      <c r="K6384" s="11">
        <v>0</v>
      </c>
    </row>
    <row r="6385" spans="5:11" x14ac:dyDescent="0.35">
      <c r="E6385" s="9" t="str">
        <v>EPSG</v>
      </c>
      <c r="F6385" s="7" t="str">
        <v>29187</v>
      </c>
      <c r="G6385" t="str">
        <v>ProjectedCrs</v>
      </c>
      <c r="H6385" t="str">
        <v>Transverse Mercator</v>
      </c>
      <c r="I6385" t="str">
        <v>SAD69 / UTM zone 17S</v>
      </c>
      <c r="J6385" t="str">
        <v>South America between 84°W and 78°W, southern hemisphere, onshore.</v>
      </c>
      <c r="K6385" s="11">
        <v>0</v>
      </c>
    </row>
    <row r="6386" spans="5:11" x14ac:dyDescent="0.35">
      <c r="E6386" s="9" t="str">
        <v>EPSG</v>
      </c>
      <c r="F6386" s="7" t="str">
        <v>29188</v>
      </c>
      <c r="G6386" t="str">
        <v>ProjectedCrs</v>
      </c>
      <c r="H6386" t="str">
        <v>Transverse Mercator</v>
      </c>
      <c r="I6386" t="str">
        <v>SAD69 / UTM zone 18S</v>
      </c>
      <c r="J6386" t="str">
        <v>Brazil - west of 72°W. In rest of South America between 78°W and 72°W, southern hemisphere onshore north of 45°S.</v>
      </c>
      <c r="K6386" s="11">
        <v>0</v>
      </c>
    </row>
    <row r="6387" spans="5:11" x14ac:dyDescent="0.35">
      <c r="E6387" s="9" t="str">
        <v>EPSG</v>
      </c>
      <c r="F6387" s="7" t="str">
        <v>29189</v>
      </c>
      <c r="G6387" t="str">
        <v>ProjectedCrs</v>
      </c>
      <c r="H6387" t="str">
        <v>Transverse Mercator</v>
      </c>
      <c r="I6387" t="str">
        <v>SAD69 / UTM zone 19S</v>
      </c>
      <c r="J6387" t="str">
        <v>Brazil - between 72°W and 66°W, northern and southern hemispheres. In rest of South America between 72°W and 66°W, southern hemisphere onshore north of 45°S.</v>
      </c>
      <c r="K6387" s="11">
        <v>0</v>
      </c>
    </row>
    <row r="6388" spans="5:11" x14ac:dyDescent="0.35">
      <c r="E6388" s="9" t="str">
        <v>EPSG</v>
      </c>
      <c r="F6388" s="7" t="str">
        <v>29190</v>
      </c>
      <c r="G6388" t="str">
        <v>ProjectedCrs</v>
      </c>
      <c r="H6388" t="str">
        <v>Transverse Mercator</v>
      </c>
      <c r="I6388" t="str">
        <v>SAD69 / UTM zone 20S</v>
      </c>
      <c r="J6388" t="str">
        <v>Brazil - between 66°W and 60°W, northern and southern hemispheres. In rest of South America between 66°W and 60°W, southern hemisphere onshore.</v>
      </c>
      <c r="K6388" s="11">
        <v>0</v>
      </c>
    </row>
    <row r="6389" spans="5:11" x14ac:dyDescent="0.35">
      <c r="E6389" s="9" t="str">
        <v>EPSG</v>
      </c>
      <c r="F6389" s="7" t="str">
        <v>29191</v>
      </c>
      <c r="G6389" t="str">
        <v>ProjectedCrs</v>
      </c>
      <c r="H6389" t="str">
        <v>Transverse Mercator</v>
      </c>
      <c r="I6389" t="str">
        <v>SAD69 / UTM zone 21S</v>
      </c>
      <c r="J6389" t="str">
        <v>Brazil - between 60°W and 54°W, northern and southern hemispheres. In rest of South America between 60°W and 54°W southern hemisphere, onshore.</v>
      </c>
      <c r="K6389" s="11">
        <v>0</v>
      </c>
    </row>
    <row r="6390" spans="5:11" x14ac:dyDescent="0.35">
      <c r="E6390" s="9" t="str">
        <v>EPSG</v>
      </c>
      <c r="F6390" s="7" t="str">
        <v>29192</v>
      </c>
      <c r="G6390" t="str">
        <v>ProjectedCrs</v>
      </c>
      <c r="H6390" t="str">
        <v>Transverse Mercator</v>
      </c>
      <c r="I6390" t="str">
        <v>SAD69 / UTM zone 22S</v>
      </c>
      <c r="J6390" t="str">
        <v>Brazil - onshore and offshore northern and southern hemispheres between 54°W and 48°W. In remainder of South America - between 54°W and 48°W, southern hemisphere, onshore.</v>
      </c>
      <c r="K6390" s="11">
        <v>0</v>
      </c>
    </row>
    <row r="6391" spans="5:11" x14ac:dyDescent="0.35">
      <c r="E6391" s="9" t="str">
        <v>EPSG</v>
      </c>
      <c r="F6391" s="7" t="str">
        <v>29193</v>
      </c>
      <c r="G6391" t="str">
        <v>ProjectedCrs</v>
      </c>
      <c r="H6391" t="str">
        <v>Transverse Mercator</v>
      </c>
      <c r="I6391" t="str">
        <v>SAD69 / UTM zone 23S</v>
      </c>
      <c r="J6391" t="str">
        <v>Brazil - between 48°W and 42°W, northern and southern hemispheres, onshore and offshore.</v>
      </c>
      <c r="K6391" s="11">
        <v>0</v>
      </c>
    </row>
    <row r="6392" spans="5:11" x14ac:dyDescent="0.35">
      <c r="E6392" s="9" t="str">
        <v>EPSG</v>
      </c>
      <c r="F6392" s="7" t="str">
        <v>29194</v>
      </c>
      <c r="G6392" t="str">
        <v>ProjectedCrs</v>
      </c>
      <c r="H6392" t="str">
        <v>Transverse Mercator</v>
      </c>
      <c r="I6392" t="str">
        <v>SAD69 / UTM zone 24S</v>
      </c>
      <c r="J6392" t="str">
        <v>Brazil - between 42°W and 36°W, northern and southern hemispheres, onshore and offshore.</v>
      </c>
      <c r="K6392" s="11">
        <v>0</v>
      </c>
    </row>
    <row r="6393" spans="5:11" x14ac:dyDescent="0.35">
      <c r="E6393" s="9" t="str">
        <v>EPSG</v>
      </c>
      <c r="F6393" s="7" t="str">
        <v>29195</v>
      </c>
      <c r="G6393" t="str">
        <v>ProjectedCrs</v>
      </c>
      <c r="H6393" t="str">
        <v>Transverse Mercator</v>
      </c>
      <c r="I6393" t="str">
        <v>SAD69 / UTM zone 25S</v>
      </c>
      <c r="J6393" t="str">
        <v>Brazil - between 36°W and 30°W, northern and southern hemispheres, onshore and offshore.</v>
      </c>
      <c r="K6393" s="11">
        <v>0</v>
      </c>
    </row>
    <row r="6394" spans="5:11" x14ac:dyDescent="0.35">
      <c r="E6394" s="9" t="str">
        <v>EPSG</v>
      </c>
      <c r="F6394" s="7" t="str">
        <v>29220</v>
      </c>
      <c r="G6394" t="str">
        <v>ProjectedCrs</v>
      </c>
      <c r="H6394" t="str">
        <v>Transverse Mercator</v>
      </c>
      <c r="I6394" t="str">
        <v>Sapper Hill 1943 / UTM zone 20S</v>
      </c>
      <c r="J6394" t="str">
        <v>Falkland Islands (Malvinas) - onshore west of 60°W.</v>
      </c>
      <c r="K6394" s="11">
        <v>0</v>
      </c>
    </row>
    <row r="6395" spans="5:11" x14ac:dyDescent="0.35">
      <c r="E6395" s="9" t="str">
        <v>EPSG</v>
      </c>
      <c r="F6395" s="7" t="str">
        <v>29221</v>
      </c>
      <c r="G6395" t="str">
        <v>ProjectedCrs</v>
      </c>
      <c r="H6395" t="str">
        <v>Transverse Mercator</v>
      </c>
      <c r="I6395" t="str">
        <v>Sapper Hill 1943 / UTM zone 21S</v>
      </c>
      <c r="J6395" t="str">
        <v>Falkland Islands (Malvinas) - onshore east of 60°W.</v>
      </c>
      <c r="K6395" s="11">
        <v>0</v>
      </c>
    </row>
    <row r="6396" spans="5:11" x14ac:dyDescent="0.35">
      <c r="E6396" s="9" t="str">
        <v>EPSG</v>
      </c>
      <c r="F6396" s="7" t="str">
        <v>29333</v>
      </c>
      <c r="G6396" t="str">
        <v>ProjectedCrs</v>
      </c>
      <c r="H6396" t="str">
        <v>Transverse Mercator</v>
      </c>
      <c r="I6396" t="str">
        <v>Schwarzeck / UTM zone 33S</v>
      </c>
      <c r="J6396" t="str">
        <v>Namibia - offshore.</v>
      </c>
      <c r="K6396" s="11">
        <v>0</v>
      </c>
    </row>
    <row r="6397" spans="5:11" x14ac:dyDescent="0.35">
      <c r="E6397" s="9" t="str">
        <v>EPSG</v>
      </c>
      <c r="F6397" s="7" t="str">
        <v>29371</v>
      </c>
      <c r="G6397" t="str">
        <v>ProjectedCrs</v>
      </c>
      <c r="H6397" t="str">
        <v>Transverse Mercator (South Orientated)</v>
      </c>
      <c r="I6397" t="str">
        <v>Schwarzeck / Lo22/11</v>
      </c>
      <c r="J6397" t="str">
        <v>Namibia - onshore west of 12°E.</v>
      </c>
      <c r="K6397" s="11">
        <v>0</v>
      </c>
    </row>
    <row r="6398" spans="5:11" x14ac:dyDescent="0.35">
      <c r="E6398" s="9" t="str">
        <v>EPSG</v>
      </c>
      <c r="F6398" s="7" t="str">
        <v>29373</v>
      </c>
      <c r="G6398" t="str">
        <v>ProjectedCrs</v>
      </c>
      <c r="H6398" t="str">
        <v>Transverse Mercator (South Orientated)</v>
      </c>
      <c r="I6398" t="str">
        <v>Schwarzeck / Lo22/13</v>
      </c>
      <c r="J6398" t="str">
        <v>Namibia - onshore between 12°E and 14°E.</v>
      </c>
      <c r="K6398" s="11">
        <v>0</v>
      </c>
    </row>
    <row r="6399" spans="5:11" x14ac:dyDescent="0.35">
      <c r="E6399" s="9" t="str">
        <v>EPSG</v>
      </c>
      <c r="F6399" s="7" t="str">
        <v>29375</v>
      </c>
      <c r="G6399" t="str">
        <v>ProjectedCrs</v>
      </c>
      <c r="H6399" t="str">
        <v>Transverse Mercator (South Orientated)</v>
      </c>
      <c r="I6399" t="str">
        <v>Schwarzeck / Lo22/15</v>
      </c>
      <c r="J6399" t="str">
        <v>Namibia - onshore between 14°E and 16°E.</v>
      </c>
      <c r="K6399" s="11">
        <v>0</v>
      </c>
    </row>
    <row r="6400" spans="5:11" x14ac:dyDescent="0.35">
      <c r="E6400" s="9" t="str">
        <v>EPSG</v>
      </c>
      <c r="F6400" s="7" t="str">
        <v>29377</v>
      </c>
      <c r="G6400" t="str">
        <v>ProjectedCrs</v>
      </c>
      <c r="H6400" t="str">
        <v>Transverse Mercator (South Orientated)</v>
      </c>
      <c r="I6400" t="str">
        <v>Schwarzeck / Lo22/17</v>
      </c>
      <c r="J6400" t="str">
        <v>Namibia - onshore between 16°E and 18°E.</v>
      </c>
      <c r="K6400" s="11">
        <v>0</v>
      </c>
    </row>
    <row r="6401" spans="5:11" x14ac:dyDescent="0.35">
      <c r="E6401" s="9" t="str">
        <v>EPSG</v>
      </c>
      <c r="F6401" s="7" t="str">
        <v>29379</v>
      </c>
      <c r="G6401" t="str">
        <v>ProjectedCrs</v>
      </c>
      <c r="H6401" t="str">
        <v>Transverse Mercator (South Orientated)</v>
      </c>
      <c r="I6401" t="str">
        <v>Schwarzeck / Lo22/19</v>
      </c>
      <c r="J6401" t="str">
        <v>Namibia - between 18°E and 20°E.</v>
      </c>
      <c r="K6401" s="11">
        <v>0</v>
      </c>
    </row>
    <row r="6402" spans="5:11" x14ac:dyDescent="0.35">
      <c r="E6402" s="9" t="str">
        <v>EPSG</v>
      </c>
      <c r="F6402" s="7" t="str">
        <v>29381</v>
      </c>
      <c r="G6402" t="str">
        <v>ProjectedCrs</v>
      </c>
      <c r="H6402" t="str">
        <v>Transverse Mercator (South Orientated)</v>
      </c>
      <c r="I6402" t="str">
        <v>Schwarzeck / Lo22/21</v>
      </c>
      <c r="J6402" t="str">
        <v>Namibia - between 20°E and 22°E.</v>
      </c>
      <c r="K6402" s="11">
        <v>0</v>
      </c>
    </row>
    <row r="6403" spans="5:11" x14ac:dyDescent="0.35">
      <c r="E6403" s="9" t="str">
        <v>EPSG</v>
      </c>
      <c r="F6403" s="7" t="str">
        <v>29383</v>
      </c>
      <c r="G6403" t="str">
        <v>ProjectedCrs</v>
      </c>
      <c r="H6403" t="str">
        <v>Transverse Mercator (South Orientated)</v>
      </c>
      <c r="I6403" t="str">
        <v>Schwarzeck / Lo22/23</v>
      </c>
      <c r="J6403" t="str">
        <v>Namibia - between 22°E and 24°E.</v>
      </c>
      <c r="K6403" s="11">
        <v>0</v>
      </c>
    </row>
    <row r="6404" spans="5:11" x14ac:dyDescent="0.35">
      <c r="E6404" s="9" t="str">
        <v>EPSG</v>
      </c>
      <c r="F6404" s="7" t="str">
        <v>29385</v>
      </c>
      <c r="G6404" t="str">
        <v>ProjectedCrs</v>
      </c>
      <c r="H6404" t="str">
        <v>Transverse Mercator (South Orientated)</v>
      </c>
      <c r="I6404" t="str">
        <v>Schwarzeck / Lo22/25</v>
      </c>
      <c r="J6404" t="str">
        <v>Namibia - east of 24°E.</v>
      </c>
      <c r="K6404" s="11">
        <v>0</v>
      </c>
    </row>
    <row r="6405" spans="5:11" x14ac:dyDescent="0.35">
      <c r="E6405" s="9" t="str">
        <v>EPSG</v>
      </c>
      <c r="F6405" s="7" t="str">
        <v>29701</v>
      </c>
      <c r="G6405" t="str">
        <v>ProjectedCrs</v>
      </c>
      <c r="H6405" t="str">
        <v>Laborde Oblique Mercator</v>
      </c>
      <c r="I6405" t="str">
        <v>Tananarive (Paris) / Laborde Grid</v>
      </c>
      <c r="J6405" t="str">
        <v>Madagascar - onshore.</v>
      </c>
      <c r="K6405" s="11">
        <v>0</v>
      </c>
    </row>
    <row r="6406" spans="5:11" x14ac:dyDescent="0.35">
      <c r="E6406" s="9" t="str">
        <v>EPSG</v>
      </c>
      <c r="F6406" s="7" t="str">
        <v>29702</v>
      </c>
      <c r="G6406" t="str">
        <v>ProjectedCrs</v>
      </c>
      <c r="H6406" t="str">
        <v>Hotine Oblique Mercator (variant B)</v>
      </c>
      <c r="I6406" t="str">
        <v>Tananarive (Paris) / Laborde Grid approximation</v>
      </c>
      <c r="J6406" t="str">
        <v>Madagascar - onshore.</v>
      </c>
      <c r="K6406" s="11">
        <v>0</v>
      </c>
    </row>
    <row r="6407" spans="5:11" x14ac:dyDescent="0.35">
      <c r="E6407" s="9" t="str">
        <v>EPSG</v>
      </c>
      <c r="F6407" s="7" t="str">
        <v>29738</v>
      </c>
      <c r="G6407" t="str">
        <v>ProjectedCrs</v>
      </c>
      <c r="H6407" t="str">
        <v>Transverse Mercator</v>
      </c>
      <c r="I6407" t="str">
        <v>Tananarive / UTM zone 38S</v>
      </c>
      <c r="J6407" t="str">
        <v>Madagascar - nearshore west of 48°E.</v>
      </c>
      <c r="K6407" s="11">
        <v>0</v>
      </c>
    </row>
    <row r="6408" spans="5:11" x14ac:dyDescent="0.35">
      <c r="E6408" s="9" t="str">
        <v>EPSG</v>
      </c>
      <c r="F6408" s="7" t="str">
        <v>29739</v>
      </c>
      <c r="G6408" t="str">
        <v>ProjectedCrs</v>
      </c>
      <c r="H6408" t="str">
        <v>Transverse Mercator</v>
      </c>
      <c r="I6408" t="str">
        <v>Tananarive / UTM zone 39S</v>
      </c>
      <c r="J6408" t="str">
        <v>Madagascar - nearshore east of 48°E.</v>
      </c>
      <c r="K6408" s="11">
        <v>0</v>
      </c>
    </row>
    <row r="6409" spans="5:11" x14ac:dyDescent="0.35">
      <c r="E6409" s="9" t="str">
        <v>EPSG</v>
      </c>
      <c r="F6409" s="7" t="str">
        <v>29849</v>
      </c>
      <c r="G6409" t="str">
        <v>ProjectedCrs</v>
      </c>
      <c r="H6409" t="str">
        <v>Transverse Mercator</v>
      </c>
      <c r="I6409" t="str">
        <v>Timbalai 1948 / UTM zone 49N</v>
      </c>
      <c r="J6409" t="str">
        <v>Brunei - offshore west of 114°E; Malaysia - East Malaysia (Sarawak) onshore and offshore west of 114°E).</v>
      </c>
      <c r="K6409" s="11">
        <v>0</v>
      </c>
    </row>
    <row r="6410" spans="5:11" x14ac:dyDescent="0.35">
      <c r="E6410" s="9" t="str">
        <v>EPSG</v>
      </c>
      <c r="F6410" s="7" t="str">
        <v>29850</v>
      </c>
      <c r="G6410" t="str">
        <v>ProjectedCrs</v>
      </c>
      <c r="H6410" t="str">
        <v>Transverse Mercator</v>
      </c>
      <c r="I6410" t="str">
        <v>Timbalai 1948 / UTM zone 50N</v>
      </c>
      <c r="J6410" t="str">
        <v>Brunei - onshore and offshore east of 114°E; Malaysia - East Malaysia (Sabah, Sarawak) onshore and offshore east of 114°E).</v>
      </c>
      <c r="K6410" s="11">
        <v>0</v>
      </c>
    </row>
    <row r="6411" spans="5:11" x14ac:dyDescent="0.35">
      <c r="E6411" s="9" t="str">
        <v>EPSG</v>
      </c>
      <c r="F6411" s="7" t="str">
        <v>29871</v>
      </c>
      <c r="G6411" t="str">
        <v>ProjectedCrs</v>
      </c>
      <c r="H6411" t="str">
        <v>Hotine Oblique Mercator (variant B)</v>
      </c>
      <c r="I6411" t="str">
        <v>Timbalai 1948 / RSO Borneo (ch)</v>
      </c>
      <c r="J6411" t="str">
        <v>Brunei - onshore and offshore; Malaysia - East Malaysia (Sabah; Sarawak) - onshore and offshore.</v>
      </c>
      <c r="K6411" s="11">
        <v>0</v>
      </c>
    </row>
    <row r="6412" spans="5:11" x14ac:dyDescent="0.35">
      <c r="E6412" s="9" t="str">
        <v>EPSG</v>
      </c>
      <c r="F6412" s="7" t="str">
        <v>29872</v>
      </c>
      <c r="G6412" t="str">
        <v>ProjectedCrs</v>
      </c>
      <c r="H6412" t="str">
        <v>Hotine Oblique Mercator (variant B)</v>
      </c>
      <c r="I6412" t="str">
        <v>Timbalai 1948 / RSO Borneo (ftSe)</v>
      </c>
      <c r="J6412" t="str">
        <v>Malaysia - East Malaysia (Sabah; Sarawak), onshore and offshore.</v>
      </c>
      <c r="K6412" s="11">
        <v>0</v>
      </c>
    </row>
    <row r="6413" spans="5:11" x14ac:dyDescent="0.35">
      <c r="E6413" s="9" t="str">
        <v>EPSG</v>
      </c>
      <c r="F6413" s="7" t="str">
        <v>29873</v>
      </c>
      <c r="G6413" t="str">
        <v>ProjectedCrs</v>
      </c>
      <c r="H6413" t="str">
        <v>Hotine Oblique Mercator (variant B)</v>
      </c>
      <c r="I6413" t="str">
        <v>Timbalai 1948 / RSO Borneo (m)</v>
      </c>
      <c r="J6413" t="str">
        <v>Brunei - onshore and offshore; Malaysia - East Malaysia (Sabah; Sarawak) - onshore and offshore.</v>
      </c>
      <c r="K6413" s="11">
        <v>0</v>
      </c>
    </row>
    <row r="6414" spans="5:11" x14ac:dyDescent="0.35">
      <c r="E6414" s="9" t="str">
        <v>EPSG</v>
      </c>
      <c r="F6414" s="7" t="str">
        <v>29874</v>
      </c>
      <c r="G6414" t="str">
        <v>ProjectedCrs</v>
      </c>
      <c r="H6414" t="str">
        <v>Hotine Oblique Mercator (variant A)</v>
      </c>
      <c r="I6414" t="str">
        <v>Timbalai 1948 / RSO Sarawak LSD (m)</v>
      </c>
      <c r="J6414" t="str">
        <v>Malaysia - East Malaysia - Sarawak onshore.</v>
      </c>
      <c r="K6414" s="11">
        <v>0</v>
      </c>
    </row>
    <row r="6415" spans="5:11" x14ac:dyDescent="0.35">
      <c r="E6415" s="9" t="str">
        <v>EPSG</v>
      </c>
      <c r="F6415" s="7" t="str">
        <v>29901</v>
      </c>
      <c r="G6415" t="str">
        <v>ProjectedCrs</v>
      </c>
      <c r="H6415" t="str">
        <v>Transverse Mercator</v>
      </c>
      <c r="I6415" t="str">
        <v>OSNI 1952 / Irish National Grid</v>
      </c>
      <c r="J6415" t="str">
        <v>United Kingdom (UK) - Northern Ireland (Ulster) - onshore.</v>
      </c>
      <c r="K6415" s="11">
        <v>0</v>
      </c>
    </row>
    <row r="6416" spans="5:11" x14ac:dyDescent="0.35">
      <c r="E6416" s="9" t="str">
        <v>EPSG</v>
      </c>
      <c r="F6416" s="7" t="str">
        <v>29902</v>
      </c>
      <c r="G6416" t="str">
        <v>ProjectedCrs</v>
      </c>
      <c r="H6416" t="str">
        <v>Transverse Mercator</v>
      </c>
      <c r="I6416" t="str">
        <v>TM65 / Irish Grid</v>
      </c>
      <c r="J6416" t="str">
        <v>Ireland - onshore.</v>
      </c>
      <c r="K6416" s="11">
        <v>0</v>
      </c>
    </row>
    <row r="6417" spans="5:11" x14ac:dyDescent="0.35">
      <c r="E6417" s="9" t="str">
        <v>EPSG</v>
      </c>
      <c r="F6417" s="7" t="str">
        <v>29903</v>
      </c>
      <c r="G6417" t="str">
        <v>ProjectedCrs</v>
      </c>
      <c r="H6417" t="str">
        <v>Transverse Mercator</v>
      </c>
      <c r="I6417" t="str">
        <v>TM75 / Irish Grid</v>
      </c>
      <c r="J6417" t="str">
        <v>Ireland - onshore. United Kingdom (UK) - Northern Ireland (Ulster) - onshore.</v>
      </c>
      <c r="K6417" s="11">
        <v>0</v>
      </c>
    </row>
    <row r="6418" spans="5:11" x14ac:dyDescent="0.35">
      <c r="E6418" s="9" t="str">
        <v>EPSG</v>
      </c>
      <c r="F6418" s="7" t="str">
        <v>30161</v>
      </c>
      <c r="G6418" t="str">
        <v>ProjectedCrs</v>
      </c>
      <c r="H6418" t="str">
        <v>Transverse Mercator</v>
      </c>
      <c r="I6418" t="str">
        <v>Tokyo / Japan Plane Rectangular CS I</v>
      </c>
      <c r="J6418" t="str">
        <v>Japan - onshore - Kyushu west of approximately 130°E - Nagasaki-ken; islands of Kagoshima-ken between 27°N and 32°N and between 128°18'E and 130°E (between 128°18'E and 30°13'E for Amami islands).</v>
      </c>
      <c r="K6418" s="11">
        <v>0</v>
      </c>
    </row>
    <row r="6419" spans="5:11" x14ac:dyDescent="0.35">
      <c r="E6419" s="9" t="str">
        <v>EPSG</v>
      </c>
      <c r="F6419" s="7" t="str">
        <v>30162</v>
      </c>
      <c r="G6419" t="str">
        <v>ProjectedCrs</v>
      </c>
      <c r="H6419" t="str">
        <v>Transverse Mercator</v>
      </c>
      <c r="I6419" t="str">
        <v>Tokyo / Japan Plane Rectangular CS II</v>
      </c>
      <c r="J6419" t="str">
        <v>Japan - onshore - Kyushu east of approximately 130°E - Fukuoka-ken; Saga-ken; Kumamoto-ken; Oita-ken; Miyazaki-ken; Kagoshima-ken (except for area within Japan Plane Rectangular Coordinate System zone I).</v>
      </c>
      <c r="K6419" s="11">
        <v>0</v>
      </c>
    </row>
    <row r="6420" spans="5:11" x14ac:dyDescent="0.35">
      <c r="E6420" s="9" t="str">
        <v>EPSG</v>
      </c>
      <c r="F6420" s="7" t="str">
        <v>30163</v>
      </c>
      <c r="G6420" t="str">
        <v>ProjectedCrs</v>
      </c>
      <c r="H6420" t="str">
        <v>Transverse Mercator</v>
      </c>
      <c r="I6420" t="str">
        <v>Tokyo / Japan Plane Rectangular CS III</v>
      </c>
      <c r="J6420" t="str">
        <v>Japan - onshore - Honshu west of approximately 133°15'E - Yamaguchi-ken; Shimane-ken; Hiroshima-ken.</v>
      </c>
      <c r="K6420" s="11">
        <v>0</v>
      </c>
    </row>
    <row r="6421" spans="5:11" x14ac:dyDescent="0.35">
      <c r="E6421" s="9" t="str">
        <v>EPSG</v>
      </c>
      <c r="F6421" s="7" t="str">
        <v>30164</v>
      </c>
      <c r="G6421" t="str">
        <v>ProjectedCrs</v>
      </c>
      <c r="H6421" t="str">
        <v>Transverse Mercator</v>
      </c>
      <c r="I6421" t="str">
        <v>Tokyo / Japan Plane Rectangular CS IV</v>
      </c>
      <c r="J6421" t="str">
        <v>Japan - onshore - Shikoku - Kagawa-ken; Ehime-ken; Tokushima-ken; Kochi-ken.</v>
      </c>
      <c r="K6421" s="11">
        <v>0</v>
      </c>
    </row>
    <row r="6422" spans="5:11" x14ac:dyDescent="0.35">
      <c r="E6422" s="9" t="str">
        <v>EPSG</v>
      </c>
      <c r="F6422" s="7" t="str">
        <v>30165</v>
      </c>
      <c r="G6422" t="str">
        <v>ProjectedCrs</v>
      </c>
      <c r="H6422" t="str">
        <v>Transverse Mercator</v>
      </c>
      <c r="I6422" t="str">
        <v>Tokyo / Japan Plane Rectangular CS V</v>
      </c>
      <c r="J6422" t="str">
        <v>Japan - onshore - Honshu between approximately 133°15'E and 135°10'E - Hyogo-ken; Tottori-ken; Okayama-ken.</v>
      </c>
      <c r="K6422" s="11">
        <v>0</v>
      </c>
    </row>
    <row r="6423" spans="5:11" x14ac:dyDescent="0.35">
      <c r="E6423" s="9" t="str">
        <v>EPSG</v>
      </c>
      <c r="F6423" s="7" t="str">
        <v>30166</v>
      </c>
      <c r="G6423" t="str">
        <v>ProjectedCrs</v>
      </c>
      <c r="H6423" t="str">
        <v>Transverse Mercator</v>
      </c>
      <c r="I6423" t="str">
        <v>Tokyo / Japan Plane Rectangular CS VI</v>
      </c>
      <c r="J6423" t="str">
        <v>Japan - onshore - Honshu between approximately 135°10'E and 136°45'E - Kyoto-fu; Osaka-fu; Fukui-ken; Shiga-ken; Mie-ken; Nara-ken; Wakayama-ken.</v>
      </c>
      <c r="K6423" s="11">
        <v>0</v>
      </c>
    </row>
    <row r="6424" spans="5:11" x14ac:dyDescent="0.35">
      <c r="E6424" s="9" t="str">
        <v>EPSG</v>
      </c>
      <c r="F6424" s="7" t="str">
        <v>30167</v>
      </c>
      <c r="G6424" t="str">
        <v>ProjectedCrs</v>
      </c>
      <c r="H6424" t="str">
        <v>Transverse Mercator</v>
      </c>
      <c r="I6424" t="str">
        <v>Tokyo / Japan Plane Rectangular CS VII</v>
      </c>
      <c r="J6424" t="str">
        <v>Japan - onshore - Honshu between approximately 136°15'E and 137°45'E - Ishikawa-ken; Toyama-ken; Gifu-ken; Aichi-ken.</v>
      </c>
      <c r="K6424" s="11">
        <v>0</v>
      </c>
    </row>
    <row r="6425" spans="5:11" x14ac:dyDescent="0.35">
      <c r="E6425" s="9" t="str">
        <v>EPSG</v>
      </c>
      <c r="F6425" s="7" t="str">
        <v>30168</v>
      </c>
      <c r="G6425" t="str">
        <v>ProjectedCrs</v>
      </c>
      <c r="H6425" t="str">
        <v>Transverse Mercator</v>
      </c>
      <c r="I6425" t="str">
        <v>Tokyo / Japan Plane Rectangular CS VIII</v>
      </c>
      <c r="J6425" t="str">
        <v>Japan - onshore - Honshu between approximately 137°45'E and 139°E - Niigata-ken; Nagano-ken; Yamanashi-ken; Shizuoka-ken.</v>
      </c>
      <c r="K6425" s="11">
        <v>0</v>
      </c>
    </row>
    <row r="6426" spans="5:11" x14ac:dyDescent="0.35">
      <c r="E6426" s="9" t="str">
        <v>EPSG</v>
      </c>
      <c r="F6426" s="7" t="str">
        <v>30169</v>
      </c>
      <c r="G6426" t="str">
        <v>ProjectedCrs</v>
      </c>
      <c r="H6426" t="str">
        <v>Transverse Mercator</v>
      </c>
      <c r="I6426" t="str">
        <v>Tokyo / Japan Plane Rectangular CS IX</v>
      </c>
      <c r="J6426" t="str">
        <v>Japan - onshore - Honshu - Tokyo-to. (Excludes offshore island areas of Tokyo-to covered by Japan Plane Rectangular Coordinate System zones XIV, XVIII and XIX).</v>
      </c>
      <c r="K6426" s="11">
        <v>0</v>
      </c>
    </row>
    <row r="6427" spans="5:11" x14ac:dyDescent="0.35">
      <c r="E6427" s="9" t="str">
        <v>EPSG</v>
      </c>
      <c r="F6427" s="7" t="str">
        <v>30170</v>
      </c>
      <c r="G6427" t="str">
        <v>ProjectedCrs</v>
      </c>
      <c r="H6427" t="str">
        <v>Transverse Mercator</v>
      </c>
      <c r="I6427" t="str">
        <v>Tokyo / Japan Plane Rectangular CS X</v>
      </c>
      <c r="J6427" t="str">
        <v>Japan - onshore - Honshu north of 38°N approximately - Aomori-ken; Akita-ken; Yamagata-ken; Iwate-ken; Miyagi-ken.</v>
      </c>
      <c r="K6427" s="11">
        <v>0</v>
      </c>
    </row>
    <row r="6428" spans="5:11" x14ac:dyDescent="0.35">
      <c r="E6428" s="9" t="str">
        <v>EPSG</v>
      </c>
      <c r="F6428" s="7" t="str">
        <v>30171</v>
      </c>
      <c r="G6428" t="str">
        <v>ProjectedCrs</v>
      </c>
      <c r="H6428" t="str">
        <v>Transverse Mercator</v>
      </c>
      <c r="I6428" t="str">
        <v>Tokyo / Japan Plane Rectangular CS XI</v>
      </c>
      <c r="J6428" t="str">
        <v>Japan - onshore - Hokkaido west of approximately 141°E - Otaru city; Hakodate city; Date city; Usu-gun and Abuta-gun of Iburi-shicho; Hiyama-shicho; Shiribeshi-shicho; Oshima-shicho.</v>
      </c>
      <c r="K6428" s="11">
        <v>0</v>
      </c>
    </row>
    <row r="6429" spans="5:11" x14ac:dyDescent="0.35">
      <c r="E6429" s="9" t="str">
        <v>EPSG</v>
      </c>
      <c r="F6429" s="7" t="str">
        <v>30172</v>
      </c>
      <c r="G6429" t="str">
        <v>ProjectedCrs</v>
      </c>
      <c r="H6429" t="str">
        <v>Transverse Mercator</v>
      </c>
      <c r="I6429" t="str">
        <v>Tokyo / Japan Plane Rectangular CS XII</v>
      </c>
      <c r="J6429" t="str">
        <v>Japan - onshore - Hokkaido between approximately 141°E and 143°E - Sapporo city; Asahikawa city; Wakkanai city; Rumoi city; Bibai city; Yubari city; Iwamizawa city; Tomakomai city; Muroran city; Shibetsu city; Nayoro city; Ashibetsu city; Akabira city; Mikasa city; Takikawa city; Sunagawa city; Ebetsu city; Chitose city; Utashinai city; Fukagawa city; Monbetsu city; Furano city; Noboribetsu city; Eniwa city; Ishikari-shicho; Monbetsu-gun of Abashiri-shicho; Kamikawa-shicho; Soya-shicho; Hidaka-shicho; Iburi-shicho (except Usu-gun and Abuta-gun); Sorachi-shicho; Rumoi-shicho.</v>
      </c>
      <c r="K6429" s="11">
        <v>0</v>
      </c>
    </row>
    <row r="6430" spans="5:11" x14ac:dyDescent="0.35">
      <c r="E6430" s="9" t="str">
        <v>EPSG</v>
      </c>
      <c r="F6430" s="7" t="str">
        <v>30173</v>
      </c>
      <c r="G6430" t="str">
        <v>ProjectedCrs</v>
      </c>
      <c r="H6430" t="str">
        <v>Transverse Mercator</v>
      </c>
      <c r="I6430" t="str">
        <v>Tokyo / Japan Plane Rectangular CS XIII</v>
      </c>
      <c r="J6430" t="str">
        <v>Japan - onshore - Hokkaido east of approximately 143°E - Kitami city; Obihiro city; Kushiro city; Abashiri city; Nemuro city; Nemuro-shicho; Kushiro-shicho; Abashiri-shicho (except Monbetsu-gun); Tokachi-shicho.</v>
      </c>
      <c r="K6430" s="11">
        <v>0</v>
      </c>
    </row>
    <row r="6431" spans="5:11" x14ac:dyDescent="0.35">
      <c r="E6431" s="9" t="str">
        <v>EPSG</v>
      </c>
      <c r="F6431" s="7" t="str">
        <v>30174</v>
      </c>
      <c r="G6431" t="str">
        <v>ProjectedCrs</v>
      </c>
      <c r="H6431" t="str">
        <v>Transverse Mercator</v>
      </c>
      <c r="I6431" t="str">
        <v>Tokyo / Japan Plane Rectangular CS XIV</v>
      </c>
      <c r="J6431" t="str">
        <v>Japan - onshore - Tokyo-to south of 28°N and between 140°30'E and 143°E.</v>
      </c>
      <c r="K6431" s="11">
        <v>0</v>
      </c>
    </row>
    <row r="6432" spans="5:11" x14ac:dyDescent="0.35">
      <c r="E6432" s="9" t="str">
        <v>EPSG</v>
      </c>
      <c r="F6432" s="7" t="str">
        <v>30175</v>
      </c>
      <c r="G6432" t="str">
        <v>ProjectedCrs</v>
      </c>
      <c r="H6432" t="str">
        <v>Transverse Mercator</v>
      </c>
      <c r="I6432" t="str">
        <v>Tokyo / Japan Plane Rectangular CS XV</v>
      </c>
      <c r="J6432" t="str">
        <v>Japan - onshore - Okinawa-ken between 126°E and 130°E.</v>
      </c>
      <c r="K6432" s="11">
        <v>0</v>
      </c>
    </row>
    <row r="6433" spans="5:11" x14ac:dyDescent="0.35">
      <c r="E6433" s="9" t="str">
        <v>EPSG</v>
      </c>
      <c r="F6433" s="7" t="str">
        <v>30176</v>
      </c>
      <c r="G6433" t="str">
        <v>ProjectedCrs</v>
      </c>
      <c r="H6433" t="str">
        <v>Transverse Mercator</v>
      </c>
      <c r="I6433" t="str">
        <v>Tokyo / Japan Plane Rectangular CS XVI</v>
      </c>
      <c r="J6433" t="str">
        <v>Japan - onshore - Okinawa-ken west of 126°E.</v>
      </c>
      <c r="K6433" s="11">
        <v>0</v>
      </c>
    </row>
    <row r="6434" spans="5:11" x14ac:dyDescent="0.35">
      <c r="E6434" s="9" t="str">
        <v>EPSG</v>
      </c>
      <c r="F6434" s="7" t="str">
        <v>30177</v>
      </c>
      <c r="G6434" t="str">
        <v>ProjectedCrs</v>
      </c>
      <c r="H6434" t="str">
        <v>Transverse Mercator</v>
      </c>
      <c r="I6434" t="str">
        <v>Tokyo / Japan Plane Rectangular CS XVII</v>
      </c>
      <c r="J6434" t="str">
        <v>Japan - onshore Okinawa-ken east of 130°E.</v>
      </c>
      <c r="K6434" s="11">
        <v>0</v>
      </c>
    </row>
    <row r="6435" spans="5:11" x14ac:dyDescent="0.35">
      <c r="E6435" s="9" t="str">
        <v>EPSG</v>
      </c>
      <c r="F6435" s="7" t="str">
        <v>30178</v>
      </c>
      <c r="G6435" t="str">
        <v>ProjectedCrs</v>
      </c>
      <c r="H6435" t="str">
        <v>Transverse Mercator</v>
      </c>
      <c r="I6435" t="str">
        <v>Tokyo / Japan Plane Rectangular CS XVIII</v>
      </c>
      <c r="J6435" t="str">
        <v>Japan - onshore - Tokyo-to south of 28°N and west of 140°30'E.</v>
      </c>
      <c r="K6435" s="11">
        <v>0</v>
      </c>
    </row>
    <row r="6436" spans="5:11" x14ac:dyDescent="0.35">
      <c r="E6436" s="9" t="str">
        <v>EPSG</v>
      </c>
      <c r="F6436" s="7" t="str">
        <v>30179</v>
      </c>
      <c r="G6436" t="str">
        <v>ProjectedCrs</v>
      </c>
      <c r="H6436" t="str">
        <v>Transverse Mercator</v>
      </c>
      <c r="I6436" t="str">
        <v>Tokyo / Japan Plane Rectangular CS XIX</v>
      </c>
      <c r="J6436" t="str">
        <v>Japan - onshore - Tokyo-to south of 28°N and east of 143°E - Minamitori-shima (Marcus Island).</v>
      </c>
      <c r="K6436" s="11">
        <v>0</v>
      </c>
    </row>
    <row r="6437" spans="5:11" x14ac:dyDescent="0.35">
      <c r="E6437" s="9" t="str">
        <v>EPSG</v>
      </c>
      <c r="F6437" s="7" t="str">
        <v>30200</v>
      </c>
      <c r="G6437" t="str">
        <v>ProjectedCrs</v>
      </c>
      <c r="H6437" t="str">
        <v>Cassini-Soldner</v>
      </c>
      <c r="I6437" t="str">
        <v>Trinidad 1903 / Trinidad Grid</v>
      </c>
      <c r="J6437" t="str">
        <v>Trinidad and Tobago - Trinidad - onshore and offshore.</v>
      </c>
      <c r="K6437" s="11">
        <v>0</v>
      </c>
    </row>
    <row r="6438" spans="5:11" x14ac:dyDescent="0.35">
      <c r="E6438" s="9" t="str">
        <v>EPSG</v>
      </c>
      <c r="F6438" s="7" t="str">
        <v>30339</v>
      </c>
      <c r="G6438" t="str">
        <v>ProjectedCrs</v>
      </c>
      <c r="H6438" t="str">
        <v>Transverse Mercator</v>
      </c>
      <c r="I6438" t="str">
        <v>TC(1948) / UTM zone 39N</v>
      </c>
      <c r="J6438" t="str">
        <v>United Arab Emirates (UAE) - Abu Dhabi onshore west of 54°E.</v>
      </c>
      <c r="K6438" s="11">
        <v>0</v>
      </c>
    </row>
    <row r="6439" spans="5:11" x14ac:dyDescent="0.35">
      <c r="E6439" s="9" t="str">
        <v>EPSG</v>
      </c>
      <c r="F6439" s="7" t="str">
        <v>30340</v>
      </c>
      <c r="G6439" t="str">
        <v>ProjectedCrs</v>
      </c>
      <c r="H6439" t="str">
        <v>Transverse Mercator</v>
      </c>
      <c r="I6439" t="str">
        <v>TC(1948) / UTM zone 40N</v>
      </c>
      <c r="J6439" t="str">
        <v>United Arab Emirates (UAE) - Abu Dhabi onshore east of 54°E; Dubai onshore.</v>
      </c>
      <c r="K6439" s="11">
        <v>0</v>
      </c>
    </row>
    <row r="6440" spans="5:11" x14ac:dyDescent="0.35">
      <c r="E6440" s="9" t="str">
        <v>EPSG</v>
      </c>
      <c r="F6440" s="7" t="str">
        <v>30491</v>
      </c>
      <c r="G6440" t="str">
        <v>ProjectedCrs</v>
      </c>
      <c r="H6440" t="str">
        <v>Lambert Conic Conformal (1SP)</v>
      </c>
      <c r="I6440" t="str">
        <v>Voirol 1875 / Nord Algerie (ancienne)</v>
      </c>
      <c r="J6440" t="str">
        <v>Algeria - onshore north of 38.5 grads North (34°39'N).</v>
      </c>
      <c r="K6440" s="11">
        <v>0</v>
      </c>
    </row>
    <row r="6441" spans="5:11" x14ac:dyDescent="0.35">
      <c r="E6441" s="9" t="str">
        <v>EPSG</v>
      </c>
      <c r="F6441" s="7" t="str">
        <v>30492</v>
      </c>
      <c r="G6441" t="str">
        <v>ProjectedCrs</v>
      </c>
      <c r="H6441" t="str">
        <v>Lambert Conic Conformal (1SP)</v>
      </c>
      <c r="I6441" t="str">
        <v>Voirol 1875 / Sud Algerie (ancienne)</v>
      </c>
      <c r="J6441" t="str">
        <v>Algeria - 35.6 grads to 38.5 grads North (32°N to 34°39'N).</v>
      </c>
      <c r="K6441" s="11">
        <v>0</v>
      </c>
    </row>
    <row r="6442" spans="5:11" x14ac:dyDescent="0.35">
      <c r="E6442" s="9" t="str">
        <v>EPSG</v>
      </c>
      <c r="F6442" s="7" t="str">
        <v>30493</v>
      </c>
      <c r="G6442" t="str">
        <v>ProjectedCrs</v>
      </c>
      <c r="H6442" t="str">
        <v>Lambert Conic Conformal (1SP)</v>
      </c>
      <c r="I6442" t="str">
        <v>Voirol 1879 / Nord Algerie (ancienne)</v>
      </c>
      <c r="J6442" t="str">
        <v>Algeria - onshore north of 38.5 grads North (34°39'N).</v>
      </c>
      <c r="K6442" s="11">
        <v>0</v>
      </c>
    </row>
    <row r="6443" spans="5:11" x14ac:dyDescent="0.35">
      <c r="E6443" s="9" t="str">
        <v>EPSG</v>
      </c>
      <c r="F6443" s="7" t="str">
        <v>30494</v>
      </c>
      <c r="G6443" t="str">
        <v>ProjectedCrs</v>
      </c>
      <c r="H6443" t="str">
        <v>Lambert Conic Conformal (1SP)</v>
      </c>
      <c r="I6443" t="str">
        <v>Voirol 1879 / Sud Algerie (ancienne)</v>
      </c>
      <c r="J6443" t="str">
        <v>Algeria - 35.6 grads to 38.5 grads North (32°N to 34°39'N).</v>
      </c>
      <c r="K6443" s="11">
        <v>0</v>
      </c>
    </row>
    <row r="6444" spans="5:11" x14ac:dyDescent="0.35">
      <c r="E6444" s="9" t="str">
        <v>EPSG</v>
      </c>
      <c r="F6444" s="7" t="str">
        <v>30729</v>
      </c>
      <c r="G6444" t="str">
        <v>ProjectedCrs</v>
      </c>
      <c r="H6444" t="str">
        <v>Transverse Mercator</v>
      </c>
      <c r="I6444" t="str">
        <v>Nord Sahara 1959 / UTM zone 29N</v>
      </c>
      <c r="J6444" t="str">
        <v>Algeria - west of 6°W (of Greenwich).</v>
      </c>
      <c r="K6444" s="11">
        <v>0</v>
      </c>
    </row>
    <row r="6445" spans="5:11" x14ac:dyDescent="0.35">
      <c r="E6445" s="9" t="str">
        <v>EPSG</v>
      </c>
      <c r="F6445" s="7" t="str">
        <v>30730</v>
      </c>
      <c r="G6445" t="str">
        <v>ProjectedCrs</v>
      </c>
      <c r="H6445" t="str">
        <v>Transverse Mercator</v>
      </c>
      <c r="I6445" t="str">
        <v>Nord Sahara 1959 / UTM zone 30N</v>
      </c>
      <c r="J6445" t="str">
        <v>Algeria - between 6°W and 0°W (of Greenwich), onshore and offshore.</v>
      </c>
      <c r="K6445" s="11">
        <v>0</v>
      </c>
    </row>
    <row r="6446" spans="5:11" x14ac:dyDescent="0.35">
      <c r="E6446" s="9" t="str">
        <v>EPSG</v>
      </c>
      <c r="F6446" s="7" t="str">
        <v>30731</v>
      </c>
      <c r="G6446" t="str">
        <v>ProjectedCrs</v>
      </c>
      <c r="H6446" t="str">
        <v>Transverse Mercator</v>
      </c>
      <c r="I6446" t="str">
        <v>Nord Sahara 1959 / UTM zone 31N</v>
      </c>
      <c r="J6446" t="str">
        <v>Algeria - between 0°E and 6°E (of Greenwich), onshore and offshore.</v>
      </c>
      <c r="K6446" s="11">
        <v>0</v>
      </c>
    </row>
    <row r="6447" spans="5:11" x14ac:dyDescent="0.35">
      <c r="E6447" s="9" t="str">
        <v>EPSG</v>
      </c>
      <c r="F6447" s="7" t="str">
        <v>30732</v>
      </c>
      <c r="G6447" t="str">
        <v>ProjectedCrs</v>
      </c>
      <c r="H6447" t="str">
        <v>Transverse Mercator</v>
      </c>
      <c r="I6447" t="str">
        <v>Nord Sahara 1959 / UTM zone 32N</v>
      </c>
      <c r="J6447" t="str">
        <v>Algeria - east of 6°E (of Greenwich), onshore and offshore.</v>
      </c>
      <c r="K6447" s="11">
        <v>0</v>
      </c>
    </row>
    <row r="6448" spans="5:11" x14ac:dyDescent="0.35">
      <c r="E6448" s="9" t="str">
        <v>EPSG</v>
      </c>
      <c r="F6448" s="7" t="str">
        <v>30791</v>
      </c>
      <c r="G6448" t="str">
        <v>ProjectedCrs</v>
      </c>
      <c r="H6448" t="str">
        <v>Lambert Conic Conformal (1SP)</v>
      </c>
      <c r="I6448" t="str">
        <v>Nord Sahara 1959 / Nord Algerie</v>
      </c>
      <c r="J6448" t="str">
        <v>Algeria - onshore north of 38.5 grads North (34°39'N).</v>
      </c>
      <c r="K6448" s="11">
        <v>0</v>
      </c>
    </row>
    <row r="6449" spans="5:11" x14ac:dyDescent="0.35">
      <c r="E6449" s="9" t="str">
        <v>EPSG</v>
      </c>
      <c r="F6449" s="7" t="str">
        <v>30792</v>
      </c>
      <c r="G6449" t="str">
        <v>ProjectedCrs</v>
      </c>
      <c r="H6449" t="str">
        <v>Lambert Conic Conformal (1SP)</v>
      </c>
      <c r="I6449" t="str">
        <v>Nord Sahara 1959 / Sud Algerie</v>
      </c>
      <c r="J6449" t="str">
        <v>Algeria - 35 grads to 38.5 grads North (31°30'N to 34°39'N).</v>
      </c>
      <c r="K6449" s="11">
        <v>0</v>
      </c>
    </row>
    <row r="6450" spans="5:11" x14ac:dyDescent="0.35">
      <c r="E6450" s="9" t="str">
        <v>EPSG</v>
      </c>
      <c r="F6450" s="7" t="str">
        <v>31028</v>
      </c>
      <c r="G6450" t="str">
        <v>ProjectedCrs</v>
      </c>
      <c r="H6450" t="str">
        <v>Transverse Mercator</v>
      </c>
      <c r="I6450" t="str">
        <v>Yoff / UTM zone 28N</v>
      </c>
      <c r="J6450" t="str">
        <v>Senegal - onshore and offshore.</v>
      </c>
      <c r="K6450" s="11">
        <v>0</v>
      </c>
    </row>
    <row r="6451" spans="5:11" x14ac:dyDescent="0.35">
      <c r="E6451" s="9" t="str">
        <v>EPSG</v>
      </c>
      <c r="F6451" s="7" t="str">
        <v>31121</v>
      </c>
      <c r="G6451" t="str">
        <v>ProjectedCrs</v>
      </c>
      <c r="H6451" t="str">
        <v>Transverse Mercator</v>
      </c>
      <c r="I6451" t="str">
        <v>Zanderij / UTM zone 21N</v>
      </c>
      <c r="J6451" t="str">
        <v>Suriname - onshore and offshore.</v>
      </c>
      <c r="K6451" s="11">
        <v>0</v>
      </c>
    </row>
    <row r="6452" spans="5:11" x14ac:dyDescent="0.35">
      <c r="E6452" s="9" t="str">
        <v>EPSG</v>
      </c>
      <c r="F6452" s="7" t="str">
        <v>31154</v>
      </c>
      <c r="G6452" t="str">
        <v>ProjectedCrs</v>
      </c>
      <c r="H6452" t="str">
        <v>Transverse Mercator</v>
      </c>
      <c r="I6452" t="str">
        <v>Zanderij / TM 54 NW</v>
      </c>
      <c r="J6452" t="str">
        <v>Suriname - offshore.</v>
      </c>
      <c r="K6452" s="11">
        <v>0</v>
      </c>
    </row>
    <row r="6453" spans="5:11" x14ac:dyDescent="0.35">
      <c r="E6453" s="9" t="str">
        <v>EPSG</v>
      </c>
      <c r="F6453" s="7" t="str">
        <v>31170</v>
      </c>
      <c r="G6453" t="str">
        <v>ProjectedCrs</v>
      </c>
      <c r="H6453" t="str">
        <v>Transverse Mercator</v>
      </c>
      <c r="I6453" t="str">
        <v>Zanderij / Suriname Old TM</v>
      </c>
      <c r="J6453" t="str">
        <v>Suriname - onshore.</v>
      </c>
      <c r="K6453" s="11">
        <v>0</v>
      </c>
    </row>
    <row r="6454" spans="5:11" x14ac:dyDescent="0.35">
      <c r="E6454" s="9" t="str">
        <v>EPSG</v>
      </c>
      <c r="F6454" s="7" t="str">
        <v>31171</v>
      </c>
      <c r="G6454" t="str">
        <v>ProjectedCrs</v>
      </c>
      <c r="H6454" t="str">
        <v>Transverse Mercator</v>
      </c>
      <c r="I6454" t="str">
        <v>Zanderij / Suriname TM</v>
      </c>
      <c r="J6454" t="str">
        <v>Suriname - onshore.</v>
      </c>
      <c r="K6454" s="11">
        <v>0</v>
      </c>
    </row>
    <row r="6455" spans="5:11" x14ac:dyDescent="0.35">
      <c r="E6455" s="9" t="str">
        <v>EPSG</v>
      </c>
      <c r="F6455" s="7" t="str">
        <v>31251</v>
      </c>
      <c r="G6455" t="str">
        <v>ProjectedCrs</v>
      </c>
      <c r="H6455" t="str">
        <v>Transverse Mercator</v>
      </c>
      <c r="I6455" t="str">
        <v>MGI (Ferro) / Austria GK West Zone</v>
      </c>
      <c r="J6455" t="str">
        <v>Austria west of 11°50'E of Greenwich (29°30'E of Ferro).</v>
      </c>
      <c r="K6455" s="11">
        <v>0</v>
      </c>
    </row>
    <row r="6456" spans="5:11" x14ac:dyDescent="0.35">
      <c r="E6456" s="9" t="str">
        <v>EPSG</v>
      </c>
      <c r="F6456" s="7" t="str">
        <v>31252</v>
      </c>
      <c r="G6456" t="str">
        <v>ProjectedCrs</v>
      </c>
      <c r="H6456" t="str">
        <v>Transverse Mercator</v>
      </c>
      <c r="I6456" t="str">
        <v>MGI (Ferro) / Austria GK Central Zone</v>
      </c>
      <c r="J6456" t="str">
        <v>Austria between 11°50'E and 14°50'E of Greenwich (29°30'E and 32°30'E of Ferro).</v>
      </c>
      <c r="K6456" s="11">
        <v>0</v>
      </c>
    </row>
    <row r="6457" spans="5:11" x14ac:dyDescent="0.35">
      <c r="E6457" s="9" t="str">
        <v>EPSG</v>
      </c>
      <c r="F6457" s="7" t="str">
        <v>31253</v>
      </c>
      <c r="G6457" t="str">
        <v>ProjectedCrs</v>
      </c>
      <c r="H6457" t="str">
        <v>Transverse Mercator</v>
      </c>
      <c r="I6457" t="str">
        <v>MGI (Ferro) / Austria GK East Zone</v>
      </c>
      <c r="J6457" t="str">
        <v>Austria east of 14°50'E of Greenwich (32°30'E of Ferro).</v>
      </c>
      <c r="K6457" s="11">
        <v>0</v>
      </c>
    </row>
    <row r="6458" spans="5:11" x14ac:dyDescent="0.35">
      <c r="E6458" s="9" t="str">
        <v>EPSG</v>
      </c>
      <c r="F6458" s="7" t="str">
        <v>31254</v>
      </c>
      <c r="G6458" t="str">
        <v>ProjectedCrs</v>
      </c>
      <c r="H6458" t="str">
        <v>Transverse Mercator</v>
      </c>
      <c r="I6458" t="str">
        <v>MGI / Austria GK West</v>
      </c>
      <c r="J6458" t="str">
        <v>Austria west of 11°50'E of Greenwich (29°30'E of Ferro).</v>
      </c>
      <c r="K6458" s="11">
        <v>0</v>
      </c>
    </row>
    <row r="6459" spans="5:11" x14ac:dyDescent="0.35">
      <c r="E6459" s="9" t="str">
        <v>EPSG</v>
      </c>
      <c r="F6459" s="7" t="str">
        <v>31255</v>
      </c>
      <c r="G6459" t="str">
        <v>ProjectedCrs</v>
      </c>
      <c r="H6459" t="str">
        <v>Transverse Mercator</v>
      </c>
      <c r="I6459" t="str">
        <v>MGI / Austria GK Central</v>
      </c>
      <c r="J6459" t="str">
        <v>Austria between 11°50'E and 14°50'E of Greenwich (29°30'E and 32°30'E of Ferro).</v>
      </c>
      <c r="K6459" s="11">
        <v>0</v>
      </c>
    </row>
    <row r="6460" spans="5:11" x14ac:dyDescent="0.35">
      <c r="E6460" s="9" t="str">
        <v>EPSG</v>
      </c>
      <c r="F6460" s="7" t="str">
        <v>31256</v>
      </c>
      <c r="G6460" t="str">
        <v>ProjectedCrs</v>
      </c>
      <c r="H6460" t="str">
        <v>Transverse Mercator</v>
      </c>
      <c r="I6460" t="str">
        <v>MGI / Austria GK East</v>
      </c>
      <c r="J6460" t="str">
        <v>Austria east of 14°50'E of Greenwich (32°30'E of Ferro).</v>
      </c>
      <c r="K6460" s="11">
        <v>0</v>
      </c>
    </row>
    <row r="6461" spans="5:11" x14ac:dyDescent="0.35">
      <c r="E6461" s="9" t="str">
        <v>EPSG</v>
      </c>
      <c r="F6461" s="7" t="str">
        <v>31257</v>
      </c>
      <c r="G6461" t="str">
        <v>ProjectedCrs</v>
      </c>
      <c r="H6461" t="str">
        <v>Transverse Mercator</v>
      </c>
      <c r="I6461" t="str">
        <v>MGI / Austria GK M28</v>
      </c>
      <c r="J6461" t="str">
        <v>Austria west of 11°50'E of Greenwich (29°30'E of Ferro).</v>
      </c>
      <c r="K6461" s="11">
        <v>0</v>
      </c>
    </row>
    <row r="6462" spans="5:11" x14ac:dyDescent="0.35">
      <c r="E6462" s="9" t="str">
        <v>EPSG</v>
      </c>
      <c r="F6462" s="7" t="str">
        <v>31258</v>
      </c>
      <c r="G6462" t="str">
        <v>ProjectedCrs</v>
      </c>
      <c r="H6462" t="str">
        <v>Transverse Mercator</v>
      </c>
      <c r="I6462" t="str">
        <v>MGI / Austria GK M31</v>
      </c>
      <c r="J6462" t="str">
        <v>Austria between 11°50'E and 14°50'E of Greenwich (29°30'E and 32°30'E of Ferro).</v>
      </c>
      <c r="K6462" s="11">
        <v>0</v>
      </c>
    </row>
    <row r="6463" spans="5:11" x14ac:dyDescent="0.35">
      <c r="E6463" s="9" t="str">
        <v>EPSG</v>
      </c>
      <c r="F6463" s="7" t="str">
        <v>31259</v>
      </c>
      <c r="G6463" t="str">
        <v>ProjectedCrs</v>
      </c>
      <c r="H6463" t="str">
        <v>Transverse Mercator</v>
      </c>
      <c r="I6463" t="str">
        <v>MGI / Austria GK M34</v>
      </c>
      <c r="J6463" t="str">
        <v>Austria east of 14°50'E of Greenwich (32°30'E of Ferro).</v>
      </c>
      <c r="K6463" s="11">
        <v>0</v>
      </c>
    </row>
    <row r="6464" spans="5:11" x14ac:dyDescent="0.35">
      <c r="E6464" s="9" t="str">
        <v>EPSG</v>
      </c>
      <c r="F6464" s="7" t="str">
        <v>31281</v>
      </c>
      <c r="G6464" t="str">
        <v>ProjectedCrs</v>
      </c>
      <c r="H6464" t="str">
        <v>Transverse Mercator</v>
      </c>
      <c r="I6464" t="str">
        <v>MGI (Ferro) / Austria West Zone</v>
      </c>
      <c r="J6464" t="str">
        <v>Austria west of 11°50'E of Greenwich (29°30'E of Ferro).</v>
      </c>
      <c r="K6464" s="11">
        <v>0</v>
      </c>
    </row>
    <row r="6465" spans="5:11" x14ac:dyDescent="0.35">
      <c r="E6465" s="9" t="str">
        <v>EPSG</v>
      </c>
      <c r="F6465" s="7" t="str">
        <v>31282</v>
      </c>
      <c r="G6465" t="str">
        <v>ProjectedCrs</v>
      </c>
      <c r="H6465" t="str">
        <v>Transverse Mercator</v>
      </c>
      <c r="I6465" t="str">
        <v>MGI (Ferro) / Austria Central Zone</v>
      </c>
      <c r="J6465" t="str">
        <v>Austria between 11°50'E and 14°50'E of Greenwich (29°30'E and 32°30'E of Ferro).</v>
      </c>
      <c r="K6465" s="11">
        <v>0</v>
      </c>
    </row>
    <row r="6466" spans="5:11" x14ac:dyDescent="0.35">
      <c r="E6466" s="9" t="str">
        <v>EPSG</v>
      </c>
      <c r="F6466" s="7" t="str">
        <v>31283</v>
      </c>
      <c r="G6466" t="str">
        <v>ProjectedCrs</v>
      </c>
      <c r="H6466" t="str">
        <v>Transverse Mercator</v>
      </c>
      <c r="I6466" t="str">
        <v>MGI (Ferro) / Austria East Zone</v>
      </c>
      <c r="J6466" t="str">
        <v>Austria east of 14°50'E of Greenwich (32°30'E of Ferro).</v>
      </c>
      <c r="K6466" s="11">
        <v>0</v>
      </c>
    </row>
    <row r="6467" spans="5:11" x14ac:dyDescent="0.35">
      <c r="E6467" s="9" t="str">
        <v>EPSG</v>
      </c>
      <c r="F6467" s="7" t="str">
        <v>31284</v>
      </c>
      <c r="G6467" t="str">
        <v>ProjectedCrs</v>
      </c>
      <c r="H6467" t="str">
        <v>Transverse Mercator</v>
      </c>
      <c r="I6467" t="str">
        <v>MGI / Austria M28</v>
      </c>
      <c r="J6467" t="str">
        <v>Austria west of 11°50'E of Greenwich (29°30'E of Ferro).</v>
      </c>
      <c r="K6467" s="11">
        <v>0</v>
      </c>
    </row>
    <row r="6468" spans="5:11" x14ac:dyDescent="0.35">
      <c r="E6468" s="9" t="str">
        <v>EPSG</v>
      </c>
      <c r="F6468" s="7" t="str">
        <v>31285</v>
      </c>
      <c r="G6468" t="str">
        <v>ProjectedCrs</v>
      </c>
      <c r="H6468" t="str">
        <v>Transverse Mercator</v>
      </c>
      <c r="I6468" t="str">
        <v>MGI / Austria M31</v>
      </c>
      <c r="J6468" t="str">
        <v>Austria between 11°50'E and 14°50'E of Greenwich (29°30'E and 32°30'E of Ferro).</v>
      </c>
      <c r="K6468" s="11">
        <v>0</v>
      </c>
    </row>
    <row r="6469" spans="5:11" x14ac:dyDescent="0.35">
      <c r="E6469" s="9" t="str">
        <v>EPSG</v>
      </c>
      <c r="F6469" s="7" t="str">
        <v>31286</v>
      </c>
      <c r="G6469" t="str">
        <v>ProjectedCrs</v>
      </c>
      <c r="H6469" t="str">
        <v>Transverse Mercator</v>
      </c>
      <c r="I6469" t="str">
        <v>MGI / Austria M34</v>
      </c>
      <c r="J6469" t="str">
        <v>Austria east of 14°50'E of Greenwich (32°30'E of Ferro).</v>
      </c>
      <c r="K6469" s="11">
        <v>0</v>
      </c>
    </row>
    <row r="6470" spans="5:11" x14ac:dyDescent="0.35">
      <c r="E6470" s="9" t="str">
        <v>EPSG</v>
      </c>
      <c r="F6470" s="7" t="str">
        <v>31287</v>
      </c>
      <c r="G6470" t="str">
        <v>ProjectedCrs</v>
      </c>
      <c r="H6470" t="str">
        <v>Lambert Conic Conformal (2SP)</v>
      </c>
      <c r="I6470" t="str">
        <v>MGI / Austria Lambert</v>
      </c>
      <c r="J6470" t="str">
        <v>Austria.</v>
      </c>
      <c r="K6470" s="11">
        <v>0</v>
      </c>
    </row>
    <row r="6471" spans="5:11" x14ac:dyDescent="0.35">
      <c r="E6471" s="9" t="str">
        <v>EPSG</v>
      </c>
      <c r="F6471" s="7" t="str">
        <v>31288</v>
      </c>
      <c r="G6471" t="str">
        <v>ProjectedCrs</v>
      </c>
      <c r="H6471" t="str">
        <v>Transverse Mercator</v>
      </c>
      <c r="I6471" t="str">
        <v>MGI (Ferro) / Austria zone M28</v>
      </c>
      <c r="J6471" t="str">
        <v>Austria west of 11°50'E of Greenwich (29°30'E of Ferro).</v>
      </c>
      <c r="K6471" s="11">
        <v>0</v>
      </c>
    </row>
    <row r="6472" spans="5:11" x14ac:dyDescent="0.35">
      <c r="E6472" s="9" t="str">
        <v>EPSG</v>
      </c>
      <c r="F6472" s="7" t="str">
        <v>31289</v>
      </c>
      <c r="G6472" t="str">
        <v>ProjectedCrs</v>
      </c>
      <c r="H6472" t="str">
        <v>Transverse Mercator</v>
      </c>
      <c r="I6472" t="str">
        <v>MGI (Ferro) / Austria zone M31</v>
      </c>
      <c r="J6472" t="str">
        <v>Austria between 11°50'E and 14°50'E of Greenwich (29°30'E and 32°30'E of Ferro).</v>
      </c>
      <c r="K6472" s="11">
        <v>0</v>
      </c>
    </row>
    <row r="6473" spans="5:11" x14ac:dyDescent="0.35">
      <c r="E6473" s="9" t="str">
        <v>EPSG</v>
      </c>
      <c r="F6473" s="7" t="str">
        <v>31290</v>
      </c>
      <c r="G6473" t="str">
        <v>ProjectedCrs</v>
      </c>
      <c r="H6473" t="str">
        <v>Transverse Mercator</v>
      </c>
      <c r="I6473" t="str">
        <v>MGI (Ferro) / Austria zone M34</v>
      </c>
      <c r="J6473" t="str">
        <v>Austria east of 14°50'E of Greenwich (32°30'E of Ferro).</v>
      </c>
      <c r="K6473" s="11">
        <v>0</v>
      </c>
    </row>
    <row r="6474" spans="5:11" x14ac:dyDescent="0.35">
      <c r="E6474" s="9" t="str">
        <v>EPSG</v>
      </c>
      <c r="F6474" s="7" t="str">
        <v>31300</v>
      </c>
      <c r="G6474" t="str">
        <v>ProjectedCrs</v>
      </c>
      <c r="H6474" t="str">
        <v>Lambert Conic Conformal (2SP Belgium)</v>
      </c>
      <c r="I6474" t="str">
        <v>BD72 / Belge Lambert 72</v>
      </c>
      <c r="J6474" t="str">
        <v>Belgium - onshore.</v>
      </c>
      <c r="K6474" s="11">
        <v>0</v>
      </c>
    </row>
    <row r="6475" spans="5:11" x14ac:dyDescent="0.35">
      <c r="E6475" s="9" t="str">
        <v>EPSG</v>
      </c>
      <c r="F6475" s="7" t="str">
        <v>31370</v>
      </c>
      <c r="G6475" t="str">
        <v>ProjectedCrs</v>
      </c>
      <c r="H6475" t="str">
        <v>Lambert Conic Conformal (2SP)</v>
      </c>
      <c r="I6475" t="str">
        <v>BD72 / Belgian Lambert 72</v>
      </c>
      <c r="J6475" t="str">
        <v>Belgium - onshore.</v>
      </c>
      <c r="K6475" s="11">
        <v>0</v>
      </c>
    </row>
    <row r="6476" spans="5:11" x14ac:dyDescent="0.35">
      <c r="E6476" s="9" t="str">
        <v>EPSG</v>
      </c>
      <c r="F6476" s="7" t="str">
        <v>31466</v>
      </c>
      <c r="G6476" t="str">
        <v>ProjectedCrs</v>
      </c>
      <c r="H6476" t="str">
        <v>Transverse Mercator</v>
      </c>
      <c r="I6476" t="str">
        <v>DHDN / 3-degree Gauss-Kruger zone 2</v>
      </c>
      <c r="J6476" t="str">
        <v>Germany - former West Germany onshore west of 7°30'E - states of Niedersachsen, Nordrhein-Westfalen, Rheinland-Pfalz, Saarland.</v>
      </c>
      <c r="K6476" s="11">
        <v>0</v>
      </c>
    </row>
    <row r="6477" spans="5:11" x14ac:dyDescent="0.35">
      <c r="E6477" s="9" t="str">
        <v>EPSG</v>
      </c>
      <c r="F6477" s="7" t="str">
        <v>31467</v>
      </c>
      <c r="G6477" t="str">
        <v>ProjectedCrs</v>
      </c>
      <c r="H6477" t="str">
        <v>Transverse Mercator</v>
      </c>
      <c r="I6477" t="str">
        <v>DHDN / 3-degree Gauss-Kruger zone 3</v>
      </c>
      <c r="J6477" t="str">
        <v>Germany - former West Germany onshore between 7°30'E and 10°30'E - states of Baden-Wurtemberg, Bayern, Bremen, Hamberg, Hessen, Niedersachsen, Nordrhein-Westfalen, Rhineland-Pfalz, Schleswig-Holstein.</v>
      </c>
      <c r="K6477" s="11">
        <v>0</v>
      </c>
    </row>
    <row r="6478" spans="5:11" x14ac:dyDescent="0.35">
      <c r="E6478" s="9" t="str">
        <v>EPSG</v>
      </c>
      <c r="F6478" s="7" t="str">
        <v>31468</v>
      </c>
      <c r="G6478" t="str">
        <v>ProjectedCrs</v>
      </c>
      <c r="H6478" t="str">
        <v>Transverse Mercator</v>
      </c>
      <c r="I6478" t="str">
        <v>DHDN / 3-degree Gauss-Kruger zone 4</v>
      </c>
      <c r="J6478" t="str">
        <v>Germany - former West Germany onshore between 10°30'E and 13°30'E - states of Bayern, Berlin, Niedersachsen, Schleswig-Holstein.</v>
      </c>
      <c r="K6478" s="11">
        <v>0</v>
      </c>
    </row>
    <row r="6479" spans="5:11" x14ac:dyDescent="0.35">
      <c r="E6479" s="9" t="str">
        <v>EPSG</v>
      </c>
      <c r="F6479" s="7" t="str">
        <v>31469</v>
      </c>
      <c r="G6479" t="str">
        <v>ProjectedCrs</v>
      </c>
      <c r="H6479" t="str">
        <v>Transverse Mercator</v>
      </c>
      <c r="I6479" t="str">
        <v>DHDN / 3-degree Gauss-Kruger zone 5</v>
      </c>
      <c r="J6479" t="str">
        <v>Germany - former West Germany onshore east of 13°30'E - state of Bayern.</v>
      </c>
      <c r="K6479" s="11">
        <v>0</v>
      </c>
    </row>
    <row r="6480" spans="5:11" x14ac:dyDescent="0.35">
      <c r="E6480" s="9" t="str">
        <v>EPSG</v>
      </c>
      <c r="F6480" s="7" t="str">
        <v>31528</v>
      </c>
      <c r="G6480" t="str">
        <v>ProjectedCrs</v>
      </c>
      <c r="H6480" t="str">
        <v>Transverse Mercator</v>
      </c>
      <c r="I6480" t="str">
        <v>Conakry 1905 / UTM zone 28N</v>
      </c>
      <c r="J6480" t="str">
        <v>Guinea - onshore west of 12°W.</v>
      </c>
      <c r="K6480" s="11">
        <v>0</v>
      </c>
    </row>
    <row r="6481" spans="5:11" x14ac:dyDescent="0.35">
      <c r="E6481" s="9" t="str">
        <v>EPSG</v>
      </c>
      <c r="F6481" s="7" t="str">
        <v>31529</v>
      </c>
      <c r="G6481" t="str">
        <v>ProjectedCrs</v>
      </c>
      <c r="H6481" t="str">
        <v>Transverse Mercator</v>
      </c>
      <c r="I6481" t="str">
        <v>Conakry 1905 / UTM zone 29N</v>
      </c>
      <c r="J6481" t="str">
        <v>Guinea - east of 12°W.</v>
      </c>
      <c r="K6481" s="11">
        <v>0</v>
      </c>
    </row>
    <row r="6482" spans="5:11" x14ac:dyDescent="0.35">
      <c r="E6482" s="9" t="str">
        <v>EPSG</v>
      </c>
      <c r="F6482" s="7" t="str">
        <v>31600</v>
      </c>
      <c r="G6482" t="str">
        <v>ProjectedCrs</v>
      </c>
      <c r="H6482" t="str">
        <v>Oblique Stereographic</v>
      </c>
      <c r="I6482" t="str">
        <v>Dealul Piscului 1930 / Stereo 33</v>
      </c>
      <c r="J6482" t="str">
        <v>Romania - onshore.</v>
      </c>
      <c r="K6482" s="11">
        <v>0</v>
      </c>
    </row>
    <row r="6483" spans="5:11" x14ac:dyDescent="0.35">
      <c r="E6483" s="9" t="str">
        <v>EPSG</v>
      </c>
      <c r="F6483" s="7" t="str">
        <v>31838</v>
      </c>
      <c r="G6483" t="str">
        <v>ProjectedCrs</v>
      </c>
      <c r="H6483" t="str">
        <v>Transverse Mercator</v>
      </c>
      <c r="I6483" t="str">
        <v>NGN / UTM zone 38N</v>
      </c>
      <c r="J6483" t="str">
        <v>Kuwait - onshore west of 48°E.</v>
      </c>
      <c r="K6483" s="11">
        <v>0</v>
      </c>
    </row>
    <row r="6484" spans="5:11" x14ac:dyDescent="0.35">
      <c r="E6484" s="9" t="str">
        <v>EPSG</v>
      </c>
      <c r="F6484" s="7" t="str">
        <v>31839</v>
      </c>
      <c r="G6484" t="str">
        <v>ProjectedCrs</v>
      </c>
      <c r="H6484" t="str">
        <v>Transverse Mercator</v>
      </c>
      <c r="I6484" t="str">
        <v>NGN / UTM zone 39N</v>
      </c>
      <c r="J6484" t="str">
        <v>Kuwait - onshore east of 48°E.</v>
      </c>
      <c r="K6484" s="11">
        <v>0</v>
      </c>
    </row>
    <row r="6485" spans="5:11" x14ac:dyDescent="0.35">
      <c r="E6485" s="9" t="str">
        <v>EPSG</v>
      </c>
      <c r="F6485" s="7" t="str">
        <v>31901</v>
      </c>
      <c r="G6485" t="str">
        <v>ProjectedCrs</v>
      </c>
      <c r="H6485" t="str">
        <v>Transverse Mercator</v>
      </c>
      <c r="I6485" t="str">
        <v>KUDAMS / KTM</v>
      </c>
      <c r="J6485" t="str">
        <v>Kuwait - Kuwait City.</v>
      </c>
      <c r="K6485" s="11">
        <v>0</v>
      </c>
    </row>
    <row r="6486" spans="5:11" x14ac:dyDescent="0.35">
      <c r="E6486" s="9" t="str">
        <v>EPSG</v>
      </c>
      <c r="F6486" s="7" t="str">
        <v>31965</v>
      </c>
      <c r="G6486" t="str">
        <v>ProjectedCrs</v>
      </c>
      <c r="H6486" t="str">
        <v>Transverse Mercator</v>
      </c>
      <c r="I6486" t="str">
        <v>SIRGAS 2000 / UTM zone 11N</v>
      </c>
      <c r="J6486" t="str">
        <v>Latin America between 120°W and 114°W, northern hemisphere, onshore and offshore.</v>
      </c>
      <c r="K6486" s="11">
        <v>0</v>
      </c>
    </row>
    <row r="6487" spans="5:11" x14ac:dyDescent="0.35">
      <c r="E6487" s="9" t="str">
        <v>EPSG</v>
      </c>
      <c r="F6487" s="7" t="str">
        <v>31966</v>
      </c>
      <c r="G6487" t="str">
        <v>ProjectedCrs</v>
      </c>
      <c r="H6487" t="str">
        <v>Transverse Mercator</v>
      </c>
      <c r="I6487" t="str">
        <v>SIRGAS 2000 / UTM zone 12N</v>
      </c>
      <c r="J6487" t="str">
        <v>Latin America between 114°W and 108°W, northern hemisphere, onshore and offshore.</v>
      </c>
      <c r="K6487" s="11">
        <v>0</v>
      </c>
    </row>
    <row r="6488" spans="5:11" x14ac:dyDescent="0.35">
      <c r="E6488" s="9" t="str">
        <v>EPSG</v>
      </c>
      <c r="F6488" s="7" t="str">
        <v>31967</v>
      </c>
      <c r="G6488" t="str">
        <v>ProjectedCrs</v>
      </c>
      <c r="H6488" t="str">
        <v>Transverse Mercator</v>
      </c>
      <c r="I6488" t="str">
        <v>SIRGAS 2000 / UTM zone 13N</v>
      </c>
      <c r="J6488" t="str">
        <v>Latin America between 108°W and 102°W, northern hemisphere, onshore and offshore.</v>
      </c>
      <c r="K6488" s="11">
        <v>0</v>
      </c>
    </row>
    <row r="6489" spans="5:11" x14ac:dyDescent="0.35">
      <c r="E6489" s="9" t="str">
        <v>EPSG</v>
      </c>
      <c r="F6489" s="7" t="str">
        <v>31968</v>
      </c>
      <c r="G6489" t="str">
        <v>ProjectedCrs</v>
      </c>
      <c r="H6489" t="str">
        <v>Transverse Mercator</v>
      </c>
      <c r="I6489" t="str">
        <v>SIRGAS 2000 / UTM zone 14N</v>
      </c>
      <c r="J6489" t="str">
        <v>Latin America between 102°W and 96°W, northern hemisphere, onshore and offshore.</v>
      </c>
      <c r="K6489" s="11">
        <v>0</v>
      </c>
    </row>
    <row r="6490" spans="5:11" x14ac:dyDescent="0.35">
      <c r="E6490" s="9" t="str">
        <v>EPSG</v>
      </c>
      <c r="F6490" s="7" t="str">
        <v>31969</v>
      </c>
      <c r="G6490" t="str">
        <v>ProjectedCrs</v>
      </c>
      <c r="H6490" t="str">
        <v>Transverse Mercator</v>
      </c>
      <c r="I6490" t="str">
        <v>SIRGAS 2000 / UTM zone 15N</v>
      </c>
      <c r="J6490" t="str">
        <v>Latin America - Central and South America - between 96°W and 90°W, northern hemisphere, onshore and offshore.</v>
      </c>
      <c r="K6490" s="11">
        <v>0</v>
      </c>
    </row>
    <row r="6491" spans="5:11" x14ac:dyDescent="0.35">
      <c r="E6491" s="9" t="str">
        <v>EPSG</v>
      </c>
      <c r="F6491" s="7" t="str">
        <v>31970</v>
      </c>
      <c r="G6491" t="str">
        <v>ProjectedCrs</v>
      </c>
      <c r="H6491" t="str">
        <v>Transverse Mercator</v>
      </c>
      <c r="I6491" t="str">
        <v>SIRGAS 2000 / UTM zone 16N</v>
      </c>
      <c r="J6491" t="str">
        <v>Latin America - Central America and South America - between 90°W and 84°W, northern hemisphere, onshore and offshore.</v>
      </c>
      <c r="K6491" s="11">
        <v>0</v>
      </c>
    </row>
    <row r="6492" spans="5:11" x14ac:dyDescent="0.35">
      <c r="E6492" s="9" t="str">
        <v>EPSG</v>
      </c>
      <c r="F6492" s="7" t="str">
        <v>31971</v>
      </c>
      <c r="G6492" t="str">
        <v>ProjectedCrs</v>
      </c>
      <c r="H6492" t="str">
        <v>Transverse Mercator</v>
      </c>
      <c r="I6492" t="str">
        <v>SIRGAS 2000 / UTM zone 17N</v>
      </c>
      <c r="J6492" t="str">
        <v>Latin America - Central America and South America - between 84°W and 78°W, northern hemisphere, onshore and offshore.</v>
      </c>
      <c r="K6492" s="11">
        <v>0</v>
      </c>
    </row>
    <row r="6493" spans="5:11" x14ac:dyDescent="0.35">
      <c r="E6493" s="9" t="str">
        <v>EPSG</v>
      </c>
      <c r="F6493" s="7" t="str">
        <v>31972</v>
      </c>
      <c r="G6493" t="str">
        <v>ProjectedCrs</v>
      </c>
      <c r="H6493" t="str">
        <v>Transverse Mercator</v>
      </c>
      <c r="I6493" t="str">
        <v>SIRGAS 2000 / UTM zone 18N</v>
      </c>
      <c r="J6493" t="str">
        <v>Latin America - Central America and South America - between 78°W and 72°W, northern hemisphere, onshore and offshore.</v>
      </c>
      <c r="K6493" s="11">
        <v>0</v>
      </c>
    </row>
    <row r="6494" spans="5:11" x14ac:dyDescent="0.35">
      <c r="E6494" s="9" t="str">
        <v>EPSG</v>
      </c>
      <c r="F6494" s="7" t="str">
        <v>31973</v>
      </c>
      <c r="G6494" t="str">
        <v>ProjectedCrs</v>
      </c>
      <c r="H6494" t="str">
        <v>Transverse Mercator</v>
      </c>
      <c r="I6494" t="str">
        <v>SIRGAS 2000 / UTM zone 19N</v>
      </c>
      <c r="J6494" t="str">
        <v>South America between 72°W and 66°W and north of approximately 2°N, onshore and offshore.</v>
      </c>
      <c r="K6494" s="11">
        <v>0</v>
      </c>
    </row>
    <row r="6495" spans="5:11" x14ac:dyDescent="0.35">
      <c r="E6495" s="9" t="str">
        <v>EPSG</v>
      </c>
      <c r="F6495" s="7" t="str">
        <v>31974</v>
      </c>
      <c r="G6495" t="str">
        <v>ProjectedCrs</v>
      </c>
      <c r="H6495" t="str">
        <v>Transverse Mercator</v>
      </c>
      <c r="I6495" t="str">
        <v>SIRGAS 2000 / UTM zone 20N</v>
      </c>
      <c r="J6495" t="str">
        <v>South America between 66°W and 60°W, north of approximately 4°N, onshore and offshore.</v>
      </c>
      <c r="K6495" s="11">
        <v>0</v>
      </c>
    </row>
    <row r="6496" spans="5:11" x14ac:dyDescent="0.35">
      <c r="E6496" s="9" t="str">
        <v>EPSG</v>
      </c>
      <c r="F6496" s="7" t="str">
        <v>31975</v>
      </c>
      <c r="G6496" t="str">
        <v>ProjectedCrs</v>
      </c>
      <c r="H6496" t="str">
        <v>Transverse Mercator</v>
      </c>
      <c r="I6496" t="str">
        <v>SIRGAS 2000 / UTM zone 21N</v>
      </c>
      <c r="J6496" t="str">
        <v>South America between 60°W and 54°W, north of approximately 2°N, onshore and offshore.</v>
      </c>
      <c r="K6496" s="11">
        <v>0</v>
      </c>
    </row>
    <row r="6497" spans="5:11" x14ac:dyDescent="0.35">
      <c r="E6497" s="9" t="str">
        <v>EPSG</v>
      </c>
      <c r="F6497" s="7" t="str">
        <v>31976</v>
      </c>
      <c r="G6497" t="str">
        <v>ProjectedCrs</v>
      </c>
      <c r="H6497" t="str">
        <v>Transverse Mercator</v>
      </c>
      <c r="I6497" t="str">
        <v>SIRGAS 2000 / UTM zone 22N</v>
      </c>
      <c r="J6497" t="str">
        <v>South America between 54°W and 48°W, northern hemisphere, onshore and offshore except Brazil where offshore only.</v>
      </c>
      <c r="K6497" s="11">
        <v>0</v>
      </c>
    </row>
    <row r="6498" spans="5:11" x14ac:dyDescent="0.35">
      <c r="E6498" s="9" t="str">
        <v>EPSG</v>
      </c>
      <c r="F6498" s="7" t="str">
        <v>31977</v>
      </c>
      <c r="G6498" t="str">
        <v>ProjectedCrs</v>
      </c>
      <c r="H6498" t="str">
        <v>Transverse Mercator</v>
      </c>
      <c r="I6498" t="str">
        <v>SIRGAS 2000 / UTM zone 17S</v>
      </c>
      <c r="J6498" t="str">
        <v>South America between 84°W and 78°W, southern hemisphere, onshore and offshore.</v>
      </c>
      <c r="K6498" s="11">
        <v>0</v>
      </c>
    </row>
    <row r="6499" spans="5:11" x14ac:dyDescent="0.35">
      <c r="E6499" s="9" t="str">
        <v>EPSG</v>
      </c>
      <c r="F6499" s="7" t="str">
        <v>31978</v>
      </c>
      <c r="G6499" t="str">
        <v>ProjectedCrs</v>
      </c>
      <c r="H6499" t="str">
        <v>Transverse Mercator</v>
      </c>
      <c r="I6499" t="str">
        <v>SIRGAS 2000 / UTM zone 18S</v>
      </c>
      <c r="J6499" t="str">
        <v>Brazil west of 72°W. In remainder of South America, between 78°W and 72°W, southern hemisphere, onshore and offshore.</v>
      </c>
      <c r="K6499" s="11">
        <v>0</v>
      </c>
    </row>
    <row r="6500" spans="5:11" x14ac:dyDescent="0.35">
      <c r="E6500" s="9" t="str">
        <v>EPSG</v>
      </c>
      <c r="F6500" s="7" t="str">
        <v>31979</v>
      </c>
      <c r="G6500" t="str">
        <v>ProjectedCrs</v>
      </c>
      <c r="H6500" t="str">
        <v>Transverse Mercator</v>
      </c>
      <c r="I6500" t="str">
        <v>SIRGAS 2000 / UTM zone 19S</v>
      </c>
      <c r="J6500" t="str">
        <v>Brazil - between 72°W and 66°W, northern and southern hemispheres. In remainder of South America - between 72°W and 66°W, southern hemisphere, onshore and offshore.</v>
      </c>
      <c r="K6500" s="11">
        <v>0</v>
      </c>
    </row>
    <row r="6501" spans="5:11" x14ac:dyDescent="0.35">
      <c r="E6501" s="9" t="str">
        <v>EPSG</v>
      </c>
      <c r="F6501" s="7" t="str">
        <v>31980</v>
      </c>
      <c r="G6501" t="str">
        <v>ProjectedCrs</v>
      </c>
      <c r="H6501" t="str">
        <v>Transverse Mercator</v>
      </c>
      <c r="I6501" t="str">
        <v>SIRGAS 2000 / UTM zone 20S</v>
      </c>
      <c r="J6501" t="str">
        <v>Brazil - between 66°W and 60°W, northern and southern hemispheres. In remainder of South America - between 66°W and 60°W, southern hemisphere, onshore and offshore.</v>
      </c>
      <c r="K6501" s="11">
        <v>0</v>
      </c>
    </row>
    <row r="6502" spans="5:11" x14ac:dyDescent="0.35">
      <c r="E6502" s="9" t="str">
        <v>EPSG</v>
      </c>
      <c r="F6502" s="7" t="str">
        <v>31981</v>
      </c>
      <c r="G6502" t="str">
        <v>ProjectedCrs</v>
      </c>
      <c r="H6502" t="str">
        <v>Transverse Mercator</v>
      </c>
      <c r="I6502" t="str">
        <v>SIRGAS 2000 / UTM zone 21S</v>
      </c>
      <c r="J6502" t="str">
        <v>Brazil - between 60°W and 54°W, northern and southern hemispheres. In remainder of South America - between 60°W and 54°W, southern hemisphere, onshore and offshore.</v>
      </c>
      <c r="K6502" s="11">
        <v>0</v>
      </c>
    </row>
    <row r="6503" spans="5:11" x14ac:dyDescent="0.35">
      <c r="E6503" s="9" t="str">
        <v>EPSG</v>
      </c>
      <c r="F6503" s="7" t="str">
        <v>31982</v>
      </c>
      <c r="G6503" t="str">
        <v>ProjectedCrs</v>
      </c>
      <c r="H6503" t="str">
        <v>Transverse Mercator</v>
      </c>
      <c r="I6503" t="str">
        <v>SIRGAS 2000 / UTM zone 22S</v>
      </c>
      <c r="J6503" t="str">
        <v>Brazil - between 54°W and 48°W, northern and southern hemispheres, onshore and offshore. In remainder of South America - between 54°W and 48°W, southern hemisphere, onshore and offshore.</v>
      </c>
      <c r="K6503" s="11">
        <v>0</v>
      </c>
    </row>
    <row r="6504" spans="5:11" x14ac:dyDescent="0.35">
      <c r="E6504" s="9" t="str">
        <v>EPSG</v>
      </c>
      <c r="F6504" s="7" t="str">
        <v>31983</v>
      </c>
      <c r="G6504" t="str">
        <v>ProjectedCrs</v>
      </c>
      <c r="H6504" t="str">
        <v>Transverse Mercator</v>
      </c>
      <c r="I6504" t="str">
        <v>SIRGAS 2000 / UTM zone 23S</v>
      </c>
      <c r="J6504" t="str">
        <v>Brazil - between 48°W and 42°W, northern and southern hemispheres, onshore and offshore.</v>
      </c>
      <c r="K6504" s="11">
        <v>0</v>
      </c>
    </row>
    <row r="6505" spans="5:11" x14ac:dyDescent="0.35">
      <c r="E6505" s="9" t="str">
        <v>EPSG</v>
      </c>
      <c r="F6505" s="7" t="str">
        <v>31984</v>
      </c>
      <c r="G6505" t="str">
        <v>ProjectedCrs</v>
      </c>
      <c r="H6505" t="str">
        <v>Transverse Mercator</v>
      </c>
      <c r="I6505" t="str">
        <v>SIRGAS 2000 / UTM zone 24S</v>
      </c>
      <c r="J6505" t="str">
        <v>Brazil - between 42°W and 36°W, northern and southern hemispheres, onshore and offshore.</v>
      </c>
      <c r="K6505" s="11">
        <v>0</v>
      </c>
    </row>
    <row r="6506" spans="5:11" x14ac:dyDescent="0.35">
      <c r="E6506" s="9" t="str">
        <v>EPSG</v>
      </c>
      <c r="F6506" s="7" t="str">
        <v>31985</v>
      </c>
      <c r="G6506" t="str">
        <v>ProjectedCrs</v>
      </c>
      <c r="H6506" t="str">
        <v>Transverse Mercator</v>
      </c>
      <c r="I6506" t="str">
        <v>SIRGAS 2000 / UTM zone 25S</v>
      </c>
      <c r="J6506" t="str">
        <v>Brazil - between 36°W and 30°W, northern and southern hemispheres, onshore and offshore.</v>
      </c>
      <c r="K6506" s="11">
        <v>0</v>
      </c>
    </row>
    <row r="6507" spans="5:11" x14ac:dyDescent="0.35">
      <c r="E6507" s="9" t="str">
        <v>EPSG</v>
      </c>
      <c r="F6507" s="7" t="str">
        <v>31986</v>
      </c>
      <c r="G6507" t="str">
        <v>ProjectedCrs</v>
      </c>
      <c r="H6507" t="str">
        <v>Transverse Mercator</v>
      </c>
      <c r="I6507" t="str">
        <v>SIRGAS 1995 / UTM zone 17N</v>
      </c>
      <c r="J6507" t="str">
        <v>South America between 84°W and 78°W, northern hemisphere, onshore and offshore.</v>
      </c>
      <c r="K6507" s="11">
        <v>0</v>
      </c>
    </row>
    <row r="6508" spans="5:11" x14ac:dyDescent="0.35">
      <c r="E6508" s="9" t="str">
        <v>EPSG</v>
      </c>
      <c r="F6508" s="7" t="str">
        <v>31987</v>
      </c>
      <c r="G6508" t="str">
        <v>ProjectedCrs</v>
      </c>
      <c r="H6508" t="str">
        <v>Transverse Mercator</v>
      </c>
      <c r="I6508" t="str">
        <v>SIRGAS 1995 / UTM zone 18N</v>
      </c>
      <c r="J6508" t="str">
        <v>South America between 78°W and 72°W, northern hemisphere, onshore and offshore.</v>
      </c>
      <c r="K6508" s="11">
        <v>0</v>
      </c>
    </row>
    <row r="6509" spans="5:11" x14ac:dyDescent="0.35">
      <c r="E6509" s="9" t="str">
        <v>EPSG</v>
      </c>
      <c r="F6509" s="7" t="str">
        <v>31988</v>
      </c>
      <c r="G6509" t="str">
        <v>ProjectedCrs</v>
      </c>
      <c r="H6509" t="str">
        <v>Transverse Mercator</v>
      </c>
      <c r="I6509" t="str">
        <v>SIRGAS 1995 / UTM zone 19N</v>
      </c>
      <c r="J6509" t="str">
        <v>South America between 72°W and 66°W, northern hemisphere, onshore and offshore.</v>
      </c>
      <c r="K6509" s="11">
        <v>0</v>
      </c>
    </row>
    <row r="6510" spans="5:11" x14ac:dyDescent="0.35">
      <c r="E6510" s="9" t="str">
        <v>EPSG</v>
      </c>
      <c r="F6510" s="7" t="str">
        <v>31989</v>
      </c>
      <c r="G6510" t="str">
        <v>ProjectedCrs</v>
      </c>
      <c r="H6510" t="str">
        <v>Transverse Mercator</v>
      </c>
      <c r="I6510" t="str">
        <v>SIRGAS 1995 / UTM zone 20N</v>
      </c>
      <c r="J6510" t="str">
        <v>South America between 66°W and 60°W, northern hemisphere, onshore and offshore.</v>
      </c>
      <c r="K6510" s="11">
        <v>0</v>
      </c>
    </row>
    <row r="6511" spans="5:11" x14ac:dyDescent="0.35">
      <c r="E6511" s="9" t="str">
        <v>EPSG</v>
      </c>
      <c r="F6511" s="7" t="str">
        <v>31990</v>
      </c>
      <c r="G6511" t="str">
        <v>ProjectedCrs</v>
      </c>
      <c r="H6511" t="str">
        <v>Transverse Mercator</v>
      </c>
      <c r="I6511" t="str">
        <v>SIRGAS 1995 / UTM zone 21N</v>
      </c>
      <c r="J6511" t="str">
        <v>South America between 60°W and 54°W, northern hemisphere, onshore and offshore.</v>
      </c>
      <c r="K6511" s="11">
        <v>0</v>
      </c>
    </row>
    <row r="6512" spans="5:11" x14ac:dyDescent="0.35">
      <c r="E6512" s="9" t="str">
        <v>EPSG</v>
      </c>
      <c r="F6512" s="7" t="str">
        <v>31991</v>
      </c>
      <c r="G6512" t="str">
        <v>ProjectedCrs</v>
      </c>
      <c r="H6512" t="str">
        <v>Transverse Mercator</v>
      </c>
      <c r="I6512" t="str">
        <v>SIRGAS 1995 / UTM zone 22N</v>
      </c>
      <c r="J6512" t="str">
        <v>South America between 54°W and 48°W, northern hemisphere, onshore and offshore.</v>
      </c>
      <c r="K6512" s="11">
        <v>0</v>
      </c>
    </row>
    <row r="6513" spans="5:11" x14ac:dyDescent="0.35">
      <c r="E6513" s="9" t="str">
        <v>EPSG</v>
      </c>
      <c r="F6513" s="7" t="str">
        <v>31992</v>
      </c>
      <c r="G6513" t="str">
        <v>ProjectedCrs</v>
      </c>
      <c r="H6513" t="str">
        <v>Transverse Mercator</v>
      </c>
      <c r="I6513" t="str">
        <v>SIRGAS 1995 / UTM zone 17S</v>
      </c>
      <c r="J6513" t="str">
        <v>Ecuador (mainland whole country including areas in northern hemisphere and east of 78°W), onshore and offshore. In remainder of South America, between 84°W and 78°W, southern hemisphere, onshore and offshore.</v>
      </c>
      <c r="K6513" s="11">
        <v>0</v>
      </c>
    </row>
    <row r="6514" spans="5:11" x14ac:dyDescent="0.35">
      <c r="E6514" s="9" t="str">
        <v>EPSG</v>
      </c>
      <c r="F6514" s="7" t="str">
        <v>31993</v>
      </c>
      <c r="G6514" t="str">
        <v>ProjectedCrs</v>
      </c>
      <c r="H6514" t="str">
        <v>Transverse Mercator</v>
      </c>
      <c r="I6514" t="str">
        <v>SIRGAS 1995 / UTM zone 18S</v>
      </c>
      <c r="J6514" t="str">
        <v>South America between 78°W and 72°W, southern hemisphere, onshore and offshore.</v>
      </c>
      <c r="K6514" s="11">
        <v>0</v>
      </c>
    </row>
    <row r="6515" spans="5:11" x14ac:dyDescent="0.35">
      <c r="E6515" s="9" t="str">
        <v>EPSG</v>
      </c>
      <c r="F6515" s="7" t="str">
        <v>31994</v>
      </c>
      <c r="G6515" t="str">
        <v>ProjectedCrs</v>
      </c>
      <c r="H6515" t="str">
        <v>Transverse Mercator</v>
      </c>
      <c r="I6515" t="str">
        <v>SIRGAS 1995 / UTM zone 19S</v>
      </c>
      <c r="J6515" t="str">
        <v>South America between 72°W and 66°W, southern hemisphere, onshore and offshore.</v>
      </c>
      <c r="K6515" s="11">
        <v>0</v>
      </c>
    </row>
    <row r="6516" spans="5:11" x14ac:dyDescent="0.35">
      <c r="E6516" s="9" t="str">
        <v>EPSG</v>
      </c>
      <c r="F6516" s="7" t="str">
        <v>31995</v>
      </c>
      <c r="G6516" t="str">
        <v>ProjectedCrs</v>
      </c>
      <c r="H6516" t="str">
        <v>Transverse Mercator</v>
      </c>
      <c r="I6516" t="str">
        <v>SIRGAS 1995 / UTM zone 20S</v>
      </c>
      <c r="J6516" t="str">
        <v>South America between 66°W and 60°W, southern hemisphere, onshore and offshore.</v>
      </c>
      <c r="K6516" s="11">
        <v>0</v>
      </c>
    </row>
    <row r="6517" spans="5:11" x14ac:dyDescent="0.35">
      <c r="E6517" s="9" t="str">
        <v>EPSG</v>
      </c>
      <c r="F6517" s="7" t="str">
        <v>31996</v>
      </c>
      <c r="G6517" t="str">
        <v>ProjectedCrs</v>
      </c>
      <c r="H6517" t="str">
        <v>Transverse Mercator</v>
      </c>
      <c r="I6517" t="str">
        <v>SIRGAS 1995 / UTM zone 21S</v>
      </c>
      <c r="J6517" t="str">
        <v>South America onshore and offshore, southern hemisphere between 60°W and 54°W.</v>
      </c>
      <c r="K6517" s="11">
        <v>0</v>
      </c>
    </row>
    <row r="6518" spans="5:11" x14ac:dyDescent="0.35">
      <c r="E6518" s="9" t="str">
        <v>EPSG</v>
      </c>
      <c r="F6518" s="7" t="str">
        <v>31997</v>
      </c>
      <c r="G6518" t="str">
        <v>ProjectedCrs</v>
      </c>
      <c r="H6518" t="str">
        <v>Transverse Mercator</v>
      </c>
      <c r="I6518" t="str">
        <v>SIRGAS 1995 / UTM zone 22S</v>
      </c>
      <c r="J6518" t="str">
        <v>South America between 54°W and 48°W, southern hemisphere, onshore and offshore.</v>
      </c>
      <c r="K6518" s="11">
        <v>0</v>
      </c>
    </row>
    <row r="6519" spans="5:11" x14ac:dyDescent="0.35">
      <c r="E6519" s="9" t="str">
        <v>EPSG</v>
      </c>
      <c r="F6519" s="7" t="str">
        <v>31998</v>
      </c>
      <c r="G6519" t="str">
        <v>ProjectedCrs</v>
      </c>
      <c r="H6519" t="str">
        <v>Transverse Mercator</v>
      </c>
      <c r="I6519" t="str">
        <v>SIRGAS 1995 / UTM zone 23S</v>
      </c>
      <c r="J6519" t="str">
        <v>South America - between 48°W and 42°W, southern hemisphere, onshore and offshore.</v>
      </c>
      <c r="K6519" s="11">
        <v>0</v>
      </c>
    </row>
    <row r="6520" spans="5:11" x14ac:dyDescent="0.35">
      <c r="E6520" s="9" t="str">
        <v>EPSG</v>
      </c>
      <c r="F6520" s="7" t="str">
        <v>31999</v>
      </c>
      <c r="G6520" t="str">
        <v>ProjectedCrs</v>
      </c>
      <c r="H6520" t="str">
        <v>Transverse Mercator</v>
      </c>
      <c r="I6520" t="str">
        <v>SIRGAS 1995 / UTM zone 24S</v>
      </c>
      <c r="J6520" t="str">
        <v>South America - between 42°W and 36°W, southern hemisphere, onshore and offshore.</v>
      </c>
      <c r="K6520" s="11">
        <v>0</v>
      </c>
    </row>
    <row r="6521" spans="5:11" x14ac:dyDescent="0.35">
      <c r="E6521" s="9" t="str">
        <v>EPSG</v>
      </c>
      <c r="F6521" s="7" t="str">
        <v>32000</v>
      </c>
      <c r="G6521" t="str">
        <v>ProjectedCrs</v>
      </c>
      <c r="H6521" t="str">
        <v>Transverse Mercator</v>
      </c>
      <c r="I6521" t="str">
        <v>SIRGAS 1995 / UTM zone 25S</v>
      </c>
      <c r="J6521" t="str">
        <v>South America - between 36°W and 30°W, southern hemisphere, onshore and offshore.</v>
      </c>
      <c r="K6521" s="11">
        <v>0</v>
      </c>
    </row>
    <row r="6522" spans="5:11" x14ac:dyDescent="0.35">
      <c r="E6522" s="9" t="str">
        <v>EPSG</v>
      </c>
      <c r="F6522" s="7" t="str">
        <v>32001</v>
      </c>
      <c r="G6522" t="str">
        <v>ProjectedCrs</v>
      </c>
      <c r="H6522" t="str">
        <v>Lambert Conic Conformal (2SP)</v>
      </c>
      <c r="I6522" t="str">
        <v>NAD27 / Montana North</v>
      </c>
      <c r="J6522" t="str">
        <v>United States (USA) - Montana north of approximately 47°50'N - counties of Blaine; Chouteau; Daniels; Flathead; Glacier; Hill; Liberty; Lincoln; Phillips; Pondera; Roosevelt; Sheridan; Teton; Toole; Valley.</v>
      </c>
      <c r="K6522" s="11">
        <v>0</v>
      </c>
    </row>
    <row r="6523" spans="5:11" x14ac:dyDescent="0.35">
      <c r="E6523" s="9" t="str">
        <v>EPSG</v>
      </c>
      <c r="F6523" s="7" t="str">
        <v>32002</v>
      </c>
      <c r="G6523" t="str">
        <v>ProjectedCrs</v>
      </c>
      <c r="H6523" t="str">
        <v>Lambert Conic Conformal (2SP)</v>
      </c>
      <c r="I6523" t="str">
        <v>NAD27 / Montana Central</v>
      </c>
      <c r="J6523" t="str">
        <v>United States (USA) - Montana - counties of Cascade; Dawson; Fergus; Garfield; Judith Basin; Lake; Lewis and Clark; McCone; Meagher; Mineral; Missoula; Petroleum; Powell; Prairie; Richland; Sanders; Wibaux.</v>
      </c>
      <c r="K6523" s="11">
        <v>0</v>
      </c>
    </row>
    <row r="6524" spans="5:11" x14ac:dyDescent="0.35">
      <c r="E6524" s="9" t="str">
        <v>EPSG</v>
      </c>
      <c r="F6524" s="7" t="str">
        <v>32003</v>
      </c>
      <c r="G6524" t="str">
        <v>ProjectedCrs</v>
      </c>
      <c r="H6524" t="str">
        <v>Lambert Conic Conformal (2SP)</v>
      </c>
      <c r="I6524" t="str">
        <v>NAD27 / Montana South</v>
      </c>
      <c r="J6524" t="str">
        <v>United States (USA) - Montana - counties of Beaverhead; Big Horn; Broadwater; Carbon; Carter; Custer; Deer Lodge; Fallon; Gallatin; Golden Valley; Granite; Jefferson; Madison; Musselshell; Park; Powder River; Ravalli; Rosebud; Silver Bow; Stillwater; Sweet Grass; Treasure; Wheatland; Yellowstone.</v>
      </c>
      <c r="K6524" s="11">
        <v>0</v>
      </c>
    </row>
    <row r="6525" spans="5:11" x14ac:dyDescent="0.35">
      <c r="E6525" s="9" t="str">
        <v>EPSG</v>
      </c>
      <c r="F6525" s="7" t="str">
        <v>32005</v>
      </c>
      <c r="G6525" t="str">
        <v>ProjectedCrs</v>
      </c>
      <c r="H6525" t="str">
        <v>Lambert Conic Conformal (2SP)</v>
      </c>
      <c r="I6525" t="str">
        <v>NAD27 / Nebraska North</v>
      </c>
      <c r="J6525" t="str">
        <v>United States (USA) - Nebraska - counties of Antelope; Blaine; Box Butte; Boyd; Brown; Burt; Cedar; Cherry; Cuming; Dakota; Dawes; Dixon; Garfield; Grant; Holt; Hooker; Keya Paha; Knox; Loup; Madison; Pierce; Rock; Sheridan; Sioux; Stanton; Thomas; Thurston; Wayne; Wheeler.</v>
      </c>
      <c r="K6525" s="11">
        <v>0</v>
      </c>
    </row>
    <row r="6526" spans="5:11" x14ac:dyDescent="0.35">
      <c r="E6526" s="9" t="str">
        <v>EPSG</v>
      </c>
      <c r="F6526" s="7" t="str">
        <v>32006</v>
      </c>
      <c r="G6526" t="str">
        <v>ProjectedCrs</v>
      </c>
      <c r="H6526" t="str">
        <v>Lambert Conic Conformal (2SP)</v>
      </c>
      <c r="I6526" t="str">
        <v>NAD27 / Nebraska South</v>
      </c>
      <c r="J6526" t="str">
        <v>United States (USA) - Nebraska - counties of Adams; Arthur; Banner; Boone; Buffalo; Butler; Cass; Chase; Cheyenne; Clay; Colfax; Custer; Dawson; Deuel; Dodge; Douglas; Dundy; Fillmore; Franklin; Frontier; Furnas; Gage; Garden; Gosper; Greeley; Hall; Hamilton; Harlan; Hayes; Hitchcock; Howard; Jefferson; Johnson; Kearney; Keith; Kimball; Lancaster; Lincoln; Logan; McPherson; Merrick; Morrill; Nance; Nemaha; Nuckolls; Otoe; Pawnee; Perkins; Phelps; Platte; Polk; Red Willow; Richardson; Saline; Sarpy; Saunders; Scotts Bluff; Seward; Sherman; Thayer; Valley; Washington; Webster; York.</v>
      </c>
      <c r="K6526" s="11">
        <v>0</v>
      </c>
    </row>
    <row r="6527" spans="5:11" x14ac:dyDescent="0.35">
      <c r="E6527" s="9" t="str">
        <v>EPSG</v>
      </c>
      <c r="F6527" s="7" t="str">
        <v>32007</v>
      </c>
      <c r="G6527" t="str">
        <v>ProjectedCrs</v>
      </c>
      <c r="H6527" t="str">
        <v>Transverse Mercator</v>
      </c>
      <c r="I6527" t="str">
        <v>NAD27 / Nevada East</v>
      </c>
      <c r="J6527" t="str">
        <v>United States (USA) - Nevada - counties of Clark; Elko; Eureka; Lincoln; White Pine.</v>
      </c>
      <c r="K6527" s="11">
        <v>0</v>
      </c>
    </row>
    <row r="6528" spans="5:11" x14ac:dyDescent="0.35">
      <c r="E6528" s="9" t="str">
        <v>EPSG</v>
      </c>
      <c r="F6528" s="7" t="str">
        <v>32008</v>
      </c>
      <c r="G6528" t="str">
        <v>ProjectedCrs</v>
      </c>
      <c r="H6528" t="str">
        <v>Transverse Mercator</v>
      </c>
      <c r="I6528" t="str">
        <v>NAD27 / Nevada Central</v>
      </c>
      <c r="J6528" t="str">
        <v>United States (USA) - Nevada - counties of Lander; Nye.</v>
      </c>
      <c r="K6528" s="11">
        <v>0</v>
      </c>
    </row>
    <row r="6529" spans="5:11" x14ac:dyDescent="0.35">
      <c r="E6529" s="9" t="str">
        <v>EPSG</v>
      </c>
      <c r="F6529" s="7" t="str">
        <v>32009</v>
      </c>
      <c r="G6529" t="str">
        <v>ProjectedCrs</v>
      </c>
      <c r="H6529" t="str">
        <v>Transverse Mercator</v>
      </c>
      <c r="I6529" t="str">
        <v>NAD27 / Nevada West</v>
      </c>
      <c r="J6529" t="str">
        <v>United States (USA) - Nevada - counties of Churchill; Douglas; Esmeralda; Humboldt; Lyon; Mineral; Pershing; Storey; Washoe.</v>
      </c>
      <c r="K6529" s="11">
        <v>0</v>
      </c>
    </row>
    <row r="6530" spans="5:11" x14ac:dyDescent="0.35">
      <c r="E6530" s="9" t="str">
        <v>EPSG</v>
      </c>
      <c r="F6530" s="7" t="str">
        <v>32010</v>
      </c>
      <c r="G6530" t="str">
        <v>ProjectedCrs</v>
      </c>
      <c r="H6530" t="str">
        <v>Transverse Mercator</v>
      </c>
      <c r="I6530" t="str">
        <v>NAD27 / New Hampshire</v>
      </c>
      <c r="J6530" t="str">
        <v>United States (USA) - New Hampshire - counties of Belknap; Carroll; Cheshire; Coos; Grafton; Hillsborough; Merrimack; Rockingham; Strafford; Sullivan.</v>
      </c>
      <c r="K6530" s="11">
        <v>0</v>
      </c>
    </row>
    <row r="6531" spans="5:11" x14ac:dyDescent="0.35">
      <c r="E6531" s="9" t="str">
        <v>EPSG</v>
      </c>
      <c r="F6531" s="7" t="str">
        <v>32011</v>
      </c>
      <c r="G6531" t="str">
        <v>ProjectedCrs</v>
      </c>
      <c r="H6531" t="str">
        <v>Transverse Mercator</v>
      </c>
      <c r="I6531" t="str">
        <v>NAD27 / New Jersey</v>
      </c>
      <c r="J6531" t="str">
        <v>United States (USA) - New Jersey - counties of Atlantic; Bergen; Burlington; Camden; Cape May; Cumberland; Essex; Gloucester; Hudson; Hunterdon; Mercer; Middlesex; Monmouth; Morris; Ocean; Passaic; Salem; Somerset; Sussex; Union; Warren.</v>
      </c>
      <c r="K6531" s="11">
        <v>0</v>
      </c>
    </row>
    <row r="6532" spans="5:11" x14ac:dyDescent="0.35">
      <c r="E6532" s="9" t="str">
        <v>EPSG</v>
      </c>
      <c r="F6532" s="7" t="str">
        <v>32012</v>
      </c>
      <c r="G6532" t="str">
        <v>ProjectedCrs</v>
      </c>
      <c r="H6532" t="str">
        <v>Transverse Mercator</v>
      </c>
      <c r="I6532" t="str">
        <v>NAD27 / New Mexico East</v>
      </c>
      <c r="J6532" t="str">
        <v>United States (USA) - New Mexico - counties of Chaves; Colfax; Curry; De Baca; Eddy; Guadalupe; Harding; Lea; Mora; Quay; Roosevelt; San Miguel; Union.</v>
      </c>
      <c r="K6532" s="11">
        <v>0</v>
      </c>
    </row>
    <row r="6533" spans="5:11" x14ac:dyDescent="0.35">
      <c r="E6533" s="9" t="str">
        <v>EPSG</v>
      </c>
      <c r="F6533" s="7" t="str">
        <v>32013</v>
      </c>
      <c r="G6533" t="str">
        <v>ProjectedCrs</v>
      </c>
      <c r="H6533" t="str">
        <v>Transverse Mercator</v>
      </c>
      <c r="I6533" t="str">
        <v>NAD27 / New Mexico Central</v>
      </c>
      <c r="J6533" t="str">
        <v>United States (USA) - New Mexico - counties of Bernalillo; Dona Ana; Lincoln; Los Alamos; Otero; Rio Arriba; Sandoval; Santa Fe; Socorro; Taos; Torrance.</v>
      </c>
      <c r="K6533" s="11">
        <v>0</v>
      </c>
    </row>
    <row r="6534" spans="5:11" x14ac:dyDescent="0.35">
      <c r="E6534" s="9" t="str">
        <v>EPSG</v>
      </c>
      <c r="F6534" s="7" t="str">
        <v>32014</v>
      </c>
      <c r="G6534" t="str">
        <v>ProjectedCrs</v>
      </c>
      <c r="H6534" t="str">
        <v>Transverse Mercator</v>
      </c>
      <c r="I6534" t="str">
        <v>NAD27 / New Mexico West</v>
      </c>
      <c r="J6534" t="str">
        <v>United States (USA) - New Mexico - counties of Catron; Cibola; Grant; Hidalgo; Luna; McKinley; San Juan; Sierra; Valencia.</v>
      </c>
      <c r="K6534" s="11">
        <v>0</v>
      </c>
    </row>
    <row r="6535" spans="5:11" x14ac:dyDescent="0.35">
      <c r="E6535" s="9" t="str">
        <v>EPSG</v>
      </c>
      <c r="F6535" s="7" t="str">
        <v>32015</v>
      </c>
      <c r="G6535" t="str">
        <v>ProjectedCrs</v>
      </c>
      <c r="H6535" t="str">
        <v>Transverse Mercator</v>
      </c>
      <c r="I6535" t="str">
        <v>NAD27 / New York East</v>
      </c>
      <c r="J6535"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6535" s="11">
        <v>0</v>
      </c>
    </row>
    <row r="6536" spans="5:11" x14ac:dyDescent="0.35">
      <c r="E6536" s="9" t="str">
        <v>EPSG</v>
      </c>
      <c r="F6536" s="7" t="str">
        <v>32016</v>
      </c>
      <c r="G6536" t="str">
        <v>ProjectedCrs</v>
      </c>
      <c r="H6536" t="str">
        <v>Transverse Mercator</v>
      </c>
      <c r="I6536" t="str">
        <v>NAD27 / New York Central</v>
      </c>
      <c r="J6536" t="str">
        <v>United States (USA) - New York - counties of Broome; Cayuga; Chemung; Chenango; Cortland; Jefferson; Lewis; Madison; Oneida; Onondaga; Ontario; Oswego; Schuyler; Seneca; Steuben; Tioga; Tompkins; Wayne; Yates.</v>
      </c>
      <c r="K6536" s="11">
        <v>0</v>
      </c>
    </row>
    <row r="6537" spans="5:11" x14ac:dyDescent="0.35">
      <c r="E6537" s="9" t="str">
        <v>EPSG</v>
      </c>
      <c r="F6537" s="7" t="str">
        <v>32017</v>
      </c>
      <c r="G6537" t="str">
        <v>ProjectedCrs</v>
      </c>
      <c r="H6537" t="str">
        <v>Transverse Mercator</v>
      </c>
      <c r="I6537" t="str">
        <v>NAD27 / New York West</v>
      </c>
      <c r="J6537" t="str">
        <v>United States (USA) - New York - counties of Allegany; Cattaraugus; Chautauqua; Erie; Genesee; Livingston; Monroe; Niagara; Orleans; Wyoming.</v>
      </c>
      <c r="K6537" s="11">
        <v>0</v>
      </c>
    </row>
    <row r="6538" spans="5:11" x14ac:dyDescent="0.35">
      <c r="E6538" s="9" t="str">
        <v>EPSG</v>
      </c>
      <c r="F6538" s="7" t="str">
        <v>32019</v>
      </c>
      <c r="G6538" t="str">
        <v>ProjectedCrs</v>
      </c>
      <c r="H6538" t="str">
        <v>Lambert Conic Conformal (2SP)</v>
      </c>
      <c r="I6538" t="str">
        <v>NAD27 / North Carolina</v>
      </c>
      <c r="J6538"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6538" s="11">
        <v>0</v>
      </c>
    </row>
    <row r="6539" spans="5:11" x14ac:dyDescent="0.35">
      <c r="E6539" s="9" t="str">
        <v>EPSG</v>
      </c>
      <c r="F6539" s="7" t="str">
        <v>32020</v>
      </c>
      <c r="G6539" t="str">
        <v>ProjectedCrs</v>
      </c>
      <c r="H6539" t="str">
        <v>Lambert Conic Conformal (2SP)</v>
      </c>
      <c r="I6539" t="str">
        <v>NAD27 / North Dakota North</v>
      </c>
      <c r="J6539" t="str">
        <v>United States (USA) - North Dakota - counties of Benson; Bottineau; Burke; Cavalier; Divide; Eddy; Foster; Grand Forks; Griggs; McHenry; McKenzie; McLean; Mountrial; Nelson; Pembina; Pierce; Ramsey; Renville; Rolette; Sheridan; Steele; Towner; Traill; Walsh; Ward; Wells; Williams.</v>
      </c>
      <c r="K6539" s="11">
        <v>0</v>
      </c>
    </row>
    <row r="6540" spans="5:11" x14ac:dyDescent="0.35">
      <c r="E6540" s="9" t="str">
        <v>EPSG</v>
      </c>
      <c r="F6540" s="7" t="str">
        <v>32021</v>
      </c>
      <c r="G6540" t="str">
        <v>ProjectedCrs</v>
      </c>
      <c r="H6540" t="str">
        <v>Lambert Conic Conformal (2SP)</v>
      </c>
      <c r="I6540" t="str">
        <v>NAD27 / North Dakota South</v>
      </c>
      <c r="J6540" t="str">
        <v>United States (USA) - North Dakota - counties of Adams; Barnes; Billings; Bowman; Burleigh; Cass; Dickey; Dunn; Emmons; Golden Valley; Grant; Hettinger; Kidder; La Moure; Logan; McIntosh; Mercer; Morton; Oliver; Ransom; Richland; Sargent; Sioux; Slope; Stark; Stutsman.</v>
      </c>
      <c r="K6540" s="11">
        <v>0</v>
      </c>
    </row>
    <row r="6541" spans="5:11" x14ac:dyDescent="0.35">
      <c r="E6541" s="9" t="str">
        <v>EPSG</v>
      </c>
      <c r="F6541" s="7" t="str">
        <v>32022</v>
      </c>
      <c r="G6541" t="str">
        <v>ProjectedCrs</v>
      </c>
      <c r="H6541" t="str">
        <v>Lambert Conic Conformal (2SP)</v>
      </c>
      <c r="I6541" t="str">
        <v>NAD27 / Ohio North</v>
      </c>
      <c r="J6541"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6541" s="11">
        <v>0</v>
      </c>
    </row>
    <row r="6542" spans="5:11" x14ac:dyDescent="0.35">
      <c r="E6542" s="9" t="str">
        <v>EPSG</v>
      </c>
      <c r="F6542" s="7" t="str">
        <v>32023</v>
      </c>
      <c r="G6542" t="str">
        <v>ProjectedCrs</v>
      </c>
      <c r="H6542" t="str">
        <v>Lambert Conic Conformal (2SP)</v>
      </c>
      <c r="I6542" t="str">
        <v>NAD27 / Ohio South</v>
      </c>
      <c r="J6542"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6542" s="11">
        <v>0</v>
      </c>
    </row>
    <row r="6543" spans="5:11" x14ac:dyDescent="0.35">
      <c r="E6543" s="9" t="str">
        <v>EPSG</v>
      </c>
      <c r="F6543" s="7" t="str">
        <v>32024</v>
      </c>
      <c r="G6543" t="str">
        <v>ProjectedCrs</v>
      </c>
      <c r="H6543" t="str">
        <v>Lambert Conic Conformal (2SP)</v>
      </c>
      <c r="I6543" t="str">
        <v>NAD27 / Oklahoma North</v>
      </c>
      <c r="J6543"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6543" s="11">
        <v>0</v>
      </c>
    </row>
    <row r="6544" spans="5:11" x14ac:dyDescent="0.35">
      <c r="E6544" s="9" t="str">
        <v>EPSG</v>
      </c>
      <c r="F6544" s="7" t="str">
        <v>32025</v>
      </c>
      <c r="G6544" t="str">
        <v>ProjectedCrs</v>
      </c>
      <c r="H6544" t="str">
        <v>Lambert Conic Conformal (2SP)</v>
      </c>
      <c r="I6544" t="str">
        <v>NAD27 / Oklahoma South</v>
      </c>
      <c r="J6544"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6544" s="11">
        <v>0</v>
      </c>
    </row>
    <row r="6545" spans="5:11" x14ac:dyDescent="0.35">
      <c r="E6545" s="9" t="str">
        <v>EPSG</v>
      </c>
      <c r="F6545" s="7" t="str">
        <v>32026</v>
      </c>
      <c r="G6545" t="str">
        <v>ProjectedCrs</v>
      </c>
      <c r="H6545" t="str">
        <v>Lambert Conic Conformal (2SP)</v>
      </c>
      <c r="I6545" t="str">
        <v>NAD27 / Oregon North</v>
      </c>
      <c r="J6545" t="str">
        <v>United States (USA) - Oregon - counties of Baker; Benton; Clackamas; Clatsop; Columbia; Gilliam; Grant; Hood River; Jefferson; Lincoln; Linn; Marion; Morrow; Multnomah; Polk; Sherman; Tillamook; Umatilla; Union; Wallowa; Wasco; Washington; Wheeler; Yamhill.</v>
      </c>
      <c r="K6545" s="11">
        <v>0</v>
      </c>
    </row>
    <row r="6546" spans="5:11" x14ac:dyDescent="0.35">
      <c r="E6546" s="9" t="str">
        <v>EPSG</v>
      </c>
      <c r="F6546" s="7" t="str">
        <v>32027</v>
      </c>
      <c r="G6546" t="str">
        <v>ProjectedCrs</v>
      </c>
      <c r="H6546" t="str">
        <v>Lambert Conic Conformal (2SP)</v>
      </c>
      <c r="I6546" t="str">
        <v>NAD27 / Oregon South</v>
      </c>
      <c r="J6546" t="str">
        <v>United States (USA) - Oregon - counties of Coos; Crook; Curry; Deschutes; Douglas; Harney; Jackson; Josephine; Klamath; Lake; Lane; Malheur.</v>
      </c>
      <c r="K6546" s="11">
        <v>0</v>
      </c>
    </row>
    <row r="6547" spans="5:11" x14ac:dyDescent="0.35">
      <c r="E6547" s="9" t="str">
        <v>EPSG</v>
      </c>
      <c r="F6547" s="7" t="str">
        <v>32028</v>
      </c>
      <c r="G6547" t="str">
        <v>ProjectedCrs</v>
      </c>
      <c r="H6547" t="str">
        <v>Lambert Conic Conformal (2SP)</v>
      </c>
      <c r="I6547" t="str">
        <v>NAD27 / Pennsylvania North</v>
      </c>
      <c r="J6547"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6547" s="11">
        <v>0</v>
      </c>
    </row>
    <row r="6548" spans="5:11" x14ac:dyDescent="0.35">
      <c r="E6548" s="9" t="str">
        <v>EPSG</v>
      </c>
      <c r="F6548" s="7" t="str">
        <v>32030</v>
      </c>
      <c r="G6548" t="str">
        <v>ProjectedCrs</v>
      </c>
      <c r="H6548" t="str">
        <v>Transverse Mercator</v>
      </c>
      <c r="I6548" t="str">
        <v>NAD27 / Rhode Island</v>
      </c>
      <c r="J6548" t="str">
        <v>United States (USA) - Rhode Island - counties of Bristol; Kent; Newport; Providence; Washington.</v>
      </c>
      <c r="K6548" s="11">
        <v>0</v>
      </c>
    </row>
    <row r="6549" spans="5:11" x14ac:dyDescent="0.35">
      <c r="E6549" s="9" t="str">
        <v>EPSG</v>
      </c>
      <c r="F6549" s="7" t="str">
        <v>32031</v>
      </c>
      <c r="G6549" t="str">
        <v>ProjectedCrs</v>
      </c>
      <c r="H6549" t="str">
        <v>Lambert Conic Conformal (2SP)</v>
      </c>
      <c r="I6549" t="str">
        <v>NAD27 / South Carolina North</v>
      </c>
      <c r="J6549" t="str">
        <v>United States (USA) - South Carolina - counties of Abbeville; Anderson; Calhoun; Cherokee; Chester; Chesterfield; Darlington; Dillon; Edgefield; Fairfield; Florence; Greenville; Greenwood; Horry; Kershaw; Lancaster; Laurens; Lee; Lexington; Marion; Marlboro; McCormick; Newberry; Oconee; Pickens; Richland; Saluda; Spartanburg; Sumter; Union; York.</v>
      </c>
      <c r="K6549" s="11">
        <v>0</v>
      </c>
    </row>
    <row r="6550" spans="5:11" x14ac:dyDescent="0.35">
      <c r="E6550" s="9" t="str">
        <v>EPSG</v>
      </c>
      <c r="F6550" s="7" t="str">
        <v>32033</v>
      </c>
      <c r="G6550" t="str">
        <v>ProjectedCrs</v>
      </c>
      <c r="H6550" t="str">
        <v>Lambert Conic Conformal (2SP)</v>
      </c>
      <c r="I6550" t="str">
        <v>NAD27 / South Carolina South</v>
      </c>
      <c r="J6550" t="str">
        <v>United States (USA) - South Carolina - counties of Aiken; Allendale; Bamberg; Barnwell; Beaufort; Berkeley; Charleston; Clarendon; Colleton; Dorchester; Georgetown; Hampton; Jasper; Orangeburg; Williamsburg.</v>
      </c>
      <c r="K6550" s="11">
        <v>0</v>
      </c>
    </row>
    <row r="6551" spans="5:11" x14ac:dyDescent="0.35">
      <c r="E6551" s="9" t="str">
        <v>EPSG</v>
      </c>
      <c r="F6551" s="7" t="str">
        <v>32034</v>
      </c>
      <c r="G6551" t="str">
        <v>ProjectedCrs</v>
      </c>
      <c r="H6551" t="str">
        <v>Lambert Conic Conformal (2SP)</v>
      </c>
      <c r="I6551" t="str">
        <v>NAD27 / South Dakota North</v>
      </c>
      <c r="J6551" t="str">
        <v>United States (USA) - South Dakota - counties of Beadle; Brookings; Brown; Butte; Campbell; Clark; Codington; Corson; Day; Deuel; Dewey; Edmunds; Faulk; Grant; Hamlin; Hand; Harding; Hyde; Kingsbury; Lawrence; Marshall; McPherson; Meade; Perkins; Potter; Roberts; Spink; Sully; Walworth; Ziebach.</v>
      </c>
      <c r="K6551" s="11">
        <v>0</v>
      </c>
    </row>
    <row r="6552" spans="5:11" x14ac:dyDescent="0.35">
      <c r="E6552" s="9" t="str">
        <v>EPSG</v>
      </c>
      <c r="F6552" s="7" t="str">
        <v>32035</v>
      </c>
      <c r="G6552" t="str">
        <v>ProjectedCrs</v>
      </c>
      <c r="H6552" t="str">
        <v>Lambert Conic Conformal (2SP)</v>
      </c>
      <c r="I6552" t="str">
        <v>NAD27 / South Dakota South</v>
      </c>
      <c r="J6552"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6552" s="11">
        <v>0</v>
      </c>
    </row>
    <row r="6553" spans="5:11" x14ac:dyDescent="0.35">
      <c r="E6553" s="9" t="str">
        <v>EPSG</v>
      </c>
      <c r="F6553" s="7" t="str">
        <v>32037</v>
      </c>
      <c r="G6553" t="str">
        <v>ProjectedCrs</v>
      </c>
      <c r="H6553" t="str">
        <v>Lambert Conic Conformal (2SP)</v>
      </c>
      <c r="I6553" t="str">
        <v>NAD27 / Texas North</v>
      </c>
      <c r="J6553" t="str">
        <v>United States (USA) - Texas - counties of: Armstrong; Briscoe; Carson; Castro; Childress; Collingsworth; Dallam; Deaf Smith; Donley; Gray; Hall; Hansford; Hartley; Hemphill; Hutchinson; Lipscomb; Moore; Ochiltree; Oldham; Parmer; Potter; Randall; Roberts; Sherman; Swisher; Wheeler.</v>
      </c>
      <c r="K6553" s="11">
        <v>0</v>
      </c>
    </row>
    <row r="6554" spans="5:11" x14ac:dyDescent="0.35">
      <c r="E6554" s="9" t="str">
        <v>EPSG</v>
      </c>
      <c r="F6554" s="7" t="str">
        <v>32038</v>
      </c>
      <c r="G6554" t="str">
        <v>ProjectedCrs</v>
      </c>
      <c r="H6554" t="str">
        <v>Lambert Conic Conformal (2SP)</v>
      </c>
      <c r="I6554" t="str">
        <v>NAD27 / Texas North Central</v>
      </c>
      <c r="J6554"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6554" s="11">
        <v>0</v>
      </c>
    </row>
    <row r="6555" spans="5:11" x14ac:dyDescent="0.35">
      <c r="E6555" s="9" t="str">
        <v>EPSG</v>
      </c>
      <c r="F6555" s="7" t="str">
        <v>32039</v>
      </c>
      <c r="G6555" t="str">
        <v>ProjectedCrs</v>
      </c>
      <c r="H6555" t="str">
        <v>Lambert Conic Conformal (2SP)</v>
      </c>
      <c r="I6555" t="str">
        <v>NAD27 / Texas Central</v>
      </c>
      <c r="J6555"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6555" s="11">
        <v>0</v>
      </c>
    </row>
    <row r="6556" spans="5:11" x14ac:dyDescent="0.35">
      <c r="E6556" s="9" t="str">
        <v>EPSG</v>
      </c>
      <c r="F6556" s="7" t="str">
        <v>32040</v>
      </c>
      <c r="G6556" t="str">
        <v>ProjectedCrs</v>
      </c>
      <c r="H6556" t="str">
        <v>Lambert Conic Conformal (2SP)</v>
      </c>
      <c r="I6556" t="str">
        <v>NAD27 / Texas South Central</v>
      </c>
      <c r="J6556"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 Gulf of Mexico outer continental shelf (GoM OCS) protraction areas: Matagorda Island; Brazos; Galveston; High Island, Sabine Pass (TX).</v>
      </c>
      <c r="K6556" s="11">
        <v>0</v>
      </c>
    </row>
    <row r="6557" spans="5:11" x14ac:dyDescent="0.35">
      <c r="E6557" s="9" t="str">
        <v>EPSG</v>
      </c>
      <c r="F6557" s="7" t="str">
        <v>32041</v>
      </c>
      <c r="G6557" t="str">
        <v>ProjectedCrs</v>
      </c>
      <c r="H6557" t="str">
        <v>Lambert Conic Conformal (2SP)</v>
      </c>
      <c r="I6557" t="str">
        <v>NAD27 / Texas South</v>
      </c>
      <c r="J6557" t="str">
        <v>United States (USA) - Texas - counties of Brooks; Cameron; Duval; Hidalgo; Jim Hogg; Jim Wells; Kenedy; Kleberg; Nueces; San Patricio; Starr; Webb; Willacy; Zapata. Gulf of Mexico outer continental shelf (GoM OCS) protraction areas: South Padre Island; North Padre Island; Mustang Island.</v>
      </c>
      <c r="K6557" s="11">
        <v>0</v>
      </c>
    </row>
    <row r="6558" spans="5:11" x14ac:dyDescent="0.35">
      <c r="E6558" s="9" t="str">
        <v>EPSG</v>
      </c>
      <c r="F6558" s="7" t="str">
        <v>32042</v>
      </c>
      <c r="G6558" t="str">
        <v>ProjectedCrs</v>
      </c>
      <c r="H6558" t="str">
        <v>Lambert Conic Conformal (2SP)</v>
      </c>
      <c r="I6558" t="str">
        <v>NAD27 / Utah North</v>
      </c>
      <c r="J6558" t="str">
        <v>United States (USA) - Utah - counties of Box Elder; Cache; Daggett; Davis; Morgan; Rich; Summit; Weber.</v>
      </c>
      <c r="K6558" s="11">
        <v>0</v>
      </c>
    </row>
    <row r="6559" spans="5:11" x14ac:dyDescent="0.35">
      <c r="E6559" s="9" t="str">
        <v>EPSG</v>
      </c>
      <c r="F6559" s="7" t="str">
        <v>32043</v>
      </c>
      <c r="G6559" t="str">
        <v>ProjectedCrs</v>
      </c>
      <c r="H6559" t="str">
        <v>Lambert Conic Conformal (2SP)</v>
      </c>
      <c r="I6559" t="str">
        <v>NAD27 / Utah Central</v>
      </c>
      <c r="J6559" t="str">
        <v>United States (USA) - Utah - counties of Carbon; Duchesne; Emery; Grand; Juab; Millard; Salt Lake; Sanpete; Sevier; Tooele; Uintah; Utah; Wasatch.</v>
      </c>
      <c r="K6559" s="11">
        <v>0</v>
      </c>
    </row>
    <row r="6560" spans="5:11" x14ac:dyDescent="0.35">
      <c r="E6560" s="9" t="str">
        <v>EPSG</v>
      </c>
      <c r="F6560" s="7" t="str">
        <v>32044</v>
      </c>
      <c r="G6560" t="str">
        <v>ProjectedCrs</v>
      </c>
      <c r="H6560" t="str">
        <v>Lambert Conic Conformal (2SP)</v>
      </c>
      <c r="I6560" t="str">
        <v>NAD27 / Utah South</v>
      </c>
      <c r="J6560" t="str">
        <v>United States (USA) - Utah - counties of Beaver; Garfield; Iron; Kane; Piute; San Juan; Washington; Wayne.</v>
      </c>
      <c r="K6560" s="11">
        <v>0</v>
      </c>
    </row>
    <row r="6561" spans="5:11" x14ac:dyDescent="0.35">
      <c r="E6561" s="9" t="str">
        <v>EPSG</v>
      </c>
      <c r="F6561" s="7" t="str">
        <v>32045</v>
      </c>
      <c r="G6561" t="str">
        <v>ProjectedCrs</v>
      </c>
      <c r="H6561" t="str">
        <v>Transverse Mercator</v>
      </c>
      <c r="I6561" t="str">
        <v>NAD27 / Vermont</v>
      </c>
      <c r="J6561" t="str">
        <v>United States (USA) - Vermont - counties of Addison; Bennington; Caledonia; Chittenden; Essex; Franklin; Grand Isle; Lamoille; Orange; Orleans; Rutland; Washington; Windham; Windsor.</v>
      </c>
      <c r="K6561" s="11">
        <v>0</v>
      </c>
    </row>
    <row r="6562" spans="5:11" x14ac:dyDescent="0.35">
      <c r="E6562" s="9" t="str">
        <v>EPSG</v>
      </c>
      <c r="F6562" s="7" t="str">
        <v>32046</v>
      </c>
      <c r="G6562" t="str">
        <v>ProjectedCrs</v>
      </c>
      <c r="H6562" t="str">
        <v>Lambert Conic Conformal (2SP)</v>
      </c>
      <c r="I6562" t="str">
        <v>NAD27 / Virginia North</v>
      </c>
      <c r="J6562" t="str">
        <v>United States (USA) - Virginia - counties of Arlington; Augusta; Bath; Caroline; Clarke; Culpeper; Fairfax; Fauquier; Frederick; Greene; Highland; King George; Loudoun; Madison; Orange; Page; Prince William; Rappahannock; Rockingham; Shenandoah; Spotsylvania; Stafford; Warren; Westmoreland.</v>
      </c>
      <c r="K6562" s="11">
        <v>0</v>
      </c>
    </row>
    <row r="6563" spans="5:11" x14ac:dyDescent="0.35">
      <c r="E6563" s="9" t="str">
        <v>EPSG</v>
      </c>
      <c r="F6563" s="7" t="str">
        <v>32047</v>
      </c>
      <c r="G6563" t="str">
        <v>ProjectedCrs</v>
      </c>
      <c r="H6563" t="str">
        <v>Lambert Conic Conformal (2SP)</v>
      </c>
      <c r="I6563" t="str">
        <v>NAD27 / Virginia South</v>
      </c>
      <c r="J6563"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6563" s="11">
        <v>0</v>
      </c>
    </row>
    <row r="6564" spans="5:11" x14ac:dyDescent="0.35">
      <c r="E6564" s="9" t="str">
        <v>EPSG</v>
      </c>
      <c r="F6564" s="7" t="str">
        <v>32048</v>
      </c>
      <c r="G6564" t="str">
        <v>ProjectedCrs</v>
      </c>
      <c r="H6564" t="str">
        <v>Lambert Conic Conformal (2SP)</v>
      </c>
      <c r="I6564" t="str">
        <v>NAD27 / Washington North</v>
      </c>
      <c r="J6564" t="str">
        <v>United States (USA) - Washington - counties of Chelan; Clallam; Douglas; Ferry; Island; Jefferson; King; Kitsap; Lincoln; Okanogan; Pend Oreille; San Juan; Skagit; Snohomish; Spokane; Stevens; Whatcom.</v>
      </c>
      <c r="K6564" s="11">
        <v>0</v>
      </c>
    </row>
    <row r="6565" spans="5:11" x14ac:dyDescent="0.35">
      <c r="E6565" s="9" t="str">
        <v>EPSG</v>
      </c>
      <c r="F6565" s="7" t="str">
        <v>32049</v>
      </c>
      <c r="G6565" t="str">
        <v>ProjectedCrs</v>
      </c>
      <c r="H6565" t="str">
        <v>Lambert Conic Conformal (2SP)</v>
      </c>
      <c r="I6565" t="str">
        <v>NAD27 / Washington South</v>
      </c>
      <c r="J6565" t="str">
        <v>United States (USA) - Washington - counties of Adams; Asotin; Benton; Clark; Columbia; Cowlitz; Franklin; Garfield; Grant; Grays Harbor; Kittitas; Klickitat; Lewis; Mason; Pacific; Pierce; Skamania; Thurston; Wahkiakum; Walla Walla; Whitman; Yakima.</v>
      </c>
      <c r="K6565" s="11">
        <v>0</v>
      </c>
    </row>
    <row r="6566" spans="5:11" x14ac:dyDescent="0.35">
      <c r="E6566" s="9" t="str">
        <v>EPSG</v>
      </c>
      <c r="F6566" s="7" t="str">
        <v>32050</v>
      </c>
      <c r="G6566" t="str">
        <v>ProjectedCrs</v>
      </c>
      <c r="H6566" t="str">
        <v>Lambert Conic Conformal (2SP)</v>
      </c>
      <c r="I6566" t="str">
        <v>NAD27 / West Virginia North</v>
      </c>
      <c r="J6566" t="str">
        <v>United States (USA) - West Virginia - counties of Barbour; Berkeley; Brooke; Doddridge; Grant; Hampshire; Hancock; Hardy; Harrison; Jefferson; Marion; Marshall; Mineral; Monongalia; Morgan; Ohio; Pleasants; Preston; Ritchie; Taylor; Tucker; Tyler; Wetzel; Wirt; Wood.</v>
      </c>
      <c r="K6566" s="11">
        <v>0</v>
      </c>
    </row>
    <row r="6567" spans="5:11" x14ac:dyDescent="0.35">
      <c r="E6567" s="9" t="str">
        <v>EPSG</v>
      </c>
      <c r="F6567" s="7" t="str">
        <v>32051</v>
      </c>
      <c r="G6567" t="str">
        <v>ProjectedCrs</v>
      </c>
      <c r="H6567" t="str">
        <v>Lambert Conic Conformal (2SP)</v>
      </c>
      <c r="I6567" t="str">
        <v>NAD27 / West Virginia South</v>
      </c>
      <c r="J6567"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6567" s="11">
        <v>0</v>
      </c>
    </row>
    <row r="6568" spans="5:11" x14ac:dyDescent="0.35">
      <c r="E6568" s="9" t="str">
        <v>EPSG</v>
      </c>
      <c r="F6568" s="7" t="str">
        <v>32052</v>
      </c>
      <c r="G6568" t="str">
        <v>ProjectedCrs</v>
      </c>
      <c r="H6568" t="str">
        <v>Lambert Conic Conformal (2SP)</v>
      </c>
      <c r="I6568" t="str">
        <v>NAD27 / Wisconsin North</v>
      </c>
      <c r="J6568" t="str">
        <v>United States (USA) - Wisconsin - counties of Ashland; Bayfield; Burnett; Douglas; Florence; Forest; Iron; Oneida; Price; Sawyer; Vilas; Washburn.</v>
      </c>
      <c r="K6568" s="11">
        <v>0</v>
      </c>
    </row>
    <row r="6569" spans="5:11" x14ac:dyDescent="0.35">
      <c r="E6569" s="9" t="str">
        <v>EPSG</v>
      </c>
      <c r="F6569" s="7" t="str">
        <v>32053</v>
      </c>
      <c r="G6569" t="str">
        <v>ProjectedCrs</v>
      </c>
      <c r="H6569" t="str">
        <v>Lambert Conic Conformal (2SP)</v>
      </c>
      <c r="I6569" t="str">
        <v>NAD27 / Wisconsin Central</v>
      </c>
      <c r="J6569" t="str">
        <v>United States (USA) - Wisconsin - counties of Barron; Brown; Buffalo; Chippewa; Clark; Door; Dunn; Eau Claire; Jackson; Kewaunee; Langlade; Lincoln; Marathon; Marinette; Menominee; Oconto; Outagamie; Pepin; Pierce; Polk; Portage; Rusk; Shawano; St Croix; Taylor; Trempealeau; Waupaca; Wood.</v>
      </c>
      <c r="K6569" s="11">
        <v>0</v>
      </c>
    </row>
    <row r="6570" spans="5:11" x14ac:dyDescent="0.35">
      <c r="E6570" s="9" t="str">
        <v>EPSG</v>
      </c>
      <c r="F6570" s="7" t="str">
        <v>32054</v>
      </c>
      <c r="G6570" t="str">
        <v>ProjectedCrs</v>
      </c>
      <c r="H6570" t="str">
        <v>Lambert Conic Conformal (2SP)</v>
      </c>
      <c r="I6570" t="str">
        <v>NAD27 / Wisconsin South</v>
      </c>
      <c r="J6570"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6570" s="11">
        <v>0</v>
      </c>
    </row>
    <row r="6571" spans="5:11" x14ac:dyDescent="0.35">
      <c r="E6571" s="9" t="str">
        <v>EPSG</v>
      </c>
      <c r="F6571" s="7" t="str">
        <v>32055</v>
      </c>
      <c r="G6571" t="str">
        <v>ProjectedCrs</v>
      </c>
      <c r="H6571" t="str">
        <v>Transverse Mercator</v>
      </c>
      <c r="I6571" t="str">
        <v>NAD27 / Wyoming East</v>
      </c>
      <c r="J6571" t="str">
        <v>United States (USA) - Wyoming - counties of Albany; Campbell; Converse; Crook; Goshen; Laramie; Niobrara; Platte; Weston.</v>
      </c>
      <c r="K6571" s="11">
        <v>0</v>
      </c>
    </row>
    <row r="6572" spans="5:11" x14ac:dyDescent="0.35">
      <c r="E6572" s="9" t="str">
        <v>EPSG</v>
      </c>
      <c r="F6572" s="7" t="str">
        <v>32056</v>
      </c>
      <c r="G6572" t="str">
        <v>ProjectedCrs</v>
      </c>
      <c r="H6572" t="str">
        <v>Transverse Mercator</v>
      </c>
      <c r="I6572" t="str">
        <v>NAD27 / Wyoming East Central</v>
      </c>
      <c r="J6572" t="str">
        <v>United States (USA) - Wyoming - counties of Big Horn; Carbon; Johnson; Natrona; Sheridan; Washakie.</v>
      </c>
      <c r="K6572" s="11">
        <v>0</v>
      </c>
    </row>
    <row r="6573" spans="5:11" x14ac:dyDescent="0.35">
      <c r="E6573" s="9" t="str">
        <v>EPSG</v>
      </c>
      <c r="F6573" s="7" t="str">
        <v>32057</v>
      </c>
      <c r="G6573" t="str">
        <v>ProjectedCrs</v>
      </c>
      <c r="H6573" t="str">
        <v>Transverse Mercator</v>
      </c>
      <c r="I6573" t="str">
        <v>NAD27 / Wyoming West Central</v>
      </c>
      <c r="J6573" t="str">
        <v>United States (USA) - Wyoming - counties of Fremont; Hot Springs; Park; Sweetwater.</v>
      </c>
      <c r="K6573" s="11">
        <v>0</v>
      </c>
    </row>
    <row r="6574" spans="5:11" x14ac:dyDescent="0.35">
      <c r="E6574" s="9" t="str">
        <v>EPSG</v>
      </c>
      <c r="F6574" s="7" t="str">
        <v>32058</v>
      </c>
      <c r="G6574" t="str">
        <v>ProjectedCrs</v>
      </c>
      <c r="H6574" t="str">
        <v>Transverse Mercator</v>
      </c>
      <c r="I6574" t="str">
        <v>NAD27 / Wyoming West</v>
      </c>
      <c r="J6574" t="str">
        <v>United States (USA) - Wyoming - counties of Lincoln; Sublette; Teton; Uinta.</v>
      </c>
      <c r="K6574" s="11">
        <v>0</v>
      </c>
    </row>
    <row r="6575" spans="5:11" x14ac:dyDescent="0.35">
      <c r="E6575" s="9" t="str">
        <v>EPSG</v>
      </c>
      <c r="F6575" s="7" t="str">
        <v>32064</v>
      </c>
      <c r="G6575" t="str">
        <v>ProjectedCrs</v>
      </c>
      <c r="H6575" t="str">
        <v>Transverse Mercator</v>
      </c>
      <c r="I6575" t="str">
        <v>NAD27 / BLM 14N (ftUS)</v>
      </c>
      <c r="J6575" t="str">
        <v>United States (USA) - between 102°W and 96°W. Iowa; Kansas; Minnesota; Nebraska; North Dakota; Oklahoma; South Dakota; Texas; Gulf of Mexico outer continental shelf (GoM OCS) west of approximately 96°W - protraction areas Corpus Christi; Port Isabel.</v>
      </c>
      <c r="K6575" s="11">
        <v>0</v>
      </c>
    </row>
    <row r="6576" spans="5:11" x14ac:dyDescent="0.35">
      <c r="E6576" s="9" t="str">
        <v>EPSG</v>
      </c>
      <c r="F6576" s="7" t="str">
        <v>32065</v>
      </c>
      <c r="G6576" t="str">
        <v>ProjectedCrs</v>
      </c>
      <c r="H6576" t="str">
        <v>Transverse Mercator</v>
      </c>
      <c r="I6576" t="str">
        <v>NAD27 / BLM 15N (ftUS)</v>
      </c>
      <c r="J6576" t="str">
        <v>United States (USA) - between 96°W and 90°W - Arkansas; Illinois; Iowa; Kansas; Louisiana; Michigan; Minnesota; Mississippi; Missouri; Nebraska; Oklahoma; Tennessee; Texas; Wisconsin; Gulf of Mexico outer continental shelf (GoM OCS) between approximately 96°W and 90°W - protraction areas East Breaks; Alaminos Canyon; Garden Banks; Keathley Canyon; Sigsbee Escarpment; Ewing Bank; Green Canyon; Walker Ridge; Amery Terrace.</v>
      </c>
      <c r="K6576" s="11">
        <v>0</v>
      </c>
    </row>
    <row r="6577" spans="5:11" x14ac:dyDescent="0.35">
      <c r="E6577" s="9" t="str">
        <v>EPSG</v>
      </c>
      <c r="F6577" s="7" t="str">
        <v>32066</v>
      </c>
      <c r="G6577" t="str">
        <v>ProjectedCrs</v>
      </c>
      <c r="H6577" t="str">
        <v>Transverse Mercator</v>
      </c>
      <c r="I6577" t="str">
        <v>NAD27 / BLM 16N (ftUS)</v>
      </c>
      <c r="J6577" t="str">
        <v>United States (USA) - between 90°W and 84°W onshore and offshore - Alabama; Arkansas; Florida; Georgia; Indiana; Illinois; Kentucky; Louisiana; Michigan; Minnesota; Mississippi; Missouri; North Carolina; Ohio; Tennessee; Wisconsin; Gulf of Mexico outer continental shelf (GoM OCS) between approximately 90°W and 84°W - protraction areas Mobile; Viosca Knoll; Mississippi Canyon; Atwater Valley; Lund; Lund South; Pensacola; Destin Dome; De Soto Canyon; Lloyd Ridge; Henderson; Florida Plain; Campeche Escarpment; Apalachicola; Florida Middle Ground; The Elbow; Vernon Basin; Howell Hook; Rankin.</v>
      </c>
      <c r="K6577" s="11">
        <v>0</v>
      </c>
    </row>
    <row r="6578" spans="5:11" x14ac:dyDescent="0.35">
      <c r="E6578" s="9" t="str">
        <v>EPSG</v>
      </c>
      <c r="F6578" s="7" t="str">
        <v>32067</v>
      </c>
      <c r="G6578" t="str">
        <v>ProjectedCrs</v>
      </c>
      <c r="H6578" t="str">
        <v>Transverse Mercator</v>
      </c>
      <c r="I6578" t="str">
        <v>NAD27 / BLM 17N (ftUS)</v>
      </c>
      <c r="J6578" t="str">
        <v>United States (USA) - between 84°W and 78°W onshore and offshore - Florida; Georgia; Maryland; Michigan; New York; North Carolina; Ohio; Pennsylvania; South Carolina; Tennessee; Virginia; West Virginia; Gulf of Mexico outer continental shelf (GoM OCS) east of approximately 84°W - protraction areas Gainesville; Tarpon Springs; St Petersburg; Charlotte Harbor; Pulley Ridge; Dry Tortugas; Tortugas Valley; Miami; Key West.</v>
      </c>
      <c r="K6578" s="11">
        <v>0</v>
      </c>
    </row>
    <row r="6579" spans="5:11" x14ac:dyDescent="0.35">
      <c r="E6579" s="9" t="str">
        <v>EPSG</v>
      </c>
      <c r="F6579" s="7" t="str">
        <v>32081</v>
      </c>
      <c r="G6579" t="str">
        <v>ProjectedCrs</v>
      </c>
      <c r="H6579" t="str">
        <v>Transverse Mercator</v>
      </c>
      <c r="I6579" t="str">
        <v>NAD27 / MTM zone 1</v>
      </c>
      <c r="J6579" t="str">
        <v>Canada - Newfoundland - onshore east of 54°30'W.</v>
      </c>
      <c r="K6579" s="11">
        <v>0</v>
      </c>
    </row>
    <row r="6580" spans="5:11" x14ac:dyDescent="0.35">
      <c r="E6580" s="9" t="str">
        <v>EPSG</v>
      </c>
      <c r="F6580" s="7" t="str">
        <v>32082</v>
      </c>
      <c r="G6580" t="str">
        <v>ProjectedCrs</v>
      </c>
      <c r="H6580" t="str">
        <v>Transverse Mercator</v>
      </c>
      <c r="I6580" t="str">
        <v>NAD27 / MTM zone 2</v>
      </c>
      <c r="J6580" t="str">
        <v>Canada - Newfoundland and Labrador between 57°30'W and 54°30'W.</v>
      </c>
      <c r="K6580" s="11">
        <v>0</v>
      </c>
    </row>
    <row r="6581" spans="5:11" x14ac:dyDescent="0.35">
      <c r="E6581" s="9" t="str">
        <v>EPSG</v>
      </c>
      <c r="F6581" s="7" t="str">
        <v>32083</v>
      </c>
      <c r="G6581" t="str">
        <v>ProjectedCrs</v>
      </c>
      <c r="H6581" t="str">
        <v>Transverse Mercator</v>
      </c>
      <c r="I6581" t="str">
        <v>NAD27 / MTM zone 3</v>
      </c>
      <c r="J6581" t="str">
        <v>Canada - Newfoundland west of 57°30'W.</v>
      </c>
      <c r="K6581" s="11">
        <v>0</v>
      </c>
    </row>
    <row r="6582" spans="5:11" x14ac:dyDescent="0.35">
      <c r="E6582" s="9" t="str">
        <v>EPSG</v>
      </c>
      <c r="F6582" s="7" t="str">
        <v>32084</v>
      </c>
      <c r="G6582" t="str">
        <v>ProjectedCrs</v>
      </c>
      <c r="H6582" t="str">
        <v>Transverse Mercator</v>
      </c>
      <c r="I6582" t="str">
        <v>NAD27 / MTM zone 4</v>
      </c>
      <c r="J6582" t="str">
        <v>Canada - Labrador between 63°W and 60°W.</v>
      </c>
      <c r="K6582" s="11">
        <v>0</v>
      </c>
    </row>
    <row r="6583" spans="5:11" x14ac:dyDescent="0.35">
      <c r="E6583" s="9" t="str">
        <v>EPSG</v>
      </c>
      <c r="F6583" s="7" t="str">
        <v>32085</v>
      </c>
      <c r="G6583" t="str">
        <v>ProjectedCrs</v>
      </c>
      <c r="H6583" t="str">
        <v>Transverse Mercator</v>
      </c>
      <c r="I6583" t="str">
        <v>NAD27 / MTM zone 5</v>
      </c>
      <c r="J6583" t="str">
        <v>Canada - Labrador - 66°W to 63°W.</v>
      </c>
      <c r="K6583" s="11">
        <v>0</v>
      </c>
    </row>
    <row r="6584" spans="5:11" x14ac:dyDescent="0.35">
      <c r="E6584" s="9" t="str">
        <v>EPSG</v>
      </c>
      <c r="F6584" s="7" t="str">
        <v>32086</v>
      </c>
      <c r="G6584" t="str">
        <v>ProjectedCrs</v>
      </c>
      <c r="H6584" t="str">
        <v>Transverse Mercator</v>
      </c>
      <c r="I6584" t="str">
        <v>NAD27 / MTM zone 6</v>
      </c>
      <c r="J6584" t="str">
        <v>Canada - Labrador - west of 66°W.</v>
      </c>
      <c r="K6584" s="11">
        <v>0</v>
      </c>
    </row>
    <row r="6585" spans="5:11" x14ac:dyDescent="0.35">
      <c r="E6585" s="9" t="str">
        <v>EPSG</v>
      </c>
      <c r="F6585" s="7" t="str">
        <v>32098</v>
      </c>
      <c r="G6585" t="str">
        <v>ProjectedCrs</v>
      </c>
      <c r="H6585" t="str">
        <v>Lambert Conic Conformal (2SP)</v>
      </c>
      <c r="I6585" t="str">
        <v>NAD27 / Quebec Lambert</v>
      </c>
      <c r="J6585" t="str">
        <v>Canada - Quebec.</v>
      </c>
      <c r="K6585" s="11">
        <v>0</v>
      </c>
    </row>
    <row r="6586" spans="5:11" x14ac:dyDescent="0.35">
      <c r="E6586" s="9" t="str">
        <v>EPSG</v>
      </c>
      <c r="F6586" s="7" t="str">
        <v>32099</v>
      </c>
      <c r="G6586" t="str">
        <v>ProjectedCrs</v>
      </c>
      <c r="H6586" t="str">
        <v>Lambert Conic Conformal (2SP)</v>
      </c>
      <c r="I6586" t="str">
        <v>NAD27 / Louisiana Offshore</v>
      </c>
      <c r="J6586" t="str">
        <v>United States (USA) - Louisiana.</v>
      </c>
      <c r="K6586" s="11">
        <v>0</v>
      </c>
    </row>
    <row r="6587" spans="5:11" x14ac:dyDescent="0.35">
      <c r="E6587" s="9" t="str">
        <v>EPSG</v>
      </c>
      <c r="F6587" s="7" t="str">
        <v>32100</v>
      </c>
      <c r="G6587" t="str">
        <v>ProjectedCrs</v>
      </c>
      <c r="H6587" t="str">
        <v>Lambert Conic Conformal (2SP)</v>
      </c>
      <c r="I6587" t="str">
        <v>NAD83 / Montana</v>
      </c>
      <c r="J6587"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6587" s="11">
        <v>0</v>
      </c>
    </row>
    <row r="6588" spans="5:11" x14ac:dyDescent="0.35">
      <c r="E6588" s="9" t="str">
        <v>EPSG</v>
      </c>
      <c r="F6588" s="7" t="str">
        <v>32104</v>
      </c>
      <c r="G6588" t="str">
        <v>ProjectedCrs</v>
      </c>
      <c r="H6588" t="str">
        <v>Lambert Conic Conformal (2SP)</v>
      </c>
      <c r="I6588" t="str">
        <v>NAD83 / Nebraska</v>
      </c>
      <c r="J6588"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6588" s="11">
        <v>0</v>
      </c>
    </row>
    <row r="6589" spans="5:11" x14ac:dyDescent="0.35">
      <c r="E6589" s="9" t="str">
        <v>EPSG</v>
      </c>
      <c r="F6589" s="7" t="str">
        <v>32107</v>
      </c>
      <c r="G6589" t="str">
        <v>ProjectedCrs</v>
      </c>
      <c r="H6589" t="str">
        <v>Transverse Mercator</v>
      </c>
      <c r="I6589" t="str">
        <v>NAD83 / Nevada East</v>
      </c>
      <c r="J6589" t="str">
        <v>United States (USA) - Nevada - counties of Clark; Elko; Eureka; Lincoln; White Pine.</v>
      </c>
      <c r="K6589" s="11">
        <v>0</v>
      </c>
    </row>
    <row r="6590" spans="5:11" x14ac:dyDescent="0.35">
      <c r="E6590" s="9" t="str">
        <v>EPSG</v>
      </c>
      <c r="F6590" s="7" t="str">
        <v>32108</v>
      </c>
      <c r="G6590" t="str">
        <v>ProjectedCrs</v>
      </c>
      <c r="H6590" t="str">
        <v>Transverse Mercator</v>
      </c>
      <c r="I6590" t="str">
        <v>NAD83 / Nevada Central</v>
      </c>
      <c r="J6590" t="str">
        <v>United States (USA) - Nevada - counties of Lander; Nye.</v>
      </c>
      <c r="K6590" s="11">
        <v>0</v>
      </c>
    </row>
    <row r="6591" spans="5:11" x14ac:dyDescent="0.35">
      <c r="E6591" s="9" t="str">
        <v>EPSG</v>
      </c>
      <c r="F6591" s="7" t="str">
        <v>32109</v>
      </c>
      <c r="G6591" t="str">
        <v>ProjectedCrs</v>
      </c>
      <c r="H6591" t="str">
        <v>Transverse Mercator</v>
      </c>
      <c r="I6591" t="str">
        <v>NAD83 / Nevada West</v>
      </c>
      <c r="J6591" t="str">
        <v>United States (USA) - Nevada - counties of Churchill; Douglas; Esmeralda; Humboldt; Lyon; Mineral; Pershing; Storey; Washoe.</v>
      </c>
      <c r="K6591" s="11">
        <v>0</v>
      </c>
    </row>
    <row r="6592" spans="5:11" x14ac:dyDescent="0.35">
      <c r="E6592" s="9" t="str">
        <v>EPSG</v>
      </c>
      <c r="F6592" s="7" t="str">
        <v>32110</v>
      </c>
      <c r="G6592" t="str">
        <v>ProjectedCrs</v>
      </c>
      <c r="H6592" t="str">
        <v>Transverse Mercator</v>
      </c>
      <c r="I6592" t="str">
        <v>NAD83 / New Hampshire</v>
      </c>
      <c r="J6592" t="str">
        <v>United States (USA) - New Hampshire - counties of Belknap; Carroll; Cheshire; Coos; Grafton; Hillsborough; Merrimack; Rockingham; Strafford; Sullivan.</v>
      </c>
      <c r="K6592" s="11">
        <v>0</v>
      </c>
    </row>
    <row r="6593" spans="5:11" x14ac:dyDescent="0.35">
      <c r="E6593" s="9" t="str">
        <v>EPSG</v>
      </c>
      <c r="F6593" s="7" t="str">
        <v>32111</v>
      </c>
      <c r="G6593" t="str">
        <v>ProjectedCrs</v>
      </c>
      <c r="H6593" t="str">
        <v>Transverse Mercator</v>
      </c>
      <c r="I6593" t="str">
        <v>NAD83 / New Jersey</v>
      </c>
      <c r="J6593" t="str">
        <v>United States (USA) - New Jersey - counties of Atlantic; Bergen; Burlington; Camden; Cape May; Cumberland; Essex; Gloucester; Hudson; Hunterdon; Mercer; Middlesex; Monmouth; Morris; Ocean; Passaic; Salem; Somerset; Sussex; Union; Warren.</v>
      </c>
      <c r="K6593" s="11">
        <v>0</v>
      </c>
    </row>
    <row r="6594" spans="5:11" x14ac:dyDescent="0.35">
      <c r="E6594" s="9" t="str">
        <v>EPSG</v>
      </c>
      <c r="F6594" s="7" t="str">
        <v>32112</v>
      </c>
      <c r="G6594" t="str">
        <v>ProjectedCrs</v>
      </c>
      <c r="H6594" t="str">
        <v>Transverse Mercator</v>
      </c>
      <c r="I6594" t="str">
        <v>NAD83 / New Mexico East</v>
      </c>
      <c r="J6594" t="str">
        <v>United States (USA) - New Mexico - counties of Chaves; Colfax; Curry; De Baca; Eddy; Guadalupe; Harding; Lea; Mora; Quay; Roosevelt; San Miguel; Union.</v>
      </c>
      <c r="K6594" s="11">
        <v>0</v>
      </c>
    </row>
    <row r="6595" spans="5:11" x14ac:dyDescent="0.35">
      <c r="E6595" s="9" t="str">
        <v>EPSG</v>
      </c>
      <c r="F6595" s="7" t="str">
        <v>32113</v>
      </c>
      <c r="G6595" t="str">
        <v>ProjectedCrs</v>
      </c>
      <c r="H6595" t="str">
        <v>Transverse Mercator</v>
      </c>
      <c r="I6595" t="str">
        <v>NAD83 / New Mexico Central</v>
      </c>
      <c r="J6595" t="str">
        <v>United States (USA) - New Mexico - counties of Bernalillo; Dona Ana; Lincoln; Los Alamos; Otero; Rio Arriba; Sandoval; Santa Fe; Socorro; Taos; Torrance; Valencia.</v>
      </c>
      <c r="K6595" s="11">
        <v>0</v>
      </c>
    </row>
    <row r="6596" spans="5:11" x14ac:dyDescent="0.35">
      <c r="E6596" s="9" t="str">
        <v>EPSG</v>
      </c>
      <c r="F6596" s="7" t="str">
        <v>32114</v>
      </c>
      <c r="G6596" t="str">
        <v>ProjectedCrs</v>
      </c>
      <c r="H6596" t="str">
        <v>Transverse Mercator</v>
      </c>
      <c r="I6596" t="str">
        <v>NAD83 / New Mexico West</v>
      </c>
      <c r="J6596" t="str">
        <v>United States (USA) - New Mexico - counties of Catron; Cibola; Grant; Hidalgo; Luna; McKinley; San Juan; Sierra.</v>
      </c>
      <c r="K6596" s="11">
        <v>0</v>
      </c>
    </row>
    <row r="6597" spans="5:11" x14ac:dyDescent="0.35">
      <c r="E6597" s="9" t="str">
        <v>EPSG</v>
      </c>
      <c r="F6597" s="7" t="str">
        <v>32115</v>
      </c>
      <c r="G6597" t="str">
        <v>ProjectedCrs</v>
      </c>
      <c r="H6597" t="str">
        <v>Transverse Mercator</v>
      </c>
      <c r="I6597" t="str">
        <v>NAD83 / New York East</v>
      </c>
      <c r="J6597"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6597" s="11">
        <v>0</v>
      </c>
    </row>
    <row r="6598" spans="5:11" x14ac:dyDescent="0.35">
      <c r="E6598" s="9" t="str">
        <v>EPSG</v>
      </c>
      <c r="F6598" s="7" t="str">
        <v>32116</v>
      </c>
      <c r="G6598" t="str">
        <v>ProjectedCrs</v>
      </c>
      <c r="H6598" t="str">
        <v>Transverse Mercator</v>
      </c>
      <c r="I6598" t="str">
        <v>NAD83 / New York Central</v>
      </c>
      <c r="J6598" t="str">
        <v>United States (USA) - New York - counties of Broome; Cayuga; Chemung; Chenango; Cortland; Jefferson; Lewis; Madison; Oneida; Onondaga; Ontario; Oswego; Schuyler; Seneca; Steuben; Tioga; Tompkins; Wayne; Yates.</v>
      </c>
      <c r="K6598" s="11">
        <v>0</v>
      </c>
    </row>
    <row r="6599" spans="5:11" x14ac:dyDescent="0.35">
      <c r="E6599" s="9" t="str">
        <v>EPSG</v>
      </c>
      <c r="F6599" s="7" t="str">
        <v>32117</v>
      </c>
      <c r="G6599" t="str">
        <v>ProjectedCrs</v>
      </c>
      <c r="H6599" t="str">
        <v>Transverse Mercator</v>
      </c>
      <c r="I6599" t="str">
        <v>NAD83 / New York West</v>
      </c>
      <c r="J6599" t="str">
        <v>United States (USA) - New York - counties of Allegany; Cattaraugus; Chautauqua; Erie; Genesee; Livingston; Monroe; Niagara; Orleans; Wyoming.</v>
      </c>
      <c r="K6599" s="11">
        <v>0</v>
      </c>
    </row>
    <row r="6600" spans="5:11" x14ac:dyDescent="0.35">
      <c r="E6600" s="9" t="str">
        <v>EPSG</v>
      </c>
      <c r="F6600" s="7" t="str">
        <v>32118</v>
      </c>
      <c r="G6600" t="str">
        <v>ProjectedCrs</v>
      </c>
      <c r="H6600" t="str">
        <v>Lambert Conic Conformal (2SP)</v>
      </c>
      <c r="I6600" t="str">
        <v>NAD83 / New York Long Island</v>
      </c>
      <c r="J6600" t="str">
        <v>United States (USA) - New York - counties of Bronx; Kings; Nassau; New York; Queens; Richmond; Suffolk.</v>
      </c>
      <c r="K6600" s="11">
        <v>0</v>
      </c>
    </row>
    <row r="6601" spans="5:11" x14ac:dyDescent="0.35">
      <c r="E6601" s="9" t="str">
        <v>EPSG</v>
      </c>
      <c r="F6601" s="7" t="str">
        <v>32119</v>
      </c>
      <c r="G6601" t="str">
        <v>ProjectedCrs</v>
      </c>
      <c r="H6601" t="str">
        <v>Lambert Conic Conformal (2SP)</v>
      </c>
      <c r="I6601" t="str">
        <v>NAD83 / North Carolina</v>
      </c>
      <c r="J6601"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6601" s="11">
        <v>0</v>
      </c>
    </row>
    <row r="6602" spans="5:11" x14ac:dyDescent="0.35">
      <c r="E6602" s="9" t="str">
        <v>EPSG</v>
      </c>
      <c r="F6602" s="7" t="str">
        <v>32120</v>
      </c>
      <c r="G6602" t="str">
        <v>ProjectedCrs</v>
      </c>
      <c r="H6602" t="str">
        <v>Lambert Conic Conformal (2SP)</v>
      </c>
      <c r="I6602" t="str">
        <v>NAD83 / North Dakota North</v>
      </c>
      <c r="J6602" t="str">
        <v>United States (USA) - North Dakota - counties of Benson; Bottineau; Burke; Cavalier; Divide; Eddy; Foster; Grand Forks; Griggs; McHenry; McKenzie; McLean; Mountrial; Nelson; Pembina; Pierce; Ramsey; Renville; Rolette; Sheridan; Steele; Towner; Traill; Walsh; Ward; Wells; Williams.</v>
      </c>
      <c r="K6602" s="11">
        <v>0</v>
      </c>
    </row>
    <row r="6603" spans="5:11" x14ac:dyDescent="0.35">
      <c r="E6603" s="9" t="str">
        <v>EPSG</v>
      </c>
      <c r="F6603" s="7" t="str">
        <v>32121</v>
      </c>
      <c r="G6603" t="str">
        <v>ProjectedCrs</v>
      </c>
      <c r="H6603" t="str">
        <v>Lambert Conic Conformal (2SP)</v>
      </c>
      <c r="I6603" t="str">
        <v>NAD83 / North Dakota South</v>
      </c>
      <c r="J6603" t="str">
        <v>United States (USA) - North Dakota - counties of Adams; Barnes; Billings; Bowman; Burleigh; Cass; Dickey; Dunn; Emmons; Golden Valley; Grant; Hettinger; Kidder; La Moure; Logan; McIntosh; Mercer; Morton; Oliver; Ransom; Richland; Sargent; Sioux; Slope; Stark; Stutsman.</v>
      </c>
      <c r="K6603" s="11">
        <v>0</v>
      </c>
    </row>
    <row r="6604" spans="5:11" x14ac:dyDescent="0.35">
      <c r="E6604" s="9" t="str">
        <v>EPSG</v>
      </c>
      <c r="F6604" s="7" t="str">
        <v>32122</v>
      </c>
      <c r="G6604" t="str">
        <v>ProjectedCrs</v>
      </c>
      <c r="H6604" t="str">
        <v>Lambert Conic Conformal (2SP)</v>
      </c>
      <c r="I6604" t="str">
        <v>NAD83 / Ohio North</v>
      </c>
      <c r="J6604"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6604" s="11">
        <v>0</v>
      </c>
    </row>
    <row r="6605" spans="5:11" x14ac:dyDescent="0.35">
      <c r="E6605" s="9" t="str">
        <v>EPSG</v>
      </c>
      <c r="F6605" s="7" t="str">
        <v>32123</v>
      </c>
      <c r="G6605" t="str">
        <v>ProjectedCrs</v>
      </c>
      <c r="H6605" t="str">
        <v>Lambert Conic Conformal (2SP)</v>
      </c>
      <c r="I6605" t="str">
        <v>NAD83 / Ohio South</v>
      </c>
      <c r="J6605"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6605" s="11">
        <v>0</v>
      </c>
    </row>
    <row r="6606" spans="5:11" x14ac:dyDescent="0.35">
      <c r="E6606" s="9" t="str">
        <v>EPSG</v>
      </c>
      <c r="F6606" s="7" t="str">
        <v>32124</v>
      </c>
      <c r="G6606" t="str">
        <v>ProjectedCrs</v>
      </c>
      <c r="H6606" t="str">
        <v>Lambert Conic Conformal (2SP)</v>
      </c>
      <c r="I6606" t="str">
        <v>NAD83 / Oklahoma North</v>
      </c>
      <c r="J6606"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6606" s="11">
        <v>0</v>
      </c>
    </row>
    <row r="6607" spans="5:11" x14ac:dyDescent="0.35">
      <c r="E6607" s="9" t="str">
        <v>EPSG</v>
      </c>
      <c r="F6607" s="7" t="str">
        <v>32125</v>
      </c>
      <c r="G6607" t="str">
        <v>ProjectedCrs</v>
      </c>
      <c r="H6607" t="str">
        <v>Lambert Conic Conformal (2SP)</v>
      </c>
      <c r="I6607" t="str">
        <v>NAD83 / Oklahoma South</v>
      </c>
      <c r="J6607"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6607" s="11">
        <v>0</v>
      </c>
    </row>
    <row r="6608" spans="5:11" x14ac:dyDescent="0.35">
      <c r="E6608" s="9" t="str">
        <v>EPSG</v>
      </c>
      <c r="F6608" s="7" t="str">
        <v>32126</v>
      </c>
      <c r="G6608" t="str">
        <v>ProjectedCrs</v>
      </c>
      <c r="H6608" t="str">
        <v>Lambert Conic Conformal (2SP)</v>
      </c>
      <c r="I6608" t="str">
        <v>NAD83 / Oregon North</v>
      </c>
      <c r="J6608" t="str">
        <v>United States (USA) - Oregon - counties of Baker; Benton; Clackamas; Clatsop; Columbia; Gilliam; Grant; Hood River; Jefferson; Lincoln; Linn; Marion; Morrow; Multnomah; Polk; Sherman; Tillamook; Umatilla; Union; Wallowa; Wasco; Washington; Wheeler; Yamhill.</v>
      </c>
      <c r="K6608" s="11">
        <v>0</v>
      </c>
    </row>
    <row r="6609" spans="5:11" x14ac:dyDescent="0.35">
      <c r="E6609" s="9" t="str">
        <v>EPSG</v>
      </c>
      <c r="F6609" s="7" t="str">
        <v>32127</v>
      </c>
      <c r="G6609" t="str">
        <v>ProjectedCrs</v>
      </c>
      <c r="H6609" t="str">
        <v>Lambert Conic Conformal (2SP)</v>
      </c>
      <c r="I6609" t="str">
        <v>NAD83 / Oregon South</v>
      </c>
      <c r="J6609" t="str">
        <v>United States (USA) - Oregon - counties of Coos; Crook; Curry; Deschutes; Douglas; Harney; Jackson; Josephine; Klamath; Lake; Lane; Malheur.</v>
      </c>
      <c r="K6609" s="11">
        <v>0</v>
      </c>
    </row>
    <row r="6610" spans="5:11" x14ac:dyDescent="0.35">
      <c r="E6610" s="9" t="str">
        <v>EPSG</v>
      </c>
      <c r="F6610" s="7" t="str">
        <v>32128</v>
      </c>
      <c r="G6610" t="str">
        <v>ProjectedCrs</v>
      </c>
      <c r="H6610" t="str">
        <v>Lambert Conic Conformal (2SP)</v>
      </c>
      <c r="I6610" t="str">
        <v>NAD83 / Pennsylvania North</v>
      </c>
      <c r="J6610"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6610" s="11">
        <v>0</v>
      </c>
    </row>
    <row r="6611" spans="5:11" x14ac:dyDescent="0.35">
      <c r="E6611" s="9" t="str">
        <v>EPSG</v>
      </c>
      <c r="F6611" s="7" t="str">
        <v>32129</v>
      </c>
      <c r="G6611" t="str">
        <v>ProjectedCrs</v>
      </c>
      <c r="H6611" t="str">
        <v>Lambert Conic Conformal (2SP)</v>
      </c>
      <c r="I6611" t="str">
        <v>NAD83 / Pennsylvania South</v>
      </c>
      <c r="J6611"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6611" s="11">
        <v>0</v>
      </c>
    </row>
    <row r="6612" spans="5:11" x14ac:dyDescent="0.35">
      <c r="E6612" s="9" t="str">
        <v>EPSG</v>
      </c>
      <c r="F6612" s="7" t="str">
        <v>32130</v>
      </c>
      <c r="G6612" t="str">
        <v>ProjectedCrs</v>
      </c>
      <c r="H6612" t="str">
        <v>Transverse Mercator</v>
      </c>
      <c r="I6612" t="str">
        <v>NAD83 / Rhode Island</v>
      </c>
      <c r="J6612" t="str">
        <v>United States (USA) - Rhode Island - counties of Bristol; Kent; Newport; Providence; Washington.</v>
      </c>
      <c r="K6612" s="11">
        <v>0</v>
      </c>
    </row>
    <row r="6613" spans="5:11" x14ac:dyDescent="0.35">
      <c r="E6613" s="9" t="str">
        <v>EPSG</v>
      </c>
      <c r="F6613" s="7" t="str">
        <v>32133</v>
      </c>
      <c r="G6613" t="str">
        <v>ProjectedCrs</v>
      </c>
      <c r="H6613" t="str">
        <v>Lambert Conic Conformal (2SP)</v>
      </c>
      <c r="I6613" t="str">
        <v>NAD83 / South Carolina</v>
      </c>
      <c r="J6613"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6613" s="11">
        <v>0</v>
      </c>
    </row>
    <row r="6614" spans="5:11" x14ac:dyDescent="0.35">
      <c r="E6614" s="9" t="str">
        <v>EPSG</v>
      </c>
      <c r="F6614" s="7" t="str">
        <v>32134</v>
      </c>
      <c r="G6614" t="str">
        <v>ProjectedCrs</v>
      </c>
      <c r="H6614" t="str">
        <v>Lambert Conic Conformal (2SP)</v>
      </c>
      <c r="I6614" t="str">
        <v>NAD83 / South Dakota North</v>
      </c>
      <c r="J6614" t="str">
        <v>United States (USA) - South Dakota - counties of Beadle; Brookings; Brown; Butte; Campbell; Clark; Codington; Corson; Day; Deuel; Dewey; Edmunds; Faulk; Grant; Hamlin; Hand; Harding; Hyde; Kingsbury; Lawrence; Marshall; McPherson; Meade; Perkins; Potter; Roberts; Spink; Sully; Walworth; Ziebach.</v>
      </c>
      <c r="K6614" s="11">
        <v>0</v>
      </c>
    </row>
    <row r="6615" spans="5:11" x14ac:dyDescent="0.35">
      <c r="E6615" s="9" t="str">
        <v>EPSG</v>
      </c>
      <c r="F6615" s="7" t="str">
        <v>32135</v>
      </c>
      <c r="G6615" t="str">
        <v>ProjectedCrs</v>
      </c>
      <c r="H6615" t="str">
        <v>Lambert Conic Conformal (2SP)</v>
      </c>
      <c r="I6615" t="str">
        <v>NAD83 / South Dakota South</v>
      </c>
      <c r="J6615"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6615" s="11">
        <v>0</v>
      </c>
    </row>
    <row r="6616" spans="5:11" x14ac:dyDescent="0.35">
      <c r="E6616" s="9" t="str">
        <v>EPSG</v>
      </c>
      <c r="F6616" s="7" t="str">
        <v>32136</v>
      </c>
      <c r="G6616" t="str">
        <v>ProjectedCrs</v>
      </c>
      <c r="H6616" t="str">
        <v>Lambert Conic Conformal (2SP)</v>
      </c>
      <c r="I6616" t="str">
        <v>NAD83 / Tennessee</v>
      </c>
      <c r="J6616"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6616" s="11">
        <v>0</v>
      </c>
    </row>
    <row r="6617" spans="5:11" x14ac:dyDescent="0.35">
      <c r="E6617" s="9" t="str">
        <v>EPSG</v>
      </c>
      <c r="F6617" s="7" t="str">
        <v>32137</v>
      </c>
      <c r="G6617" t="str">
        <v>ProjectedCrs</v>
      </c>
      <c r="H6617" t="str">
        <v>Lambert Conic Conformal (2SP)</v>
      </c>
      <c r="I6617" t="str">
        <v>NAD83 / Texas North</v>
      </c>
      <c r="J6617" t="str">
        <v>United States (USA) - Texas - counties of: Armstrong; Briscoe; Carson; Castro; Childress; Collingsworth; Dallam; Deaf Smith; Donley; Gray; Hall; Hansford; Hartley; Hemphill; Hutchinson; Lipscomb; Moore; Ochiltree; Oldham; Parmer; Potter; Randall; Roberts; Sherman; Swisher; Wheeler.</v>
      </c>
      <c r="K6617" s="11">
        <v>0</v>
      </c>
    </row>
    <row r="6618" spans="5:11" x14ac:dyDescent="0.35">
      <c r="E6618" s="9" t="str">
        <v>EPSG</v>
      </c>
      <c r="F6618" s="7" t="str">
        <v>32138</v>
      </c>
      <c r="G6618" t="str">
        <v>ProjectedCrs</v>
      </c>
      <c r="H6618" t="str">
        <v>Lambert Conic Conformal (2SP)</v>
      </c>
      <c r="I6618" t="str">
        <v>NAD83 / Texas North Central</v>
      </c>
      <c r="J6618"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6618" s="11">
        <v>0</v>
      </c>
    </row>
    <row r="6619" spans="5:11" x14ac:dyDescent="0.35">
      <c r="E6619" s="9" t="str">
        <v>EPSG</v>
      </c>
      <c r="F6619" s="7" t="str">
        <v>32139</v>
      </c>
      <c r="G6619" t="str">
        <v>ProjectedCrs</v>
      </c>
      <c r="H6619" t="str">
        <v>Lambert Conic Conformal (2SP)</v>
      </c>
      <c r="I6619" t="str">
        <v>NAD83 / Texas Central</v>
      </c>
      <c r="J6619"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6619" s="11">
        <v>0</v>
      </c>
    </row>
    <row r="6620" spans="5:11" x14ac:dyDescent="0.35">
      <c r="E6620" s="9" t="str">
        <v>EPSG</v>
      </c>
      <c r="F6620" s="7" t="str">
        <v>32140</v>
      </c>
      <c r="G6620" t="str">
        <v>ProjectedCrs</v>
      </c>
      <c r="H6620" t="str">
        <v>Lambert Conic Conformal (2SP)</v>
      </c>
      <c r="I6620" t="str">
        <v>NAD83 / Texas South Central</v>
      </c>
      <c r="J6620"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6620" s="11">
        <v>0</v>
      </c>
    </row>
    <row r="6621" spans="5:11" x14ac:dyDescent="0.35">
      <c r="E6621" s="9" t="str">
        <v>EPSG</v>
      </c>
      <c r="F6621" s="7" t="str">
        <v>32141</v>
      </c>
      <c r="G6621" t="str">
        <v>ProjectedCrs</v>
      </c>
      <c r="H6621" t="str">
        <v>Lambert Conic Conformal (2SP)</v>
      </c>
      <c r="I6621" t="str">
        <v>NAD83 / Texas South</v>
      </c>
      <c r="J6621" t="str">
        <v>United States (USA) - Texas - counties of Brooks; Cameron; Duval; Hidalgo; Jim Hogg; Jim Wells; Kenedy; Kleberg; Nueces; San Patricio; Starr; Webb; Willacy; Zapata.</v>
      </c>
      <c r="K6621" s="11">
        <v>0</v>
      </c>
    </row>
    <row r="6622" spans="5:11" x14ac:dyDescent="0.35">
      <c r="E6622" s="9" t="str">
        <v>EPSG</v>
      </c>
      <c r="F6622" s="7" t="str">
        <v>32142</v>
      </c>
      <c r="G6622" t="str">
        <v>ProjectedCrs</v>
      </c>
      <c r="H6622" t="str">
        <v>Lambert Conic Conformal (2SP)</v>
      </c>
      <c r="I6622" t="str">
        <v>NAD83 / Utah North</v>
      </c>
      <c r="J6622" t="str">
        <v>United States (USA) - Utah - counties of Box Elder; Cache; Daggett; Davis; Morgan; Rich; Summit; Weber.</v>
      </c>
      <c r="K6622" s="11">
        <v>0</v>
      </c>
    </row>
    <row r="6623" spans="5:11" x14ac:dyDescent="0.35">
      <c r="E6623" s="9" t="str">
        <v>EPSG</v>
      </c>
      <c r="F6623" s="7" t="str">
        <v>32143</v>
      </c>
      <c r="G6623" t="str">
        <v>ProjectedCrs</v>
      </c>
      <c r="H6623" t="str">
        <v>Lambert Conic Conformal (2SP)</v>
      </c>
      <c r="I6623" t="str">
        <v>NAD83 / Utah Central</v>
      </c>
      <c r="J6623" t="str">
        <v>United States (USA) - Utah - counties of Carbon; Duchesne; Emery; Grand; Juab; Millard; Salt Lake; Sanpete; Sevier; Tooele; Uintah; Utah; Wasatch.</v>
      </c>
      <c r="K6623" s="11">
        <v>0</v>
      </c>
    </row>
    <row r="6624" spans="5:11" x14ac:dyDescent="0.35">
      <c r="E6624" s="9" t="str">
        <v>EPSG</v>
      </c>
      <c r="F6624" s="7" t="str">
        <v>32144</v>
      </c>
      <c r="G6624" t="str">
        <v>ProjectedCrs</v>
      </c>
      <c r="H6624" t="str">
        <v>Lambert Conic Conformal (2SP)</v>
      </c>
      <c r="I6624" t="str">
        <v>NAD83 / Utah South</v>
      </c>
      <c r="J6624" t="str">
        <v>United States (USA) - Utah - counties of Beaver; Garfield; Iron; Kane; Piute; San Juan; Washington; Wayne.</v>
      </c>
      <c r="K6624" s="11">
        <v>0</v>
      </c>
    </row>
    <row r="6625" spans="5:11" x14ac:dyDescent="0.35">
      <c r="E6625" s="9" t="str">
        <v>EPSG</v>
      </c>
      <c r="F6625" s="7" t="str">
        <v>32145</v>
      </c>
      <c r="G6625" t="str">
        <v>ProjectedCrs</v>
      </c>
      <c r="H6625" t="str">
        <v>Transverse Mercator</v>
      </c>
      <c r="I6625" t="str">
        <v>NAD83 / Vermont</v>
      </c>
      <c r="J6625" t="str">
        <v>United States (USA) - Vermont - counties of Addison; Bennington; Caledonia; Chittenden; Essex; Franklin; Grand Isle; Lamoille; Orange; Orleans; Rutland; Washington; Windham; Windsor.</v>
      </c>
      <c r="K6625" s="11">
        <v>0</v>
      </c>
    </row>
    <row r="6626" spans="5:11" x14ac:dyDescent="0.35">
      <c r="E6626" s="9" t="str">
        <v>EPSG</v>
      </c>
      <c r="F6626" s="7" t="str">
        <v>32146</v>
      </c>
      <c r="G6626" t="str">
        <v>ProjectedCrs</v>
      </c>
      <c r="H6626" t="str">
        <v>Lambert Conic Conformal (2SP)</v>
      </c>
      <c r="I6626" t="str">
        <v>NAD83 / Virginia North</v>
      </c>
      <c r="J6626" t="str">
        <v>United States (USA) - Virginia - counties of Arlington; Augusta; Bath; Caroline; Clarke; Culpeper; Fairfax; Fauquier; Frederick; Greene; Highland; King George; Loudoun; Madison; Orange; Page; Prince William; Rappahannock; Rockingham; Shenandoah; Spotsylvania; Stafford; Warren; Westmoreland.</v>
      </c>
      <c r="K6626" s="11">
        <v>0</v>
      </c>
    </row>
    <row r="6627" spans="5:11" x14ac:dyDescent="0.35">
      <c r="E6627" s="9" t="str">
        <v>EPSG</v>
      </c>
      <c r="F6627" s="7" t="str">
        <v>32147</v>
      </c>
      <c r="G6627" t="str">
        <v>ProjectedCrs</v>
      </c>
      <c r="H6627" t="str">
        <v>Lambert Conic Conformal (2SP)</v>
      </c>
      <c r="I6627" t="str">
        <v>NAD83 / Virginia South</v>
      </c>
      <c r="J6627"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6627" s="11">
        <v>0</v>
      </c>
    </row>
    <row r="6628" spans="5:11" x14ac:dyDescent="0.35">
      <c r="E6628" s="9" t="str">
        <v>EPSG</v>
      </c>
      <c r="F6628" s="7" t="str">
        <v>32148</v>
      </c>
      <c r="G6628" t="str">
        <v>ProjectedCrs</v>
      </c>
      <c r="H6628" t="str">
        <v>Lambert Conic Conformal (2SP)</v>
      </c>
      <c r="I6628" t="str">
        <v>NAD83 / Washington North</v>
      </c>
      <c r="J6628" t="str">
        <v>United States (USA) - Washington - counties of Chelan; Clallam; Douglas; Ferry; Grant north of approximately 47°30'N; Island; Jefferson; King; Kitsap; Lincoln; Okanogan; Pend Oreille; San Juan; Skagit; Snohomish; Spokane; Stevens; Whatcom.</v>
      </c>
      <c r="K6628" s="11">
        <v>0</v>
      </c>
    </row>
    <row r="6629" spans="5:11" x14ac:dyDescent="0.35">
      <c r="E6629" s="9" t="str">
        <v>EPSG</v>
      </c>
      <c r="F6629" s="7" t="str">
        <v>32149</v>
      </c>
      <c r="G6629" t="str">
        <v>ProjectedCrs</v>
      </c>
      <c r="H6629" t="str">
        <v>Lambert Conic Conformal (2SP)</v>
      </c>
      <c r="I6629" t="str">
        <v>NAD83 / Washington South</v>
      </c>
      <c r="J6629" t="str">
        <v>United States (USA) - Washington - counties of Adams; Asotin; Benton; Clark; Columbia; Cowlitz; Franklin; Garfield; Grant south of approximately 47°30'N; Grays Harbor; Kittitas; Klickitat; Lewis; Mason; Pacific; Pierce; Skamania; Thurston; Wahkiakum; Walla Walla; Whitman; Yakima.</v>
      </c>
      <c r="K6629" s="11">
        <v>0</v>
      </c>
    </row>
    <row r="6630" spans="5:11" x14ac:dyDescent="0.35">
      <c r="E6630" s="9" t="str">
        <v>EPSG</v>
      </c>
      <c r="F6630" s="7" t="str">
        <v>32150</v>
      </c>
      <c r="G6630" t="str">
        <v>ProjectedCrs</v>
      </c>
      <c r="H6630" t="str">
        <v>Lambert Conic Conformal (2SP)</v>
      </c>
      <c r="I6630" t="str">
        <v>NAD83 / West Virginia North</v>
      </c>
      <c r="J6630" t="str">
        <v>United States (USA) - West Virginia - counties of Barbour; Berkeley; Brooke; Doddridge; Grant; Hampshire; Hancock; Hardy; Harrison; Jefferson; Marion; Marshall; Mineral; Monongalia; Morgan; Ohio; Pleasants; Preston; Ritchie; Taylor; Tucker; Tyler; Wetzel; Wirt; Wood.</v>
      </c>
      <c r="K6630" s="11">
        <v>0</v>
      </c>
    </row>
    <row r="6631" spans="5:11" x14ac:dyDescent="0.35">
      <c r="E6631" s="9" t="str">
        <v>EPSG</v>
      </c>
      <c r="F6631" s="7" t="str">
        <v>32151</v>
      </c>
      <c r="G6631" t="str">
        <v>ProjectedCrs</v>
      </c>
      <c r="H6631" t="str">
        <v>Lambert Conic Conformal (2SP)</v>
      </c>
      <c r="I6631" t="str">
        <v>NAD83 / West Virginia South</v>
      </c>
      <c r="J6631"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6631" s="11">
        <v>0</v>
      </c>
    </row>
    <row r="6632" spans="5:11" x14ac:dyDescent="0.35">
      <c r="E6632" s="9" t="str">
        <v>EPSG</v>
      </c>
      <c r="F6632" s="7" t="str">
        <v>32152</v>
      </c>
      <c r="G6632" t="str">
        <v>ProjectedCrs</v>
      </c>
      <c r="H6632" t="str">
        <v>Lambert Conic Conformal (2SP)</v>
      </c>
      <c r="I6632" t="str">
        <v>NAD83 / Wisconsin North</v>
      </c>
      <c r="J6632" t="str">
        <v>United States (USA) - Wisconsin - counties of Ashland; Bayfield; Burnett; Douglas; Florence; Forest; Iron; Oneida; Price; Sawyer; Vilas; Washburn.</v>
      </c>
      <c r="K6632" s="11">
        <v>0</v>
      </c>
    </row>
    <row r="6633" spans="5:11" x14ac:dyDescent="0.35">
      <c r="E6633" s="9" t="str">
        <v>EPSG</v>
      </c>
      <c r="F6633" s="7" t="str">
        <v>32153</v>
      </c>
      <c r="G6633" t="str">
        <v>ProjectedCrs</v>
      </c>
      <c r="H6633" t="str">
        <v>Lambert Conic Conformal (2SP)</v>
      </c>
      <c r="I6633" t="str">
        <v>NAD83 / Wisconsin Central</v>
      </c>
      <c r="J6633" t="str">
        <v>United States (USA) - Wisconsin - counties of Barron; Brown; Buffalo; Chippewa; Clark; Door; Dunn; Eau Claire; Jackson; Kewaunee; Langlade; Lincoln; Marathon; Marinette; Menominee; Oconto; Outagamie; Pepin; Pierce; Polk; Portage; Rusk; Shawano; St Croix; Taylor; Trempealeau; Waupaca; Wood.</v>
      </c>
      <c r="K6633" s="11">
        <v>0</v>
      </c>
    </row>
    <row r="6634" spans="5:11" x14ac:dyDescent="0.35">
      <c r="E6634" s="9" t="str">
        <v>EPSG</v>
      </c>
      <c r="F6634" s="7" t="str">
        <v>32154</v>
      </c>
      <c r="G6634" t="str">
        <v>ProjectedCrs</v>
      </c>
      <c r="H6634" t="str">
        <v>Lambert Conic Conformal (2SP)</v>
      </c>
      <c r="I6634" t="str">
        <v>NAD83 / Wisconsin South</v>
      </c>
      <c r="J6634"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6634" s="11">
        <v>0</v>
      </c>
    </row>
    <row r="6635" spans="5:11" x14ac:dyDescent="0.35">
      <c r="E6635" s="9" t="str">
        <v>EPSG</v>
      </c>
      <c r="F6635" s="7" t="str">
        <v>32155</v>
      </c>
      <c r="G6635" t="str">
        <v>ProjectedCrs</v>
      </c>
      <c r="H6635" t="str">
        <v>Transverse Mercator</v>
      </c>
      <c r="I6635" t="str">
        <v>NAD83 / Wyoming East</v>
      </c>
      <c r="J6635" t="str">
        <v>United States (USA) - Wyoming - counties of Albany; Campbell; Converse; Crook; Goshen; Laramie; Niobrara; Platte; Weston.</v>
      </c>
      <c r="K6635" s="11">
        <v>0</v>
      </c>
    </row>
    <row r="6636" spans="5:11" x14ac:dyDescent="0.35">
      <c r="E6636" s="9" t="str">
        <v>EPSG</v>
      </c>
      <c r="F6636" s="7" t="str">
        <v>32156</v>
      </c>
      <c r="G6636" t="str">
        <v>ProjectedCrs</v>
      </c>
      <c r="H6636" t="str">
        <v>Transverse Mercator</v>
      </c>
      <c r="I6636" t="str">
        <v>NAD83 / Wyoming East Central</v>
      </c>
      <c r="J6636" t="str">
        <v>United States (USA) - Wyoming - counties of Big Horn; Carbon; Johnson; Natrona; Sheridan; Washakie.</v>
      </c>
      <c r="K6636" s="11">
        <v>0</v>
      </c>
    </row>
    <row r="6637" spans="5:11" x14ac:dyDescent="0.35">
      <c r="E6637" s="9" t="str">
        <v>EPSG</v>
      </c>
      <c r="F6637" s="7" t="str">
        <v>32157</v>
      </c>
      <c r="G6637" t="str">
        <v>ProjectedCrs</v>
      </c>
      <c r="H6637" t="str">
        <v>Transverse Mercator</v>
      </c>
      <c r="I6637" t="str">
        <v>NAD83 / Wyoming West Central</v>
      </c>
      <c r="J6637" t="str">
        <v>United States (USA) - Wyoming - counties of Fremont; Hot Springs; Park; Sweetwater.</v>
      </c>
      <c r="K6637" s="11">
        <v>0</v>
      </c>
    </row>
    <row r="6638" spans="5:11" x14ac:dyDescent="0.35">
      <c r="E6638" s="9" t="str">
        <v>EPSG</v>
      </c>
      <c r="F6638" s="7" t="str">
        <v>32158</v>
      </c>
      <c r="G6638" t="str">
        <v>ProjectedCrs</v>
      </c>
      <c r="H6638" t="str">
        <v>Transverse Mercator</v>
      </c>
      <c r="I6638" t="str">
        <v>NAD83 / Wyoming West</v>
      </c>
      <c r="J6638" t="str">
        <v>United States (USA) - Wyoming - counties of Lincoln; Sublette; Teton; Uinta.</v>
      </c>
      <c r="K6638" s="11">
        <v>0</v>
      </c>
    </row>
    <row r="6639" spans="5:11" x14ac:dyDescent="0.35">
      <c r="E6639" s="9" t="str">
        <v>EPSG</v>
      </c>
      <c r="F6639" s="7" t="str">
        <v>32159</v>
      </c>
      <c r="G6639" t="str">
        <v>ProjectedCrs</v>
      </c>
      <c r="H6639" t="str">
        <v>Lambert Conic Conformal (2SP)</v>
      </c>
      <c r="I6639" t="str">
        <v>NAD83 / Wyoming Lambert</v>
      </c>
      <c r="J6639" t="str">
        <v>United States (USA) - Wyoming.</v>
      </c>
      <c r="K6639" s="11">
        <v>0</v>
      </c>
    </row>
    <row r="6640" spans="5:11" x14ac:dyDescent="0.35">
      <c r="E6640" s="9" t="str">
        <v>EPSG</v>
      </c>
      <c r="F6640" s="7" t="str">
        <v>32161</v>
      </c>
      <c r="G6640" t="str">
        <v>ProjectedCrs</v>
      </c>
      <c r="H6640" t="str">
        <v>Lambert Conic Conformal (2SP)</v>
      </c>
      <c r="I6640" t="str">
        <v>NAD83 / Puerto Rico &amp; Virgin Is.</v>
      </c>
      <c r="J6640" t="str">
        <v>Puerto Rico and US Virgin Islands - onshore and offshore.</v>
      </c>
      <c r="K6640" s="11">
        <v>0</v>
      </c>
    </row>
    <row r="6641" spans="5:11" x14ac:dyDescent="0.35">
      <c r="E6641" s="9" t="str">
        <v>EPSG</v>
      </c>
      <c r="F6641" s="7" t="str">
        <v>32164</v>
      </c>
      <c r="G6641" t="str">
        <v>ProjectedCrs</v>
      </c>
      <c r="H6641" t="str">
        <v>Transverse Mercator</v>
      </c>
      <c r="I6641" t="str">
        <v>NAD83 / BLM 14N (ftUS)</v>
      </c>
      <c r="J6641" t="str">
        <v>United States (USA) - between 102°W and 96°W. Iowa; Kansas; Minnesota; Nebraska; North Dakota; Oklahoma; South Dakota; Texas; Gulf of Mexico outer continental shelf (GoM OCS) west of approximately 96°W - protraction areas Corpus Christi; Port Isabel.</v>
      </c>
      <c r="K6641" s="11">
        <v>0</v>
      </c>
    </row>
    <row r="6642" spans="5:11" x14ac:dyDescent="0.35">
      <c r="E6642" s="9" t="str">
        <v>EPSG</v>
      </c>
      <c r="F6642" s="7" t="str">
        <v>32165</v>
      </c>
      <c r="G6642" t="str">
        <v>ProjectedCrs</v>
      </c>
      <c r="H6642" t="str">
        <v>Transverse Mercator</v>
      </c>
      <c r="I6642" t="str">
        <v>NAD83 / BLM 15N (ftUS)</v>
      </c>
      <c r="J6642" t="str">
        <v>United States (USA) - between 96°W and 90°W - Arkansas; Illinois; Iowa; Kansas; Louisiana; Michigan; Minnesota; Mississippi; Missouri; Nebraska; Oklahoma; Tennessee; Texas; Wisconsin; Gulf of Mexico outer continental shelf (GoM OCS) between approximately 96°W and 90°W - protraction areas East Breaks; Alaminos Canyon; Garden Banks; Keathley Canyon; Sigsbee Escarpment; Ewing Bank; Green Canyon; Walker Ridge; Amery Terrace.</v>
      </c>
      <c r="K6642" s="11">
        <v>0</v>
      </c>
    </row>
    <row r="6643" spans="5:11" x14ac:dyDescent="0.35">
      <c r="E6643" s="9" t="str">
        <v>EPSG</v>
      </c>
      <c r="F6643" s="7" t="str">
        <v>32166</v>
      </c>
      <c r="G6643" t="str">
        <v>ProjectedCrs</v>
      </c>
      <c r="H6643" t="str">
        <v>Transverse Mercator</v>
      </c>
      <c r="I6643" t="str">
        <v>NAD83 / BLM 16N (ftUS)</v>
      </c>
      <c r="J6643" t="str">
        <v>United States (USA) - between 90°W and 84°W onshore and offshore - Alabama; Arkansas; Florida; Georgia; Indiana; Illinois; Kentucky; Louisiana; Michigan; Minnesota; Mississippi; Missouri; North Carolina; Ohio; Tennessee; Wisconsin; Gulf of Mexico outer continental shelf (GoM OCS) between approximately 90°W and 84°W - protraction areas Mobile; Viosca Knoll; Mississippi Canyon; Atwater Valley; Lund; Lund South; Pensacola; Destin Dome; De Soto Canyon; Lloyd Ridge; Henderson; Florida Plain; Campeche Escarpment; Apalachicola; Florida Middle Ground; The Elbow; Vernon Basin; Howell Hook; Rankin.</v>
      </c>
      <c r="K6643" s="11">
        <v>0</v>
      </c>
    </row>
    <row r="6644" spans="5:11" x14ac:dyDescent="0.35">
      <c r="E6644" s="9" t="str">
        <v>EPSG</v>
      </c>
      <c r="F6644" s="7" t="str">
        <v>32167</v>
      </c>
      <c r="G6644" t="str">
        <v>ProjectedCrs</v>
      </c>
      <c r="H6644" t="str">
        <v>Transverse Mercator</v>
      </c>
      <c r="I6644" t="str">
        <v>NAD83 / BLM 17N (ftUS)</v>
      </c>
      <c r="J6644" t="str">
        <v>United States (USA) - between 84°W and 78°W onshore and offshore - Florida; Georgia; Maryland; Michigan; New York; North Carolina; Ohio; Pennsylvania; South Carolina; Tennessee; Virginia; West Virginia; Gulf of Mexico outer continental shelf (GoM OCS) east of approximately 84°W - protraction areas Gainesville; Tarpon Springs; St Petersburg; Charlotte Harbor; Pulley Ridge; Dry Tortugas; Tortugas Valley; Miami; Key West.</v>
      </c>
      <c r="K6644" s="11">
        <v>0</v>
      </c>
    </row>
    <row r="6645" spans="5:11" x14ac:dyDescent="0.35">
      <c r="E6645" s="9" t="str">
        <v>EPSG</v>
      </c>
      <c r="F6645" s="7" t="str">
        <v>32181</v>
      </c>
      <c r="G6645" t="str">
        <v>ProjectedCrs</v>
      </c>
      <c r="H6645" t="str">
        <v>Transverse Mercator</v>
      </c>
      <c r="I6645" t="str">
        <v>NAD83 / MTM zone 1</v>
      </c>
      <c r="J6645" t="str">
        <v>Canada - Newfoundland - onshore east of 54°30'W.</v>
      </c>
      <c r="K6645" s="11">
        <v>0</v>
      </c>
    </row>
    <row r="6646" spans="5:11" x14ac:dyDescent="0.35">
      <c r="E6646" s="9" t="str">
        <v>EPSG</v>
      </c>
      <c r="F6646" s="7" t="str">
        <v>32182</v>
      </c>
      <c r="G6646" t="str">
        <v>ProjectedCrs</v>
      </c>
      <c r="H6646" t="str">
        <v>Transverse Mercator</v>
      </c>
      <c r="I6646" t="str">
        <v>NAD83 / MTM zone 2</v>
      </c>
      <c r="J6646" t="str">
        <v>Canada - Newfoundland and Labrador between 57°30'W and 54°30'W.</v>
      </c>
      <c r="K6646" s="11">
        <v>0</v>
      </c>
    </row>
    <row r="6647" spans="5:11" x14ac:dyDescent="0.35">
      <c r="E6647" s="9" t="str">
        <v>EPSG</v>
      </c>
      <c r="F6647" s="7" t="str">
        <v>32183</v>
      </c>
      <c r="G6647" t="str">
        <v>ProjectedCrs</v>
      </c>
      <c r="H6647" t="str">
        <v>Transverse Mercator</v>
      </c>
      <c r="I6647" t="str">
        <v>NAD83 / MTM zone 3</v>
      </c>
      <c r="J6647" t="str">
        <v>Canada - Newfoundland and Labrador between 60°W and 57°30'W; Canada - Quebec east of 60°W.</v>
      </c>
      <c r="K6647" s="11">
        <v>0</v>
      </c>
    </row>
    <row r="6648" spans="5:11" x14ac:dyDescent="0.35">
      <c r="E6648" s="9" t="str">
        <v>EPSG</v>
      </c>
      <c r="F6648" s="7" t="str">
        <v>32184</v>
      </c>
      <c r="G6648" t="str">
        <v>ProjectedCrs</v>
      </c>
      <c r="H6648" t="str">
        <v>Transverse Mercator</v>
      </c>
      <c r="I6648" t="str">
        <v>NAD83 / MTM zone 4</v>
      </c>
      <c r="J6648" t="str">
        <v>Canada - Quebec and Labrador between 63°W and 60°W.</v>
      </c>
      <c r="K6648" s="11">
        <v>0</v>
      </c>
    </row>
    <row r="6649" spans="5:11" x14ac:dyDescent="0.35">
      <c r="E6649" s="9" t="str">
        <v>EPSG</v>
      </c>
      <c r="F6649" s="7" t="str">
        <v>32185</v>
      </c>
      <c r="G6649" t="str">
        <v>ProjectedCrs</v>
      </c>
      <c r="H6649" t="str">
        <v>Transverse Mercator</v>
      </c>
      <c r="I6649" t="str">
        <v>NAD83 / MTM zone 5</v>
      </c>
      <c r="J6649" t="str">
        <v>Canada - Quebec and Labrador between 66°W and 63°W.</v>
      </c>
      <c r="K6649" s="11">
        <v>0</v>
      </c>
    </row>
    <row r="6650" spans="5:11" x14ac:dyDescent="0.35">
      <c r="E6650" s="9" t="str">
        <v>EPSG</v>
      </c>
      <c r="F6650" s="7" t="str">
        <v>32186</v>
      </c>
      <c r="G6650" t="str">
        <v>ProjectedCrs</v>
      </c>
      <c r="H6650" t="str">
        <v>Transverse Mercator</v>
      </c>
      <c r="I6650" t="str">
        <v>NAD83 / MTM zone 6</v>
      </c>
      <c r="J6650" t="str">
        <v>Canada - Quebec and Labrador between 69°W and 66°W.</v>
      </c>
      <c r="K6650" s="11">
        <v>0</v>
      </c>
    </row>
    <row r="6651" spans="5:11" x14ac:dyDescent="0.35">
      <c r="E6651" s="9" t="str">
        <v>EPSG</v>
      </c>
      <c r="F6651" s="7" t="str">
        <v>32187</v>
      </c>
      <c r="G6651" t="str">
        <v>ProjectedCrs</v>
      </c>
      <c r="H6651" t="str">
        <v>Transverse Mercator</v>
      </c>
      <c r="I6651" t="str">
        <v>NAD83 / MTM zone 7</v>
      </c>
      <c r="J6651" t="str">
        <v>Canada - Quebec - between 72°W and 69°W.</v>
      </c>
      <c r="K6651" s="11">
        <v>0</v>
      </c>
    </row>
    <row r="6652" spans="5:11" x14ac:dyDescent="0.35">
      <c r="E6652" s="9" t="str">
        <v>EPSG</v>
      </c>
      <c r="F6652" s="7" t="str">
        <v>32188</v>
      </c>
      <c r="G6652" t="str">
        <v>ProjectedCrs</v>
      </c>
      <c r="H6652" t="str">
        <v>Transverse Mercator</v>
      </c>
      <c r="I6652" t="str">
        <v>NAD83 / MTM zone 8</v>
      </c>
      <c r="J6652" t="str">
        <v>Canada - Quebec between 75°W and 72°W.; Canada - Ontario - east of 75°W.</v>
      </c>
      <c r="K6652" s="11">
        <v>0</v>
      </c>
    </row>
    <row r="6653" spans="5:11" x14ac:dyDescent="0.35">
      <c r="E6653" s="9" t="str">
        <v>EPSG</v>
      </c>
      <c r="F6653" s="7" t="str">
        <v>32189</v>
      </c>
      <c r="G6653" t="str">
        <v>ProjectedCrs</v>
      </c>
      <c r="H6653" t="str">
        <v>Transverse Mercator</v>
      </c>
      <c r="I6653" t="str">
        <v>NAD83 / MTM zone 9</v>
      </c>
      <c r="J6653" t="str">
        <v>Canada - Quebec and Ontario - between 78°W and 75°W.</v>
      </c>
      <c r="K6653" s="11">
        <v>0</v>
      </c>
    </row>
    <row r="6654" spans="5:11" x14ac:dyDescent="0.35">
      <c r="E6654" s="9" t="str">
        <v>EPSG</v>
      </c>
      <c r="F6654" s="7" t="str">
        <v>32190</v>
      </c>
      <c r="G6654" t="str">
        <v>ProjectedCrs</v>
      </c>
      <c r="H6654" t="str">
        <v>Transverse Mercator</v>
      </c>
      <c r="I6654" t="str">
        <v>NAD83 / MTM zone 10</v>
      </c>
      <c r="J6654" t="str">
        <v>Canada - Quebec west of 78°W; Canada - Ontario - between 79°30'W and 78°W in area to north of 47°N; between 80°15'W and 78°W in area between 46°N and 47°N; between 81°W and 78°W in area south of 46°N.</v>
      </c>
      <c r="K6654" s="11">
        <v>0</v>
      </c>
    </row>
    <row r="6655" spans="5:11" x14ac:dyDescent="0.35">
      <c r="E6655" s="9" t="str">
        <v>EPSG</v>
      </c>
      <c r="F6655" s="7" t="str">
        <v>32191</v>
      </c>
      <c r="G6655" t="str">
        <v>ProjectedCrs</v>
      </c>
      <c r="H6655" t="str">
        <v>Transverse Mercator</v>
      </c>
      <c r="I6655" t="str">
        <v>NAD83 / MTM zone 11</v>
      </c>
      <c r="J6655" t="str">
        <v>Canada - Ontario - south of 46°N and west of 81°W.</v>
      </c>
      <c r="K6655" s="11">
        <v>0</v>
      </c>
    </row>
    <row r="6656" spans="5:11" x14ac:dyDescent="0.35">
      <c r="E6656" s="9" t="str">
        <v>EPSG</v>
      </c>
      <c r="F6656" s="7" t="str">
        <v>32192</v>
      </c>
      <c r="G6656" t="str">
        <v>ProjectedCrs</v>
      </c>
      <c r="H6656" t="str">
        <v>Transverse Mercator</v>
      </c>
      <c r="I6656" t="str">
        <v>NAD83 / MTM zone 12</v>
      </c>
      <c r="J6656" t="str">
        <v>Canada - Ontario - between 82°30'W and 79°30'W: north of 46°N in area between 82°30'W and 80°15'W, north of 47°N in area between 80°15'W and 79°30'W.</v>
      </c>
      <c r="K6656" s="11">
        <v>0</v>
      </c>
    </row>
    <row r="6657" spans="5:11" x14ac:dyDescent="0.35">
      <c r="E6657" s="9" t="str">
        <v>EPSG</v>
      </c>
      <c r="F6657" s="7" t="str">
        <v>32193</v>
      </c>
      <c r="G6657" t="str">
        <v>ProjectedCrs</v>
      </c>
      <c r="H6657" t="str">
        <v>Transverse Mercator</v>
      </c>
      <c r="I6657" t="str">
        <v>NAD83 / MTM zone 13</v>
      </c>
      <c r="J6657" t="str">
        <v>Canada - Ontario - between 85°30'W and 82°30'W and north of 46°N.</v>
      </c>
      <c r="K6657" s="11">
        <v>0</v>
      </c>
    </row>
    <row r="6658" spans="5:11" x14ac:dyDescent="0.35">
      <c r="E6658" s="9" t="str">
        <v>EPSG</v>
      </c>
      <c r="F6658" s="7" t="str">
        <v>32194</v>
      </c>
      <c r="G6658" t="str">
        <v>ProjectedCrs</v>
      </c>
      <c r="H6658" t="str">
        <v>Transverse Mercator</v>
      </c>
      <c r="I6658" t="str">
        <v>NAD83 / MTM zone 14</v>
      </c>
      <c r="J6658" t="str">
        <v>Canada - Ontario - between 88°30'W and 85°30'W.</v>
      </c>
      <c r="K6658" s="11">
        <v>0</v>
      </c>
    </row>
    <row r="6659" spans="5:11" x14ac:dyDescent="0.35">
      <c r="E6659" s="9" t="str">
        <v>EPSG</v>
      </c>
      <c r="F6659" s="7" t="str">
        <v>32195</v>
      </c>
      <c r="G6659" t="str">
        <v>ProjectedCrs</v>
      </c>
      <c r="H6659" t="str">
        <v>Transverse Mercator</v>
      </c>
      <c r="I6659" t="str">
        <v>NAD83 / MTM zone 15</v>
      </c>
      <c r="J6659" t="str">
        <v>Canada - Ontario - between 91°30'W and 88°30'W.</v>
      </c>
      <c r="K6659" s="11">
        <v>0</v>
      </c>
    </row>
    <row r="6660" spans="5:11" x14ac:dyDescent="0.35">
      <c r="E6660" s="9" t="str">
        <v>EPSG</v>
      </c>
      <c r="F6660" s="7" t="str">
        <v>32196</v>
      </c>
      <c r="G6660" t="str">
        <v>ProjectedCrs</v>
      </c>
      <c r="H6660" t="str">
        <v>Transverse Mercator</v>
      </c>
      <c r="I6660" t="str">
        <v>NAD83 / MTM zone 16</v>
      </c>
      <c r="J6660" t="str">
        <v>Canada - Ontario - between 94°30'W and 91°30'W.</v>
      </c>
      <c r="K6660" s="11">
        <v>0</v>
      </c>
    </row>
    <row r="6661" spans="5:11" x14ac:dyDescent="0.35">
      <c r="E6661" s="9" t="str">
        <v>EPSG</v>
      </c>
      <c r="F6661" s="7" t="str">
        <v>32197</v>
      </c>
      <c r="G6661" t="str">
        <v>ProjectedCrs</v>
      </c>
      <c r="H6661" t="str">
        <v>Transverse Mercator</v>
      </c>
      <c r="I6661" t="str">
        <v>NAD83 / MTM zone 17</v>
      </c>
      <c r="J6661" t="str">
        <v>Canada - Ontario - west of 94°30'W.</v>
      </c>
      <c r="K6661" s="11">
        <v>0</v>
      </c>
    </row>
    <row r="6662" spans="5:11" x14ac:dyDescent="0.35">
      <c r="E6662" s="9" t="str">
        <v>EPSG</v>
      </c>
      <c r="F6662" s="7" t="str">
        <v>32198</v>
      </c>
      <c r="G6662" t="str">
        <v>ProjectedCrs</v>
      </c>
      <c r="H6662" t="str">
        <v>Lambert Conic Conformal (2SP)</v>
      </c>
      <c r="I6662" t="str">
        <v>NAD83 / Quebec Lambert</v>
      </c>
      <c r="J6662" t="str">
        <v>Canada - Quebec.</v>
      </c>
      <c r="K6662" s="11">
        <v>0</v>
      </c>
    </row>
    <row r="6663" spans="5:11" x14ac:dyDescent="0.35">
      <c r="E6663" s="9" t="str">
        <v>EPSG</v>
      </c>
      <c r="F6663" s="7" t="str">
        <v>32199</v>
      </c>
      <c r="G6663" t="str">
        <v>ProjectedCrs</v>
      </c>
      <c r="H6663" t="str">
        <v>Lambert Conic Conformal (2SP)</v>
      </c>
      <c r="I6663" t="str">
        <v>NAD83 / Louisiana Offshore</v>
      </c>
      <c r="J6663" t="str">
        <v>United States (USA) - Louisiana.</v>
      </c>
      <c r="K6663" s="11">
        <v>0</v>
      </c>
    </row>
    <row r="6664" spans="5:11" x14ac:dyDescent="0.35">
      <c r="E6664" s="9" t="str">
        <v>EPSG</v>
      </c>
      <c r="F6664" s="7" t="str">
        <v>32201</v>
      </c>
      <c r="G6664" t="str">
        <v>ProjectedCrs</v>
      </c>
      <c r="H6664" t="str">
        <v>Transverse Mercator</v>
      </c>
      <c r="I6664" t="str">
        <v>WGS 72 / UTM zone 1N</v>
      </c>
      <c r="J6664" t="str">
        <v>Between 180°W and 174°W, northern hemisphere between equator and 84°N, onshore and offshore.</v>
      </c>
      <c r="K6664" s="11">
        <v>0</v>
      </c>
    </row>
    <row r="6665" spans="5:11" x14ac:dyDescent="0.35">
      <c r="E6665" s="9" t="str">
        <v>EPSG</v>
      </c>
      <c r="F6665" s="7" t="str">
        <v>32202</v>
      </c>
      <c r="G6665" t="str">
        <v>ProjectedCrs</v>
      </c>
      <c r="H6665" t="str">
        <v>Transverse Mercator</v>
      </c>
      <c r="I6665" t="str">
        <v>WGS 72 / UTM zone 2N</v>
      </c>
      <c r="J6665" t="str">
        <v>Between 174°W and 168°W, northern hemisphere between equator and 84°N, onshore and offshore.</v>
      </c>
      <c r="K6665" s="11">
        <v>0</v>
      </c>
    </row>
    <row r="6666" spans="5:11" x14ac:dyDescent="0.35">
      <c r="E6666" s="9" t="str">
        <v>EPSG</v>
      </c>
      <c r="F6666" s="7" t="str">
        <v>32203</v>
      </c>
      <c r="G6666" t="str">
        <v>ProjectedCrs</v>
      </c>
      <c r="H6666" t="str">
        <v>Transverse Mercator</v>
      </c>
      <c r="I6666" t="str">
        <v>WGS 72 / UTM zone 3N</v>
      </c>
      <c r="J6666" t="str">
        <v>Between 168°W and 162°W, northern hemisphere between equator and 84°N, onshore and offshore.</v>
      </c>
      <c r="K6666" s="11">
        <v>0</v>
      </c>
    </row>
    <row r="6667" spans="5:11" x14ac:dyDescent="0.35">
      <c r="E6667" s="9" t="str">
        <v>EPSG</v>
      </c>
      <c r="F6667" s="7" t="str">
        <v>32204</v>
      </c>
      <c r="G6667" t="str">
        <v>ProjectedCrs</v>
      </c>
      <c r="H6667" t="str">
        <v>Transverse Mercator</v>
      </c>
      <c r="I6667" t="str">
        <v>WGS 72 / UTM zone 4N</v>
      </c>
      <c r="J6667" t="str">
        <v>Between 162°W and 156°W, northern hemisphere between equator and 84°N, onshore and offshore.</v>
      </c>
      <c r="K6667" s="11">
        <v>0</v>
      </c>
    </row>
    <row r="6668" spans="5:11" x14ac:dyDescent="0.35">
      <c r="E6668" s="9" t="str">
        <v>EPSG</v>
      </c>
      <c r="F6668" s="7" t="str">
        <v>32205</v>
      </c>
      <c r="G6668" t="str">
        <v>ProjectedCrs</v>
      </c>
      <c r="H6668" t="str">
        <v>Transverse Mercator</v>
      </c>
      <c r="I6668" t="str">
        <v>WGS 72 / UTM zone 5N</v>
      </c>
      <c r="J6668" t="str">
        <v>Between 156°W and 150°W, northern hemisphere between equator and 84°N, onshore and offshore.</v>
      </c>
      <c r="K6668" s="11">
        <v>0</v>
      </c>
    </row>
    <row r="6669" spans="5:11" x14ac:dyDescent="0.35">
      <c r="E6669" s="9" t="str">
        <v>EPSG</v>
      </c>
      <c r="F6669" s="7" t="str">
        <v>32206</v>
      </c>
      <c r="G6669" t="str">
        <v>ProjectedCrs</v>
      </c>
      <c r="H6669" t="str">
        <v>Transverse Mercator</v>
      </c>
      <c r="I6669" t="str">
        <v>WGS 72 / UTM zone 6N</v>
      </c>
      <c r="J6669" t="str">
        <v>Between 150°W and 144°W, northern hemisphere between equator and 84°N, onshore and offshore.</v>
      </c>
      <c r="K6669" s="11">
        <v>0</v>
      </c>
    </row>
    <row r="6670" spans="5:11" x14ac:dyDescent="0.35">
      <c r="E6670" s="9" t="str">
        <v>EPSG</v>
      </c>
      <c r="F6670" s="7" t="str">
        <v>32207</v>
      </c>
      <c r="G6670" t="str">
        <v>ProjectedCrs</v>
      </c>
      <c r="H6670" t="str">
        <v>Transverse Mercator</v>
      </c>
      <c r="I6670" t="str">
        <v>WGS 72 / UTM zone 7N</v>
      </c>
      <c r="J6670" t="str">
        <v>Between 144°W and 138°W, northern hemisphere between equator and 84°N, onshore and offshore.</v>
      </c>
      <c r="K6670" s="11">
        <v>0</v>
      </c>
    </row>
    <row r="6671" spans="5:11" x14ac:dyDescent="0.35">
      <c r="E6671" s="9" t="str">
        <v>EPSG</v>
      </c>
      <c r="F6671" s="7" t="str">
        <v>32208</v>
      </c>
      <c r="G6671" t="str">
        <v>ProjectedCrs</v>
      </c>
      <c r="H6671" t="str">
        <v>Transverse Mercator</v>
      </c>
      <c r="I6671" t="str">
        <v>WGS 72 / UTM zone 8N</v>
      </c>
      <c r="J6671" t="str">
        <v>Between 138°W and 132°W, northern hemisphere between equator and 84°N, onshore and offshore.</v>
      </c>
      <c r="K6671" s="11">
        <v>0</v>
      </c>
    </row>
    <row r="6672" spans="5:11" x14ac:dyDescent="0.35">
      <c r="E6672" s="9" t="str">
        <v>EPSG</v>
      </c>
      <c r="F6672" s="7" t="str">
        <v>32209</v>
      </c>
      <c r="G6672" t="str">
        <v>ProjectedCrs</v>
      </c>
      <c r="H6672" t="str">
        <v>Transverse Mercator</v>
      </c>
      <c r="I6672" t="str">
        <v>WGS 72 / UTM zone 9N</v>
      </c>
      <c r="J6672" t="str">
        <v>Between 132°W and 126°W, northern hemisphere between equator and 84°N, onshore and offshore.</v>
      </c>
      <c r="K6672" s="11">
        <v>0</v>
      </c>
    </row>
    <row r="6673" spans="5:11" x14ac:dyDescent="0.35">
      <c r="E6673" s="9" t="str">
        <v>EPSG</v>
      </c>
      <c r="F6673" s="7" t="str">
        <v>32210</v>
      </c>
      <c r="G6673" t="str">
        <v>ProjectedCrs</v>
      </c>
      <c r="H6673" t="str">
        <v>Transverse Mercator</v>
      </c>
      <c r="I6673" t="str">
        <v>WGS 72 / UTM zone 10N</v>
      </c>
      <c r="J6673" t="str">
        <v>Between 126°W and 120°W, northern hemisphere between equator and 84°N, onshore and offshore.</v>
      </c>
      <c r="K6673" s="11">
        <v>0</v>
      </c>
    </row>
    <row r="6674" spans="5:11" x14ac:dyDescent="0.35">
      <c r="E6674" s="9" t="str">
        <v>EPSG</v>
      </c>
      <c r="F6674" s="7" t="str">
        <v>32211</v>
      </c>
      <c r="G6674" t="str">
        <v>ProjectedCrs</v>
      </c>
      <c r="H6674" t="str">
        <v>Transverse Mercator</v>
      </c>
      <c r="I6674" t="str">
        <v>WGS 72 / UTM zone 11N</v>
      </c>
      <c r="J6674" t="str">
        <v>Between 120°W and 114°W, northern hemisphere between equator and 84°N, onshore and offshore.</v>
      </c>
      <c r="K6674" s="11">
        <v>0</v>
      </c>
    </row>
    <row r="6675" spans="5:11" x14ac:dyDescent="0.35">
      <c r="E6675" s="9" t="str">
        <v>EPSG</v>
      </c>
      <c r="F6675" s="7" t="str">
        <v>32212</v>
      </c>
      <c r="G6675" t="str">
        <v>ProjectedCrs</v>
      </c>
      <c r="H6675" t="str">
        <v>Transverse Mercator</v>
      </c>
      <c r="I6675" t="str">
        <v>WGS 72 / UTM zone 12N</v>
      </c>
      <c r="J6675" t="str">
        <v>Between 114°W and 108°W, northern hemisphere between equator and 84°N, onshore and offshore.</v>
      </c>
      <c r="K6675" s="11">
        <v>0</v>
      </c>
    </row>
    <row r="6676" spans="5:11" x14ac:dyDescent="0.35">
      <c r="E6676" s="9" t="str">
        <v>EPSG</v>
      </c>
      <c r="F6676" s="7" t="str">
        <v>32213</v>
      </c>
      <c r="G6676" t="str">
        <v>ProjectedCrs</v>
      </c>
      <c r="H6676" t="str">
        <v>Transverse Mercator</v>
      </c>
      <c r="I6676" t="str">
        <v>WGS 72 / UTM zone 13N</v>
      </c>
      <c r="J6676" t="str">
        <v>Between 108°W and 102°W, northern hemisphere between equator and 84°N, onshore and offshore.</v>
      </c>
      <c r="K6676" s="11">
        <v>0</v>
      </c>
    </row>
    <row r="6677" spans="5:11" x14ac:dyDescent="0.35">
      <c r="E6677" s="9" t="str">
        <v>EPSG</v>
      </c>
      <c r="F6677" s="7" t="str">
        <v>32214</v>
      </c>
      <c r="G6677" t="str">
        <v>ProjectedCrs</v>
      </c>
      <c r="H6677" t="str">
        <v>Transverse Mercator</v>
      </c>
      <c r="I6677" t="str">
        <v>WGS 72 / UTM zone 14N</v>
      </c>
      <c r="J6677" t="str">
        <v>Between 102°W and 96°W, northern hemisphere between equator and 84°N, onshore and offshore.</v>
      </c>
      <c r="K6677" s="11">
        <v>0</v>
      </c>
    </row>
    <row r="6678" spans="5:11" x14ac:dyDescent="0.35">
      <c r="E6678" s="9" t="str">
        <v>EPSG</v>
      </c>
      <c r="F6678" s="7" t="str">
        <v>32215</v>
      </c>
      <c r="G6678" t="str">
        <v>ProjectedCrs</v>
      </c>
      <c r="H6678" t="str">
        <v>Transverse Mercator</v>
      </c>
      <c r="I6678" t="str">
        <v>WGS 72 / UTM zone 15N</v>
      </c>
      <c r="J6678" t="str">
        <v>Between 96°W and 90°W, northern hemisphere between equator and 84°N, onshore and offshore.</v>
      </c>
      <c r="K6678" s="11">
        <v>0</v>
      </c>
    </row>
    <row r="6679" spans="5:11" x14ac:dyDescent="0.35">
      <c r="E6679" s="9" t="str">
        <v>EPSG</v>
      </c>
      <c r="F6679" s="7" t="str">
        <v>32216</v>
      </c>
      <c r="G6679" t="str">
        <v>ProjectedCrs</v>
      </c>
      <c r="H6679" t="str">
        <v>Transverse Mercator</v>
      </c>
      <c r="I6679" t="str">
        <v>WGS 72 / UTM zone 16N</v>
      </c>
      <c r="J6679" t="str">
        <v>Between 90°W and 84°W, northern hemisphere between equator and 84°N, onshore and offshore.</v>
      </c>
      <c r="K6679" s="11">
        <v>0</v>
      </c>
    </row>
    <row r="6680" spans="5:11" x14ac:dyDescent="0.35">
      <c r="E6680" s="9" t="str">
        <v>EPSG</v>
      </c>
      <c r="F6680" s="7" t="str">
        <v>32217</v>
      </c>
      <c r="G6680" t="str">
        <v>ProjectedCrs</v>
      </c>
      <c r="H6680" t="str">
        <v>Transverse Mercator</v>
      </c>
      <c r="I6680" t="str">
        <v>WGS 72 / UTM zone 17N</v>
      </c>
      <c r="J6680" t="str">
        <v>Between 84°W and 78°W, northern hemisphere between equator and 84°N, onshore and offshore.</v>
      </c>
      <c r="K6680" s="11">
        <v>0</v>
      </c>
    </row>
    <row r="6681" spans="5:11" x14ac:dyDescent="0.35">
      <c r="E6681" s="9" t="str">
        <v>EPSG</v>
      </c>
      <c r="F6681" s="7" t="str">
        <v>32218</v>
      </c>
      <c r="G6681" t="str">
        <v>ProjectedCrs</v>
      </c>
      <c r="H6681" t="str">
        <v>Transverse Mercator</v>
      </c>
      <c r="I6681" t="str">
        <v>WGS 72 / UTM zone 18N</v>
      </c>
      <c r="J6681" t="str">
        <v>Between 78°W and 72°W, northern hemisphere between equator and 84°N, onshore and offshore.</v>
      </c>
      <c r="K6681" s="11">
        <v>0</v>
      </c>
    </row>
    <row r="6682" spans="5:11" x14ac:dyDescent="0.35">
      <c r="E6682" s="9" t="str">
        <v>EPSG</v>
      </c>
      <c r="F6682" s="7" t="str">
        <v>32219</v>
      </c>
      <c r="G6682" t="str">
        <v>ProjectedCrs</v>
      </c>
      <c r="H6682" t="str">
        <v>Transverse Mercator</v>
      </c>
      <c r="I6682" t="str">
        <v>WGS 72 / UTM zone 19N</v>
      </c>
      <c r="J6682" t="str">
        <v>Between 72°W and 66°W, northern hemisphere between equator and 84°N, onshore and offshore.</v>
      </c>
      <c r="K6682" s="11">
        <v>0</v>
      </c>
    </row>
    <row r="6683" spans="5:11" x14ac:dyDescent="0.35">
      <c r="E6683" s="9" t="str">
        <v>EPSG</v>
      </c>
      <c r="F6683" s="7" t="str">
        <v>32220</v>
      </c>
      <c r="G6683" t="str">
        <v>ProjectedCrs</v>
      </c>
      <c r="H6683" t="str">
        <v>Transverse Mercator</v>
      </c>
      <c r="I6683" t="str">
        <v>WGS 72 / UTM zone 20N</v>
      </c>
      <c r="J6683" t="str">
        <v>Between 66°W and 60°W, northern hemisphere between equator and 84°N, onshore and offshore.</v>
      </c>
      <c r="K6683" s="11">
        <v>0</v>
      </c>
    </row>
    <row r="6684" spans="5:11" x14ac:dyDescent="0.35">
      <c r="E6684" s="9" t="str">
        <v>EPSG</v>
      </c>
      <c r="F6684" s="7" t="str">
        <v>32221</v>
      </c>
      <c r="G6684" t="str">
        <v>ProjectedCrs</v>
      </c>
      <c r="H6684" t="str">
        <v>Transverse Mercator</v>
      </c>
      <c r="I6684" t="str">
        <v>WGS 72 / UTM zone 21N</v>
      </c>
      <c r="J6684" t="str">
        <v>Between 60°W and 54°W, northern hemisphere between equator and 84°N, onshore and offshore.</v>
      </c>
      <c r="K6684" s="11">
        <v>0</v>
      </c>
    </row>
    <row r="6685" spans="5:11" x14ac:dyDescent="0.35">
      <c r="E6685" s="9" t="str">
        <v>EPSG</v>
      </c>
      <c r="F6685" s="7" t="str">
        <v>32222</v>
      </c>
      <c r="G6685" t="str">
        <v>ProjectedCrs</v>
      </c>
      <c r="H6685" t="str">
        <v>Transverse Mercator</v>
      </c>
      <c r="I6685" t="str">
        <v>WGS 72 / UTM zone 22N</v>
      </c>
      <c r="J6685" t="str">
        <v>Between 54°W and 48°W, northern hemisphere between equator and 84°N, onshore and offshore.</v>
      </c>
      <c r="K6685" s="11">
        <v>0</v>
      </c>
    </row>
    <row r="6686" spans="5:11" x14ac:dyDescent="0.35">
      <c r="E6686" s="9" t="str">
        <v>EPSG</v>
      </c>
      <c r="F6686" s="7" t="str">
        <v>32223</v>
      </c>
      <c r="G6686" t="str">
        <v>ProjectedCrs</v>
      </c>
      <c r="H6686" t="str">
        <v>Transverse Mercator</v>
      </c>
      <c r="I6686" t="str">
        <v>WGS 72 / UTM zone 23N</v>
      </c>
      <c r="J6686" t="str">
        <v>Between 48°W and 42°W, northern hemisphere between equator and 84°N, onshore and offshore.</v>
      </c>
      <c r="K6686" s="11">
        <v>0</v>
      </c>
    </row>
    <row r="6687" spans="5:11" x14ac:dyDescent="0.35">
      <c r="E6687" s="9" t="str">
        <v>EPSG</v>
      </c>
      <c r="F6687" s="7" t="str">
        <v>32224</v>
      </c>
      <c r="G6687" t="str">
        <v>ProjectedCrs</v>
      </c>
      <c r="H6687" t="str">
        <v>Transverse Mercator</v>
      </c>
      <c r="I6687" t="str">
        <v>WGS 72 / UTM zone 24N</v>
      </c>
      <c r="J6687" t="str">
        <v>Between 42°W and 36°W, northern hemisphere between equator and 84°N, onshore and offshore.</v>
      </c>
      <c r="K6687" s="11">
        <v>0</v>
      </c>
    </row>
    <row r="6688" spans="5:11" x14ac:dyDescent="0.35">
      <c r="E6688" s="9" t="str">
        <v>EPSG</v>
      </c>
      <c r="F6688" s="7" t="str">
        <v>32225</v>
      </c>
      <c r="G6688" t="str">
        <v>ProjectedCrs</v>
      </c>
      <c r="H6688" t="str">
        <v>Transverse Mercator</v>
      </c>
      <c r="I6688" t="str">
        <v>WGS 72 / UTM zone 25N</v>
      </c>
      <c r="J6688" t="str">
        <v>Between 36°W and 30°W, northern hemisphere between equator and 84°N, onshore and offshore.</v>
      </c>
      <c r="K6688" s="11">
        <v>0</v>
      </c>
    </row>
    <row r="6689" spans="5:11" x14ac:dyDescent="0.35">
      <c r="E6689" s="9" t="str">
        <v>EPSG</v>
      </c>
      <c r="F6689" s="7" t="str">
        <v>32226</v>
      </c>
      <c r="G6689" t="str">
        <v>ProjectedCrs</v>
      </c>
      <c r="H6689" t="str">
        <v>Transverse Mercator</v>
      </c>
      <c r="I6689" t="str">
        <v>WGS 72 / UTM zone 26N</v>
      </c>
      <c r="J6689" t="str">
        <v>Between 30°W and 24°W, northern hemisphere between equator and 84°N, onshore and offshore.</v>
      </c>
      <c r="K6689" s="11">
        <v>0</v>
      </c>
    </row>
    <row r="6690" spans="5:11" x14ac:dyDescent="0.35">
      <c r="E6690" s="9" t="str">
        <v>EPSG</v>
      </c>
      <c r="F6690" s="7" t="str">
        <v>32227</v>
      </c>
      <c r="G6690" t="str">
        <v>ProjectedCrs</v>
      </c>
      <c r="H6690" t="str">
        <v>Transverse Mercator</v>
      </c>
      <c r="I6690" t="str">
        <v>WGS 72 / UTM zone 27N</v>
      </c>
      <c r="J6690" t="str">
        <v>Between 24°W and 18°W, northern hemisphere between equator and 84°N, onshore and offshore.</v>
      </c>
      <c r="K6690" s="11">
        <v>0</v>
      </c>
    </row>
    <row r="6691" spans="5:11" x14ac:dyDescent="0.35">
      <c r="E6691" s="9" t="str">
        <v>EPSG</v>
      </c>
      <c r="F6691" s="7" t="str">
        <v>32228</v>
      </c>
      <c r="G6691" t="str">
        <v>ProjectedCrs</v>
      </c>
      <c r="H6691" t="str">
        <v>Transverse Mercator</v>
      </c>
      <c r="I6691" t="str">
        <v>WGS 72 / UTM zone 28N</v>
      </c>
      <c r="J6691" t="str">
        <v>Between 18°W and 12°W, northern hemisphere between equator and 84°N, onshore and offshore.</v>
      </c>
      <c r="K6691" s="11">
        <v>0</v>
      </c>
    </row>
    <row r="6692" spans="5:11" x14ac:dyDescent="0.35">
      <c r="E6692" s="9" t="str">
        <v>EPSG</v>
      </c>
      <c r="F6692" s="7" t="str">
        <v>32229</v>
      </c>
      <c r="G6692" t="str">
        <v>ProjectedCrs</v>
      </c>
      <c r="H6692" t="str">
        <v>Transverse Mercator</v>
      </c>
      <c r="I6692" t="str">
        <v>WGS 72 / UTM zone 29N</v>
      </c>
      <c r="J6692" t="str">
        <v>Between 12°W and 6°W, northern hemisphere between equator and 84°N, onshore and offshore.</v>
      </c>
      <c r="K6692" s="11">
        <v>0</v>
      </c>
    </row>
    <row r="6693" spans="5:11" x14ac:dyDescent="0.35">
      <c r="E6693" s="9" t="str">
        <v>EPSG</v>
      </c>
      <c r="F6693" s="7" t="str">
        <v>32230</v>
      </c>
      <c r="G6693" t="str">
        <v>ProjectedCrs</v>
      </c>
      <c r="H6693" t="str">
        <v>Transverse Mercator</v>
      </c>
      <c r="I6693" t="str">
        <v>WGS 72 / UTM zone 30N</v>
      </c>
      <c r="J6693" t="str">
        <v>Between 6°W and 0°W, northern hemisphere between equator and 84°N, onshore and offshore.</v>
      </c>
      <c r="K6693" s="11">
        <v>0</v>
      </c>
    </row>
    <row r="6694" spans="5:11" x14ac:dyDescent="0.35">
      <c r="E6694" s="9" t="str">
        <v>EPSG</v>
      </c>
      <c r="F6694" s="7" t="str">
        <v>32231</v>
      </c>
      <c r="G6694" t="str">
        <v>ProjectedCrs</v>
      </c>
      <c r="H6694" t="str">
        <v>Transverse Mercator</v>
      </c>
      <c r="I6694" t="str">
        <v>WGS 72 / UTM zone 31N</v>
      </c>
      <c r="J6694" t="str">
        <v>Between 0°E and 6°E, northern hemisphere between equator and 84°N, onshore and offshore.</v>
      </c>
      <c r="K6694" s="11">
        <v>0</v>
      </c>
    </row>
    <row r="6695" spans="5:11" x14ac:dyDescent="0.35">
      <c r="E6695" s="9" t="str">
        <v>EPSG</v>
      </c>
      <c r="F6695" s="7" t="str">
        <v>32232</v>
      </c>
      <c r="G6695" t="str">
        <v>ProjectedCrs</v>
      </c>
      <c r="H6695" t="str">
        <v>Transverse Mercator</v>
      </c>
      <c r="I6695" t="str">
        <v>WGS 72 / UTM zone 32N</v>
      </c>
      <c r="J6695" t="str">
        <v>Between 6°E and 12°E, northern hemisphere between equator and 84°N, onshore and offshore.</v>
      </c>
      <c r="K6695" s="11">
        <v>0</v>
      </c>
    </row>
    <row r="6696" spans="5:11" x14ac:dyDescent="0.35">
      <c r="E6696" s="9" t="str">
        <v>EPSG</v>
      </c>
      <c r="F6696" s="7" t="str">
        <v>32233</v>
      </c>
      <c r="G6696" t="str">
        <v>ProjectedCrs</v>
      </c>
      <c r="H6696" t="str">
        <v>Transverse Mercator</v>
      </c>
      <c r="I6696" t="str">
        <v>WGS 72 / UTM zone 33N</v>
      </c>
      <c r="J6696" t="str">
        <v>Between 12°E and 18°E, northern hemisphere between equator and 84°N, onshore and offshore.</v>
      </c>
      <c r="K6696" s="11">
        <v>0</v>
      </c>
    </row>
    <row r="6697" spans="5:11" x14ac:dyDescent="0.35">
      <c r="E6697" s="9" t="str">
        <v>EPSG</v>
      </c>
      <c r="F6697" s="7" t="str">
        <v>32234</v>
      </c>
      <c r="G6697" t="str">
        <v>ProjectedCrs</v>
      </c>
      <c r="H6697" t="str">
        <v>Transverse Mercator</v>
      </c>
      <c r="I6697" t="str">
        <v>WGS 72 / UTM zone 34N</v>
      </c>
      <c r="J6697" t="str">
        <v>Between 18°E and 24°E, northern hemisphere between equator and 84°N, onshore and offshore.</v>
      </c>
      <c r="K6697" s="11">
        <v>0</v>
      </c>
    </row>
    <row r="6698" spans="5:11" x14ac:dyDescent="0.35">
      <c r="E6698" s="9" t="str">
        <v>EPSG</v>
      </c>
      <c r="F6698" s="7" t="str">
        <v>32235</v>
      </c>
      <c r="G6698" t="str">
        <v>ProjectedCrs</v>
      </c>
      <c r="H6698" t="str">
        <v>Transverse Mercator</v>
      </c>
      <c r="I6698" t="str">
        <v>WGS 72 / UTM zone 35N</v>
      </c>
      <c r="J6698" t="str">
        <v>Between 24°E and 30°E, northern hemisphere between equator and 84°N, onshore and offshore.</v>
      </c>
      <c r="K6698" s="11">
        <v>0</v>
      </c>
    </row>
    <row r="6699" spans="5:11" x14ac:dyDescent="0.35">
      <c r="E6699" s="9" t="str">
        <v>EPSG</v>
      </c>
      <c r="F6699" s="7" t="str">
        <v>32236</v>
      </c>
      <c r="G6699" t="str">
        <v>ProjectedCrs</v>
      </c>
      <c r="H6699" t="str">
        <v>Transverse Mercator</v>
      </c>
      <c r="I6699" t="str">
        <v>WGS 72 / UTM zone 36N</v>
      </c>
      <c r="J6699" t="str">
        <v>Between 30°E and 36°E, northern hemisphere between equator and 84°N, onshore and offshore.</v>
      </c>
      <c r="K6699" s="11">
        <v>0</v>
      </c>
    </row>
    <row r="6700" spans="5:11" x14ac:dyDescent="0.35">
      <c r="E6700" s="9" t="str">
        <v>EPSG</v>
      </c>
      <c r="F6700" s="7" t="str">
        <v>32237</v>
      </c>
      <c r="G6700" t="str">
        <v>ProjectedCrs</v>
      </c>
      <c r="H6700" t="str">
        <v>Transverse Mercator</v>
      </c>
      <c r="I6700" t="str">
        <v>WGS 72 / UTM zone 37N</v>
      </c>
      <c r="J6700" t="str">
        <v>Between 36°E and 42°E, northern hemisphere between equator and 84°N, onshore and offshore.</v>
      </c>
      <c r="K6700" s="11">
        <v>0</v>
      </c>
    </row>
    <row r="6701" spans="5:11" x14ac:dyDescent="0.35">
      <c r="E6701" s="9" t="str">
        <v>EPSG</v>
      </c>
      <c r="F6701" s="7" t="str">
        <v>32238</v>
      </c>
      <c r="G6701" t="str">
        <v>ProjectedCrs</v>
      </c>
      <c r="H6701" t="str">
        <v>Transverse Mercator</v>
      </c>
      <c r="I6701" t="str">
        <v>WGS 72 / UTM zone 38N</v>
      </c>
      <c r="J6701" t="str">
        <v>Between 42°E and 48°E, northern hemisphere between equator and 84°N, onshore and offshore.</v>
      </c>
      <c r="K6701" s="11">
        <v>0</v>
      </c>
    </row>
    <row r="6702" spans="5:11" x14ac:dyDescent="0.35">
      <c r="E6702" s="9" t="str">
        <v>EPSG</v>
      </c>
      <c r="F6702" s="7" t="str">
        <v>32239</v>
      </c>
      <c r="G6702" t="str">
        <v>ProjectedCrs</v>
      </c>
      <c r="H6702" t="str">
        <v>Transverse Mercator</v>
      </c>
      <c r="I6702" t="str">
        <v>WGS 72 / UTM zone 39N</v>
      </c>
      <c r="J6702" t="str">
        <v>Between 48°E and 54°E, northern hemisphere between equator and 84°N, onshore and offshore.</v>
      </c>
      <c r="K6702" s="11">
        <v>0</v>
      </c>
    </row>
    <row r="6703" spans="5:11" x14ac:dyDescent="0.35">
      <c r="E6703" s="9" t="str">
        <v>EPSG</v>
      </c>
      <c r="F6703" s="7" t="str">
        <v>32240</v>
      </c>
      <c r="G6703" t="str">
        <v>ProjectedCrs</v>
      </c>
      <c r="H6703" t="str">
        <v>Transverse Mercator</v>
      </c>
      <c r="I6703" t="str">
        <v>WGS 72 / UTM zone 40N</v>
      </c>
      <c r="J6703" t="str">
        <v>Between 54°E and 60°E, northern hemisphere between equator and 84°N, onshore and offshore.</v>
      </c>
      <c r="K6703" s="11">
        <v>0</v>
      </c>
    </row>
    <row r="6704" spans="5:11" x14ac:dyDescent="0.35">
      <c r="E6704" s="9" t="str">
        <v>EPSG</v>
      </c>
      <c r="F6704" s="7" t="str">
        <v>32241</v>
      </c>
      <c r="G6704" t="str">
        <v>ProjectedCrs</v>
      </c>
      <c r="H6704" t="str">
        <v>Transverse Mercator</v>
      </c>
      <c r="I6704" t="str">
        <v>WGS 72 / UTM zone 41N</v>
      </c>
      <c r="J6704" t="str">
        <v>Between 60°E and 66°E, northern hemisphere between equator and 84°N, onshore and offshore.</v>
      </c>
      <c r="K6704" s="11">
        <v>0</v>
      </c>
    </row>
    <row r="6705" spans="5:11" x14ac:dyDescent="0.35">
      <c r="E6705" s="9" t="str">
        <v>EPSG</v>
      </c>
      <c r="F6705" s="7" t="str">
        <v>32242</v>
      </c>
      <c r="G6705" t="str">
        <v>ProjectedCrs</v>
      </c>
      <c r="H6705" t="str">
        <v>Transverse Mercator</v>
      </c>
      <c r="I6705" t="str">
        <v>WGS 72 / UTM zone 42N</v>
      </c>
      <c r="J6705" t="str">
        <v>Between 66°E and 72°E, northern hemisphere between equator and 84°N, onshore and offshore.</v>
      </c>
      <c r="K6705" s="11">
        <v>0</v>
      </c>
    </row>
    <row r="6706" spans="5:11" x14ac:dyDescent="0.35">
      <c r="E6706" s="9" t="str">
        <v>EPSG</v>
      </c>
      <c r="F6706" s="7" t="str">
        <v>32243</v>
      </c>
      <c r="G6706" t="str">
        <v>ProjectedCrs</v>
      </c>
      <c r="H6706" t="str">
        <v>Transverse Mercator</v>
      </c>
      <c r="I6706" t="str">
        <v>WGS 72 / UTM zone 43N</v>
      </c>
      <c r="J6706" t="str">
        <v>Between 72°E and 78°E, northern hemisphere between equator and 84°N, onshore and offshore.</v>
      </c>
      <c r="K6706" s="11">
        <v>0</v>
      </c>
    </row>
    <row r="6707" spans="5:11" x14ac:dyDescent="0.35">
      <c r="E6707" s="9" t="str">
        <v>EPSG</v>
      </c>
      <c r="F6707" s="7" t="str">
        <v>32244</v>
      </c>
      <c r="G6707" t="str">
        <v>ProjectedCrs</v>
      </c>
      <c r="H6707" t="str">
        <v>Transverse Mercator</v>
      </c>
      <c r="I6707" t="str">
        <v>WGS 72 / UTM zone 44N</v>
      </c>
      <c r="J6707" t="str">
        <v>Between 78°E and 84°E, northern hemisphere between equator and 84°N, onshore and offshore.</v>
      </c>
      <c r="K6707" s="11">
        <v>0</v>
      </c>
    </row>
    <row r="6708" spans="5:11" x14ac:dyDescent="0.35">
      <c r="E6708" s="9" t="str">
        <v>EPSG</v>
      </c>
      <c r="F6708" s="7" t="str">
        <v>32245</v>
      </c>
      <c r="G6708" t="str">
        <v>ProjectedCrs</v>
      </c>
      <c r="H6708" t="str">
        <v>Transverse Mercator</v>
      </c>
      <c r="I6708" t="str">
        <v>WGS 72 / UTM zone 45N</v>
      </c>
      <c r="J6708" t="str">
        <v>Between 84°E and 90°E, northern hemisphere between equator and 84°N, onshore and offshore.</v>
      </c>
      <c r="K6708" s="11">
        <v>0</v>
      </c>
    </row>
    <row r="6709" spans="5:11" x14ac:dyDescent="0.35">
      <c r="E6709" s="9" t="str">
        <v>EPSG</v>
      </c>
      <c r="F6709" s="7" t="str">
        <v>32246</v>
      </c>
      <c r="G6709" t="str">
        <v>ProjectedCrs</v>
      </c>
      <c r="H6709" t="str">
        <v>Transverse Mercator</v>
      </c>
      <c r="I6709" t="str">
        <v>WGS 72 / UTM zone 46N</v>
      </c>
      <c r="J6709" t="str">
        <v>Between 90°E and 96°E, northern hemisphere between equator and 84°N, onshore and offshore.</v>
      </c>
      <c r="K6709" s="11">
        <v>0</v>
      </c>
    </row>
    <row r="6710" spans="5:11" x14ac:dyDescent="0.35">
      <c r="E6710" s="9" t="str">
        <v>EPSG</v>
      </c>
      <c r="F6710" s="7" t="str">
        <v>32247</v>
      </c>
      <c r="G6710" t="str">
        <v>ProjectedCrs</v>
      </c>
      <c r="H6710" t="str">
        <v>Transverse Mercator</v>
      </c>
      <c r="I6710" t="str">
        <v>WGS 72 / UTM zone 47N</v>
      </c>
      <c r="J6710" t="str">
        <v>Between 96°E and 102°E, northern hemisphere between equator and 84°N, onshore and offshore.</v>
      </c>
      <c r="K6710" s="11">
        <v>0</v>
      </c>
    </row>
    <row r="6711" spans="5:11" x14ac:dyDescent="0.35">
      <c r="E6711" s="9" t="str">
        <v>EPSG</v>
      </c>
      <c r="F6711" s="7" t="str">
        <v>32248</v>
      </c>
      <c r="G6711" t="str">
        <v>ProjectedCrs</v>
      </c>
      <c r="H6711" t="str">
        <v>Transverse Mercator</v>
      </c>
      <c r="I6711" t="str">
        <v>WGS 72 / UTM zone 48N</v>
      </c>
      <c r="J6711" t="str">
        <v>Between 102°E and 108°E, northern hemisphere between equator and 84°N, onshore and offshore.</v>
      </c>
      <c r="K6711" s="11">
        <v>0</v>
      </c>
    </row>
    <row r="6712" spans="5:11" x14ac:dyDescent="0.35">
      <c r="E6712" s="9" t="str">
        <v>EPSG</v>
      </c>
      <c r="F6712" s="7" t="str">
        <v>32249</v>
      </c>
      <c r="G6712" t="str">
        <v>ProjectedCrs</v>
      </c>
      <c r="H6712" t="str">
        <v>Transverse Mercator</v>
      </c>
      <c r="I6712" t="str">
        <v>WGS 72 / UTM zone 49N</v>
      </c>
      <c r="J6712" t="str">
        <v>Between 108°E and 114°E, northern hemisphere between equator and 84°N, onshore and offshore.</v>
      </c>
      <c r="K6712" s="11">
        <v>0</v>
      </c>
    </row>
    <row r="6713" spans="5:11" x14ac:dyDescent="0.35">
      <c r="E6713" s="9" t="str">
        <v>EPSG</v>
      </c>
      <c r="F6713" s="7" t="str">
        <v>32250</v>
      </c>
      <c r="G6713" t="str">
        <v>ProjectedCrs</v>
      </c>
      <c r="H6713" t="str">
        <v>Transverse Mercator</v>
      </c>
      <c r="I6713" t="str">
        <v>WGS 72 / UTM zone 50N</v>
      </c>
      <c r="J6713" t="str">
        <v>Between 114°E and 120°E, northern hemisphere between equator and 84°N, onshore and offshore.</v>
      </c>
      <c r="K6713" s="11">
        <v>0</v>
      </c>
    </row>
    <row r="6714" spans="5:11" x14ac:dyDescent="0.35">
      <c r="E6714" s="9" t="str">
        <v>EPSG</v>
      </c>
      <c r="F6714" s="7" t="str">
        <v>32251</v>
      </c>
      <c r="G6714" t="str">
        <v>ProjectedCrs</v>
      </c>
      <c r="H6714" t="str">
        <v>Transverse Mercator</v>
      </c>
      <c r="I6714" t="str">
        <v>WGS 72 / UTM zone 51N</v>
      </c>
      <c r="J6714" t="str">
        <v>Between 120°E and 126°E, northern hemisphere between equator and 84°N, onshore and offshore.</v>
      </c>
      <c r="K6714" s="11">
        <v>0</v>
      </c>
    </row>
    <row r="6715" spans="5:11" x14ac:dyDescent="0.35">
      <c r="E6715" s="9" t="str">
        <v>EPSG</v>
      </c>
      <c r="F6715" s="7" t="str">
        <v>32252</v>
      </c>
      <c r="G6715" t="str">
        <v>ProjectedCrs</v>
      </c>
      <c r="H6715" t="str">
        <v>Transverse Mercator</v>
      </c>
      <c r="I6715" t="str">
        <v>WGS 72 / UTM zone 52N</v>
      </c>
      <c r="J6715" t="str">
        <v>Between 126°E and 132°E, northern hemisphere between equator and 84°N, onshore and offshore.</v>
      </c>
      <c r="K6715" s="11">
        <v>0</v>
      </c>
    </row>
    <row r="6716" spans="5:11" x14ac:dyDescent="0.35">
      <c r="E6716" s="9" t="str">
        <v>EPSG</v>
      </c>
      <c r="F6716" s="7" t="str">
        <v>32253</v>
      </c>
      <c r="G6716" t="str">
        <v>ProjectedCrs</v>
      </c>
      <c r="H6716" t="str">
        <v>Transverse Mercator</v>
      </c>
      <c r="I6716" t="str">
        <v>WGS 72 / UTM zone 53N</v>
      </c>
      <c r="J6716" t="str">
        <v>Between 132°E and 138°E, northern hemisphere between equator and 84°N, onshore and offshore.</v>
      </c>
      <c r="K6716" s="11">
        <v>0</v>
      </c>
    </row>
    <row r="6717" spans="5:11" x14ac:dyDescent="0.35">
      <c r="E6717" s="9" t="str">
        <v>EPSG</v>
      </c>
      <c r="F6717" s="7" t="str">
        <v>32254</v>
      </c>
      <c r="G6717" t="str">
        <v>ProjectedCrs</v>
      </c>
      <c r="H6717" t="str">
        <v>Transverse Mercator</v>
      </c>
      <c r="I6717" t="str">
        <v>WGS 72 / UTM zone 54N</v>
      </c>
      <c r="J6717" t="str">
        <v>Between 138°E and 144°E, northern hemisphere between equator and 84°N, onshore and offshore.</v>
      </c>
      <c r="K6717" s="11">
        <v>0</v>
      </c>
    </row>
    <row r="6718" spans="5:11" x14ac:dyDescent="0.35">
      <c r="E6718" s="9" t="str">
        <v>EPSG</v>
      </c>
      <c r="F6718" s="7" t="str">
        <v>32255</v>
      </c>
      <c r="G6718" t="str">
        <v>ProjectedCrs</v>
      </c>
      <c r="H6718" t="str">
        <v>Transverse Mercator</v>
      </c>
      <c r="I6718" t="str">
        <v>WGS 72 / UTM zone 55N</v>
      </c>
      <c r="J6718" t="str">
        <v>Between 144°E and 150°E, northern hemisphere between equator and 84°N, onshore and offshore.</v>
      </c>
      <c r="K6718" s="11">
        <v>0</v>
      </c>
    </row>
    <row r="6719" spans="5:11" x14ac:dyDescent="0.35">
      <c r="E6719" s="9" t="str">
        <v>EPSG</v>
      </c>
      <c r="F6719" s="7" t="str">
        <v>32256</v>
      </c>
      <c r="G6719" t="str">
        <v>ProjectedCrs</v>
      </c>
      <c r="H6719" t="str">
        <v>Transverse Mercator</v>
      </c>
      <c r="I6719" t="str">
        <v>WGS 72 / UTM zone 56N</v>
      </c>
      <c r="J6719" t="str">
        <v>Between 150°E and 156°E, northern hemisphere between equator and 84°N, onshore and offshore.</v>
      </c>
      <c r="K6719" s="11">
        <v>0</v>
      </c>
    </row>
    <row r="6720" spans="5:11" x14ac:dyDescent="0.35">
      <c r="E6720" s="9" t="str">
        <v>EPSG</v>
      </c>
      <c r="F6720" s="7" t="str">
        <v>32257</v>
      </c>
      <c r="G6720" t="str">
        <v>ProjectedCrs</v>
      </c>
      <c r="H6720" t="str">
        <v>Transverse Mercator</v>
      </c>
      <c r="I6720" t="str">
        <v>WGS 72 / UTM zone 57N</v>
      </c>
      <c r="J6720" t="str">
        <v>Between 156°E and 162°E, northern hemisphere between equator and 84°N, onshore and offshore.</v>
      </c>
      <c r="K6720" s="11">
        <v>0</v>
      </c>
    </row>
    <row r="6721" spans="5:11" x14ac:dyDescent="0.35">
      <c r="E6721" s="9" t="str">
        <v>EPSG</v>
      </c>
      <c r="F6721" s="7" t="str">
        <v>32258</v>
      </c>
      <c r="G6721" t="str">
        <v>ProjectedCrs</v>
      </c>
      <c r="H6721" t="str">
        <v>Transverse Mercator</v>
      </c>
      <c r="I6721" t="str">
        <v>WGS 72 / UTM zone 58N</v>
      </c>
      <c r="J6721" t="str">
        <v>Between 162°E and 168°E, northern hemisphere between equator and 84°N, onshore and offshore.</v>
      </c>
      <c r="K6721" s="11">
        <v>0</v>
      </c>
    </row>
    <row r="6722" spans="5:11" x14ac:dyDescent="0.35">
      <c r="E6722" s="9" t="str">
        <v>EPSG</v>
      </c>
      <c r="F6722" s="7" t="str">
        <v>32259</v>
      </c>
      <c r="G6722" t="str">
        <v>ProjectedCrs</v>
      </c>
      <c r="H6722" t="str">
        <v>Transverse Mercator</v>
      </c>
      <c r="I6722" t="str">
        <v>WGS 72 / UTM zone 59N</v>
      </c>
      <c r="J6722" t="str">
        <v>Between 168°E and 174°E, northern hemisphere between equator and 84°N, onshore and offshore.</v>
      </c>
      <c r="K6722" s="11">
        <v>0</v>
      </c>
    </row>
    <row r="6723" spans="5:11" x14ac:dyDescent="0.35">
      <c r="E6723" s="9" t="str">
        <v>EPSG</v>
      </c>
      <c r="F6723" s="7" t="str">
        <v>32260</v>
      </c>
      <c r="G6723" t="str">
        <v>ProjectedCrs</v>
      </c>
      <c r="H6723" t="str">
        <v>Transverse Mercator</v>
      </c>
      <c r="I6723" t="str">
        <v>WGS 72 / UTM zone 60N</v>
      </c>
      <c r="J6723" t="str">
        <v>Between 174°E and 180°E, northern hemisphere between equator and 84°N, onshore and offshore.</v>
      </c>
      <c r="K6723" s="11">
        <v>0</v>
      </c>
    </row>
    <row r="6724" spans="5:11" x14ac:dyDescent="0.35">
      <c r="E6724" s="9" t="str">
        <v>EPSG</v>
      </c>
      <c r="F6724" s="7" t="str">
        <v>32301</v>
      </c>
      <c r="G6724" t="str">
        <v>ProjectedCrs</v>
      </c>
      <c r="H6724" t="str">
        <v>Transverse Mercator</v>
      </c>
      <c r="I6724" t="str">
        <v>WGS 72 / UTM zone 1S</v>
      </c>
      <c r="J6724" t="str">
        <v>Between 180°W to 174°W, southern hemisphere between 80°S and equator, onshore and offshore.</v>
      </c>
      <c r="K6724" s="11">
        <v>0</v>
      </c>
    </row>
    <row r="6725" spans="5:11" x14ac:dyDescent="0.35">
      <c r="E6725" s="9" t="str">
        <v>EPSG</v>
      </c>
      <c r="F6725" s="7" t="str">
        <v>32302</v>
      </c>
      <c r="G6725" t="str">
        <v>ProjectedCrs</v>
      </c>
      <c r="H6725" t="str">
        <v>Transverse Mercator</v>
      </c>
      <c r="I6725" t="str">
        <v>WGS 72 / UTM zone 2S</v>
      </c>
      <c r="J6725" t="str">
        <v>Between 174°W and 168°W, southern hemisphere between 80°S and equator, onshore and offshore.</v>
      </c>
      <c r="K6725" s="11">
        <v>0</v>
      </c>
    </row>
    <row r="6726" spans="5:11" x14ac:dyDescent="0.35">
      <c r="E6726" s="9" t="str">
        <v>EPSG</v>
      </c>
      <c r="F6726" s="7" t="str">
        <v>32303</v>
      </c>
      <c r="G6726" t="str">
        <v>ProjectedCrs</v>
      </c>
      <c r="H6726" t="str">
        <v>Transverse Mercator</v>
      </c>
      <c r="I6726" t="str">
        <v>WGS 72 / UTM zone 3S</v>
      </c>
      <c r="J6726" t="str">
        <v>Between 168°W and 162°W, southern hemisphere between 80°S and equator, onshore and offshore.</v>
      </c>
      <c r="K6726" s="11">
        <v>0</v>
      </c>
    </row>
    <row r="6727" spans="5:11" x14ac:dyDescent="0.35">
      <c r="E6727" s="9" t="str">
        <v>EPSG</v>
      </c>
      <c r="F6727" s="7" t="str">
        <v>32304</v>
      </c>
      <c r="G6727" t="str">
        <v>ProjectedCrs</v>
      </c>
      <c r="H6727" t="str">
        <v>Transverse Mercator</v>
      </c>
      <c r="I6727" t="str">
        <v>WGS 72 / UTM zone 4S</v>
      </c>
      <c r="J6727" t="str">
        <v>Between 162°W and 156°W, southern hemisphere between 80°S and equator, onshore and offshore.</v>
      </c>
      <c r="K6727" s="11">
        <v>0</v>
      </c>
    </row>
    <row r="6728" spans="5:11" x14ac:dyDescent="0.35">
      <c r="E6728" s="9" t="str">
        <v>EPSG</v>
      </c>
      <c r="F6728" s="7" t="str">
        <v>32305</v>
      </c>
      <c r="G6728" t="str">
        <v>ProjectedCrs</v>
      </c>
      <c r="H6728" t="str">
        <v>Transverse Mercator</v>
      </c>
      <c r="I6728" t="str">
        <v>WGS 72 / UTM zone 5S</v>
      </c>
      <c r="J6728" t="str">
        <v>Between 156°W and 150°W, southern hemisphere between 80°S and equator, onshore and offshore.</v>
      </c>
      <c r="K6728" s="11">
        <v>0</v>
      </c>
    </row>
    <row r="6729" spans="5:11" x14ac:dyDescent="0.35">
      <c r="E6729" s="9" t="str">
        <v>EPSG</v>
      </c>
      <c r="F6729" s="7" t="str">
        <v>32306</v>
      </c>
      <c r="G6729" t="str">
        <v>ProjectedCrs</v>
      </c>
      <c r="H6729" t="str">
        <v>Transverse Mercator</v>
      </c>
      <c r="I6729" t="str">
        <v>WGS 72 / UTM zone 6S</v>
      </c>
      <c r="J6729" t="str">
        <v>Between 150°W and 144°W, southern hemisphere between 80°S and equator, onshore and offshore.</v>
      </c>
      <c r="K6729" s="11">
        <v>0</v>
      </c>
    </row>
    <row r="6730" spans="5:11" x14ac:dyDescent="0.35">
      <c r="E6730" s="9" t="str">
        <v>EPSG</v>
      </c>
      <c r="F6730" s="7" t="str">
        <v>32307</v>
      </c>
      <c r="G6730" t="str">
        <v>ProjectedCrs</v>
      </c>
      <c r="H6730" t="str">
        <v>Transverse Mercator</v>
      </c>
      <c r="I6730" t="str">
        <v>WGS 72 / UTM zone 7S</v>
      </c>
      <c r="J6730" t="str">
        <v>Between 144°W and 138°W, southern hemisphere between 80°S and equator, onshore and offshore.</v>
      </c>
      <c r="K6730" s="11">
        <v>0</v>
      </c>
    </row>
    <row r="6731" spans="5:11" x14ac:dyDescent="0.35">
      <c r="E6731" s="9" t="str">
        <v>EPSG</v>
      </c>
      <c r="F6731" s="7" t="str">
        <v>32308</v>
      </c>
      <c r="G6731" t="str">
        <v>ProjectedCrs</v>
      </c>
      <c r="H6731" t="str">
        <v>Transverse Mercator</v>
      </c>
      <c r="I6731" t="str">
        <v>WGS 72 / UTM zone 8S</v>
      </c>
      <c r="J6731" t="str">
        <v>Between 138°W and 132°W, southern hemisphere between 80°S and equator, onshore and offshore.</v>
      </c>
      <c r="K6731" s="11">
        <v>0</v>
      </c>
    </row>
    <row r="6732" spans="5:11" x14ac:dyDescent="0.35">
      <c r="E6732" s="9" t="str">
        <v>EPSG</v>
      </c>
      <c r="F6732" s="7" t="str">
        <v>32309</v>
      </c>
      <c r="G6732" t="str">
        <v>ProjectedCrs</v>
      </c>
      <c r="H6732" t="str">
        <v>Transverse Mercator</v>
      </c>
      <c r="I6732" t="str">
        <v>WGS 72 / UTM zone 9S</v>
      </c>
      <c r="J6732" t="str">
        <v>Between 132°W and 126°W, southern hemisphere between 80°S and equator, onshore and offshore.</v>
      </c>
      <c r="K6732" s="11">
        <v>0</v>
      </c>
    </row>
    <row r="6733" spans="5:11" x14ac:dyDescent="0.35">
      <c r="E6733" s="9" t="str">
        <v>EPSG</v>
      </c>
      <c r="F6733" s="7" t="str">
        <v>32310</v>
      </c>
      <c r="G6733" t="str">
        <v>ProjectedCrs</v>
      </c>
      <c r="H6733" t="str">
        <v>Transverse Mercator</v>
      </c>
      <c r="I6733" t="str">
        <v>WGS 72 / UTM zone 10S</v>
      </c>
      <c r="J6733" t="str">
        <v>Between 126°W and 120°W, southern hemisphere between 80°S and equator, onshore and offshore.</v>
      </c>
      <c r="K6733" s="11">
        <v>0</v>
      </c>
    </row>
    <row r="6734" spans="5:11" x14ac:dyDescent="0.35">
      <c r="E6734" s="9" t="str">
        <v>EPSG</v>
      </c>
      <c r="F6734" s="7" t="str">
        <v>32311</v>
      </c>
      <c r="G6734" t="str">
        <v>ProjectedCrs</v>
      </c>
      <c r="H6734" t="str">
        <v>Transverse Mercator</v>
      </c>
      <c r="I6734" t="str">
        <v>WGS 72 / UTM zone 11S</v>
      </c>
      <c r="J6734" t="str">
        <v>Between 120°W and 114°W, southern hemisphere between 80°S and equator, onshore and offshore.</v>
      </c>
      <c r="K6734" s="11">
        <v>0</v>
      </c>
    </row>
    <row r="6735" spans="5:11" x14ac:dyDescent="0.35">
      <c r="E6735" s="9" t="str">
        <v>EPSG</v>
      </c>
      <c r="F6735" s="7" t="str">
        <v>32312</v>
      </c>
      <c r="G6735" t="str">
        <v>ProjectedCrs</v>
      </c>
      <c r="H6735" t="str">
        <v>Transverse Mercator</v>
      </c>
      <c r="I6735" t="str">
        <v>WGS 72 / UTM zone 12S</v>
      </c>
      <c r="J6735" t="str">
        <v>Between 114°W and 108°W, southern hemisphere between 80°S and equator, onshore and offshore.</v>
      </c>
      <c r="K6735" s="11">
        <v>0</v>
      </c>
    </row>
    <row r="6736" spans="5:11" x14ac:dyDescent="0.35">
      <c r="E6736" s="9" t="str">
        <v>EPSG</v>
      </c>
      <c r="F6736" s="7" t="str">
        <v>32313</v>
      </c>
      <c r="G6736" t="str">
        <v>ProjectedCrs</v>
      </c>
      <c r="H6736" t="str">
        <v>Transverse Mercator</v>
      </c>
      <c r="I6736" t="str">
        <v>WGS 72 / UTM zone 13S</v>
      </c>
      <c r="J6736" t="str">
        <v>Between 108°W and 102°W, southern hemisphere between 80°S and equator, onshore and offshore.</v>
      </c>
      <c r="K6736" s="11">
        <v>0</v>
      </c>
    </row>
    <row r="6737" spans="5:11" x14ac:dyDescent="0.35">
      <c r="E6737" s="9" t="str">
        <v>EPSG</v>
      </c>
      <c r="F6737" s="7" t="str">
        <v>32314</v>
      </c>
      <c r="G6737" t="str">
        <v>ProjectedCrs</v>
      </c>
      <c r="H6737" t="str">
        <v>Transverse Mercator</v>
      </c>
      <c r="I6737" t="str">
        <v>WGS 72 / UTM zone 14S</v>
      </c>
      <c r="J6737" t="str">
        <v>Between 102°W and 96°W, southern hemisphere between 80°S and equator, onshore and offshore.</v>
      </c>
      <c r="K6737" s="11">
        <v>0</v>
      </c>
    </row>
    <row r="6738" spans="5:11" x14ac:dyDescent="0.35">
      <c r="E6738" s="9" t="str">
        <v>EPSG</v>
      </c>
      <c r="F6738" s="7" t="str">
        <v>32315</v>
      </c>
      <c r="G6738" t="str">
        <v>ProjectedCrs</v>
      </c>
      <c r="H6738" t="str">
        <v>Transverse Mercator</v>
      </c>
      <c r="I6738" t="str">
        <v>WGS 72 / UTM zone 15S</v>
      </c>
      <c r="J6738" t="str">
        <v>Between 96°W and 90°W, southern hemisphere between 80°S and equator, onshore and offshore.</v>
      </c>
      <c r="K6738" s="11">
        <v>0</v>
      </c>
    </row>
    <row r="6739" spans="5:11" x14ac:dyDescent="0.35">
      <c r="E6739" s="9" t="str">
        <v>EPSG</v>
      </c>
      <c r="F6739" s="7" t="str">
        <v>32316</v>
      </c>
      <c r="G6739" t="str">
        <v>ProjectedCrs</v>
      </c>
      <c r="H6739" t="str">
        <v>Transverse Mercator</v>
      </c>
      <c r="I6739" t="str">
        <v>WGS 72 / UTM zone 16S</v>
      </c>
      <c r="J6739" t="str">
        <v>Between 90°W and 84°W, southern hemisphere between 80°S and equator, onshore and offshore.</v>
      </c>
      <c r="K6739" s="11">
        <v>0</v>
      </c>
    </row>
    <row r="6740" spans="5:11" x14ac:dyDescent="0.35">
      <c r="E6740" s="9" t="str">
        <v>EPSG</v>
      </c>
      <c r="F6740" s="7" t="str">
        <v>32317</v>
      </c>
      <c r="G6740" t="str">
        <v>ProjectedCrs</v>
      </c>
      <c r="H6740" t="str">
        <v>Transverse Mercator</v>
      </c>
      <c r="I6740" t="str">
        <v>WGS 72 / UTM zone 17S</v>
      </c>
      <c r="J6740" t="str">
        <v>Between 84°W and 78°W, southern hemisphere between 80°S and equator, onshore and offshore.</v>
      </c>
      <c r="K6740" s="11">
        <v>0</v>
      </c>
    </row>
    <row r="6741" spans="5:11" x14ac:dyDescent="0.35">
      <c r="E6741" s="9" t="str">
        <v>EPSG</v>
      </c>
      <c r="F6741" s="7" t="str">
        <v>32318</v>
      </c>
      <c r="G6741" t="str">
        <v>ProjectedCrs</v>
      </c>
      <c r="H6741" t="str">
        <v>Transverse Mercator</v>
      </c>
      <c r="I6741" t="str">
        <v>WGS 72 / UTM zone 18S</v>
      </c>
      <c r="J6741" t="str">
        <v>Between 78°W and 72°W, southern hemisphere between 80°S and equator, onshore and offshore.</v>
      </c>
      <c r="K6741" s="11">
        <v>0</v>
      </c>
    </row>
    <row r="6742" spans="5:11" x14ac:dyDescent="0.35">
      <c r="E6742" s="9" t="str">
        <v>EPSG</v>
      </c>
      <c r="F6742" s="7" t="str">
        <v>32319</v>
      </c>
      <c r="G6742" t="str">
        <v>ProjectedCrs</v>
      </c>
      <c r="H6742" t="str">
        <v>Transverse Mercator</v>
      </c>
      <c r="I6742" t="str">
        <v>WGS 72 / UTM zone 19S</v>
      </c>
      <c r="J6742" t="str">
        <v>Between 72°W and 66°W, southern hemisphere between 80°S and equator, onshore and offshore.</v>
      </c>
      <c r="K6742" s="11">
        <v>0</v>
      </c>
    </row>
    <row r="6743" spans="5:11" x14ac:dyDescent="0.35">
      <c r="E6743" s="9" t="str">
        <v>EPSG</v>
      </c>
      <c r="F6743" s="7" t="str">
        <v>32320</v>
      </c>
      <c r="G6743" t="str">
        <v>ProjectedCrs</v>
      </c>
      <c r="H6743" t="str">
        <v>Transverse Mercator</v>
      </c>
      <c r="I6743" t="str">
        <v>WGS 72 / UTM zone 20S</v>
      </c>
      <c r="J6743" t="str">
        <v>Between 66°W and 60°W, southern hemisphere between 80°S and equator, onshore and offshore.</v>
      </c>
      <c r="K6743" s="11">
        <v>0</v>
      </c>
    </row>
    <row r="6744" spans="5:11" x14ac:dyDescent="0.35">
      <c r="E6744" s="9" t="str">
        <v>EPSG</v>
      </c>
      <c r="F6744" s="7" t="str">
        <v>32321</v>
      </c>
      <c r="G6744" t="str">
        <v>ProjectedCrs</v>
      </c>
      <c r="H6744" t="str">
        <v>Transverse Mercator</v>
      </c>
      <c r="I6744" t="str">
        <v>WGS 72 / UTM zone 21S</v>
      </c>
      <c r="J6744" t="str">
        <v>Between 60°W and 54°W, southern hemisphere between 80°S and equator, onshore and offshore.</v>
      </c>
      <c r="K6744" s="11">
        <v>0</v>
      </c>
    </row>
    <row r="6745" spans="5:11" x14ac:dyDescent="0.35">
      <c r="E6745" s="9" t="str">
        <v>EPSG</v>
      </c>
      <c r="F6745" s="7" t="str">
        <v>32322</v>
      </c>
      <c r="G6745" t="str">
        <v>ProjectedCrs</v>
      </c>
      <c r="H6745" t="str">
        <v>Transverse Mercator</v>
      </c>
      <c r="I6745" t="str">
        <v>WGS 72 / UTM zone 22S</v>
      </c>
      <c r="J6745" t="str">
        <v>Between 54°W and 48°W, southern hemisphere between 80°S and equator, onshore and offshore.</v>
      </c>
      <c r="K6745" s="11">
        <v>0</v>
      </c>
    </row>
    <row r="6746" spans="5:11" x14ac:dyDescent="0.35">
      <c r="E6746" s="9" t="str">
        <v>EPSG</v>
      </c>
      <c r="F6746" s="7" t="str">
        <v>32323</v>
      </c>
      <c r="G6746" t="str">
        <v>ProjectedCrs</v>
      </c>
      <c r="H6746" t="str">
        <v>Transverse Mercator</v>
      </c>
      <c r="I6746" t="str">
        <v>WGS 72 / UTM zone 23S</v>
      </c>
      <c r="J6746" t="str">
        <v>Between 48°W and 42°W, southern hemisphere between 80°S and equator, onshore and offshore.</v>
      </c>
      <c r="K6746" s="11">
        <v>0</v>
      </c>
    </row>
    <row r="6747" spans="5:11" x14ac:dyDescent="0.35">
      <c r="E6747" s="9" t="str">
        <v>EPSG</v>
      </c>
      <c r="F6747" s="7" t="str">
        <v>32324</v>
      </c>
      <c r="G6747" t="str">
        <v>ProjectedCrs</v>
      </c>
      <c r="H6747" t="str">
        <v>Transverse Mercator</v>
      </c>
      <c r="I6747" t="str">
        <v>WGS 72 / UTM zone 24S</v>
      </c>
      <c r="J6747" t="str">
        <v>Between 42°W and 36°W, southern hemisphere between 80°S and equator, onshore and offshore.</v>
      </c>
      <c r="K6747" s="11">
        <v>0</v>
      </c>
    </row>
    <row r="6748" spans="5:11" x14ac:dyDescent="0.35">
      <c r="E6748" s="9" t="str">
        <v>EPSG</v>
      </c>
      <c r="F6748" s="7" t="str">
        <v>32325</v>
      </c>
      <c r="G6748" t="str">
        <v>ProjectedCrs</v>
      </c>
      <c r="H6748" t="str">
        <v>Transverse Mercator</v>
      </c>
      <c r="I6748" t="str">
        <v>WGS 72 / UTM zone 25S</v>
      </c>
      <c r="J6748" t="str">
        <v>Between 36°W and 30°W, southern hemisphere between 80°S and equator, onshore and offshore.</v>
      </c>
      <c r="K6748" s="11">
        <v>0</v>
      </c>
    </row>
    <row r="6749" spans="5:11" x14ac:dyDescent="0.35">
      <c r="E6749" s="9" t="str">
        <v>EPSG</v>
      </c>
      <c r="F6749" s="7" t="str">
        <v>32326</v>
      </c>
      <c r="G6749" t="str">
        <v>ProjectedCrs</v>
      </c>
      <c r="H6749" t="str">
        <v>Transverse Mercator</v>
      </c>
      <c r="I6749" t="str">
        <v>WGS 72 / UTM zone 26S</v>
      </c>
      <c r="J6749" t="str">
        <v>Between 30°W and 24°W, southern hemisphere between 80°S and equator, onshore and offshore.</v>
      </c>
      <c r="K6749" s="11">
        <v>0</v>
      </c>
    </row>
    <row r="6750" spans="5:11" x14ac:dyDescent="0.35">
      <c r="E6750" s="9" t="str">
        <v>EPSG</v>
      </c>
      <c r="F6750" s="7" t="str">
        <v>32327</v>
      </c>
      <c r="G6750" t="str">
        <v>ProjectedCrs</v>
      </c>
      <c r="H6750" t="str">
        <v>Transverse Mercator</v>
      </c>
      <c r="I6750" t="str">
        <v>WGS 72 / UTM zone 27S</v>
      </c>
      <c r="J6750" t="str">
        <v>Between 24°W and 18°W, southern hemisphere between 80°S and equator, onshore and offshore.</v>
      </c>
      <c r="K6750" s="11">
        <v>0</v>
      </c>
    </row>
    <row r="6751" spans="5:11" x14ac:dyDescent="0.35">
      <c r="E6751" s="9" t="str">
        <v>EPSG</v>
      </c>
      <c r="F6751" s="7" t="str">
        <v>32328</v>
      </c>
      <c r="G6751" t="str">
        <v>ProjectedCrs</v>
      </c>
      <c r="H6751" t="str">
        <v>Transverse Mercator</v>
      </c>
      <c r="I6751" t="str">
        <v>WGS 72 / UTM zone 28S</v>
      </c>
      <c r="J6751" t="str">
        <v>Between 18°W and 12°W, southern hemisphere between 80°S and equator, onshore and offshore.</v>
      </c>
      <c r="K6751" s="11">
        <v>0</v>
      </c>
    </row>
    <row r="6752" spans="5:11" x14ac:dyDescent="0.35">
      <c r="E6752" s="9" t="str">
        <v>EPSG</v>
      </c>
      <c r="F6752" s="7" t="str">
        <v>32329</v>
      </c>
      <c r="G6752" t="str">
        <v>ProjectedCrs</v>
      </c>
      <c r="H6752" t="str">
        <v>Transverse Mercator</v>
      </c>
      <c r="I6752" t="str">
        <v>WGS 72 / UTM zone 29S</v>
      </c>
      <c r="J6752" t="str">
        <v>Between 12°W and 6°W, southern hemisphere between 80°S and equator, onshore and offshore.</v>
      </c>
      <c r="K6752" s="11">
        <v>0</v>
      </c>
    </row>
    <row r="6753" spans="5:11" x14ac:dyDescent="0.35">
      <c r="E6753" s="9" t="str">
        <v>EPSG</v>
      </c>
      <c r="F6753" s="7" t="str">
        <v>32330</v>
      </c>
      <c r="G6753" t="str">
        <v>ProjectedCrs</v>
      </c>
      <c r="H6753" t="str">
        <v>Transverse Mercator</v>
      </c>
      <c r="I6753" t="str">
        <v>WGS 72 / UTM zone 30S</v>
      </c>
      <c r="J6753" t="str">
        <v>Between 6°W and 0°W, southern hemisphere between 80°S and equator, onshore and offshore.</v>
      </c>
      <c r="K6753" s="11">
        <v>0</v>
      </c>
    </row>
    <row r="6754" spans="5:11" x14ac:dyDescent="0.35">
      <c r="E6754" s="9" t="str">
        <v>EPSG</v>
      </c>
      <c r="F6754" s="7" t="str">
        <v>32331</v>
      </c>
      <c r="G6754" t="str">
        <v>ProjectedCrs</v>
      </c>
      <c r="H6754" t="str">
        <v>Transverse Mercator</v>
      </c>
      <c r="I6754" t="str">
        <v>WGS 72 / UTM zone 31S</v>
      </c>
      <c r="J6754" t="str">
        <v>Between 0°E and 6°E, southern hemisphere between 80°S and equator, onshore and offshore.</v>
      </c>
      <c r="K6754" s="11">
        <v>0</v>
      </c>
    </row>
    <row r="6755" spans="5:11" x14ac:dyDescent="0.35">
      <c r="E6755" s="9" t="str">
        <v>EPSG</v>
      </c>
      <c r="F6755" s="7" t="str">
        <v>32332</v>
      </c>
      <c r="G6755" t="str">
        <v>ProjectedCrs</v>
      </c>
      <c r="H6755" t="str">
        <v>Transverse Mercator</v>
      </c>
      <c r="I6755" t="str">
        <v>WGS 72 / UTM zone 32S</v>
      </c>
      <c r="J6755" t="str">
        <v>Between 6°E and 12°E, southern hemisphere between 80°S and equator, onshore and offshore.</v>
      </c>
      <c r="K6755" s="11">
        <v>0</v>
      </c>
    </row>
    <row r="6756" spans="5:11" x14ac:dyDescent="0.35">
      <c r="E6756" s="9" t="str">
        <v>EPSG</v>
      </c>
      <c r="F6756" s="7" t="str">
        <v>32333</v>
      </c>
      <c r="G6756" t="str">
        <v>ProjectedCrs</v>
      </c>
      <c r="H6756" t="str">
        <v>Transverse Mercator</v>
      </c>
      <c r="I6756" t="str">
        <v>WGS 72 / UTM zone 33S</v>
      </c>
      <c r="J6756" t="str">
        <v>Between 12°E and 18°E, southern hemisphere between 80°S and equator, onshore and offshore.</v>
      </c>
      <c r="K6756" s="11">
        <v>0</v>
      </c>
    </row>
    <row r="6757" spans="5:11" x14ac:dyDescent="0.35">
      <c r="E6757" s="9" t="str">
        <v>EPSG</v>
      </c>
      <c r="F6757" s="7" t="str">
        <v>32334</v>
      </c>
      <c r="G6757" t="str">
        <v>ProjectedCrs</v>
      </c>
      <c r="H6757" t="str">
        <v>Transverse Mercator</v>
      </c>
      <c r="I6757" t="str">
        <v>WGS 72 / UTM zone 34S</v>
      </c>
      <c r="J6757" t="str">
        <v>Between 18°E and 24°E, southern hemisphere between 80°S and equator, onshore and offshore.</v>
      </c>
      <c r="K6757" s="11">
        <v>0</v>
      </c>
    </row>
    <row r="6758" spans="5:11" x14ac:dyDescent="0.35">
      <c r="E6758" s="9" t="str">
        <v>EPSG</v>
      </c>
      <c r="F6758" s="7" t="str">
        <v>32335</v>
      </c>
      <c r="G6758" t="str">
        <v>ProjectedCrs</v>
      </c>
      <c r="H6758" t="str">
        <v>Transverse Mercator</v>
      </c>
      <c r="I6758" t="str">
        <v>WGS 72 / UTM zone 35S</v>
      </c>
      <c r="J6758" t="str">
        <v>Between 24°E and 30°E, southern hemisphere between 80°S and equator, onshore and offshore.</v>
      </c>
      <c r="K6758" s="11">
        <v>0</v>
      </c>
    </row>
    <row r="6759" spans="5:11" x14ac:dyDescent="0.35">
      <c r="E6759" s="9" t="str">
        <v>EPSG</v>
      </c>
      <c r="F6759" s="7" t="str">
        <v>32336</v>
      </c>
      <c r="G6759" t="str">
        <v>ProjectedCrs</v>
      </c>
      <c r="H6759" t="str">
        <v>Transverse Mercator</v>
      </c>
      <c r="I6759" t="str">
        <v>WGS 72 / UTM zone 36S</v>
      </c>
      <c r="J6759" t="str">
        <v>Between 30°E and 36°E, southern hemisphere between 80°S and equator, onshore and offshore.</v>
      </c>
      <c r="K6759" s="11">
        <v>0</v>
      </c>
    </row>
    <row r="6760" spans="5:11" x14ac:dyDescent="0.35">
      <c r="E6760" s="9" t="str">
        <v>EPSG</v>
      </c>
      <c r="F6760" s="7" t="str">
        <v>32337</v>
      </c>
      <c r="G6760" t="str">
        <v>ProjectedCrs</v>
      </c>
      <c r="H6760" t="str">
        <v>Transverse Mercator</v>
      </c>
      <c r="I6760" t="str">
        <v>WGS 72 / UTM zone 37S</v>
      </c>
      <c r="J6760" t="str">
        <v>Between 36°E and 42°E, southern hemisphere between 80°S and equator, onshore and offshore.</v>
      </c>
      <c r="K6760" s="11">
        <v>0</v>
      </c>
    </row>
    <row r="6761" spans="5:11" x14ac:dyDescent="0.35">
      <c r="E6761" s="9" t="str">
        <v>EPSG</v>
      </c>
      <c r="F6761" s="7" t="str">
        <v>32338</v>
      </c>
      <c r="G6761" t="str">
        <v>ProjectedCrs</v>
      </c>
      <c r="H6761" t="str">
        <v>Transverse Mercator</v>
      </c>
      <c r="I6761" t="str">
        <v>WGS 72 / UTM zone 38S</v>
      </c>
      <c r="J6761" t="str">
        <v>Between 42°E and 48°E, southern hemisphere between 80°S and equator, onshore and offshore.</v>
      </c>
      <c r="K6761" s="11">
        <v>0</v>
      </c>
    </row>
    <row r="6762" spans="5:11" x14ac:dyDescent="0.35">
      <c r="E6762" s="9" t="str">
        <v>EPSG</v>
      </c>
      <c r="F6762" s="7" t="str">
        <v>32339</v>
      </c>
      <c r="G6762" t="str">
        <v>ProjectedCrs</v>
      </c>
      <c r="H6762" t="str">
        <v>Transverse Mercator</v>
      </c>
      <c r="I6762" t="str">
        <v>WGS 72 / UTM zone 39S</v>
      </c>
      <c r="J6762" t="str">
        <v>Between 48°E and 54°E, southern hemisphere between 80°S and equator, onshore and offshore.</v>
      </c>
      <c r="K6762" s="11">
        <v>0</v>
      </c>
    </row>
    <row r="6763" spans="5:11" x14ac:dyDescent="0.35">
      <c r="E6763" s="9" t="str">
        <v>EPSG</v>
      </c>
      <c r="F6763" s="7" t="str">
        <v>32340</v>
      </c>
      <c r="G6763" t="str">
        <v>ProjectedCrs</v>
      </c>
      <c r="H6763" t="str">
        <v>Transverse Mercator</v>
      </c>
      <c r="I6763" t="str">
        <v>WGS 72 / UTM zone 40S</v>
      </c>
      <c r="J6763" t="str">
        <v>Between 54°E and 60°E, southern hemisphere between 80°S and equator, onshore and offshore.</v>
      </c>
      <c r="K6763" s="11">
        <v>0</v>
      </c>
    </row>
    <row r="6764" spans="5:11" x14ac:dyDescent="0.35">
      <c r="E6764" s="9" t="str">
        <v>EPSG</v>
      </c>
      <c r="F6764" s="7" t="str">
        <v>32341</v>
      </c>
      <c r="G6764" t="str">
        <v>ProjectedCrs</v>
      </c>
      <c r="H6764" t="str">
        <v>Transverse Mercator</v>
      </c>
      <c r="I6764" t="str">
        <v>WGS 72 / UTM zone 41S</v>
      </c>
      <c r="J6764" t="str">
        <v>Between 60°E and 66°E, southern hemisphere between 80°S and equator, onshore and offshore.</v>
      </c>
      <c r="K6764" s="11">
        <v>0</v>
      </c>
    </row>
    <row r="6765" spans="5:11" x14ac:dyDescent="0.35">
      <c r="E6765" s="9" t="str">
        <v>EPSG</v>
      </c>
      <c r="F6765" s="7" t="str">
        <v>32342</v>
      </c>
      <c r="G6765" t="str">
        <v>ProjectedCrs</v>
      </c>
      <c r="H6765" t="str">
        <v>Transverse Mercator</v>
      </c>
      <c r="I6765" t="str">
        <v>WGS 72 / UTM zone 42S</v>
      </c>
      <c r="J6765" t="str">
        <v>Between 66°E and 72°E, southern hemisphere between 80°S and equator, onshore and offshore.</v>
      </c>
      <c r="K6765" s="11">
        <v>0</v>
      </c>
    </row>
    <row r="6766" spans="5:11" x14ac:dyDescent="0.35">
      <c r="E6766" s="9" t="str">
        <v>EPSG</v>
      </c>
      <c r="F6766" s="7" t="str">
        <v>32343</v>
      </c>
      <c r="G6766" t="str">
        <v>ProjectedCrs</v>
      </c>
      <c r="H6766" t="str">
        <v>Transverse Mercator</v>
      </c>
      <c r="I6766" t="str">
        <v>WGS 72 / UTM zone 43S</v>
      </c>
      <c r="J6766" t="str">
        <v>Between 72°E and 78°E, southern hemisphere between 80°S and equator, onshore and offshore.</v>
      </c>
      <c r="K6766" s="11">
        <v>0</v>
      </c>
    </row>
    <row r="6767" spans="5:11" x14ac:dyDescent="0.35">
      <c r="E6767" s="9" t="str">
        <v>EPSG</v>
      </c>
      <c r="F6767" s="7" t="str">
        <v>32344</v>
      </c>
      <c r="G6767" t="str">
        <v>ProjectedCrs</v>
      </c>
      <c r="H6767" t="str">
        <v>Transverse Mercator</v>
      </c>
      <c r="I6767" t="str">
        <v>WGS 72 / UTM zone 44S</v>
      </c>
      <c r="J6767" t="str">
        <v>Between 78°E and 84°E, southern hemisphere between 80°S and equator, onshore and offshore.</v>
      </c>
      <c r="K6767" s="11">
        <v>0</v>
      </c>
    </row>
    <row r="6768" spans="5:11" x14ac:dyDescent="0.35">
      <c r="E6768" s="9" t="str">
        <v>EPSG</v>
      </c>
      <c r="F6768" s="7" t="str">
        <v>32345</v>
      </c>
      <c r="G6768" t="str">
        <v>ProjectedCrs</v>
      </c>
      <c r="H6768" t="str">
        <v>Transverse Mercator</v>
      </c>
      <c r="I6768" t="str">
        <v>WGS 72 / UTM zone 45S</v>
      </c>
      <c r="J6768" t="str">
        <v>Between 84°E and 90°E, southern hemisphere between 80°S and equator, onshore and offshore.</v>
      </c>
      <c r="K6768" s="11">
        <v>0</v>
      </c>
    </row>
    <row r="6769" spans="5:11" x14ac:dyDescent="0.35">
      <c r="E6769" s="9" t="str">
        <v>EPSG</v>
      </c>
      <c r="F6769" s="7" t="str">
        <v>32346</v>
      </c>
      <c r="G6769" t="str">
        <v>ProjectedCrs</v>
      </c>
      <c r="H6769" t="str">
        <v>Transverse Mercator</v>
      </c>
      <c r="I6769" t="str">
        <v>WGS 72 / UTM zone 46S</v>
      </c>
      <c r="J6769" t="str">
        <v>Between 90°E and 96°E, southern hemisphere between 80°S and equator, onshore and offshore.</v>
      </c>
      <c r="K6769" s="11">
        <v>0</v>
      </c>
    </row>
    <row r="6770" spans="5:11" x14ac:dyDescent="0.35">
      <c r="E6770" s="9" t="str">
        <v>EPSG</v>
      </c>
      <c r="F6770" s="7" t="str">
        <v>32347</v>
      </c>
      <c r="G6770" t="str">
        <v>ProjectedCrs</v>
      </c>
      <c r="H6770" t="str">
        <v>Transverse Mercator</v>
      </c>
      <c r="I6770" t="str">
        <v>WGS 72 / UTM zone 47S</v>
      </c>
      <c r="J6770" t="str">
        <v>Between 96°E and 102°E, southern hemisphere between 80°S and equator, onshore and offshore.</v>
      </c>
      <c r="K6770" s="11">
        <v>0</v>
      </c>
    </row>
    <row r="6771" spans="5:11" x14ac:dyDescent="0.35">
      <c r="E6771" s="9" t="str">
        <v>EPSG</v>
      </c>
      <c r="F6771" s="7" t="str">
        <v>32348</v>
      </c>
      <c r="G6771" t="str">
        <v>ProjectedCrs</v>
      </c>
      <c r="H6771" t="str">
        <v>Transverse Mercator</v>
      </c>
      <c r="I6771" t="str">
        <v>WGS 72 / UTM zone 48S</v>
      </c>
      <c r="J6771" t="str">
        <v>Between 102°E and 108°E, southern hemisphere between 80°S and equator, onshore and offshore.</v>
      </c>
      <c r="K6771" s="11">
        <v>0</v>
      </c>
    </row>
    <row r="6772" spans="5:11" x14ac:dyDescent="0.35">
      <c r="E6772" s="9" t="str">
        <v>EPSG</v>
      </c>
      <c r="F6772" s="7" t="str">
        <v>32349</v>
      </c>
      <c r="G6772" t="str">
        <v>ProjectedCrs</v>
      </c>
      <c r="H6772" t="str">
        <v>Transverse Mercator</v>
      </c>
      <c r="I6772" t="str">
        <v>WGS 72 / UTM zone 49S</v>
      </c>
      <c r="J6772" t="str">
        <v>Between 108°E and 114°E, southern hemisphere between 80°S and equator, onshore and offshore.</v>
      </c>
      <c r="K6772" s="11">
        <v>0</v>
      </c>
    </row>
    <row r="6773" spans="5:11" x14ac:dyDescent="0.35">
      <c r="E6773" s="9" t="str">
        <v>EPSG</v>
      </c>
      <c r="F6773" s="7" t="str">
        <v>32350</v>
      </c>
      <c r="G6773" t="str">
        <v>ProjectedCrs</v>
      </c>
      <c r="H6773" t="str">
        <v>Transverse Mercator</v>
      </c>
      <c r="I6773" t="str">
        <v>WGS 72 / UTM zone 50S</v>
      </c>
      <c r="J6773" t="str">
        <v>Between 114°E and 120°E, southern hemisphere between 80°S and equator, onshore and offshore.</v>
      </c>
      <c r="K6773" s="11">
        <v>0</v>
      </c>
    </row>
    <row r="6774" spans="5:11" x14ac:dyDescent="0.35">
      <c r="E6774" s="9" t="str">
        <v>EPSG</v>
      </c>
      <c r="F6774" s="7" t="str">
        <v>32351</v>
      </c>
      <c r="G6774" t="str">
        <v>ProjectedCrs</v>
      </c>
      <c r="H6774" t="str">
        <v>Transverse Mercator</v>
      </c>
      <c r="I6774" t="str">
        <v>WGS 72 / UTM zone 51S</v>
      </c>
      <c r="J6774" t="str">
        <v>Between 120°E and 126°E, southern hemisphere between 80°S and equator, onshore and offshore.</v>
      </c>
      <c r="K6774" s="11">
        <v>0</v>
      </c>
    </row>
    <row r="6775" spans="5:11" x14ac:dyDescent="0.35">
      <c r="E6775" s="9" t="str">
        <v>EPSG</v>
      </c>
      <c r="F6775" s="7" t="str">
        <v>32352</v>
      </c>
      <c r="G6775" t="str">
        <v>ProjectedCrs</v>
      </c>
      <c r="H6775" t="str">
        <v>Transverse Mercator</v>
      </c>
      <c r="I6775" t="str">
        <v>WGS 72 / UTM zone 52S</v>
      </c>
      <c r="J6775" t="str">
        <v>Between 126°E and 132°E, southern hemisphere between 80°S and equator, onshore and offshore.</v>
      </c>
      <c r="K6775" s="11">
        <v>0</v>
      </c>
    </row>
    <row r="6776" spans="5:11" x14ac:dyDescent="0.35">
      <c r="E6776" s="9" t="str">
        <v>EPSG</v>
      </c>
      <c r="F6776" s="7" t="str">
        <v>32353</v>
      </c>
      <c r="G6776" t="str">
        <v>ProjectedCrs</v>
      </c>
      <c r="H6776" t="str">
        <v>Transverse Mercator</v>
      </c>
      <c r="I6776" t="str">
        <v>WGS 72 / UTM zone 53S</v>
      </c>
      <c r="J6776" t="str">
        <v>Between 132°E and 138°E, southern hemisphere between 80°S and equator, onshore and offshore.</v>
      </c>
      <c r="K6776" s="11">
        <v>0</v>
      </c>
    </row>
    <row r="6777" spans="5:11" x14ac:dyDescent="0.35">
      <c r="E6777" s="9" t="str">
        <v>EPSG</v>
      </c>
      <c r="F6777" s="7" t="str">
        <v>32354</v>
      </c>
      <c r="G6777" t="str">
        <v>ProjectedCrs</v>
      </c>
      <c r="H6777" t="str">
        <v>Transverse Mercator</v>
      </c>
      <c r="I6777" t="str">
        <v>WGS 72 / UTM zone 54S</v>
      </c>
      <c r="J6777" t="str">
        <v>Between 138°E and 144°E, southern hemisphere between 80°S and equator, onshore and offshore.</v>
      </c>
      <c r="K6777" s="11">
        <v>0</v>
      </c>
    </row>
    <row r="6778" spans="5:11" x14ac:dyDescent="0.35">
      <c r="E6778" s="9" t="str">
        <v>EPSG</v>
      </c>
      <c r="F6778" s="7" t="str">
        <v>32355</v>
      </c>
      <c r="G6778" t="str">
        <v>ProjectedCrs</v>
      </c>
      <c r="H6778" t="str">
        <v>Transverse Mercator</v>
      </c>
      <c r="I6778" t="str">
        <v>WGS 72 / UTM zone 55S</v>
      </c>
      <c r="J6778" t="str">
        <v>Between 144°E and 150°E, southern hemisphere between 80°S and equator, onshore and offshore.</v>
      </c>
      <c r="K6778" s="11">
        <v>0</v>
      </c>
    </row>
    <row r="6779" spans="5:11" x14ac:dyDescent="0.35">
      <c r="E6779" s="9" t="str">
        <v>EPSG</v>
      </c>
      <c r="F6779" s="7" t="str">
        <v>32356</v>
      </c>
      <c r="G6779" t="str">
        <v>ProjectedCrs</v>
      </c>
      <c r="H6779" t="str">
        <v>Transverse Mercator</v>
      </c>
      <c r="I6779" t="str">
        <v>WGS 72 / UTM zone 56S</v>
      </c>
      <c r="J6779" t="str">
        <v>Between 150°E and 156°E, southern hemisphere between 80°S and equator, onshore and offshore.</v>
      </c>
      <c r="K6779" s="11">
        <v>0</v>
      </c>
    </row>
    <row r="6780" spans="5:11" x14ac:dyDescent="0.35">
      <c r="E6780" s="9" t="str">
        <v>EPSG</v>
      </c>
      <c r="F6780" s="7" t="str">
        <v>32357</v>
      </c>
      <c r="G6780" t="str">
        <v>ProjectedCrs</v>
      </c>
      <c r="H6780" t="str">
        <v>Transverse Mercator</v>
      </c>
      <c r="I6780" t="str">
        <v>WGS 72 / UTM zone 57S</v>
      </c>
      <c r="J6780" t="str">
        <v>Between 156°E and 162°E, southern hemisphere between 80°S and equator, onshore and offshore.</v>
      </c>
      <c r="K6780" s="11">
        <v>0</v>
      </c>
    </row>
    <row r="6781" spans="5:11" x14ac:dyDescent="0.35">
      <c r="E6781" s="9" t="str">
        <v>EPSG</v>
      </c>
      <c r="F6781" s="7" t="str">
        <v>32358</v>
      </c>
      <c r="G6781" t="str">
        <v>ProjectedCrs</v>
      </c>
      <c r="H6781" t="str">
        <v>Transverse Mercator</v>
      </c>
      <c r="I6781" t="str">
        <v>WGS 72 / UTM zone 58S</v>
      </c>
      <c r="J6781" t="str">
        <v>Between 162°E and 168°E, southern hemisphere between 80°S and equator, onshore and offshore.</v>
      </c>
      <c r="K6781" s="11">
        <v>0</v>
      </c>
    </row>
    <row r="6782" spans="5:11" x14ac:dyDescent="0.35">
      <c r="E6782" s="9" t="str">
        <v>EPSG</v>
      </c>
      <c r="F6782" s="7" t="str">
        <v>32359</v>
      </c>
      <c r="G6782" t="str">
        <v>ProjectedCrs</v>
      </c>
      <c r="H6782" t="str">
        <v>Transverse Mercator</v>
      </c>
      <c r="I6782" t="str">
        <v>WGS 72 / UTM zone 59S</v>
      </c>
      <c r="J6782" t="str">
        <v>Between 168°E and 174°E, southern hemisphere between 80°S and equator, onshore and offshore.</v>
      </c>
      <c r="K6782" s="11">
        <v>0</v>
      </c>
    </row>
    <row r="6783" spans="5:11" x14ac:dyDescent="0.35">
      <c r="E6783" s="9" t="str">
        <v>EPSG</v>
      </c>
      <c r="F6783" s="7" t="str">
        <v>32360</v>
      </c>
      <c r="G6783" t="str">
        <v>ProjectedCrs</v>
      </c>
      <c r="H6783" t="str">
        <v>Transverse Mercator</v>
      </c>
      <c r="I6783" t="str">
        <v>WGS 72 / UTM zone 60S</v>
      </c>
      <c r="J6783" t="str">
        <v>Between 174°E and 180°E, southern hemisphere between 80°S and equator, onshore and offshore.</v>
      </c>
      <c r="K6783" s="11">
        <v>0</v>
      </c>
    </row>
    <row r="6784" spans="5:11" x14ac:dyDescent="0.35">
      <c r="E6784" s="9" t="str">
        <v>EPSG</v>
      </c>
      <c r="F6784" s="7" t="str">
        <v>32401</v>
      </c>
      <c r="G6784" t="str">
        <v>ProjectedCrs</v>
      </c>
      <c r="H6784" t="str">
        <v>Transverse Mercator</v>
      </c>
      <c r="I6784" t="str">
        <v>WGS 72BE / UTM zone 1N</v>
      </c>
      <c r="J6784" t="str">
        <v>Between 180°W and 174°W, northern hemisphere between equator and 84°N, onshore and offshore.</v>
      </c>
      <c r="K6784" s="11">
        <v>0</v>
      </c>
    </row>
    <row r="6785" spans="5:11" x14ac:dyDescent="0.35">
      <c r="E6785" s="9" t="str">
        <v>EPSG</v>
      </c>
      <c r="F6785" s="7" t="str">
        <v>32402</v>
      </c>
      <c r="G6785" t="str">
        <v>ProjectedCrs</v>
      </c>
      <c r="H6785" t="str">
        <v>Transverse Mercator</v>
      </c>
      <c r="I6785" t="str">
        <v>WGS 72BE / UTM zone 2N</v>
      </c>
      <c r="J6785" t="str">
        <v>Between 174°W and 168°W, northern hemisphere between equator and 84°N, onshore and offshore.</v>
      </c>
      <c r="K6785" s="11">
        <v>0</v>
      </c>
    </row>
    <row r="6786" spans="5:11" x14ac:dyDescent="0.35">
      <c r="E6786" s="9" t="str">
        <v>EPSG</v>
      </c>
      <c r="F6786" s="7" t="str">
        <v>32403</v>
      </c>
      <c r="G6786" t="str">
        <v>ProjectedCrs</v>
      </c>
      <c r="H6786" t="str">
        <v>Transverse Mercator</v>
      </c>
      <c r="I6786" t="str">
        <v>WGS 72BE / UTM zone 3N</v>
      </c>
      <c r="J6786" t="str">
        <v>Between 168°W and 162°W, northern hemisphere between equator and 84°N, onshore and offshore.</v>
      </c>
      <c r="K6786" s="11">
        <v>0</v>
      </c>
    </row>
    <row r="6787" spans="5:11" x14ac:dyDescent="0.35">
      <c r="E6787" s="9" t="str">
        <v>EPSG</v>
      </c>
      <c r="F6787" s="7" t="str">
        <v>32404</v>
      </c>
      <c r="G6787" t="str">
        <v>ProjectedCrs</v>
      </c>
      <c r="H6787" t="str">
        <v>Transverse Mercator</v>
      </c>
      <c r="I6787" t="str">
        <v>WGS 72BE / UTM zone 4N</v>
      </c>
      <c r="J6787" t="str">
        <v>Between 162°W and 156°W, northern hemisphere between equator and 84°N, onshore and offshore.</v>
      </c>
      <c r="K6787" s="11">
        <v>0</v>
      </c>
    </row>
    <row r="6788" spans="5:11" x14ac:dyDescent="0.35">
      <c r="E6788" s="9" t="str">
        <v>EPSG</v>
      </c>
      <c r="F6788" s="7" t="str">
        <v>32405</v>
      </c>
      <c r="G6788" t="str">
        <v>ProjectedCrs</v>
      </c>
      <c r="H6788" t="str">
        <v>Transverse Mercator</v>
      </c>
      <c r="I6788" t="str">
        <v>WGS 72BE / UTM zone 5N</v>
      </c>
      <c r="J6788" t="str">
        <v>Between 156°W and 150°W, northern hemisphere between equator and 84°N, onshore and offshore.</v>
      </c>
      <c r="K6788" s="11">
        <v>0</v>
      </c>
    </row>
    <row r="6789" spans="5:11" x14ac:dyDescent="0.35">
      <c r="E6789" s="9" t="str">
        <v>EPSG</v>
      </c>
      <c r="F6789" s="7" t="str">
        <v>32406</v>
      </c>
      <c r="G6789" t="str">
        <v>ProjectedCrs</v>
      </c>
      <c r="H6789" t="str">
        <v>Transverse Mercator</v>
      </c>
      <c r="I6789" t="str">
        <v>WGS 72BE / UTM zone 6N</v>
      </c>
      <c r="J6789" t="str">
        <v>Between 150°W and 144°W, northern hemisphere between equator and 84°N, onshore and offshore.</v>
      </c>
      <c r="K6789" s="11">
        <v>0</v>
      </c>
    </row>
    <row r="6790" spans="5:11" x14ac:dyDescent="0.35">
      <c r="E6790" s="9" t="str">
        <v>EPSG</v>
      </c>
      <c r="F6790" s="7" t="str">
        <v>32407</v>
      </c>
      <c r="G6790" t="str">
        <v>ProjectedCrs</v>
      </c>
      <c r="H6790" t="str">
        <v>Transverse Mercator</v>
      </c>
      <c r="I6790" t="str">
        <v>WGS 72BE / UTM zone 7N</v>
      </c>
      <c r="J6790" t="str">
        <v>Between 144°W and 138°W, northern hemisphere between equator and 84°N, onshore and offshore.</v>
      </c>
      <c r="K6790" s="11">
        <v>0</v>
      </c>
    </row>
    <row r="6791" spans="5:11" x14ac:dyDescent="0.35">
      <c r="E6791" s="9" t="str">
        <v>EPSG</v>
      </c>
      <c r="F6791" s="7" t="str">
        <v>32408</v>
      </c>
      <c r="G6791" t="str">
        <v>ProjectedCrs</v>
      </c>
      <c r="H6791" t="str">
        <v>Transverse Mercator</v>
      </c>
      <c r="I6791" t="str">
        <v>WGS 72BE / UTM zone 8N</v>
      </c>
      <c r="J6791" t="str">
        <v>Between 138°W and 132°W, northern hemisphere between equator and 84°N, onshore and offshore.</v>
      </c>
      <c r="K6791" s="11">
        <v>0</v>
      </c>
    </row>
    <row r="6792" spans="5:11" x14ac:dyDescent="0.35">
      <c r="E6792" s="9" t="str">
        <v>EPSG</v>
      </c>
      <c r="F6792" s="7" t="str">
        <v>32409</v>
      </c>
      <c r="G6792" t="str">
        <v>ProjectedCrs</v>
      </c>
      <c r="H6792" t="str">
        <v>Transverse Mercator</v>
      </c>
      <c r="I6792" t="str">
        <v>WGS 72BE / UTM zone 9N</v>
      </c>
      <c r="J6792" t="str">
        <v>Between 132°W and 126°W, northern hemisphere between equator and 84°N, onshore and offshore.</v>
      </c>
      <c r="K6792" s="11">
        <v>0</v>
      </c>
    </row>
    <row r="6793" spans="5:11" x14ac:dyDescent="0.35">
      <c r="E6793" s="9" t="str">
        <v>EPSG</v>
      </c>
      <c r="F6793" s="7" t="str">
        <v>32410</v>
      </c>
      <c r="G6793" t="str">
        <v>ProjectedCrs</v>
      </c>
      <c r="H6793" t="str">
        <v>Transverse Mercator</v>
      </c>
      <c r="I6793" t="str">
        <v>WGS 72BE / UTM zone 10N</v>
      </c>
      <c r="J6793" t="str">
        <v>Between 126°W and 120°W, northern hemisphere between equator and 84°N, onshore and offshore.</v>
      </c>
      <c r="K6793" s="11">
        <v>0</v>
      </c>
    </row>
    <row r="6794" spans="5:11" x14ac:dyDescent="0.35">
      <c r="E6794" s="9" t="str">
        <v>EPSG</v>
      </c>
      <c r="F6794" s="7" t="str">
        <v>32411</v>
      </c>
      <c r="G6794" t="str">
        <v>ProjectedCrs</v>
      </c>
      <c r="H6794" t="str">
        <v>Transverse Mercator</v>
      </c>
      <c r="I6794" t="str">
        <v>WGS 72BE / UTM zone 11N</v>
      </c>
      <c r="J6794" t="str">
        <v>Between 120°W and 114°W, northern hemisphere between equator and 84°N, onshore and offshore.</v>
      </c>
      <c r="K6794" s="11">
        <v>0</v>
      </c>
    </row>
    <row r="6795" spans="5:11" x14ac:dyDescent="0.35">
      <c r="E6795" s="9" t="str">
        <v>EPSG</v>
      </c>
      <c r="F6795" s="7" t="str">
        <v>32412</v>
      </c>
      <c r="G6795" t="str">
        <v>ProjectedCrs</v>
      </c>
      <c r="H6795" t="str">
        <v>Transverse Mercator</v>
      </c>
      <c r="I6795" t="str">
        <v>WGS 72BE / UTM zone 12N</v>
      </c>
      <c r="J6795" t="str">
        <v>Between 114°W and 108°W, northern hemisphere between equator and 84°N, onshore and offshore.</v>
      </c>
      <c r="K6795" s="11">
        <v>0</v>
      </c>
    </row>
    <row r="6796" spans="5:11" x14ac:dyDescent="0.35">
      <c r="E6796" s="9" t="str">
        <v>EPSG</v>
      </c>
      <c r="F6796" s="7" t="str">
        <v>32413</v>
      </c>
      <c r="G6796" t="str">
        <v>ProjectedCrs</v>
      </c>
      <c r="H6796" t="str">
        <v>Transverse Mercator</v>
      </c>
      <c r="I6796" t="str">
        <v>WGS 72BE / UTM zone 13N</v>
      </c>
      <c r="J6796" t="str">
        <v>Between 108°W and 102°W, northern hemisphere between equator and 84°N, onshore and offshore.</v>
      </c>
      <c r="K6796" s="11">
        <v>0</v>
      </c>
    </row>
    <row r="6797" spans="5:11" x14ac:dyDescent="0.35">
      <c r="E6797" s="9" t="str">
        <v>EPSG</v>
      </c>
      <c r="F6797" s="7" t="str">
        <v>32414</v>
      </c>
      <c r="G6797" t="str">
        <v>ProjectedCrs</v>
      </c>
      <c r="H6797" t="str">
        <v>Transverse Mercator</v>
      </c>
      <c r="I6797" t="str">
        <v>WGS 72BE / UTM zone 14N</v>
      </c>
      <c r="J6797" t="str">
        <v>Between 102°W and 96°W, northern hemisphere between equator and 84°N, onshore and offshore.</v>
      </c>
      <c r="K6797" s="11">
        <v>0</v>
      </c>
    </row>
    <row r="6798" spans="5:11" x14ac:dyDescent="0.35">
      <c r="E6798" s="9" t="str">
        <v>EPSG</v>
      </c>
      <c r="F6798" s="7" t="str">
        <v>32415</v>
      </c>
      <c r="G6798" t="str">
        <v>ProjectedCrs</v>
      </c>
      <c r="H6798" t="str">
        <v>Transverse Mercator</v>
      </c>
      <c r="I6798" t="str">
        <v>WGS 72BE / UTM zone 15N</v>
      </c>
      <c r="J6798" t="str">
        <v>Between 96°W and 90°W, northern hemisphere between equator and 84°N, onshore and offshore.</v>
      </c>
      <c r="K6798" s="11">
        <v>0</v>
      </c>
    </row>
    <row r="6799" spans="5:11" x14ac:dyDescent="0.35">
      <c r="E6799" s="9" t="str">
        <v>EPSG</v>
      </c>
      <c r="F6799" s="7" t="str">
        <v>32416</v>
      </c>
      <c r="G6799" t="str">
        <v>ProjectedCrs</v>
      </c>
      <c r="H6799" t="str">
        <v>Transverse Mercator</v>
      </c>
      <c r="I6799" t="str">
        <v>WGS 72BE / UTM zone 16N</v>
      </c>
      <c r="J6799" t="str">
        <v>Between 90°W and 84°W, northern hemisphere between equator and 84°N, onshore and offshore.</v>
      </c>
      <c r="K6799" s="11">
        <v>0</v>
      </c>
    </row>
    <row r="6800" spans="5:11" x14ac:dyDescent="0.35">
      <c r="E6800" s="9" t="str">
        <v>EPSG</v>
      </c>
      <c r="F6800" s="7" t="str">
        <v>32417</v>
      </c>
      <c r="G6800" t="str">
        <v>ProjectedCrs</v>
      </c>
      <c r="H6800" t="str">
        <v>Transverse Mercator</v>
      </c>
      <c r="I6800" t="str">
        <v>WGS 72BE / UTM zone 17N</v>
      </c>
      <c r="J6800" t="str">
        <v>Between 84°W and 78°W, northern hemisphere between equator and 84°N, onshore and offshore.</v>
      </c>
      <c r="K6800" s="11">
        <v>0</v>
      </c>
    </row>
    <row r="6801" spans="5:11" x14ac:dyDescent="0.35">
      <c r="E6801" s="9" t="str">
        <v>EPSG</v>
      </c>
      <c r="F6801" s="7" t="str">
        <v>32418</v>
      </c>
      <c r="G6801" t="str">
        <v>ProjectedCrs</v>
      </c>
      <c r="H6801" t="str">
        <v>Transverse Mercator</v>
      </c>
      <c r="I6801" t="str">
        <v>WGS 72BE / UTM zone 18N</v>
      </c>
      <c r="J6801" t="str">
        <v>Between 78°W and 72°W, northern hemisphere between equator and 84°N, onshore and offshore.</v>
      </c>
      <c r="K6801" s="11">
        <v>0</v>
      </c>
    </row>
    <row r="6802" spans="5:11" x14ac:dyDescent="0.35">
      <c r="E6802" s="9" t="str">
        <v>EPSG</v>
      </c>
      <c r="F6802" s="7" t="str">
        <v>32419</v>
      </c>
      <c r="G6802" t="str">
        <v>ProjectedCrs</v>
      </c>
      <c r="H6802" t="str">
        <v>Transverse Mercator</v>
      </c>
      <c r="I6802" t="str">
        <v>WGS 72BE / UTM zone 19N</v>
      </c>
      <c r="J6802" t="str">
        <v>Between 72°W and 66°W, northern hemisphere between equator and 84°N, onshore and offshore.</v>
      </c>
      <c r="K6802" s="11">
        <v>0</v>
      </c>
    </row>
    <row r="6803" spans="5:11" x14ac:dyDescent="0.35">
      <c r="E6803" s="9" t="str">
        <v>EPSG</v>
      </c>
      <c r="F6803" s="7" t="str">
        <v>32420</v>
      </c>
      <c r="G6803" t="str">
        <v>ProjectedCrs</v>
      </c>
      <c r="H6803" t="str">
        <v>Transverse Mercator</v>
      </c>
      <c r="I6803" t="str">
        <v>WGS 72BE / UTM zone 20N</v>
      </c>
      <c r="J6803" t="str">
        <v>Between 66°W and 60°W, northern hemisphere between equator and 84°N, onshore and offshore.</v>
      </c>
      <c r="K6803" s="11">
        <v>0</v>
      </c>
    </row>
    <row r="6804" spans="5:11" x14ac:dyDescent="0.35">
      <c r="E6804" s="9" t="str">
        <v>EPSG</v>
      </c>
      <c r="F6804" s="7" t="str">
        <v>32421</v>
      </c>
      <c r="G6804" t="str">
        <v>ProjectedCrs</v>
      </c>
      <c r="H6804" t="str">
        <v>Transverse Mercator</v>
      </c>
      <c r="I6804" t="str">
        <v>WGS 72BE / UTM zone 21N</v>
      </c>
      <c r="J6804" t="str">
        <v>Between 60°W and 54°W, northern hemisphere between equator and 84°N, onshore and offshore.</v>
      </c>
      <c r="K6804" s="11">
        <v>0</v>
      </c>
    </row>
    <row r="6805" spans="5:11" x14ac:dyDescent="0.35">
      <c r="E6805" s="9" t="str">
        <v>EPSG</v>
      </c>
      <c r="F6805" s="7" t="str">
        <v>32422</v>
      </c>
      <c r="G6805" t="str">
        <v>ProjectedCrs</v>
      </c>
      <c r="H6805" t="str">
        <v>Transverse Mercator</v>
      </c>
      <c r="I6805" t="str">
        <v>WGS 72BE / UTM zone 22N</v>
      </c>
      <c r="J6805" t="str">
        <v>Between 54°W and 48°W, northern hemisphere between equator and 84°N, onshore and offshore.</v>
      </c>
      <c r="K6805" s="11">
        <v>0</v>
      </c>
    </row>
    <row r="6806" spans="5:11" x14ac:dyDescent="0.35">
      <c r="E6806" s="9" t="str">
        <v>EPSG</v>
      </c>
      <c r="F6806" s="7" t="str">
        <v>32423</v>
      </c>
      <c r="G6806" t="str">
        <v>ProjectedCrs</v>
      </c>
      <c r="H6806" t="str">
        <v>Transverse Mercator</v>
      </c>
      <c r="I6806" t="str">
        <v>WGS 72BE / UTM zone 23N</v>
      </c>
      <c r="J6806" t="str">
        <v>Between 48°W and 42°W, northern hemisphere between equator and 84°N, onshore and offshore.</v>
      </c>
      <c r="K6806" s="11">
        <v>0</v>
      </c>
    </row>
    <row r="6807" spans="5:11" x14ac:dyDescent="0.35">
      <c r="E6807" s="9" t="str">
        <v>EPSG</v>
      </c>
      <c r="F6807" s="7" t="str">
        <v>32424</v>
      </c>
      <c r="G6807" t="str">
        <v>ProjectedCrs</v>
      </c>
      <c r="H6807" t="str">
        <v>Transverse Mercator</v>
      </c>
      <c r="I6807" t="str">
        <v>WGS 72BE / UTM zone 24N</v>
      </c>
      <c r="J6807" t="str">
        <v>Between 42°W and 36°W, northern hemisphere between equator and 84°N, onshore and offshore.</v>
      </c>
      <c r="K6807" s="11">
        <v>0</v>
      </c>
    </row>
    <row r="6808" spans="5:11" x14ac:dyDescent="0.35">
      <c r="E6808" s="9" t="str">
        <v>EPSG</v>
      </c>
      <c r="F6808" s="7" t="str">
        <v>32425</v>
      </c>
      <c r="G6808" t="str">
        <v>ProjectedCrs</v>
      </c>
      <c r="H6808" t="str">
        <v>Transverse Mercator</v>
      </c>
      <c r="I6808" t="str">
        <v>WGS 72BE / UTM zone 25N</v>
      </c>
      <c r="J6808" t="str">
        <v>Between 36°W and 30°W, northern hemisphere between equator and 84°N, onshore and offshore.</v>
      </c>
      <c r="K6808" s="11">
        <v>0</v>
      </c>
    </row>
    <row r="6809" spans="5:11" x14ac:dyDescent="0.35">
      <c r="E6809" s="9" t="str">
        <v>EPSG</v>
      </c>
      <c r="F6809" s="7" t="str">
        <v>32426</v>
      </c>
      <c r="G6809" t="str">
        <v>ProjectedCrs</v>
      </c>
      <c r="H6809" t="str">
        <v>Transverse Mercator</v>
      </c>
      <c r="I6809" t="str">
        <v>WGS 72BE / UTM zone 26N</v>
      </c>
      <c r="J6809" t="str">
        <v>Between 30°W and 24°W, northern hemisphere between equator and 84°N, onshore and offshore.</v>
      </c>
      <c r="K6809" s="11">
        <v>0</v>
      </c>
    </row>
    <row r="6810" spans="5:11" x14ac:dyDescent="0.35">
      <c r="E6810" s="9" t="str">
        <v>EPSG</v>
      </c>
      <c r="F6810" s="7" t="str">
        <v>32427</v>
      </c>
      <c r="G6810" t="str">
        <v>ProjectedCrs</v>
      </c>
      <c r="H6810" t="str">
        <v>Transverse Mercator</v>
      </c>
      <c r="I6810" t="str">
        <v>WGS 72BE / UTM zone 27N</v>
      </c>
      <c r="J6810" t="str">
        <v>Between 24°W and 18°W, northern hemisphere between equator and 84°N, onshore and offshore.</v>
      </c>
      <c r="K6810" s="11">
        <v>0</v>
      </c>
    </row>
    <row r="6811" spans="5:11" x14ac:dyDescent="0.35">
      <c r="E6811" s="9" t="str">
        <v>EPSG</v>
      </c>
      <c r="F6811" s="7" t="str">
        <v>32428</v>
      </c>
      <c r="G6811" t="str">
        <v>ProjectedCrs</v>
      </c>
      <c r="H6811" t="str">
        <v>Transverse Mercator</v>
      </c>
      <c r="I6811" t="str">
        <v>WGS 72BE / UTM zone 28N</v>
      </c>
      <c r="J6811" t="str">
        <v>Between 18°W and 12°W, northern hemisphere between equator and 84°N, onshore and offshore.</v>
      </c>
      <c r="K6811" s="11">
        <v>0</v>
      </c>
    </row>
    <row r="6812" spans="5:11" x14ac:dyDescent="0.35">
      <c r="E6812" s="9" t="str">
        <v>EPSG</v>
      </c>
      <c r="F6812" s="7" t="str">
        <v>32429</v>
      </c>
      <c r="G6812" t="str">
        <v>ProjectedCrs</v>
      </c>
      <c r="H6812" t="str">
        <v>Transverse Mercator</v>
      </c>
      <c r="I6812" t="str">
        <v>WGS 72BE / UTM zone 29N</v>
      </c>
      <c r="J6812" t="str">
        <v>Between 12°W and 6°W, northern hemisphere between equator and 84°N, onshore and offshore.</v>
      </c>
      <c r="K6812" s="11">
        <v>0</v>
      </c>
    </row>
    <row r="6813" spans="5:11" x14ac:dyDescent="0.35">
      <c r="E6813" s="9" t="str">
        <v>EPSG</v>
      </c>
      <c r="F6813" s="7" t="str">
        <v>32430</v>
      </c>
      <c r="G6813" t="str">
        <v>ProjectedCrs</v>
      </c>
      <c r="H6813" t="str">
        <v>Transverse Mercator</v>
      </c>
      <c r="I6813" t="str">
        <v>WGS 72BE / UTM zone 30N</v>
      </c>
      <c r="J6813" t="str">
        <v>Between 6°W and 0°W, northern hemisphere between equator and 84°N, onshore and offshore.</v>
      </c>
      <c r="K6813" s="11">
        <v>0</v>
      </c>
    </row>
    <row r="6814" spans="5:11" x14ac:dyDescent="0.35">
      <c r="E6814" s="9" t="str">
        <v>EPSG</v>
      </c>
      <c r="F6814" s="7" t="str">
        <v>32431</v>
      </c>
      <c r="G6814" t="str">
        <v>ProjectedCrs</v>
      </c>
      <c r="H6814" t="str">
        <v>Transverse Mercator</v>
      </c>
      <c r="I6814" t="str">
        <v>WGS 72BE / UTM zone 31N</v>
      </c>
      <c r="J6814" t="str">
        <v>Between 0°E and 6°E, northern hemisphere between equator and 84°N, onshore and offshore.</v>
      </c>
      <c r="K6814" s="11">
        <v>0</v>
      </c>
    </row>
    <row r="6815" spans="5:11" x14ac:dyDescent="0.35">
      <c r="E6815" s="9" t="str">
        <v>EPSG</v>
      </c>
      <c r="F6815" s="7" t="str">
        <v>32432</v>
      </c>
      <c r="G6815" t="str">
        <v>ProjectedCrs</v>
      </c>
      <c r="H6815" t="str">
        <v>Transverse Mercator</v>
      </c>
      <c r="I6815" t="str">
        <v>WGS 72BE / UTM zone 32N</v>
      </c>
      <c r="J6815" t="str">
        <v>Between 6°E and 12°E, northern hemisphere between equator and 84°N, onshore and offshore.</v>
      </c>
      <c r="K6815" s="11">
        <v>0</v>
      </c>
    </row>
    <row r="6816" spans="5:11" x14ac:dyDescent="0.35">
      <c r="E6816" s="9" t="str">
        <v>EPSG</v>
      </c>
      <c r="F6816" s="7" t="str">
        <v>32433</v>
      </c>
      <c r="G6816" t="str">
        <v>ProjectedCrs</v>
      </c>
      <c r="H6816" t="str">
        <v>Transverse Mercator</v>
      </c>
      <c r="I6816" t="str">
        <v>WGS 72BE / UTM zone 33N</v>
      </c>
      <c r="J6816" t="str">
        <v>Between 12°E and 18°E, northern hemisphere between equator and 84°N, onshore and offshore. Chad - west of 18°E.</v>
      </c>
      <c r="K6816" s="11">
        <v>0</v>
      </c>
    </row>
    <row r="6817" spans="5:11" x14ac:dyDescent="0.35">
      <c r="E6817" s="9" t="str">
        <v>EPSG</v>
      </c>
      <c r="F6817" s="7" t="str">
        <v>32434</v>
      </c>
      <c r="G6817" t="str">
        <v>ProjectedCrs</v>
      </c>
      <c r="H6817" t="str">
        <v>Transverse Mercator</v>
      </c>
      <c r="I6817" t="str">
        <v>WGS 72BE / UTM zone 34N</v>
      </c>
      <c r="J6817" t="str">
        <v>Between 12°E and 18°E, northern hemisphere between equator and 84°N, onshore and offshore. Chad - east of 18°E.</v>
      </c>
      <c r="K6817" s="11">
        <v>0</v>
      </c>
    </row>
    <row r="6818" spans="5:11" x14ac:dyDescent="0.35">
      <c r="E6818" s="9" t="str">
        <v>EPSG</v>
      </c>
      <c r="F6818" s="7" t="str">
        <v>32435</v>
      </c>
      <c r="G6818" t="str">
        <v>ProjectedCrs</v>
      </c>
      <c r="H6818" t="str">
        <v>Transverse Mercator</v>
      </c>
      <c r="I6818" t="str">
        <v>WGS 72BE / UTM zone 35N</v>
      </c>
      <c r="J6818" t="str">
        <v>Between 24°E and 30°E, northern hemisphere between equator and 84°N, onshore and offshore.</v>
      </c>
      <c r="K6818" s="11">
        <v>0</v>
      </c>
    </row>
    <row r="6819" spans="5:11" x14ac:dyDescent="0.35">
      <c r="E6819" s="9" t="str">
        <v>EPSG</v>
      </c>
      <c r="F6819" s="7" t="str">
        <v>32436</v>
      </c>
      <c r="G6819" t="str">
        <v>ProjectedCrs</v>
      </c>
      <c r="H6819" t="str">
        <v>Transverse Mercator</v>
      </c>
      <c r="I6819" t="str">
        <v>WGS 72BE / UTM zone 36N</v>
      </c>
      <c r="J6819" t="str">
        <v>Between 30°E and 36°E, northern hemisphere between equator and 84°N, onshore and offshore.</v>
      </c>
      <c r="K6819" s="11">
        <v>0</v>
      </c>
    </row>
    <row r="6820" spans="5:11" x14ac:dyDescent="0.35">
      <c r="E6820" s="9" t="str">
        <v>EPSG</v>
      </c>
      <c r="F6820" s="7" t="str">
        <v>32437</v>
      </c>
      <c r="G6820" t="str">
        <v>ProjectedCrs</v>
      </c>
      <c r="H6820" t="str">
        <v>Transverse Mercator</v>
      </c>
      <c r="I6820" t="str">
        <v>WGS 72BE / UTM zone 37N</v>
      </c>
      <c r="J6820" t="str">
        <v>Between 36°E and 42°E, northern hemisphere between equator and 84°N, onshore and offshore.</v>
      </c>
      <c r="K6820" s="11">
        <v>0</v>
      </c>
    </row>
    <row r="6821" spans="5:11" x14ac:dyDescent="0.35">
      <c r="E6821" s="9" t="str">
        <v>EPSG</v>
      </c>
      <c r="F6821" s="7" t="str">
        <v>32438</v>
      </c>
      <c r="G6821" t="str">
        <v>ProjectedCrs</v>
      </c>
      <c r="H6821" t="str">
        <v>Transverse Mercator</v>
      </c>
      <c r="I6821" t="str">
        <v>WGS 72BE / UTM zone 38N</v>
      </c>
      <c r="J6821" t="str">
        <v>Between 42°E and 48°E, northern hemisphere between equator and 84°N, onshore and offshore.</v>
      </c>
      <c r="K6821" s="11">
        <v>0</v>
      </c>
    </row>
    <row r="6822" spans="5:11" x14ac:dyDescent="0.35">
      <c r="E6822" s="9" t="str">
        <v>EPSG</v>
      </c>
      <c r="F6822" s="7" t="str">
        <v>32439</v>
      </c>
      <c r="G6822" t="str">
        <v>ProjectedCrs</v>
      </c>
      <c r="H6822" t="str">
        <v>Transverse Mercator</v>
      </c>
      <c r="I6822" t="str">
        <v>WGS 72BE / UTM zone 39N</v>
      </c>
      <c r="J6822" t="str">
        <v>Between 48°E and 54°E, northern hemisphere between equator and 84°N, onshore and offshore.</v>
      </c>
      <c r="K6822" s="11">
        <v>0</v>
      </c>
    </row>
    <row r="6823" spans="5:11" x14ac:dyDescent="0.35">
      <c r="E6823" s="9" t="str">
        <v>EPSG</v>
      </c>
      <c r="F6823" s="7" t="str">
        <v>32440</v>
      </c>
      <c r="G6823" t="str">
        <v>ProjectedCrs</v>
      </c>
      <c r="H6823" t="str">
        <v>Transverse Mercator</v>
      </c>
      <c r="I6823" t="str">
        <v>WGS 72BE / UTM zone 40N</v>
      </c>
      <c r="J6823" t="str">
        <v>Between 54°E and 60°E, northern hemisphere between equator and 84°N, onshore and offshore.</v>
      </c>
      <c r="K6823" s="11">
        <v>0</v>
      </c>
    </row>
    <row r="6824" spans="5:11" x14ac:dyDescent="0.35">
      <c r="E6824" s="9" t="str">
        <v>EPSG</v>
      </c>
      <c r="F6824" s="7" t="str">
        <v>32441</v>
      </c>
      <c r="G6824" t="str">
        <v>ProjectedCrs</v>
      </c>
      <c r="H6824" t="str">
        <v>Transverse Mercator</v>
      </c>
      <c r="I6824" t="str">
        <v>WGS 72BE / UTM zone 41N</v>
      </c>
      <c r="J6824" t="str">
        <v>Between 60°E and 66°E, northern hemisphere between equator and 84°N, onshore and offshore.</v>
      </c>
      <c r="K6824" s="11">
        <v>0</v>
      </c>
    </row>
    <row r="6825" spans="5:11" x14ac:dyDescent="0.35">
      <c r="E6825" s="9" t="str">
        <v>EPSG</v>
      </c>
      <c r="F6825" s="7" t="str">
        <v>32442</v>
      </c>
      <c r="G6825" t="str">
        <v>ProjectedCrs</v>
      </c>
      <c r="H6825" t="str">
        <v>Transverse Mercator</v>
      </c>
      <c r="I6825" t="str">
        <v>WGS 72BE / UTM zone 42N</v>
      </c>
      <c r="J6825" t="str">
        <v>Between 66°E and 72°E, northern hemisphere between equator and 84°N, onshore and offshore.</v>
      </c>
      <c r="K6825" s="11">
        <v>0</v>
      </c>
    </row>
    <row r="6826" spans="5:11" x14ac:dyDescent="0.35">
      <c r="E6826" s="9" t="str">
        <v>EPSG</v>
      </c>
      <c r="F6826" s="7" t="str">
        <v>32443</v>
      </c>
      <c r="G6826" t="str">
        <v>ProjectedCrs</v>
      </c>
      <c r="H6826" t="str">
        <v>Transverse Mercator</v>
      </c>
      <c r="I6826" t="str">
        <v>WGS 72BE / UTM zone 43N</v>
      </c>
      <c r="J6826" t="str">
        <v>Between 72°E and 78°E, northern hemisphere between equator and 84°N, onshore and offshore.</v>
      </c>
      <c r="K6826" s="11">
        <v>0</v>
      </c>
    </row>
    <row r="6827" spans="5:11" x14ac:dyDescent="0.35">
      <c r="E6827" s="9" t="str">
        <v>EPSG</v>
      </c>
      <c r="F6827" s="7" t="str">
        <v>32444</v>
      </c>
      <c r="G6827" t="str">
        <v>ProjectedCrs</v>
      </c>
      <c r="H6827" t="str">
        <v>Transverse Mercator</v>
      </c>
      <c r="I6827" t="str">
        <v>WGS 72BE / UTM zone 44N</v>
      </c>
      <c r="J6827" t="str">
        <v>Between 78°E and 84°E, northern hemisphere between equator and 84°N, onshore and offshore.</v>
      </c>
      <c r="K6827" s="11">
        <v>0</v>
      </c>
    </row>
    <row r="6828" spans="5:11" x14ac:dyDescent="0.35">
      <c r="E6828" s="9" t="str">
        <v>EPSG</v>
      </c>
      <c r="F6828" s="7" t="str">
        <v>32445</v>
      </c>
      <c r="G6828" t="str">
        <v>ProjectedCrs</v>
      </c>
      <c r="H6828" t="str">
        <v>Transverse Mercator</v>
      </c>
      <c r="I6828" t="str">
        <v>WGS 72BE / UTM zone 45N</v>
      </c>
      <c r="J6828" t="str">
        <v>Between 84°E and 90°E, northern hemisphere between equator and 84°N, onshore and offshore.</v>
      </c>
      <c r="K6828" s="11">
        <v>0</v>
      </c>
    </row>
    <row r="6829" spans="5:11" x14ac:dyDescent="0.35">
      <c r="E6829" s="9" t="str">
        <v>EPSG</v>
      </c>
      <c r="F6829" s="7" t="str">
        <v>32446</v>
      </c>
      <c r="G6829" t="str">
        <v>ProjectedCrs</v>
      </c>
      <c r="H6829" t="str">
        <v>Transverse Mercator</v>
      </c>
      <c r="I6829" t="str">
        <v>WGS 72BE / UTM zone 46N</v>
      </c>
      <c r="J6829" t="str">
        <v>Between 90°E and 96°E, northern hemisphere between equator and 84°N, onshore and offshore.</v>
      </c>
      <c r="K6829" s="11">
        <v>0</v>
      </c>
    </row>
    <row r="6830" spans="5:11" x14ac:dyDescent="0.35">
      <c r="E6830" s="9" t="str">
        <v>EPSG</v>
      </c>
      <c r="F6830" s="7" t="str">
        <v>32447</v>
      </c>
      <c r="G6830" t="str">
        <v>ProjectedCrs</v>
      </c>
      <c r="H6830" t="str">
        <v>Transverse Mercator</v>
      </c>
      <c r="I6830" t="str">
        <v>WGS 72BE / UTM zone 47N</v>
      </c>
      <c r="J6830" t="str">
        <v>Between 96°E and 102°E, northern hemisphere between equator and 84°N, onshore and offshore.</v>
      </c>
      <c r="K6830" s="11">
        <v>0</v>
      </c>
    </row>
    <row r="6831" spans="5:11" x14ac:dyDescent="0.35">
      <c r="E6831" s="9" t="str">
        <v>EPSG</v>
      </c>
      <c r="F6831" s="7" t="str">
        <v>32448</v>
      </c>
      <c r="G6831" t="str">
        <v>ProjectedCrs</v>
      </c>
      <c r="H6831" t="str">
        <v>Transverse Mercator</v>
      </c>
      <c r="I6831" t="str">
        <v>WGS 72BE / UTM zone 48N</v>
      </c>
      <c r="J6831" t="str">
        <v>Between 102°E and 108°E, northern hemisphere between equator and 84°N, onshore and offshore. Vietnam - offshore.</v>
      </c>
      <c r="K6831" s="11">
        <v>0</v>
      </c>
    </row>
    <row r="6832" spans="5:11" x14ac:dyDescent="0.35">
      <c r="E6832" s="9" t="str">
        <v>EPSG</v>
      </c>
      <c r="F6832" s="7" t="str">
        <v>32449</v>
      </c>
      <c r="G6832" t="str">
        <v>ProjectedCrs</v>
      </c>
      <c r="H6832" t="str">
        <v>Transverse Mercator</v>
      </c>
      <c r="I6832" t="str">
        <v>WGS 72BE / UTM zone 49N</v>
      </c>
      <c r="J6832" t="str">
        <v>Between 108°E and 114°E, northern hemisphere between equator and 84°N, onshore and offshore. Vietnam - offshore.</v>
      </c>
      <c r="K6832" s="11">
        <v>0</v>
      </c>
    </row>
    <row r="6833" spans="5:11" x14ac:dyDescent="0.35">
      <c r="E6833" s="9" t="str">
        <v>EPSG</v>
      </c>
      <c r="F6833" s="7" t="str">
        <v>32450</v>
      </c>
      <c r="G6833" t="str">
        <v>ProjectedCrs</v>
      </c>
      <c r="H6833" t="str">
        <v>Transverse Mercator</v>
      </c>
      <c r="I6833" t="str">
        <v>WGS 72BE / UTM zone 50N</v>
      </c>
      <c r="J6833" t="str">
        <v>Between 114°E and 120°E, northern hemisphere between equator and 84°N, onshore and offshore.</v>
      </c>
      <c r="K6833" s="11">
        <v>0</v>
      </c>
    </row>
    <row r="6834" spans="5:11" x14ac:dyDescent="0.35">
      <c r="E6834" s="9" t="str">
        <v>EPSG</v>
      </c>
      <c r="F6834" s="7" t="str">
        <v>32451</v>
      </c>
      <c r="G6834" t="str">
        <v>ProjectedCrs</v>
      </c>
      <c r="H6834" t="str">
        <v>Transverse Mercator</v>
      </c>
      <c r="I6834" t="str">
        <v>WGS 72BE / UTM zone 51N</v>
      </c>
      <c r="J6834" t="str">
        <v>Between 120°E and 126°E, northern hemisphere between equator and 84°N, onshore and offshore.</v>
      </c>
      <c r="K6834" s="11">
        <v>0</v>
      </c>
    </row>
    <row r="6835" spans="5:11" x14ac:dyDescent="0.35">
      <c r="E6835" s="9" t="str">
        <v>EPSG</v>
      </c>
      <c r="F6835" s="7" t="str">
        <v>32452</v>
      </c>
      <c r="G6835" t="str">
        <v>ProjectedCrs</v>
      </c>
      <c r="H6835" t="str">
        <v>Transverse Mercator</v>
      </c>
      <c r="I6835" t="str">
        <v>WGS 72BE / UTM zone 52N</v>
      </c>
      <c r="J6835" t="str">
        <v>Between 126°E and 132°E, northern hemisphere between equator and 84°N, onshore and offshore.</v>
      </c>
      <c r="K6835" s="11">
        <v>0</v>
      </c>
    </row>
    <row r="6836" spans="5:11" x14ac:dyDescent="0.35">
      <c r="E6836" s="9" t="str">
        <v>EPSG</v>
      </c>
      <c r="F6836" s="7" t="str">
        <v>32453</v>
      </c>
      <c r="G6836" t="str">
        <v>ProjectedCrs</v>
      </c>
      <c r="H6836" t="str">
        <v>Transverse Mercator</v>
      </c>
      <c r="I6836" t="str">
        <v>WGS 72BE / UTM zone 53N</v>
      </c>
      <c r="J6836" t="str">
        <v>Between 132°E and 138°E, northern hemisphere between equator and 84°N, onshore and offshore.</v>
      </c>
      <c r="K6836" s="11">
        <v>0</v>
      </c>
    </row>
    <row r="6837" spans="5:11" x14ac:dyDescent="0.35">
      <c r="E6837" s="9" t="str">
        <v>EPSG</v>
      </c>
      <c r="F6837" s="7" t="str">
        <v>32454</v>
      </c>
      <c r="G6837" t="str">
        <v>ProjectedCrs</v>
      </c>
      <c r="H6837" t="str">
        <v>Transverse Mercator</v>
      </c>
      <c r="I6837" t="str">
        <v>WGS 72BE / UTM zone 54N</v>
      </c>
      <c r="J6837" t="str">
        <v>Between 138°E and 144°E, northern hemisphere between equator and 84°N, onshore and offshore.</v>
      </c>
      <c r="K6837" s="11">
        <v>0</v>
      </c>
    </row>
    <row r="6838" spans="5:11" x14ac:dyDescent="0.35">
      <c r="E6838" s="9" t="str">
        <v>EPSG</v>
      </c>
      <c r="F6838" s="7" t="str">
        <v>32455</v>
      </c>
      <c r="G6838" t="str">
        <v>ProjectedCrs</v>
      </c>
      <c r="H6838" t="str">
        <v>Transverse Mercator</v>
      </c>
      <c r="I6838" t="str">
        <v>WGS 72BE / UTM zone 55N</v>
      </c>
      <c r="J6838" t="str">
        <v>Between 144°E and 150°E, northern hemisphere between equator and 84°N, onshore and offshore.</v>
      </c>
      <c r="K6838" s="11">
        <v>0</v>
      </c>
    </row>
    <row r="6839" spans="5:11" x14ac:dyDescent="0.35">
      <c r="E6839" s="9" t="str">
        <v>EPSG</v>
      </c>
      <c r="F6839" s="7" t="str">
        <v>32456</v>
      </c>
      <c r="G6839" t="str">
        <v>ProjectedCrs</v>
      </c>
      <c r="H6839" t="str">
        <v>Transverse Mercator</v>
      </c>
      <c r="I6839" t="str">
        <v>WGS 72BE / UTM zone 56N</v>
      </c>
      <c r="J6839" t="str">
        <v>Between 150°E and 156°E, northern hemisphere between equator and 84°N, onshore and offshore.</v>
      </c>
      <c r="K6839" s="11">
        <v>0</v>
      </c>
    </row>
    <row r="6840" spans="5:11" x14ac:dyDescent="0.35">
      <c r="E6840" s="9" t="str">
        <v>EPSG</v>
      </c>
      <c r="F6840" s="7" t="str">
        <v>32457</v>
      </c>
      <c r="G6840" t="str">
        <v>ProjectedCrs</v>
      </c>
      <c r="H6840" t="str">
        <v>Transverse Mercator</v>
      </c>
      <c r="I6840" t="str">
        <v>WGS 72BE / UTM zone 57N</v>
      </c>
      <c r="J6840" t="str">
        <v>Between 156°E and 162°E, northern hemisphere between equator and 84°N, onshore and offshore.</v>
      </c>
      <c r="K6840" s="11">
        <v>0</v>
      </c>
    </row>
    <row r="6841" spans="5:11" x14ac:dyDescent="0.35">
      <c r="E6841" s="9" t="str">
        <v>EPSG</v>
      </c>
      <c r="F6841" s="7" t="str">
        <v>32458</v>
      </c>
      <c r="G6841" t="str">
        <v>ProjectedCrs</v>
      </c>
      <c r="H6841" t="str">
        <v>Transverse Mercator</v>
      </c>
      <c r="I6841" t="str">
        <v>WGS 72BE / UTM zone 58N</v>
      </c>
      <c r="J6841" t="str">
        <v>Between 162°E and 168°E, northern hemisphere between equator and 84°N, onshore and offshore.</v>
      </c>
      <c r="K6841" s="11">
        <v>0</v>
      </c>
    </row>
    <row r="6842" spans="5:11" x14ac:dyDescent="0.35">
      <c r="E6842" s="9" t="str">
        <v>EPSG</v>
      </c>
      <c r="F6842" s="7" t="str">
        <v>32459</v>
      </c>
      <c r="G6842" t="str">
        <v>ProjectedCrs</v>
      </c>
      <c r="H6842" t="str">
        <v>Transverse Mercator</v>
      </c>
      <c r="I6842" t="str">
        <v>WGS 72BE / UTM zone 59N</v>
      </c>
      <c r="J6842" t="str">
        <v>Between 168°E and 174°E, northern hemisphere between equator and 84°N, onshore and offshore.</v>
      </c>
      <c r="K6842" s="11">
        <v>0</v>
      </c>
    </row>
    <row r="6843" spans="5:11" x14ac:dyDescent="0.35">
      <c r="E6843" s="9" t="str">
        <v>EPSG</v>
      </c>
      <c r="F6843" s="7" t="str">
        <v>32460</v>
      </c>
      <c r="G6843" t="str">
        <v>ProjectedCrs</v>
      </c>
      <c r="H6843" t="str">
        <v>Transverse Mercator</v>
      </c>
      <c r="I6843" t="str">
        <v>WGS 72BE / UTM zone 60N</v>
      </c>
      <c r="J6843" t="str">
        <v>Between 174°E and 180°E, northern hemisphere between equator and 84°N, onshore and offshore.</v>
      </c>
      <c r="K6843" s="11">
        <v>0</v>
      </c>
    </row>
    <row r="6844" spans="5:11" x14ac:dyDescent="0.35">
      <c r="E6844" s="9" t="str">
        <v>EPSG</v>
      </c>
      <c r="F6844" s="7" t="str">
        <v>32501</v>
      </c>
      <c r="G6844" t="str">
        <v>ProjectedCrs</v>
      </c>
      <c r="H6844" t="str">
        <v>Transverse Mercator</v>
      </c>
      <c r="I6844" t="str">
        <v>WGS 72BE / UTM zone 1S</v>
      </c>
      <c r="J6844" t="str">
        <v>Between 180°W to 174°W, southern hemisphere between 80°S and equator, onshore and offshore.</v>
      </c>
      <c r="K6844" s="11">
        <v>0</v>
      </c>
    </row>
    <row r="6845" spans="5:11" x14ac:dyDescent="0.35">
      <c r="E6845" s="9" t="str">
        <v>EPSG</v>
      </c>
      <c r="F6845" s="7" t="str">
        <v>32502</v>
      </c>
      <c r="G6845" t="str">
        <v>ProjectedCrs</v>
      </c>
      <c r="H6845" t="str">
        <v>Transverse Mercator</v>
      </c>
      <c r="I6845" t="str">
        <v>WGS 72BE / UTM zone 2S</v>
      </c>
      <c r="J6845" t="str">
        <v>Between 174°W and 168°W, southern hemisphere between 80°S and equator, onshore and offshore.</v>
      </c>
      <c r="K6845" s="11">
        <v>0</v>
      </c>
    </row>
    <row r="6846" spans="5:11" x14ac:dyDescent="0.35">
      <c r="E6846" s="9" t="str">
        <v>EPSG</v>
      </c>
      <c r="F6846" s="7" t="str">
        <v>32503</v>
      </c>
      <c r="G6846" t="str">
        <v>ProjectedCrs</v>
      </c>
      <c r="H6846" t="str">
        <v>Transverse Mercator</v>
      </c>
      <c r="I6846" t="str">
        <v>WGS 72BE / UTM zone 3S</v>
      </c>
      <c r="J6846" t="str">
        <v>Between 168°W and 162°W, southern hemisphere between 80°S and equator, onshore and offshore.</v>
      </c>
      <c r="K6846" s="11">
        <v>0</v>
      </c>
    </row>
    <row r="6847" spans="5:11" x14ac:dyDescent="0.35">
      <c r="E6847" s="9" t="str">
        <v>EPSG</v>
      </c>
      <c r="F6847" s="7" t="str">
        <v>32504</v>
      </c>
      <c r="G6847" t="str">
        <v>ProjectedCrs</v>
      </c>
      <c r="H6847" t="str">
        <v>Transverse Mercator</v>
      </c>
      <c r="I6847" t="str">
        <v>WGS 72BE / UTM zone 4S</v>
      </c>
      <c r="J6847" t="str">
        <v>Between 162°W and 156°W, southern hemisphere between 80°S and equator, onshore and offshore.</v>
      </c>
      <c r="K6847" s="11">
        <v>0</v>
      </c>
    </row>
    <row r="6848" spans="5:11" x14ac:dyDescent="0.35">
      <c r="E6848" s="9" t="str">
        <v>EPSG</v>
      </c>
      <c r="F6848" s="7" t="str">
        <v>32505</v>
      </c>
      <c r="G6848" t="str">
        <v>ProjectedCrs</v>
      </c>
      <c r="H6848" t="str">
        <v>Transverse Mercator</v>
      </c>
      <c r="I6848" t="str">
        <v>WGS 72BE / UTM zone 5S</v>
      </c>
      <c r="J6848" t="str">
        <v>Between 156°W and 150°W, southern hemisphere between 80°S and equator, onshore and offshore.</v>
      </c>
      <c r="K6848" s="11">
        <v>0</v>
      </c>
    </row>
    <row r="6849" spans="5:11" x14ac:dyDescent="0.35">
      <c r="E6849" s="9" t="str">
        <v>EPSG</v>
      </c>
      <c r="F6849" s="7" t="str">
        <v>32506</v>
      </c>
      <c r="G6849" t="str">
        <v>ProjectedCrs</v>
      </c>
      <c r="H6849" t="str">
        <v>Transverse Mercator</v>
      </c>
      <c r="I6849" t="str">
        <v>WGS 72BE / UTM zone 6S</v>
      </c>
      <c r="J6849" t="str">
        <v>Between 150°W and 144°W, southern hemisphere between 80°S and equator, onshore and offshore.</v>
      </c>
      <c r="K6849" s="11">
        <v>0</v>
      </c>
    </row>
    <row r="6850" spans="5:11" x14ac:dyDescent="0.35">
      <c r="E6850" s="9" t="str">
        <v>EPSG</v>
      </c>
      <c r="F6850" s="7" t="str">
        <v>32507</v>
      </c>
      <c r="G6850" t="str">
        <v>ProjectedCrs</v>
      </c>
      <c r="H6850" t="str">
        <v>Transverse Mercator</v>
      </c>
      <c r="I6850" t="str">
        <v>WGS 72BE / UTM zone 7S</v>
      </c>
      <c r="J6850" t="str">
        <v>Between 144°W and 138°W, southern hemisphere between 80°S and equator, onshore and offshore.</v>
      </c>
      <c r="K6850" s="11">
        <v>0</v>
      </c>
    </row>
    <row r="6851" spans="5:11" x14ac:dyDescent="0.35">
      <c r="E6851" s="9" t="str">
        <v>EPSG</v>
      </c>
      <c r="F6851" s="7" t="str">
        <v>32508</v>
      </c>
      <c r="G6851" t="str">
        <v>ProjectedCrs</v>
      </c>
      <c r="H6851" t="str">
        <v>Transverse Mercator</v>
      </c>
      <c r="I6851" t="str">
        <v>WGS 72BE / UTM zone 8S</v>
      </c>
      <c r="J6851" t="str">
        <v>Between 138°W and 132°W, southern hemisphere between 80°S and equator, onshore and offshore.</v>
      </c>
      <c r="K6851" s="11">
        <v>0</v>
      </c>
    </row>
    <row r="6852" spans="5:11" x14ac:dyDescent="0.35">
      <c r="E6852" s="9" t="str">
        <v>EPSG</v>
      </c>
      <c r="F6852" s="7" t="str">
        <v>32509</v>
      </c>
      <c r="G6852" t="str">
        <v>ProjectedCrs</v>
      </c>
      <c r="H6852" t="str">
        <v>Transverse Mercator</v>
      </c>
      <c r="I6852" t="str">
        <v>WGS 72BE / UTM zone 9S</v>
      </c>
      <c r="J6852" t="str">
        <v>Between 132°W and 126°W, southern hemisphere between 80°S and equator, onshore and offshore.</v>
      </c>
      <c r="K6852" s="11">
        <v>0</v>
      </c>
    </row>
    <row r="6853" spans="5:11" x14ac:dyDescent="0.35">
      <c r="E6853" s="9" t="str">
        <v>EPSG</v>
      </c>
      <c r="F6853" s="7" t="str">
        <v>32510</v>
      </c>
      <c r="G6853" t="str">
        <v>ProjectedCrs</v>
      </c>
      <c r="H6853" t="str">
        <v>Transverse Mercator</v>
      </c>
      <c r="I6853" t="str">
        <v>WGS 72BE / UTM zone 10S</v>
      </c>
      <c r="J6853" t="str">
        <v>Between 126°W and 120°W, southern hemisphere between 80°S and equator, onshore and offshore.</v>
      </c>
      <c r="K6853" s="11">
        <v>0</v>
      </c>
    </row>
    <row r="6854" spans="5:11" x14ac:dyDescent="0.35">
      <c r="E6854" s="9" t="str">
        <v>EPSG</v>
      </c>
      <c r="F6854" s="7" t="str">
        <v>32511</v>
      </c>
      <c r="G6854" t="str">
        <v>ProjectedCrs</v>
      </c>
      <c r="H6854" t="str">
        <v>Transverse Mercator</v>
      </c>
      <c r="I6854" t="str">
        <v>WGS 72BE / UTM zone 11S</v>
      </c>
      <c r="J6854" t="str">
        <v>Between 120°W and 114°W, southern hemisphere between 80°S and equator, onshore and offshore.</v>
      </c>
      <c r="K6854" s="11">
        <v>0</v>
      </c>
    </row>
    <row r="6855" spans="5:11" x14ac:dyDescent="0.35">
      <c r="E6855" s="9" t="str">
        <v>EPSG</v>
      </c>
      <c r="F6855" s="7" t="str">
        <v>32512</v>
      </c>
      <c r="G6855" t="str">
        <v>ProjectedCrs</v>
      </c>
      <c r="H6855" t="str">
        <v>Transverse Mercator</v>
      </c>
      <c r="I6855" t="str">
        <v>WGS 72BE / UTM zone 12S</v>
      </c>
      <c r="J6855" t="str">
        <v>Between 114°W and 108°W, southern hemisphere between 80°S and equator, onshore and offshore.</v>
      </c>
      <c r="K6855" s="11">
        <v>0</v>
      </c>
    </row>
    <row r="6856" spans="5:11" x14ac:dyDescent="0.35">
      <c r="E6856" s="9" t="str">
        <v>EPSG</v>
      </c>
      <c r="F6856" s="7" t="str">
        <v>32513</v>
      </c>
      <c r="G6856" t="str">
        <v>ProjectedCrs</v>
      </c>
      <c r="H6856" t="str">
        <v>Transverse Mercator</v>
      </c>
      <c r="I6856" t="str">
        <v>WGS 72BE / UTM zone 13S</v>
      </c>
      <c r="J6856" t="str">
        <v>Between 108°W and 102°W, southern hemisphere between 80°S and equator, onshore and offshore.</v>
      </c>
      <c r="K6856" s="11">
        <v>0</v>
      </c>
    </row>
    <row r="6857" spans="5:11" x14ac:dyDescent="0.35">
      <c r="E6857" s="9" t="str">
        <v>EPSG</v>
      </c>
      <c r="F6857" s="7" t="str">
        <v>32514</v>
      </c>
      <c r="G6857" t="str">
        <v>ProjectedCrs</v>
      </c>
      <c r="H6857" t="str">
        <v>Transverse Mercator</v>
      </c>
      <c r="I6857" t="str">
        <v>WGS 72BE / UTM zone 14S</v>
      </c>
      <c r="J6857" t="str">
        <v>Between 102°W and 96°W, southern hemisphere between 80°S and equator, onshore and offshore.</v>
      </c>
      <c r="K6857" s="11">
        <v>0</v>
      </c>
    </row>
    <row r="6858" spans="5:11" x14ac:dyDescent="0.35">
      <c r="E6858" s="9" t="str">
        <v>EPSG</v>
      </c>
      <c r="F6858" s="7" t="str">
        <v>32515</v>
      </c>
      <c r="G6858" t="str">
        <v>ProjectedCrs</v>
      </c>
      <c r="H6858" t="str">
        <v>Transverse Mercator</v>
      </c>
      <c r="I6858" t="str">
        <v>WGS 72BE / UTM zone 15S</v>
      </c>
      <c r="J6858" t="str">
        <v>Between 96°W and 90°W, southern hemisphere between 80°S and equator, onshore and offshore.</v>
      </c>
      <c r="K6858" s="11">
        <v>0</v>
      </c>
    </row>
    <row r="6859" spans="5:11" x14ac:dyDescent="0.35">
      <c r="E6859" s="9" t="str">
        <v>EPSG</v>
      </c>
      <c r="F6859" s="7" t="str">
        <v>32516</v>
      </c>
      <c r="G6859" t="str">
        <v>ProjectedCrs</v>
      </c>
      <c r="H6859" t="str">
        <v>Transverse Mercator</v>
      </c>
      <c r="I6859" t="str">
        <v>WGS 72BE / UTM zone 16S</v>
      </c>
      <c r="J6859" t="str">
        <v>Between 90°W and 84°W, southern hemisphere between 80°S and equator, onshore and offshore.</v>
      </c>
      <c r="K6859" s="11">
        <v>0</v>
      </c>
    </row>
    <row r="6860" spans="5:11" x14ac:dyDescent="0.35">
      <c r="E6860" s="9" t="str">
        <v>EPSG</v>
      </c>
      <c r="F6860" s="7" t="str">
        <v>32517</v>
      </c>
      <c r="G6860" t="str">
        <v>ProjectedCrs</v>
      </c>
      <c r="H6860" t="str">
        <v>Transverse Mercator</v>
      </c>
      <c r="I6860" t="str">
        <v>WGS 72BE / UTM zone 17S</v>
      </c>
      <c r="J6860" t="str">
        <v>Between 84°W and 78°W, southern hemisphere between 80°S and equator, onshore and offshore.</v>
      </c>
      <c r="K6860" s="11">
        <v>0</v>
      </c>
    </row>
    <row r="6861" spans="5:11" x14ac:dyDescent="0.35">
      <c r="E6861" s="9" t="str">
        <v>EPSG</v>
      </c>
      <c r="F6861" s="7" t="str">
        <v>32518</v>
      </c>
      <c r="G6861" t="str">
        <v>ProjectedCrs</v>
      </c>
      <c r="H6861" t="str">
        <v>Transverse Mercator</v>
      </c>
      <c r="I6861" t="str">
        <v>WGS 72BE / UTM zone 18S</v>
      </c>
      <c r="J6861" t="str">
        <v>Between 78°W and 72°W, southern hemisphere between 80°S and equator, onshore and offshore.</v>
      </c>
      <c r="K6861" s="11">
        <v>0</v>
      </c>
    </row>
    <row r="6862" spans="5:11" x14ac:dyDescent="0.35">
      <c r="E6862" s="9" t="str">
        <v>EPSG</v>
      </c>
      <c r="F6862" s="7" t="str">
        <v>32519</v>
      </c>
      <c r="G6862" t="str">
        <v>ProjectedCrs</v>
      </c>
      <c r="H6862" t="str">
        <v>Transverse Mercator</v>
      </c>
      <c r="I6862" t="str">
        <v>WGS 72BE / UTM zone 19S</v>
      </c>
      <c r="J6862" t="str">
        <v>Between 72°W and 66°W, southern hemisphere between 80°S and equator, onshore and offshore.</v>
      </c>
      <c r="K6862" s="11">
        <v>0</v>
      </c>
    </row>
    <row r="6863" spans="5:11" x14ac:dyDescent="0.35">
      <c r="E6863" s="9" t="str">
        <v>EPSG</v>
      </c>
      <c r="F6863" s="7" t="str">
        <v>32520</v>
      </c>
      <c r="G6863" t="str">
        <v>ProjectedCrs</v>
      </c>
      <c r="H6863" t="str">
        <v>Transverse Mercator</v>
      </c>
      <c r="I6863" t="str">
        <v>WGS 72BE / UTM zone 20S</v>
      </c>
      <c r="J6863" t="str">
        <v>Between 66°W and 60°W, southern hemisphere between 80°S and equator, onshore and offshore.</v>
      </c>
      <c r="K6863" s="11">
        <v>0</v>
      </c>
    </row>
    <row r="6864" spans="5:11" x14ac:dyDescent="0.35">
      <c r="E6864" s="9" t="str">
        <v>EPSG</v>
      </c>
      <c r="F6864" s="7" t="str">
        <v>32521</v>
      </c>
      <c r="G6864" t="str">
        <v>ProjectedCrs</v>
      </c>
      <c r="H6864" t="str">
        <v>Transverse Mercator</v>
      </c>
      <c r="I6864" t="str">
        <v>WGS 72BE / UTM zone 21S</v>
      </c>
      <c r="J6864" t="str">
        <v>Between 60°W and 54°W, southern hemisphere between 80°S and equator, onshore and offshore.</v>
      </c>
      <c r="K6864" s="11">
        <v>0</v>
      </c>
    </row>
    <row r="6865" spans="5:11" x14ac:dyDescent="0.35">
      <c r="E6865" s="9" t="str">
        <v>EPSG</v>
      </c>
      <c r="F6865" s="7" t="str">
        <v>32522</v>
      </c>
      <c r="G6865" t="str">
        <v>ProjectedCrs</v>
      </c>
      <c r="H6865" t="str">
        <v>Transverse Mercator</v>
      </c>
      <c r="I6865" t="str">
        <v>WGS 72BE / UTM zone 22S</v>
      </c>
      <c r="J6865" t="str">
        <v>Between 54°W and 48°W, southern hemisphere between 80°S and equator, onshore and offshore.</v>
      </c>
      <c r="K6865" s="11">
        <v>0</v>
      </c>
    </row>
    <row r="6866" spans="5:11" x14ac:dyDescent="0.35">
      <c r="E6866" s="9" t="str">
        <v>EPSG</v>
      </c>
      <c r="F6866" s="7" t="str">
        <v>32523</v>
      </c>
      <c r="G6866" t="str">
        <v>ProjectedCrs</v>
      </c>
      <c r="H6866" t="str">
        <v>Transverse Mercator</v>
      </c>
      <c r="I6866" t="str">
        <v>WGS 72BE / UTM zone 23S</v>
      </c>
      <c r="J6866" t="str">
        <v>Between 48°W and 42°W, southern hemisphere between 80°S and equator, onshore and offshore.</v>
      </c>
      <c r="K6866" s="11">
        <v>0</v>
      </c>
    </row>
    <row r="6867" spans="5:11" x14ac:dyDescent="0.35">
      <c r="E6867" s="9" t="str">
        <v>EPSG</v>
      </c>
      <c r="F6867" s="7" t="str">
        <v>32524</v>
      </c>
      <c r="G6867" t="str">
        <v>ProjectedCrs</v>
      </c>
      <c r="H6867" t="str">
        <v>Transverse Mercator</v>
      </c>
      <c r="I6867" t="str">
        <v>WGS 72BE / UTM zone 24S</v>
      </c>
      <c r="J6867" t="str">
        <v>Between 42°W and 36°W, southern hemisphere between 80°S and equator, onshore and offshore.</v>
      </c>
      <c r="K6867" s="11">
        <v>0</v>
      </c>
    </row>
    <row r="6868" spans="5:11" x14ac:dyDescent="0.35">
      <c r="E6868" s="9" t="str">
        <v>EPSG</v>
      </c>
      <c r="F6868" s="7" t="str">
        <v>32525</v>
      </c>
      <c r="G6868" t="str">
        <v>ProjectedCrs</v>
      </c>
      <c r="H6868" t="str">
        <v>Transverse Mercator</v>
      </c>
      <c r="I6868" t="str">
        <v>WGS 72BE / UTM zone 25S</v>
      </c>
      <c r="J6868" t="str">
        <v>Between 36°W and 30°W, southern hemisphere between 80°S and equator, onshore and offshore.</v>
      </c>
      <c r="K6868" s="11">
        <v>0</v>
      </c>
    </row>
    <row r="6869" spans="5:11" x14ac:dyDescent="0.35">
      <c r="E6869" s="9" t="str">
        <v>EPSG</v>
      </c>
      <c r="F6869" s="7" t="str">
        <v>32526</v>
      </c>
      <c r="G6869" t="str">
        <v>ProjectedCrs</v>
      </c>
      <c r="H6869" t="str">
        <v>Transverse Mercator</v>
      </c>
      <c r="I6869" t="str">
        <v>WGS 72BE / UTM zone 26S</v>
      </c>
      <c r="J6869" t="str">
        <v>Between 30°W and 24°W, southern hemisphere between 80°S and equator, onshore and offshore.</v>
      </c>
      <c r="K6869" s="11">
        <v>0</v>
      </c>
    </row>
    <row r="6870" spans="5:11" x14ac:dyDescent="0.35">
      <c r="E6870" s="9" t="str">
        <v>EPSG</v>
      </c>
      <c r="F6870" s="7" t="str">
        <v>32527</v>
      </c>
      <c r="G6870" t="str">
        <v>ProjectedCrs</v>
      </c>
      <c r="H6870" t="str">
        <v>Transverse Mercator</v>
      </c>
      <c r="I6870" t="str">
        <v>WGS 72BE / UTM zone 27S</v>
      </c>
      <c r="J6870" t="str">
        <v>Between 24°W and 18°W, southern hemisphere between 80°S and equator, onshore and offshore.</v>
      </c>
      <c r="K6870" s="11">
        <v>0</v>
      </c>
    </row>
    <row r="6871" spans="5:11" x14ac:dyDescent="0.35">
      <c r="E6871" s="9" t="str">
        <v>EPSG</v>
      </c>
      <c r="F6871" s="7" t="str">
        <v>32528</v>
      </c>
      <c r="G6871" t="str">
        <v>ProjectedCrs</v>
      </c>
      <c r="H6871" t="str">
        <v>Transverse Mercator</v>
      </c>
      <c r="I6871" t="str">
        <v>WGS 72BE / UTM zone 28S</v>
      </c>
      <c r="J6871" t="str">
        <v>Between 18°W and 12°W, southern hemisphere between 80°S and equator, onshore and offshore.</v>
      </c>
      <c r="K6871" s="11">
        <v>0</v>
      </c>
    </row>
    <row r="6872" spans="5:11" x14ac:dyDescent="0.35">
      <c r="E6872" s="9" t="str">
        <v>EPSG</v>
      </c>
      <c r="F6872" s="7" t="str">
        <v>32529</v>
      </c>
      <c r="G6872" t="str">
        <v>ProjectedCrs</v>
      </c>
      <c r="H6872" t="str">
        <v>Transverse Mercator</v>
      </c>
      <c r="I6872" t="str">
        <v>WGS 72BE / UTM zone 29S</v>
      </c>
      <c r="J6872" t="str">
        <v>Between 12°W and 6°W, southern hemisphere between 80°S and equator, onshore and offshore.</v>
      </c>
      <c r="K6872" s="11">
        <v>0</v>
      </c>
    </row>
    <row r="6873" spans="5:11" x14ac:dyDescent="0.35">
      <c r="E6873" s="9" t="str">
        <v>EPSG</v>
      </c>
      <c r="F6873" s="7" t="str">
        <v>32530</v>
      </c>
      <c r="G6873" t="str">
        <v>ProjectedCrs</v>
      </c>
      <c r="H6873" t="str">
        <v>Transverse Mercator</v>
      </c>
      <c r="I6873" t="str">
        <v>WGS 72BE / UTM zone 30S</v>
      </c>
      <c r="J6873" t="str">
        <v>Between 6°W and 0°W, southern hemisphere between 80°S and equator, onshore and offshore.</v>
      </c>
      <c r="K6873" s="11">
        <v>0</v>
      </c>
    </row>
    <row r="6874" spans="5:11" x14ac:dyDescent="0.35">
      <c r="E6874" s="9" t="str">
        <v>EPSG</v>
      </c>
      <c r="F6874" s="7" t="str">
        <v>32531</v>
      </c>
      <c r="G6874" t="str">
        <v>ProjectedCrs</v>
      </c>
      <c r="H6874" t="str">
        <v>Transverse Mercator</v>
      </c>
      <c r="I6874" t="str">
        <v>WGS 72BE / UTM zone 31S</v>
      </c>
      <c r="J6874" t="str">
        <v>Between 0°E and 6°E, southern hemisphere between 80°S and equator, onshore and offshore.</v>
      </c>
      <c r="K6874" s="11">
        <v>0</v>
      </c>
    </row>
    <row r="6875" spans="5:11" x14ac:dyDescent="0.35">
      <c r="E6875" s="9" t="str">
        <v>EPSG</v>
      </c>
      <c r="F6875" s="7" t="str">
        <v>32532</v>
      </c>
      <c r="G6875" t="str">
        <v>ProjectedCrs</v>
      </c>
      <c r="H6875" t="str">
        <v>Transverse Mercator</v>
      </c>
      <c r="I6875" t="str">
        <v>WGS 72BE / UTM zone 32S</v>
      </c>
      <c r="J6875" t="str">
        <v>Between 6°E and 12°E, southern hemisphere between 80°S and equator, onshore and offshore.</v>
      </c>
      <c r="K6875" s="11">
        <v>0</v>
      </c>
    </row>
    <row r="6876" spans="5:11" x14ac:dyDescent="0.35">
      <c r="E6876" s="9" t="str">
        <v>EPSG</v>
      </c>
      <c r="F6876" s="7" t="str">
        <v>32533</v>
      </c>
      <c r="G6876" t="str">
        <v>ProjectedCrs</v>
      </c>
      <c r="H6876" t="str">
        <v>Transverse Mercator</v>
      </c>
      <c r="I6876" t="str">
        <v>WGS 72BE / UTM zone 33S</v>
      </c>
      <c r="J6876" t="str">
        <v>Between 12°E and 18°E, southern hemisphere between 80°S and equator, onshore and offshore.</v>
      </c>
      <c r="K6876" s="11">
        <v>0</v>
      </c>
    </row>
    <row r="6877" spans="5:11" x14ac:dyDescent="0.35">
      <c r="E6877" s="9" t="str">
        <v>EPSG</v>
      </c>
      <c r="F6877" s="7" t="str">
        <v>32534</v>
      </c>
      <c r="G6877" t="str">
        <v>ProjectedCrs</v>
      </c>
      <c r="H6877" t="str">
        <v>Transverse Mercator</v>
      </c>
      <c r="I6877" t="str">
        <v>WGS 72BE / UTM zone 34S</v>
      </c>
      <c r="J6877" t="str">
        <v>Between 18°E and 24°E, southern hemisphere between 80°S and equator, onshore and offshore.</v>
      </c>
      <c r="K6877" s="11">
        <v>0</v>
      </c>
    </row>
    <row r="6878" spans="5:11" x14ac:dyDescent="0.35">
      <c r="E6878" s="9" t="str">
        <v>EPSG</v>
      </c>
      <c r="F6878" s="7" t="str">
        <v>32535</v>
      </c>
      <c r="G6878" t="str">
        <v>ProjectedCrs</v>
      </c>
      <c r="H6878" t="str">
        <v>Transverse Mercator</v>
      </c>
      <c r="I6878" t="str">
        <v>WGS 72BE / UTM zone 35S</v>
      </c>
      <c r="J6878" t="str">
        <v>Between 24°E and 30°E, southern hemisphere between 80°S and equator, onshore and offshore.</v>
      </c>
      <c r="K6878" s="11">
        <v>0</v>
      </c>
    </row>
    <row r="6879" spans="5:11" x14ac:dyDescent="0.35">
      <c r="E6879" s="9" t="str">
        <v>EPSG</v>
      </c>
      <c r="F6879" s="7" t="str">
        <v>32536</v>
      </c>
      <c r="G6879" t="str">
        <v>ProjectedCrs</v>
      </c>
      <c r="H6879" t="str">
        <v>Transverse Mercator</v>
      </c>
      <c r="I6879" t="str">
        <v>WGS 72BE / UTM zone 36S</v>
      </c>
      <c r="J6879" t="str">
        <v>Between 30°E and 36°E, southern hemisphere between 80°S and equator, onshore and offshore.</v>
      </c>
      <c r="K6879" s="11">
        <v>0</v>
      </c>
    </row>
    <row r="6880" spans="5:11" x14ac:dyDescent="0.35">
      <c r="E6880" s="9" t="str">
        <v>EPSG</v>
      </c>
      <c r="F6880" s="7" t="str">
        <v>32537</v>
      </c>
      <c r="G6880" t="str">
        <v>ProjectedCrs</v>
      </c>
      <c r="H6880" t="str">
        <v>Transverse Mercator</v>
      </c>
      <c r="I6880" t="str">
        <v>WGS 72BE / UTM zone 37S</v>
      </c>
      <c r="J6880" t="str">
        <v>Between 36°E and 42°E, southern hemisphere between 80°S and equator, onshore and offshore.</v>
      </c>
      <c r="K6880" s="11">
        <v>0</v>
      </c>
    </row>
    <row r="6881" spans="5:11" x14ac:dyDescent="0.35">
      <c r="E6881" s="9" t="str">
        <v>EPSG</v>
      </c>
      <c r="F6881" s="7" t="str">
        <v>32538</v>
      </c>
      <c r="G6881" t="str">
        <v>ProjectedCrs</v>
      </c>
      <c r="H6881" t="str">
        <v>Transverse Mercator</v>
      </c>
      <c r="I6881" t="str">
        <v>WGS 72BE / UTM zone 38S</v>
      </c>
      <c r="J6881" t="str">
        <v>Between 42°E and 48°E, southern hemisphere between 80°S and equator, onshore and offshore.</v>
      </c>
      <c r="K6881" s="11">
        <v>0</v>
      </c>
    </row>
    <row r="6882" spans="5:11" x14ac:dyDescent="0.35">
      <c r="E6882" s="9" t="str">
        <v>EPSG</v>
      </c>
      <c r="F6882" s="7" t="str">
        <v>32539</v>
      </c>
      <c r="G6882" t="str">
        <v>ProjectedCrs</v>
      </c>
      <c r="H6882" t="str">
        <v>Transverse Mercator</v>
      </c>
      <c r="I6882" t="str">
        <v>WGS 72BE / UTM zone 39S</v>
      </c>
      <c r="J6882" t="str">
        <v>Between 48°E and 54°E, southern hemisphere between 80°S and equator, onshore and offshore.</v>
      </c>
      <c r="K6882" s="11">
        <v>0</v>
      </c>
    </row>
    <row r="6883" spans="5:11" x14ac:dyDescent="0.35">
      <c r="E6883" s="9" t="str">
        <v>EPSG</v>
      </c>
      <c r="F6883" s="7" t="str">
        <v>32540</v>
      </c>
      <c r="G6883" t="str">
        <v>ProjectedCrs</v>
      </c>
      <c r="H6883" t="str">
        <v>Transverse Mercator</v>
      </c>
      <c r="I6883" t="str">
        <v>WGS 72BE / UTM zone 40S</v>
      </c>
      <c r="J6883" t="str">
        <v>Between 54°E and 60°E, southern hemisphere between 80°S and equator, onshore and offshore.</v>
      </c>
      <c r="K6883" s="11">
        <v>0</v>
      </c>
    </row>
    <row r="6884" spans="5:11" x14ac:dyDescent="0.35">
      <c r="E6884" s="9" t="str">
        <v>EPSG</v>
      </c>
      <c r="F6884" s="7" t="str">
        <v>32541</v>
      </c>
      <c r="G6884" t="str">
        <v>ProjectedCrs</v>
      </c>
      <c r="H6884" t="str">
        <v>Transverse Mercator</v>
      </c>
      <c r="I6884" t="str">
        <v>WGS 72BE / UTM zone 41S</v>
      </c>
      <c r="J6884" t="str">
        <v>Between 60°E and 66°E, southern hemisphere between 80°S and equator, onshore and offshore.</v>
      </c>
      <c r="K6884" s="11">
        <v>0</v>
      </c>
    </row>
    <row r="6885" spans="5:11" x14ac:dyDescent="0.35">
      <c r="E6885" s="9" t="str">
        <v>EPSG</v>
      </c>
      <c r="F6885" s="7" t="str">
        <v>32542</v>
      </c>
      <c r="G6885" t="str">
        <v>ProjectedCrs</v>
      </c>
      <c r="H6885" t="str">
        <v>Transverse Mercator</v>
      </c>
      <c r="I6885" t="str">
        <v>WGS 72BE / UTM zone 42S</v>
      </c>
      <c r="J6885" t="str">
        <v>Between 66°E and 72°E, southern hemisphere between 80°S and equator, onshore and offshore.</v>
      </c>
      <c r="K6885" s="11">
        <v>0</v>
      </c>
    </row>
    <row r="6886" spans="5:11" x14ac:dyDescent="0.35">
      <c r="E6886" s="9" t="str">
        <v>EPSG</v>
      </c>
      <c r="F6886" s="7" t="str">
        <v>32543</v>
      </c>
      <c r="G6886" t="str">
        <v>ProjectedCrs</v>
      </c>
      <c r="H6886" t="str">
        <v>Transverse Mercator</v>
      </c>
      <c r="I6886" t="str">
        <v>WGS 72BE / UTM zone 43S</v>
      </c>
      <c r="J6886" t="str">
        <v>Between 72°E and 78°E, southern hemisphere between 80°S and equator, onshore and offshore.</v>
      </c>
      <c r="K6886" s="11">
        <v>0</v>
      </c>
    </row>
    <row r="6887" spans="5:11" x14ac:dyDescent="0.35">
      <c r="E6887" s="9" t="str">
        <v>EPSG</v>
      </c>
      <c r="F6887" s="7" t="str">
        <v>32544</v>
      </c>
      <c r="G6887" t="str">
        <v>ProjectedCrs</v>
      </c>
      <c r="H6887" t="str">
        <v>Transverse Mercator</v>
      </c>
      <c r="I6887" t="str">
        <v>WGS 72BE / UTM zone 44S</v>
      </c>
      <c r="J6887" t="str">
        <v>Between 78°E and 84°E, southern hemisphere between 80°S and equator, onshore and offshore.</v>
      </c>
      <c r="K6887" s="11">
        <v>0</v>
      </c>
    </row>
    <row r="6888" spans="5:11" x14ac:dyDescent="0.35">
      <c r="E6888" s="9" t="str">
        <v>EPSG</v>
      </c>
      <c r="F6888" s="7" t="str">
        <v>32545</v>
      </c>
      <c r="G6888" t="str">
        <v>ProjectedCrs</v>
      </c>
      <c r="H6888" t="str">
        <v>Transverse Mercator</v>
      </c>
      <c r="I6888" t="str">
        <v>WGS 72BE / UTM zone 45S</v>
      </c>
      <c r="J6888" t="str">
        <v>Between 84°E and 90°E, southern hemisphere between 80°S and equator, onshore and offshore.</v>
      </c>
      <c r="K6888" s="11">
        <v>0</v>
      </c>
    </row>
    <row r="6889" spans="5:11" x14ac:dyDescent="0.35">
      <c r="E6889" s="9" t="str">
        <v>EPSG</v>
      </c>
      <c r="F6889" s="7" t="str">
        <v>32546</v>
      </c>
      <c r="G6889" t="str">
        <v>ProjectedCrs</v>
      </c>
      <c r="H6889" t="str">
        <v>Transverse Mercator</v>
      </c>
      <c r="I6889" t="str">
        <v>WGS 72BE / UTM zone 46S</v>
      </c>
      <c r="J6889" t="str">
        <v>Between 90°E and 96°E, southern hemisphere between 80°S and equator, onshore and offshore.</v>
      </c>
      <c r="K6889" s="11">
        <v>0</v>
      </c>
    </row>
    <row r="6890" spans="5:11" x14ac:dyDescent="0.35">
      <c r="E6890" s="9" t="str">
        <v>EPSG</v>
      </c>
      <c r="F6890" s="7" t="str">
        <v>32547</v>
      </c>
      <c r="G6890" t="str">
        <v>ProjectedCrs</v>
      </c>
      <c r="H6890" t="str">
        <v>Transverse Mercator</v>
      </c>
      <c r="I6890" t="str">
        <v>WGS 72BE / UTM zone 47S</v>
      </c>
      <c r="J6890" t="str">
        <v>Between 96°E and 102°E, southern hemisphere between 80°S and equator, onshore and offshore.</v>
      </c>
      <c r="K6890" s="11">
        <v>0</v>
      </c>
    </row>
    <row r="6891" spans="5:11" x14ac:dyDescent="0.35">
      <c r="E6891" s="9" t="str">
        <v>EPSG</v>
      </c>
      <c r="F6891" s="7" t="str">
        <v>32548</v>
      </c>
      <c r="G6891" t="str">
        <v>ProjectedCrs</v>
      </c>
      <c r="H6891" t="str">
        <v>Transverse Mercator</v>
      </c>
      <c r="I6891" t="str">
        <v>WGS 72BE / UTM zone 48S</v>
      </c>
      <c r="J6891" t="str">
        <v>Between 102°E and 108°E, southern hemisphere between 80°S and equator, onshore and offshore.</v>
      </c>
      <c r="K6891" s="11">
        <v>0</v>
      </c>
    </row>
    <row r="6892" spans="5:11" x14ac:dyDescent="0.35">
      <c r="E6892" s="9" t="str">
        <v>EPSG</v>
      </c>
      <c r="F6892" s="7" t="str">
        <v>32549</v>
      </c>
      <c r="G6892" t="str">
        <v>ProjectedCrs</v>
      </c>
      <c r="H6892" t="str">
        <v>Transverse Mercator</v>
      </c>
      <c r="I6892" t="str">
        <v>WGS 72BE / UTM zone 49S</v>
      </c>
      <c r="J6892" t="str">
        <v>Between 108°E and 114°E, southern hemisphere between 80°S and equator, onshore and offshore. Indonesia - offshore.</v>
      </c>
      <c r="K6892" s="11">
        <v>0</v>
      </c>
    </row>
    <row r="6893" spans="5:11" x14ac:dyDescent="0.35">
      <c r="E6893" s="9" t="str">
        <v>EPSG</v>
      </c>
      <c r="F6893" s="7" t="str">
        <v>32550</v>
      </c>
      <c r="G6893" t="str">
        <v>ProjectedCrs</v>
      </c>
      <c r="H6893" t="str">
        <v>Transverse Mercator</v>
      </c>
      <c r="I6893" t="str">
        <v>WGS 72BE / UTM zone 50S</v>
      </c>
      <c r="J6893" t="str">
        <v>Between 114°E and 120°E, southern hemisphere between 80°S and equator, onshore and offshore.</v>
      </c>
      <c r="K6893" s="11">
        <v>0</v>
      </c>
    </row>
    <row r="6894" spans="5:11" x14ac:dyDescent="0.35">
      <c r="E6894" s="9" t="str">
        <v>EPSG</v>
      </c>
      <c r="F6894" s="7" t="str">
        <v>32551</v>
      </c>
      <c r="G6894" t="str">
        <v>ProjectedCrs</v>
      </c>
      <c r="H6894" t="str">
        <v>Transverse Mercator</v>
      </c>
      <c r="I6894" t="str">
        <v>WGS 72BE / UTM zone 51S</v>
      </c>
      <c r="J6894" t="str">
        <v>Between 120°E and 126°E, southern hemisphere between 80°S and equator, onshore and offshore.</v>
      </c>
      <c r="K6894" s="11">
        <v>0</v>
      </c>
    </row>
    <row r="6895" spans="5:11" x14ac:dyDescent="0.35">
      <c r="E6895" s="9" t="str">
        <v>EPSG</v>
      </c>
      <c r="F6895" s="7" t="str">
        <v>32552</v>
      </c>
      <c r="G6895" t="str">
        <v>ProjectedCrs</v>
      </c>
      <c r="H6895" t="str">
        <v>Transverse Mercator</v>
      </c>
      <c r="I6895" t="str">
        <v>WGS 72BE / UTM zone 52S</v>
      </c>
      <c r="J6895" t="str">
        <v>Between 126°E and 132°E, southern hemisphere between 80°S and equator, onshore and offshore.</v>
      </c>
      <c r="K6895" s="11">
        <v>0</v>
      </c>
    </row>
    <row r="6896" spans="5:11" x14ac:dyDescent="0.35">
      <c r="E6896" s="9" t="str">
        <v>EPSG</v>
      </c>
      <c r="F6896" s="7" t="str">
        <v>32553</v>
      </c>
      <c r="G6896" t="str">
        <v>ProjectedCrs</v>
      </c>
      <c r="H6896" t="str">
        <v>Transverse Mercator</v>
      </c>
      <c r="I6896" t="str">
        <v>WGS 72BE / UTM zone 53S</v>
      </c>
      <c r="J6896" t="str">
        <v>Between 132°E and 138°E, southern hemisphere between 80°S and equator, onshore and offshore.</v>
      </c>
      <c r="K6896" s="11">
        <v>0</v>
      </c>
    </row>
    <row r="6897" spans="5:11" x14ac:dyDescent="0.35">
      <c r="E6897" s="9" t="str">
        <v>EPSG</v>
      </c>
      <c r="F6897" s="7" t="str">
        <v>32554</v>
      </c>
      <c r="G6897" t="str">
        <v>ProjectedCrs</v>
      </c>
      <c r="H6897" t="str">
        <v>Transverse Mercator</v>
      </c>
      <c r="I6897" t="str">
        <v>WGS 72BE / UTM zone 54S</v>
      </c>
      <c r="J6897" t="str">
        <v>Between 138°E and 144°E, southern hemisphere between 80°S and equator, onshore and offshore.</v>
      </c>
      <c r="K6897" s="11">
        <v>0</v>
      </c>
    </row>
    <row r="6898" spans="5:11" x14ac:dyDescent="0.35">
      <c r="E6898" s="9" t="str">
        <v>EPSG</v>
      </c>
      <c r="F6898" s="7" t="str">
        <v>32555</v>
      </c>
      <c r="G6898" t="str">
        <v>ProjectedCrs</v>
      </c>
      <c r="H6898" t="str">
        <v>Transverse Mercator</v>
      </c>
      <c r="I6898" t="str">
        <v>WGS 72BE / UTM zone 55S</v>
      </c>
      <c r="J6898" t="str">
        <v>Between 144°E and 150°E, southern hemisphere between 80°S and equator, onshore and offshore.</v>
      </c>
      <c r="K6898" s="11">
        <v>0</v>
      </c>
    </row>
    <row r="6899" spans="5:11" x14ac:dyDescent="0.35">
      <c r="E6899" s="9" t="str">
        <v>EPSG</v>
      </c>
      <c r="F6899" s="7" t="str">
        <v>32556</v>
      </c>
      <c r="G6899" t="str">
        <v>ProjectedCrs</v>
      </c>
      <c r="H6899" t="str">
        <v>Transverse Mercator</v>
      </c>
      <c r="I6899" t="str">
        <v>WGS 72BE / UTM zone 56S</v>
      </c>
      <c r="J6899" t="str">
        <v>Between 150°E and 156°E, southern hemisphere between 80°S and equator, onshore and offshore.</v>
      </c>
      <c r="K6899" s="11">
        <v>0</v>
      </c>
    </row>
    <row r="6900" spans="5:11" x14ac:dyDescent="0.35">
      <c r="E6900" s="9" t="str">
        <v>EPSG</v>
      </c>
      <c r="F6900" s="7" t="str">
        <v>32557</v>
      </c>
      <c r="G6900" t="str">
        <v>ProjectedCrs</v>
      </c>
      <c r="H6900" t="str">
        <v>Transverse Mercator</v>
      </c>
      <c r="I6900" t="str">
        <v>WGS 72BE / UTM zone 57S</v>
      </c>
      <c r="J6900" t="str">
        <v>Between 156°E and 162°E, southern hemisphere between 80°S and equator, onshore and offshore.</v>
      </c>
      <c r="K6900" s="11">
        <v>0</v>
      </c>
    </row>
    <row r="6901" spans="5:11" x14ac:dyDescent="0.35">
      <c r="E6901" s="9" t="str">
        <v>EPSG</v>
      </c>
      <c r="F6901" s="7" t="str">
        <v>32558</v>
      </c>
      <c r="G6901" t="str">
        <v>ProjectedCrs</v>
      </c>
      <c r="H6901" t="str">
        <v>Transverse Mercator</v>
      </c>
      <c r="I6901" t="str">
        <v>WGS 72BE / UTM zone 58S</v>
      </c>
      <c r="J6901" t="str">
        <v>Between 162°E and 168°E, southern hemisphere between 80°S and equator, onshore and offshore.</v>
      </c>
      <c r="K6901" s="11">
        <v>0</v>
      </c>
    </row>
    <row r="6902" spans="5:11" x14ac:dyDescent="0.35">
      <c r="E6902" s="9" t="str">
        <v>EPSG</v>
      </c>
      <c r="F6902" s="7" t="str">
        <v>32559</v>
      </c>
      <c r="G6902" t="str">
        <v>ProjectedCrs</v>
      </c>
      <c r="H6902" t="str">
        <v>Transverse Mercator</v>
      </c>
      <c r="I6902" t="str">
        <v>WGS 72BE / UTM zone 59S</v>
      </c>
      <c r="J6902" t="str">
        <v>Between 168°E and 174°E, southern hemisphere between 80°S and equator, onshore and offshore.</v>
      </c>
      <c r="K6902" s="11">
        <v>0</v>
      </c>
    </row>
    <row r="6903" spans="5:11" x14ac:dyDescent="0.35">
      <c r="E6903" s="9" t="str">
        <v>EPSG</v>
      </c>
      <c r="F6903" s="7" t="str">
        <v>32560</v>
      </c>
      <c r="G6903" t="str">
        <v>ProjectedCrs</v>
      </c>
      <c r="H6903" t="str">
        <v>Transverse Mercator</v>
      </c>
      <c r="I6903" t="str">
        <v>WGS 72BE / UTM zone 60S</v>
      </c>
      <c r="J6903" t="str">
        <v>Between 174°E and 180°E, southern hemisphere between 80°S and equator, onshore and offshore.</v>
      </c>
      <c r="K6903" s="11">
        <v>0</v>
      </c>
    </row>
    <row r="6904" spans="5:11" x14ac:dyDescent="0.35">
      <c r="E6904" s="9" t="str">
        <v>EPSG</v>
      </c>
      <c r="F6904" s="7" t="str">
        <v>32600</v>
      </c>
      <c r="G6904" t="str">
        <v>ProjectedCrs</v>
      </c>
      <c r="H6904" t="str">
        <v>Transverse Mercator Zoned Grid System</v>
      </c>
      <c r="I6904" t="str">
        <v>WGS 84 / UTM grid system (northern hemisphere)</v>
      </c>
      <c r="J6904" t="str">
        <v>Northern hemisphere between equator and 84°N, onshore and offshore.</v>
      </c>
      <c r="K6904" s="11">
        <v>0</v>
      </c>
    </row>
    <row r="6905" spans="5:11" x14ac:dyDescent="0.35">
      <c r="E6905" s="9" t="str">
        <v>EPSG</v>
      </c>
      <c r="F6905" s="7" t="str">
        <v>32601</v>
      </c>
      <c r="G6905" t="str">
        <v>ProjectedCrs</v>
      </c>
      <c r="H6905" t="str">
        <v>Transverse Mercator</v>
      </c>
      <c r="I6905" t="str">
        <v>WGS 84 / UTM zone 1N</v>
      </c>
      <c r="J6905" t="str">
        <v>Between 180°W and 174°W, northern hemisphere between equator and 84°N, onshore and offshore. Russian Federation; United States (USA) - Alaska (AK).</v>
      </c>
      <c r="K6905" s="11">
        <v>0</v>
      </c>
    </row>
    <row r="6906" spans="5:11" x14ac:dyDescent="0.35">
      <c r="E6906" s="9" t="str">
        <v>EPSG</v>
      </c>
      <c r="F6906" s="7" t="str">
        <v>32602</v>
      </c>
      <c r="G6906" t="str">
        <v>ProjectedCrs</v>
      </c>
      <c r="H6906" t="str">
        <v>Transverse Mercator</v>
      </c>
      <c r="I6906" t="str">
        <v>WGS 84 / UTM zone 2N</v>
      </c>
      <c r="J6906" t="str">
        <v>Between 174°W and 168°W, northern hemisphere between equator and 84°N, onshore and offshore. Russian Federation; United States (USA) - Alaska (AK).</v>
      </c>
      <c r="K6906" s="11">
        <v>0</v>
      </c>
    </row>
    <row r="6907" spans="5:11" x14ac:dyDescent="0.35">
      <c r="E6907" s="9" t="str">
        <v>EPSG</v>
      </c>
      <c r="F6907" s="7" t="str">
        <v>32603</v>
      </c>
      <c r="G6907" t="str">
        <v>ProjectedCrs</v>
      </c>
      <c r="H6907" t="str">
        <v>Transverse Mercator</v>
      </c>
      <c r="I6907" t="str">
        <v>WGS 84 / UTM zone 3N</v>
      </c>
      <c r="J6907" t="str">
        <v>Between 168°W and 162°W, northern hemisphere between equator and 84°N, onshore and offshore. United States (USA) - Alaska (AK).</v>
      </c>
      <c r="K6907" s="11">
        <v>0</v>
      </c>
    </row>
    <row r="6908" spans="5:11" x14ac:dyDescent="0.35">
      <c r="E6908" s="9" t="str">
        <v>EPSG</v>
      </c>
      <c r="F6908" s="7" t="str">
        <v>32604</v>
      </c>
      <c r="G6908" t="str">
        <v>ProjectedCrs</v>
      </c>
      <c r="H6908" t="str">
        <v>Transverse Mercator</v>
      </c>
      <c r="I6908" t="str">
        <v>WGS 84 / UTM zone 4N</v>
      </c>
      <c r="J6908" t="str">
        <v>Between 162°W and 156°W, northern hemisphere between equator and 84°N, onshore and offshore. United States (USA) - Alaska (AK).</v>
      </c>
      <c r="K6908" s="11">
        <v>0</v>
      </c>
    </row>
    <row r="6909" spans="5:11" x14ac:dyDescent="0.35">
      <c r="E6909" s="9" t="str">
        <v>EPSG</v>
      </c>
      <c r="F6909" s="7" t="str">
        <v>32605</v>
      </c>
      <c r="G6909" t="str">
        <v>ProjectedCrs</v>
      </c>
      <c r="H6909" t="str">
        <v>Transverse Mercator</v>
      </c>
      <c r="I6909" t="str">
        <v>WGS 84 / UTM zone 5N</v>
      </c>
      <c r="J6909" t="str">
        <v>Between 156°W and 150°W, northern hemisphere between equator and 84°N, onshore and offshore. United States (USA) - Alaska (AK).</v>
      </c>
      <c r="K6909" s="11">
        <v>0</v>
      </c>
    </row>
    <row r="6910" spans="5:11" x14ac:dyDescent="0.35">
      <c r="E6910" s="9" t="str">
        <v>EPSG</v>
      </c>
      <c r="F6910" s="7" t="str">
        <v>32606</v>
      </c>
      <c r="G6910" t="str">
        <v>ProjectedCrs</v>
      </c>
      <c r="H6910" t="str">
        <v>Transverse Mercator</v>
      </c>
      <c r="I6910" t="str">
        <v>WGS 84 / UTM zone 6N</v>
      </c>
      <c r="J6910" t="str">
        <v>Between 150°W and 144°W, northern hemisphere between equator and 84°N, onshore and offshore. United States (USA) - Alaska (AK).</v>
      </c>
      <c r="K6910" s="11">
        <v>0</v>
      </c>
    </row>
    <row r="6911" spans="5:11" x14ac:dyDescent="0.35">
      <c r="E6911" s="9" t="str">
        <v>EPSG</v>
      </c>
      <c r="F6911" s="7" t="str">
        <v>32607</v>
      </c>
      <c r="G6911" t="str">
        <v>ProjectedCrs</v>
      </c>
      <c r="H6911" t="str">
        <v>Transverse Mercator</v>
      </c>
      <c r="I6911" t="str">
        <v>WGS 84 / UTM zone 7N</v>
      </c>
      <c r="J6911" t="str">
        <v>Between 144°W and 138°W, northern hemisphere between equator and 84°N, onshore and offshore. Canada - British Columbia (BC); Yukon. United States (USA) - Alaska (AK).</v>
      </c>
      <c r="K6911" s="11">
        <v>0</v>
      </c>
    </row>
    <row r="6912" spans="5:11" x14ac:dyDescent="0.35">
      <c r="E6912" s="9" t="str">
        <v>EPSG</v>
      </c>
      <c r="F6912" s="7" t="str">
        <v>32608</v>
      </c>
      <c r="G6912" t="str">
        <v>ProjectedCrs</v>
      </c>
      <c r="H6912" t="str">
        <v>Transverse Mercator</v>
      </c>
      <c r="I6912" t="str">
        <v>WGS 84 / UTM zone 8N</v>
      </c>
      <c r="J6912" t="str">
        <v>Between 138°W and 132°W, northern hemisphere between equator and 84°N, onshore and offshore. Canada - British Columbia (BC); Northwest Territiories (NWT); Yukon. United States (USA) - Alaska (AK).</v>
      </c>
      <c r="K6912" s="11">
        <v>0</v>
      </c>
    </row>
    <row r="6913" spans="5:11" x14ac:dyDescent="0.35">
      <c r="E6913" s="9" t="str">
        <v>EPSG</v>
      </c>
      <c r="F6913" s="7" t="str">
        <v>32609</v>
      </c>
      <c r="G6913" t="str">
        <v>ProjectedCrs</v>
      </c>
      <c r="H6913" t="str">
        <v>Transverse Mercator</v>
      </c>
      <c r="I6913" t="str">
        <v>WGS 84 / UTM zone 9N</v>
      </c>
      <c r="J6913" t="str">
        <v>Between 132°W and 126°W, northern hemisphere between equator and 84°N, onshore and offshore. Canada - British Columbia (BC); NorthW Territories (NWT); Yukon. United States (USA) - Alaska (AK).</v>
      </c>
      <c r="K6913" s="11">
        <v>0</v>
      </c>
    </row>
    <row r="6914" spans="5:11" x14ac:dyDescent="0.35">
      <c r="E6914" s="9" t="str">
        <v>EPSG</v>
      </c>
      <c r="F6914" s="7" t="str">
        <v>32610</v>
      </c>
      <c r="G6914" t="str">
        <v>ProjectedCrs</v>
      </c>
      <c r="H6914" t="str">
        <v>Transverse Mercator</v>
      </c>
      <c r="I6914" t="str">
        <v>WGS 84 / UTM zone 10N</v>
      </c>
      <c r="J6914" t="str">
        <v>Between 126°W and 120°W, northern hemisphere between equator and 84°N, onshore and offshore. Canada - British Columbia (BC); Northwest Territories (NWT); Nunavut; Yukon. United States (USA) - Alaska (AK).</v>
      </c>
      <c r="K6914" s="11">
        <v>0</v>
      </c>
    </row>
    <row r="6915" spans="5:11" x14ac:dyDescent="0.35">
      <c r="E6915" s="9" t="str">
        <v>EPSG</v>
      </c>
      <c r="F6915" s="7" t="str">
        <v>32611</v>
      </c>
      <c r="G6915" t="str">
        <v>ProjectedCrs</v>
      </c>
      <c r="H6915" t="str">
        <v>Transverse Mercator</v>
      </c>
      <c r="I6915" t="str">
        <v>WGS 84 / UTM zone 11N</v>
      </c>
      <c r="J6915" t="str">
        <v>Between 120°W and 114°W, northern hemisphere between equator and 84°N, onshore and offshore. Canada - Alberta; British Columbia (BC); Northwest Territories (NWT); Nunavut. Mexico. United States (USA).</v>
      </c>
      <c r="K6915" s="11">
        <v>0</v>
      </c>
    </row>
    <row r="6916" spans="5:11" x14ac:dyDescent="0.35">
      <c r="E6916" s="9" t="str">
        <v>EPSG</v>
      </c>
      <c r="F6916" s="7" t="str">
        <v>32612</v>
      </c>
      <c r="G6916" t="str">
        <v>ProjectedCrs</v>
      </c>
      <c r="H6916" t="str">
        <v>Transverse Mercator</v>
      </c>
      <c r="I6916" t="str">
        <v>WGS 84 / UTM zone 12N</v>
      </c>
      <c r="J6916" t="str">
        <v>Between 114°W and 108°W, northern hemisphere between equator and 84°N, onshore and offshore. Canada - Alberta; Northwest Territories (NWT); Nunavut; Saskatchewan. Mexico. United States (USA).</v>
      </c>
      <c r="K6916" s="11">
        <v>0</v>
      </c>
    </row>
    <row r="6917" spans="5:11" x14ac:dyDescent="0.35">
      <c r="E6917" s="9" t="str">
        <v>EPSG</v>
      </c>
      <c r="F6917" s="7" t="str">
        <v>32613</v>
      </c>
      <c r="G6917" t="str">
        <v>ProjectedCrs</v>
      </c>
      <c r="H6917" t="str">
        <v>Transverse Mercator</v>
      </c>
      <c r="I6917" t="str">
        <v>WGS 84 / UTM zone 13N</v>
      </c>
      <c r="J6917" t="str">
        <v>Between 108°W and 102°W, northern hemisphere between equator and 84°N, onshore and offshore. Canada - Northwest Territories (NWT); Nunavut; Saskatchewan. Mexico. United States (USA).</v>
      </c>
      <c r="K6917" s="11">
        <v>0</v>
      </c>
    </row>
    <row r="6918" spans="5:11" x14ac:dyDescent="0.35">
      <c r="E6918" s="9" t="str">
        <v>EPSG</v>
      </c>
      <c r="F6918" s="7" t="str">
        <v>32614</v>
      </c>
      <c r="G6918" t="str">
        <v>ProjectedCrs</v>
      </c>
      <c r="H6918" t="str">
        <v>Transverse Mercator</v>
      </c>
      <c r="I6918" t="str">
        <v>WGS 84 / UTM zone 14N</v>
      </c>
      <c r="J6918" t="str">
        <v>Between 102°W and 96°W, northern hemisphere between equator and 84°N, onshore and offshore. Canada - Manitoba; Nunavut; Saskatchewan. Mexico. United States (USA).</v>
      </c>
      <c r="K6918" s="11">
        <v>0</v>
      </c>
    </row>
    <row r="6919" spans="5:11" x14ac:dyDescent="0.35">
      <c r="E6919" s="9" t="str">
        <v>EPSG</v>
      </c>
      <c r="F6919" s="7" t="str">
        <v>32615</v>
      </c>
      <c r="G6919" t="str">
        <v>ProjectedCrs</v>
      </c>
      <c r="H6919" t="str">
        <v>Transverse Mercator</v>
      </c>
      <c r="I6919" t="str">
        <v>WGS 84 / UTM zone 15N</v>
      </c>
      <c r="J6919" t="str">
        <v>Between 96°W and 90°W, northern hemisphere between equator and 84°N, onshore and offshore. Canada - Manitoba; Nunavut; Ontario. Ecuador -Galapagos. Guatemala. Mexico. United States (USA).</v>
      </c>
      <c r="K6919" s="11">
        <v>0</v>
      </c>
    </row>
    <row r="6920" spans="5:11" x14ac:dyDescent="0.35">
      <c r="E6920" s="9" t="str">
        <v>EPSG</v>
      </c>
      <c r="F6920" s="7" t="str">
        <v>32616</v>
      </c>
      <c r="G6920" t="str">
        <v>ProjectedCrs</v>
      </c>
      <c r="H6920" t="str">
        <v>Transverse Mercator</v>
      </c>
      <c r="I6920" t="str">
        <v>WGS 84 / UTM zone 16N</v>
      </c>
      <c r="J6920" t="str">
        <v>Between 90°W and 84°W, northern hemisphere between equator and 84°N, onshore and offshore. Belize. Canada - Manitoba; Nunavut; Ontario. Costa Rica. Cuba. Ecuador - Galapagos. El Salvador. Guatemala. Honduras. Mexico. Nicaragua. United States (USA).</v>
      </c>
      <c r="K6920" s="11">
        <v>0</v>
      </c>
    </row>
    <row r="6921" spans="5:11" x14ac:dyDescent="0.35">
      <c r="E6921" s="9" t="str">
        <v>EPSG</v>
      </c>
      <c r="F6921" s="7" t="str">
        <v>32617</v>
      </c>
      <c r="G6921" t="str">
        <v>ProjectedCrs</v>
      </c>
      <c r="H6921" t="str">
        <v>Transverse Mercator</v>
      </c>
      <c r="I6921" t="str">
        <v>WGS 84 / UTM zone 17N</v>
      </c>
      <c r="J6921" t="str">
        <v>Between 84°W and 78°W, northern hemisphere between equator and 84°N, onshore and offshore. Bahamas. Ecuador - north of equator. Canada - Nunavut; Ontario; Quebec. Cayman Islands. Colombia. Costa Rica. Cuba. Jamaica. Nicaragua. Panama. United States (USA).</v>
      </c>
      <c r="K6921" s="11">
        <v>0</v>
      </c>
    </row>
    <row r="6922" spans="5:11" x14ac:dyDescent="0.35">
      <c r="E6922" s="9" t="str">
        <v>EPSG</v>
      </c>
      <c r="F6922" s="7" t="str">
        <v>32618</v>
      </c>
      <c r="G6922" t="str">
        <v>ProjectedCrs</v>
      </c>
      <c r="H6922" t="str">
        <v>Transverse Mercator</v>
      </c>
      <c r="I6922" t="str">
        <v>WGS 84 / UTM zone 18N</v>
      </c>
      <c r="J6922" t="str">
        <v>Between 78°W and 72°W, northern hemisphere between equator and 84°N, onshore and offshore. Bahamas. Canada - Nunavut; Ontario; Quebec. Colombia. Cuba. Ecuador. Greenland. Haiti. Jamaica. Panama. Turks and Caicos Islands. United States (USA). Venezuela.</v>
      </c>
      <c r="K6922" s="11">
        <v>0</v>
      </c>
    </row>
    <row r="6923" spans="5:11" x14ac:dyDescent="0.35">
      <c r="E6923" s="9" t="str">
        <v>EPSG</v>
      </c>
      <c r="F6923" s="7" t="str">
        <v>32619</v>
      </c>
      <c r="G6923" t="str">
        <v>ProjectedCrs</v>
      </c>
      <c r="H6923" t="str">
        <v>Transverse Mercator</v>
      </c>
      <c r="I6923" t="str">
        <v>WGS 84 / UTM zone 19N</v>
      </c>
      <c r="J6923" t="str">
        <v>Between 72°W and 66°W, northern hemisphere between equator and 84°N, onshore and offshore. Aruba. Bahamas. Brazil. Canada - New Brunswick (NB); Labrador; Nunavut; Nova Scotia (NS); Quebec. Colombia. Dominican Republic. Greenland. Netherlands Antilles. Puerto Rico. Turks and Caicos Islands. United States. Venezuela.</v>
      </c>
      <c r="K6923" s="11">
        <v>0</v>
      </c>
    </row>
    <row r="6924" spans="5:11" x14ac:dyDescent="0.35">
      <c r="E6924" s="9" t="str">
        <v>EPSG</v>
      </c>
      <c r="F6924" s="7" t="str">
        <v>32620</v>
      </c>
      <c r="G6924" t="str">
        <v>ProjectedCrs</v>
      </c>
      <c r="H6924" t="str">
        <v>Transverse Mercator</v>
      </c>
      <c r="I6924" t="str">
        <v>WGS 84 / UTM zone 20N</v>
      </c>
      <c r="J6924" t="str">
        <v>Between 66°W and 60°W, northern hemisphere between equator and 84°N, onshore and offshore. Anguilla. Antigua and Barbuda. Bermuda. Brazil. British Virgin Islands. Canada - New Brunswick; Labrador; Nova Scotia; Nunavut; Prince Edward Island; Quebec. Dominica. Greenland. Grenada. Guadeloupe. Guyana. Martinique. Montserrat. Puerto Rico. St Kitts and Nevis. St Barthelemy. St Lucia. St Maarten, St Martin. St Vincent and the Grenadines. Trinidad and Tobago. Venezuela. US Virgin Islands.</v>
      </c>
      <c r="K6924" s="11">
        <v>0</v>
      </c>
    </row>
    <row r="6925" spans="5:11" x14ac:dyDescent="0.35">
      <c r="E6925" s="9" t="str">
        <v>EPSG</v>
      </c>
      <c r="F6925" s="7" t="str">
        <v>32621</v>
      </c>
      <c r="G6925" t="str">
        <v>ProjectedCrs</v>
      </c>
      <c r="H6925" t="str">
        <v>Transverse Mercator</v>
      </c>
      <c r="I6925" t="str">
        <v>WGS 84 / UTM zone 21N</v>
      </c>
      <c r="J6925" t="str">
        <v>Between 60°W and 54°W, northern hemisphere between equator and 84°N, onshore and offshore. Barbados. Brazil. Canada - Newfoundland and Labrador, Quebec. French Guiana. Greenland. Guyana. St Pierre and Miquelon. Suriname.</v>
      </c>
      <c r="K6925" s="11">
        <v>0</v>
      </c>
    </row>
    <row r="6926" spans="5:11" x14ac:dyDescent="0.35">
      <c r="E6926" s="9" t="str">
        <v>EPSG</v>
      </c>
      <c r="F6926" s="7" t="str">
        <v>32622</v>
      </c>
      <c r="G6926" t="str">
        <v>ProjectedCrs</v>
      </c>
      <c r="H6926" t="str">
        <v>Transverse Mercator</v>
      </c>
      <c r="I6926" t="str">
        <v>WGS 84 / UTM zone 22N</v>
      </c>
      <c r="J6926" t="str">
        <v>Between 54°W and 48°W, northern hemisphere between equator and 84°N, onshore and offshore. Brazil. Canada - Newfoundland. French Guiana. Greenland.</v>
      </c>
      <c r="K6926" s="11">
        <v>0</v>
      </c>
    </row>
    <row r="6927" spans="5:11" x14ac:dyDescent="0.35">
      <c r="E6927" s="9" t="str">
        <v>EPSG</v>
      </c>
      <c r="F6927" s="7" t="str">
        <v>32623</v>
      </c>
      <c r="G6927" t="str">
        <v>ProjectedCrs</v>
      </c>
      <c r="H6927" t="str">
        <v>Transverse Mercator</v>
      </c>
      <c r="I6927" t="str">
        <v>WGS 84 / UTM zone 23N</v>
      </c>
      <c r="J6927" t="str">
        <v>Between 48°W and 42°W, northern hemisphere between equator and 84°N, onshore and offshore. Greenland.</v>
      </c>
      <c r="K6927" s="11">
        <v>0</v>
      </c>
    </row>
    <row r="6928" spans="5:11" x14ac:dyDescent="0.35">
      <c r="E6928" s="9" t="str">
        <v>EPSG</v>
      </c>
      <c r="F6928" s="7" t="str">
        <v>32624</v>
      </c>
      <c r="G6928" t="str">
        <v>ProjectedCrs</v>
      </c>
      <c r="H6928" t="str">
        <v>Transverse Mercator</v>
      </c>
      <c r="I6928" t="str">
        <v>WGS 84 / UTM zone 24N</v>
      </c>
      <c r="J6928" t="str">
        <v>Between 42°W and 36°W, northern hemisphere between equator and 84°N, onshore and offshore. Greenland.</v>
      </c>
      <c r="K6928" s="11">
        <v>0</v>
      </c>
    </row>
    <row r="6929" spans="5:11" x14ac:dyDescent="0.35">
      <c r="E6929" s="9" t="str">
        <v>EPSG</v>
      </c>
      <c r="F6929" s="7" t="str">
        <v>32625</v>
      </c>
      <c r="G6929" t="str">
        <v>ProjectedCrs</v>
      </c>
      <c r="H6929" t="str">
        <v>Transverse Mercator</v>
      </c>
      <c r="I6929" t="str">
        <v>WGS 84 / UTM zone 25N</v>
      </c>
      <c r="J6929" t="str">
        <v>Between 36°W and 30°W, northern hemisphere between equator and 84°N, onshore and offshore. Greenland.</v>
      </c>
      <c r="K6929" s="11">
        <v>0</v>
      </c>
    </row>
    <row r="6930" spans="5:11" x14ac:dyDescent="0.35">
      <c r="E6930" s="9" t="str">
        <v>EPSG</v>
      </c>
      <c r="F6930" s="7" t="str">
        <v>32626</v>
      </c>
      <c r="G6930" t="str">
        <v>ProjectedCrs</v>
      </c>
      <c r="H6930" t="str">
        <v>Transverse Mercator</v>
      </c>
      <c r="I6930" t="str">
        <v>WGS 84 / UTM zone 26N</v>
      </c>
      <c r="J6930" t="str">
        <v>Between 30°W and 24°W, northern hemisphere between equator and 84°N, onshore and offshore. Greenland. Iceland.</v>
      </c>
      <c r="K6930" s="11">
        <v>0</v>
      </c>
    </row>
    <row r="6931" spans="5:11" x14ac:dyDescent="0.35">
      <c r="E6931" s="9" t="str">
        <v>EPSG</v>
      </c>
      <c r="F6931" s="7" t="str">
        <v>32627</v>
      </c>
      <c r="G6931" t="str">
        <v>ProjectedCrs</v>
      </c>
      <c r="H6931" t="str">
        <v>Transverse Mercator</v>
      </c>
      <c r="I6931" t="str">
        <v>WGS 84 / UTM zone 27N</v>
      </c>
      <c r="J6931" t="str">
        <v>Between 24°W and 18°W, northern hemisphere between equator and 84°N, onshore and offshore. Greenland. Iceland.</v>
      </c>
      <c r="K6931" s="11">
        <v>0</v>
      </c>
    </row>
    <row r="6932" spans="5:11" x14ac:dyDescent="0.35">
      <c r="E6932" s="9" t="str">
        <v>EPSG</v>
      </c>
      <c r="F6932" s="7" t="str">
        <v>32628</v>
      </c>
      <c r="G6932" t="str">
        <v>ProjectedCrs</v>
      </c>
      <c r="H6932" t="str">
        <v>Transverse Mercator</v>
      </c>
      <c r="I6932" t="str">
        <v>WGS 84 / UTM zone 28N</v>
      </c>
      <c r="J6932" t="str">
        <v>Between 18°W and 12°W, northern hemisphere between equator and 84°N, onshore and offshore. Gambia. Greenland. Guinea. Guinea-Bissau. Iceland. Ireland - offshore Porcupine Basin. Mauritania. Morocco. Senegal. Sierra Leone. Western Sahara.</v>
      </c>
      <c r="K6932" s="11">
        <v>0</v>
      </c>
    </row>
    <row r="6933" spans="5:11" x14ac:dyDescent="0.35">
      <c r="E6933" s="9" t="str">
        <v>EPSG</v>
      </c>
      <c r="F6933" s="7" t="str">
        <v>32629</v>
      </c>
      <c r="G6933" t="str">
        <v>ProjectedCrs</v>
      </c>
      <c r="H6933" t="str">
        <v>Transverse Mercator</v>
      </c>
      <c r="I6933" t="str">
        <v>WGS 84 / UTM zone 29N</v>
      </c>
      <c r="J6933" t="str">
        <v>Between 12°W and 6°W, northern hemisphere between equator and 84°N, onshore and offshore. Algeria. Côte D'Ivoire (Ivory Coast). Faroe Islands. Guinea. Ireland. Jan Mayen. Liberia, Mali. Mauritania. Morocco. Portugal. Sierra Leone. Spain. United Kingdom (UK). Western Sahara.</v>
      </c>
      <c r="K6933" s="11">
        <v>0</v>
      </c>
    </row>
    <row r="6934" spans="5:11" x14ac:dyDescent="0.35">
      <c r="E6934" s="9" t="str">
        <v>EPSG</v>
      </c>
      <c r="F6934" s="7" t="str">
        <v>32630</v>
      </c>
      <c r="G6934" t="str">
        <v>ProjectedCrs</v>
      </c>
      <c r="H6934" t="str">
        <v>Transverse Mercator</v>
      </c>
      <c r="I6934" t="str">
        <v>WGS 84 / UTM zone 30N</v>
      </c>
      <c r="J6934" t="str">
        <v>Between 6°W and 0°W, northern hemisphere between equator and 84°N, onshore and offshore. Algeria. Burkina Faso. Côte' Ivoire (Ivory Coast). Faroe Islands - offshore. France. Ghana. Gibraltar. Ireland - offshore Irish Sea. Mali. Mauritania. Morocco. Spain. United Kingdom (UK).</v>
      </c>
      <c r="K6934" s="11">
        <v>0</v>
      </c>
    </row>
    <row r="6935" spans="5:11" x14ac:dyDescent="0.35">
      <c r="E6935" s="9" t="str">
        <v>EPSG</v>
      </c>
      <c r="F6935" s="7" t="str">
        <v>32631</v>
      </c>
      <c r="G6935" t="str">
        <v>ProjectedCrs</v>
      </c>
      <c r="H6935" t="str">
        <v>Transverse Mercator</v>
      </c>
      <c r="I6935" t="str">
        <v>WGS 84 / UTM zone 31N</v>
      </c>
      <c r="J6935" t="str">
        <v>Between 0°E and 6°E, northern hemisphere between equator and 84°N, onshore and offshore. Algeria. Andorra. Belgium. Benin. Burkina Faso. Denmark - North Sea. France. Germany - North Sea. Ghana. Luxembourg. Mali. Netherlands. Niger. Nigeria. Norway. Spain. Togo. United Kingdom (UK) - North Sea.</v>
      </c>
      <c r="K6935" s="11">
        <v>0</v>
      </c>
    </row>
    <row r="6936" spans="5:11" x14ac:dyDescent="0.35">
      <c r="E6936" s="9" t="str">
        <v>EPSG</v>
      </c>
      <c r="F6936" s="7" t="str">
        <v>32632</v>
      </c>
      <c r="G6936" t="str">
        <v>ProjectedCrs</v>
      </c>
      <c r="H6936" t="str">
        <v>Transverse Mercator</v>
      </c>
      <c r="I6936" t="str">
        <v>WGS 84 / UTM zone 32N</v>
      </c>
      <c r="J6936" t="str">
        <v>Between 6°E and 12°E, northern hemisphere between equator and 84°N, onshore and offshore. Algeria. Austria. Cameroon. Denmark. Equatorial Guinea. France. Gabon. Germany. Italy. Libya. Liechtenstein. Monaco. Netherlands. Niger. Nigeria. Norway. Sao Tome and Principe. Svalbard. Sweden. Switzerland. Tunisia. Vatican City State.</v>
      </c>
      <c r="K6936" s="11">
        <v>0</v>
      </c>
    </row>
    <row r="6937" spans="5:11" x14ac:dyDescent="0.35">
      <c r="E6937" s="9" t="str">
        <v>EPSG</v>
      </c>
      <c r="F6937" s="7" t="str">
        <v>32633</v>
      </c>
      <c r="G6937" t="str">
        <v>ProjectedCrs</v>
      </c>
      <c r="H6937" t="str">
        <v>Transverse Mercator</v>
      </c>
      <c r="I6937" t="str">
        <v>WGS 84 / UTM zone 33N</v>
      </c>
      <c r="J6937" t="str">
        <v>Between 12°E and 18°E, northern hemisphere between equator and 84°N, onshore and offshore. Austria. Bosnia and Herzegovina. Cameroon. Central African Republic. Chad. Congo. Croatia. Czechia. Democratic Republic of the Congo (Zaire). Gabon. Germany. Hungary. Italy. Libya. Malta. Niger. Nigeria. Norway. Poland. San Marino. Slovakia. Slovenia. Svalbard. Sweden. Vatican City State.</v>
      </c>
      <c r="K6937" s="11">
        <v>0</v>
      </c>
    </row>
    <row r="6938" spans="5:11" x14ac:dyDescent="0.35">
      <c r="E6938" s="9" t="str">
        <v>EPSG</v>
      </c>
      <c r="F6938" s="7" t="str">
        <v>32634</v>
      </c>
      <c r="G6938" t="str">
        <v>ProjectedCrs</v>
      </c>
      <c r="H6938" t="str">
        <v>Transverse Mercator</v>
      </c>
      <c r="I6938" t="str">
        <v>WGS 84 / UTM zone 34N</v>
      </c>
      <c r="J6938" t="str">
        <v>Between 18°E and 24°E, northern hemisphere between equator and 84°N, onshore and offshore. Albania. Belarus. Bosnia and Herzegovina. Bulgaria. Central African Republic. Chad. Croatia. Democratic Republic of the Congo (Zaire). Estonia. Finland. Greece. Hungary. Italy. Kosovo. Latvia. Libya. Lithuania. Montenegro. North Macedonia. Norway, including Svalbard and Bjornoys. Poland. Romania. Russian Federation. Serbia. Slovakia. Sudan. Sweden. Ukraine.</v>
      </c>
      <c r="K6938" s="11">
        <v>0</v>
      </c>
    </row>
    <row r="6939" spans="5:11" x14ac:dyDescent="0.35">
      <c r="E6939" s="9" t="str">
        <v>EPSG</v>
      </c>
      <c r="F6939" s="7" t="str">
        <v>32635</v>
      </c>
      <c r="G6939" t="str">
        <v>ProjectedCrs</v>
      </c>
      <c r="H6939" t="str">
        <v>Transverse Mercator</v>
      </c>
      <c r="I6939" t="str">
        <v>WGS 84 / UTM zone 35N</v>
      </c>
      <c r="J6939" t="str">
        <v>Between 24°E and 30°E, northern hemisphere between equator and 84°N, onshore and offshore. Belarus. Bulgaria. Central African Republic. Democratic Republic of the Congo (Zaire). Egypt. Estonia. Finland. Greece. Latvia. Lesotho. Libya. Lithuania. Moldova. Norway. Poland. Romania. Russian Federation. Sudan. Svalbard. Türkiye (Turkey). Uganda. Ukraine.</v>
      </c>
      <c r="K6939" s="11">
        <v>0</v>
      </c>
    </row>
    <row r="6940" spans="5:11" x14ac:dyDescent="0.35">
      <c r="E6940" s="9" t="str">
        <v>EPSG</v>
      </c>
      <c r="F6940" s="7" t="str">
        <v>32636</v>
      </c>
      <c r="G6940" t="str">
        <v>ProjectedCrs</v>
      </c>
      <c r="H6940" t="str">
        <v>Transverse Mercator</v>
      </c>
      <c r="I6940" t="str">
        <v>WGS 84 / UTM zone 36N</v>
      </c>
      <c r="J6940" t="str">
        <v>Between 30°E and 36°E, northern hemisphere between equator and 84°N, onshore and offshore. Belarus. Cyprus. Egypt. Ethiopia. Finland. Israel. Jordan. Kenya. Lebanon. Moldova. Norway. Russian Federation. Saudi Arabia. Sudan. Syria. Türkiye (Turkey). Uganda. Ukraine.</v>
      </c>
      <c r="K6940" s="11">
        <v>0</v>
      </c>
    </row>
    <row r="6941" spans="5:11" x14ac:dyDescent="0.35">
      <c r="E6941" s="9" t="str">
        <v>EPSG</v>
      </c>
      <c r="F6941" s="7" t="str">
        <v>32637</v>
      </c>
      <c r="G6941" t="str">
        <v>ProjectedCrs</v>
      </c>
      <c r="H6941" t="str">
        <v>Transverse Mercator</v>
      </c>
      <c r="I6941" t="str">
        <v>WGS 84 / UTM zone 37N</v>
      </c>
      <c r="J6941" t="str">
        <v>Between 36°E and 42°E, northern hemisphere between equator and 84°N, onshore and offshore. Djibouti. Egypt. Eritrea. Ethiopia. Georgia. Iraq. Jordan. Kenya. Lebanon. Russian Federation. Saudi Arabia. Somalia. Sudan. Syria. Türkiye (Turkey). Ukraine.</v>
      </c>
      <c r="K6941" s="11">
        <v>0</v>
      </c>
    </row>
    <row r="6942" spans="5:11" x14ac:dyDescent="0.35">
      <c r="E6942" s="9" t="str">
        <v>EPSG</v>
      </c>
      <c r="F6942" s="7" t="str">
        <v>32638</v>
      </c>
      <c r="G6942" t="str">
        <v>ProjectedCrs</v>
      </c>
      <c r="H6942" t="str">
        <v>Transverse Mercator</v>
      </c>
      <c r="I6942" t="str">
        <v>WGS 84 / UTM zone 38N</v>
      </c>
      <c r="J6942" t="str">
        <v>Between 42°E and 48°E, northern hemisphere between equator and 84°N, onshore and offshore. Armenia. Azerbaijan. Djibouti. Eritrea. Ethiopia. Georgia. Islamic Republic of Iran. Iraq. kazakhstan. Kuwait. Russian Federation. Saudi Arabia. Somalia. Türkiye (Turkey). Yemen.</v>
      </c>
      <c r="K6942" s="11">
        <v>0</v>
      </c>
    </row>
    <row r="6943" spans="5:11" x14ac:dyDescent="0.35">
      <c r="E6943" s="9" t="str">
        <v>EPSG</v>
      </c>
      <c r="F6943" s="7" t="str">
        <v>32639</v>
      </c>
      <c r="G6943" t="str">
        <v>ProjectedCrs</v>
      </c>
      <c r="H6943" t="str">
        <v>Transverse Mercator</v>
      </c>
      <c r="I6943" t="str">
        <v>WGS 84 / UTM zone 39N</v>
      </c>
      <c r="J6943" t="str">
        <v>Between 48°E and 54°E, northern hemisphere between equator and 84°N, onshore and offshore. Azerbaijan. Bahrain. Islamic Republic of Iran. Iraq. Kazakhstan. Kuwait. Oman. Qatar. Russian Federation. Saudi Arabia. Somalia. Turkmenistan. United Arab Emirates. Yemen.</v>
      </c>
      <c r="K6943" s="11">
        <v>0</v>
      </c>
    </row>
    <row r="6944" spans="5:11" x14ac:dyDescent="0.35">
      <c r="E6944" s="9" t="str">
        <v>EPSG</v>
      </c>
      <c r="F6944" s="7" t="str">
        <v>32640</v>
      </c>
      <c r="G6944" t="str">
        <v>ProjectedCrs</v>
      </c>
      <c r="H6944" t="str">
        <v>Transverse Mercator</v>
      </c>
      <c r="I6944" t="str">
        <v>WGS 84 / UTM zone 40N</v>
      </c>
      <c r="J6944" t="str">
        <v>Between 54°E and 60°E, northern hemisphere between equator and 84°N, onshore and offshore. Islamic Republic of Iran. kazakhstan. Oman. Russian Federation. Saudi Arabia. Turkmenistan. United Arab Emirates. Uzbekistan.</v>
      </c>
      <c r="K6944" s="11">
        <v>0</v>
      </c>
    </row>
    <row r="6945" spans="5:11" x14ac:dyDescent="0.35">
      <c r="E6945" s="9" t="str">
        <v>EPSG</v>
      </c>
      <c r="F6945" s="7" t="str">
        <v>32641</v>
      </c>
      <c r="G6945" t="str">
        <v>ProjectedCrs</v>
      </c>
      <c r="H6945" t="str">
        <v>Transverse Mercator</v>
      </c>
      <c r="I6945" t="str">
        <v>WGS 84 / UTM zone 41N</v>
      </c>
      <c r="J6945" t="str">
        <v>Between 60°E and 66°E, northern hemisphere between equator and 84°N, onshore and offshore. Afghanistan. Islamic Republic of Iran. kazakhstan. Pakistan. Russian Federation. Turkmenistan. Uzbekistan.</v>
      </c>
      <c r="K6945" s="11">
        <v>0</v>
      </c>
    </row>
    <row r="6946" spans="5:11" x14ac:dyDescent="0.35">
      <c r="E6946" s="9" t="str">
        <v>EPSG</v>
      </c>
      <c r="F6946" s="7" t="str">
        <v>32642</v>
      </c>
      <c r="G6946" t="str">
        <v>ProjectedCrs</v>
      </c>
      <c r="H6946" t="str">
        <v>Transverse Mercator</v>
      </c>
      <c r="I6946" t="str">
        <v>WGS 84 / UTM zone 42N</v>
      </c>
      <c r="J6946" t="str">
        <v>Between 66°E and 72°E, northern hemisphere between equator and 84°N, onshore and offshore. Afghanistan. India. Kazakhstan. Kyrgyzstan. Pakistan. Russian Federation. Tajikistan. Uzbekistan.</v>
      </c>
      <c r="K6946" s="11">
        <v>0</v>
      </c>
    </row>
    <row r="6947" spans="5:11" x14ac:dyDescent="0.35">
      <c r="E6947" s="9" t="str">
        <v>EPSG</v>
      </c>
      <c r="F6947" s="7" t="str">
        <v>32643</v>
      </c>
      <c r="G6947" t="str">
        <v>ProjectedCrs</v>
      </c>
      <c r="H6947" t="str">
        <v>Transverse Mercator</v>
      </c>
      <c r="I6947" t="str">
        <v>WGS 84 / UTM zone 43N</v>
      </c>
      <c r="J6947" t="str">
        <v>Between 72°E and 78°E, northern hemisphere between equator and 84°N, onshore and offshore. China. India. Kazakhstan. Kyrgyzstan. Maldives. Pakistan. Russian Federation. Tajikistan.</v>
      </c>
      <c r="K6947" s="11">
        <v>0</v>
      </c>
    </row>
    <row r="6948" spans="5:11" x14ac:dyDescent="0.35">
      <c r="E6948" s="9" t="str">
        <v>EPSG</v>
      </c>
      <c r="F6948" s="7" t="str">
        <v>32644</v>
      </c>
      <c r="G6948" t="str">
        <v>ProjectedCrs</v>
      </c>
      <c r="H6948" t="str">
        <v>Transverse Mercator</v>
      </c>
      <c r="I6948" t="str">
        <v>WGS 84 / UTM zone 44N</v>
      </c>
      <c r="J6948" t="str">
        <v>Between 78°E and 84°E, northern hemisphere between equator and 84°N, onshore and offshore. China. India. Kazakhstan. Kyrgyzstan. Nepal. Russian Federation. Sri Lanka.</v>
      </c>
      <c r="K6948" s="11">
        <v>0</v>
      </c>
    </row>
    <row r="6949" spans="5:11" x14ac:dyDescent="0.35">
      <c r="E6949" s="9" t="str">
        <v>EPSG</v>
      </c>
      <c r="F6949" s="7" t="str">
        <v>32645</v>
      </c>
      <c r="G6949" t="str">
        <v>ProjectedCrs</v>
      </c>
      <c r="H6949" t="str">
        <v>Transverse Mercator</v>
      </c>
      <c r="I6949" t="str">
        <v>WGS 84 / UTM zone 45N</v>
      </c>
      <c r="J6949" t="str">
        <v>Between 84°E and 90°E, northern hemisphere between equator and 84°N, onshore and offshore. Bangladesh. Bhutan. China. India. Kazakhstan. Mongolia. Nepal. Russian Federation.</v>
      </c>
      <c r="K6949" s="11">
        <v>0</v>
      </c>
    </row>
    <row r="6950" spans="5:11" x14ac:dyDescent="0.35">
      <c r="E6950" s="9" t="str">
        <v>EPSG</v>
      </c>
      <c r="F6950" s="7" t="str">
        <v>32646</v>
      </c>
      <c r="G6950" t="str">
        <v>ProjectedCrs</v>
      </c>
      <c r="H6950" t="str">
        <v>Transverse Mercator</v>
      </c>
      <c r="I6950" t="str">
        <v>WGS 84 / UTM zone 46N</v>
      </c>
      <c r="J6950" t="str">
        <v>Between 90°E and 96°E, northern hemisphere between equator and 84°N, onshore and offshore. Bangladesh. Bhutan. China. Indonesia. Mongolia. Myanmar (Burma). Russian Federation.</v>
      </c>
      <c r="K6950" s="11">
        <v>0</v>
      </c>
    </row>
    <row r="6951" spans="5:11" x14ac:dyDescent="0.35">
      <c r="E6951" s="9" t="str">
        <v>EPSG</v>
      </c>
      <c r="F6951" s="7" t="str">
        <v>32647</v>
      </c>
      <c r="G6951" t="str">
        <v>ProjectedCrs</v>
      </c>
      <c r="H6951" t="str">
        <v>Transverse Mercator</v>
      </c>
      <c r="I6951" t="str">
        <v>WGS 84 / UTM zone 47N</v>
      </c>
      <c r="J6951" t="str">
        <v>Between 96°E and 102°E, northern hemisphere between equator and 84°N, onshore and offshore. China. Indonesia. Laos. Malaysia - West Malaysia. Mongolia. Myanmar (Burma). Russian Federation. Thailand.</v>
      </c>
      <c r="K6951" s="11">
        <v>0</v>
      </c>
    </row>
    <row r="6952" spans="5:11" x14ac:dyDescent="0.35">
      <c r="E6952" s="9" t="str">
        <v>EPSG</v>
      </c>
      <c r="F6952" s="7" t="str">
        <v>32648</v>
      </c>
      <c r="G6952" t="str">
        <v>ProjectedCrs</v>
      </c>
      <c r="H6952" t="str">
        <v>Transverse Mercator</v>
      </c>
      <c r="I6952" t="str">
        <v>WGS 84 / UTM zone 48N</v>
      </c>
      <c r="J6952" t="str">
        <v>Between 102°E and 108°E, northern hemisphere between equator and 84°N, onshore and offshore. Cambodia. China. Indonesia. Laos. Malaysia - West Malaysia. Mongolia. Russian Federation. Singapore. Thailand. Vietnam.</v>
      </c>
      <c r="K6952" s="11">
        <v>0</v>
      </c>
    </row>
    <row r="6953" spans="5:11" x14ac:dyDescent="0.35">
      <c r="E6953" s="9" t="str">
        <v>EPSG</v>
      </c>
      <c r="F6953" s="7" t="str">
        <v>32649</v>
      </c>
      <c r="G6953" t="str">
        <v>ProjectedCrs</v>
      </c>
      <c r="H6953" t="str">
        <v>Transverse Mercator</v>
      </c>
      <c r="I6953" t="str">
        <v>WGS 84 / UTM zone 49N</v>
      </c>
      <c r="J6953" t="str">
        <v>Between 108°E and 114°E, northern hemisphere between equator and 84°N, onshore and offshore. China. Hong Kong. Indonesia. Macao. Malaysia - East Malaysia - Sarawak. Mongolia. Russian Federation. Vietnam.</v>
      </c>
      <c r="K6953" s="11">
        <v>0</v>
      </c>
    </row>
    <row r="6954" spans="5:11" x14ac:dyDescent="0.35">
      <c r="E6954" s="9" t="str">
        <v>EPSG</v>
      </c>
      <c r="F6954" s="7" t="str">
        <v>32650</v>
      </c>
      <c r="G6954" t="str">
        <v>ProjectedCrs</v>
      </c>
      <c r="H6954" t="str">
        <v>Transverse Mercator</v>
      </c>
      <c r="I6954" t="str">
        <v>WGS 84 / UTM zone 50N</v>
      </c>
      <c r="J6954" t="str">
        <v>Between 114°E and 120°E, northern hemisphere between equator and 84°N, onshore and offshore. Brunei. China. Hong Kong. Indonesia. Malaysia - East Malaysia - Sarawak. Mongolia. Philippines. Russian Federation. Taiwan.</v>
      </c>
      <c r="K6954" s="11">
        <v>0</v>
      </c>
    </row>
    <row r="6955" spans="5:11" x14ac:dyDescent="0.35">
      <c r="E6955" s="9" t="str">
        <v>EPSG</v>
      </c>
      <c r="F6955" s="7" t="str">
        <v>32651</v>
      </c>
      <c r="G6955" t="str">
        <v>ProjectedCrs</v>
      </c>
      <c r="H6955" t="str">
        <v>Transverse Mercator</v>
      </c>
      <c r="I6955" t="str">
        <v>WGS 84 / UTM zone 51N</v>
      </c>
      <c r="J6955" t="str">
        <v>Between 120°E and 126°E, northern hemisphere between equator and 84°N, onshore and offshore. China. Indonesia. Japan. North Korea. Philippines. Russian Federation. South Korea. Taiwan.</v>
      </c>
      <c r="K6955" s="11">
        <v>0</v>
      </c>
    </row>
    <row r="6956" spans="5:11" x14ac:dyDescent="0.35">
      <c r="E6956" s="9" t="str">
        <v>EPSG</v>
      </c>
      <c r="F6956" s="7" t="str">
        <v>32652</v>
      </c>
      <c r="G6956" t="str">
        <v>ProjectedCrs</v>
      </c>
      <c r="H6956" t="str">
        <v>Transverse Mercator</v>
      </c>
      <c r="I6956" t="str">
        <v>WGS 84 / UTM zone 52N</v>
      </c>
      <c r="J6956" t="str">
        <v>Between 126°E and 132°E, northern hemisphere between equator and 84°N, onshore and offshore. China. Indonesia. Japan. North Korea. Russian Federation. South Korea.</v>
      </c>
      <c r="K6956" s="11">
        <v>0</v>
      </c>
    </row>
    <row r="6957" spans="5:11" x14ac:dyDescent="0.35">
      <c r="E6957" s="9" t="str">
        <v>EPSG</v>
      </c>
      <c r="F6957" s="7" t="str">
        <v>32653</v>
      </c>
      <c r="G6957" t="str">
        <v>ProjectedCrs</v>
      </c>
      <c r="H6957" t="str">
        <v>Transverse Mercator</v>
      </c>
      <c r="I6957" t="str">
        <v>WGS 84 / UTM zone 53N</v>
      </c>
      <c r="J6957" t="str">
        <v>Between 132°E and 138°E, northern hemisphere between equator and 84°N, onshore and offshore. China. Japan. Russian Federation.</v>
      </c>
      <c r="K6957" s="11">
        <v>0</v>
      </c>
    </row>
    <row r="6958" spans="5:11" x14ac:dyDescent="0.35">
      <c r="E6958" s="9" t="str">
        <v>EPSG</v>
      </c>
      <c r="F6958" s="7" t="str">
        <v>32654</v>
      </c>
      <c r="G6958" t="str">
        <v>ProjectedCrs</v>
      </c>
      <c r="H6958" t="str">
        <v>Transverse Mercator</v>
      </c>
      <c r="I6958" t="str">
        <v>WGS 84 / UTM zone 54N</v>
      </c>
      <c r="J6958" t="str">
        <v>Between 138°E and 144°E, northern hemisphere between equator and 84°N, onshore and offshore. Japan. Russian Federation.</v>
      </c>
      <c r="K6958" s="11">
        <v>0</v>
      </c>
    </row>
    <row r="6959" spans="5:11" x14ac:dyDescent="0.35">
      <c r="E6959" s="9" t="str">
        <v>EPSG</v>
      </c>
      <c r="F6959" s="7" t="str">
        <v>32655</v>
      </c>
      <c r="G6959" t="str">
        <v>ProjectedCrs</v>
      </c>
      <c r="H6959" t="str">
        <v>Transverse Mercator</v>
      </c>
      <c r="I6959" t="str">
        <v>WGS 84 / UTM zone 55N</v>
      </c>
      <c r="J6959" t="str">
        <v>Between 144°E and 150°E, northern hemisphere between equator and 84°N, onshore and offshore. Japan. Russian Federation.</v>
      </c>
      <c r="K6959" s="11">
        <v>0</v>
      </c>
    </row>
    <row r="6960" spans="5:11" x14ac:dyDescent="0.35">
      <c r="E6960" s="9" t="str">
        <v>EPSG</v>
      </c>
      <c r="F6960" s="7" t="str">
        <v>32656</v>
      </c>
      <c r="G6960" t="str">
        <v>ProjectedCrs</v>
      </c>
      <c r="H6960" t="str">
        <v>Transverse Mercator</v>
      </c>
      <c r="I6960" t="str">
        <v>WGS 84 / UTM zone 56N</v>
      </c>
      <c r="J6960" t="str">
        <v>Between 150°E and 156°E, northern hemisphere between equator and 84°N, onshore and offshore. Russian Federation.</v>
      </c>
      <c r="K6960" s="11">
        <v>0</v>
      </c>
    </row>
    <row r="6961" spans="5:11" x14ac:dyDescent="0.35">
      <c r="E6961" s="9" t="str">
        <v>EPSG</v>
      </c>
      <c r="F6961" s="7" t="str">
        <v>32657</v>
      </c>
      <c r="G6961" t="str">
        <v>ProjectedCrs</v>
      </c>
      <c r="H6961" t="str">
        <v>Transverse Mercator</v>
      </c>
      <c r="I6961" t="str">
        <v>WGS 84 / UTM zone 57N</v>
      </c>
      <c r="J6961" t="str">
        <v>Between 156°E and 162°E, northern hemisphere between equator and 84°N, onshore and offshore. Russian Federation.</v>
      </c>
      <c r="K6961" s="11">
        <v>0</v>
      </c>
    </row>
    <row r="6962" spans="5:11" x14ac:dyDescent="0.35">
      <c r="E6962" s="9" t="str">
        <v>EPSG</v>
      </c>
      <c r="F6962" s="7" t="str">
        <v>32658</v>
      </c>
      <c r="G6962" t="str">
        <v>ProjectedCrs</v>
      </c>
      <c r="H6962" t="str">
        <v>Transverse Mercator</v>
      </c>
      <c r="I6962" t="str">
        <v>WGS 84 / UTM zone 58N</v>
      </c>
      <c r="J6962" t="str">
        <v>Between 162°E and 168°E, northern hemisphere between equator and 84°N, onshore and offshore. Russian Federation.</v>
      </c>
      <c r="K6962" s="11">
        <v>0</v>
      </c>
    </row>
    <row r="6963" spans="5:11" x14ac:dyDescent="0.35">
      <c r="E6963" s="9" t="str">
        <v>EPSG</v>
      </c>
      <c r="F6963" s="7" t="str">
        <v>32659</v>
      </c>
      <c r="G6963" t="str">
        <v>ProjectedCrs</v>
      </c>
      <c r="H6963" t="str">
        <v>Transverse Mercator</v>
      </c>
      <c r="I6963" t="str">
        <v>WGS 84 / UTM zone 59N</v>
      </c>
      <c r="J6963" t="str">
        <v>Between 168°E and 174°E, northern hemisphere between equator and 84°N, onshore and offshore. Russian Federation; United States (USA) - Alaska.</v>
      </c>
      <c r="K6963" s="11">
        <v>0</v>
      </c>
    </row>
    <row r="6964" spans="5:11" x14ac:dyDescent="0.35">
      <c r="E6964" s="9" t="str">
        <v>EPSG</v>
      </c>
      <c r="F6964" s="7" t="str">
        <v>32660</v>
      </c>
      <c r="G6964" t="str">
        <v>ProjectedCrs</v>
      </c>
      <c r="H6964" t="str">
        <v>Transverse Mercator</v>
      </c>
      <c r="I6964" t="str">
        <v>WGS 84 / UTM zone 60N</v>
      </c>
      <c r="J6964" t="str">
        <v>Between 174°E and 180°E, northern hemisphere between equator and 84°N, onshore and offshore. Russian Federation; United States (USA) - Alaska (AK).</v>
      </c>
      <c r="K6964" s="11">
        <v>0</v>
      </c>
    </row>
    <row r="6965" spans="5:11" x14ac:dyDescent="0.35">
      <c r="E6965" s="9" t="str">
        <v>EPSG</v>
      </c>
      <c r="F6965" s="7" t="str">
        <v>32661</v>
      </c>
      <c r="G6965" t="str">
        <v>ProjectedCrs</v>
      </c>
      <c r="H6965" t="str">
        <v>Polar Stereographic (variant A)</v>
      </c>
      <c r="I6965" t="str">
        <v>WGS 84 / UPS North (N,E)</v>
      </c>
      <c r="J6965" t="str">
        <v>Northern hemisphere - north of 60°N onshore and offshore, including Arctic.</v>
      </c>
      <c r="K6965" s="11">
        <v>0</v>
      </c>
    </row>
    <row r="6966" spans="5:11" x14ac:dyDescent="0.35">
      <c r="E6966" s="9" t="str">
        <v>EPSG</v>
      </c>
      <c r="F6966" s="7" t="str">
        <v>32664</v>
      </c>
      <c r="G6966" t="str">
        <v>ProjectedCrs</v>
      </c>
      <c r="H6966" t="str">
        <v>Transverse Mercator</v>
      </c>
      <c r="I6966" t="str">
        <v>WGS 84 / BLM 14N (ftUS)</v>
      </c>
      <c r="J6966" t="str">
        <v>United States (USA) - Gulf of Mexico outer continental shelf (GoM OCS) west of approximately 96°W - protraction areas Corpus Christi; Port Isabel.</v>
      </c>
      <c r="K6966" s="11">
        <v>0</v>
      </c>
    </row>
    <row r="6967" spans="5:11" x14ac:dyDescent="0.35">
      <c r="E6967" s="9" t="str">
        <v>EPSG</v>
      </c>
      <c r="F6967" s="7" t="str">
        <v>32665</v>
      </c>
      <c r="G6967" t="str">
        <v>ProjectedCrs</v>
      </c>
      <c r="H6967" t="str">
        <v>Transverse Mercator</v>
      </c>
      <c r="I6967" t="str">
        <v>WGS 84 / BLM 15N (ftUS)</v>
      </c>
      <c r="J6967" t="str">
        <v>United States (USA) - Gulf of Mexico outer continental shelf (GoM OCS) between approximately 96°W and 90°W - protraction areas East Breaks; Alaminos Canyon; Garden Banks; Keathley Canyon; Sigsbee Escarpment; Ewing Bank; Green Canyon; Walker Ridge; Amery Terrace.</v>
      </c>
      <c r="K6967" s="11">
        <v>0</v>
      </c>
    </row>
    <row r="6968" spans="5:11" x14ac:dyDescent="0.35">
      <c r="E6968" s="9" t="str">
        <v>EPSG</v>
      </c>
      <c r="F6968" s="7" t="str">
        <v>32666</v>
      </c>
      <c r="G6968" t="str">
        <v>ProjectedCrs</v>
      </c>
      <c r="H6968" t="str">
        <v>Transverse Mercator</v>
      </c>
      <c r="I6968" t="str">
        <v>WGS 84 / BLM 16N (ftUS)</v>
      </c>
      <c r="J6968" t="str">
        <v>United States (USA) - Gulf of Mexico outer continental shelf (GoM OCS) between approximately 90°W and 84°W - protraction areas Mobile; Viosca Knoll; Mississippi Canyon; Atwater Valley; Lund; Lund South; Pensacola; Destin Dome; De Soto Canyon; Lloyd Ridge; Henderson; Florida Plain; Campeche Escarpment; Apalachicola; Florida Middle Ground; The Elbow; Vernon Basin; Howell Hook; Rankin.</v>
      </c>
      <c r="K6968" s="11">
        <v>0</v>
      </c>
    </row>
    <row r="6969" spans="5:11" x14ac:dyDescent="0.35">
      <c r="E6969" s="9" t="str">
        <v>EPSG</v>
      </c>
      <c r="F6969" s="7" t="str">
        <v>32667</v>
      </c>
      <c r="G6969" t="str">
        <v>ProjectedCrs</v>
      </c>
      <c r="H6969" t="str">
        <v>Transverse Mercator</v>
      </c>
      <c r="I6969" t="str">
        <v>WGS 84 / BLM 17N (ftUS)</v>
      </c>
      <c r="J6969" t="str">
        <v>United States (USA) - Gulf of Mexico outer continental shelf (GoM OCS) east of approximately 84°W - protraction areas Gainesville; Tarpon Springs; St Petersburg; Charlotte Harbor; Pulley Ridge; Dry Tortugas; Tortugas Valley; Miami; Key West.</v>
      </c>
      <c r="K6969" s="11">
        <v>0</v>
      </c>
    </row>
    <row r="6970" spans="5:11" x14ac:dyDescent="0.35">
      <c r="E6970" s="9" t="str">
        <v>EPSG</v>
      </c>
      <c r="F6970" s="7" t="str">
        <v>32700</v>
      </c>
      <c r="G6970" t="str">
        <v>ProjectedCrs</v>
      </c>
      <c r="H6970" t="str">
        <v>Transverse Mercator Zoned Grid System</v>
      </c>
      <c r="I6970" t="str">
        <v>WGS 84 / UTM grid system (southern hemisphere)</v>
      </c>
      <c r="J6970" t="str">
        <v>Southern hemisphere between equator and 80°S, onshore and offshore.</v>
      </c>
      <c r="K6970" s="11">
        <v>0</v>
      </c>
    </row>
    <row r="6971" spans="5:11" x14ac:dyDescent="0.35">
      <c r="E6971" s="9" t="str">
        <v>EPSG</v>
      </c>
      <c r="F6971" s="7" t="str">
        <v>32701</v>
      </c>
      <c r="G6971" t="str">
        <v>ProjectedCrs</v>
      </c>
      <c r="H6971" t="str">
        <v>Transverse Mercator</v>
      </c>
      <c r="I6971" t="str">
        <v>WGS 84 / UTM zone 1S</v>
      </c>
      <c r="J6971" t="str">
        <v>Between 180°W and 174°W, southern hemisphere between 80°S and equator, onshore and offshore.</v>
      </c>
      <c r="K6971" s="11">
        <v>0</v>
      </c>
    </row>
    <row r="6972" spans="5:11" x14ac:dyDescent="0.35">
      <c r="E6972" s="9" t="str">
        <v>EPSG</v>
      </c>
      <c r="F6972" s="7" t="str">
        <v>32702</v>
      </c>
      <c r="G6972" t="str">
        <v>ProjectedCrs</v>
      </c>
      <c r="H6972" t="str">
        <v>Transverse Mercator</v>
      </c>
      <c r="I6972" t="str">
        <v>WGS 84 / UTM zone 2S</v>
      </c>
      <c r="J6972" t="str">
        <v>Between 174°W and 168°W, southern hemisphere between 80°S and equator, onshore and offshore.</v>
      </c>
      <c r="K6972" s="11">
        <v>0</v>
      </c>
    </row>
    <row r="6973" spans="5:11" x14ac:dyDescent="0.35">
      <c r="E6973" s="9" t="str">
        <v>EPSG</v>
      </c>
      <c r="F6973" s="7" t="str">
        <v>32703</v>
      </c>
      <c r="G6973" t="str">
        <v>ProjectedCrs</v>
      </c>
      <c r="H6973" t="str">
        <v>Transverse Mercator</v>
      </c>
      <c r="I6973" t="str">
        <v>WGS 84 / UTM zone 3S</v>
      </c>
      <c r="J6973" t="str">
        <v>Between 168°W and 162°W, southern hemisphere between 80°S and equator, onshore and offshore.</v>
      </c>
      <c r="K6973" s="11">
        <v>0</v>
      </c>
    </row>
    <row r="6974" spans="5:11" x14ac:dyDescent="0.35">
      <c r="E6974" s="9" t="str">
        <v>EPSG</v>
      </c>
      <c r="F6974" s="7" t="str">
        <v>32704</v>
      </c>
      <c r="G6974" t="str">
        <v>ProjectedCrs</v>
      </c>
      <c r="H6974" t="str">
        <v>Transverse Mercator</v>
      </c>
      <c r="I6974" t="str">
        <v>WGS 84 / UTM zone 4S</v>
      </c>
      <c r="J6974" t="str">
        <v>Between 162°W and 156°W, southern hemisphere between 80°S and equator, onshore and offshore.</v>
      </c>
      <c r="K6974" s="11">
        <v>0</v>
      </c>
    </row>
    <row r="6975" spans="5:11" x14ac:dyDescent="0.35">
      <c r="E6975" s="9" t="str">
        <v>EPSG</v>
      </c>
      <c r="F6975" s="7" t="str">
        <v>32705</v>
      </c>
      <c r="G6975" t="str">
        <v>ProjectedCrs</v>
      </c>
      <c r="H6975" t="str">
        <v>Transverse Mercator</v>
      </c>
      <c r="I6975" t="str">
        <v>WGS 84 / UTM zone 5S</v>
      </c>
      <c r="J6975" t="str">
        <v>Between 156°W and 150°W, southern hemisphere between 80°S and equator, onshore and offshore.</v>
      </c>
      <c r="K6975" s="11">
        <v>0</v>
      </c>
    </row>
    <row r="6976" spans="5:11" x14ac:dyDescent="0.35">
      <c r="E6976" s="9" t="str">
        <v>EPSG</v>
      </c>
      <c r="F6976" s="7" t="str">
        <v>32706</v>
      </c>
      <c r="G6976" t="str">
        <v>ProjectedCrs</v>
      </c>
      <c r="H6976" t="str">
        <v>Transverse Mercator</v>
      </c>
      <c r="I6976" t="str">
        <v>WGS 84 / UTM zone 6S</v>
      </c>
      <c r="J6976" t="str">
        <v>Between 150°W and 144°W, southern hemisphere between 80°S and equator, onshore and offshore.</v>
      </c>
      <c r="K6976" s="11">
        <v>0</v>
      </c>
    </row>
    <row r="6977" spans="5:11" x14ac:dyDescent="0.35">
      <c r="E6977" s="9" t="str">
        <v>EPSG</v>
      </c>
      <c r="F6977" s="7" t="str">
        <v>32707</v>
      </c>
      <c r="G6977" t="str">
        <v>ProjectedCrs</v>
      </c>
      <c r="H6977" t="str">
        <v>Transverse Mercator</v>
      </c>
      <c r="I6977" t="str">
        <v>WGS 84 / UTM zone 7S</v>
      </c>
      <c r="J6977" t="str">
        <v>Between 144°W and 138°W, southern hemisphere between 80°S and equator, onshore and offshore.</v>
      </c>
      <c r="K6977" s="11">
        <v>0</v>
      </c>
    </row>
    <row r="6978" spans="5:11" x14ac:dyDescent="0.35">
      <c r="E6978" s="9" t="str">
        <v>EPSG</v>
      </c>
      <c r="F6978" s="7" t="str">
        <v>32708</v>
      </c>
      <c r="G6978" t="str">
        <v>ProjectedCrs</v>
      </c>
      <c r="H6978" t="str">
        <v>Transverse Mercator</v>
      </c>
      <c r="I6978" t="str">
        <v>WGS 84 / UTM zone 8S</v>
      </c>
      <c r="J6978" t="str">
        <v>Between 138°W and 132°W, southern hemisphere between 80°S and equator, onshore and offshore.</v>
      </c>
      <c r="K6978" s="11">
        <v>0</v>
      </c>
    </row>
    <row r="6979" spans="5:11" x14ac:dyDescent="0.35">
      <c r="E6979" s="9" t="str">
        <v>EPSG</v>
      </c>
      <c r="F6979" s="7" t="str">
        <v>32709</v>
      </c>
      <c r="G6979" t="str">
        <v>ProjectedCrs</v>
      </c>
      <c r="H6979" t="str">
        <v>Transverse Mercator</v>
      </c>
      <c r="I6979" t="str">
        <v>WGS 84 / UTM zone 9S</v>
      </c>
      <c r="J6979" t="str">
        <v>Between 132°W and 126°W, southern hemisphere between 80°S and equator, onshore and offshore.</v>
      </c>
      <c r="K6979" s="11">
        <v>0</v>
      </c>
    </row>
    <row r="6980" spans="5:11" x14ac:dyDescent="0.35">
      <c r="E6980" s="9" t="str">
        <v>EPSG</v>
      </c>
      <c r="F6980" s="7" t="str">
        <v>32710</v>
      </c>
      <c r="G6980" t="str">
        <v>ProjectedCrs</v>
      </c>
      <c r="H6980" t="str">
        <v>Transverse Mercator</v>
      </c>
      <c r="I6980" t="str">
        <v>WGS 84 / UTM zone 10S</v>
      </c>
      <c r="J6980" t="str">
        <v>Between 126°W and 120°W, southern hemisphere between 80°S and equator, onshore and offshore.</v>
      </c>
      <c r="K6980" s="11">
        <v>0</v>
      </c>
    </row>
    <row r="6981" spans="5:11" x14ac:dyDescent="0.35">
      <c r="E6981" s="9" t="str">
        <v>EPSG</v>
      </c>
      <c r="F6981" s="7" t="str">
        <v>32711</v>
      </c>
      <c r="G6981" t="str">
        <v>ProjectedCrs</v>
      </c>
      <c r="H6981" t="str">
        <v>Transverse Mercator</v>
      </c>
      <c r="I6981" t="str">
        <v>WGS 84 / UTM zone 11S</v>
      </c>
      <c r="J6981" t="str">
        <v>Between 120°W and 114°W, southern hemisphere between 80°S and equator, onshore and offshore.</v>
      </c>
      <c r="K6981" s="11">
        <v>0</v>
      </c>
    </row>
    <row r="6982" spans="5:11" x14ac:dyDescent="0.35">
      <c r="E6982" s="9" t="str">
        <v>EPSG</v>
      </c>
      <c r="F6982" s="7" t="str">
        <v>32712</v>
      </c>
      <c r="G6982" t="str">
        <v>ProjectedCrs</v>
      </c>
      <c r="H6982" t="str">
        <v>Transverse Mercator</v>
      </c>
      <c r="I6982" t="str">
        <v>WGS 84 / UTM zone 12S</v>
      </c>
      <c r="J6982" t="str">
        <v>Between 114°W and 108°W, southern hemisphere between 80°S and equator, onshore and offshore.</v>
      </c>
      <c r="K6982" s="11">
        <v>0</v>
      </c>
    </row>
    <row r="6983" spans="5:11" x14ac:dyDescent="0.35">
      <c r="E6983" s="9" t="str">
        <v>EPSG</v>
      </c>
      <c r="F6983" s="7" t="str">
        <v>32713</v>
      </c>
      <c r="G6983" t="str">
        <v>ProjectedCrs</v>
      </c>
      <c r="H6983" t="str">
        <v>Transverse Mercator</v>
      </c>
      <c r="I6983" t="str">
        <v>WGS 84 / UTM zone 13S</v>
      </c>
      <c r="J6983" t="str">
        <v>Between 108°W and 102°W, southern hemisphere between 80°S and equator, onshore and offshore.</v>
      </c>
      <c r="K6983" s="11">
        <v>0</v>
      </c>
    </row>
    <row r="6984" spans="5:11" x14ac:dyDescent="0.35">
      <c r="E6984" s="9" t="str">
        <v>EPSG</v>
      </c>
      <c r="F6984" s="7" t="str">
        <v>32714</v>
      </c>
      <c r="G6984" t="str">
        <v>ProjectedCrs</v>
      </c>
      <c r="H6984" t="str">
        <v>Transverse Mercator</v>
      </c>
      <c r="I6984" t="str">
        <v>WGS 84 / UTM zone 14S</v>
      </c>
      <c r="J6984" t="str">
        <v>Between 102°W and 96°W, southern hemisphere between 80°S and equator, onshore and offshore.</v>
      </c>
      <c r="K6984" s="11">
        <v>0</v>
      </c>
    </row>
    <row r="6985" spans="5:11" x14ac:dyDescent="0.35">
      <c r="E6985" s="9" t="str">
        <v>EPSG</v>
      </c>
      <c r="F6985" s="7" t="str">
        <v>32715</v>
      </c>
      <c r="G6985" t="str">
        <v>ProjectedCrs</v>
      </c>
      <c r="H6985" t="str">
        <v>Transverse Mercator</v>
      </c>
      <c r="I6985" t="str">
        <v>WGS 84 / UTM zone 15S</v>
      </c>
      <c r="J6985" t="str">
        <v>Between 96°W and 90°W, southern hemisphere between 80°S and equator, onshore and offshore. Ecuador - Galapagos.</v>
      </c>
      <c r="K6985" s="11">
        <v>0</v>
      </c>
    </row>
    <row r="6986" spans="5:11" x14ac:dyDescent="0.35">
      <c r="E6986" s="9" t="str">
        <v>EPSG</v>
      </c>
      <c r="F6986" s="7" t="str">
        <v>32716</v>
      </c>
      <c r="G6986" t="str">
        <v>ProjectedCrs</v>
      </c>
      <c r="H6986" t="str">
        <v>Transverse Mercator</v>
      </c>
      <c r="I6986" t="str">
        <v>WGS 84 / UTM zone 16S</v>
      </c>
      <c r="J6986" t="str">
        <v>Between 90°W and 84°W, southern hemisphere between 80°S and equator, onshore and offshore. Ecuador - Galapagos.</v>
      </c>
      <c r="K6986" s="11">
        <v>0</v>
      </c>
    </row>
    <row r="6987" spans="5:11" x14ac:dyDescent="0.35">
      <c r="E6987" s="9" t="str">
        <v>EPSG</v>
      </c>
      <c r="F6987" s="7" t="str">
        <v>32717</v>
      </c>
      <c r="G6987" t="str">
        <v>ProjectedCrs</v>
      </c>
      <c r="H6987" t="str">
        <v>Transverse Mercator</v>
      </c>
      <c r="I6987" t="str">
        <v>WGS 84 / UTM zone 17S</v>
      </c>
      <c r="J6987" t="str">
        <v>Between 84°W and 78°W, southern hemisphere between 80°S and equator, onshore and offshore. Ecuador. Peru.</v>
      </c>
      <c r="K6987" s="11">
        <v>0</v>
      </c>
    </row>
    <row r="6988" spans="5:11" x14ac:dyDescent="0.35">
      <c r="E6988" s="9" t="str">
        <v>EPSG</v>
      </c>
      <c r="F6988" s="7" t="str">
        <v>32718</v>
      </c>
      <c r="G6988" t="str">
        <v>ProjectedCrs</v>
      </c>
      <c r="H6988" t="str">
        <v>Transverse Mercator</v>
      </c>
      <c r="I6988" t="str">
        <v>WGS 84 / UTM zone 18S</v>
      </c>
      <c r="J6988" t="str">
        <v>Between 78°W and 72°W, southern hemisphere between 80°S and equator, onshore and offshore. Argentina. Brazil. Chile. Colombia. Ecuador. Peru.</v>
      </c>
      <c r="K6988" s="11">
        <v>0</v>
      </c>
    </row>
    <row r="6989" spans="5:11" x14ac:dyDescent="0.35">
      <c r="E6989" s="9" t="str">
        <v>EPSG</v>
      </c>
      <c r="F6989" s="7" t="str">
        <v>32719</v>
      </c>
      <c r="G6989" t="str">
        <v>ProjectedCrs</v>
      </c>
      <c r="H6989" t="str">
        <v>Transverse Mercator</v>
      </c>
      <c r="I6989" t="str">
        <v>WGS 84 / UTM zone 19S</v>
      </c>
      <c r="J6989" t="str">
        <v>Between 72°W and 66°W, southern hemisphere between 80°S and equator, onshore and offshore. Argentina. Bolivia. Brazil. Chile. Colombia. Peru.</v>
      </c>
      <c r="K6989" s="11">
        <v>0</v>
      </c>
    </row>
    <row r="6990" spans="5:11" x14ac:dyDescent="0.35">
      <c r="E6990" s="9" t="str">
        <v>EPSG</v>
      </c>
      <c r="F6990" s="7" t="str">
        <v>32720</v>
      </c>
      <c r="G6990" t="str">
        <v>ProjectedCrs</v>
      </c>
      <c r="H6990" t="str">
        <v>Transverse Mercator</v>
      </c>
      <c r="I6990" t="str">
        <v>WGS 84 / UTM zone 20S</v>
      </c>
      <c r="J6990" t="str">
        <v>Between 66°W and 60°W, southern hemisphere between 80°S and equator, onshore and offshore. Argentina. Bolivia. Brazil. Falkland Islands (Malvinas). Paraguay.</v>
      </c>
      <c r="K6990" s="11">
        <v>0</v>
      </c>
    </row>
    <row r="6991" spans="5:11" x14ac:dyDescent="0.35">
      <c r="E6991" s="9" t="str">
        <v>EPSG</v>
      </c>
      <c r="F6991" s="7" t="str">
        <v>32721</v>
      </c>
      <c r="G6991" t="str">
        <v>ProjectedCrs</v>
      </c>
      <c r="H6991" t="str">
        <v>Transverse Mercator</v>
      </c>
      <c r="I6991" t="str">
        <v>WGS 84 / UTM zone 21S</v>
      </c>
      <c r="J6991" t="str">
        <v>Between 60°W and 54°W, southern hemisphere between 80°S and equator, onshore and offshore. Argentina. Bolivia. Brazil. Falkland Islands (Malvinas). Paraguay. Uruguay.</v>
      </c>
      <c r="K6991" s="11">
        <v>0</v>
      </c>
    </row>
    <row r="6992" spans="5:11" x14ac:dyDescent="0.35">
      <c r="E6992" s="9" t="str">
        <v>EPSG</v>
      </c>
      <c r="F6992" s="7" t="str">
        <v>32722</v>
      </c>
      <c r="G6992" t="str">
        <v>ProjectedCrs</v>
      </c>
      <c r="H6992" t="str">
        <v>Transverse Mercator</v>
      </c>
      <c r="I6992" t="str">
        <v>WGS 84 / UTM zone 22S</v>
      </c>
      <c r="J6992" t="str">
        <v>Between 54°W and 48°W, southern hemisphere between 80°S and equator, onshore and offshore. Brazil. Uruguay.</v>
      </c>
      <c r="K6992" s="11">
        <v>0</v>
      </c>
    </row>
    <row r="6993" spans="5:11" x14ac:dyDescent="0.35">
      <c r="E6993" s="9" t="str">
        <v>EPSG</v>
      </c>
      <c r="F6993" s="7" t="str">
        <v>32723</v>
      </c>
      <c r="G6993" t="str">
        <v>ProjectedCrs</v>
      </c>
      <c r="H6993" t="str">
        <v>Transverse Mercator</v>
      </c>
      <c r="I6993" t="str">
        <v>WGS 84 / UTM zone 23S</v>
      </c>
      <c r="J6993" t="str">
        <v>Between 48°W and 42°W, southern hemisphere between 80°S and equator, onshore and offshore. Brazil.</v>
      </c>
      <c r="K6993" s="11">
        <v>0</v>
      </c>
    </row>
    <row r="6994" spans="5:11" x14ac:dyDescent="0.35">
      <c r="E6994" s="9" t="str">
        <v>EPSG</v>
      </c>
      <c r="F6994" s="7" t="str">
        <v>32724</v>
      </c>
      <c r="G6994" t="str">
        <v>ProjectedCrs</v>
      </c>
      <c r="H6994" t="str">
        <v>Transverse Mercator</v>
      </c>
      <c r="I6994" t="str">
        <v>WGS 84 / UTM zone 24S</v>
      </c>
      <c r="J6994" t="str">
        <v>Between 42°W and 36°W, southern hemisphere between 80°S and equator, onshore and offshore. Brazil. South Georgia and the South Sandwich Islands.</v>
      </c>
      <c r="K6994" s="11">
        <v>0</v>
      </c>
    </row>
    <row r="6995" spans="5:11" x14ac:dyDescent="0.35">
      <c r="E6995" s="9" t="str">
        <v>EPSG</v>
      </c>
      <c r="F6995" s="7" t="str">
        <v>32725</v>
      </c>
      <c r="G6995" t="str">
        <v>ProjectedCrs</v>
      </c>
      <c r="H6995" t="str">
        <v>Transverse Mercator</v>
      </c>
      <c r="I6995" t="str">
        <v>WGS 84 / UTM zone 25S</v>
      </c>
      <c r="J6995" t="str">
        <v>Between 36°W and 30°W, southern hemisphere between 80°S and equator, onshore and offshore. Brazil.</v>
      </c>
      <c r="K6995" s="11">
        <v>0</v>
      </c>
    </row>
    <row r="6996" spans="5:11" x14ac:dyDescent="0.35">
      <c r="E6996" s="9" t="str">
        <v>EPSG</v>
      </c>
      <c r="F6996" s="7" t="str">
        <v>32726</v>
      </c>
      <c r="G6996" t="str">
        <v>ProjectedCrs</v>
      </c>
      <c r="H6996" t="str">
        <v>Transverse Mercator</v>
      </c>
      <c r="I6996" t="str">
        <v>WGS 84 / UTM zone 26S</v>
      </c>
      <c r="J6996" t="str">
        <v>Between 30°W and 24°W, southern hemisphere between 80°S and equator, onshore and offshore.</v>
      </c>
      <c r="K6996" s="11">
        <v>0</v>
      </c>
    </row>
    <row r="6997" spans="5:11" x14ac:dyDescent="0.35">
      <c r="E6997" s="9" t="str">
        <v>EPSG</v>
      </c>
      <c r="F6997" s="7" t="str">
        <v>32727</v>
      </c>
      <c r="G6997" t="str">
        <v>ProjectedCrs</v>
      </c>
      <c r="H6997" t="str">
        <v>Transverse Mercator</v>
      </c>
      <c r="I6997" t="str">
        <v>WGS 84 / UTM zone 27S</v>
      </c>
      <c r="J6997" t="str">
        <v>Between 24°W and 18°W, southern hemisphere between 80°S and equator, onshore and offshore.</v>
      </c>
      <c r="K6997" s="11">
        <v>0</v>
      </c>
    </row>
    <row r="6998" spans="5:11" x14ac:dyDescent="0.35">
      <c r="E6998" s="9" t="str">
        <v>EPSG</v>
      </c>
      <c r="F6998" s="7" t="str">
        <v>32728</v>
      </c>
      <c r="G6998" t="str">
        <v>ProjectedCrs</v>
      </c>
      <c r="H6998" t="str">
        <v>Transverse Mercator</v>
      </c>
      <c r="I6998" t="str">
        <v>WGS 84 / UTM zone 28S</v>
      </c>
      <c r="J6998" t="str">
        <v>Between 18°W and 12°W, southern hemisphere between 80°S and equator, onshore and offshore.</v>
      </c>
      <c r="K6998" s="11">
        <v>0</v>
      </c>
    </row>
    <row r="6999" spans="5:11" x14ac:dyDescent="0.35">
      <c r="E6999" s="9" t="str">
        <v>EPSG</v>
      </c>
      <c r="F6999" s="7" t="str">
        <v>32729</v>
      </c>
      <c r="G6999" t="str">
        <v>ProjectedCrs</v>
      </c>
      <c r="H6999" t="str">
        <v>Transverse Mercator</v>
      </c>
      <c r="I6999" t="str">
        <v>WGS 84 / UTM zone 29S</v>
      </c>
      <c r="J6999" t="str">
        <v>Between 12°W and 6°W, southern hemisphere between 80°S and equator, onshore and offshore.</v>
      </c>
      <c r="K6999" s="11">
        <v>0</v>
      </c>
    </row>
    <row r="7000" spans="5:11" x14ac:dyDescent="0.35">
      <c r="E7000" s="9" t="str">
        <v>EPSG</v>
      </c>
      <c r="F7000" s="7" t="str">
        <v>32730</v>
      </c>
      <c r="G7000" t="str">
        <v>ProjectedCrs</v>
      </c>
      <c r="H7000" t="str">
        <v>Transverse Mercator</v>
      </c>
      <c r="I7000" t="str">
        <v>WGS 84 / UTM zone 30S</v>
      </c>
      <c r="J7000" t="str">
        <v>Between 6°W and 0°W, southern hemisphere between 80°S and equator, onshore and offshore.</v>
      </c>
      <c r="K7000" s="11">
        <v>0</v>
      </c>
    </row>
    <row r="7001" spans="5:11" x14ac:dyDescent="0.35">
      <c r="E7001" s="9" t="str">
        <v>EPSG</v>
      </c>
      <c r="F7001" s="7" t="str">
        <v>32731</v>
      </c>
      <c r="G7001" t="str">
        <v>ProjectedCrs</v>
      </c>
      <c r="H7001" t="str">
        <v>Transverse Mercator</v>
      </c>
      <c r="I7001" t="str">
        <v>WGS 84 / UTM zone 31S</v>
      </c>
      <c r="J7001" t="str">
        <v>Between 0°E and 6°E, southern hemisphere between 80°S and equator, onshore and offshore.</v>
      </c>
      <c r="K7001" s="11">
        <v>0</v>
      </c>
    </row>
    <row r="7002" spans="5:11" x14ac:dyDescent="0.35">
      <c r="E7002" s="9" t="str">
        <v>EPSG</v>
      </c>
      <c r="F7002" s="7" t="str">
        <v>32732</v>
      </c>
      <c r="G7002" t="str">
        <v>ProjectedCrs</v>
      </c>
      <c r="H7002" t="str">
        <v>Transverse Mercator</v>
      </c>
      <c r="I7002" t="str">
        <v>WGS 84 / UTM zone 32S</v>
      </c>
      <c r="J7002" t="str">
        <v>Between 6°E and 12°E, southern hemisphere between 80°S and equator, onshore and offshore. Angola. Congo. Gabon. Namibia.</v>
      </c>
      <c r="K7002" s="11">
        <v>0</v>
      </c>
    </row>
    <row r="7003" spans="5:11" x14ac:dyDescent="0.35">
      <c r="E7003" s="9" t="str">
        <v>EPSG</v>
      </c>
      <c r="F7003" s="7" t="str">
        <v>32733</v>
      </c>
      <c r="G7003" t="str">
        <v>ProjectedCrs</v>
      </c>
      <c r="H7003" t="str">
        <v>Transverse Mercator</v>
      </c>
      <c r="I7003" t="str">
        <v>WGS 84 / UTM zone 33S</v>
      </c>
      <c r="J7003" t="str">
        <v>Between 12°E and 18°E, southern hemisphere between 80°S and equator, onshore and offshore. Angola. Congo. Democratic Republic of the Congo (Zaire). Gabon. Namibia. South Africa.</v>
      </c>
      <c r="K7003" s="11">
        <v>0</v>
      </c>
    </row>
    <row r="7004" spans="5:11" x14ac:dyDescent="0.35">
      <c r="E7004" s="9" t="str">
        <v>EPSG</v>
      </c>
      <c r="F7004" s="7" t="str">
        <v>32734</v>
      </c>
      <c r="G7004" t="str">
        <v>ProjectedCrs</v>
      </c>
      <c r="H7004" t="str">
        <v>Transverse Mercator</v>
      </c>
      <c r="I7004" t="str">
        <v>WGS 84 / UTM zone 34S</v>
      </c>
      <c r="J7004" t="str">
        <v>Between 18°E and 24°E, southern hemisphere between 80°S and equator, onshore and offshore. Angola. Botswana. Democratic Republic of the Congo (Zaire). Namibia. South Africa. Zambia.</v>
      </c>
      <c r="K7004" s="11">
        <v>0</v>
      </c>
    </row>
    <row r="7005" spans="5:11" x14ac:dyDescent="0.35">
      <c r="E7005" s="9" t="str">
        <v>EPSG</v>
      </c>
      <c r="F7005" s="7" t="str">
        <v>32735</v>
      </c>
      <c r="G7005" t="str">
        <v>ProjectedCrs</v>
      </c>
      <c r="H7005" t="str">
        <v>Transverse Mercator</v>
      </c>
      <c r="I7005" t="str">
        <v>WGS 84 / UTM zone 35S</v>
      </c>
      <c r="J7005" t="str">
        <v>Between 24°E and 30°E, southern hemisphere between 80°S and equator, onshore and offshore. Botswana. Burundi. Democratic Republic of the Congo (Zaire). Rwanda. South Africa. Tanzania. Uganda. Zambia. Zimbabwe.</v>
      </c>
      <c r="K7005" s="11">
        <v>0</v>
      </c>
    </row>
    <row r="7006" spans="5:11" x14ac:dyDescent="0.35">
      <c r="E7006" s="9" t="str">
        <v>EPSG</v>
      </c>
      <c r="F7006" s="7" t="str">
        <v>32736</v>
      </c>
      <c r="G7006" t="str">
        <v>ProjectedCrs</v>
      </c>
      <c r="H7006" t="str">
        <v>Transverse Mercator</v>
      </c>
      <c r="I7006" t="str">
        <v>WGS 84 / UTM zone 36S</v>
      </c>
      <c r="J7006" t="str">
        <v>Between 30°E and 36°E, southern hemisphere between 80°S and equator, onshore and offshore. Burundi. Eswatini (Swaziland). Kenya. Malawi. Mozambique. Rwanda. South Africa. Tanzania. Uganda. Zambia. Zimbabwe.</v>
      </c>
      <c r="K7006" s="11">
        <v>0</v>
      </c>
    </row>
    <row r="7007" spans="5:11" x14ac:dyDescent="0.35">
      <c r="E7007" s="9" t="str">
        <v>EPSG</v>
      </c>
      <c r="F7007" s="7" t="str">
        <v>32737</v>
      </c>
      <c r="G7007" t="str">
        <v>ProjectedCrs</v>
      </c>
      <c r="H7007" t="str">
        <v>Transverse Mercator</v>
      </c>
      <c r="I7007" t="str">
        <v>WGS 84 / UTM zone 37S</v>
      </c>
      <c r="J7007" t="str">
        <v>Between 36°E and 42°E, southern hemisphere between 80°S and equator, onshore and offshore. Kenya. Mozambique. Tanzania.</v>
      </c>
      <c r="K7007" s="11">
        <v>0</v>
      </c>
    </row>
    <row r="7008" spans="5:11" x14ac:dyDescent="0.35">
      <c r="E7008" s="9" t="str">
        <v>EPSG</v>
      </c>
      <c r="F7008" s="7" t="str">
        <v>32738</v>
      </c>
      <c r="G7008" t="str">
        <v>ProjectedCrs</v>
      </c>
      <c r="H7008" t="str">
        <v>Transverse Mercator</v>
      </c>
      <c r="I7008" t="str">
        <v>WGS 84 / UTM zone 38S</v>
      </c>
      <c r="J7008" t="str">
        <v>Between 42°E and 48°E, southern hemisphere between 80°S and equator, onshore and offshore. Madagascar.</v>
      </c>
      <c r="K7008" s="11">
        <v>0</v>
      </c>
    </row>
    <row r="7009" spans="5:11" x14ac:dyDescent="0.35">
      <c r="E7009" s="9" t="str">
        <v>EPSG</v>
      </c>
      <c r="F7009" s="7" t="str">
        <v>32739</v>
      </c>
      <c r="G7009" t="str">
        <v>ProjectedCrs</v>
      </c>
      <c r="H7009" t="str">
        <v>Transverse Mercator</v>
      </c>
      <c r="I7009" t="str">
        <v>WGS 84 / UTM zone 39S</v>
      </c>
      <c r="J7009" t="str">
        <v>Between 48°E and 54°E, southern hemisphere between 80°S and equator, onshore and offshore. Madagascar.</v>
      </c>
      <c r="K7009" s="11">
        <v>0</v>
      </c>
    </row>
    <row r="7010" spans="5:11" x14ac:dyDescent="0.35">
      <c r="E7010" s="9" t="str">
        <v>EPSG</v>
      </c>
      <c r="F7010" s="7" t="str">
        <v>32740</v>
      </c>
      <c r="G7010" t="str">
        <v>ProjectedCrs</v>
      </c>
      <c r="H7010" t="str">
        <v>Transverse Mercator</v>
      </c>
      <c r="I7010" t="str">
        <v>WGS 84 / UTM zone 40S</v>
      </c>
      <c r="J7010" t="str">
        <v>Between 54°E and 60°E, southern hemisphere between 80°S and equator, onshore and offshore. Seychelles.</v>
      </c>
      <c r="K7010" s="11">
        <v>0</v>
      </c>
    </row>
    <row r="7011" spans="5:11" x14ac:dyDescent="0.35">
      <c r="E7011" s="9" t="str">
        <v>EPSG</v>
      </c>
      <c r="F7011" s="7" t="str">
        <v>32741</v>
      </c>
      <c r="G7011" t="str">
        <v>ProjectedCrs</v>
      </c>
      <c r="H7011" t="str">
        <v>Transverse Mercator</v>
      </c>
      <c r="I7011" t="str">
        <v>WGS 84 / UTM zone 41S</v>
      </c>
      <c r="J7011" t="str">
        <v>Between 60°E and 66°E, southern hemisphere between 80°S and equator, onshore and offshore.</v>
      </c>
      <c r="K7011" s="11">
        <v>0</v>
      </c>
    </row>
    <row r="7012" spans="5:11" x14ac:dyDescent="0.35">
      <c r="E7012" s="9" t="str">
        <v>EPSG</v>
      </c>
      <c r="F7012" s="7" t="str">
        <v>32742</v>
      </c>
      <c r="G7012" t="str">
        <v>ProjectedCrs</v>
      </c>
      <c r="H7012" t="str">
        <v>Transverse Mercator</v>
      </c>
      <c r="I7012" t="str">
        <v>WGS 84 / UTM zone 42S</v>
      </c>
      <c r="J7012" t="str">
        <v>Between 66°E and 72°E, southern hemisphere between 80°S and equator, onshore and offshore.</v>
      </c>
      <c r="K7012" s="11">
        <v>0</v>
      </c>
    </row>
    <row r="7013" spans="5:11" x14ac:dyDescent="0.35">
      <c r="E7013" s="9" t="str">
        <v>EPSG</v>
      </c>
      <c r="F7013" s="7" t="str">
        <v>32743</v>
      </c>
      <c r="G7013" t="str">
        <v>ProjectedCrs</v>
      </c>
      <c r="H7013" t="str">
        <v>Transverse Mercator</v>
      </c>
      <c r="I7013" t="str">
        <v>WGS 84 / UTM zone 43S</v>
      </c>
      <c r="J7013" t="str">
        <v>Between 72°E and 78°E, southern hemisphere between 80°S and equator, onshore and offshore.</v>
      </c>
      <c r="K7013" s="11">
        <v>0</v>
      </c>
    </row>
    <row r="7014" spans="5:11" x14ac:dyDescent="0.35">
      <c r="E7014" s="9" t="str">
        <v>EPSG</v>
      </c>
      <c r="F7014" s="7" t="str">
        <v>32744</v>
      </c>
      <c r="G7014" t="str">
        <v>ProjectedCrs</v>
      </c>
      <c r="H7014" t="str">
        <v>Transverse Mercator</v>
      </c>
      <c r="I7014" t="str">
        <v>WGS 84 / UTM zone 44S</v>
      </c>
      <c r="J7014" t="str">
        <v>Between 78°E and 84°E, southern hemisphere between 80°S and equator, onshore and offshore.</v>
      </c>
      <c r="K7014" s="11">
        <v>0</v>
      </c>
    </row>
    <row r="7015" spans="5:11" x14ac:dyDescent="0.35">
      <c r="E7015" s="9" t="str">
        <v>EPSG</v>
      </c>
      <c r="F7015" s="7" t="str">
        <v>32745</v>
      </c>
      <c r="G7015" t="str">
        <v>ProjectedCrs</v>
      </c>
      <c r="H7015" t="str">
        <v>Transverse Mercator</v>
      </c>
      <c r="I7015" t="str">
        <v>WGS 84 / UTM zone 45S</v>
      </c>
      <c r="J7015" t="str">
        <v>Between 84°E and 90°E, southern hemisphere between 80°S and equator, onshore and offshore.</v>
      </c>
      <c r="K7015" s="11">
        <v>0</v>
      </c>
    </row>
    <row r="7016" spans="5:11" x14ac:dyDescent="0.35">
      <c r="E7016" s="9" t="str">
        <v>EPSG</v>
      </c>
      <c r="F7016" s="7" t="str">
        <v>32746</v>
      </c>
      <c r="G7016" t="str">
        <v>ProjectedCrs</v>
      </c>
      <c r="H7016" t="str">
        <v>Transverse Mercator</v>
      </c>
      <c r="I7016" t="str">
        <v>WGS 84 / UTM zone 46S</v>
      </c>
      <c r="J7016" t="str">
        <v>Between 90°E and 96°E, southern hemisphere between 80°S and equator, onshore and offshore.</v>
      </c>
      <c r="K7016" s="11">
        <v>0</v>
      </c>
    </row>
    <row r="7017" spans="5:11" x14ac:dyDescent="0.35">
      <c r="E7017" s="9" t="str">
        <v>EPSG</v>
      </c>
      <c r="F7017" s="7" t="str">
        <v>32747</v>
      </c>
      <c r="G7017" t="str">
        <v>ProjectedCrs</v>
      </c>
      <c r="H7017" t="str">
        <v>Transverse Mercator</v>
      </c>
      <c r="I7017" t="str">
        <v>WGS 84 / UTM zone 47S</v>
      </c>
      <c r="J7017" t="str">
        <v>Between 96°E and 102°E, southern hemisphere between 80°S and equator, onshore and offshore. Indonesia.</v>
      </c>
      <c r="K7017" s="11">
        <v>0</v>
      </c>
    </row>
    <row r="7018" spans="5:11" x14ac:dyDescent="0.35">
      <c r="E7018" s="9" t="str">
        <v>EPSG</v>
      </c>
      <c r="F7018" s="7" t="str">
        <v>32748</v>
      </c>
      <c r="G7018" t="str">
        <v>ProjectedCrs</v>
      </c>
      <c r="H7018" t="str">
        <v>Transverse Mercator</v>
      </c>
      <c r="I7018" t="str">
        <v>WGS 84 / UTM zone 48S</v>
      </c>
      <c r="J7018" t="str">
        <v>Between 102°E and 108°E, southern hemisphere between 80°S and equator, onshore and offshore. Indonesia.</v>
      </c>
      <c r="K7018" s="11">
        <v>0</v>
      </c>
    </row>
    <row r="7019" spans="5:11" x14ac:dyDescent="0.35">
      <c r="E7019" s="9" t="str">
        <v>EPSG</v>
      </c>
      <c r="F7019" s="7" t="str">
        <v>32749</v>
      </c>
      <c r="G7019" t="str">
        <v>ProjectedCrs</v>
      </c>
      <c r="H7019" t="str">
        <v>Transverse Mercator</v>
      </c>
      <c r="I7019" t="str">
        <v>WGS 84 / UTM zone 49S</v>
      </c>
      <c r="J7019" t="str">
        <v>Between 108°E and 114°E, southern hemisphere between 80°S and equator, onshore and offshore. Australia. Indonesia.</v>
      </c>
      <c r="K7019" s="11">
        <v>0</v>
      </c>
    </row>
    <row r="7020" spans="5:11" x14ac:dyDescent="0.35">
      <c r="E7020" s="9" t="str">
        <v>EPSG</v>
      </c>
      <c r="F7020" s="7" t="str">
        <v>32750</v>
      </c>
      <c r="G7020" t="str">
        <v>ProjectedCrs</v>
      </c>
      <c r="H7020" t="str">
        <v>Transverse Mercator</v>
      </c>
      <c r="I7020" t="str">
        <v>WGS 84 / UTM zone 50S</v>
      </c>
      <c r="J7020" t="str">
        <v>Between 114°E and 120°E, southern hemisphere between 80°S and equator, onshore and offshore. Australia. Indonesia.</v>
      </c>
      <c r="K7020" s="11">
        <v>0</v>
      </c>
    </row>
    <row r="7021" spans="5:11" x14ac:dyDescent="0.35">
      <c r="E7021" s="9" t="str">
        <v>EPSG</v>
      </c>
      <c r="F7021" s="7" t="str">
        <v>32751</v>
      </c>
      <c r="G7021" t="str">
        <v>ProjectedCrs</v>
      </c>
      <c r="H7021" t="str">
        <v>Transverse Mercator</v>
      </c>
      <c r="I7021" t="str">
        <v>WGS 84 / UTM zone 51S</v>
      </c>
      <c r="J7021" t="str">
        <v>Between 120°E and 126°E, southern hemisphere between 80°S and equator, onshore and offshore. Australia. East Timor. Indonesia.</v>
      </c>
      <c r="K7021" s="11">
        <v>0</v>
      </c>
    </row>
    <row r="7022" spans="5:11" x14ac:dyDescent="0.35">
      <c r="E7022" s="9" t="str">
        <v>EPSG</v>
      </c>
      <c r="F7022" s="7" t="str">
        <v>32752</v>
      </c>
      <c r="G7022" t="str">
        <v>ProjectedCrs</v>
      </c>
      <c r="H7022" t="str">
        <v>Transverse Mercator</v>
      </c>
      <c r="I7022" t="str">
        <v>WGS 84 / UTM zone 52S</v>
      </c>
      <c r="J7022" t="str">
        <v>Between 126°E and 132°E, southern hemisphere between 80°S and equator, onshore and offshore. Australia. East Timor. Indonesia.</v>
      </c>
      <c r="K7022" s="11">
        <v>0</v>
      </c>
    </row>
    <row r="7023" spans="5:11" x14ac:dyDescent="0.35">
      <c r="E7023" s="9" t="str">
        <v>EPSG</v>
      </c>
      <c r="F7023" s="7" t="str">
        <v>32753</v>
      </c>
      <c r="G7023" t="str">
        <v>ProjectedCrs</v>
      </c>
      <c r="H7023" t="str">
        <v>Transverse Mercator</v>
      </c>
      <c r="I7023" t="str">
        <v>WGS 84 / UTM zone 53S</v>
      </c>
      <c r="J7023" t="str">
        <v>Between 132°E and 138°E, southern hemisphere between 80°S and equator, onshore and offshore. Australia. Indonesia.</v>
      </c>
      <c r="K7023" s="11">
        <v>0</v>
      </c>
    </row>
    <row r="7024" spans="5:11" x14ac:dyDescent="0.35">
      <c r="E7024" s="9" t="str">
        <v>EPSG</v>
      </c>
      <c r="F7024" s="7" t="str">
        <v>32754</v>
      </c>
      <c r="G7024" t="str">
        <v>ProjectedCrs</v>
      </c>
      <c r="H7024" t="str">
        <v>Transverse Mercator</v>
      </c>
      <c r="I7024" t="str">
        <v>WGS 84 / UTM zone 54S</v>
      </c>
      <c r="J7024" t="str">
        <v>Between 138°E and 144°E, southern hemisphere between 80°S and equator, onshore and offshore. Australia. Indonesia. Papua New Guinea.</v>
      </c>
      <c r="K7024" s="11">
        <v>0</v>
      </c>
    </row>
    <row r="7025" spans="5:11" x14ac:dyDescent="0.35">
      <c r="E7025" s="9" t="str">
        <v>EPSG</v>
      </c>
      <c r="F7025" s="7" t="str">
        <v>32755</v>
      </c>
      <c r="G7025" t="str">
        <v>ProjectedCrs</v>
      </c>
      <c r="H7025" t="str">
        <v>Transverse Mercator</v>
      </c>
      <c r="I7025" t="str">
        <v>WGS 84 / UTM zone 55S</v>
      </c>
      <c r="J7025" t="str">
        <v>Between 144°E and 150°E, southern hemisphere between 80°S and equator, onshore and offshore. Australia. Papua New Guinea.</v>
      </c>
      <c r="K7025" s="11">
        <v>0</v>
      </c>
    </row>
    <row r="7026" spans="5:11" x14ac:dyDescent="0.35">
      <c r="E7026" s="9" t="str">
        <v>EPSG</v>
      </c>
      <c r="F7026" s="7" t="str">
        <v>32756</v>
      </c>
      <c r="G7026" t="str">
        <v>ProjectedCrs</v>
      </c>
      <c r="H7026" t="str">
        <v>Transverse Mercator</v>
      </c>
      <c r="I7026" t="str">
        <v>WGS 84 / UTM zone 56S</v>
      </c>
      <c r="J7026" t="str">
        <v>Between 150°E and 156°E, southern hemisphere between 80°S and equator, onshore and offshore. Australia. Papua New Guinea.</v>
      </c>
      <c r="K7026" s="11">
        <v>0</v>
      </c>
    </row>
    <row r="7027" spans="5:11" x14ac:dyDescent="0.35">
      <c r="E7027" s="9" t="str">
        <v>EPSG</v>
      </c>
      <c r="F7027" s="7" t="str">
        <v>32757</v>
      </c>
      <c r="G7027" t="str">
        <v>ProjectedCrs</v>
      </c>
      <c r="H7027" t="str">
        <v>Transverse Mercator</v>
      </c>
      <c r="I7027" t="str">
        <v>WGS 84 / UTM zone 57S</v>
      </c>
      <c r="J7027" t="str">
        <v>Between 156°E and 162°E, southern hemisphere between 80°S and equator, onshore and offshore.</v>
      </c>
      <c r="K7027" s="11">
        <v>0</v>
      </c>
    </row>
    <row r="7028" spans="5:11" x14ac:dyDescent="0.35">
      <c r="E7028" s="9" t="str">
        <v>EPSG</v>
      </c>
      <c r="F7028" s="7" t="str">
        <v>32758</v>
      </c>
      <c r="G7028" t="str">
        <v>ProjectedCrs</v>
      </c>
      <c r="H7028" t="str">
        <v>Transverse Mercator</v>
      </c>
      <c r="I7028" t="str">
        <v>WGS 84 / UTM zone 58S</v>
      </c>
      <c r="J7028" t="str">
        <v>Between 162°E and 168°E, southern hemisphere between 80°S and equator, onshore and offshore.</v>
      </c>
      <c r="K7028" s="11">
        <v>0</v>
      </c>
    </row>
    <row r="7029" spans="5:11" x14ac:dyDescent="0.35">
      <c r="E7029" s="9" t="str">
        <v>EPSG</v>
      </c>
      <c r="F7029" s="7" t="str">
        <v>32759</v>
      </c>
      <c r="G7029" t="str">
        <v>ProjectedCrs</v>
      </c>
      <c r="H7029" t="str">
        <v>Transverse Mercator</v>
      </c>
      <c r="I7029" t="str">
        <v>WGS 84 / UTM zone 59S</v>
      </c>
      <c r="J7029" t="str">
        <v>Between 168°E and 174°E, southern hemisphere between 80°S and equator, onshore and offshore. New Zealand.</v>
      </c>
      <c r="K7029" s="11">
        <v>0</v>
      </c>
    </row>
    <row r="7030" spans="5:11" x14ac:dyDescent="0.35">
      <c r="E7030" s="9" t="str">
        <v>EPSG</v>
      </c>
      <c r="F7030" s="7" t="str">
        <v>32760</v>
      </c>
      <c r="G7030" t="str">
        <v>ProjectedCrs</v>
      </c>
      <c r="H7030" t="str">
        <v>Transverse Mercator</v>
      </c>
      <c r="I7030" t="str">
        <v>WGS 84 / UTM zone 60S</v>
      </c>
      <c r="J7030" t="str">
        <v>Between 174°E and 180°E, southern hemisphere between 80°S and equator, onshore and offshore. New Zealand.</v>
      </c>
      <c r="K7030" s="11">
        <v>0</v>
      </c>
    </row>
    <row r="7031" spans="5:11" x14ac:dyDescent="0.35">
      <c r="E7031" s="9" t="str">
        <v>EPSG</v>
      </c>
      <c r="F7031" s="7" t="str">
        <v>32761</v>
      </c>
      <c r="G7031" t="str">
        <v>ProjectedCrs</v>
      </c>
      <c r="H7031" t="str">
        <v>Polar Stereographic (variant A)</v>
      </c>
      <c r="I7031" t="str">
        <v>WGS 84 / UPS South (N,E)</v>
      </c>
      <c r="J7031" t="str">
        <v>Southern hemisphere - south of 60°S onshore and offshore - Antarctica.</v>
      </c>
      <c r="K7031" s="11">
        <v>0</v>
      </c>
    </row>
    <row r="7032" spans="5:11" x14ac:dyDescent="0.35">
      <c r="E7032" s="9" t="str">
        <v>EPSG</v>
      </c>
      <c r="F7032" s="7" t="str">
        <v>32766</v>
      </c>
      <c r="G7032" t="str">
        <v>ProjectedCrs</v>
      </c>
      <c r="H7032" t="str">
        <v>Transverse Mercator</v>
      </c>
      <c r="I7032" t="str">
        <v>WGS 84 / TM 36 SE</v>
      </c>
      <c r="J7032" t="str">
        <v>Mozambique - offshore.</v>
      </c>
      <c r="K7032" s="11">
        <v>0</v>
      </c>
    </row>
    <row r="7033" spans="5:11" x14ac:dyDescent="0.35">
      <c r="E7033" s="9" t="str">
        <v>ESRI</v>
      </c>
      <c r="F7033" s="7" t="str">
        <v>26788</v>
      </c>
      <c r="G7033" t="str">
        <v>ProjectedCrs</v>
      </c>
      <c r="H7033" t="str">
        <v>Lambert Conic Conformal (2SP)</v>
      </c>
      <c r="I7033" t="str">
        <v>NAD_1927_StatePlane_Michigan_North_FIPS_2111</v>
      </c>
      <c r="J7033" t="str">
        <v>United States (USA) - Michigan north of approximately 45°45'N - counties of Alger; Baraga; Chippewa; Delta; Dickinson; Gogebic; Houghton; Iron; Keweenaw; Luce; Mackinac; Marquette; Menominee; Ontonagon; Schoolcraft.</v>
      </c>
      <c r="K7033" s="11">
        <v>0</v>
      </c>
    </row>
    <row r="7034" spans="5:11" x14ac:dyDescent="0.35">
      <c r="E7034" s="9" t="str">
        <v>ESRI</v>
      </c>
      <c r="F7034" s="7" t="str">
        <v>26789</v>
      </c>
      <c r="G7034" t="str">
        <v>ProjectedCrs</v>
      </c>
      <c r="H7034" t="str">
        <v>Lambert Conic Conformal (2SP)</v>
      </c>
      <c r="I7034" t="str">
        <v>NAD_1927_StatePlane_Michigan_Central_FIPS_2112</v>
      </c>
      <c r="J7034"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7034" s="11">
        <v>0</v>
      </c>
    </row>
    <row r="7035" spans="5:11" x14ac:dyDescent="0.35">
      <c r="E7035" s="9" t="str">
        <v>ESRI</v>
      </c>
      <c r="F7035" s="7" t="str">
        <v>26790</v>
      </c>
      <c r="G7035" t="str">
        <v>ProjectedCrs</v>
      </c>
      <c r="H7035" t="str">
        <v>Lambert Conic Conformal (2SP)</v>
      </c>
      <c r="I7035" t="str">
        <v>NAD_1927_StatePlane_Michigan_South_FIPS_2113</v>
      </c>
      <c r="J7035"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7035" s="11">
        <v>0</v>
      </c>
    </row>
    <row r="7036" spans="5:11" x14ac:dyDescent="0.35">
      <c r="E7036" s="9" t="str">
        <v>ESRI</v>
      </c>
      <c r="F7036" s="7" t="str">
        <v>32059</v>
      </c>
      <c r="G7036" t="str">
        <v>ProjectedCrs</v>
      </c>
      <c r="H7036" t="str">
        <v>Lambert Conic Conformal (2SP)</v>
      </c>
      <c r="I7036" t="str">
        <v>NAD_1927_StatePlane_Puerto_Rico_FIPS_5201</v>
      </c>
      <c r="J7036" t="str">
        <v>Puerto Rico - onshore and offshore.</v>
      </c>
      <c r="K7036" s="11">
        <v>0</v>
      </c>
    </row>
    <row r="7037" spans="5:11" x14ac:dyDescent="0.35">
      <c r="E7037" s="9" t="str">
        <v>ESRI</v>
      </c>
      <c r="F7037" s="7" t="str">
        <v>32060</v>
      </c>
      <c r="G7037" t="str">
        <v>ProjectedCrs</v>
      </c>
      <c r="H7037" t="str">
        <v>Lambert Conic Conformal (2SP)</v>
      </c>
      <c r="I7037" t="str">
        <v>NAD_1927_StatePlane_Virgin_Islands_St_Croix_FIPS_5202</v>
      </c>
      <c r="J7037" t="str">
        <v>US Virgin Islands - onshore and offshore - St Croix, St John, and St Thomas.</v>
      </c>
      <c r="K7037" s="11">
        <v>0</v>
      </c>
    </row>
    <row r="7038" spans="5:11" x14ac:dyDescent="0.35">
      <c r="E7038" s="9" t="str">
        <v>ESRI</v>
      </c>
      <c r="F7038" s="7" t="str">
        <v>37002</v>
      </c>
      <c r="G7038" t="str">
        <v>Geographic2DCrs</v>
      </c>
      <c r="H7038" t="str">
        <v>&lt;undefined&gt;</v>
      </c>
      <c r="I7038" t="str">
        <v>GCS_Fischer_1960</v>
      </c>
      <c r="J7038" t="str">
        <v>World.</v>
      </c>
      <c r="K7038" s="11">
        <v>0</v>
      </c>
    </row>
    <row r="7039" spans="5:11" x14ac:dyDescent="0.35">
      <c r="E7039" s="9" t="str">
        <v>ESRI</v>
      </c>
      <c r="F7039" s="7" t="str">
        <v>37003</v>
      </c>
      <c r="G7039" t="str">
        <v>Geographic2DCrs</v>
      </c>
      <c r="H7039" t="str">
        <v>&lt;undefined&gt;</v>
      </c>
      <c r="I7039" t="str">
        <v>GCS_Fischer_1968</v>
      </c>
      <c r="J7039" t="str">
        <v>World.</v>
      </c>
      <c r="K7039" s="11">
        <v>0</v>
      </c>
    </row>
    <row r="7040" spans="5:11" x14ac:dyDescent="0.35">
      <c r="E7040" s="9" t="str">
        <v>ESRI</v>
      </c>
      <c r="F7040" s="7" t="str">
        <v>37004</v>
      </c>
      <c r="G7040" t="str">
        <v>Geographic2DCrs</v>
      </c>
      <c r="H7040" t="str">
        <v>&lt;undefined&gt;</v>
      </c>
      <c r="I7040" t="str">
        <v>GCS_Fischer_Modified</v>
      </c>
      <c r="J7040" t="str">
        <v>World.</v>
      </c>
      <c r="K7040" s="11">
        <v>0</v>
      </c>
    </row>
    <row r="7041" spans="5:11" x14ac:dyDescent="0.35">
      <c r="E7041" s="9" t="str">
        <v>ESRI</v>
      </c>
      <c r="F7041" s="7" t="str">
        <v>37005</v>
      </c>
      <c r="G7041" t="str">
        <v>Geographic2DCrs</v>
      </c>
      <c r="H7041" t="str">
        <v>&lt;undefined&gt;</v>
      </c>
      <c r="I7041" t="str">
        <v>GCS_Hough_1960</v>
      </c>
      <c r="J7041" t="str">
        <v>World.</v>
      </c>
      <c r="K7041" s="11">
        <v>0</v>
      </c>
    </row>
    <row r="7042" spans="5:11" x14ac:dyDescent="0.35">
      <c r="E7042" s="9" t="str">
        <v>ESRI</v>
      </c>
      <c r="F7042" s="7" t="str">
        <v>37006</v>
      </c>
      <c r="G7042" t="str">
        <v>Geographic2DCrs</v>
      </c>
      <c r="H7042" t="str">
        <v>&lt;undefined&gt;</v>
      </c>
      <c r="I7042" t="str">
        <v>GCS_Everest_Modified_1969</v>
      </c>
      <c r="J7042" t="str">
        <v>World.</v>
      </c>
      <c r="K7042" s="11">
        <v>0</v>
      </c>
    </row>
    <row r="7043" spans="5:11" x14ac:dyDescent="0.35">
      <c r="E7043" s="9" t="str">
        <v>ESRI</v>
      </c>
      <c r="F7043" s="7" t="str">
        <v>37007</v>
      </c>
      <c r="G7043" t="str">
        <v>Geographic2DCrs</v>
      </c>
      <c r="H7043" t="str">
        <v>&lt;undefined&gt;</v>
      </c>
      <c r="I7043" t="str">
        <v>GCS_Walbeck</v>
      </c>
      <c r="J7043" t="str">
        <v>World.</v>
      </c>
      <c r="K7043" s="11">
        <v>0</v>
      </c>
    </row>
    <row r="7044" spans="5:11" x14ac:dyDescent="0.35">
      <c r="E7044" s="9" t="str">
        <v>ESRI</v>
      </c>
      <c r="F7044" s="7" t="str">
        <v>37008</v>
      </c>
      <c r="G7044" t="str">
        <v>Geographic2DCrs</v>
      </c>
      <c r="H7044" t="str">
        <v>&lt;undefined&gt;</v>
      </c>
      <c r="I7044" t="str">
        <v>GCS_Sphere_ARC_INFO</v>
      </c>
      <c r="J7044" t="str">
        <v>World.</v>
      </c>
      <c r="K7044" s="11">
        <v>0</v>
      </c>
    </row>
    <row r="7045" spans="5:11" x14ac:dyDescent="0.35">
      <c r="E7045" s="9" t="str">
        <v>ESRI</v>
      </c>
      <c r="F7045" s="7" t="str">
        <v>37202</v>
      </c>
      <c r="G7045" t="str">
        <v>Geographic2DCrs</v>
      </c>
      <c r="H7045" t="str">
        <v>&lt;undefined&gt;</v>
      </c>
      <c r="I7045" t="str">
        <v>GCS_Everest_Bangladesh</v>
      </c>
      <c r="J7045" t="str">
        <v>Bangladesh - onshore and offshore.</v>
      </c>
      <c r="K7045" s="11">
        <v>0</v>
      </c>
    </row>
    <row r="7046" spans="5:11" x14ac:dyDescent="0.35">
      <c r="E7046" s="9" t="str">
        <v>ESRI</v>
      </c>
      <c r="F7046" s="7" t="str">
        <v>37203</v>
      </c>
      <c r="G7046" t="str">
        <v>Geographic2DCrs</v>
      </c>
      <c r="H7046" t="str">
        <v>&lt;undefined&gt;</v>
      </c>
      <c r="I7046" t="str">
        <v>GCS_Everest_India_Nepal</v>
      </c>
      <c r="J7046" t="str">
        <v>India - onshore and offshore. Includes Amandivis, Laccadives, Minicoy, Andaman Islands, Nicobar Islands, and Sikkim.</v>
      </c>
      <c r="K7046" s="11">
        <v>0</v>
      </c>
    </row>
    <row r="7047" spans="5:11" x14ac:dyDescent="0.35">
      <c r="E7047" s="9" t="str">
        <v>ESRI</v>
      </c>
      <c r="F7047" s="7" t="str">
        <v>37206</v>
      </c>
      <c r="G7047" t="str">
        <v>Geographic2DCrs</v>
      </c>
      <c r="H7047" t="str">
        <v>&lt;undefined&gt;</v>
      </c>
      <c r="I7047" t="str">
        <v>GCS_Oman</v>
      </c>
      <c r="J7047" t="str">
        <v>Oman - onshore and offshore.</v>
      </c>
      <c r="K7047" s="11">
        <v>0</v>
      </c>
    </row>
    <row r="7048" spans="5:11" x14ac:dyDescent="0.35">
      <c r="E7048" s="9" t="str">
        <v>ESRI</v>
      </c>
      <c r="F7048" s="7" t="str">
        <v>37207</v>
      </c>
      <c r="G7048" t="str">
        <v>Geographic2DCrs</v>
      </c>
      <c r="H7048" t="str">
        <v>&lt;undefined&gt;</v>
      </c>
      <c r="I7048" t="str">
        <v>GCS_South_Asia_Singapore</v>
      </c>
      <c r="J7048" t="str">
        <v>Singapore - onshore and offshore.</v>
      </c>
      <c r="K7048" s="11">
        <v>0</v>
      </c>
    </row>
    <row r="7049" spans="5:11" x14ac:dyDescent="0.35">
      <c r="E7049" s="9" t="str">
        <v>ESRI</v>
      </c>
      <c r="F7049" s="7" t="str">
        <v>37218</v>
      </c>
      <c r="G7049" t="str">
        <v>Geographic2DCrs</v>
      </c>
      <c r="H7049" t="str">
        <v>&lt;undefined&gt;</v>
      </c>
      <c r="I7049" t="str">
        <v>GCS_DOS_1968</v>
      </c>
      <c r="J7049" t="str">
        <v>Solomon Islands - Western Islands - New Georgia, Ghizo (Gizo).</v>
      </c>
      <c r="K7049" s="11">
        <v>0</v>
      </c>
    </row>
    <row r="7050" spans="5:11" x14ac:dyDescent="0.35">
      <c r="E7050" s="9" t="str">
        <v>ESRI</v>
      </c>
      <c r="F7050" s="7" t="str">
        <v>37221</v>
      </c>
      <c r="G7050" t="str">
        <v>Geographic2DCrs</v>
      </c>
      <c r="H7050" t="str">
        <v>&lt;undefined&gt;</v>
      </c>
      <c r="I7050" t="str">
        <v>GCS_GUX_1</v>
      </c>
      <c r="J7050" t="str">
        <v>Solomon Islands - Guadalcanal Island.</v>
      </c>
      <c r="K7050" s="11">
        <v>0</v>
      </c>
    </row>
    <row r="7051" spans="5:11" x14ac:dyDescent="0.35">
      <c r="E7051" s="9" t="str">
        <v>ESRI</v>
      </c>
      <c r="F7051" s="7" t="str">
        <v>37225</v>
      </c>
      <c r="G7051" t="str">
        <v>Geographic2DCrs</v>
      </c>
      <c r="H7051" t="str">
        <v>&lt;undefined&gt;</v>
      </c>
      <c r="I7051" t="str">
        <v>GCS_Carthage_Grad</v>
      </c>
      <c r="J7051" t="str">
        <v>Tunisia - onshore and offshore.</v>
      </c>
      <c r="K7051" s="11">
        <v>0</v>
      </c>
    </row>
    <row r="7052" spans="5:11" x14ac:dyDescent="0.35">
      <c r="E7052" s="9" t="str">
        <v>ESRI</v>
      </c>
      <c r="F7052" s="7" t="str">
        <v>37240</v>
      </c>
      <c r="G7052" t="str">
        <v>Geographic2DCrs</v>
      </c>
      <c r="H7052" t="str">
        <v>&lt;undefined&gt;</v>
      </c>
      <c r="I7052" t="str">
        <v>GCS_Fort_Thomas_1955</v>
      </c>
      <c r="J7052" t="str">
        <v>St Kitts and Nevis - onshore and offshore.</v>
      </c>
      <c r="K7052" s="11">
        <v>0</v>
      </c>
    </row>
    <row r="7053" spans="5:11" x14ac:dyDescent="0.35">
      <c r="E7053" s="9" t="str">
        <v>ESRI</v>
      </c>
      <c r="F7053" s="7" t="str">
        <v>37241</v>
      </c>
      <c r="G7053" t="str">
        <v>Geographic2DCrs</v>
      </c>
      <c r="H7053" t="str">
        <v>&lt;undefined&gt;</v>
      </c>
      <c r="I7053" t="str">
        <v>GCS_Graciosa_Base_SW_1948</v>
      </c>
      <c r="J7053" t="str">
        <v>Portugal - central Azores onshore - Faial, Graciosa, Pico, Sao Jorge, Terceira.</v>
      </c>
      <c r="K7053" s="11">
        <v>0</v>
      </c>
    </row>
    <row r="7054" spans="5:11" x14ac:dyDescent="0.35">
      <c r="E7054" s="9" t="str">
        <v>ESRI</v>
      </c>
      <c r="F7054" s="7" t="str">
        <v>37243</v>
      </c>
      <c r="G7054" t="str">
        <v>Geographic2DCrs</v>
      </c>
      <c r="H7054" t="str">
        <v>&lt;undefined&gt;</v>
      </c>
      <c r="I7054" t="str">
        <v>GCS_LC5_1961</v>
      </c>
      <c r="J7054" t="str">
        <v>Cayman Islands - Little Cayman and Cayman Brac.</v>
      </c>
      <c r="K7054" s="11">
        <v>0</v>
      </c>
    </row>
    <row r="7055" spans="5:11" x14ac:dyDescent="0.35">
      <c r="E7055" s="9" t="str">
        <v>ESRI</v>
      </c>
      <c r="F7055" s="7" t="str">
        <v>37245</v>
      </c>
      <c r="G7055" t="str">
        <v>Geographic2DCrs</v>
      </c>
      <c r="H7055" t="str">
        <v>&lt;undefined&gt;</v>
      </c>
      <c r="I7055" t="str">
        <v>GCS_Observatorio_Meteorologico_1939</v>
      </c>
      <c r="J7055" t="str">
        <v>Portugal - western Azores onshore - Flores, Corvo.</v>
      </c>
      <c r="K7055" s="11">
        <v>0</v>
      </c>
    </row>
    <row r="7056" spans="5:11" x14ac:dyDescent="0.35">
      <c r="E7056" s="9" t="str">
        <v>ESRI</v>
      </c>
      <c r="F7056" s="7" t="str">
        <v>37249</v>
      </c>
      <c r="G7056" t="str">
        <v>Geographic2DCrs</v>
      </c>
      <c r="H7056" t="str">
        <v>&lt;undefined&gt;</v>
      </c>
      <c r="I7056" t="str">
        <v>GCS_Sao_Braz</v>
      </c>
      <c r="J7056" t="str">
        <v>Portugal - eastern Azores onshore - Sao Miguel, Santa Maria, Formigas.</v>
      </c>
      <c r="K7056" s="11">
        <v>0</v>
      </c>
    </row>
    <row r="7057" spans="5:11" x14ac:dyDescent="0.35">
      <c r="E7057" s="9" t="str">
        <v>ESRI</v>
      </c>
      <c r="F7057" s="7" t="str">
        <v>37257</v>
      </c>
      <c r="G7057" t="str">
        <v>Geographic2DCrs</v>
      </c>
      <c r="H7057" t="str">
        <v>&lt;undefined&gt;</v>
      </c>
      <c r="I7057" t="str">
        <v>GCS_S42_Hungary</v>
      </c>
      <c r="J7057" t="str">
        <v>Hungary.</v>
      </c>
      <c r="K7057" s="11">
        <v>0</v>
      </c>
    </row>
    <row r="7058" spans="5:11" x14ac:dyDescent="0.35">
      <c r="E7058" s="9" t="str">
        <v>ESRI</v>
      </c>
      <c r="F7058" s="7" t="str">
        <v>37260</v>
      </c>
      <c r="G7058" t="str">
        <v>Geographic2DCrs</v>
      </c>
      <c r="H7058" t="str">
        <v>&lt;undefined&gt;</v>
      </c>
      <c r="I7058" t="str">
        <v>GCS_Alaskan_Islands</v>
      </c>
      <c r="J7058" t="str">
        <v>United States (USA) - Alaska.</v>
      </c>
      <c r="K7058" s="11">
        <v>0</v>
      </c>
    </row>
    <row r="7059" spans="5:11" x14ac:dyDescent="0.35">
      <c r="E7059" s="9" t="str">
        <v>ESRI</v>
      </c>
      <c r="F7059" s="7" t="str">
        <v>53001</v>
      </c>
      <c r="G7059" t="str">
        <v>ProjectedCrs</v>
      </c>
      <c r="H7059" t="str">
        <v>&lt;undefined&gt;</v>
      </c>
      <c r="I7059" t="str">
        <v>Sphere_Plate_Carree</v>
      </c>
      <c r="J7059" t="str">
        <v>World.</v>
      </c>
      <c r="K7059" s="11">
        <v>0</v>
      </c>
    </row>
    <row r="7060" spans="5:11" x14ac:dyDescent="0.35">
      <c r="E7060" s="9" t="str">
        <v>ESRI</v>
      </c>
      <c r="F7060" s="7" t="str">
        <v>53002</v>
      </c>
      <c r="G7060" t="str">
        <v>ProjectedCrs</v>
      </c>
      <c r="H7060" t="str">
        <v>Equidistant Cylindrical (Spherical)</v>
      </c>
      <c r="I7060" t="str">
        <v>Sphere_Equidistant_Cylindrical</v>
      </c>
      <c r="J7060" t="str">
        <v>World.</v>
      </c>
      <c r="K7060" s="11">
        <v>0</v>
      </c>
    </row>
    <row r="7061" spans="5:11" x14ac:dyDescent="0.35">
      <c r="E7061" s="9" t="str">
        <v>ESRI</v>
      </c>
      <c r="F7061" s="7" t="str">
        <v>53003</v>
      </c>
      <c r="G7061" t="str">
        <v>ProjectedCrs</v>
      </c>
      <c r="H7061" t="str">
        <v>&lt;undefined&gt;</v>
      </c>
      <c r="I7061" t="str">
        <v>Sphere_Miller_Cylindrical</v>
      </c>
      <c r="J7061" t="str">
        <v>World.</v>
      </c>
      <c r="K7061" s="11">
        <v>0</v>
      </c>
    </row>
    <row r="7062" spans="5:11" x14ac:dyDescent="0.35">
      <c r="E7062" s="9" t="str">
        <v>ESRI</v>
      </c>
      <c r="F7062" s="7" t="str">
        <v>53004</v>
      </c>
      <c r="G7062" t="str">
        <v>ProjectedCrs</v>
      </c>
      <c r="H7062" t="str">
        <v>Mercator (variant B)</v>
      </c>
      <c r="I7062" t="str">
        <v>Sphere_Mercator</v>
      </c>
      <c r="J7062" t="str">
        <v>World.</v>
      </c>
      <c r="K7062" s="11">
        <v>0</v>
      </c>
    </row>
    <row r="7063" spans="5:11" x14ac:dyDescent="0.35">
      <c r="E7063" s="9" t="str">
        <v>ESRI</v>
      </c>
      <c r="F7063" s="7" t="str">
        <v>53008</v>
      </c>
      <c r="G7063" t="str">
        <v>ProjectedCrs</v>
      </c>
      <c r="H7063" t="str">
        <v>&lt;undefined&gt;</v>
      </c>
      <c r="I7063" t="str">
        <v>Sphere_Sinusoidal</v>
      </c>
      <c r="J7063" t="str">
        <v>World.</v>
      </c>
      <c r="K7063" s="11">
        <v>0</v>
      </c>
    </row>
    <row r="7064" spans="5:11" x14ac:dyDescent="0.35">
      <c r="E7064" s="9" t="str">
        <v>ESRI</v>
      </c>
      <c r="F7064" s="7" t="str">
        <v>53009</v>
      </c>
      <c r="G7064" t="str">
        <v>ProjectedCrs</v>
      </c>
      <c r="H7064" t="str">
        <v>&lt;undefined&gt;</v>
      </c>
      <c r="I7064" t="str">
        <v>Sphere_Mollweide</v>
      </c>
      <c r="J7064" t="str">
        <v>World.</v>
      </c>
      <c r="K7064" s="11">
        <v>0</v>
      </c>
    </row>
    <row r="7065" spans="5:11" x14ac:dyDescent="0.35">
      <c r="E7065" s="9" t="str">
        <v>ESRI</v>
      </c>
      <c r="F7065" s="7" t="str">
        <v>53010</v>
      </c>
      <c r="G7065" t="str">
        <v>ProjectedCrs</v>
      </c>
      <c r="H7065" t="str">
        <v>&lt;undefined&gt;</v>
      </c>
      <c r="I7065" t="str">
        <v>Sphere_Eckert_VI</v>
      </c>
      <c r="J7065" t="str">
        <v>World.</v>
      </c>
      <c r="K7065" s="11">
        <v>0</v>
      </c>
    </row>
    <row r="7066" spans="5:11" x14ac:dyDescent="0.35">
      <c r="E7066" s="9" t="str">
        <v>ESRI</v>
      </c>
      <c r="F7066" s="7" t="str">
        <v>53011</v>
      </c>
      <c r="G7066" t="str">
        <v>ProjectedCrs</v>
      </c>
      <c r="H7066" t="str">
        <v>&lt;undefined&gt;</v>
      </c>
      <c r="I7066" t="str">
        <v>Sphere_Eckert_V</v>
      </c>
      <c r="J7066" t="str">
        <v>World.</v>
      </c>
      <c r="K7066" s="11">
        <v>0</v>
      </c>
    </row>
    <row r="7067" spans="5:11" x14ac:dyDescent="0.35">
      <c r="E7067" s="9" t="str">
        <v>ESRI</v>
      </c>
      <c r="F7067" s="7" t="str">
        <v>53012</v>
      </c>
      <c r="G7067" t="str">
        <v>ProjectedCrs</v>
      </c>
      <c r="H7067" t="str">
        <v>&lt;undefined&gt;</v>
      </c>
      <c r="I7067" t="str">
        <v>Sphere_Eckert_IV</v>
      </c>
      <c r="J7067" t="str">
        <v>World.</v>
      </c>
      <c r="K7067" s="11">
        <v>0</v>
      </c>
    </row>
    <row r="7068" spans="5:11" x14ac:dyDescent="0.35">
      <c r="E7068" s="9" t="str">
        <v>ESRI</v>
      </c>
      <c r="F7068" s="7" t="str">
        <v>53013</v>
      </c>
      <c r="G7068" t="str">
        <v>ProjectedCrs</v>
      </c>
      <c r="H7068" t="str">
        <v>&lt;undefined&gt;</v>
      </c>
      <c r="I7068" t="str">
        <v>Sphere_Eckert_III</v>
      </c>
      <c r="J7068" t="str">
        <v>World.</v>
      </c>
      <c r="K7068" s="11">
        <v>0</v>
      </c>
    </row>
    <row r="7069" spans="5:11" x14ac:dyDescent="0.35">
      <c r="E7069" s="9" t="str">
        <v>ESRI</v>
      </c>
      <c r="F7069" s="7" t="str">
        <v>53014</v>
      </c>
      <c r="G7069" t="str">
        <v>ProjectedCrs</v>
      </c>
      <c r="H7069" t="str">
        <v>&lt;undefined&gt;</v>
      </c>
      <c r="I7069" t="str">
        <v>Sphere_Eckert_II</v>
      </c>
      <c r="J7069" t="str">
        <v>World.</v>
      </c>
      <c r="K7069" s="11">
        <v>0</v>
      </c>
    </row>
    <row r="7070" spans="5:11" x14ac:dyDescent="0.35">
      <c r="E7070" s="9" t="str">
        <v>ESRI</v>
      </c>
      <c r="F7070" s="7" t="str">
        <v>53015</v>
      </c>
      <c r="G7070" t="str">
        <v>ProjectedCrs</v>
      </c>
      <c r="H7070" t="str">
        <v>&lt;undefined&gt;</v>
      </c>
      <c r="I7070" t="str">
        <v>Sphere_Eckert_I</v>
      </c>
      <c r="J7070" t="str">
        <v>World.</v>
      </c>
      <c r="K7070" s="11">
        <v>0</v>
      </c>
    </row>
    <row r="7071" spans="5:11" x14ac:dyDescent="0.35">
      <c r="E7071" s="9" t="str">
        <v>ESRI</v>
      </c>
      <c r="F7071" s="7" t="str">
        <v>53016</v>
      </c>
      <c r="G7071" t="str">
        <v>ProjectedCrs</v>
      </c>
      <c r="H7071" t="str">
        <v>&lt;undefined&gt;</v>
      </c>
      <c r="I7071" t="str">
        <v>Sphere_Gall_Stereographic</v>
      </c>
      <c r="J7071" t="str">
        <v>World.</v>
      </c>
      <c r="K7071" s="11">
        <v>0</v>
      </c>
    </row>
    <row r="7072" spans="5:11" x14ac:dyDescent="0.35">
      <c r="E7072" s="9" t="str">
        <v>ESRI</v>
      </c>
      <c r="F7072" s="7" t="str">
        <v>53017</v>
      </c>
      <c r="G7072" t="str">
        <v>ProjectedCrs</v>
      </c>
      <c r="H7072" t="str">
        <v>&lt;undefined&gt;</v>
      </c>
      <c r="I7072" t="str">
        <v>Sphere_Behrmann</v>
      </c>
      <c r="J7072" t="str">
        <v>World.</v>
      </c>
      <c r="K7072" s="11">
        <v>0</v>
      </c>
    </row>
    <row r="7073" spans="5:11" x14ac:dyDescent="0.35">
      <c r="E7073" s="9" t="str">
        <v>ESRI</v>
      </c>
      <c r="F7073" s="7" t="str">
        <v>53018</v>
      </c>
      <c r="G7073" t="str">
        <v>ProjectedCrs</v>
      </c>
      <c r="H7073" t="str">
        <v>&lt;undefined&gt;</v>
      </c>
      <c r="I7073" t="str">
        <v>Sphere_Winkel_I</v>
      </c>
      <c r="J7073" t="str">
        <v>World.</v>
      </c>
      <c r="K7073" s="11">
        <v>0</v>
      </c>
    </row>
    <row r="7074" spans="5:11" x14ac:dyDescent="0.35">
      <c r="E7074" s="9" t="str">
        <v>ESRI</v>
      </c>
      <c r="F7074" s="7" t="str">
        <v>53019</v>
      </c>
      <c r="G7074" t="str">
        <v>ProjectedCrs</v>
      </c>
      <c r="H7074" t="str">
        <v>&lt;undefined&gt;</v>
      </c>
      <c r="I7074" t="str">
        <v>Sphere_Winkel_II</v>
      </c>
      <c r="J7074" t="str">
        <v>World.</v>
      </c>
      <c r="K7074" s="11">
        <v>0</v>
      </c>
    </row>
    <row r="7075" spans="5:11" x14ac:dyDescent="0.35">
      <c r="E7075" s="9" t="str">
        <v>ESRI</v>
      </c>
      <c r="F7075" s="7" t="str">
        <v>53021</v>
      </c>
      <c r="G7075" t="str">
        <v>ProjectedCrs</v>
      </c>
      <c r="H7075" t="str">
        <v>American Polyconic</v>
      </c>
      <c r="I7075" t="str">
        <v>Sphere_Polyconic</v>
      </c>
      <c r="J7075" t="str">
        <v>World.</v>
      </c>
      <c r="K7075" s="11">
        <v>0</v>
      </c>
    </row>
    <row r="7076" spans="5:11" x14ac:dyDescent="0.35">
      <c r="E7076" s="9" t="str">
        <v>ESRI</v>
      </c>
      <c r="F7076" s="7" t="str">
        <v>53022</v>
      </c>
      <c r="G7076" t="str">
        <v>ProjectedCrs</v>
      </c>
      <c r="H7076" t="str">
        <v>&lt;undefined&gt;</v>
      </c>
      <c r="I7076" t="str">
        <v>Sphere_Quartic_Authalic</v>
      </c>
      <c r="J7076" t="str">
        <v>World.</v>
      </c>
      <c r="K7076" s="11">
        <v>0</v>
      </c>
    </row>
    <row r="7077" spans="5:11" x14ac:dyDescent="0.35">
      <c r="E7077" s="9" t="str">
        <v>ESRI</v>
      </c>
      <c r="F7077" s="7" t="str">
        <v>53023</v>
      </c>
      <c r="G7077" t="str">
        <v>ProjectedCrs</v>
      </c>
      <c r="H7077" t="str">
        <v>&lt;undefined&gt;</v>
      </c>
      <c r="I7077" t="str">
        <v>Sphere_Loximuthal</v>
      </c>
      <c r="J7077" t="str">
        <v>World.</v>
      </c>
      <c r="K7077" s="11">
        <v>0</v>
      </c>
    </row>
    <row r="7078" spans="5:11" x14ac:dyDescent="0.35">
      <c r="E7078" s="9" t="str">
        <v>ESRI</v>
      </c>
      <c r="F7078" s="7" t="str">
        <v>53024</v>
      </c>
      <c r="G7078" t="str">
        <v>ProjectedCrs</v>
      </c>
      <c r="H7078" t="str">
        <v>&lt;undefined&gt;</v>
      </c>
      <c r="I7078" t="str">
        <v>Sphere_Bonne</v>
      </c>
      <c r="J7078" t="str">
        <v>World.</v>
      </c>
      <c r="K7078" s="11">
        <v>0</v>
      </c>
    </row>
    <row r="7079" spans="5:11" x14ac:dyDescent="0.35">
      <c r="E7079" s="9" t="str">
        <v>ESRI</v>
      </c>
      <c r="F7079" s="7" t="str">
        <v>53025</v>
      </c>
      <c r="G7079" t="str">
        <v>ProjectedCrs</v>
      </c>
      <c r="H7079" t="str">
        <v>&lt;undefined&gt;</v>
      </c>
      <c r="I7079" t="str">
        <v>Sphere_Hotine</v>
      </c>
      <c r="J7079" t="str">
        <v>World.</v>
      </c>
      <c r="K7079" s="11">
        <v>0</v>
      </c>
    </row>
    <row r="7080" spans="5:11" x14ac:dyDescent="0.35">
      <c r="E7080" s="9" t="str">
        <v>ESRI</v>
      </c>
      <c r="F7080" s="7" t="str">
        <v>53026</v>
      </c>
      <c r="G7080" t="str">
        <v>ProjectedCrs</v>
      </c>
      <c r="H7080" t="str">
        <v>&lt;undefined&gt;</v>
      </c>
      <c r="I7080" t="str">
        <v>Sphere_Stereographic</v>
      </c>
      <c r="J7080" t="str">
        <v>World.</v>
      </c>
      <c r="K7080" s="11">
        <v>0</v>
      </c>
    </row>
    <row r="7081" spans="5:11" x14ac:dyDescent="0.35">
      <c r="E7081" s="9" t="str">
        <v>ESRI</v>
      </c>
      <c r="F7081" s="7" t="str">
        <v>53027</v>
      </c>
      <c r="G7081" t="str">
        <v>ProjectedCrs</v>
      </c>
      <c r="H7081" t="str">
        <v>&lt;undefined&gt;</v>
      </c>
      <c r="I7081" t="str">
        <v>Sphere_Equidistant_Conic</v>
      </c>
      <c r="J7081" t="str">
        <v>World.</v>
      </c>
      <c r="K7081" s="11">
        <v>0</v>
      </c>
    </row>
    <row r="7082" spans="5:11" x14ac:dyDescent="0.35">
      <c r="E7082" s="9" t="str">
        <v>ESRI</v>
      </c>
      <c r="F7082" s="7" t="str">
        <v>53028</v>
      </c>
      <c r="G7082" t="str">
        <v>ProjectedCrs</v>
      </c>
      <c r="H7082" t="str">
        <v>Cassini-Soldner</v>
      </c>
      <c r="I7082" t="str">
        <v>Sphere_Cassini</v>
      </c>
      <c r="J7082" t="str">
        <v>World.</v>
      </c>
      <c r="K7082" s="11">
        <v>0</v>
      </c>
    </row>
    <row r="7083" spans="5:11" x14ac:dyDescent="0.35">
      <c r="E7083" s="9" t="str">
        <v>ESRI</v>
      </c>
      <c r="F7083" s="7" t="str">
        <v>53029</v>
      </c>
      <c r="G7083" t="str">
        <v>ProjectedCrs</v>
      </c>
      <c r="H7083" t="str">
        <v>&lt;undefined&gt;</v>
      </c>
      <c r="I7083" t="str">
        <v>Sphere_Van_der_Grinten_I</v>
      </c>
      <c r="J7083" t="str">
        <v>World.</v>
      </c>
      <c r="K7083" s="11">
        <v>0</v>
      </c>
    </row>
    <row r="7084" spans="5:11" x14ac:dyDescent="0.35">
      <c r="E7084" s="9" t="str">
        <v>ESRI</v>
      </c>
      <c r="F7084" s="7" t="str">
        <v>53030</v>
      </c>
      <c r="G7084" t="str">
        <v>ProjectedCrs</v>
      </c>
      <c r="H7084" t="str">
        <v>&lt;undefined&gt;</v>
      </c>
      <c r="I7084" t="str">
        <v>Sphere_Robinson</v>
      </c>
      <c r="J7084" t="str">
        <v>World.</v>
      </c>
      <c r="K7084" s="11">
        <v>0</v>
      </c>
    </row>
    <row r="7085" spans="5:11" x14ac:dyDescent="0.35">
      <c r="E7085" s="9" t="str">
        <v>ESRI</v>
      </c>
      <c r="F7085" s="7" t="str">
        <v>53031</v>
      </c>
      <c r="G7085" t="str">
        <v>ProjectedCrs</v>
      </c>
      <c r="H7085" t="str">
        <v>&lt;undefined&gt;</v>
      </c>
      <c r="I7085" t="str">
        <v>Sphere_Two_Point_Equidistant</v>
      </c>
      <c r="J7085" t="str">
        <v>World.</v>
      </c>
      <c r="K7085" s="11">
        <v>0</v>
      </c>
    </row>
    <row r="7086" spans="5:11" x14ac:dyDescent="0.35">
      <c r="E7086" s="9" t="str">
        <v>ESRI</v>
      </c>
      <c r="F7086" s="7" t="str">
        <v>53032</v>
      </c>
      <c r="G7086" t="str">
        <v>ProjectedCrs</v>
      </c>
      <c r="H7086" t="str">
        <v>&lt;undefined&gt;</v>
      </c>
      <c r="I7086" t="str">
        <v>Sphere_Azimuthal_Equidistant</v>
      </c>
      <c r="J7086" t="str">
        <v>World.</v>
      </c>
      <c r="K7086" s="11">
        <v>0</v>
      </c>
    </row>
    <row r="7087" spans="5:11" x14ac:dyDescent="0.35">
      <c r="E7087" s="9" t="str">
        <v>ESRI</v>
      </c>
      <c r="F7087" s="7" t="str">
        <v>53034</v>
      </c>
      <c r="G7087" t="str">
        <v>ProjectedCrs</v>
      </c>
      <c r="H7087" t="str">
        <v>&lt;undefined&gt;</v>
      </c>
      <c r="I7087" t="str">
        <v>Sphere_Cylindrical_Equal_Area</v>
      </c>
      <c r="J7087" t="str">
        <v>World.</v>
      </c>
      <c r="K7087" s="11">
        <v>0</v>
      </c>
    </row>
    <row r="7088" spans="5:11" x14ac:dyDescent="0.35">
      <c r="E7088" s="9" t="str">
        <v>ESRI</v>
      </c>
      <c r="F7088" s="7" t="str">
        <v>53035</v>
      </c>
      <c r="G7088" t="str">
        <v>ProjectedCrs</v>
      </c>
      <c r="H7088" t="str">
        <v>Equal Earth</v>
      </c>
      <c r="I7088" t="str">
        <v>Sphere_Equal_Earth_Greenwich</v>
      </c>
      <c r="J7088" t="str">
        <v>World.</v>
      </c>
      <c r="K7088" s="11">
        <v>0</v>
      </c>
    </row>
    <row r="7089" spans="5:11" x14ac:dyDescent="0.35">
      <c r="E7089" s="9" t="str">
        <v>ESRI</v>
      </c>
      <c r="F7089" s="7" t="str">
        <v>53036</v>
      </c>
      <c r="G7089" t="str">
        <v>ProjectedCrs</v>
      </c>
      <c r="H7089" t="str">
        <v>Equal Earth</v>
      </c>
      <c r="I7089" t="str">
        <v>Sphere_Equal_Earth_Americas</v>
      </c>
      <c r="J7089" t="str">
        <v>World.</v>
      </c>
      <c r="K7089" s="11">
        <v>0</v>
      </c>
    </row>
    <row r="7090" spans="5:11" x14ac:dyDescent="0.35">
      <c r="E7090" s="9" t="str">
        <v>ESRI</v>
      </c>
      <c r="F7090" s="7" t="str">
        <v>53037</v>
      </c>
      <c r="G7090" t="str">
        <v>ProjectedCrs</v>
      </c>
      <c r="H7090" t="str">
        <v>Equal Earth</v>
      </c>
      <c r="I7090" t="str">
        <v>Sphere_Equal_Earth_Asia_Pacific</v>
      </c>
      <c r="J7090" t="str">
        <v>World.</v>
      </c>
      <c r="K7090" s="11">
        <v>0</v>
      </c>
    </row>
    <row r="7091" spans="5:11" x14ac:dyDescent="0.35">
      <c r="E7091" s="9" t="str">
        <v>ESRI</v>
      </c>
      <c r="F7091" s="7" t="str">
        <v>53042</v>
      </c>
      <c r="G7091" t="str">
        <v>ProjectedCrs</v>
      </c>
      <c r="H7091" t="str">
        <v>&lt;undefined&gt;</v>
      </c>
      <c r="I7091" t="str">
        <v>Sphere_Winkel_Tripel_NGS</v>
      </c>
      <c r="J7091" t="str">
        <v>World.</v>
      </c>
      <c r="K7091" s="11">
        <v>0</v>
      </c>
    </row>
    <row r="7092" spans="5:11" x14ac:dyDescent="0.35">
      <c r="E7092" s="9" t="str">
        <v>ESRI</v>
      </c>
      <c r="F7092" s="7" t="str">
        <v>53043</v>
      </c>
      <c r="G7092" t="str">
        <v>ProjectedCrs</v>
      </c>
      <c r="H7092" t="str">
        <v>&lt;undefined&gt;</v>
      </c>
      <c r="I7092" t="str">
        <v>Sphere_Aitoff</v>
      </c>
      <c r="J7092" t="str">
        <v>World.</v>
      </c>
      <c r="K7092" s="11">
        <v>0</v>
      </c>
    </row>
    <row r="7093" spans="5:11" x14ac:dyDescent="0.35">
      <c r="E7093" s="9" t="str">
        <v>ESRI</v>
      </c>
      <c r="F7093" s="7" t="str">
        <v>53044</v>
      </c>
      <c r="G7093" t="str">
        <v>ProjectedCrs</v>
      </c>
      <c r="H7093" t="str">
        <v>&lt;undefined&gt;</v>
      </c>
      <c r="I7093" t="str">
        <v>Sphere_Hammer_Aitoff</v>
      </c>
      <c r="J7093" t="str">
        <v>World.</v>
      </c>
      <c r="K7093" s="11">
        <v>0</v>
      </c>
    </row>
    <row r="7094" spans="5:11" x14ac:dyDescent="0.35">
      <c r="E7094" s="9" t="str">
        <v>ESRI</v>
      </c>
      <c r="F7094" s="7" t="str">
        <v>53045</v>
      </c>
      <c r="G7094" t="str">
        <v>ProjectedCrs</v>
      </c>
      <c r="H7094" t="str">
        <v>&lt;undefined&gt;</v>
      </c>
      <c r="I7094" t="str">
        <v>Sphere_Flat_Polar_Quartic</v>
      </c>
      <c r="J7094" t="str">
        <v>World.</v>
      </c>
      <c r="K7094" s="11">
        <v>0</v>
      </c>
    </row>
    <row r="7095" spans="5:11" x14ac:dyDescent="0.35">
      <c r="E7095" s="9" t="str">
        <v>ESRI</v>
      </c>
      <c r="F7095" s="7" t="str">
        <v>53046</v>
      </c>
      <c r="G7095" t="str">
        <v>ProjectedCrs</v>
      </c>
      <c r="H7095" t="str">
        <v>&lt;undefined&gt;</v>
      </c>
      <c r="I7095" t="str">
        <v>Sphere_Craster_Parabolic</v>
      </c>
      <c r="J7095" t="str">
        <v>World.</v>
      </c>
      <c r="K7095" s="11">
        <v>0</v>
      </c>
    </row>
    <row r="7096" spans="5:11" x14ac:dyDescent="0.35">
      <c r="E7096" s="9" t="str">
        <v>ESRI</v>
      </c>
      <c r="F7096" s="7" t="str">
        <v>53048</v>
      </c>
      <c r="G7096" t="str">
        <v>ProjectedCrs</v>
      </c>
      <c r="H7096" t="str">
        <v>&lt;undefined&gt;</v>
      </c>
      <c r="I7096" t="str">
        <v>Sphere_Times</v>
      </c>
      <c r="J7096" t="str">
        <v>World.</v>
      </c>
      <c r="K7096" s="11">
        <v>0</v>
      </c>
    </row>
    <row r="7097" spans="5:11" x14ac:dyDescent="0.35">
      <c r="E7097" s="9" t="str">
        <v>ESRI</v>
      </c>
      <c r="F7097" s="7" t="str">
        <v>53049</v>
      </c>
      <c r="G7097" t="str">
        <v>ProjectedCrs</v>
      </c>
      <c r="H7097" t="str">
        <v>&lt;undefined&gt;</v>
      </c>
      <c r="I7097" t="str">
        <v>Sphere_Vertical_Perspective</v>
      </c>
      <c r="J7097" t="str">
        <v>World.</v>
      </c>
      <c r="K7097" s="11">
        <v>0</v>
      </c>
    </row>
    <row r="7098" spans="5:11" x14ac:dyDescent="0.35">
      <c r="E7098" s="9" t="str">
        <v>ESRI</v>
      </c>
      <c r="F7098" s="7" t="str">
        <v>53074</v>
      </c>
      <c r="G7098" t="str">
        <v>ProjectedCrs</v>
      </c>
      <c r="H7098" t="str">
        <v>&lt;undefined&gt;</v>
      </c>
      <c r="I7098" t="str">
        <v>Sphere_Wagner_IV</v>
      </c>
      <c r="J7098" t="str">
        <v>World.</v>
      </c>
      <c r="K7098" s="11">
        <v>0</v>
      </c>
    </row>
    <row r="7099" spans="5:11" x14ac:dyDescent="0.35">
      <c r="E7099" s="9" t="str">
        <v>ESRI</v>
      </c>
      <c r="F7099" s="7" t="str">
        <v>53075</v>
      </c>
      <c r="G7099" t="str">
        <v>ProjectedCrs</v>
      </c>
      <c r="H7099" t="str">
        <v>&lt;undefined&gt;</v>
      </c>
      <c r="I7099" t="str">
        <v>Sphere_Wagner_V</v>
      </c>
      <c r="J7099" t="str">
        <v>World.</v>
      </c>
      <c r="K7099" s="11">
        <v>0</v>
      </c>
    </row>
    <row r="7100" spans="5:11" x14ac:dyDescent="0.35">
      <c r="E7100" s="9" t="str">
        <v>ESRI</v>
      </c>
      <c r="F7100" s="7" t="str">
        <v>53076</v>
      </c>
      <c r="G7100" t="str">
        <v>ProjectedCrs</v>
      </c>
      <c r="H7100" t="str">
        <v>&lt;undefined&gt;</v>
      </c>
      <c r="I7100" t="str">
        <v>Sphere_Wagner_VII</v>
      </c>
      <c r="J7100" t="str">
        <v>World.</v>
      </c>
      <c r="K7100" s="11">
        <v>0</v>
      </c>
    </row>
    <row r="7101" spans="5:11" x14ac:dyDescent="0.35">
      <c r="E7101" s="9" t="str">
        <v>ESRI</v>
      </c>
      <c r="F7101" s="7" t="str">
        <v>53077</v>
      </c>
      <c r="G7101" t="str">
        <v>ProjectedCrs</v>
      </c>
      <c r="H7101" t="str">
        <v>&lt;undefined&gt;</v>
      </c>
      <c r="I7101" t="str">
        <v>Sphere_Natural_Earth</v>
      </c>
      <c r="J7101" t="str">
        <v>World.</v>
      </c>
      <c r="K7101" s="11">
        <v>0</v>
      </c>
    </row>
    <row r="7102" spans="5:11" x14ac:dyDescent="0.35">
      <c r="E7102" s="9" t="str">
        <v>ESRI</v>
      </c>
      <c r="F7102" s="7" t="str">
        <v>53078</v>
      </c>
      <c r="G7102" t="str">
        <v>ProjectedCrs</v>
      </c>
      <c r="H7102" t="str">
        <v>&lt;undefined&gt;</v>
      </c>
      <c r="I7102" t="str">
        <v>Sphere_Natural_Earth_II</v>
      </c>
      <c r="J7102" t="str">
        <v>World.</v>
      </c>
      <c r="K7102" s="11">
        <v>0</v>
      </c>
    </row>
    <row r="7103" spans="5:11" x14ac:dyDescent="0.35">
      <c r="E7103" s="9" t="str">
        <v>ESRI</v>
      </c>
      <c r="F7103" s="7" t="str">
        <v>53079</v>
      </c>
      <c r="G7103" t="str">
        <v>ProjectedCrs</v>
      </c>
      <c r="H7103" t="str">
        <v>&lt;undefined&gt;</v>
      </c>
      <c r="I7103" t="str">
        <v>Sphere_Patterson</v>
      </c>
      <c r="J7103" t="str">
        <v>World.</v>
      </c>
      <c r="K7103" s="11">
        <v>0</v>
      </c>
    </row>
    <row r="7104" spans="5:11" x14ac:dyDescent="0.35">
      <c r="E7104" s="9" t="str">
        <v>ESRI</v>
      </c>
      <c r="F7104" s="7" t="str">
        <v>53080</v>
      </c>
      <c r="G7104" t="str">
        <v>ProjectedCrs</v>
      </c>
      <c r="H7104" t="str">
        <v>&lt;undefined&gt;</v>
      </c>
      <c r="I7104" t="str">
        <v>Sphere_Compact_Miller</v>
      </c>
      <c r="J7104" t="str">
        <v>World.</v>
      </c>
      <c r="K7104" s="11">
        <v>0</v>
      </c>
    </row>
    <row r="7105" spans="5:11" x14ac:dyDescent="0.35">
      <c r="E7105" s="9" t="str">
        <v>ESRI</v>
      </c>
      <c r="F7105" s="7" t="str">
        <v>54001</v>
      </c>
      <c r="G7105" t="str">
        <v>ProjectedCrs</v>
      </c>
      <c r="H7105" t="str">
        <v>&lt;undefined&gt;</v>
      </c>
      <c r="I7105" t="str">
        <v>World_Plate_Carree</v>
      </c>
      <c r="J7105" t="str">
        <v>World.</v>
      </c>
      <c r="K7105" s="11">
        <v>0</v>
      </c>
    </row>
    <row r="7106" spans="5:11" x14ac:dyDescent="0.35">
      <c r="E7106" s="9" t="str">
        <v>ESRI</v>
      </c>
      <c r="F7106" s="7" t="str">
        <v>54002</v>
      </c>
      <c r="G7106" t="str">
        <v>ProjectedCrs</v>
      </c>
      <c r="H7106" t="str">
        <v>Equidistant Cylindrical (Spherical)</v>
      </c>
      <c r="I7106" t="str">
        <v>World_Equidistant_Cylindrical</v>
      </c>
      <c r="J7106" t="str">
        <v>World.</v>
      </c>
      <c r="K7106" s="11">
        <v>0</v>
      </c>
    </row>
    <row r="7107" spans="5:11" x14ac:dyDescent="0.35">
      <c r="E7107" s="9" t="str">
        <v>ESRI</v>
      </c>
      <c r="F7107" s="7" t="str">
        <v>54003</v>
      </c>
      <c r="G7107" t="str">
        <v>ProjectedCrs</v>
      </c>
      <c r="H7107" t="str">
        <v>&lt;undefined&gt;</v>
      </c>
      <c r="I7107" t="str">
        <v>World_Miller_Cylindrical</v>
      </c>
      <c r="J7107" t="str">
        <v>World.</v>
      </c>
      <c r="K7107" s="11">
        <v>0</v>
      </c>
    </row>
    <row r="7108" spans="5:11" x14ac:dyDescent="0.35">
      <c r="E7108" s="9" t="str">
        <v>ESRI</v>
      </c>
      <c r="F7108" s="7" t="str">
        <v>54004</v>
      </c>
      <c r="G7108" t="str">
        <v>ProjectedCrs</v>
      </c>
      <c r="H7108" t="str">
        <v>Mercator (variant B)</v>
      </c>
      <c r="I7108" t="str">
        <v>World_Mercator</v>
      </c>
      <c r="J7108" t="str">
        <v>World.</v>
      </c>
      <c r="K7108" s="11">
        <v>0</v>
      </c>
    </row>
    <row r="7109" spans="5:11" x14ac:dyDescent="0.35">
      <c r="E7109" s="9" t="str">
        <v>ESRI</v>
      </c>
      <c r="F7109" s="7" t="str">
        <v>54008</v>
      </c>
      <c r="G7109" t="str">
        <v>ProjectedCrs</v>
      </c>
      <c r="H7109" t="str">
        <v>&lt;undefined&gt;</v>
      </c>
      <c r="I7109" t="str">
        <v>World_Sinusoidal</v>
      </c>
      <c r="J7109" t="str">
        <v>World.</v>
      </c>
      <c r="K7109" s="11">
        <v>0</v>
      </c>
    </row>
    <row r="7110" spans="5:11" x14ac:dyDescent="0.35">
      <c r="E7110" s="9" t="str">
        <v>ESRI</v>
      </c>
      <c r="F7110" s="7" t="str">
        <v>54009</v>
      </c>
      <c r="G7110" t="str">
        <v>ProjectedCrs</v>
      </c>
      <c r="H7110" t="str">
        <v>&lt;undefined&gt;</v>
      </c>
      <c r="I7110" t="str">
        <v>World_Mollweide</v>
      </c>
      <c r="J7110" t="str">
        <v>World.</v>
      </c>
      <c r="K7110" s="11">
        <v>0</v>
      </c>
    </row>
    <row r="7111" spans="5:11" x14ac:dyDescent="0.35">
      <c r="E7111" s="9" t="str">
        <v>ESRI</v>
      </c>
      <c r="F7111" s="7" t="str">
        <v>54010</v>
      </c>
      <c r="G7111" t="str">
        <v>ProjectedCrs</v>
      </c>
      <c r="H7111" t="str">
        <v>&lt;undefined&gt;</v>
      </c>
      <c r="I7111" t="str">
        <v>World_Eckert_VI</v>
      </c>
      <c r="J7111" t="str">
        <v>World.</v>
      </c>
      <c r="K7111" s="11">
        <v>0</v>
      </c>
    </row>
    <row r="7112" spans="5:11" x14ac:dyDescent="0.35">
      <c r="E7112" s="9" t="str">
        <v>ESRI</v>
      </c>
      <c r="F7112" s="7" t="str">
        <v>54011</v>
      </c>
      <c r="G7112" t="str">
        <v>ProjectedCrs</v>
      </c>
      <c r="H7112" t="str">
        <v>&lt;undefined&gt;</v>
      </c>
      <c r="I7112" t="str">
        <v>World_Eckert_V</v>
      </c>
      <c r="J7112" t="str">
        <v>World.</v>
      </c>
      <c r="K7112" s="11">
        <v>0</v>
      </c>
    </row>
    <row r="7113" spans="5:11" x14ac:dyDescent="0.35">
      <c r="E7113" s="9" t="str">
        <v>ESRI</v>
      </c>
      <c r="F7113" s="7" t="str">
        <v>54012</v>
      </c>
      <c r="G7113" t="str">
        <v>ProjectedCrs</v>
      </c>
      <c r="H7113" t="str">
        <v>&lt;undefined&gt;</v>
      </c>
      <c r="I7113" t="str">
        <v>World_Eckert_IV</v>
      </c>
      <c r="J7113" t="str">
        <v>World.</v>
      </c>
      <c r="K7113" s="11">
        <v>0</v>
      </c>
    </row>
    <row r="7114" spans="5:11" x14ac:dyDescent="0.35">
      <c r="E7114" s="9" t="str">
        <v>ESRI</v>
      </c>
      <c r="F7114" s="7" t="str">
        <v>54013</v>
      </c>
      <c r="G7114" t="str">
        <v>ProjectedCrs</v>
      </c>
      <c r="H7114" t="str">
        <v>&lt;undefined&gt;</v>
      </c>
      <c r="I7114" t="str">
        <v>World_Eckert_III</v>
      </c>
      <c r="J7114" t="str">
        <v>World.</v>
      </c>
      <c r="K7114" s="11">
        <v>0</v>
      </c>
    </row>
    <row r="7115" spans="5:11" x14ac:dyDescent="0.35">
      <c r="E7115" s="9" t="str">
        <v>ESRI</v>
      </c>
      <c r="F7115" s="7" t="str">
        <v>54014</v>
      </c>
      <c r="G7115" t="str">
        <v>ProjectedCrs</v>
      </c>
      <c r="H7115" t="str">
        <v>&lt;undefined&gt;</v>
      </c>
      <c r="I7115" t="str">
        <v>World_Eckert_II</v>
      </c>
      <c r="J7115" t="str">
        <v>World.</v>
      </c>
      <c r="K7115" s="11">
        <v>0</v>
      </c>
    </row>
    <row r="7116" spans="5:11" x14ac:dyDescent="0.35">
      <c r="E7116" s="9" t="str">
        <v>ESRI</v>
      </c>
      <c r="F7116" s="7" t="str">
        <v>54015</v>
      </c>
      <c r="G7116" t="str">
        <v>ProjectedCrs</v>
      </c>
      <c r="H7116" t="str">
        <v>&lt;undefined&gt;</v>
      </c>
      <c r="I7116" t="str">
        <v>World_Eckert_I</v>
      </c>
      <c r="J7116" t="str">
        <v>World.</v>
      </c>
      <c r="K7116" s="11">
        <v>0</v>
      </c>
    </row>
    <row r="7117" spans="5:11" x14ac:dyDescent="0.35">
      <c r="E7117" s="9" t="str">
        <v>ESRI</v>
      </c>
      <c r="F7117" s="7" t="str">
        <v>54016</v>
      </c>
      <c r="G7117" t="str">
        <v>ProjectedCrs</v>
      </c>
      <c r="H7117" t="str">
        <v>&lt;undefined&gt;</v>
      </c>
      <c r="I7117" t="str">
        <v>World_Gall_Stereographic</v>
      </c>
      <c r="J7117" t="str">
        <v>World.</v>
      </c>
      <c r="K7117" s="11">
        <v>0</v>
      </c>
    </row>
    <row r="7118" spans="5:11" x14ac:dyDescent="0.35">
      <c r="E7118" s="9" t="str">
        <v>ESRI</v>
      </c>
      <c r="F7118" s="7" t="str">
        <v>54017</v>
      </c>
      <c r="G7118" t="str">
        <v>ProjectedCrs</v>
      </c>
      <c r="H7118" t="str">
        <v>&lt;undefined&gt;</v>
      </c>
      <c r="I7118" t="str">
        <v>World_Behrmann</v>
      </c>
      <c r="J7118" t="str">
        <v>World.</v>
      </c>
      <c r="K7118" s="11">
        <v>0</v>
      </c>
    </row>
    <row r="7119" spans="5:11" x14ac:dyDescent="0.35">
      <c r="E7119" s="9" t="str">
        <v>ESRI</v>
      </c>
      <c r="F7119" s="7" t="str">
        <v>54018</v>
      </c>
      <c r="G7119" t="str">
        <v>ProjectedCrs</v>
      </c>
      <c r="H7119" t="str">
        <v>&lt;undefined&gt;</v>
      </c>
      <c r="I7119" t="str">
        <v>World_Winkel_I</v>
      </c>
      <c r="J7119" t="str">
        <v>World.</v>
      </c>
      <c r="K7119" s="11">
        <v>0</v>
      </c>
    </row>
    <row r="7120" spans="5:11" x14ac:dyDescent="0.35">
      <c r="E7120" s="9" t="str">
        <v>ESRI</v>
      </c>
      <c r="F7120" s="7" t="str">
        <v>54019</v>
      </c>
      <c r="G7120" t="str">
        <v>ProjectedCrs</v>
      </c>
      <c r="H7120" t="str">
        <v>&lt;undefined&gt;</v>
      </c>
      <c r="I7120" t="str">
        <v>World_Winkel_II</v>
      </c>
      <c r="J7120" t="str">
        <v>World.</v>
      </c>
      <c r="K7120" s="11">
        <v>0</v>
      </c>
    </row>
    <row r="7121" spans="5:11" x14ac:dyDescent="0.35">
      <c r="E7121" s="9" t="str">
        <v>ESRI</v>
      </c>
      <c r="F7121" s="7" t="str">
        <v>54021</v>
      </c>
      <c r="G7121" t="str">
        <v>ProjectedCrs</v>
      </c>
      <c r="H7121" t="str">
        <v>American Polyconic</v>
      </c>
      <c r="I7121" t="str">
        <v>World_Polyconic</v>
      </c>
      <c r="J7121" t="str">
        <v>World.</v>
      </c>
      <c r="K7121" s="11">
        <v>0</v>
      </c>
    </row>
    <row r="7122" spans="5:11" x14ac:dyDescent="0.35">
      <c r="E7122" s="9" t="str">
        <v>ESRI</v>
      </c>
      <c r="F7122" s="7" t="str">
        <v>54022</v>
      </c>
      <c r="G7122" t="str">
        <v>ProjectedCrs</v>
      </c>
      <c r="H7122" t="str">
        <v>&lt;undefined&gt;</v>
      </c>
      <c r="I7122" t="str">
        <v>World_Quartic_Authalic</v>
      </c>
      <c r="J7122" t="str">
        <v>World.</v>
      </c>
      <c r="K7122" s="11">
        <v>0</v>
      </c>
    </row>
    <row r="7123" spans="5:11" x14ac:dyDescent="0.35">
      <c r="E7123" s="9" t="str">
        <v>ESRI</v>
      </c>
      <c r="F7123" s="7" t="str">
        <v>54023</v>
      </c>
      <c r="G7123" t="str">
        <v>ProjectedCrs</v>
      </c>
      <c r="H7123" t="str">
        <v>&lt;undefined&gt;</v>
      </c>
      <c r="I7123" t="str">
        <v>World_Loximuthal</v>
      </c>
      <c r="J7123" t="str">
        <v>World.</v>
      </c>
      <c r="K7123" s="11">
        <v>0</v>
      </c>
    </row>
    <row r="7124" spans="5:11" x14ac:dyDescent="0.35">
      <c r="E7124" s="9" t="str">
        <v>ESRI</v>
      </c>
      <c r="F7124" s="7" t="str">
        <v>54024</v>
      </c>
      <c r="G7124" t="str">
        <v>ProjectedCrs</v>
      </c>
      <c r="H7124" t="str">
        <v>&lt;undefined&gt;</v>
      </c>
      <c r="I7124" t="str">
        <v>World_Bonne</v>
      </c>
      <c r="J7124" t="str">
        <v>World.</v>
      </c>
      <c r="K7124" s="11">
        <v>0</v>
      </c>
    </row>
    <row r="7125" spans="5:11" x14ac:dyDescent="0.35">
      <c r="E7125" s="9" t="str">
        <v>ESRI</v>
      </c>
      <c r="F7125" s="7" t="str">
        <v>54025</v>
      </c>
      <c r="G7125" t="str">
        <v>ProjectedCrs</v>
      </c>
      <c r="H7125" t="str">
        <v>&lt;undefined&gt;</v>
      </c>
      <c r="I7125" t="str">
        <v>World_Hotine</v>
      </c>
      <c r="J7125" t="str">
        <v>World.</v>
      </c>
      <c r="K7125" s="11">
        <v>0</v>
      </c>
    </row>
    <row r="7126" spans="5:11" x14ac:dyDescent="0.35">
      <c r="E7126" s="9" t="str">
        <v>ESRI</v>
      </c>
      <c r="F7126" s="7" t="str">
        <v>54026</v>
      </c>
      <c r="G7126" t="str">
        <v>ProjectedCrs</v>
      </c>
      <c r="H7126" t="str">
        <v>&lt;undefined&gt;</v>
      </c>
      <c r="I7126" t="str">
        <v>World_Stereographic</v>
      </c>
      <c r="J7126" t="str">
        <v>World.</v>
      </c>
      <c r="K7126" s="11">
        <v>0</v>
      </c>
    </row>
    <row r="7127" spans="5:11" x14ac:dyDescent="0.35">
      <c r="E7127" s="9" t="str">
        <v>ESRI</v>
      </c>
      <c r="F7127" s="7" t="str">
        <v>54027</v>
      </c>
      <c r="G7127" t="str">
        <v>ProjectedCrs</v>
      </c>
      <c r="H7127" t="str">
        <v>&lt;undefined&gt;</v>
      </c>
      <c r="I7127" t="str">
        <v>World_Equidistant_Conic</v>
      </c>
      <c r="J7127" t="str">
        <v>World.</v>
      </c>
      <c r="K7127" s="11">
        <v>0</v>
      </c>
    </row>
    <row r="7128" spans="5:11" x14ac:dyDescent="0.35">
      <c r="E7128" s="9" t="str">
        <v>ESRI</v>
      </c>
      <c r="F7128" s="7" t="str">
        <v>54028</v>
      </c>
      <c r="G7128" t="str">
        <v>ProjectedCrs</v>
      </c>
      <c r="H7128" t="str">
        <v>Cassini-Soldner</v>
      </c>
      <c r="I7128" t="str">
        <v>World_Cassini</v>
      </c>
      <c r="J7128" t="str">
        <v>World.</v>
      </c>
      <c r="K7128" s="11">
        <v>0</v>
      </c>
    </row>
    <row r="7129" spans="5:11" x14ac:dyDescent="0.35">
      <c r="E7129" s="9" t="str">
        <v>ESRI</v>
      </c>
      <c r="F7129" s="7" t="str">
        <v>54029</v>
      </c>
      <c r="G7129" t="str">
        <v>ProjectedCrs</v>
      </c>
      <c r="H7129" t="str">
        <v>&lt;undefined&gt;</v>
      </c>
      <c r="I7129" t="str">
        <v>World_Van_der_Grinten_I</v>
      </c>
      <c r="J7129" t="str">
        <v>World.</v>
      </c>
      <c r="K7129" s="11">
        <v>0</v>
      </c>
    </row>
    <row r="7130" spans="5:11" x14ac:dyDescent="0.35">
      <c r="E7130" s="9" t="str">
        <v>ESRI</v>
      </c>
      <c r="F7130" s="7" t="str">
        <v>54030</v>
      </c>
      <c r="G7130" t="str">
        <v>ProjectedCrs</v>
      </c>
      <c r="H7130" t="str">
        <v>&lt;undefined&gt;</v>
      </c>
      <c r="I7130" t="str">
        <v>World_Robinson</v>
      </c>
      <c r="J7130" t="str">
        <v>World.</v>
      </c>
      <c r="K7130" s="11">
        <v>0</v>
      </c>
    </row>
    <row r="7131" spans="5:11" x14ac:dyDescent="0.35">
      <c r="E7131" s="9" t="str">
        <v>ESRI</v>
      </c>
      <c r="F7131" s="7" t="str">
        <v>54031</v>
      </c>
      <c r="G7131" t="str">
        <v>ProjectedCrs</v>
      </c>
      <c r="H7131" t="str">
        <v>&lt;undefined&gt;</v>
      </c>
      <c r="I7131" t="str">
        <v>World_Two_Point_Equidistant</v>
      </c>
      <c r="J7131" t="str">
        <v>World.</v>
      </c>
      <c r="K7131" s="11">
        <v>0</v>
      </c>
    </row>
    <row r="7132" spans="5:11" x14ac:dyDescent="0.35">
      <c r="E7132" s="9" t="str">
        <v>ESRI</v>
      </c>
      <c r="F7132" s="7" t="str">
        <v>54032</v>
      </c>
      <c r="G7132" t="str">
        <v>ProjectedCrs</v>
      </c>
      <c r="H7132" t="str">
        <v>&lt;undefined&gt;</v>
      </c>
      <c r="I7132" t="str">
        <v>World_Azimuthal_Equidistant</v>
      </c>
      <c r="J7132" t="str">
        <v>World.</v>
      </c>
      <c r="K7132" s="11">
        <v>0</v>
      </c>
    </row>
    <row r="7133" spans="5:11" x14ac:dyDescent="0.35">
      <c r="E7133" s="9" t="str">
        <v>ESRI</v>
      </c>
      <c r="F7133" s="7" t="str">
        <v>54034</v>
      </c>
      <c r="G7133" t="str">
        <v>ProjectedCrs</v>
      </c>
      <c r="H7133" t="str">
        <v>&lt;undefined&gt;</v>
      </c>
      <c r="I7133" t="str">
        <v>World_Cylindrical_Equal_Area</v>
      </c>
      <c r="J7133" t="str">
        <v>World.</v>
      </c>
      <c r="K7133" s="11">
        <v>0</v>
      </c>
    </row>
    <row r="7134" spans="5:11" x14ac:dyDescent="0.35">
      <c r="E7134" s="9" t="str">
        <v>ESRI</v>
      </c>
      <c r="F7134" s="7" t="str">
        <v>54042</v>
      </c>
      <c r="G7134" t="str">
        <v>ProjectedCrs</v>
      </c>
      <c r="H7134" t="str">
        <v>&lt;undefined&gt;</v>
      </c>
      <c r="I7134" t="str">
        <v>World_Winkel_Tripel_NGS</v>
      </c>
      <c r="J7134" t="str">
        <v>World.</v>
      </c>
      <c r="K7134" s="11">
        <v>0</v>
      </c>
    </row>
    <row r="7135" spans="5:11" x14ac:dyDescent="0.35">
      <c r="E7135" s="9" t="str">
        <v>ESRI</v>
      </c>
      <c r="F7135" s="7" t="str">
        <v>54043</v>
      </c>
      <c r="G7135" t="str">
        <v>ProjectedCrs</v>
      </c>
      <c r="H7135" t="str">
        <v>&lt;undefined&gt;</v>
      </c>
      <c r="I7135" t="str">
        <v>World_Aitoff</v>
      </c>
      <c r="J7135" t="str">
        <v>World.</v>
      </c>
      <c r="K7135" s="11">
        <v>0</v>
      </c>
    </row>
    <row r="7136" spans="5:11" x14ac:dyDescent="0.35">
      <c r="E7136" s="9" t="str">
        <v>ESRI</v>
      </c>
      <c r="F7136" s="7" t="str">
        <v>54044</v>
      </c>
      <c r="G7136" t="str">
        <v>ProjectedCrs</v>
      </c>
      <c r="H7136" t="str">
        <v>&lt;undefined&gt;</v>
      </c>
      <c r="I7136" t="str">
        <v>World_Hammer_Aitoff</v>
      </c>
      <c r="J7136" t="str">
        <v>World.</v>
      </c>
      <c r="K7136" s="11">
        <v>0</v>
      </c>
    </row>
    <row r="7137" spans="5:11" x14ac:dyDescent="0.35">
      <c r="E7137" s="9" t="str">
        <v>ESRI</v>
      </c>
      <c r="F7137" s="7" t="str">
        <v>54045</v>
      </c>
      <c r="G7137" t="str">
        <v>ProjectedCrs</v>
      </c>
      <c r="H7137" t="str">
        <v>&lt;undefined&gt;</v>
      </c>
      <c r="I7137" t="str">
        <v>World_Flat_Polar_Quartic</v>
      </c>
      <c r="J7137" t="str">
        <v>World.</v>
      </c>
      <c r="K7137" s="11">
        <v>0</v>
      </c>
    </row>
    <row r="7138" spans="5:11" x14ac:dyDescent="0.35">
      <c r="E7138" s="9" t="str">
        <v>ESRI</v>
      </c>
      <c r="F7138" s="7" t="str">
        <v>54046</v>
      </c>
      <c r="G7138" t="str">
        <v>ProjectedCrs</v>
      </c>
      <c r="H7138" t="str">
        <v>&lt;undefined&gt;</v>
      </c>
      <c r="I7138" t="str">
        <v>World_Craster_Parabolic</v>
      </c>
      <c r="J7138" t="str">
        <v>World.</v>
      </c>
      <c r="K7138" s="11">
        <v>0</v>
      </c>
    </row>
    <row r="7139" spans="5:11" x14ac:dyDescent="0.35">
      <c r="E7139" s="9" t="str">
        <v>ESRI</v>
      </c>
      <c r="F7139" s="7" t="str">
        <v>54048</v>
      </c>
      <c r="G7139" t="str">
        <v>ProjectedCrs</v>
      </c>
      <c r="H7139" t="str">
        <v>&lt;undefined&gt;</v>
      </c>
      <c r="I7139" t="str">
        <v>World_Times</v>
      </c>
      <c r="J7139" t="str">
        <v>World.</v>
      </c>
      <c r="K7139" s="11">
        <v>0</v>
      </c>
    </row>
    <row r="7140" spans="5:11" x14ac:dyDescent="0.35">
      <c r="E7140" s="9" t="str">
        <v>ESRI</v>
      </c>
      <c r="F7140" s="7" t="str">
        <v>54049</v>
      </c>
      <c r="G7140" t="str">
        <v>ProjectedCrs</v>
      </c>
      <c r="H7140" t="str">
        <v>&lt;undefined&gt;</v>
      </c>
      <c r="I7140" t="str">
        <v>World_Vertical_Perspective</v>
      </c>
      <c r="J7140" t="str">
        <v>World.</v>
      </c>
      <c r="K7140" s="11">
        <v>0</v>
      </c>
    </row>
    <row r="7141" spans="5:11" x14ac:dyDescent="0.35">
      <c r="E7141" s="9" t="str">
        <v>ESRI</v>
      </c>
      <c r="F7141" s="7" t="str">
        <v>54050</v>
      </c>
      <c r="G7141" t="str">
        <v>ProjectedCrs</v>
      </c>
      <c r="H7141" t="str">
        <v>&lt;undefined&gt;</v>
      </c>
      <c r="I7141" t="str">
        <v>World_Fuller</v>
      </c>
      <c r="J7141" t="str">
        <v>World.</v>
      </c>
      <c r="K7141" s="11">
        <v>0</v>
      </c>
    </row>
    <row r="7142" spans="5:11" x14ac:dyDescent="0.35">
      <c r="E7142" s="9" t="str">
        <v>ESRI</v>
      </c>
      <c r="F7142" s="7" t="str">
        <v>54051</v>
      </c>
      <c r="G7142" t="str">
        <v>ProjectedCrs</v>
      </c>
      <c r="H7142" t="str">
        <v>&lt;undefined&gt;</v>
      </c>
      <c r="I7142" t="str">
        <v>World_Cube</v>
      </c>
      <c r="J7142" t="str">
        <v>World.</v>
      </c>
      <c r="K7142" s="11">
        <v>0</v>
      </c>
    </row>
    <row r="7143" spans="5:11" x14ac:dyDescent="0.35">
      <c r="E7143" s="9" t="str">
        <v>ESRI</v>
      </c>
      <c r="F7143" s="7" t="str">
        <v>54052</v>
      </c>
      <c r="G7143" t="str">
        <v>ProjectedCrs</v>
      </c>
      <c r="H7143" t="str">
        <v>&lt;undefined&gt;</v>
      </c>
      <c r="I7143" t="str">
        <v>World_Goode_Homolosine_Land</v>
      </c>
      <c r="J7143" t="str">
        <v>World.</v>
      </c>
      <c r="K7143" s="11">
        <v>0</v>
      </c>
    </row>
    <row r="7144" spans="5:11" x14ac:dyDescent="0.35">
      <c r="E7144" s="9" t="str">
        <v>ESRI</v>
      </c>
      <c r="F7144" s="7" t="str">
        <v>54053</v>
      </c>
      <c r="G7144" t="str">
        <v>ProjectedCrs</v>
      </c>
      <c r="H7144" t="str">
        <v>&lt;undefined&gt;</v>
      </c>
      <c r="I7144" t="str">
        <v>World_Goode_Homolosine_Ocean</v>
      </c>
      <c r="J7144" t="str">
        <v>World.</v>
      </c>
      <c r="K7144" s="11">
        <v>0</v>
      </c>
    </row>
    <row r="7145" spans="5:11" x14ac:dyDescent="0.35">
      <c r="E7145" s="9" t="str">
        <v>ESRI</v>
      </c>
      <c r="F7145" s="7" t="str">
        <v>54074</v>
      </c>
      <c r="G7145" t="str">
        <v>ProjectedCrs</v>
      </c>
      <c r="H7145" t="str">
        <v>&lt;undefined&gt;</v>
      </c>
      <c r="I7145" t="str">
        <v>World_Wagner_IV</v>
      </c>
      <c r="J7145" t="str">
        <v>World.</v>
      </c>
      <c r="K7145" s="11">
        <v>0</v>
      </c>
    </row>
    <row r="7146" spans="5:11" x14ac:dyDescent="0.35">
      <c r="E7146" s="9" t="str">
        <v>ESRI</v>
      </c>
      <c r="F7146" s="7" t="str">
        <v>54075</v>
      </c>
      <c r="G7146" t="str">
        <v>ProjectedCrs</v>
      </c>
      <c r="H7146" t="str">
        <v>&lt;undefined&gt;</v>
      </c>
      <c r="I7146" t="str">
        <v>World_Wagner_V</v>
      </c>
      <c r="J7146" t="str">
        <v>World.</v>
      </c>
      <c r="K7146" s="11">
        <v>0</v>
      </c>
    </row>
    <row r="7147" spans="5:11" x14ac:dyDescent="0.35">
      <c r="E7147" s="9" t="str">
        <v>ESRI</v>
      </c>
      <c r="F7147" s="7" t="str">
        <v>54076</v>
      </c>
      <c r="G7147" t="str">
        <v>ProjectedCrs</v>
      </c>
      <c r="H7147" t="str">
        <v>&lt;undefined&gt;</v>
      </c>
      <c r="I7147" t="str">
        <v>World_Wagner_VII</v>
      </c>
      <c r="J7147" t="str">
        <v>World.</v>
      </c>
      <c r="K7147" s="11">
        <v>0</v>
      </c>
    </row>
    <row r="7148" spans="5:11" x14ac:dyDescent="0.35">
      <c r="E7148" s="9" t="str">
        <v>ESRI</v>
      </c>
      <c r="F7148" s="7" t="str">
        <v>54077</v>
      </c>
      <c r="G7148" t="str">
        <v>ProjectedCrs</v>
      </c>
      <c r="H7148" t="str">
        <v>&lt;undefined&gt;</v>
      </c>
      <c r="I7148" t="str">
        <v>World_Natural_Earth</v>
      </c>
      <c r="J7148" t="str">
        <v>World.</v>
      </c>
      <c r="K7148" s="11">
        <v>0</v>
      </c>
    </row>
    <row r="7149" spans="5:11" x14ac:dyDescent="0.35">
      <c r="E7149" s="9" t="str">
        <v>ESRI</v>
      </c>
      <c r="F7149" s="7" t="str">
        <v>54078</v>
      </c>
      <c r="G7149" t="str">
        <v>ProjectedCrs</v>
      </c>
      <c r="H7149" t="str">
        <v>&lt;undefined&gt;</v>
      </c>
      <c r="I7149" t="str">
        <v>World_Natural_Earth_II</v>
      </c>
      <c r="J7149" t="str">
        <v>World.</v>
      </c>
      <c r="K7149" s="11">
        <v>0</v>
      </c>
    </row>
    <row r="7150" spans="5:11" x14ac:dyDescent="0.35">
      <c r="E7150" s="9" t="str">
        <v>ESRI</v>
      </c>
      <c r="F7150" s="7" t="str">
        <v>54079</v>
      </c>
      <c r="G7150" t="str">
        <v>ProjectedCrs</v>
      </c>
      <c r="H7150" t="str">
        <v>&lt;undefined&gt;</v>
      </c>
      <c r="I7150" t="str">
        <v>World_Patterson</v>
      </c>
      <c r="J7150" t="str">
        <v>World.</v>
      </c>
      <c r="K7150" s="11">
        <v>0</v>
      </c>
    </row>
    <row r="7151" spans="5:11" x14ac:dyDescent="0.35">
      <c r="E7151" s="9" t="str">
        <v>ESRI</v>
      </c>
      <c r="F7151" s="7" t="str">
        <v>54080</v>
      </c>
      <c r="G7151" t="str">
        <v>ProjectedCrs</v>
      </c>
      <c r="H7151" t="str">
        <v>&lt;undefined&gt;</v>
      </c>
      <c r="I7151" t="str">
        <v>World_Compact_Miller</v>
      </c>
      <c r="J7151" t="str">
        <v>World.</v>
      </c>
      <c r="K7151" s="11">
        <v>0</v>
      </c>
    </row>
    <row r="7152" spans="5:11" x14ac:dyDescent="0.35">
      <c r="E7152" s="9" t="str">
        <v>ESRI</v>
      </c>
      <c r="F7152" s="7" t="str">
        <v>54090</v>
      </c>
      <c r="G7152" t="str">
        <v>ProjectedCrs</v>
      </c>
      <c r="H7152" t="str">
        <v>&lt;undefined&gt;</v>
      </c>
      <c r="I7152" t="str">
        <v>WGS_1984_Peirce_quincuncial_North_Pole_square</v>
      </c>
      <c r="J7152" t="str">
        <v>World.</v>
      </c>
      <c r="K7152" s="11">
        <v>0</v>
      </c>
    </row>
    <row r="7153" spans="5:11" x14ac:dyDescent="0.35">
      <c r="E7153" s="9" t="str">
        <v>ESRI</v>
      </c>
      <c r="F7153" s="7" t="str">
        <v>54091</v>
      </c>
      <c r="G7153" t="str">
        <v>ProjectedCrs</v>
      </c>
      <c r="H7153" t="str">
        <v>&lt;undefined&gt;</v>
      </c>
      <c r="I7153" t="str">
        <v>WGS_1984_Peirce_quincuncial_North_Pole_diamond</v>
      </c>
      <c r="J7153" t="str">
        <v>World.</v>
      </c>
      <c r="K7153" s="11">
        <v>0</v>
      </c>
    </row>
    <row r="7154" spans="5:11" x14ac:dyDescent="0.35">
      <c r="E7154" s="9" t="str">
        <v>ESRI</v>
      </c>
      <c r="F7154" s="7" t="str">
        <v>54098</v>
      </c>
      <c r="G7154" t="str">
        <v>ProjectedCrs</v>
      </c>
      <c r="H7154" t="str">
        <v>&lt;undefined&gt;</v>
      </c>
      <c r="I7154" t="str">
        <v>WGS_1984_Adams_Square_II</v>
      </c>
      <c r="J7154" t="str">
        <v>World.</v>
      </c>
      <c r="K7154" s="11">
        <v>0</v>
      </c>
    </row>
    <row r="7155" spans="5:11" x14ac:dyDescent="0.35">
      <c r="E7155" s="9" t="str">
        <v>ESRI</v>
      </c>
      <c r="F7155" s="7" t="str">
        <v>54099</v>
      </c>
      <c r="G7155" t="str">
        <v>ProjectedCrs</v>
      </c>
      <c r="H7155" t="str">
        <v>&lt;undefined&gt;</v>
      </c>
      <c r="I7155" t="str">
        <v>WGS_1984_Spilhaus_Ocean_Map_in_Square</v>
      </c>
      <c r="J7155" t="str">
        <v>World.</v>
      </c>
      <c r="K7155" s="11">
        <v>0</v>
      </c>
    </row>
    <row r="7156" spans="5:11" x14ac:dyDescent="0.35">
      <c r="E7156" s="9" t="str">
        <v>ESRI</v>
      </c>
      <c r="F7156" s="7" t="str">
        <v>54100</v>
      </c>
      <c r="G7156" t="str">
        <v>ProjectedCrs</v>
      </c>
      <c r="H7156" t="str">
        <v>&lt;undefined&gt;</v>
      </c>
      <c r="I7156" t="str">
        <v>WGS_1984_Tobler_Cylindrical_I</v>
      </c>
      <c r="J7156" t="str">
        <v>World.</v>
      </c>
      <c r="K7156" s="11">
        <v>0</v>
      </c>
    </row>
    <row r="7157" spans="5:11" x14ac:dyDescent="0.35">
      <c r="E7157" s="9" t="str">
        <v>ESRI</v>
      </c>
      <c r="F7157" s="7" t="str">
        <v>54101</v>
      </c>
      <c r="G7157" t="str">
        <v>ProjectedCrs</v>
      </c>
      <c r="H7157" t="str">
        <v>&lt;undefined&gt;</v>
      </c>
      <c r="I7157" t="str">
        <v>WGS_1984_Tobler_Cylindrical_II</v>
      </c>
      <c r="J7157" t="str">
        <v>World.</v>
      </c>
      <c r="K7157" s="11">
        <v>0</v>
      </c>
    </row>
    <row r="7158" spans="5:11" x14ac:dyDescent="0.35">
      <c r="E7158" s="9" t="str">
        <v>ESRI</v>
      </c>
      <c r="F7158" s="7" t="str">
        <v>65061</v>
      </c>
      <c r="G7158" t="str">
        <v>ProjectedCrs</v>
      </c>
      <c r="H7158" t="str">
        <v>American Polyconic</v>
      </c>
      <c r="I7158" t="str">
        <v>NAD_1927_StatePlane_Guam_FIPS_5400</v>
      </c>
      <c r="J7158" t="str">
        <v>Guam - onshore and offshore.</v>
      </c>
      <c r="K7158" s="11">
        <v>0</v>
      </c>
    </row>
    <row r="7159" spans="5:11" x14ac:dyDescent="0.35">
      <c r="E7159" s="9" t="str">
        <v>ESRI</v>
      </c>
      <c r="F7159" s="7" t="str">
        <v>65062</v>
      </c>
      <c r="G7159" t="str">
        <v>ProjectedCrs</v>
      </c>
      <c r="H7159" t="str">
        <v>Lambert Conic Conformal (1SP)</v>
      </c>
      <c r="I7159" t="str">
        <v>American_Samoa_1962_StatePlane_American_Samoa_FIPS_5300</v>
      </c>
      <c r="J7159" t="str">
        <v>American Samoa - onshore and offshore.</v>
      </c>
      <c r="K7159" s="11">
        <v>0</v>
      </c>
    </row>
    <row r="7160" spans="5:11" x14ac:dyDescent="0.35">
      <c r="E7160" s="9" t="str">
        <v>ESRI</v>
      </c>
      <c r="F7160" s="7" t="str">
        <v>65161</v>
      </c>
      <c r="G7160" t="str">
        <v>ProjectedCrs</v>
      </c>
      <c r="H7160" t="str">
        <v>American Polyconic</v>
      </c>
      <c r="I7160" t="str">
        <v>NAD_1983_StatePlane_Guam_FIPS_5400</v>
      </c>
      <c r="J7160" t="str">
        <v>Guam - onshore and offshore.</v>
      </c>
      <c r="K7160" s="11">
        <v>0</v>
      </c>
    </row>
    <row r="7161" spans="5:11" x14ac:dyDescent="0.35">
      <c r="E7161" s="9" t="str">
        <v>ESRI</v>
      </c>
      <c r="F7161" s="7" t="str">
        <v>102001</v>
      </c>
      <c r="G7161" t="str">
        <v>ProjectedCrs</v>
      </c>
      <c r="H7161" t="str">
        <v>Albers Equal Area</v>
      </c>
      <c r="I7161" t="str">
        <v>Canada_Albers_Equal_Area_Conic</v>
      </c>
      <c r="J7161" t="str">
        <v>Canada - onshore and offshore - Alberta; British Columbia; Manitoba; New Brunswick; Newfoundland and Labrador; Northwest Territories; Nova Scotia; Nunavut; Ontario; Prince Edward Island; Quebec; Saskatchewan; Yukon.</v>
      </c>
      <c r="K7161" s="11">
        <v>0</v>
      </c>
    </row>
    <row r="7162" spans="5:11" x14ac:dyDescent="0.35">
      <c r="E7162" s="9" t="str">
        <v>ESRI</v>
      </c>
      <c r="F7162" s="7" t="str">
        <v>102002</v>
      </c>
      <c r="G7162" t="str">
        <v>ProjectedCrs</v>
      </c>
      <c r="H7162" t="str">
        <v>Lambert Conic Conformal (2SP)</v>
      </c>
      <c r="I7162" t="str">
        <v>Canada_Lambert_Conformal_Conic</v>
      </c>
      <c r="J7162" t="str">
        <v>Canada - onshore and offshore - Alberta; British Columbia; Manitoba; New Brunswick; Newfoundland and Labrador; Northwest Territories; Nova Scotia; Nunavut; Ontario; Prince Edward Island; Quebec; Saskatchewan; Yukon.</v>
      </c>
      <c r="K7162" s="11">
        <v>0</v>
      </c>
    </row>
    <row r="7163" spans="5:11" x14ac:dyDescent="0.35">
      <c r="E7163" s="9" t="str">
        <v>ESRI</v>
      </c>
      <c r="F7163" s="7" t="str">
        <v>102003</v>
      </c>
      <c r="G7163" t="str">
        <v>ProjectedCrs</v>
      </c>
      <c r="H7163" t="str">
        <v>Albers Equal Area</v>
      </c>
      <c r="I7163" t="str">
        <v>USA_Contiguous_Albers_Equal_Area_Conic</v>
      </c>
      <c r="J7163"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7163" s="11">
        <v>0</v>
      </c>
    </row>
    <row r="7164" spans="5:11" x14ac:dyDescent="0.35">
      <c r="E7164" s="9" t="str">
        <v>ESRI</v>
      </c>
      <c r="F7164" s="7" t="str">
        <v>102004</v>
      </c>
      <c r="G7164" t="str">
        <v>ProjectedCrs</v>
      </c>
      <c r="H7164" t="str">
        <v>Lambert Conic Conformal (2SP)</v>
      </c>
      <c r="I7164" t="str">
        <v>USA_Contiguous_Lambert_Conformal_Conic</v>
      </c>
      <c r="J7164"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7164" s="11">
        <v>0</v>
      </c>
    </row>
    <row r="7165" spans="5:11" x14ac:dyDescent="0.35">
      <c r="E7165" s="9" t="str">
        <v>ESRI</v>
      </c>
      <c r="F7165" s="7" t="str">
        <v>102005</v>
      </c>
      <c r="G7165" t="str">
        <v>ProjectedCrs</v>
      </c>
      <c r="H7165" t="str">
        <v>&lt;undefined&gt;</v>
      </c>
      <c r="I7165" t="str">
        <v>USA_Contiguous_Equidistant_Conic</v>
      </c>
      <c r="J7165"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7165" s="11">
        <v>0</v>
      </c>
    </row>
    <row r="7166" spans="5:11" x14ac:dyDescent="0.35">
      <c r="E7166" s="9" t="str">
        <v>ESRI</v>
      </c>
      <c r="F7166" s="7" t="str">
        <v>102007</v>
      </c>
      <c r="G7166" t="str">
        <v>ProjectedCrs</v>
      </c>
      <c r="H7166" t="str">
        <v>Albers Equal Area</v>
      </c>
      <c r="I7166" t="str">
        <v>Hawaii_Albers_Equal_Area_Conic</v>
      </c>
      <c r="J7166" t="str">
        <v>United States (USA) - Hawaii - main islands onshore.</v>
      </c>
      <c r="K7166" s="11">
        <v>0</v>
      </c>
    </row>
    <row r="7167" spans="5:11" x14ac:dyDescent="0.35">
      <c r="E7167" s="9" t="str">
        <v>ESRI</v>
      </c>
      <c r="F7167" s="7" t="str">
        <v>102008</v>
      </c>
      <c r="G7167" t="str">
        <v>ProjectedCrs</v>
      </c>
      <c r="H7167" t="str">
        <v>Albers Equal Area</v>
      </c>
      <c r="I7167" t="str">
        <v>North_America_Albers_Equal_Area_Conic</v>
      </c>
      <c r="J7167" t="str">
        <v>North America - onshore and offshore: Canada - Alberta; British Columbia; Manitoba; New Brunswick; Newfoundland and Labrador; Northwest Territories; Nova Scotia; Nunavut; Ontario; Prince Edward Island; Quebec; Saskatchewan; Yukon. United States (USA) - Alabama; Alaska (mainland);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7167" s="11">
        <v>0</v>
      </c>
    </row>
    <row r="7168" spans="5:11" x14ac:dyDescent="0.35">
      <c r="E7168" s="9" t="str">
        <v>ESRI</v>
      </c>
      <c r="F7168" s="7" t="str">
        <v>102009</v>
      </c>
      <c r="G7168" t="str">
        <v>ProjectedCrs</v>
      </c>
      <c r="H7168" t="str">
        <v>Lambert Conic Conformal (2SP)</v>
      </c>
      <c r="I7168" t="str">
        <v>North_America_Lambert_Conformal_Conic</v>
      </c>
      <c r="J7168" t="str">
        <v>North America - onshore and offshore: Canada - Alberta; British Columbia; Manitoba; New Brunswick; Newfoundland and Labrador; Northwest Territories; Nova Scotia; Nunavut; Ontario; Prince Edward Island; Quebec; Saskatchewan; Yukon. United States (USA) - Alabama; Alaska (mainland);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7168" s="11">
        <v>0</v>
      </c>
    </row>
    <row r="7169" spans="5:11" x14ac:dyDescent="0.35">
      <c r="E7169" s="9" t="str">
        <v>ESRI</v>
      </c>
      <c r="F7169" s="7" t="str">
        <v>102010</v>
      </c>
      <c r="G7169" t="str">
        <v>ProjectedCrs</v>
      </c>
      <c r="H7169" t="str">
        <v>&lt;undefined&gt;</v>
      </c>
      <c r="I7169" t="str">
        <v>North_America_Equidistant_Conic</v>
      </c>
      <c r="J7169" t="str">
        <v>North America - onshore and offshore: Canada - Alberta; British Columbia; Manitoba; New Brunswick; Newfoundland and Labrador; Northwest Territories; Nova Scotia; Nunavut; Ontario; Prince Edward Island; Quebec; Saskatchewan; Yukon. United States (USA) - Alabama; Alaska (mainland);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7169" s="11">
        <v>0</v>
      </c>
    </row>
    <row r="7170" spans="5:11" x14ac:dyDescent="0.35">
      <c r="E7170" s="9" t="str">
        <v>ESRI</v>
      </c>
      <c r="F7170" s="7" t="str">
        <v>102011</v>
      </c>
      <c r="G7170" t="str">
        <v>ProjectedCrs</v>
      </c>
      <c r="H7170" t="str">
        <v>&lt;undefined&gt;</v>
      </c>
      <c r="I7170" t="str">
        <v>Africa_Sinusoidal</v>
      </c>
      <c r="J7170" t="str">
        <v>Africa</v>
      </c>
      <c r="K7170" s="11">
        <v>0</v>
      </c>
    </row>
    <row r="7171" spans="5:11" x14ac:dyDescent="0.35">
      <c r="E7171" s="9" t="str">
        <v>ESRI</v>
      </c>
      <c r="F7171" s="7" t="str">
        <v>102012</v>
      </c>
      <c r="G7171" t="str">
        <v>ProjectedCrs</v>
      </c>
      <c r="H7171" t="str">
        <v>Lambert Conic Conformal (2SP)</v>
      </c>
      <c r="I7171" t="str">
        <v>Asia_Lambert_Conformal_Conic</v>
      </c>
      <c r="J7171" t="str">
        <v>Asia</v>
      </c>
      <c r="K7171" s="11">
        <v>0</v>
      </c>
    </row>
    <row r="7172" spans="5:11" x14ac:dyDescent="0.35">
      <c r="E7172" s="9" t="str">
        <v>ESRI</v>
      </c>
      <c r="F7172" s="7" t="str">
        <v>102013</v>
      </c>
      <c r="G7172" t="str">
        <v>ProjectedCrs</v>
      </c>
      <c r="H7172" t="str">
        <v>Albers Equal Area</v>
      </c>
      <c r="I7172" t="str">
        <v>Europe_Albers_Equal_Area_Conic</v>
      </c>
      <c r="J7172" t="str">
        <v>Europe</v>
      </c>
      <c r="K7172" s="11">
        <v>0</v>
      </c>
    </row>
    <row r="7173" spans="5:11" x14ac:dyDescent="0.35">
      <c r="E7173" s="9" t="str">
        <v>ESRI</v>
      </c>
      <c r="F7173" s="7" t="str">
        <v>102014</v>
      </c>
      <c r="G7173" t="str">
        <v>ProjectedCrs</v>
      </c>
      <c r="H7173" t="str">
        <v>Lambert Conic Conformal (2SP)</v>
      </c>
      <c r="I7173" t="str">
        <v>Europe_Lambert_Conformal_Conic</v>
      </c>
      <c r="J7173" t="str">
        <v>Europe</v>
      </c>
      <c r="K7173" s="11">
        <v>0</v>
      </c>
    </row>
    <row r="7174" spans="5:11" x14ac:dyDescent="0.35">
      <c r="E7174" s="9" t="str">
        <v>ESRI</v>
      </c>
      <c r="F7174" s="7" t="str">
        <v>102015</v>
      </c>
      <c r="G7174" t="str">
        <v>ProjectedCrs</v>
      </c>
      <c r="H7174" t="str">
        <v>Lambert Conic Conformal (2SP)</v>
      </c>
      <c r="I7174" t="str">
        <v>South_America_Lambert_Conformal_Conic</v>
      </c>
      <c r="J7174" t="str">
        <v>Brazil - onshore and offshore. In rest of South America - onshore north of approximately 45°S and Tierra del Fuego.</v>
      </c>
      <c r="K7174" s="11">
        <v>0</v>
      </c>
    </row>
    <row r="7175" spans="5:11" x14ac:dyDescent="0.35">
      <c r="E7175" s="9" t="str">
        <v>ESRI</v>
      </c>
      <c r="F7175" s="7" t="str">
        <v>102016</v>
      </c>
      <c r="G7175" t="str">
        <v>ProjectedCrs</v>
      </c>
      <c r="H7175" t="str">
        <v>&lt;undefined&gt;</v>
      </c>
      <c r="I7175" t="str">
        <v>North_Pole_Azimuthal_Equidistant</v>
      </c>
      <c r="J7175" t="str">
        <v>Northern hemisphere.</v>
      </c>
      <c r="K7175" s="11">
        <v>0</v>
      </c>
    </row>
    <row r="7176" spans="5:11" x14ac:dyDescent="0.35">
      <c r="E7176" s="9" t="str">
        <v>ESRI</v>
      </c>
      <c r="F7176" s="7" t="str">
        <v>102017</v>
      </c>
      <c r="G7176" t="str">
        <v>ProjectedCrs</v>
      </c>
      <c r="H7176" t="str">
        <v>&lt;undefined&gt;</v>
      </c>
      <c r="I7176" t="str">
        <v>North_Pole_Lambert_Azimuthal_Equal_Area</v>
      </c>
      <c r="J7176" t="str">
        <v>Northern hemisphere.</v>
      </c>
      <c r="K7176" s="11">
        <v>0</v>
      </c>
    </row>
    <row r="7177" spans="5:11" x14ac:dyDescent="0.35">
      <c r="E7177" s="9" t="str">
        <v>ESRI</v>
      </c>
      <c r="F7177" s="7" t="str">
        <v>102018</v>
      </c>
      <c r="G7177" t="str">
        <v>ProjectedCrs</v>
      </c>
      <c r="H7177" t="str">
        <v>&lt;undefined&gt;</v>
      </c>
      <c r="I7177" t="str">
        <v>North_Pole_Stereographic</v>
      </c>
      <c r="J7177" t="str">
        <v>Northern hemisphere.</v>
      </c>
      <c r="K7177" s="11">
        <v>0</v>
      </c>
    </row>
    <row r="7178" spans="5:11" x14ac:dyDescent="0.35">
      <c r="E7178" s="9" t="str">
        <v>ESRI</v>
      </c>
      <c r="F7178" s="7" t="str">
        <v>102019</v>
      </c>
      <c r="G7178" t="str">
        <v>ProjectedCrs</v>
      </c>
      <c r="H7178" t="str">
        <v>&lt;undefined&gt;</v>
      </c>
      <c r="I7178" t="str">
        <v>South_Pole_Azimuthal_Equidistant</v>
      </c>
      <c r="J7178" t="str">
        <v>Southern hemisphere.</v>
      </c>
      <c r="K7178" s="11">
        <v>0</v>
      </c>
    </row>
    <row r="7179" spans="5:11" x14ac:dyDescent="0.35">
      <c r="E7179" s="9" t="str">
        <v>ESRI</v>
      </c>
      <c r="F7179" s="7" t="str">
        <v>102020</v>
      </c>
      <c r="G7179" t="str">
        <v>ProjectedCrs</v>
      </c>
      <c r="H7179" t="str">
        <v>&lt;undefined&gt;</v>
      </c>
      <c r="I7179" t="str">
        <v>South_Pole_Lambert_Azimuthal_Equal_Area</v>
      </c>
      <c r="J7179" t="str">
        <v>Southern hemisphere.</v>
      </c>
      <c r="K7179" s="11">
        <v>0</v>
      </c>
    </row>
    <row r="7180" spans="5:11" x14ac:dyDescent="0.35">
      <c r="E7180" s="9" t="str">
        <v>ESRI</v>
      </c>
      <c r="F7180" s="7" t="str">
        <v>102021</v>
      </c>
      <c r="G7180" t="str">
        <v>ProjectedCrs</v>
      </c>
      <c r="H7180" t="str">
        <v>&lt;undefined&gt;</v>
      </c>
      <c r="I7180" t="str">
        <v>South_Pole_Stereographic</v>
      </c>
      <c r="J7180" t="str">
        <v>Southern hemisphere.</v>
      </c>
      <c r="K7180" s="11">
        <v>0</v>
      </c>
    </row>
    <row r="7181" spans="5:11" x14ac:dyDescent="0.35">
      <c r="E7181" s="9" t="str">
        <v>ESRI</v>
      </c>
      <c r="F7181" s="7" t="str">
        <v>102022</v>
      </c>
      <c r="G7181" t="str">
        <v>ProjectedCrs</v>
      </c>
      <c r="H7181" t="str">
        <v>Albers Equal Area</v>
      </c>
      <c r="I7181" t="str">
        <v>Africa_Albers_Equal_Area_Conic</v>
      </c>
      <c r="J7181" t="str">
        <v>Africa</v>
      </c>
      <c r="K7181" s="11">
        <v>0</v>
      </c>
    </row>
    <row r="7182" spans="5:11" x14ac:dyDescent="0.35">
      <c r="E7182" s="9" t="str">
        <v>ESRI</v>
      </c>
      <c r="F7182" s="7" t="str">
        <v>102023</v>
      </c>
      <c r="G7182" t="str">
        <v>ProjectedCrs</v>
      </c>
      <c r="H7182" t="str">
        <v>&lt;undefined&gt;</v>
      </c>
      <c r="I7182" t="str">
        <v>Africa_Equidistant_Conic</v>
      </c>
      <c r="J7182" t="str">
        <v>Africa</v>
      </c>
      <c r="K7182" s="11">
        <v>0</v>
      </c>
    </row>
    <row r="7183" spans="5:11" x14ac:dyDescent="0.35">
      <c r="E7183" s="9" t="str">
        <v>ESRI</v>
      </c>
      <c r="F7183" s="7" t="str">
        <v>102024</v>
      </c>
      <c r="G7183" t="str">
        <v>ProjectedCrs</v>
      </c>
      <c r="H7183" t="str">
        <v>Lambert Conic Conformal (2SP)</v>
      </c>
      <c r="I7183" t="str">
        <v>Africa_Lambert_Conformal_Conic</v>
      </c>
      <c r="J7183" t="str">
        <v>Africa</v>
      </c>
      <c r="K7183" s="11">
        <v>0</v>
      </c>
    </row>
    <row r="7184" spans="5:11" x14ac:dyDescent="0.35">
      <c r="E7184" s="9" t="str">
        <v>ESRI</v>
      </c>
      <c r="F7184" s="7" t="str">
        <v>102025</v>
      </c>
      <c r="G7184" t="str">
        <v>ProjectedCrs</v>
      </c>
      <c r="H7184" t="str">
        <v>Albers Equal Area</v>
      </c>
      <c r="I7184" t="str">
        <v>Asia_North_Albers_Equal_Area_Conic</v>
      </c>
      <c r="J7184" t="str">
        <v>Asia - North</v>
      </c>
      <c r="K7184" s="11">
        <v>0</v>
      </c>
    </row>
    <row r="7185" spans="5:11" x14ac:dyDescent="0.35">
      <c r="E7185" s="9" t="str">
        <v>ESRI</v>
      </c>
      <c r="F7185" s="7" t="str">
        <v>102026</v>
      </c>
      <c r="G7185" t="str">
        <v>ProjectedCrs</v>
      </c>
      <c r="H7185" t="str">
        <v>&lt;undefined&gt;</v>
      </c>
      <c r="I7185" t="str">
        <v>Asia_North_Equidistant_Conic</v>
      </c>
      <c r="J7185" t="str">
        <v>Asia - North</v>
      </c>
      <c r="K7185" s="11">
        <v>0</v>
      </c>
    </row>
    <row r="7186" spans="5:11" x14ac:dyDescent="0.35">
      <c r="E7186" s="9" t="str">
        <v>ESRI</v>
      </c>
      <c r="F7186" s="7" t="str">
        <v>102027</v>
      </c>
      <c r="G7186" t="str">
        <v>ProjectedCrs</v>
      </c>
      <c r="H7186" t="str">
        <v>Lambert Conic Conformal (2SP)</v>
      </c>
      <c r="I7186" t="str">
        <v>Asia_North_Lambert_Conformal_Conic</v>
      </c>
      <c r="J7186" t="str">
        <v>Asia - North</v>
      </c>
      <c r="K7186" s="11">
        <v>0</v>
      </c>
    </row>
    <row r="7187" spans="5:11" x14ac:dyDescent="0.35">
      <c r="E7187" s="9" t="str">
        <v>ESRI</v>
      </c>
      <c r="F7187" s="7" t="str">
        <v>102028</v>
      </c>
      <c r="G7187" t="str">
        <v>ProjectedCrs</v>
      </c>
      <c r="H7187" t="str">
        <v>Albers Equal Area</v>
      </c>
      <c r="I7187" t="str">
        <v>Asia_South_Albers_Equal_Area_Conic</v>
      </c>
      <c r="J7187" t="str">
        <v>Asia - South</v>
      </c>
      <c r="K7187" s="11">
        <v>0</v>
      </c>
    </row>
    <row r="7188" spans="5:11" x14ac:dyDescent="0.35">
      <c r="E7188" s="9" t="str">
        <v>ESRI</v>
      </c>
      <c r="F7188" s="7" t="str">
        <v>102029</v>
      </c>
      <c r="G7188" t="str">
        <v>ProjectedCrs</v>
      </c>
      <c r="H7188" t="str">
        <v>&lt;undefined&gt;</v>
      </c>
      <c r="I7188" t="str">
        <v>Asia_South_Equidistant_Conic</v>
      </c>
      <c r="J7188" t="str">
        <v>Asia - South</v>
      </c>
      <c r="K7188" s="11">
        <v>0</v>
      </c>
    </row>
    <row r="7189" spans="5:11" x14ac:dyDescent="0.35">
      <c r="E7189" s="9" t="str">
        <v>ESRI</v>
      </c>
      <c r="F7189" s="7" t="str">
        <v>102030</v>
      </c>
      <c r="G7189" t="str">
        <v>ProjectedCrs</v>
      </c>
      <c r="H7189" t="str">
        <v>Lambert Conic Conformal (2SP)</v>
      </c>
      <c r="I7189" t="str">
        <v>Asia_South_Lambert_Conformal_Conic</v>
      </c>
      <c r="J7189" t="str">
        <v>Asia - South</v>
      </c>
      <c r="K7189" s="11">
        <v>0</v>
      </c>
    </row>
    <row r="7190" spans="5:11" x14ac:dyDescent="0.35">
      <c r="E7190" s="9" t="str">
        <v>ESRI</v>
      </c>
      <c r="F7190" s="7" t="str">
        <v>102031</v>
      </c>
      <c r="G7190" t="str">
        <v>ProjectedCrs</v>
      </c>
      <c r="H7190" t="str">
        <v>&lt;undefined&gt;</v>
      </c>
      <c r="I7190" t="str">
        <v>Europe_Equidistant_Conic</v>
      </c>
      <c r="J7190" t="str">
        <v>Europe</v>
      </c>
      <c r="K7190" s="11">
        <v>0</v>
      </c>
    </row>
    <row r="7191" spans="5:11" x14ac:dyDescent="0.35">
      <c r="E7191" s="9" t="str">
        <v>ESRI</v>
      </c>
      <c r="F7191" s="7" t="str">
        <v>102032</v>
      </c>
      <c r="G7191" t="str">
        <v>ProjectedCrs</v>
      </c>
      <c r="H7191" t="str">
        <v>&lt;undefined&gt;</v>
      </c>
      <c r="I7191" t="str">
        <v>South_America_Equidistant_Conic</v>
      </c>
      <c r="J7191" t="str">
        <v>Brazil - onshore and offshore. In rest of South America - onshore north of approximately 45°S and Tierra del Fuego.</v>
      </c>
      <c r="K7191" s="11">
        <v>0</v>
      </c>
    </row>
    <row r="7192" spans="5:11" x14ac:dyDescent="0.35">
      <c r="E7192" s="9" t="str">
        <v>ESRI</v>
      </c>
      <c r="F7192" s="7" t="str">
        <v>102033</v>
      </c>
      <c r="G7192" t="str">
        <v>ProjectedCrs</v>
      </c>
      <c r="H7192" t="str">
        <v>Albers Equal Area</v>
      </c>
      <c r="I7192" t="str">
        <v>South_America_Albers_Equal_Area_Conic</v>
      </c>
      <c r="J7192" t="str">
        <v>Brazil - onshore and offshore. In rest of South America - onshore north of approximately 45°S and Tierra del Fuego.</v>
      </c>
      <c r="K7192" s="11">
        <v>0</v>
      </c>
    </row>
    <row r="7193" spans="5:11" x14ac:dyDescent="0.35">
      <c r="E7193" s="9" t="str">
        <v>ESRI</v>
      </c>
      <c r="F7193" s="7" t="str">
        <v>102034</v>
      </c>
      <c r="G7193" t="str">
        <v>ProjectedCrs</v>
      </c>
      <c r="H7193" t="str">
        <v>&lt;undefined&gt;</v>
      </c>
      <c r="I7193" t="str">
        <v>North_Pole_Gnomonic</v>
      </c>
      <c r="J7193" t="str">
        <v>Northern hemisphere.</v>
      </c>
      <c r="K7193" s="11">
        <v>0</v>
      </c>
    </row>
    <row r="7194" spans="5:11" x14ac:dyDescent="0.35">
      <c r="E7194" s="9" t="str">
        <v>ESRI</v>
      </c>
      <c r="F7194" s="7" t="str">
        <v>102035</v>
      </c>
      <c r="G7194" t="str">
        <v>ProjectedCrs</v>
      </c>
      <c r="H7194" t="str">
        <v>&lt;undefined&gt;</v>
      </c>
      <c r="I7194" t="str">
        <v>North_Pole_Orthographic</v>
      </c>
      <c r="J7194" t="str">
        <v>Northern hemisphere.</v>
      </c>
      <c r="K7194" s="11">
        <v>0</v>
      </c>
    </row>
    <row r="7195" spans="5:11" x14ac:dyDescent="0.35">
      <c r="E7195" s="9" t="str">
        <v>ESRI</v>
      </c>
      <c r="F7195" s="7" t="str">
        <v>102036</v>
      </c>
      <c r="G7195" t="str">
        <v>ProjectedCrs</v>
      </c>
      <c r="H7195" t="str">
        <v>&lt;undefined&gt;</v>
      </c>
      <c r="I7195" t="str">
        <v>South_Pole_Gnomonic</v>
      </c>
      <c r="J7195" t="str">
        <v>Southern hemisphere.</v>
      </c>
      <c r="K7195" s="11">
        <v>0</v>
      </c>
    </row>
    <row r="7196" spans="5:11" x14ac:dyDescent="0.35">
      <c r="E7196" s="9" t="str">
        <v>ESRI</v>
      </c>
      <c r="F7196" s="7" t="str">
        <v>102037</v>
      </c>
      <c r="G7196" t="str">
        <v>ProjectedCrs</v>
      </c>
      <c r="H7196" t="str">
        <v>&lt;undefined&gt;</v>
      </c>
      <c r="I7196" t="str">
        <v>South_Pole_Orthographic</v>
      </c>
      <c r="J7196" t="str">
        <v>Southern hemisphere.</v>
      </c>
      <c r="K7196" s="11">
        <v>0</v>
      </c>
    </row>
    <row r="7197" spans="5:11" x14ac:dyDescent="0.35">
      <c r="E7197" s="9" t="str">
        <v>ESRI</v>
      </c>
      <c r="F7197" s="7" t="str">
        <v>102038</v>
      </c>
      <c r="G7197" t="str">
        <v>ProjectedCrs</v>
      </c>
      <c r="H7197" t="str">
        <v>&lt;undefined&gt;</v>
      </c>
      <c r="I7197" t="str">
        <v>The_World_From_Space</v>
      </c>
      <c r="J7197" t="str">
        <v>World.</v>
      </c>
      <c r="K7197" s="11">
        <v>0</v>
      </c>
    </row>
    <row r="7198" spans="5:11" x14ac:dyDescent="0.35">
      <c r="E7198" s="9" t="str">
        <v>ESRI</v>
      </c>
      <c r="F7198" s="7" t="str">
        <v>102039</v>
      </c>
      <c r="G7198" t="str">
        <v>ProjectedCrs</v>
      </c>
      <c r="H7198" t="str">
        <v>Albers Equal Area</v>
      </c>
      <c r="I7198" t="str">
        <v>USA_Contiguous_Albers_Equal_Area_Conic_USGS_version</v>
      </c>
      <c r="J7198" t="str">
        <v>United States (USA) - CONUS onshore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v>
      </c>
      <c r="K7198" s="11">
        <v>0</v>
      </c>
    </row>
    <row r="7199" spans="5:11" x14ac:dyDescent="0.35">
      <c r="E7199" s="9" t="str">
        <v>ESRI</v>
      </c>
      <c r="F7199" s="7" t="str">
        <v>102041</v>
      </c>
      <c r="G7199" t="str">
        <v>ProjectedCrs</v>
      </c>
      <c r="H7199" t="str">
        <v>Lambert Conic Conformal (2SP)</v>
      </c>
      <c r="I7199" t="str">
        <v>COB_NAD83_2007</v>
      </c>
      <c r="J7199" t="str">
        <v>USA - Washington - Bellevue</v>
      </c>
      <c r="K7199" s="11">
        <v>0</v>
      </c>
    </row>
    <row r="7200" spans="5:11" x14ac:dyDescent="0.35">
      <c r="E7200" s="9" t="str">
        <v>ESRI</v>
      </c>
      <c r="F7200" s="7" t="str">
        <v>102042</v>
      </c>
      <c r="G7200" t="str">
        <v>ProjectedCrs</v>
      </c>
      <c r="H7200" t="str">
        <v>Albers Equal Area</v>
      </c>
      <c r="I7200" t="str">
        <v>NAD_1983_USFS_R9_Albers</v>
      </c>
      <c r="J7200" t="str">
        <v>USA - USFS - Eastern Region</v>
      </c>
      <c r="K7200" s="11">
        <v>0</v>
      </c>
    </row>
    <row r="7201" spans="5:11" x14ac:dyDescent="0.35">
      <c r="E7201" s="9" t="str">
        <v>ESRI</v>
      </c>
      <c r="F7201" s="7" t="str">
        <v>102043</v>
      </c>
      <c r="G7201" t="str">
        <v>ProjectedCrs</v>
      </c>
      <c r="H7201" t="str">
        <v>Transverse Mercator</v>
      </c>
      <c r="I7201" t="str">
        <v>NAD_1983_CORS96_UTM_Zone_20N</v>
      </c>
      <c r="J7201" t="str">
        <v>Puerto Rico and US Virgin Islands - onshore and offshore.</v>
      </c>
      <c r="K7201" s="11">
        <v>0</v>
      </c>
    </row>
    <row r="7202" spans="5:11" x14ac:dyDescent="0.35">
      <c r="E7202" s="9" t="str">
        <v>ESRI</v>
      </c>
      <c r="F7202" s="7" t="str">
        <v>102044</v>
      </c>
      <c r="G7202" t="str">
        <v>ProjectedCrs</v>
      </c>
      <c r="H7202" t="str">
        <v>Transverse Mercator</v>
      </c>
      <c r="I7202" t="str">
        <v>NAD_1983_NSRS2007_UTM_Zone_20N</v>
      </c>
      <c r="J7202" t="str">
        <v>Puerto Rico and US Virgin Islands - onshore and offshore.</v>
      </c>
      <c r="K7202" s="11">
        <v>0</v>
      </c>
    </row>
    <row r="7203" spans="5:11" x14ac:dyDescent="0.35">
      <c r="E7203" s="9" t="str">
        <v>ESRI</v>
      </c>
      <c r="F7203" s="7" t="str">
        <v>102045</v>
      </c>
      <c r="G7203" t="str">
        <v>ProjectedCrs</v>
      </c>
      <c r="H7203" t="str">
        <v>Transverse Mercator</v>
      </c>
      <c r="I7203" t="str">
        <v>NAD_1983_2011_UTM_Zone_20N</v>
      </c>
      <c r="J7203" t="str">
        <v>Puerto Rico and US Virgin Islands - onshore and offshore.</v>
      </c>
      <c r="K7203" s="11">
        <v>0</v>
      </c>
    </row>
    <row r="7204" spans="5:11" x14ac:dyDescent="0.35">
      <c r="E7204" s="9" t="str">
        <v>ESRI</v>
      </c>
      <c r="F7204" s="7" t="str">
        <v>102060</v>
      </c>
      <c r="G7204" t="str">
        <v>ProjectedCrs</v>
      </c>
      <c r="H7204" t="str">
        <v>Transverse Mercator</v>
      </c>
      <c r="I7204" t="str">
        <v>D48_Slovenia_TM</v>
      </c>
      <c r="J7204" t="str">
        <v>Slovenia - onshore and offshore.</v>
      </c>
      <c r="K7204" s="11">
        <v>0</v>
      </c>
    </row>
    <row r="7205" spans="5:11" x14ac:dyDescent="0.35">
      <c r="E7205" s="9" t="str">
        <v>ESRI</v>
      </c>
      <c r="F7205" s="7" t="str">
        <v>102061</v>
      </c>
      <c r="G7205" t="str">
        <v>ProjectedCrs</v>
      </c>
      <c r="H7205" t="str">
        <v>&lt;undefined&gt;</v>
      </c>
      <c r="I7205" t="str">
        <v>Everest_Modified_1969_RSO_Malaya_Meters</v>
      </c>
      <c r="J7205" t="str">
        <v>Malaysia - West Malaysia onshore.</v>
      </c>
      <c r="K7205" s="11">
        <v>0</v>
      </c>
    </row>
    <row r="7206" spans="5:11" x14ac:dyDescent="0.35">
      <c r="E7206" s="9" t="str">
        <v>ESRI</v>
      </c>
      <c r="F7206" s="7" t="str">
        <v>102062</v>
      </c>
      <c r="G7206" t="str">
        <v>ProjectedCrs</v>
      </c>
      <c r="H7206" t="str">
        <v>&lt;undefined&gt;</v>
      </c>
      <c r="I7206" t="str">
        <v>Kertau_RSO_Malaya_Meters</v>
      </c>
      <c r="J7206" t="str">
        <v>Malaysia - West Malaysia onshore.</v>
      </c>
      <c r="K7206" s="11">
        <v>0</v>
      </c>
    </row>
    <row r="7207" spans="5:11" x14ac:dyDescent="0.35">
      <c r="E7207" s="9" t="str">
        <v>ESRI</v>
      </c>
      <c r="F7207" s="7" t="str">
        <v>102063</v>
      </c>
      <c r="G7207" t="str">
        <v>ProjectedCrs</v>
      </c>
      <c r="H7207" t="str">
        <v>Transverse Mercator</v>
      </c>
      <c r="I7207" t="str">
        <v>Kandawala_Ceylon_Belt_Meters</v>
      </c>
      <c r="J7207" t="str">
        <v>Sri Lanka - onshore.</v>
      </c>
      <c r="K7207" s="11">
        <v>0</v>
      </c>
    </row>
    <row r="7208" spans="5:11" x14ac:dyDescent="0.35">
      <c r="E7208" s="9" t="str">
        <v>ESRI</v>
      </c>
      <c r="F7208" s="7" t="str">
        <v>102064</v>
      </c>
      <c r="G7208" t="str">
        <v>ProjectedCrs</v>
      </c>
      <c r="H7208" t="str">
        <v>Transverse Mercator</v>
      </c>
      <c r="I7208" t="str">
        <v>Kandawala_Ceylon_Belt_Indian_Yards_1937</v>
      </c>
      <c r="J7208" t="str">
        <v>Sri Lanka - onshore.</v>
      </c>
      <c r="K7208" s="11">
        <v>0</v>
      </c>
    </row>
    <row r="7209" spans="5:11" x14ac:dyDescent="0.35">
      <c r="E7209" s="9" t="str">
        <v>ESRI</v>
      </c>
      <c r="F7209" s="7" t="str">
        <v>102068</v>
      </c>
      <c r="G7209" t="str">
        <v>ProjectedCrs</v>
      </c>
      <c r="H7209" t="str">
        <v>&lt;undefined&gt;</v>
      </c>
      <c r="I7209" t="str">
        <v>EMEP_50_Kilometer_Grid</v>
      </c>
      <c r="J7209" t="str">
        <v>Europe</v>
      </c>
      <c r="K7209" s="11">
        <v>0</v>
      </c>
    </row>
    <row r="7210" spans="5:11" x14ac:dyDescent="0.35">
      <c r="E7210" s="9" t="str">
        <v>ESRI</v>
      </c>
      <c r="F7210" s="7" t="str">
        <v>102069</v>
      </c>
      <c r="G7210" t="str">
        <v>ProjectedCrs</v>
      </c>
      <c r="H7210" t="str">
        <v>&lt;undefined&gt;</v>
      </c>
      <c r="I7210" t="str">
        <v>EMEP_150_Kilometer_Grid</v>
      </c>
      <c r="J7210" t="str">
        <v>Europe</v>
      </c>
      <c r="K7210" s="11">
        <v>0</v>
      </c>
    </row>
    <row r="7211" spans="5:11" x14ac:dyDescent="0.35">
      <c r="E7211" s="9" t="str">
        <v>ESRI</v>
      </c>
      <c r="F7211" s="7" t="str">
        <v>102070</v>
      </c>
      <c r="G7211" t="str">
        <v>ProjectedCrs</v>
      </c>
      <c r="H7211" t="str">
        <v>Transverse Mercator</v>
      </c>
      <c r="I7211" t="str">
        <v>Guernsey_Grid</v>
      </c>
      <c r="J7211" t="str">
        <v>Channel Islands - Guernsey, Alderney, Sark, Herm, Brecqhou, Jethou, Lihou - onshore and offshore.</v>
      </c>
      <c r="K7211" s="11">
        <v>0</v>
      </c>
    </row>
    <row r="7212" spans="5:11" x14ac:dyDescent="0.35">
      <c r="E7212" s="9" t="str">
        <v>ESRI</v>
      </c>
      <c r="F7212" s="7" t="str">
        <v>102071</v>
      </c>
      <c r="G7212" t="str">
        <v>ProjectedCrs</v>
      </c>
      <c r="H7212" t="str">
        <v>Transverse Mercator</v>
      </c>
      <c r="I7212" t="str">
        <v>AGD_1966_ACT_Grid_AGC_Zone</v>
      </c>
      <c r="J7212" t="str">
        <v>Australia - Australian Capital Territory.</v>
      </c>
      <c r="K7212" s="11">
        <v>0</v>
      </c>
    </row>
    <row r="7213" spans="5:11" x14ac:dyDescent="0.35">
      <c r="E7213" s="9" t="str">
        <v>ESRI</v>
      </c>
      <c r="F7213" s="7" t="str">
        <v>102072</v>
      </c>
      <c r="G7213" t="str">
        <v>ProjectedCrs</v>
      </c>
      <c r="H7213" t="str">
        <v>Transverse Mercator</v>
      </c>
      <c r="I7213" t="str">
        <v>AGD_1966_ISG_54_2</v>
      </c>
      <c r="J7213" t="str">
        <v>Australia - New South Wales - 140~E to 142~E (ISG 54/2)</v>
      </c>
      <c r="K7213" s="11">
        <v>0</v>
      </c>
    </row>
    <row r="7214" spans="5:11" x14ac:dyDescent="0.35">
      <c r="E7214" s="9" t="str">
        <v>ESRI</v>
      </c>
      <c r="F7214" s="7" t="str">
        <v>102073</v>
      </c>
      <c r="G7214" t="str">
        <v>ProjectedCrs</v>
      </c>
      <c r="H7214" t="str">
        <v>Transverse Mercator</v>
      </c>
      <c r="I7214" t="str">
        <v>AGD_1966_ISG_54_3</v>
      </c>
      <c r="J7214" t="str">
        <v>Australia - New South Wales - 142~E to 144~E (ISG 54/3)</v>
      </c>
      <c r="K7214" s="11">
        <v>0</v>
      </c>
    </row>
    <row r="7215" spans="5:11" x14ac:dyDescent="0.35">
      <c r="E7215" s="9" t="str">
        <v>ESRI</v>
      </c>
      <c r="F7215" s="7" t="str">
        <v>102074</v>
      </c>
      <c r="G7215" t="str">
        <v>ProjectedCrs</v>
      </c>
      <c r="H7215" t="str">
        <v>Transverse Mercator</v>
      </c>
      <c r="I7215" t="str">
        <v>AGD_1966_ISG_55_1</v>
      </c>
      <c r="J7215" t="str">
        <v>Australia - New South Wales - 144~E to 146~E (ISG 55/1)</v>
      </c>
      <c r="K7215" s="11">
        <v>0</v>
      </c>
    </row>
    <row r="7216" spans="5:11" x14ac:dyDescent="0.35">
      <c r="E7216" s="9" t="str">
        <v>ESRI</v>
      </c>
      <c r="F7216" s="7" t="str">
        <v>102075</v>
      </c>
      <c r="G7216" t="str">
        <v>ProjectedCrs</v>
      </c>
      <c r="H7216" t="str">
        <v>Transverse Mercator</v>
      </c>
      <c r="I7216" t="str">
        <v>AGD_1966_ISG_55_2</v>
      </c>
      <c r="J7216" t="str">
        <v>Australia - New South Wales - 146~E to 148~E (ISG 55/2)</v>
      </c>
      <c r="K7216" s="11">
        <v>0</v>
      </c>
    </row>
    <row r="7217" spans="5:11" x14ac:dyDescent="0.35">
      <c r="E7217" s="9" t="str">
        <v>ESRI</v>
      </c>
      <c r="F7217" s="7" t="str">
        <v>102076</v>
      </c>
      <c r="G7217" t="str">
        <v>ProjectedCrs</v>
      </c>
      <c r="H7217" t="str">
        <v>Transverse Mercator</v>
      </c>
      <c r="I7217" t="str">
        <v>AGD_1966_ISG_55_3</v>
      </c>
      <c r="J7217" t="str">
        <v>Australia - New South Wales - 148~E to 150~E (ISG 55/3)</v>
      </c>
      <c r="K7217" s="11">
        <v>0</v>
      </c>
    </row>
    <row r="7218" spans="5:11" x14ac:dyDescent="0.35">
      <c r="E7218" s="9" t="str">
        <v>ESRI</v>
      </c>
      <c r="F7218" s="7" t="str">
        <v>102077</v>
      </c>
      <c r="G7218" t="str">
        <v>ProjectedCrs</v>
      </c>
      <c r="H7218" t="str">
        <v>Transverse Mercator</v>
      </c>
      <c r="I7218" t="str">
        <v>AGD_1966_ISG_56_1</v>
      </c>
      <c r="J7218" t="str">
        <v>Australia - New South Wales - 150~E to 152~E (ISG 56/1)</v>
      </c>
      <c r="K7218" s="11">
        <v>0</v>
      </c>
    </row>
    <row r="7219" spans="5:11" x14ac:dyDescent="0.35">
      <c r="E7219" s="9" t="str">
        <v>ESRI</v>
      </c>
      <c r="F7219" s="7" t="str">
        <v>102078</v>
      </c>
      <c r="G7219" t="str">
        <v>ProjectedCrs</v>
      </c>
      <c r="H7219" t="str">
        <v>Transverse Mercator</v>
      </c>
      <c r="I7219" t="str">
        <v>AGD_1966_ISG_56_2</v>
      </c>
      <c r="J7219" t="str">
        <v>Australia - New South Wales - 152~E to 154~E (ISG 56/2)</v>
      </c>
      <c r="K7219" s="11">
        <v>0</v>
      </c>
    </row>
    <row r="7220" spans="5:11" x14ac:dyDescent="0.35">
      <c r="E7220" s="9" t="str">
        <v>ESRI</v>
      </c>
      <c r="F7220" s="7" t="str">
        <v>102079</v>
      </c>
      <c r="G7220" t="str">
        <v>ProjectedCrs</v>
      </c>
      <c r="H7220" t="str">
        <v>Transverse Mercator</v>
      </c>
      <c r="I7220" t="str">
        <v>AGD_1966_ISG_56_3</v>
      </c>
      <c r="J7220" t="str">
        <v>Australia - New South Wales - 154~E to 156~E (ISG 56/3)</v>
      </c>
      <c r="K7220" s="11">
        <v>0</v>
      </c>
    </row>
    <row r="7221" spans="5:11" x14ac:dyDescent="0.35">
      <c r="E7221" s="9" t="str">
        <v>ESRI</v>
      </c>
      <c r="F7221" s="7" t="str">
        <v>102093</v>
      </c>
      <c r="G7221" t="str">
        <v>ProjectedCrs</v>
      </c>
      <c r="H7221" t="str">
        <v>Transverse Mercator</v>
      </c>
      <c r="I7221" t="str">
        <v>Roma_1940_Gauss_Boaga_Est</v>
      </c>
      <c r="J7221" t="str">
        <v>Italy - onshore and offshore - east of 12°E including San Marino and Vatican City State.</v>
      </c>
      <c r="K7221" s="11">
        <v>0</v>
      </c>
    </row>
    <row r="7222" spans="5:11" x14ac:dyDescent="0.35">
      <c r="E7222" s="9" t="str">
        <v>ESRI</v>
      </c>
      <c r="F7222" s="7" t="str">
        <v>102094</v>
      </c>
      <c r="G7222" t="str">
        <v>ProjectedCrs</v>
      </c>
      <c r="H7222" t="str">
        <v>Transverse Mercator</v>
      </c>
      <c r="I7222" t="str">
        <v>Roma_1940_Gauss_Boaga_Ovest</v>
      </c>
      <c r="J7222" t="str">
        <v>Italy - onshore and offshore - west of 12°E.</v>
      </c>
      <c r="K7222" s="11">
        <v>0</v>
      </c>
    </row>
    <row r="7223" spans="5:11" x14ac:dyDescent="0.35">
      <c r="E7223" s="9" t="str">
        <v>ESRI</v>
      </c>
      <c r="F7223" s="7" t="str">
        <v>102096</v>
      </c>
      <c r="G7223" t="str">
        <v>ProjectedCrs</v>
      </c>
      <c r="H7223" t="str">
        <v>&lt;undefined&gt;</v>
      </c>
      <c r="I7223" t="str">
        <v>Bab_South_Palau_Azimuthal_Equidistant</v>
      </c>
      <c r="J7223" t="str">
        <v>Palau - onshore and offshore.</v>
      </c>
      <c r="K7223" s="11">
        <v>0</v>
      </c>
    </row>
    <row r="7224" spans="5:11" x14ac:dyDescent="0.35">
      <c r="E7224" s="9" t="str">
        <v>ESRI</v>
      </c>
      <c r="F7224" s="7" t="str">
        <v>102101</v>
      </c>
      <c r="G7224" t="str">
        <v>ProjectedCrs</v>
      </c>
      <c r="H7224" t="str">
        <v>Transverse Mercator</v>
      </c>
      <c r="I7224" t="str">
        <v>NGO_1948_Norway_Zone_1</v>
      </c>
      <c r="J7224" t="str">
        <v>Norway - west of 3°30'W of Oslo (7°13'22.5"E of Greenwich).</v>
      </c>
      <c r="K7224" s="11">
        <v>0</v>
      </c>
    </row>
    <row r="7225" spans="5:11" x14ac:dyDescent="0.35">
      <c r="E7225" s="9" t="str">
        <v>ESRI</v>
      </c>
      <c r="F7225" s="7" t="str">
        <v>102102</v>
      </c>
      <c r="G7225" t="str">
        <v>ProjectedCrs</v>
      </c>
      <c r="H7225" t="str">
        <v>Transverse Mercator</v>
      </c>
      <c r="I7225" t="str">
        <v>NGO_1948_Norway_Zone_2</v>
      </c>
      <c r="J7225" t="str">
        <v>Norway - between 3°30'W and 1°10' W of Oslo (7°13'22.5"E and 9°33'22.5"E of Greenwich).</v>
      </c>
      <c r="K7225" s="11">
        <v>0</v>
      </c>
    </row>
    <row r="7226" spans="5:11" x14ac:dyDescent="0.35">
      <c r="E7226" s="9" t="str">
        <v>ESRI</v>
      </c>
      <c r="F7226" s="7" t="str">
        <v>102103</v>
      </c>
      <c r="G7226" t="str">
        <v>ProjectedCrs</v>
      </c>
      <c r="H7226" t="str">
        <v>Transverse Mercator</v>
      </c>
      <c r="I7226" t="str">
        <v>NGO_1948_Norway_Zone_3</v>
      </c>
      <c r="J7226" t="str">
        <v>Norway - between 1°10'W and 1°15'E of Oslo (9°33'22.5"E and 11°58'22.5"E of Greenwich).</v>
      </c>
      <c r="K7226" s="11">
        <v>0</v>
      </c>
    </row>
    <row r="7227" spans="5:11" x14ac:dyDescent="0.35">
      <c r="E7227" s="9" t="str">
        <v>ESRI</v>
      </c>
      <c r="F7227" s="7" t="str">
        <v>102104</v>
      </c>
      <c r="G7227" t="str">
        <v>ProjectedCrs</v>
      </c>
      <c r="H7227" t="str">
        <v>Transverse Mercator</v>
      </c>
      <c r="I7227" t="str">
        <v>NGO_1948_Norway_Zone_4</v>
      </c>
      <c r="J7227" t="str">
        <v>Norway - between 1°15'E and 4°20'E of Oslo (11°58'22.5"E and 15°03'22.5"E of Greenwich).</v>
      </c>
      <c r="K7227" s="11">
        <v>0</v>
      </c>
    </row>
    <row r="7228" spans="5:11" x14ac:dyDescent="0.35">
      <c r="E7228" s="9" t="str">
        <v>ESRI</v>
      </c>
      <c r="F7228" s="7" t="str">
        <v>102105</v>
      </c>
      <c r="G7228" t="str">
        <v>ProjectedCrs</v>
      </c>
      <c r="H7228" t="str">
        <v>Transverse Mercator</v>
      </c>
      <c r="I7228" t="str">
        <v>NGO_1948_Norway_Zone_5</v>
      </c>
      <c r="J7228" t="str">
        <v>Norway - between 4°20'E and 8°10'E of Oslo (15°03'22.5"E and 18°53'22.5"E of Greenwich).</v>
      </c>
      <c r="K7228" s="11">
        <v>0</v>
      </c>
    </row>
    <row r="7229" spans="5:11" x14ac:dyDescent="0.35">
      <c r="E7229" s="9" t="str">
        <v>ESRI</v>
      </c>
      <c r="F7229" s="7" t="str">
        <v>102106</v>
      </c>
      <c r="G7229" t="str">
        <v>ProjectedCrs</v>
      </c>
      <c r="H7229" t="str">
        <v>Transverse Mercator</v>
      </c>
      <c r="I7229" t="str">
        <v>NGO_1948_Norway_Zone_6</v>
      </c>
      <c r="J7229" t="str">
        <v>Norway - between 8°10'E and 12°10'E of Oslo (18°53'22.5"E and 22°53'22.5"E of Greenwich).</v>
      </c>
      <c r="K7229" s="11">
        <v>0</v>
      </c>
    </row>
    <row r="7230" spans="5:11" x14ac:dyDescent="0.35">
      <c r="E7230" s="9" t="str">
        <v>ESRI</v>
      </c>
      <c r="F7230" s="7" t="str">
        <v>102107</v>
      </c>
      <c r="G7230" t="str">
        <v>ProjectedCrs</v>
      </c>
      <c r="H7230" t="str">
        <v>Transverse Mercator</v>
      </c>
      <c r="I7230" t="str">
        <v>NGO_1948_Norway_Zone_7</v>
      </c>
      <c r="J7230" t="str">
        <v>Norway - between 12°10'E and 16°15'E of Oslo (22°53'22.5"E and 26°58'22.5"E of Greenwich).</v>
      </c>
      <c r="K7230" s="11">
        <v>0</v>
      </c>
    </row>
    <row r="7231" spans="5:11" x14ac:dyDescent="0.35">
      <c r="E7231" s="9" t="str">
        <v>ESRI</v>
      </c>
      <c r="F7231" s="7" t="str">
        <v>102108</v>
      </c>
      <c r="G7231" t="str">
        <v>ProjectedCrs</v>
      </c>
      <c r="H7231" t="str">
        <v>Transverse Mercator</v>
      </c>
      <c r="I7231" t="str">
        <v>NGO_1948_Norway_Zone_8</v>
      </c>
      <c r="J7231" t="str">
        <v>Norway - east of 16°15'E of Oslo (26°58'22.5"E of Greenwich).</v>
      </c>
      <c r="K7231" s="11">
        <v>0</v>
      </c>
    </row>
    <row r="7232" spans="5:11" x14ac:dyDescent="0.35">
      <c r="E7232" s="9" t="str">
        <v>ESRI</v>
      </c>
      <c r="F7232" s="7" t="str">
        <v>102109</v>
      </c>
      <c r="G7232" t="str">
        <v>ProjectedCrs</v>
      </c>
      <c r="H7232" t="str">
        <v>Transverse Mercator</v>
      </c>
      <c r="I7232" t="str">
        <v>ETRS_1989_Slovenia_TM</v>
      </c>
      <c r="J7232" t="str">
        <v>Slovenia - onshore and offshore.</v>
      </c>
      <c r="K7232" s="11">
        <v>0</v>
      </c>
    </row>
    <row r="7233" spans="5:11" x14ac:dyDescent="0.35">
      <c r="E7233" s="9" t="str">
        <v>ESRI</v>
      </c>
      <c r="F7233" s="7" t="str">
        <v>102114</v>
      </c>
      <c r="G7233" t="str">
        <v>ProjectedCrs</v>
      </c>
      <c r="H7233" t="str">
        <v>Transverse Mercator</v>
      </c>
      <c r="I7233" t="str">
        <v>Old_Hawaiian_UTM_Zone_4N</v>
      </c>
      <c r="J7233" t="str">
        <v>United States (USA) - between 162°W and 156°W onshore - Hawaii.</v>
      </c>
      <c r="K7233" s="11">
        <v>0</v>
      </c>
    </row>
    <row r="7234" spans="5:11" x14ac:dyDescent="0.35">
      <c r="E7234" s="9" t="str">
        <v>ESRI</v>
      </c>
      <c r="F7234" s="7" t="str">
        <v>102115</v>
      </c>
      <c r="G7234" t="str">
        <v>ProjectedCrs</v>
      </c>
      <c r="H7234" t="str">
        <v>Transverse Mercator</v>
      </c>
      <c r="I7234" t="str">
        <v>Old_Hawaiian_UTM_Zone_5N</v>
      </c>
      <c r="J7234" t="str">
        <v>United States (USA) - between 156°W and 150°W onshore - Hawaii.</v>
      </c>
      <c r="K7234" s="11">
        <v>0</v>
      </c>
    </row>
    <row r="7235" spans="5:11" x14ac:dyDescent="0.35">
      <c r="E7235" s="9" t="str">
        <v>ESRI</v>
      </c>
      <c r="F7235" s="7" t="str">
        <v>102116</v>
      </c>
      <c r="G7235" t="str">
        <v>ProjectedCrs</v>
      </c>
      <c r="H7235" t="str">
        <v>Transverse Mercator</v>
      </c>
      <c r="I7235" t="str">
        <v>American_Samoa_1962_UTM_Zone_2S</v>
      </c>
      <c r="J7235" t="str">
        <v>American Samoa - onshore and offshore.</v>
      </c>
      <c r="K7235" s="11">
        <v>0</v>
      </c>
    </row>
    <row r="7236" spans="5:11" x14ac:dyDescent="0.35">
      <c r="E7236" s="9" t="str">
        <v>ESRI</v>
      </c>
      <c r="F7236" s="7" t="str">
        <v>102117</v>
      </c>
      <c r="G7236" t="str">
        <v>ProjectedCrs</v>
      </c>
      <c r="H7236" t="str">
        <v>Albers Equal Area</v>
      </c>
      <c r="I7236" t="str">
        <v>NAD_1927_Alaska_Albers_Meters</v>
      </c>
      <c r="J7236" t="str">
        <v>United States (USA) - Alaska.</v>
      </c>
      <c r="K7236" s="11">
        <v>0</v>
      </c>
    </row>
    <row r="7237" spans="5:11" x14ac:dyDescent="0.35">
      <c r="E7237" s="9" t="str">
        <v>ESRI</v>
      </c>
      <c r="F7237" s="7" t="str">
        <v>102118</v>
      </c>
      <c r="G7237" t="str">
        <v>ProjectedCrs</v>
      </c>
      <c r="H7237" t="str">
        <v>Albers Equal Area</v>
      </c>
      <c r="I7237" t="str">
        <v>NAD_1927_Georgia_Statewide_Albers</v>
      </c>
      <c r="J7237" t="str">
        <v>United States (USA) - Georgia.</v>
      </c>
      <c r="K7237" s="11">
        <v>0</v>
      </c>
    </row>
    <row r="7238" spans="5:11" x14ac:dyDescent="0.35">
      <c r="E7238" s="9" t="str">
        <v>ESRI</v>
      </c>
      <c r="F7238" s="7" t="str">
        <v>102120</v>
      </c>
      <c r="G7238" t="str">
        <v>ProjectedCrs</v>
      </c>
      <c r="H7238" t="str">
        <v>Hotine Oblique Mercator (variant A)</v>
      </c>
      <c r="I7238" t="str">
        <v>NAD_1927_Michigan_GeoRef_Feet_US</v>
      </c>
      <c r="J7238" t="str">
        <v>United States (USA) - Michigan.</v>
      </c>
      <c r="K7238" s="11">
        <v>0</v>
      </c>
    </row>
    <row r="7239" spans="5:11" x14ac:dyDescent="0.35">
      <c r="E7239" s="9" t="str">
        <v>ESRI</v>
      </c>
      <c r="F7239" s="7" t="str">
        <v>102121</v>
      </c>
      <c r="G7239" t="str">
        <v>ProjectedCrs</v>
      </c>
      <c r="H7239" t="str">
        <v>Hotine Oblique Mercator (variant A)</v>
      </c>
      <c r="I7239" t="str">
        <v>NAD_1983_Michigan_GeoRef_Feet_US</v>
      </c>
      <c r="J7239" t="str">
        <v>United States (USA) - Michigan.</v>
      </c>
      <c r="K7239" s="11">
        <v>0</v>
      </c>
    </row>
    <row r="7240" spans="5:11" x14ac:dyDescent="0.35">
      <c r="E7240" s="9" t="str">
        <v>ESRI</v>
      </c>
      <c r="F7240" s="7" t="str">
        <v>102122</v>
      </c>
      <c r="G7240" t="str">
        <v>ProjectedCrs</v>
      </c>
      <c r="H7240" t="str">
        <v>Hotine Oblique Mercator (variant A)</v>
      </c>
      <c r="I7240" t="str">
        <v>NAD_1927_Michigan_GeoRef_Meters</v>
      </c>
      <c r="J7240" t="str">
        <v>United States (USA) - Michigan.</v>
      </c>
      <c r="K7240" s="11">
        <v>0</v>
      </c>
    </row>
    <row r="7241" spans="5:11" x14ac:dyDescent="0.35">
      <c r="E7241" s="9" t="str">
        <v>ESRI</v>
      </c>
      <c r="F7241" s="7" t="str">
        <v>102132</v>
      </c>
      <c r="G7241" t="str">
        <v>ProjectedCrs</v>
      </c>
      <c r="H7241" t="str">
        <v>Transverse Mercator</v>
      </c>
      <c r="I7241" t="str">
        <v>NGO_1948_UTM_Zone_32N</v>
      </c>
      <c r="J7241" t="str">
        <v>Norway - onshore - 4.68~E to 12~E</v>
      </c>
      <c r="K7241" s="11">
        <v>0</v>
      </c>
    </row>
    <row r="7242" spans="5:11" x14ac:dyDescent="0.35">
      <c r="E7242" s="9" t="str">
        <v>ESRI</v>
      </c>
      <c r="F7242" s="7" t="str">
        <v>102133</v>
      </c>
      <c r="G7242" t="str">
        <v>ProjectedCrs</v>
      </c>
      <c r="H7242" t="str">
        <v>Transverse Mercator</v>
      </c>
      <c r="I7242" t="str">
        <v>NGO_1948_UTM_Zone_33N</v>
      </c>
      <c r="J7242" t="str">
        <v>Norway - onshore - between 12°E and 18°E.</v>
      </c>
      <c r="K7242" s="11">
        <v>0</v>
      </c>
    </row>
    <row r="7243" spans="5:11" x14ac:dyDescent="0.35">
      <c r="E7243" s="9" t="str">
        <v>ESRI</v>
      </c>
      <c r="F7243" s="7" t="str">
        <v>102134</v>
      </c>
      <c r="G7243" t="str">
        <v>ProjectedCrs</v>
      </c>
      <c r="H7243" t="str">
        <v>Transverse Mercator</v>
      </c>
      <c r="I7243" t="str">
        <v>NGO_1948_UTM_Zone_34N</v>
      </c>
      <c r="J7243" t="str">
        <v>Norway - onshore - between 18°E and 24°E.</v>
      </c>
      <c r="K7243" s="11">
        <v>0</v>
      </c>
    </row>
    <row r="7244" spans="5:11" x14ac:dyDescent="0.35">
      <c r="E7244" s="9" t="str">
        <v>ESRI</v>
      </c>
      <c r="F7244" s="7" t="str">
        <v>102135</v>
      </c>
      <c r="G7244" t="str">
        <v>ProjectedCrs</v>
      </c>
      <c r="H7244" t="str">
        <v>Transverse Mercator</v>
      </c>
      <c r="I7244" t="str">
        <v>NGO_1948_UTM_Zone_35N</v>
      </c>
      <c r="J7244" t="str">
        <v>Norway - onshore - between 24°E and 30°E.</v>
      </c>
      <c r="K7244" s="11">
        <v>0</v>
      </c>
    </row>
    <row r="7245" spans="5:11" x14ac:dyDescent="0.35">
      <c r="E7245" s="9" t="str">
        <v>ESRI</v>
      </c>
      <c r="F7245" s="7" t="str">
        <v>102136</v>
      </c>
      <c r="G7245" t="str">
        <v>ProjectedCrs</v>
      </c>
      <c r="H7245" t="str">
        <v>Transverse Mercator</v>
      </c>
      <c r="I7245" t="str">
        <v>NGO_1948_Baerum_Kommune</v>
      </c>
      <c r="J7245" t="str">
        <v>Norway - Baerum Kommune</v>
      </c>
      <c r="K7245" s="11">
        <v>0</v>
      </c>
    </row>
    <row r="7246" spans="5:11" x14ac:dyDescent="0.35">
      <c r="E7246" s="9" t="str">
        <v>ESRI</v>
      </c>
      <c r="F7246" s="7" t="str">
        <v>102137</v>
      </c>
      <c r="G7246" t="str">
        <v>ProjectedCrs</v>
      </c>
      <c r="H7246" t="str">
        <v>Transverse Mercator</v>
      </c>
      <c r="I7246" t="str">
        <v>NGO_1948_Bergenhalvoen</v>
      </c>
      <c r="J7246" t="str">
        <v>Norway - Bergenhalvoen Kommune</v>
      </c>
      <c r="K7246" s="11">
        <v>0</v>
      </c>
    </row>
    <row r="7247" spans="5:11" x14ac:dyDescent="0.35">
      <c r="E7247" s="9" t="str">
        <v>ESRI</v>
      </c>
      <c r="F7247" s="7" t="str">
        <v>102138</v>
      </c>
      <c r="G7247" t="str">
        <v>ProjectedCrs</v>
      </c>
      <c r="H7247" t="str">
        <v>Transverse Mercator</v>
      </c>
      <c r="I7247" t="str">
        <v>NGO_1948_Oslo_Kommune</v>
      </c>
      <c r="J7247" t="str">
        <v>Norway - Oslo Kommune</v>
      </c>
      <c r="K7247" s="11">
        <v>0</v>
      </c>
    </row>
    <row r="7248" spans="5:11" x14ac:dyDescent="0.35">
      <c r="E7248" s="9" t="str">
        <v>ESRI</v>
      </c>
      <c r="F7248" s="7" t="str">
        <v>102141</v>
      </c>
      <c r="G7248" t="str">
        <v>ProjectedCrs</v>
      </c>
      <c r="H7248" t="str">
        <v>Transverse Mercator</v>
      </c>
      <c r="I7248" t="str">
        <v>Hong_Kong_1980_UTM_Zone_49N</v>
      </c>
      <c r="J7248" t="str">
        <v>China - Hong Kong - onshore and offshore.</v>
      </c>
      <c r="K7248" s="11">
        <v>0</v>
      </c>
    </row>
    <row r="7249" spans="5:11" x14ac:dyDescent="0.35">
      <c r="E7249" s="9" t="str">
        <v>ESRI</v>
      </c>
      <c r="F7249" s="7" t="str">
        <v>102142</v>
      </c>
      <c r="G7249" t="str">
        <v>ProjectedCrs</v>
      </c>
      <c r="H7249" t="str">
        <v>Transverse Mercator</v>
      </c>
      <c r="I7249" t="str">
        <v>Hong_Kong_1980_UTM_Zone_50N</v>
      </c>
      <c r="J7249" t="str">
        <v>China - Hong Kong - onshore and offshore.</v>
      </c>
      <c r="K7249" s="11">
        <v>0</v>
      </c>
    </row>
    <row r="7250" spans="5:11" x14ac:dyDescent="0.35">
      <c r="E7250" s="9" t="str">
        <v>ESRI</v>
      </c>
      <c r="F7250" s="7" t="str">
        <v>102143</v>
      </c>
      <c r="G7250" t="str">
        <v>ProjectedCrs</v>
      </c>
      <c r="H7250" t="str">
        <v>Transverse Mercator</v>
      </c>
      <c r="I7250" t="str">
        <v>QND_1995_UTM_39N</v>
      </c>
      <c r="J7250" t="str">
        <v>Qatar - onshore and offshore.</v>
      </c>
      <c r="K7250" s="11">
        <v>0</v>
      </c>
    </row>
    <row r="7251" spans="5:11" x14ac:dyDescent="0.35">
      <c r="E7251" s="9" t="str">
        <v>ESRI</v>
      </c>
      <c r="F7251" s="7" t="str">
        <v>102144</v>
      </c>
      <c r="G7251" t="str">
        <v>ProjectedCrs</v>
      </c>
      <c r="H7251" t="str">
        <v>Transverse Mercator</v>
      </c>
      <c r="I7251" t="str">
        <v>Merchich_UTM_Zone_28N</v>
      </c>
      <c r="J7251" t="str">
        <v>Africa - Morocco and Western Sahara - UTM 28N - 18~W to 12~W</v>
      </c>
      <c r="K7251" s="11">
        <v>0</v>
      </c>
    </row>
    <row r="7252" spans="5:11" x14ac:dyDescent="0.35">
      <c r="E7252" s="9" t="str">
        <v>ESRI</v>
      </c>
      <c r="F7252" s="7" t="str">
        <v>102150</v>
      </c>
      <c r="G7252" t="str">
        <v>ProjectedCrs</v>
      </c>
      <c r="H7252" t="str">
        <v>Transverse Mercator</v>
      </c>
      <c r="I7252" t="str">
        <v>JGD_2000_UTM_Zone_56N</v>
      </c>
      <c r="J7252" t="str">
        <v>Japan - 150~E to 156~E</v>
      </c>
      <c r="K7252" s="11">
        <v>0</v>
      </c>
    </row>
    <row r="7253" spans="5:11" x14ac:dyDescent="0.35">
      <c r="E7253" s="9" t="str">
        <v>ESRI</v>
      </c>
      <c r="F7253" s="7" t="str">
        <v>102156</v>
      </c>
      <c r="G7253" t="str">
        <v>ProjectedCrs</v>
      </c>
      <c r="H7253" t="str">
        <v>Transverse Mercator</v>
      </c>
      <c r="I7253" t="str">
        <v>Tokyo_UTM_Zone_56N</v>
      </c>
      <c r="J7253" t="str">
        <v>Japan - 150~E to 156~E</v>
      </c>
      <c r="K7253" s="11">
        <v>0</v>
      </c>
    </row>
    <row r="7254" spans="5:11" x14ac:dyDescent="0.35">
      <c r="E7254" s="9" t="str">
        <v>ESRI</v>
      </c>
      <c r="F7254" s="7" t="str">
        <v>102157</v>
      </c>
      <c r="G7254" t="str">
        <v>ProjectedCrs</v>
      </c>
      <c r="H7254" t="str">
        <v>Transverse Mercator</v>
      </c>
      <c r="I7254" t="str">
        <v>ETRS_1989_Kosovo_Grid</v>
      </c>
      <c r="J7254" t="str">
        <v>Serbia including Vojvodina and Kosovo.</v>
      </c>
      <c r="K7254" s="11">
        <v>0</v>
      </c>
    </row>
    <row r="7255" spans="5:11" x14ac:dyDescent="0.35">
      <c r="E7255" s="9" t="str">
        <v>ESRI</v>
      </c>
      <c r="F7255" s="7" t="str">
        <v>102158</v>
      </c>
      <c r="G7255" t="str">
        <v>ProjectedCrs</v>
      </c>
      <c r="H7255" t="str">
        <v>Transverse Mercator</v>
      </c>
      <c r="I7255" t="str">
        <v>Jordan_JTM</v>
      </c>
      <c r="J7255" t="str">
        <v>Jordan.</v>
      </c>
      <c r="K7255" s="11">
        <v>0</v>
      </c>
    </row>
    <row r="7256" spans="5:11" x14ac:dyDescent="0.35">
      <c r="E7256" s="9" t="str">
        <v>ESRI</v>
      </c>
      <c r="F7256" s="7" t="str">
        <v>102159</v>
      </c>
      <c r="G7256" t="str">
        <v>ProjectedCrs</v>
      </c>
      <c r="H7256" t="str">
        <v>Transverse Mercator</v>
      </c>
      <c r="I7256" t="str">
        <v>Observatorio_Meteorologico_1965_Macau_Grid</v>
      </c>
      <c r="J7256" t="str">
        <v>China - Macao - onshore and offshore.</v>
      </c>
      <c r="K7256" s="11">
        <v>0</v>
      </c>
    </row>
    <row r="7257" spans="5:11" x14ac:dyDescent="0.35">
      <c r="E7257" s="9" t="str">
        <v>ESRI</v>
      </c>
      <c r="F7257" s="7" t="str">
        <v>102160</v>
      </c>
      <c r="G7257" t="str">
        <v>ProjectedCrs</v>
      </c>
      <c r="H7257" t="str">
        <v>Transverse Mercator</v>
      </c>
      <c r="I7257" t="str">
        <v>Datum_73_Hayford_Gauss_IGeoE</v>
      </c>
      <c r="J7257" t="str">
        <v>Portugal - mainland - onshore.</v>
      </c>
      <c r="K7257" s="11">
        <v>0</v>
      </c>
    </row>
    <row r="7258" spans="5:11" x14ac:dyDescent="0.35">
      <c r="E7258" s="9" t="str">
        <v>ESRI</v>
      </c>
      <c r="F7258" s="7" t="str">
        <v>102161</v>
      </c>
      <c r="G7258" t="str">
        <v>ProjectedCrs</v>
      </c>
      <c r="H7258" t="str">
        <v>Transverse Mercator</v>
      </c>
      <c r="I7258" t="str">
        <v>Datum_73_Hayford_Gauss_IPCC</v>
      </c>
      <c r="J7258" t="str">
        <v>Portugal - mainland - onshore.</v>
      </c>
      <c r="K7258" s="11">
        <v>0</v>
      </c>
    </row>
    <row r="7259" spans="5:11" x14ac:dyDescent="0.35">
      <c r="E7259" s="9" t="str">
        <v>ESRI</v>
      </c>
      <c r="F7259" s="7" t="str">
        <v>102162</v>
      </c>
      <c r="G7259" t="str">
        <v>ProjectedCrs</v>
      </c>
      <c r="H7259" t="str">
        <v>Transverse Mercator</v>
      </c>
      <c r="I7259" t="str">
        <v>Graciosa_Base_SW_1948_UTM_Zone_26N</v>
      </c>
      <c r="J7259" t="str">
        <v>Portugal - central Azores onshore - Faial, Graciosa, Pico, Sao Jorge, Terceira.</v>
      </c>
      <c r="K7259" s="11">
        <v>0</v>
      </c>
    </row>
    <row r="7260" spans="5:11" x14ac:dyDescent="0.35">
      <c r="E7260" s="9" t="str">
        <v>ESRI</v>
      </c>
      <c r="F7260" s="7" t="str">
        <v>102163</v>
      </c>
      <c r="G7260" t="str">
        <v>ProjectedCrs</v>
      </c>
      <c r="H7260" t="str">
        <v>&lt;undefined&gt;</v>
      </c>
      <c r="I7260" t="str">
        <v>Lisboa_Bessel_Bonne</v>
      </c>
      <c r="J7260" t="str">
        <v>Portugal - mainland, Azores and Madeira, onshore and offshore.</v>
      </c>
      <c r="K7260" s="11">
        <v>0</v>
      </c>
    </row>
    <row r="7261" spans="5:11" x14ac:dyDescent="0.35">
      <c r="E7261" s="9" t="str">
        <v>ESRI</v>
      </c>
      <c r="F7261" s="7" t="str">
        <v>102164</v>
      </c>
      <c r="G7261" t="str">
        <v>ProjectedCrs</v>
      </c>
      <c r="H7261" t="str">
        <v>Transverse Mercator</v>
      </c>
      <c r="I7261" t="str">
        <v>Lisboa_Hayford_Gauss_IGeoE</v>
      </c>
      <c r="J7261" t="str">
        <v>Portugal - mainland, Azores and Madeira, onshore and offshore.</v>
      </c>
      <c r="K7261" s="11">
        <v>0</v>
      </c>
    </row>
    <row r="7262" spans="5:11" x14ac:dyDescent="0.35">
      <c r="E7262" s="9" t="str">
        <v>ESRI</v>
      </c>
      <c r="F7262" s="7" t="str">
        <v>102165</v>
      </c>
      <c r="G7262" t="str">
        <v>ProjectedCrs</v>
      </c>
      <c r="H7262" t="str">
        <v>Transverse Mercator</v>
      </c>
      <c r="I7262" t="str">
        <v>Lisboa_Hayford_Gauss_IPCC</v>
      </c>
      <c r="J7262" t="str">
        <v>Portugal - mainland, Azores and Madeira, onshore and offshore.</v>
      </c>
      <c r="K7262" s="11">
        <v>0</v>
      </c>
    </row>
    <row r="7263" spans="5:11" x14ac:dyDescent="0.35">
      <c r="E7263" s="9" t="str">
        <v>ESRI</v>
      </c>
      <c r="F7263" s="7" t="str">
        <v>102166</v>
      </c>
      <c r="G7263" t="str">
        <v>ProjectedCrs</v>
      </c>
      <c r="H7263" t="str">
        <v>Transverse Mercator</v>
      </c>
      <c r="I7263" t="str">
        <v>Observatorio_Meteorologico_1939_UTM_Zone_25N</v>
      </c>
      <c r="J7263" t="str">
        <v>Portugal - western Azores onshore - Flores, Corvo.</v>
      </c>
      <c r="K7263" s="11">
        <v>0</v>
      </c>
    </row>
    <row r="7264" spans="5:11" x14ac:dyDescent="0.35">
      <c r="E7264" s="9" t="str">
        <v>ESRI</v>
      </c>
      <c r="F7264" s="7" t="str">
        <v>102168</v>
      </c>
      <c r="G7264" t="str">
        <v>ProjectedCrs</v>
      </c>
      <c r="H7264" t="str">
        <v>Transverse Mercator</v>
      </c>
      <c r="I7264" t="str">
        <v>Sao_Braz_UTM_Zone_26N</v>
      </c>
      <c r="J7264" t="str">
        <v>Portugal - eastern Azores onshore - Sao Miguel, Santa Maria, Formigas.</v>
      </c>
      <c r="K7264" s="11">
        <v>0</v>
      </c>
    </row>
    <row r="7265" spans="5:11" x14ac:dyDescent="0.35">
      <c r="E7265" s="9" t="str">
        <v>ESRI</v>
      </c>
      <c r="F7265" s="7" t="str">
        <v>102173</v>
      </c>
      <c r="G7265" t="str">
        <v>ProjectedCrs</v>
      </c>
      <c r="H7265" t="str">
        <v>Transverse Mercator</v>
      </c>
      <c r="I7265" t="str">
        <v>ETRS_1989_UWPP_1992</v>
      </c>
      <c r="J7265" t="str">
        <v>Poland - onshore and offshore.</v>
      </c>
      <c r="K7265" s="11">
        <v>0</v>
      </c>
    </row>
    <row r="7266" spans="5:11" x14ac:dyDescent="0.35">
      <c r="E7266" s="9" t="str">
        <v>ESRI</v>
      </c>
      <c r="F7266" s="7" t="str">
        <v>102174</v>
      </c>
      <c r="G7266" t="str">
        <v>ProjectedCrs</v>
      </c>
      <c r="H7266" t="str">
        <v>Transverse Mercator</v>
      </c>
      <c r="I7266" t="str">
        <v>ETRS_1989_UWPP_2000_PAS_5</v>
      </c>
      <c r="J7266" t="str">
        <v>Poland - onshore and offshore west of 16°30'E.</v>
      </c>
      <c r="K7266" s="11">
        <v>0</v>
      </c>
    </row>
    <row r="7267" spans="5:11" x14ac:dyDescent="0.35">
      <c r="E7267" s="9" t="str">
        <v>ESRI</v>
      </c>
      <c r="F7267" s="7" t="str">
        <v>102175</v>
      </c>
      <c r="G7267" t="str">
        <v>ProjectedCrs</v>
      </c>
      <c r="H7267" t="str">
        <v>Transverse Mercator</v>
      </c>
      <c r="I7267" t="str">
        <v>ETRS_1989_UWPP_2000_PAS_6</v>
      </c>
      <c r="J7267" t="str">
        <v>Poland - onshore and offshore between 16°30'E and 19°30'E.</v>
      </c>
      <c r="K7267" s="11">
        <v>0</v>
      </c>
    </row>
    <row r="7268" spans="5:11" x14ac:dyDescent="0.35">
      <c r="E7268" s="9" t="str">
        <v>ESRI</v>
      </c>
      <c r="F7268" s="7" t="str">
        <v>102176</v>
      </c>
      <c r="G7268" t="str">
        <v>ProjectedCrs</v>
      </c>
      <c r="H7268" t="str">
        <v>Transverse Mercator</v>
      </c>
      <c r="I7268" t="str">
        <v>ETRS_1989_UWPP_2000_PAS_7</v>
      </c>
      <c r="J7268" t="str">
        <v>Poland - onshore and offshore between 19°30'E and 22°30'E.</v>
      </c>
      <c r="K7268" s="11">
        <v>0</v>
      </c>
    </row>
    <row r="7269" spans="5:11" x14ac:dyDescent="0.35">
      <c r="E7269" s="9" t="str">
        <v>ESRI</v>
      </c>
      <c r="F7269" s="7" t="str">
        <v>102177</v>
      </c>
      <c r="G7269" t="str">
        <v>ProjectedCrs</v>
      </c>
      <c r="H7269" t="str">
        <v>Transverse Mercator</v>
      </c>
      <c r="I7269" t="str">
        <v>ETRS_1989_UWPP_2000_PAS_8</v>
      </c>
      <c r="J7269" t="str">
        <v>Poland - east of 22°30'E.</v>
      </c>
      <c r="K7269" s="11">
        <v>0</v>
      </c>
    </row>
    <row r="7270" spans="5:11" x14ac:dyDescent="0.35">
      <c r="E7270" s="9" t="str">
        <v>ESRI</v>
      </c>
      <c r="F7270" s="7" t="str">
        <v>102178</v>
      </c>
      <c r="G7270" t="str">
        <v>ProjectedCrs</v>
      </c>
      <c r="H7270" t="str">
        <v>Transverse Mercator</v>
      </c>
      <c r="I7270" t="str">
        <v>NAD_1927_10TM_AEP_Forest</v>
      </c>
      <c r="J7270" t="str">
        <v>Canada - Alberta.</v>
      </c>
      <c r="K7270" s="11">
        <v>0</v>
      </c>
    </row>
    <row r="7271" spans="5:11" x14ac:dyDescent="0.35">
      <c r="E7271" s="9" t="str">
        <v>ESRI</v>
      </c>
      <c r="F7271" s="7" t="str">
        <v>102179</v>
      </c>
      <c r="G7271" t="str">
        <v>ProjectedCrs</v>
      </c>
      <c r="H7271" t="str">
        <v>Transverse Mercator</v>
      </c>
      <c r="I7271" t="str">
        <v>NAD_1927_10TM_AEP_Resource</v>
      </c>
      <c r="J7271" t="str">
        <v>Canada - Alberta.</v>
      </c>
      <c r="K7271" s="11">
        <v>0</v>
      </c>
    </row>
    <row r="7272" spans="5:11" x14ac:dyDescent="0.35">
      <c r="E7272" s="9" t="str">
        <v>ESRI</v>
      </c>
      <c r="F7272" s="7" t="str">
        <v>102194</v>
      </c>
      <c r="G7272" t="str">
        <v>ProjectedCrs</v>
      </c>
      <c r="H7272" t="str">
        <v>Transverse Mercator</v>
      </c>
      <c r="I7272" t="str">
        <v>UWPP_1992</v>
      </c>
      <c r="J7272" t="str">
        <v>Poland - onshore and offshore.</v>
      </c>
      <c r="K7272" s="11">
        <v>0</v>
      </c>
    </row>
    <row r="7273" spans="5:11" x14ac:dyDescent="0.35">
      <c r="E7273" s="9" t="str">
        <v>ESRI</v>
      </c>
      <c r="F7273" s="7" t="str">
        <v>102195</v>
      </c>
      <c r="G7273" t="str">
        <v>ProjectedCrs</v>
      </c>
      <c r="H7273" t="str">
        <v>Transverse Mercator</v>
      </c>
      <c r="I7273" t="str">
        <v>UWPP_2000_PAS_5</v>
      </c>
      <c r="J7273" t="str">
        <v>Poland - onshore and offshore west of 16°30'E.</v>
      </c>
      <c r="K7273" s="11">
        <v>0</v>
      </c>
    </row>
    <row r="7274" spans="5:11" x14ac:dyDescent="0.35">
      <c r="E7274" s="9" t="str">
        <v>ESRI</v>
      </c>
      <c r="F7274" s="7" t="str">
        <v>102196</v>
      </c>
      <c r="G7274" t="str">
        <v>ProjectedCrs</v>
      </c>
      <c r="H7274" t="str">
        <v>Transverse Mercator</v>
      </c>
      <c r="I7274" t="str">
        <v>UWPP_2000_PAS_6</v>
      </c>
      <c r="J7274" t="str">
        <v>Poland - onshore and offshore between 16°30'E and 19°30'E.</v>
      </c>
      <c r="K7274" s="11">
        <v>0</v>
      </c>
    </row>
    <row r="7275" spans="5:11" x14ac:dyDescent="0.35">
      <c r="E7275" s="9" t="str">
        <v>ESRI</v>
      </c>
      <c r="F7275" s="7" t="str">
        <v>102197</v>
      </c>
      <c r="G7275" t="str">
        <v>ProjectedCrs</v>
      </c>
      <c r="H7275" t="str">
        <v>Transverse Mercator</v>
      </c>
      <c r="I7275" t="str">
        <v>UWPP_2000_PAS_7</v>
      </c>
      <c r="J7275" t="str">
        <v>Poland - onshore and offshore between 19°30'E and 22°30'E.</v>
      </c>
      <c r="K7275" s="11">
        <v>0</v>
      </c>
    </row>
    <row r="7276" spans="5:11" x14ac:dyDescent="0.35">
      <c r="E7276" s="9" t="str">
        <v>ESRI</v>
      </c>
      <c r="F7276" s="7" t="str">
        <v>102198</v>
      </c>
      <c r="G7276" t="str">
        <v>ProjectedCrs</v>
      </c>
      <c r="H7276" t="str">
        <v>Transverse Mercator</v>
      </c>
      <c r="I7276" t="str">
        <v>UWPP_2000_PAS_8</v>
      </c>
      <c r="J7276" t="str">
        <v>Poland - east of 22°30'E.</v>
      </c>
      <c r="K7276" s="11">
        <v>0</v>
      </c>
    </row>
    <row r="7277" spans="5:11" x14ac:dyDescent="0.35">
      <c r="E7277" s="9" t="str">
        <v>ESRI</v>
      </c>
      <c r="F7277" s="7" t="str">
        <v>102204</v>
      </c>
      <c r="G7277" t="str">
        <v>ProjectedCrs</v>
      </c>
      <c r="H7277" t="str">
        <v>Lambert Conic Conformal (2SP)</v>
      </c>
      <c r="I7277" t="str">
        <v>Ain_el_Abd_1970_Aramco_Lambert_2</v>
      </c>
      <c r="J7277" t="str">
        <v>Saudi Arabia - onshore.</v>
      </c>
      <c r="K7277" s="11">
        <v>0</v>
      </c>
    </row>
    <row r="7278" spans="5:11" x14ac:dyDescent="0.35">
      <c r="E7278" s="9" t="str">
        <v>ESRI</v>
      </c>
      <c r="F7278" s="7" t="str">
        <v>102213</v>
      </c>
      <c r="G7278" t="str">
        <v>ProjectedCrs</v>
      </c>
      <c r="H7278" t="str">
        <v>Transverse Mercator</v>
      </c>
      <c r="I7278" t="str">
        <v>NAD_1983_UTM_Zone_58N</v>
      </c>
      <c r="J7278" t="str">
        <v>Between 168°E and 174°E, northern hemisphere between equator and 84°N, onshore and offshore. Russian Federation; United States (USA) - Alaska.</v>
      </c>
      <c r="K7278" s="11">
        <v>0</v>
      </c>
    </row>
    <row r="7279" spans="5:11" x14ac:dyDescent="0.35">
      <c r="E7279" s="9" t="str">
        <v>ESRI</v>
      </c>
      <c r="F7279" s="7" t="str">
        <v>102215</v>
      </c>
      <c r="G7279" t="str">
        <v>ProjectedCrs</v>
      </c>
      <c r="H7279" t="str">
        <v>Lambert Conic Conformal (2SP)</v>
      </c>
      <c r="I7279" t="str">
        <v>WGS_1984_Canada_Atlas_LCC</v>
      </c>
      <c r="J7279" t="str">
        <v>Canada - onshore and offshore - Alberta; British Columbia; Manitoba; New Brunswick; Newfoundland and Labrador; Northwest Territories; Nova Scotia; Nunavut; Ontario; Prince Edward Island; Quebec; Saskatchewan; Yukon.</v>
      </c>
      <c r="K7279" s="11">
        <v>0</v>
      </c>
    </row>
    <row r="7280" spans="5:11" x14ac:dyDescent="0.35">
      <c r="E7280" s="9" t="str">
        <v>ESRI</v>
      </c>
      <c r="F7280" s="7" t="str">
        <v>102216</v>
      </c>
      <c r="G7280" t="str">
        <v>ProjectedCrs</v>
      </c>
      <c r="H7280" t="str">
        <v>Transverse Mercator</v>
      </c>
      <c r="I7280" t="str">
        <v>GDA_1994_Perth_Coastal_Grid_1994</v>
      </c>
      <c r="J7280" t="str">
        <v>Australia - Perth Coast</v>
      </c>
      <c r="K7280" s="11">
        <v>0</v>
      </c>
    </row>
    <row r="7281" spans="5:11" x14ac:dyDescent="0.35">
      <c r="E7281" s="9" t="str">
        <v>ESRI</v>
      </c>
      <c r="F7281" s="7" t="str">
        <v>102217</v>
      </c>
      <c r="G7281" t="str">
        <v>ProjectedCrs</v>
      </c>
      <c r="H7281" t="str">
        <v>Transverse Mercator</v>
      </c>
      <c r="I7281" t="str">
        <v>NAD_1983_NSRS2007_Wisconsin_TM_US_Ft</v>
      </c>
      <c r="J7281" t="str">
        <v>United States (USA) - Wisconsin.</v>
      </c>
      <c r="K7281" s="11">
        <v>0</v>
      </c>
    </row>
    <row r="7282" spans="5:11" x14ac:dyDescent="0.35">
      <c r="E7282" s="9" t="str">
        <v>ESRI</v>
      </c>
      <c r="F7282" s="7" t="str">
        <v>102219</v>
      </c>
      <c r="G7282" t="str">
        <v>ProjectedCrs</v>
      </c>
      <c r="H7282" t="str">
        <v>Transverse Mercator</v>
      </c>
      <c r="I7282" t="str">
        <v>NAD_1983_Wisconsin_TM_US_Ft</v>
      </c>
      <c r="J7282" t="str">
        <v>United States (USA) - Wisconsin.</v>
      </c>
      <c r="K7282" s="11">
        <v>0</v>
      </c>
    </row>
    <row r="7283" spans="5:11" x14ac:dyDescent="0.35">
      <c r="E7283" s="9" t="str">
        <v>ESRI</v>
      </c>
      <c r="F7283" s="7" t="str">
        <v>102220</v>
      </c>
      <c r="G7283" t="str">
        <v>ProjectedCrs</v>
      </c>
      <c r="H7283" t="str">
        <v>Transverse Mercator</v>
      </c>
      <c r="I7283" t="str">
        <v>NAD_1983_HARN_Wisconsin_TM_US_Ft</v>
      </c>
      <c r="J7283" t="str">
        <v>United States (USA) - Wisconsin.</v>
      </c>
      <c r="K7283" s="11">
        <v>0</v>
      </c>
    </row>
    <row r="7284" spans="5:11" x14ac:dyDescent="0.35">
      <c r="E7284" s="9" t="str">
        <v>ESRI</v>
      </c>
      <c r="F7284" s="7" t="str">
        <v>102221</v>
      </c>
      <c r="G7284" t="str">
        <v>ProjectedCrs</v>
      </c>
      <c r="H7284" t="str">
        <v>Lambert Conic Conformal (2SP)</v>
      </c>
      <c r="I7284" t="str">
        <v>Ocotepeque_1935_Costa_Rica_Lambert_Norte</v>
      </c>
      <c r="J7284" t="str">
        <v>Costa Rica - onshore north of 9°32'N.</v>
      </c>
      <c r="K7284" s="11">
        <v>0</v>
      </c>
    </row>
    <row r="7285" spans="5:11" x14ac:dyDescent="0.35">
      <c r="E7285" s="9" t="str">
        <v>ESRI</v>
      </c>
      <c r="F7285" s="7" t="str">
        <v>102222</v>
      </c>
      <c r="G7285" t="str">
        <v>ProjectedCrs</v>
      </c>
      <c r="H7285" t="str">
        <v>Lambert Conic Conformal (2SP)</v>
      </c>
      <c r="I7285" t="str">
        <v>Ocotepeque_1935_Costa_Rica_Lambert_Sur</v>
      </c>
      <c r="J7285" t="str">
        <v>Costa Rica - onshore south of 9°56'N</v>
      </c>
      <c r="K7285" s="11">
        <v>0</v>
      </c>
    </row>
    <row r="7286" spans="5:11" x14ac:dyDescent="0.35">
      <c r="E7286" s="9" t="str">
        <v>ESRI</v>
      </c>
      <c r="F7286" s="7" t="str">
        <v>102223</v>
      </c>
      <c r="G7286" t="str">
        <v>ProjectedCrs</v>
      </c>
      <c r="H7286" t="str">
        <v>Transverse Mercator</v>
      </c>
      <c r="I7286" t="str">
        <v>WGS_1984_Costa_Rica_TM_90</v>
      </c>
      <c r="J7286" t="str">
        <v>Costa Rica - onshore and offshore.</v>
      </c>
      <c r="K7286" s="11">
        <v>0</v>
      </c>
    </row>
    <row r="7287" spans="5:11" x14ac:dyDescent="0.35">
      <c r="E7287" s="9" t="str">
        <v>ESRI</v>
      </c>
      <c r="F7287" s="7" t="str">
        <v>102224</v>
      </c>
      <c r="G7287" t="str">
        <v>ProjectedCrs</v>
      </c>
      <c r="H7287" t="str">
        <v>Transverse Mercator</v>
      </c>
      <c r="I7287" t="str">
        <v>MONREF_1997_UTM_Zone_46N</v>
      </c>
      <c r="J7287" t="str">
        <v>Mongolia - west of 96~E</v>
      </c>
      <c r="K7287" s="11">
        <v>0</v>
      </c>
    </row>
    <row r="7288" spans="5:11" x14ac:dyDescent="0.35">
      <c r="E7288" s="9" t="str">
        <v>ESRI</v>
      </c>
      <c r="F7288" s="7" t="str">
        <v>102225</v>
      </c>
      <c r="G7288" t="str">
        <v>ProjectedCrs</v>
      </c>
      <c r="H7288" t="str">
        <v>Transverse Mercator</v>
      </c>
      <c r="I7288" t="str">
        <v>MONREF_1997_UTM_Zone_47N</v>
      </c>
      <c r="J7288" t="str">
        <v>Mongolia - between 96~E and 102~E</v>
      </c>
      <c r="K7288" s="11">
        <v>0</v>
      </c>
    </row>
    <row r="7289" spans="5:11" x14ac:dyDescent="0.35">
      <c r="E7289" s="9" t="str">
        <v>ESRI</v>
      </c>
      <c r="F7289" s="7" t="str">
        <v>102226</v>
      </c>
      <c r="G7289" t="str">
        <v>ProjectedCrs</v>
      </c>
      <c r="H7289" t="str">
        <v>Transverse Mercator</v>
      </c>
      <c r="I7289" t="str">
        <v>MONREF_1997_UTM_Zone_48N</v>
      </c>
      <c r="J7289" t="str">
        <v>Mongolia - between 102~E and 108~E</v>
      </c>
      <c r="K7289" s="11">
        <v>0</v>
      </c>
    </row>
    <row r="7290" spans="5:11" x14ac:dyDescent="0.35">
      <c r="E7290" s="9" t="str">
        <v>ESRI</v>
      </c>
      <c r="F7290" s="7" t="str">
        <v>102227</v>
      </c>
      <c r="G7290" t="str">
        <v>ProjectedCrs</v>
      </c>
      <c r="H7290" t="str">
        <v>Transverse Mercator</v>
      </c>
      <c r="I7290" t="str">
        <v>MONREF_1997_UTM_Zone_49N</v>
      </c>
      <c r="J7290" t="str">
        <v>Mongolia - between 108~E and 114~E</v>
      </c>
      <c r="K7290" s="11">
        <v>0</v>
      </c>
    </row>
    <row r="7291" spans="5:11" x14ac:dyDescent="0.35">
      <c r="E7291" s="9" t="str">
        <v>ESRI</v>
      </c>
      <c r="F7291" s="7" t="str">
        <v>102228</v>
      </c>
      <c r="G7291" t="str">
        <v>ProjectedCrs</v>
      </c>
      <c r="H7291" t="str">
        <v>Transverse Mercator</v>
      </c>
      <c r="I7291" t="str">
        <v>MONREF_1997_UTM_Zone_50N</v>
      </c>
      <c r="J7291" t="str">
        <v>Mongolia - east of 114~E</v>
      </c>
      <c r="K7291" s="11">
        <v>0</v>
      </c>
    </row>
    <row r="7292" spans="5:11" x14ac:dyDescent="0.35">
      <c r="E7292" s="9" t="str">
        <v>ESRI</v>
      </c>
      <c r="F7292" s="7" t="str">
        <v>102231</v>
      </c>
      <c r="G7292" t="str">
        <v>ProjectedCrs</v>
      </c>
      <c r="H7292" t="str">
        <v>Transverse Mercator</v>
      </c>
      <c r="I7292" t="str">
        <v>Colombia_West_West_Zone</v>
      </c>
      <c r="J7292" t="str">
        <v>Colombia - mainland onshore west of 4°30'W of Bogota (approximately 78°35'W of Greenwich).</v>
      </c>
      <c r="K7292" s="11">
        <v>0</v>
      </c>
    </row>
    <row r="7293" spans="5:11" x14ac:dyDescent="0.35">
      <c r="E7293" s="9" t="str">
        <v>ESRI</v>
      </c>
      <c r="F7293" s="7" t="str">
        <v>102232</v>
      </c>
      <c r="G7293" t="str">
        <v>ProjectedCrs</v>
      </c>
      <c r="H7293" t="str">
        <v>Transverse Mercator</v>
      </c>
      <c r="I7293" t="str">
        <v>Bogota_Ciudad_Bogota</v>
      </c>
      <c r="J7293" t="str">
        <v>Colombia - region VIII (south east). South and east of a line from the intersection of the meridian of 74°W with the southern border, northwards to 3°N, 74°W, westwards to 3°'N, 74°24'W, northwards to 5°N, 74°24'W, eastwards to 5°N, 72°W, and then northwards to the intersection of the meridian of 72°W with the international border.</v>
      </c>
      <c r="K7293" s="11">
        <v>0</v>
      </c>
    </row>
    <row r="7294" spans="5:11" x14ac:dyDescent="0.35">
      <c r="E7294" s="9" t="str">
        <v>ESRI</v>
      </c>
      <c r="F7294" s="7" t="str">
        <v>102233</v>
      </c>
      <c r="G7294" t="str">
        <v>ProjectedCrs</v>
      </c>
      <c r="H7294" t="str">
        <v>Transverse Mercator</v>
      </c>
      <c r="I7294" t="str">
        <v>MAGNA_Ciudad_Bogota</v>
      </c>
      <c r="J7294" t="str">
        <v>Colombia - region VIII (south east). South and east of a line from the intersection of the meridian of 74°W with the southern border, northwards to 3°N, 74°W, westwards to 3°'N, 74°24'W, northwards to 5°N, 74°24'W, eastwards to 5°N, 72°W, and then northwards to the intersection of the meridian of 72°W with the international border.</v>
      </c>
      <c r="K7294" s="11">
        <v>0</v>
      </c>
    </row>
    <row r="7295" spans="5:11" x14ac:dyDescent="0.35">
      <c r="E7295" s="9" t="str">
        <v>ESRI</v>
      </c>
      <c r="F7295" s="7" t="str">
        <v>102237</v>
      </c>
      <c r="G7295" t="str">
        <v>ProjectedCrs</v>
      </c>
      <c r="H7295" t="str">
        <v>&lt;undefined&gt;</v>
      </c>
      <c r="I7295" t="str">
        <v>Pohnpei_Az_Eq_1971</v>
      </c>
      <c r="J7295" t="str">
        <v>Federated States of Micronesia - onshore and offshore. Includes Caroline Islands, Yap, Truk, Ponape, Kosrae.</v>
      </c>
      <c r="K7295" s="11">
        <v>0</v>
      </c>
    </row>
    <row r="7296" spans="5:11" x14ac:dyDescent="0.35">
      <c r="E7296" s="9" t="str">
        <v>ESRI</v>
      </c>
      <c r="F7296" s="7" t="str">
        <v>102238</v>
      </c>
      <c r="G7296" t="str">
        <v>ProjectedCrs</v>
      </c>
      <c r="H7296" t="str">
        <v>&lt;undefined&gt;</v>
      </c>
      <c r="I7296" t="str">
        <v>Saipan_Az_Eq_1969</v>
      </c>
      <c r="J7296" t="str">
        <v>Northern Mariana Islands - onshore and offshore.</v>
      </c>
      <c r="K7296" s="11">
        <v>0</v>
      </c>
    </row>
    <row r="7297" spans="5:11" x14ac:dyDescent="0.35">
      <c r="E7297" s="9" t="str">
        <v>ESRI</v>
      </c>
      <c r="F7297" s="7" t="str">
        <v>102239</v>
      </c>
      <c r="G7297" t="str">
        <v>ProjectedCrs</v>
      </c>
      <c r="H7297" t="str">
        <v>&lt;undefined&gt;</v>
      </c>
      <c r="I7297" t="str">
        <v>Guam_Geodetic_Triangulation_Network_1963</v>
      </c>
      <c r="J7297" t="str">
        <v>Guam - onshore and offshore.</v>
      </c>
      <c r="K7297" s="11">
        <v>0</v>
      </c>
    </row>
    <row r="7298" spans="5:11" x14ac:dyDescent="0.35">
      <c r="E7298" s="9" t="str">
        <v>ESRI</v>
      </c>
      <c r="F7298" s="7" t="str">
        <v>102240</v>
      </c>
      <c r="G7298" t="str">
        <v>ProjectedCrs</v>
      </c>
      <c r="H7298" t="str">
        <v>Transverse Mercator</v>
      </c>
      <c r="I7298" t="str">
        <v>Guam_Geodetic_Network_1993</v>
      </c>
      <c r="J7298" t="str">
        <v>Guam - onshore and offshore.</v>
      </c>
      <c r="K7298" s="11">
        <v>0</v>
      </c>
    </row>
    <row r="7299" spans="5:11" x14ac:dyDescent="0.35">
      <c r="E7299" s="9" t="str">
        <v>ESRI</v>
      </c>
      <c r="F7299" s="7" t="str">
        <v>102247</v>
      </c>
      <c r="G7299" t="str">
        <v>ProjectedCrs</v>
      </c>
      <c r="H7299" t="str">
        <v>Albers Equal Area</v>
      </c>
      <c r="I7299" t="str">
        <v>NAD_1983_CORS96_Alaska_Albers</v>
      </c>
      <c r="J7299" t="str">
        <v>United States (USA) - Alaska.</v>
      </c>
      <c r="K7299" s="11">
        <v>0</v>
      </c>
    </row>
    <row r="7300" spans="5:11" x14ac:dyDescent="0.35">
      <c r="E7300" s="9" t="str">
        <v>ESRI</v>
      </c>
      <c r="F7300" s="7" t="str">
        <v>102299</v>
      </c>
      <c r="G7300" t="str">
        <v>ProjectedCrs</v>
      </c>
      <c r="H7300" t="str">
        <v>&lt;undefined&gt;</v>
      </c>
      <c r="I7300" t="str">
        <v>Berghaus_Star_AAG</v>
      </c>
      <c r="J7300" t="str">
        <v>World.</v>
      </c>
      <c r="K7300" s="11">
        <v>0</v>
      </c>
    </row>
    <row r="7301" spans="5:11" x14ac:dyDescent="0.35">
      <c r="E7301" s="9" t="str">
        <v>ESRI</v>
      </c>
      <c r="F7301" s="7" t="str">
        <v>102306</v>
      </c>
      <c r="G7301" t="str">
        <v>ProjectedCrs</v>
      </c>
      <c r="H7301" t="str">
        <v>Transverse Mercator</v>
      </c>
      <c r="I7301" t="str">
        <v>Nepal_Nagarkot_TM</v>
      </c>
      <c r="J7301" t="str">
        <v>Nepal.</v>
      </c>
      <c r="K7301" s="11">
        <v>0</v>
      </c>
    </row>
    <row r="7302" spans="5:11" x14ac:dyDescent="0.35">
      <c r="E7302" s="9" t="str">
        <v>ESRI</v>
      </c>
      <c r="F7302" s="7" t="str">
        <v>102319</v>
      </c>
      <c r="G7302" t="str">
        <v>ProjectedCrs</v>
      </c>
      <c r="H7302" t="str">
        <v>Transverse Mercator</v>
      </c>
      <c r="I7302" t="str">
        <v>CGRS_1993_LTM</v>
      </c>
      <c r="J7302" t="str">
        <v>Cyprus - onshore.</v>
      </c>
      <c r="K7302" s="11">
        <v>0</v>
      </c>
    </row>
    <row r="7303" spans="5:11" x14ac:dyDescent="0.35">
      <c r="E7303" s="9" t="str">
        <v>ESRI</v>
      </c>
      <c r="F7303" s="7" t="str">
        <v>102328</v>
      </c>
      <c r="G7303" t="str">
        <v>ProjectedCrs</v>
      </c>
      <c r="H7303" t="str">
        <v>Transverse Mercator</v>
      </c>
      <c r="I7303" t="str">
        <v>ETRS_1989_UTM_Zone_32N_7stellen</v>
      </c>
      <c r="J7303" t="str">
        <v>Germany - west of 12~E</v>
      </c>
      <c r="K7303" s="11">
        <v>0</v>
      </c>
    </row>
    <row r="7304" spans="5:11" x14ac:dyDescent="0.35">
      <c r="E7304" s="9" t="str">
        <v>ESRI</v>
      </c>
      <c r="F7304" s="7" t="str">
        <v>102329</v>
      </c>
      <c r="G7304" t="str">
        <v>ProjectedCrs</v>
      </c>
      <c r="H7304" t="str">
        <v>Transverse Mercator</v>
      </c>
      <c r="I7304" t="str">
        <v>ETRS_1989_UTM_Zone_32N_8stellen</v>
      </c>
      <c r="J7304" t="str">
        <v>Germany - onshore and offshore east of 12°E, together with that part of Brandenburg state west of 12°E - Bayern, Berlin, Brandenburg (all state), Mecklenburg-Vorpommern, Sachsen, Sachsen-Anhalt, Thuringen.</v>
      </c>
      <c r="K7304" s="11">
        <v>0</v>
      </c>
    </row>
    <row r="7305" spans="5:11" x14ac:dyDescent="0.35">
      <c r="E7305" s="9" t="str">
        <v>ESRI</v>
      </c>
      <c r="F7305" s="7" t="str">
        <v>102359</v>
      </c>
      <c r="G7305" t="str">
        <v>ProjectedCrs</v>
      </c>
      <c r="H7305" t="str">
        <v>Transverse Mercator</v>
      </c>
      <c r="I7305" t="str">
        <v>ETRS_1989_UTM_Zone_33N_7stellen</v>
      </c>
      <c r="J7305" t="str">
        <v>Germany - west of 12~E</v>
      </c>
      <c r="K7305" s="11">
        <v>0</v>
      </c>
    </row>
    <row r="7306" spans="5:11" x14ac:dyDescent="0.35">
      <c r="E7306" s="9" t="str">
        <v>ESRI</v>
      </c>
      <c r="F7306" s="7" t="str">
        <v>102360</v>
      </c>
      <c r="G7306" t="str">
        <v>ProjectedCrs</v>
      </c>
      <c r="H7306" t="str">
        <v>Transverse Mercator</v>
      </c>
      <c r="I7306" t="str">
        <v>ETRS_1989_UTM_Zone_33N_8stellen</v>
      </c>
      <c r="J7306" t="str">
        <v>Germany - onshore and offshore east of 12°E, together with that part of Brandenburg state west of 12°E - Bayern, Berlin, Brandenburg (all state), Mecklenburg-Vorpommern, Sachsen, Sachsen-Anhalt, Thuringen.</v>
      </c>
      <c r="K7306" s="11">
        <v>0</v>
      </c>
    </row>
    <row r="7307" spans="5:11" x14ac:dyDescent="0.35">
      <c r="E7307" s="9" t="str">
        <v>ESRI</v>
      </c>
      <c r="F7307" s="7" t="str">
        <v>102364</v>
      </c>
      <c r="G7307" t="str">
        <v>ProjectedCrs</v>
      </c>
      <c r="H7307" t="str">
        <v>Transverse Mercator</v>
      </c>
      <c r="I7307" t="str">
        <v>NAD_1983_CORS96_UTM_Zone_59N</v>
      </c>
      <c r="J7307" t="str">
        <v>United States (USA) - west of 174°E. Alaska and offshore continental shelf (OCS).</v>
      </c>
      <c r="K7307" s="11">
        <v>0</v>
      </c>
    </row>
    <row r="7308" spans="5:11" x14ac:dyDescent="0.35">
      <c r="E7308" s="9" t="str">
        <v>ESRI</v>
      </c>
      <c r="F7308" s="7" t="str">
        <v>102365</v>
      </c>
      <c r="G7308" t="str">
        <v>ProjectedCrs</v>
      </c>
      <c r="H7308" t="str">
        <v>Transverse Mercator</v>
      </c>
      <c r="I7308" t="str">
        <v>NAD_1983_CORS96_UTM_Zone_60N</v>
      </c>
      <c r="J7308" t="str">
        <v>United States (USA) - between 174°E and 180°E - Alaska and offshore continental shelf (OCS).</v>
      </c>
      <c r="K7308" s="11">
        <v>0</v>
      </c>
    </row>
    <row r="7309" spans="5:11" x14ac:dyDescent="0.35">
      <c r="E7309" s="9" t="str">
        <v>ESRI</v>
      </c>
      <c r="F7309" s="7" t="str">
        <v>102366</v>
      </c>
      <c r="G7309" t="str">
        <v>ProjectedCrs</v>
      </c>
      <c r="H7309" t="str">
        <v>Hotine Oblique Mercator (variant A)</v>
      </c>
      <c r="I7309" t="str">
        <v>NAD_1983_CORS96_StatePlane_Alaska_1_FIPS_5001</v>
      </c>
      <c r="J7309" t="str">
        <v>United States (USA) - Alaska - east of 141°W; i.e. Panhandle.</v>
      </c>
      <c r="K7309" s="11">
        <v>0</v>
      </c>
    </row>
    <row r="7310" spans="5:11" x14ac:dyDescent="0.35">
      <c r="E7310" s="9" t="str">
        <v>ESRI</v>
      </c>
      <c r="F7310" s="7" t="str">
        <v>102367</v>
      </c>
      <c r="G7310" t="str">
        <v>ProjectedCrs</v>
      </c>
      <c r="H7310" t="str">
        <v>Transverse Mercator</v>
      </c>
      <c r="I7310" t="str">
        <v>NAD_1983_CORS96_StatePlane_Alaska_2_FIPS_5002</v>
      </c>
      <c r="J7310" t="str">
        <v>United States (USA) - Alaska - between 144°W and 141°W, onshore.</v>
      </c>
      <c r="K7310" s="11">
        <v>0</v>
      </c>
    </row>
    <row r="7311" spans="5:11" x14ac:dyDescent="0.35">
      <c r="E7311" s="9" t="str">
        <v>ESRI</v>
      </c>
      <c r="F7311" s="7" t="str">
        <v>102368</v>
      </c>
      <c r="G7311" t="str">
        <v>ProjectedCrs</v>
      </c>
      <c r="H7311" t="str">
        <v>Transverse Mercator</v>
      </c>
      <c r="I7311" t="str">
        <v>NAD_1983_CORS96_StatePlane_Alaska_3_FIPS_5003</v>
      </c>
      <c r="J7311" t="str">
        <v>United States (USA) - Alaska - between 148°W and 144°W.</v>
      </c>
      <c r="K7311" s="11">
        <v>0</v>
      </c>
    </row>
    <row r="7312" spans="5:11" x14ac:dyDescent="0.35">
      <c r="E7312" s="9" t="str">
        <v>ESRI</v>
      </c>
      <c r="F7312" s="7" t="str">
        <v>102369</v>
      </c>
      <c r="G7312" t="str">
        <v>ProjectedCrs</v>
      </c>
      <c r="H7312" t="str">
        <v>Transverse Mercator</v>
      </c>
      <c r="I7312" t="str">
        <v>NAD_1983_CORS96_StatePlane_Alaska_4_FIPS_5004</v>
      </c>
      <c r="J7312" t="str">
        <v>United States (USA) - Alaska - between 152°W and 148°W, onshore.</v>
      </c>
      <c r="K7312" s="11">
        <v>0</v>
      </c>
    </row>
    <row r="7313" spans="5:11" x14ac:dyDescent="0.35">
      <c r="E7313" s="9" t="str">
        <v>ESRI</v>
      </c>
      <c r="F7313" s="7" t="str">
        <v>102370</v>
      </c>
      <c r="G7313" t="str">
        <v>ProjectedCrs</v>
      </c>
      <c r="H7313" t="str">
        <v>Transverse Mercator</v>
      </c>
      <c r="I7313" t="str">
        <v>NAD_1983_CORS96_StatePlane_Alaska_5_FIPS_5005</v>
      </c>
      <c r="J7313" t="str">
        <v>United States (USA) - Alaska - between 156°W and 152°W.</v>
      </c>
      <c r="K7313" s="11">
        <v>0</v>
      </c>
    </row>
    <row r="7314" spans="5:11" x14ac:dyDescent="0.35">
      <c r="E7314" s="9" t="str">
        <v>ESRI</v>
      </c>
      <c r="F7314" s="7" t="str">
        <v>102371</v>
      </c>
      <c r="G7314" t="str">
        <v>ProjectedCrs</v>
      </c>
      <c r="H7314" t="str">
        <v>Transverse Mercator</v>
      </c>
      <c r="I7314" t="str">
        <v>NAD_1983_CORS96_StatePlane_Alaska_6_FIPS_5006</v>
      </c>
      <c r="J7314" t="str">
        <v>United States (USA) - Alaska - between 160°W and 156°W, onshore.</v>
      </c>
      <c r="K7314" s="11">
        <v>0</v>
      </c>
    </row>
    <row r="7315" spans="5:11" x14ac:dyDescent="0.35">
      <c r="E7315" s="9" t="str">
        <v>ESRI</v>
      </c>
      <c r="F7315" s="7" t="str">
        <v>102372</v>
      </c>
      <c r="G7315" t="str">
        <v>ProjectedCrs</v>
      </c>
      <c r="H7315" t="str">
        <v>Transverse Mercator</v>
      </c>
      <c r="I7315" t="str">
        <v>NAD_1983_CORS96_StatePlane_Alaska_7_FIPS_5007</v>
      </c>
      <c r="J7315" t="str">
        <v>United States (USA) - Alaska - between 164°W and 160°W, onshore.</v>
      </c>
      <c r="K7315" s="11">
        <v>0</v>
      </c>
    </row>
    <row r="7316" spans="5:11" x14ac:dyDescent="0.35">
      <c r="E7316" s="9" t="str">
        <v>ESRI</v>
      </c>
      <c r="F7316" s="7" t="str">
        <v>102373</v>
      </c>
      <c r="G7316" t="str">
        <v>ProjectedCrs</v>
      </c>
      <c r="H7316" t="str">
        <v>Transverse Mercator</v>
      </c>
      <c r="I7316" t="str">
        <v>NAD_1983_CORS96_StatePlane_Alaska_8_FIPS_5008</v>
      </c>
      <c r="J7316" t="str">
        <v>United States (USA) - Alaska onshore north of 54°30'N and between 168°W and 164°W.</v>
      </c>
      <c r="K7316" s="11">
        <v>0</v>
      </c>
    </row>
    <row r="7317" spans="5:11" x14ac:dyDescent="0.35">
      <c r="E7317" s="9" t="str">
        <v>ESRI</v>
      </c>
      <c r="F7317" s="7" t="str">
        <v>102374</v>
      </c>
      <c r="G7317" t="str">
        <v>ProjectedCrs</v>
      </c>
      <c r="H7317" t="str">
        <v>Transverse Mercator</v>
      </c>
      <c r="I7317" t="str">
        <v>NAD_1983_CORS96_StatePlane_Alaska_9_FIPS_5009</v>
      </c>
      <c r="J7317" t="str">
        <v>United States (USA) - Alaska onshore north of 54°30'N and west of 168°W.</v>
      </c>
      <c r="K7317" s="11">
        <v>0</v>
      </c>
    </row>
    <row r="7318" spans="5:11" x14ac:dyDescent="0.35">
      <c r="E7318" s="9" t="str">
        <v>ESRI</v>
      </c>
      <c r="F7318" s="7" t="str">
        <v>102375</v>
      </c>
      <c r="G7318" t="str">
        <v>ProjectedCrs</v>
      </c>
      <c r="H7318" t="str">
        <v>Lambert Conic Conformal (2SP)</v>
      </c>
      <c r="I7318" t="str">
        <v>NAD_1983_CORS96_StatePlane_Alaska_10_FIPS_5010</v>
      </c>
      <c r="J7318" t="str">
        <v>United States (USA) - Alaska - Aleutian Islands onshore.</v>
      </c>
      <c r="K7318" s="11">
        <v>0</v>
      </c>
    </row>
    <row r="7319" spans="5:11" x14ac:dyDescent="0.35">
      <c r="E7319" s="9" t="str">
        <v>ESRI</v>
      </c>
      <c r="F7319" s="7" t="str">
        <v>102389</v>
      </c>
      <c r="G7319" t="str">
        <v>ProjectedCrs</v>
      </c>
      <c r="H7319" t="str">
        <v>&lt;undefined&gt;</v>
      </c>
      <c r="I7319" t="str">
        <v>NAD_1983_Fargo_Ground_Coordinate_System</v>
      </c>
      <c r="J7319" t="str">
        <v>USA - North Dakota - Fargo</v>
      </c>
      <c r="K7319" s="11">
        <v>0</v>
      </c>
    </row>
    <row r="7320" spans="5:11" x14ac:dyDescent="0.35">
      <c r="E7320" s="9" t="str">
        <v>ESRI</v>
      </c>
      <c r="F7320" s="7" t="str">
        <v>102390</v>
      </c>
      <c r="G7320" t="str">
        <v>ProjectedCrs</v>
      </c>
      <c r="H7320" t="str">
        <v>&lt;undefined&gt;</v>
      </c>
      <c r="I7320" t="str">
        <v>NAD_1983_HARN_Fargo_Ground_Coordinate_System</v>
      </c>
      <c r="J7320" t="str">
        <v>USA - North Dakota - Fargo</v>
      </c>
      <c r="K7320" s="11">
        <v>0</v>
      </c>
    </row>
    <row r="7321" spans="5:11" x14ac:dyDescent="0.35">
      <c r="E7321" s="9" t="str">
        <v>ESRI</v>
      </c>
      <c r="F7321" s="7" t="str">
        <v>102391</v>
      </c>
      <c r="G7321" t="str">
        <v>ProjectedCrs</v>
      </c>
      <c r="H7321" t="str">
        <v>&lt;undefined&gt;</v>
      </c>
      <c r="I7321" t="str">
        <v>NAD_1983_2011_Fargo_Ground_Coordinate_System</v>
      </c>
      <c r="J7321" t="str">
        <v>USA - North Dakota - Fargo</v>
      </c>
      <c r="K7321" s="11">
        <v>0</v>
      </c>
    </row>
    <row r="7322" spans="5:11" x14ac:dyDescent="0.35">
      <c r="E7322" s="9" t="str">
        <v>ESRI</v>
      </c>
      <c r="F7322" s="7" t="str">
        <v>102392</v>
      </c>
      <c r="G7322" t="str">
        <v>ProjectedCrs</v>
      </c>
      <c r="H7322" t="str">
        <v>Transverse Mercator</v>
      </c>
      <c r="I7322" t="str">
        <v>NAD_1983_2011_StatePlane_Alaska_4_FIPS_5004_Feet</v>
      </c>
      <c r="J7322" t="str">
        <v>United States (USA) - Alaska - between 152°W and 148°W, onshore.</v>
      </c>
      <c r="K7322" s="11">
        <v>0</v>
      </c>
    </row>
    <row r="7323" spans="5:11" x14ac:dyDescent="0.35">
      <c r="E7323" s="9" t="str">
        <v>ESRI</v>
      </c>
      <c r="F7323" s="7" t="str">
        <v>102393</v>
      </c>
      <c r="G7323" t="str">
        <v>ProjectedCrs</v>
      </c>
      <c r="H7323" t="str">
        <v>Transverse Mercator</v>
      </c>
      <c r="I7323" t="str">
        <v>NAD_1983_2011_StatePlane_Alaska_5_FIPS_5005_Feet</v>
      </c>
      <c r="J7323" t="str">
        <v>United States (USA) - Alaska - between 156°W and 152°W.</v>
      </c>
      <c r="K7323" s="11">
        <v>0</v>
      </c>
    </row>
    <row r="7324" spans="5:11" x14ac:dyDescent="0.35">
      <c r="E7324" s="9" t="str">
        <v>ESRI</v>
      </c>
      <c r="F7324" s="7" t="str">
        <v>102394</v>
      </c>
      <c r="G7324" t="str">
        <v>ProjectedCrs</v>
      </c>
      <c r="H7324" t="str">
        <v>Transverse Mercator</v>
      </c>
      <c r="I7324" t="str">
        <v>NAD_1983_2011_StatePlane_Alaska_6_FIPS_5006_Feet</v>
      </c>
      <c r="J7324" t="str">
        <v>United States (USA) - Alaska - between 160°W and 156°W, onshore.</v>
      </c>
      <c r="K7324" s="11">
        <v>0</v>
      </c>
    </row>
    <row r="7325" spans="5:11" x14ac:dyDescent="0.35">
      <c r="E7325" s="9" t="str">
        <v>ESRI</v>
      </c>
      <c r="F7325" s="7" t="str">
        <v>102395</v>
      </c>
      <c r="G7325" t="str">
        <v>ProjectedCrs</v>
      </c>
      <c r="H7325" t="str">
        <v>Transverse Mercator</v>
      </c>
      <c r="I7325" t="str">
        <v>NAD_1983_2011_StatePlane_Alaska_7_FIPS_5007_Feet</v>
      </c>
      <c r="J7325" t="str">
        <v>United States (USA) - Alaska - between 164°W and 160°W, onshore.</v>
      </c>
      <c r="K7325" s="11">
        <v>0</v>
      </c>
    </row>
    <row r="7326" spans="5:11" x14ac:dyDescent="0.35">
      <c r="E7326" s="9" t="str">
        <v>ESRI</v>
      </c>
      <c r="F7326" s="7" t="str">
        <v>102396</v>
      </c>
      <c r="G7326" t="str">
        <v>ProjectedCrs</v>
      </c>
      <c r="H7326" t="str">
        <v>Transverse Mercator</v>
      </c>
      <c r="I7326" t="str">
        <v>NAD_1983_2011_StatePlane_Alaska_8_FIPS_5008_Feet</v>
      </c>
      <c r="J7326" t="str">
        <v>United States (USA) - Alaska onshore north of 54°30'N and between 168°W and 164°W.</v>
      </c>
      <c r="K7326" s="11">
        <v>0</v>
      </c>
    </row>
    <row r="7327" spans="5:11" x14ac:dyDescent="0.35">
      <c r="E7327" s="9" t="str">
        <v>ESRI</v>
      </c>
      <c r="F7327" s="7" t="str">
        <v>102397</v>
      </c>
      <c r="G7327" t="str">
        <v>ProjectedCrs</v>
      </c>
      <c r="H7327" t="str">
        <v>Transverse Mercator</v>
      </c>
      <c r="I7327" t="str">
        <v>NAD_1983_2011_StatePlane_Alaska_9_FIPS_5009_Feet</v>
      </c>
      <c r="J7327" t="str">
        <v>United States (USA) - Alaska onshore north of 54°30'N and west of 168°W.</v>
      </c>
      <c r="K7327" s="11">
        <v>0</v>
      </c>
    </row>
    <row r="7328" spans="5:11" x14ac:dyDescent="0.35">
      <c r="E7328" s="9" t="str">
        <v>ESRI</v>
      </c>
      <c r="F7328" s="7" t="str">
        <v>102398</v>
      </c>
      <c r="G7328" t="str">
        <v>ProjectedCrs</v>
      </c>
      <c r="H7328" t="str">
        <v>Lambert Conic Conformal (2SP)</v>
      </c>
      <c r="I7328" t="str">
        <v>NAD_1983_2011_StatePlane_Alaska_10_FIPS_5010_Feet</v>
      </c>
      <c r="J7328" t="str">
        <v>United States (USA) - Alaska - Aleutian Islands onshore.</v>
      </c>
      <c r="K7328" s="11">
        <v>0</v>
      </c>
    </row>
    <row r="7329" spans="5:11" x14ac:dyDescent="0.35">
      <c r="E7329" s="9" t="str">
        <v>ESRI</v>
      </c>
      <c r="F7329" s="7" t="str">
        <v>102399</v>
      </c>
      <c r="G7329" t="str">
        <v>ProjectedCrs</v>
      </c>
      <c r="H7329" t="str">
        <v>Albers Equal Area</v>
      </c>
      <c r="I7329" t="str">
        <v>NAD_1983_Albers_BLM_MT_ND_SD</v>
      </c>
      <c r="J7329" t="str">
        <v>USA - Montana, North Dakota, and South Dakota</v>
      </c>
      <c r="K7329" s="11">
        <v>0</v>
      </c>
    </row>
    <row r="7330" spans="5:11" x14ac:dyDescent="0.35">
      <c r="E7330" s="9" t="str">
        <v>ESRI</v>
      </c>
      <c r="F7330" s="7" t="str">
        <v>102400</v>
      </c>
      <c r="G7330" t="str">
        <v>ProjectedCrs</v>
      </c>
      <c r="H7330" t="str">
        <v>Transverse Mercator</v>
      </c>
      <c r="I7330" t="str">
        <v>London_Survey_Grid</v>
      </c>
      <c r="J7330" t="str">
        <v>UK - London</v>
      </c>
      <c r="K7330" s="11">
        <v>0</v>
      </c>
    </row>
    <row r="7331" spans="5:11" x14ac:dyDescent="0.35">
      <c r="E7331" s="9" t="str">
        <v>ESRI</v>
      </c>
      <c r="F7331" s="7" t="str">
        <v>102401</v>
      </c>
      <c r="G7331" t="str">
        <v>ProjectedCrs</v>
      </c>
      <c r="H7331" t="str">
        <v>Transverse Mercator</v>
      </c>
      <c r="I7331" t="str">
        <v>NAD_1983_CORS96_UTM_Zone_1N</v>
      </c>
      <c r="J7331" t="str">
        <v>United States (USA) - between 180°W and 174°W - Alaska and offshore continental shelf (OCS).</v>
      </c>
      <c r="K7331" s="11">
        <v>0</v>
      </c>
    </row>
    <row r="7332" spans="5:11" x14ac:dyDescent="0.35">
      <c r="E7332" s="9" t="str">
        <v>ESRI</v>
      </c>
      <c r="F7332" s="7" t="str">
        <v>102402</v>
      </c>
      <c r="G7332" t="str">
        <v>ProjectedCrs</v>
      </c>
      <c r="H7332" t="str">
        <v>Transverse Mercator</v>
      </c>
      <c r="I7332" t="str">
        <v>NAD_1983_CORS96_UTM_Zone_2N</v>
      </c>
      <c r="J7332" t="str">
        <v>United States (USA) - between 174°W and 168°W - Alaska and offshore continental shelf (OCS).</v>
      </c>
      <c r="K7332" s="11">
        <v>0</v>
      </c>
    </row>
    <row r="7333" spans="5:11" x14ac:dyDescent="0.35">
      <c r="E7333" s="9" t="str">
        <v>ESRI</v>
      </c>
      <c r="F7333" s="7" t="str">
        <v>102403</v>
      </c>
      <c r="G7333" t="str">
        <v>ProjectedCrs</v>
      </c>
      <c r="H7333" t="str">
        <v>Transverse Mercator</v>
      </c>
      <c r="I7333" t="str">
        <v>NAD_1983_CORS96_UTM_Zone_3N</v>
      </c>
      <c r="J7333" t="str">
        <v>United States (USA) - between 168°W and 162°W - Alaska and offshore continental shelf (OCS).</v>
      </c>
      <c r="K7333" s="11">
        <v>0</v>
      </c>
    </row>
    <row r="7334" spans="5:11" x14ac:dyDescent="0.35">
      <c r="E7334" s="9" t="str">
        <v>ESRI</v>
      </c>
      <c r="F7334" s="7" t="str">
        <v>102404</v>
      </c>
      <c r="G7334" t="str">
        <v>ProjectedCrs</v>
      </c>
      <c r="H7334" t="str">
        <v>Transverse Mercator</v>
      </c>
      <c r="I7334" t="str">
        <v>NAD_1983_CORS96_UTM_Zone_4N</v>
      </c>
      <c r="J7334" t="str">
        <v>United States (USA) - between 168°W and 162°W - Alaska and offshore continental shelf (OCS).</v>
      </c>
      <c r="K7334" s="11">
        <v>0</v>
      </c>
    </row>
    <row r="7335" spans="5:11" x14ac:dyDescent="0.35">
      <c r="E7335" s="9" t="str">
        <v>ESRI</v>
      </c>
      <c r="F7335" s="7" t="str">
        <v>102405</v>
      </c>
      <c r="G7335" t="str">
        <v>ProjectedCrs</v>
      </c>
      <c r="H7335" t="str">
        <v>Transverse Mercator</v>
      </c>
      <c r="I7335" t="str">
        <v>NAD_1983_CORS96_UTM_Zone_5N</v>
      </c>
      <c r="J7335" t="str">
        <v>United States (USA) - between 156°W and 150°W - Alaska and offshore continental shelf (OCS).</v>
      </c>
      <c r="K7335" s="11">
        <v>0</v>
      </c>
    </row>
    <row r="7336" spans="5:11" x14ac:dyDescent="0.35">
      <c r="E7336" s="9" t="str">
        <v>ESRI</v>
      </c>
      <c r="F7336" s="7" t="str">
        <v>102406</v>
      </c>
      <c r="G7336" t="str">
        <v>ProjectedCrs</v>
      </c>
      <c r="H7336" t="str">
        <v>Transverse Mercator</v>
      </c>
      <c r="I7336" t="str">
        <v>NAD_1983_CORS96_UTM_Zone_6N</v>
      </c>
      <c r="J7336" t="str">
        <v>United States (USA) - between 150°W and 144°W - Alaska and offshore continental shelf (OCS).</v>
      </c>
      <c r="K7336" s="11">
        <v>0</v>
      </c>
    </row>
    <row r="7337" spans="5:11" x14ac:dyDescent="0.35">
      <c r="E7337" s="9" t="str">
        <v>ESRI</v>
      </c>
      <c r="F7337" s="7" t="str">
        <v>102407</v>
      </c>
      <c r="G7337" t="str">
        <v>ProjectedCrs</v>
      </c>
      <c r="H7337" t="str">
        <v>Transverse Mercator</v>
      </c>
      <c r="I7337" t="str">
        <v>NAD_1983_CORS96_UTM_Zone_7N</v>
      </c>
      <c r="J7337" t="str">
        <v>United States (USA) - between 144°W and 138°W onshore and offshore - Alaska.</v>
      </c>
      <c r="K7337" s="11">
        <v>0</v>
      </c>
    </row>
    <row r="7338" spans="5:11" x14ac:dyDescent="0.35">
      <c r="E7338" s="9" t="str">
        <v>ESRI</v>
      </c>
      <c r="F7338" s="7" t="str">
        <v>102408</v>
      </c>
      <c r="G7338" t="str">
        <v>ProjectedCrs</v>
      </c>
      <c r="H7338" t="str">
        <v>Transverse Mercator</v>
      </c>
      <c r="I7338" t="str">
        <v>NAD_1983_CORS96_UTM_Zone_8N</v>
      </c>
      <c r="J7338" t="str">
        <v>United States (USA) - between 138°W and 132°W onshore and offshore - Alaska.</v>
      </c>
      <c r="K7338" s="11">
        <v>0</v>
      </c>
    </row>
    <row r="7339" spans="5:11" x14ac:dyDescent="0.35">
      <c r="E7339" s="9" t="str">
        <v>ESRI</v>
      </c>
      <c r="F7339" s="7" t="str">
        <v>102409</v>
      </c>
      <c r="G7339" t="str">
        <v>ProjectedCrs</v>
      </c>
      <c r="H7339" t="str">
        <v>Transverse Mercator</v>
      </c>
      <c r="I7339" t="str">
        <v>NAD_1983_CORS96_UTM_Zone_9N</v>
      </c>
      <c r="J7339" t="str">
        <v>United States (USA) - between 132°W and 126°W onshore and offshore - Alaska.</v>
      </c>
      <c r="K7339" s="11">
        <v>0</v>
      </c>
    </row>
    <row r="7340" spans="5:11" x14ac:dyDescent="0.35">
      <c r="E7340" s="9" t="str">
        <v>ESRI</v>
      </c>
      <c r="F7340" s="7" t="str">
        <v>102410</v>
      </c>
      <c r="G7340" t="str">
        <v>ProjectedCrs</v>
      </c>
      <c r="H7340" t="str">
        <v>Transverse Mercator</v>
      </c>
      <c r="I7340" t="str">
        <v>NAD_1983_CORS96_UTM_Zone_10N</v>
      </c>
      <c r="J7340" t="str">
        <v>United States (USA) - between 126°W and 120°W onshore and offshore - California; Oregon; Washington.</v>
      </c>
      <c r="K7340" s="11">
        <v>0</v>
      </c>
    </row>
    <row r="7341" spans="5:11" x14ac:dyDescent="0.35">
      <c r="E7341" s="9" t="str">
        <v>ESRI</v>
      </c>
      <c r="F7341" s="7" t="str">
        <v>102411</v>
      </c>
      <c r="G7341" t="str">
        <v>ProjectedCrs</v>
      </c>
      <c r="H7341" t="str">
        <v>Transverse Mercator</v>
      </c>
      <c r="I7341" t="str">
        <v>NAD_1983_CORS96_UTM_Zone_11N</v>
      </c>
      <c r="J7341" t="str">
        <v>United States (USA) - between 120°W and 114°W onshore and offshore - California, Idaho, Nevada, Oregon, Washington.</v>
      </c>
      <c r="K7341" s="11">
        <v>0</v>
      </c>
    </row>
    <row r="7342" spans="5:11" x14ac:dyDescent="0.35">
      <c r="E7342" s="9" t="str">
        <v>ESRI</v>
      </c>
      <c r="F7342" s="7" t="str">
        <v>102412</v>
      </c>
      <c r="G7342" t="str">
        <v>ProjectedCrs</v>
      </c>
      <c r="H7342" t="str">
        <v>Transverse Mercator</v>
      </c>
      <c r="I7342" t="str">
        <v>NAD_1983_CORS96_UTM_Zone_12N</v>
      </c>
      <c r="J7342" t="str">
        <v>United States (USA) - between 114°W and 108°W - Arizona; Colorado; Idaho; Montana; New Mexico; Utah; Wyoming.</v>
      </c>
      <c r="K7342" s="11">
        <v>0</v>
      </c>
    </row>
    <row r="7343" spans="5:11" x14ac:dyDescent="0.35">
      <c r="E7343" s="9" t="str">
        <v>ESRI</v>
      </c>
      <c r="F7343" s="7" t="str">
        <v>102413</v>
      </c>
      <c r="G7343" t="str">
        <v>ProjectedCrs</v>
      </c>
      <c r="H7343" t="str">
        <v>Transverse Mercator</v>
      </c>
      <c r="I7343" t="str">
        <v>NAD_1983_CORS96_UTM_Zone_13N</v>
      </c>
      <c r="J7343" t="str">
        <v>United States (USA) - between 108°W and 102°W - Colorado; Montana; Nebraska; New Mexico; North Dakota; Oklahoma; South Dakota; Texas; Wyoming.</v>
      </c>
      <c r="K7343" s="11">
        <v>0</v>
      </c>
    </row>
    <row r="7344" spans="5:11" x14ac:dyDescent="0.35">
      <c r="E7344" s="9" t="str">
        <v>ESRI</v>
      </c>
      <c r="F7344" s="7" t="str">
        <v>102414</v>
      </c>
      <c r="G7344" t="str">
        <v>ProjectedCrs</v>
      </c>
      <c r="H7344" t="str">
        <v>Transverse Mercator</v>
      </c>
      <c r="I7344" t="str">
        <v>NAD_1983_CORS96_UTM_Zone_14N</v>
      </c>
      <c r="J7344" t="str">
        <v>United States (USA) - between 102°W and 96°W onshore and offshore - Iowa; Kansas; Minnesota; Nebraska; North Dakota; Oklahoma; South Dakota; Texas.</v>
      </c>
      <c r="K7344" s="11">
        <v>0</v>
      </c>
    </row>
    <row r="7345" spans="5:11" x14ac:dyDescent="0.35">
      <c r="E7345" s="9" t="str">
        <v>ESRI</v>
      </c>
      <c r="F7345" s="7" t="str">
        <v>102415</v>
      </c>
      <c r="G7345" t="str">
        <v>ProjectedCrs</v>
      </c>
      <c r="H7345" t="str">
        <v>Transverse Mercator</v>
      </c>
      <c r="I7345" t="str">
        <v>NAD_1983_CORS96_UTM_Zone_15N</v>
      </c>
      <c r="J7345" t="str">
        <v>United States (USA) - between 96°W and 90°W onshore and offshore - Arkansas; Illinois; Iowa; Kansas; Louisiana; Michigan; Minnesota; Mississippi; Missouri; Nebraska; Oklahoma; Tennessee; Texas; Wisconsin.</v>
      </c>
      <c r="K7345" s="11">
        <v>0</v>
      </c>
    </row>
    <row r="7346" spans="5:11" x14ac:dyDescent="0.35">
      <c r="E7346" s="9" t="str">
        <v>ESRI</v>
      </c>
      <c r="F7346" s="7" t="str">
        <v>102416</v>
      </c>
      <c r="G7346" t="str">
        <v>ProjectedCrs</v>
      </c>
      <c r="H7346" t="str">
        <v>Transverse Mercator</v>
      </c>
      <c r="I7346" t="str">
        <v>NAD_1983_CORS96_UTM_Zone_16N</v>
      </c>
      <c r="J7346" t="str">
        <v>United States (USA) - between 90°W and 84°W onshore and offshore - Alabama; Arkansas; Florida; Georgia; Indiana; Illinois; Kentucky; Louisiana; Michigan; Minnesota; Mississippi; Missouri; North Carolina; Ohio; Tennessee; Wisconsin.</v>
      </c>
      <c r="K7346" s="11">
        <v>0</v>
      </c>
    </row>
    <row r="7347" spans="5:11" x14ac:dyDescent="0.35">
      <c r="E7347" s="9" t="str">
        <v>ESRI</v>
      </c>
      <c r="F7347" s="7" t="str">
        <v>102417</v>
      </c>
      <c r="G7347" t="str">
        <v>ProjectedCrs</v>
      </c>
      <c r="H7347" t="str">
        <v>Transverse Mercator</v>
      </c>
      <c r="I7347" t="str">
        <v>NAD_1983_CORS96_UTM_Zone_17N</v>
      </c>
      <c r="J7347" t="str">
        <v>United States (USA) - between 84°W and 78°W onshore and offshore - Florida; Georgia; Kentucky; Maryland; Michigan; New York; North Carolina; Ohio; Pennsylvania; South Carolina; Tennessee; Virginia; West Virginia.</v>
      </c>
      <c r="K7347" s="11">
        <v>0</v>
      </c>
    </row>
    <row r="7348" spans="5:11" x14ac:dyDescent="0.35">
      <c r="E7348" s="9" t="str">
        <v>ESRI</v>
      </c>
      <c r="F7348" s="7" t="str">
        <v>102418</v>
      </c>
      <c r="G7348" t="str">
        <v>ProjectedCrs</v>
      </c>
      <c r="H7348" t="str">
        <v>Transverse Mercator</v>
      </c>
      <c r="I7348" t="str">
        <v>NAD_1983_CORS96_UTM_Zone_18N</v>
      </c>
      <c r="J7348" t="str">
        <v>United States (USA) - between 78°W and 72°W onshore and offshore - Connecticut; Delaware; Maryland; Massachusetts; New Hampshire; New Jersey; New York; North Carolina; Pennsylvania; Virginia; Vermont.</v>
      </c>
      <c r="K7348" s="11">
        <v>0</v>
      </c>
    </row>
    <row r="7349" spans="5:11" x14ac:dyDescent="0.35">
      <c r="E7349" s="9" t="str">
        <v>ESRI</v>
      </c>
      <c r="F7349" s="7" t="str">
        <v>102419</v>
      </c>
      <c r="G7349" t="str">
        <v>ProjectedCrs</v>
      </c>
      <c r="H7349" t="str">
        <v>Transverse Mercator</v>
      </c>
      <c r="I7349" t="str">
        <v>NAD_1983_CORS96_UTM_Zone_19N</v>
      </c>
      <c r="J7349" t="str">
        <v>United States (USA) - between 72°W and 66°W onshore and offshore - Connecticut; Maine; Massachusetts; New Hampshire; New York (Long Island); Rhode Island; Vermont.</v>
      </c>
      <c r="K7349" s="11">
        <v>0</v>
      </c>
    </row>
    <row r="7350" spans="5:11" x14ac:dyDescent="0.35">
      <c r="E7350" s="9" t="str">
        <v>ESRI</v>
      </c>
      <c r="F7350" s="7" t="str">
        <v>102421</v>
      </c>
      <c r="G7350" t="str">
        <v>ProjectedCrs</v>
      </c>
      <c r="H7350" t="str">
        <v>Equidistant Cylindrical (Spherical)</v>
      </c>
      <c r="I7350" t="str">
        <v>WGS_1984_ARC_System_Zone_01</v>
      </c>
      <c r="J7350" t="str">
        <v>ARC System - Zone 1</v>
      </c>
      <c r="K7350" s="11">
        <v>0</v>
      </c>
    </row>
    <row r="7351" spans="5:11" x14ac:dyDescent="0.35">
      <c r="E7351" s="9" t="str">
        <v>ESRI</v>
      </c>
      <c r="F7351" s="7" t="str">
        <v>102422</v>
      </c>
      <c r="G7351" t="str">
        <v>ProjectedCrs</v>
      </c>
      <c r="H7351" t="str">
        <v>Equidistant Cylindrical (Spherical)</v>
      </c>
      <c r="I7351" t="str">
        <v>WGS_1984_ARC_System_Zone_02</v>
      </c>
      <c r="J7351" t="str">
        <v>ARC System - Zone 2</v>
      </c>
      <c r="K7351" s="11">
        <v>0</v>
      </c>
    </row>
    <row r="7352" spans="5:11" x14ac:dyDescent="0.35">
      <c r="E7352" s="9" t="str">
        <v>ESRI</v>
      </c>
      <c r="F7352" s="7" t="str">
        <v>102423</v>
      </c>
      <c r="G7352" t="str">
        <v>ProjectedCrs</v>
      </c>
      <c r="H7352" t="str">
        <v>Equidistant Cylindrical (Spherical)</v>
      </c>
      <c r="I7352" t="str">
        <v>WGS_1984_ARC_System_Zone_03</v>
      </c>
      <c r="J7352" t="str">
        <v>ARC System - Zone 3</v>
      </c>
      <c r="K7352" s="11">
        <v>0</v>
      </c>
    </row>
    <row r="7353" spans="5:11" x14ac:dyDescent="0.35">
      <c r="E7353" s="9" t="str">
        <v>ESRI</v>
      </c>
      <c r="F7353" s="7" t="str">
        <v>102424</v>
      </c>
      <c r="G7353" t="str">
        <v>ProjectedCrs</v>
      </c>
      <c r="H7353" t="str">
        <v>Equidistant Cylindrical (Spherical)</v>
      </c>
      <c r="I7353" t="str">
        <v>WGS_1984_ARC_System_Zone_04</v>
      </c>
      <c r="J7353" t="str">
        <v>ARC System - Zone 4</v>
      </c>
      <c r="K7353" s="11">
        <v>0</v>
      </c>
    </row>
    <row r="7354" spans="5:11" x14ac:dyDescent="0.35">
      <c r="E7354" s="9" t="str">
        <v>ESRI</v>
      </c>
      <c r="F7354" s="7" t="str">
        <v>102425</v>
      </c>
      <c r="G7354" t="str">
        <v>ProjectedCrs</v>
      </c>
      <c r="H7354" t="str">
        <v>Equidistant Cylindrical (Spherical)</v>
      </c>
      <c r="I7354" t="str">
        <v>WGS_1984_ARC_System_Zone_05</v>
      </c>
      <c r="J7354" t="str">
        <v>ARC System - Zone 5</v>
      </c>
      <c r="K7354" s="11">
        <v>0</v>
      </c>
    </row>
    <row r="7355" spans="5:11" x14ac:dyDescent="0.35">
      <c r="E7355" s="9" t="str">
        <v>ESRI</v>
      </c>
      <c r="F7355" s="7" t="str">
        <v>102426</v>
      </c>
      <c r="G7355" t="str">
        <v>ProjectedCrs</v>
      </c>
      <c r="H7355" t="str">
        <v>Equidistant Cylindrical (Spherical)</v>
      </c>
      <c r="I7355" t="str">
        <v>WGS_1984_ARC_System_Zone_06</v>
      </c>
      <c r="J7355" t="str">
        <v>ARC System - Zone 6</v>
      </c>
      <c r="K7355" s="11">
        <v>0</v>
      </c>
    </row>
    <row r="7356" spans="5:11" x14ac:dyDescent="0.35">
      <c r="E7356" s="9" t="str">
        <v>ESRI</v>
      </c>
      <c r="F7356" s="7" t="str">
        <v>102427</v>
      </c>
      <c r="G7356" t="str">
        <v>ProjectedCrs</v>
      </c>
      <c r="H7356" t="str">
        <v>Equidistant Cylindrical (Spherical)</v>
      </c>
      <c r="I7356" t="str">
        <v>WGS_1984_ARC_System_Zone_07</v>
      </c>
      <c r="J7356" t="str">
        <v>ARC System - Zone 7</v>
      </c>
      <c r="K7356" s="11">
        <v>0</v>
      </c>
    </row>
    <row r="7357" spans="5:11" x14ac:dyDescent="0.35">
      <c r="E7357" s="9" t="str">
        <v>ESRI</v>
      </c>
      <c r="F7357" s="7" t="str">
        <v>102428</v>
      </c>
      <c r="G7357" t="str">
        <v>ProjectedCrs</v>
      </c>
      <c r="H7357" t="str">
        <v>Equidistant Cylindrical (Spherical)</v>
      </c>
      <c r="I7357" t="str">
        <v>WGS_1984_ARC_System_Zone_08</v>
      </c>
      <c r="J7357" t="str">
        <v>ARC System - Zone 8</v>
      </c>
      <c r="K7357" s="11">
        <v>0</v>
      </c>
    </row>
    <row r="7358" spans="5:11" x14ac:dyDescent="0.35">
      <c r="E7358" s="9" t="str">
        <v>ESRI</v>
      </c>
      <c r="F7358" s="7" t="str">
        <v>102429</v>
      </c>
      <c r="G7358" t="str">
        <v>ProjectedCrs</v>
      </c>
      <c r="H7358" t="str">
        <v>&lt;undefined&gt;</v>
      </c>
      <c r="I7358" t="str">
        <v>WGS_1984_ARC_System_Zone_09</v>
      </c>
      <c r="J7358" t="str">
        <v>ARC System - Zone 9</v>
      </c>
      <c r="K7358" s="11">
        <v>0</v>
      </c>
    </row>
    <row r="7359" spans="5:11" x14ac:dyDescent="0.35">
      <c r="E7359" s="9" t="str">
        <v>ESRI</v>
      </c>
      <c r="F7359" s="7" t="str">
        <v>102430</v>
      </c>
      <c r="G7359" t="str">
        <v>ProjectedCrs</v>
      </c>
      <c r="H7359" t="str">
        <v>Equidistant Cylindrical (Spherical)</v>
      </c>
      <c r="I7359" t="str">
        <v>WGS_1984_ARC_System_Zone_10</v>
      </c>
      <c r="J7359" t="str">
        <v>ARC System - Zone 10</v>
      </c>
      <c r="K7359" s="11">
        <v>0</v>
      </c>
    </row>
    <row r="7360" spans="5:11" x14ac:dyDescent="0.35">
      <c r="E7360" s="9" t="str">
        <v>ESRI</v>
      </c>
      <c r="F7360" s="7" t="str">
        <v>102431</v>
      </c>
      <c r="G7360" t="str">
        <v>ProjectedCrs</v>
      </c>
      <c r="H7360" t="str">
        <v>Equidistant Cylindrical (Spherical)</v>
      </c>
      <c r="I7360" t="str">
        <v>WGS_1984_ARC_System_Zone_11</v>
      </c>
      <c r="J7360" t="str">
        <v>ARC System - Zone 11</v>
      </c>
      <c r="K7360" s="11">
        <v>0</v>
      </c>
    </row>
    <row r="7361" spans="5:11" x14ac:dyDescent="0.35">
      <c r="E7361" s="9" t="str">
        <v>ESRI</v>
      </c>
      <c r="F7361" s="7" t="str">
        <v>102432</v>
      </c>
      <c r="G7361" t="str">
        <v>ProjectedCrs</v>
      </c>
      <c r="H7361" t="str">
        <v>Equidistant Cylindrical (Spherical)</v>
      </c>
      <c r="I7361" t="str">
        <v>WGS_1984_ARC_System_Zone_12</v>
      </c>
      <c r="J7361" t="str">
        <v>ARC System - Zone 12</v>
      </c>
      <c r="K7361" s="11">
        <v>0</v>
      </c>
    </row>
    <row r="7362" spans="5:11" x14ac:dyDescent="0.35">
      <c r="E7362" s="9" t="str">
        <v>ESRI</v>
      </c>
      <c r="F7362" s="7" t="str">
        <v>102433</v>
      </c>
      <c r="G7362" t="str">
        <v>ProjectedCrs</v>
      </c>
      <c r="H7362" t="str">
        <v>Equidistant Cylindrical (Spherical)</v>
      </c>
      <c r="I7362" t="str">
        <v>WGS_1984_ARC_System_Zone_13</v>
      </c>
      <c r="J7362" t="str">
        <v>ARC System - Zone 13</v>
      </c>
      <c r="K7362" s="11">
        <v>0</v>
      </c>
    </row>
    <row r="7363" spans="5:11" x14ac:dyDescent="0.35">
      <c r="E7363" s="9" t="str">
        <v>ESRI</v>
      </c>
      <c r="F7363" s="7" t="str">
        <v>102434</v>
      </c>
      <c r="G7363" t="str">
        <v>ProjectedCrs</v>
      </c>
      <c r="H7363" t="str">
        <v>Equidistant Cylindrical (Spherical)</v>
      </c>
      <c r="I7363" t="str">
        <v>WGS_1984_ARC_System_Zone_14</v>
      </c>
      <c r="J7363" t="str">
        <v>ARC System - Zone 14</v>
      </c>
      <c r="K7363" s="11">
        <v>0</v>
      </c>
    </row>
    <row r="7364" spans="5:11" x14ac:dyDescent="0.35">
      <c r="E7364" s="9" t="str">
        <v>ESRI</v>
      </c>
      <c r="F7364" s="7" t="str">
        <v>102435</v>
      </c>
      <c r="G7364" t="str">
        <v>ProjectedCrs</v>
      </c>
      <c r="H7364" t="str">
        <v>Equidistant Cylindrical (Spherical)</v>
      </c>
      <c r="I7364" t="str">
        <v>WGS_1984_ARC_System_Zone_15</v>
      </c>
      <c r="J7364" t="str">
        <v>ARC System - Zone 15</v>
      </c>
      <c r="K7364" s="11">
        <v>0</v>
      </c>
    </row>
    <row r="7365" spans="5:11" x14ac:dyDescent="0.35">
      <c r="E7365" s="9" t="str">
        <v>ESRI</v>
      </c>
      <c r="F7365" s="7" t="str">
        <v>102436</v>
      </c>
      <c r="G7365" t="str">
        <v>ProjectedCrs</v>
      </c>
      <c r="H7365" t="str">
        <v>Equidistant Cylindrical (Spherical)</v>
      </c>
      <c r="I7365" t="str">
        <v>WGS_1984_ARC_System_Zone_16</v>
      </c>
      <c r="J7365" t="str">
        <v>ARC System - Zone 16</v>
      </c>
      <c r="K7365" s="11">
        <v>0</v>
      </c>
    </row>
    <row r="7366" spans="5:11" x14ac:dyDescent="0.35">
      <c r="E7366" s="9" t="str">
        <v>ESRI</v>
      </c>
      <c r="F7366" s="7" t="str">
        <v>102437</v>
      </c>
      <c r="G7366" t="str">
        <v>ProjectedCrs</v>
      </c>
      <c r="H7366" t="str">
        <v>Equidistant Cylindrical (Spherical)</v>
      </c>
      <c r="I7366" t="str">
        <v>WGS_1984_ARC_System_Zone_17</v>
      </c>
      <c r="J7366" t="str">
        <v>ARC System - Zone 17</v>
      </c>
      <c r="K7366" s="11">
        <v>0</v>
      </c>
    </row>
    <row r="7367" spans="5:11" x14ac:dyDescent="0.35">
      <c r="E7367" s="9" t="str">
        <v>ESRI</v>
      </c>
      <c r="F7367" s="7" t="str">
        <v>102438</v>
      </c>
      <c r="G7367" t="str">
        <v>ProjectedCrs</v>
      </c>
      <c r="H7367" t="str">
        <v>&lt;undefined&gt;</v>
      </c>
      <c r="I7367" t="str">
        <v>WGS_1984_ARC_System_Zone_18</v>
      </c>
      <c r="J7367" t="str">
        <v>ARC System - Zone 18</v>
      </c>
      <c r="K7367" s="11">
        <v>0</v>
      </c>
    </row>
    <row r="7368" spans="5:11" x14ac:dyDescent="0.35">
      <c r="E7368" s="9" t="str">
        <v>ESRI</v>
      </c>
      <c r="F7368" s="7" t="str">
        <v>102440</v>
      </c>
      <c r="G7368" t="str">
        <v>ProjectedCrs</v>
      </c>
      <c r="H7368" t="str">
        <v>Transverse Mercator</v>
      </c>
      <c r="I7368" t="str">
        <v>LKS_1992_Latvia_TM_0</v>
      </c>
      <c r="J7368" t="str">
        <v>Latvia - onshore and offshore.</v>
      </c>
      <c r="K7368" s="11">
        <v>0</v>
      </c>
    </row>
    <row r="7369" spans="5:11" x14ac:dyDescent="0.35">
      <c r="E7369" s="9" t="str">
        <v>ESRI</v>
      </c>
      <c r="F7369" s="7" t="str">
        <v>102445</v>
      </c>
      <c r="G7369" t="str">
        <v>ProjectedCrs</v>
      </c>
      <c r="H7369" t="str">
        <v>Hotine Oblique Mercator (variant A)</v>
      </c>
      <c r="I7369" t="str">
        <v>NAD_1983_2011_StatePlane_Alaska_1_FIPS_5001_Feet</v>
      </c>
      <c r="J7369" t="str">
        <v>United States (USA) - Alaska - east of 141°W; i.e. Panhandle.</v>
      </c>
      <c r="K7369" s="11">
        <v>0</v>
      </c>
    </row>
    <row r="7370" spans="5:11" x14ac:dyDescent="0.35">
      <c r="E7370" s="9" t="str">
        <v>ESRI</v>
      </c>
      <c r="F7370" s="7" t="str">
        <v>102446</v>
      </c>
      <c r="G7370" t="str">
        <v>ProjectedCrs</v>
      </c>
      <c r="H7370" t="str">
        <v>Transverse Mercator</v>
      </c>
      <c r="I7370" t="str">
        <v>NAD_1983_2011_StatePlane_Alaska_2_FIPS_5002_Feet</v>
      </c>
      <c r="J7370" t="str">
        <v>United States (USA) - Alaska - between 144°W and 141°W, onshore.</v>
      </c>
      <c r="K7370" s="11">
        <v>0</v>
      </c>
    </row>
    <row r="7371" spans="5:11" x14ac:dyDescent="0.35">
      <c r="E7371" s="9" t="str">
        <v>ESRI</v>
      </c>
      <c r="F7371" s="7" t="str">
        <v>102447</v>
      </c>
      <c r="G7371" t="str">
        <v>ProjectedCrs</v>
      </c>
      <c r="H7371" t="str">
        <v>Transverse Mercator</v>
      </c>
      <c r="I7371" t="str">
        <v>NAD_1983_2011_StatePlane_Alaska_3_FIPS_5003_Feet</v>
      </c>
      <c r="J7371" t="str">
        <v>United States (USA) - Alaska - between 148°W and 144°W.</v>
      </c>
      <c r="K7371" s="11">
        <v>0</v>
      </c>
    </row>
    <row r="7372" spans="5:11" x14ac:dyDescent="0.35">
      <c r="E7372" s="9" t="str">
        <v>ESRI</v>
      </c>
      <c r="F7372" s="7" t="str">
        <v>102448</v>
      </c>
      <c r="G7372" t="str">
        <v>ProjectedCrs</v>
      </c>
      <c r="H7372" t="str">
        <v>Transverse Mercator</v>
      </c>
      <c r="I7372" t="str">
        <v>Macao_2008_Macao_Grid</v>
      </c>
      <c r="J7372" t="str">
        <v>Macao</v>
      </c>
      <c r="K7372" s="11">
        <v>0</v>
      </c>
    </row>
    <row r="7373" spans="5:11" x14ac:dyDescent="0.35">
      <c r="E7373" s="9" t="str">
        <v>ESRI</v>
      </c>
      <c r="F7373" s="7" t="str">
        <v>102450</v>
      </c>
      <c r="G7373" t="str">
        <v>ProjectedCrs</v>
      </c>
      <c r="H7373" t="str">
        <v>Transverse Mercator</v>
      </c>
      <c r="I7373" t="str">
        <v>NGO_1948_Oslo_Baerum_Kommune</v>
      </c>
      <c r="J7373" t="str">
        <v>Norway - Baerum Kommune</v>
      </c>
      <c r="K7373" s="11">
        <v>0</v>
      </c>
    </row>
    <row r="7374" spans="5:11" x14ac:dyDescent="0.35">
      <c r="E7374" s="9" t="str">
        <v>ESRI</v>
      </c>
      <c r="F7374" s="7" t="str">
        <v>102451</v>
      </c>
      <c r="G7374" t="str">
        <v>ProjectedCrs</v>
      </c>
      <c r="H7374" t="str">
        <v>Transverse Mercator</v>
      </c>
      <c r="I7374" t="str">
        <v>NGO_1948_Oslo_Bergenhalvoen</v>
      </c>
      <c r="J7374" t="str">
        <v>Norway - Bergenhalvoen Kommune</v>
      </c>
      <c r="K7374" s="11">
        <v>0</v>
      </c>
    </row>
    <row r="7375" spans="5:11" x14ac:dyDescent="0.35">
      <c r="E7375" s="9" t="str">
        <v>ESRI</v>
      </c>
      <c r="F7375" s="7" t="str">
        <v>102452</v>
      </c>
      <c r="G7375" t="str">
        <v>ProjectedCrs</v>
      </c>
      <c r="H7375" t="str">
        <v>Transverse Mercator</v>
      </c>
      <c r="I7375" t="str">
        <v>NGO_1948_Oslo_Oslo_Kommune</v>
      </c>
      <c r="J7375" t="str">
        <v>Norway - Oslo Kommune</v>
      </c>
      <c r="K7375" s="11">
        <v>0</v>
      </c>
    </row>
    <row r="7376" spans="5:11" x14ac:dyDescent="0.35">
      <c r="E7376" s="9" t="str">
        <v>ESRI</v>
      </c>
      <c r="F7376" s="7" t="str">
        <v>102453</v>
      </c>
      <c r="G7376" t="str">
        <v>ProjectedCrs</v>
      </c>
      <c r="H7376" t="str">
        <v>Transverse Mercator</v>
      </c>
      <c r="I7376" t="str">
        <v>Luzon_1911_UTM_Zone_50N</v>
      </c>
      <c r="J7376" t="str">
        <v>Philippines - West of 120~E, N hemisphere</v>
      </c>
      <c r="K7376" s="11">
        <v>0</v>
      </c>
    </row>
    <row r="7377" spans="5:11" x14ac:dyDescent="0.35">
      <c r="E7377" s="9" t="str">
        <v>ESRI</v>
      </c>
      <c r="F7377" s="7" t="str">
        <v>102454</v>
      </c>
      <c r="G7377" t="str">
        <v>ProjectedCrs</v>
      </c>
      <c r="H7377" t="str">
        <v>Transverse Mercator</v>
      </c>
      <c r="I7377" t="str">
        <v>Luzon_1911_UTM_Zone_51N</v>
      </c>
      <c r="J7377" t="str">
        <v>Philippines - 120~E to 126~E, N hemisphere</v>
      </c>
      <c r="K7377" s="11">
        <v>0</v>
      </c>
    </row>
    <row r="7378" spans="5:11" x14ac:dyDescent="0.35">
      <c r="E7378" s="9" t="str">
        <v>ESRI</v>
      </c>
      <c r="F7378" s="7" t="str">
        <v>102455</v>
      </c>
      <c r="G7378" t="str">
        <v>ProjectedCrs</v>
      </c>
      <c r="H7378" t="str">
        <v>Transverse Mercator</v>
      </c>
      <c r="I7378" t="str">
        <v>Luzon_1911_UTM_Zone_52N</v>
      </c>
      <c r="J7378" t="str">
        <v>Philippines - East of 126~E, N hemisphere</v>
      </c>
      <c r="K7378" s="11">
        <v>0</v>
      </c>
    </row>
    <row r="7379" spans="5:11" x14ac:dyDescent="0.35">
      <c r="E7379" s="9" t="str">
        <v>ESRI</v>
      </c>
      <c r="F7379" s="7" t="str">
        <v>102456</v>
      </c>
      <c r="G7379" t="str">
        <v>ProjectedCrs</v>
      </c>
      <c r="H7379" t="str">
        <v>Transverse Mercator</v>
      </c>
      <c r="I7379" t="str">
        <v>PRS_1992_UTM_Zone_50N</v>
      </c>
      <c r="J7379" t="str">
        <v>Philippines - West of 120~E, N hemisphere</v>
      </c>
      <c r="K7379" s="11">
        <v>0</v>
      </c>
    </row>
    <row r="7380" spans="5:11" x14ac:dyDescent="0.35">
      <c r="E7380" s="9" t="str">
        <v>ESRI</v>
      </c>
      <c r="F7380" s="7" t="str">
        <v>102457</v>
      </c>
      <c r="G7380" t="str">
        <v>ProjectedCrs</v>
      </c>
      <c r="H7380" t="str">
        <v>Transverse Mercator</v>
      </c>
      <c r="I7380" t="str">
        <v>PRS_1992_UTM_Zone_51N</v>
      </c>
      <c r="J7380" t="str">
        <v>Philippines - 120~E to 126~E, N hemisphere</v>
      </c>
      <c r="K7380" s="11">
        <v>0</v>
      </c>
    </row>
    <row r="7381" spans="5:11" x14ac:dyDescent="0.35">
      <c r="E7381" s="9" t="str">
        <v>ESRI</v>
      </c>
      <c r="F7381" s="7" t="str">
        <v>102458</v>
      </c>
      <c r="G7381" t="str">
        <v>ProjectedCrs</v>
      </c>
      <c r="H7381" t="str">
        <v>Transverse Mercator</v>
      </c>
      <c r="I7381" t="str">
        <v>PRS_1992_UTM_Zone_52N</v>
      </c>
      <c r="J7381" t="str">
        <v>Philippines - East of 126~E, N hemisphere</v>
      </c>
      <c r="K7381" s="11">
        <v>0</v>
      </c>
    </row>
    <row r="7382" spans="5:11" x14ac:dyDescent="0.35">
      <c r="E7382" s="9" t="str">
        <v>ESRI</v>
      </c>
      <c r="F7382" s="7" t="str">
        <v>102459</v>
      </c>
      <c r="G7382" t="str">
        <v>ProjectedCrs</v>
      </c>
      <c r="H7382" t="str">
        <v>Transverse Mercator</v>
      </c>
      <c r="I7382" t="str">
        <v>NAD_1983_Idaho-Ada_County</v>
      </c>
      <c r="J7382" t="str">
        <v>Idaho - Ada County</v>
      </c>
      <c r="K7382" s="11">
        <v>0</v>
      </c>
    </row>
    <row r="7383" spans="5:11" x14ac:dyDescent="0.35">
      <c r="E7383" s="9" t="str">
        <v>ESRI</v>
      </c>
      <c r="F7383" s="7" t="str">
        <v>102460</v>
      </c>
      <c r="G7383" t="str">
        <v>ProjectedCrs</v>
      </c>
      <c r="H7383" t="str">
        <v>Local Orthographic</v>
      </c>
      <c r="I7383" t="str">
        <v>HJAIA_AirportGrid_2Mar10</v>
      </c>
      <c r="J7383" t="str">
        <v>HJAIA - Hartsfield-Jackson Atlanta Intl Airport</v>
      </c>
      <c r="K7383" s="11">
        <v>0</v>
      </c>
    </row>
    <row r="7384" spans="5:11" x14ac:dyDescent="0.35">
      <c r="E7384" s="9" t="str">
        <v>ESRI</v>
      </c>
      <c r="F7384" s="7" t="str">
        <v>102461</v>
      </c>
      <c r="G7384" t="str">
        <v>ProjectedCrs</v>
      </c>
      <c r="H7384" t="str">
        <v>Transverse Mercator</v>
      </c>
      <c r="I7384" t="str">
        <v>NAD_1983_HARN_StatePlane_Hawaii_1_FIPS_5101_Feet</v>
      </c>
      <c r="J7384" t="str">
        <v>United States (USA) - Hawaii - island of Hawaii - onshore.</v>
      </c>
      <c r="K7384" s="11">
        <v>0</v>
      </c>
    </row>
    <row r="7385" spans="5:11" x14ac:dyDescent="0.35">
      <c r="E7385" s="9" t="str">
        <v>ESRI</v>
      </c>
      <c r="F7385" s="7" t="str">
        <v>102462</v>
      </c>
      <c r="G7385" t="str">
        <v>ProjectedCrs</v>
      </c>
      <c r="H7385" t="str">
        <v>Transverse Mercator</v>
      </c>
      <c r="I7385" t="str">
        <v>NAD_1983_HARN_StatePlane_Hawaii_2_FIPS_5102_Feet</v>
      </c>
      <c r="J7385" t="str">
        <v>United States (USA) - Hawaii - Maui; Kahoolawe; Lanai; Molokai - onshore.</v>
      </c>
      <c r="K7385" s="11">
        <v>0</v>
      </c>
    </row>
    <row r="7386" spans="5:11" x14ac:dyDescent="0.35">
      <c r="E7386" s="9" t="str">
        <v>ESRI</v>
      </c>
      <c r="F7386" s="7" t="str">
        <v>102464</v>
      </c>
      <c r="G7386" t="str">
        <v>ProjectedCrs</v>
      </c>
      <c r="H7386" t="str">
        <v>Transverse Mercator</v>
      </c>
      <c r="I7386" t="str">
        <v>NAD_1983_HARN_StatePlane_Hawaii_4_FIPS_5104_Feet</v>
      </c>
      <c r="J7386" t="str">
        <v>United States (USA) - Hawaii - Kauai - onshore.</v>
      </c>
      <c r="K7386" s="11">
        <v>0</v>
      </c>
    </row>
    <row r="7387" spans="5:11" x14ac:dyDescent="0.35">
      <c r="E7387" s="9" t="str">
        <v>ESRI</v>
      </c>
      <c r="F7387" s="7" t="str">
        <v>102465</v>
      </c>
      <c r="G7387" t="str">
        <v>ProjectedCrs</v>
      </c>
      <c r="H7387" t="str">
        <v>Transverse Mercator</v>
      </c>
      <c r="I7387" t="str">
        <v>NAD_1983_HARN_StatePlane_Hawaii_5_FIPS_5105_Feet</v>
      </c>
      <c r="J7387" t="str">
        <v>United States (USA) - Hawaii - Niihau - onshore.</v>
      </c>
      <c r="K7387" s="11">
        <v>0</v>
      </c>
    </row>
    <row r="7388" spans="5:11" x14ac:dyDescent="0.35">
      <c r="E7388" s="9" t="str">
        <v>ESRI</v>
      </c>
      <c r="F7388" s="7" t="str">
        <v>102470</v>
      </c>
      <c r="G7388" t="str">
        <v>ProjectedCrs</v>
      </c>
      <c r="H7388" t="str">
        <v>Transverse Mercator</v>
      </c>
      <c r="I7388" t="str">
        <v>Cape_Lo15</v>
      </c>
      <c r="J7388" t="str">
        <v>Namibia - Walvis Bay.</v>
      </c>
      <c r="K7388" s="11">
        <v>0</v>
      </c>
    </row>
    <row r="7389" spans="5:11" x14ac:dyDescent="0.35">
      <c r="E7389" s="9" t="str">
        <v>ESRI</v>
      </c>
      <c r="F7389" s="7" t="str">
        <v>102471</v>
      </c>
      <c r="G7389" t="str">
        <v>ProjectedCrs</v>
      </c>
      <c r="H7389" t="str">
        <v>Transverse Mercator</v>
      </c>
      <c r="I7389" t="str">
        <v>Cape_Lo17</v>
      </c>
      <c r="J7389" t="str">
        <v>South Africa - onshore west of 18°E.</v>
      </c>
      <c r="K7389" s="11">
        <v>0</v>
      </c>
    </row>
    <row r="7390" spans="5:11" x14ac:dyDescent="0.35">
      <c r="E7390" s="9" t="str">
        <v>ESRI</v>
      </c>
      <c r="F7390" s="7" t="str">
        <v>102472</v>
      </c>
      <c r="G7390" t="str">
        <v>ProjectedCrs</v>
      </c>
      <c r="H7390" t="str">
        <v>Transverse Mercator</v>
      </c>
      <c r="I7390" t="str">
        <v>Cape_Lo19</v>
      </c>
      <c r="J7390" t="str">
        <v>South Africa - onshore between 18°E and 20°E.</v>
      </c>
      <c r="K7390" s="11">
        <v>0</v>
      </c>
    </row>
    <row r="7391" spans="5:11" x14ac:dyDescent="0.35">
      <c r="E7391" s="9" t="str">
        <v>ESRI</v>
      </c>
      <c r="F7391" s="7" t="str">
        <v>102473</v>
      </c>
      <c r="G7391" t="str">
        <v>ProjectedCrs</v>
      </c>
      <c r="H7391" t="str">
        <v>Transverse Mercator</v>
      </c>
      <c r="I7391" t="str">
        <v>Cape_Lo21</v>
      </c>
      <c r="J7391" t="str">
        <v>South Africa - onshore between 20°E and 22°E.</v>
      </c>
      <c r="K7391" s="11">
        <v>0</v>
      </c>
    </row>
    <row r="7392" spans="5:11" x14ac:dyDescent="0.35">
      <c r="E7392" s="9" t="str">
        <v>ESRI</v>
      </c>
      <c r="F7392" s="7" t="str">
        <v>102474</v>
      </c>
      <c r="G7392" t="str">
        <v>ProjectedCrs</v>
      </c>
      <c r="H7392" t="str">
        <v>Transverse Mercator</v>
      </c>
      <c r="I7392" t="str">
        <v>Cape_Lo23</v>
      </c>
      <c r="J7392" t="str">
        <v>South Africa - onshore between 22°E and 24°E.</v>
      </c>
      <c r="K7392" s="11">
        <v>0</v>
      </c>
    </row>
    <row r="7393" spans="5:11" x14ac:dyDescent="0.35">
      <c r="E7393" s="9" t="str">
        <v>ESRI</v>
      </c>
      <c r="F7393" s="7" t="str">
        <v>102475</v>
      </c>
      <c r="G7393" t="str">
        <v>ProjectedCrs</v>
      </c>
      <c r="H7393" t="str">
        <v>Transverse Mercator</v>
      </c>
      <c r="I7393" t="str">
        <v>Cape_Lo25</v>
      </c>
      <c r="J7393" t="str">
        <v>South Africa - onshore between 24°E and 26°E.</v>
      </c>
      <c r="K7393" s="11">
        <v>0</v>
      </c>
    </row>
    <row r="7394" spans="5:11" x14ac:dyDescent="0.35">
      <c r="E7394" s="9" t="str">
        <v>ESRI</v>
      </c>
      <c r="F7394" s="7" t="str">
        <v>102476</v>
      </c>
      <c r="G7394" t="str">
        <v>ProjectedCrs</v>
      </c>
      <c r="H7394" t="str">
        <v>Transverse Mercator</v>
      </c>
      <c r="I7394" t="str">
        <v>Cape_Lo27</v>
      </c>
      <c r="J7394" t="str">
        <v>Lesotho - west of 28°E. South Africa - onshore between 26°E and 28°E.</v>
      </c>
      <c r="K7394" s="11">
        <v>0</v>
      </c>
    </row>
    <row r="7395" spans="5:11" x14ac:dyDescent="0.35">
      <c r="E7395" s="9" t="str">
        <v>ESRI</v>
      </c>
      <c r="F7395" s="7" t="str">
        <v>102477</v>
      </c>
      <c r="G7395" t="str">
        <v>ProjectedCrs</v>
      </c>
      <c r="H7395" t="str">
        <v>Transverse Mercator</v>
      </c>
      <c r="I7395" t="str">
        <v>Cape_Lo29</v>
      </c>
      <c r="J7395" t="str">
        <v>Lesotho - east of 28°E. South Africa - onshore between 28°E and 30°E.</v>
      </c>
      <c r="K7395" s="11">
        <v>0</v>
      </c>
    </row>
    <row r="7396" spans="5:11" x14ac:dyDescent="0.35">
      <c r="E7396" s="9" t="str">
        <v>ESRI</v>
      </c>
      <c r="F7396" s="7" t="str">
        <v>102478</v>
      </c>
      <c r="G7396" t="str">
        <v>ProjectedCrs</v>
      </c>
      <c r="H7396" t="str">
        <v>Transverse Mercator</v>
      </c>
      <c r="I7396" t="str">
        <v>Cape_Lo31</v>
      </c>
      <c r="J7396" t="str">
        <v>South Africa - onshore between 30°E and 32°E. Eswatini (Swaziland).</v>
      </c>
      <c r="K7396" s="11">
        <v>0</v>
      </c>
    </row>
    <row r="7397" spans="5:11" x14ac:dyDescent="0.35">
      <c r="E7397" s="9" t="str">
        <v>ESRI</v>
      </c>
      <c r="F7397" s="7" t="str">
        <v>102479</v>
      </c>
      <c r="G7397" t="str">
        <v>ProjectedCrs</v>
      </c>
      <c r="H7397" t="str">
        <v>Transverse Mercator</v>
      </c>
      <c r="I7397" t="str">
        <v>Cape_Lo33</v>
      </c>
      <c r="J7397" t="str">
        <v>South Africa - east of 32°E.</v>
      </c>
      <c r="K7397" s="11">
        <v>0</v>
      </c>
    </row>
    <row r="7398" spans="5:11" x14ac:dyDescent="0.35">
      <c r="E7398" s="9" t="str">
        <v>ESRI</v>
      </c>
      <c r="F7398" s="7" t="str">
        <v>102480</v>
      </c>
      <c r="G7398" t="str">
        <v>ProjectedCrs</v>
      </c>
      <c r="H7398" t="str">
        <v>Transverse Mercator</v>
      </c>
      <c r="I7398" t="str">
        <v>Hartebeesthoek94_Lo15</v>
      </c>
      <c r="J7398" t="str">
        <v>Namibia - Walvis Bay.</v>
      </c>
      <c r="K7398" s="11">
        <v>0</v>
      </c>
    </row>
    <row r="7399" spans="5:11" x14ac:dyDescent="0.35">
      <c r="E7399" s="9" t="str">
        <v>ESRI</v>
      </c>
      <c r="F7399" s="7" t="str">
        <v>102481</v>
      </c>
      <c r="G7399" t="str">
        <v>ProjectedCrs</v>
      </c>
      <c r="H7399" t="str">
        <v>Transverse Mercator</v>
      </c>
      <c r="I7399" t="str">
        <v>Hartebeesthoek94_Lo17</v>
      </c>
      <c r="J7399" t="str">
        <v>South Africa - onshore west of 18°E.</v>
      </c>
      <c r="K7399" s="11">
        <v>0</v>
      </c>
    </row>
    <row r="7400" spans="5:11" x14ac:dyDescent="0.35">
      <c r="E7400" s="9" t="str">
        <v>ESRI</v>
      </c>
      <c r="F7400" s="7" t="str">
        <v>102482</v>
      </c>
      <c r="G7400" t="str">
        <v>ProjectedCrs</v>
      </c>
      <c r="H7400" t="str">
        <v>Transverse Mercator</v>
      </c>
      <c r="I7400" t="str">
        <v>Hartebeesthoek94_Lo19</v>
      </c>
      <c r="J7400" t="str">
        <v>South Africa - onshore between 18°E and 20°E.</v>
      </c>
      <c r="K7400" s="11">
        <v>0</v>
      </c>
    </row>
    <row r="7401" spans="5:11" x14ac:dyDescent="0.35">
      <c r="E7401" s="9" t="str">
        <v>ESRI</v>
      </c>
      <c r="F7401" s="7" t="str">
        <v>102483</v>
      </c>
      <c r="G7401" t="str">
        <v>ProjectedCrs</v>
      </c>
      <c r="H7401" t="str">
        <v>Transverse Mercator</v>
      </c>
      <c r="I7401" t="str">
        <v>Hartebeesthoek94_Lo21</v>
      </c>
      <c r="J7401" t="str">
        <v>South Africa - onshore between 20°E and 22°E.</v>
      </c>
      <c r="K7401" s="11">
        <v>0</v>
      </c>
    </row>
    <row r="7402" spans="5:11" x14ac:dyDescent="0.35">
      <c r="E7402" s="9" t="str">
        <v>ESRI</v>
      </c>
      <c r="F7402" s="7" t="str">
        <v>102484</v>
      </c>
      <c r="G7402" t="str">
        <v>ProjectedCrs</v>
      </c>
      <c r="H7402" t="str">
        <v>Transverse Mercator</v>
      </c>
      <c r="I7402" t="str">
        <v>Hartebeesthoek94_Lo23</v>
      </c>
      <c r="J7402" t="str">
        <v>South Africa - onshore between 22°E and 24°E.</v>
      </c>
      <c r="K7402" s="11">
        <v>0</v>
      </c>
    </row>
    <row r="7403" spans="5:11" x14ac:dyDescent="0.35">
      <c r="E7403" s="9" t="str">
        <v>ESRI</v>
      </c>
      <c r="F7403" s="7" t="str">
        <v>102485</v>
      </c>
      <c r="G7403" t="str">
        <v>ProjectedCrs</v>
      </c>
      <c r="H7403" t="str">
        <v>Transverse Mercator</v>
      </c>
      <c r="I7403" t="str">
        <v>Hartebeesthoek94_Lo25</v>
      </c>
      <c r="J7403" t="str">
        <v>South Africa - onshore between 24°E and 26°E.</v>
      </c>
      <c r="K7403" s="11">
        <v>0</v>
      </c>
    </row>
    <row r="7404" spans="5:11" x14ac:dyDescent="0.35">
      <c r="E7404" s="9" t="str">
        <v>ESRI</v>
      </c>
      <c r="F7404" s="7" t="str">
        <v>102486</v>
      </c>
      <c r="G7404" t="str">
        <v>ProjectedCrs</v>
      </c>
      <c r="H7404" t="str">
        <v>Transverse Mercator</v>
      </c>
      <c r="I7404" t="str">
        <v>Hartebeesthoek94_Lo27</v>
      </c>
      <c r="J7404" t="str">
        <v>Lesotho - west of 28°E. South Africa - onshore between 26°E and 28°E.</v>
      </c>
      <c r="K7404" s="11">
        <v>0</v>
      </c>
    </row>
    <row r="7405" spans="5:11" x14ac:dyDescent="0.35">
      <c r="E7405" s="9" t="str">
        <v>ESRI</v>
      </c>
      <c r="F7405" s="7" t="str">
        <v>102487</v>
      </c>
      <c r="G7405" t="str">
        <v>ProjectedCrs</v>
      </c>
      <c r="H7405" t="str">
        <v>Transverse Mercator</v>
      </c>
      <c r="I7405" t="str">
        <v>Hartebeesthoek94_Lo29</v>
      </c>
      <c r="J7405" t="str">
        <v>Lesotho - east of 28°E. South Africa - onshore between 28°E and 30°E.</v>
      </c>
      <c r="K7405" s="11">
        <v>0</v>
      </c>
    </row>
    <row r="7406" spans="5:11" x14ac:dyDescent="0.35">
      <c r="E7406" s="9" t="str">
        <v>ESRI</v>
      </c>
      <c r="F7406" s="7" t="str">
        <v>102488</v>
      </c>
      <c r="G7406" t="str">
        <v>ProjectedCrs</v>
      </c>
      <c r="H7406" t="str">
        <v>Transverse Mercator</v>
      </c>
      <c r="I7406" t="str">
        <v>Hartebeesthoek94_Lo31</v>
      </c>
      <c r="J7406" t="str">
        <v>South Africa - onshore between 30°E and 32°E. Eswatini (Swaziland).</v>
      </c>
      <c r="K7406" s="11">
        <v>0</v>
      </c>
    </row>
    <row r="7407" spans="5:11" x14ac:dyDescent="0.35">
      <c r="E7407" s="9" t="str">
        <v>ESRI</v>
      </c>
      <c r="F7407" s="7" t="str">
        <v>102489</v>
      </c>
      <c r="G7407" t="str">
        <v>ProjectedCrs</v>
      </c>
      <c r="H7407" t="str">
        <v>Transverse Mercator</v>
      </c>
      <c r="I7407" t="str">
        <v>Hartebeesthoek94_Lo33</v>
      </c>
      <c r="J7407" t="str">
        <v>South Africa - east of 32°E.</v>
      </c>
      <c r="K7407" s="11">
        <v>0</v>
      </c>
    </row>
    <row r="7408" spans="5:11" x14ac:dyDescent="0.35">
      <c r="E7408" s="9" t="str">
        <v>ESRI</v>
      </c>
      <c r="F7408" s="7" t="str">
        <v>102491</v>
      </c>
      <c r="G7408" t="str">
        <v>ProjectedCrs</v>
      </c>
      <c r="H7408" t="str">
        <v>Lambert Conic Conformal (1SP)</v>
      </c>
      <c r="I7408" t="str">
        <v>Nord_Algerie_Ancienne_Degree</v>
      </c>
      <c r="J7408" t="str">
        <v>Algeria - onshore north of 38.5 grads North (34°39'N).</v>
      </c>
      <c r="K7408" s="11">
        <v>0</v>
      </c>
    </row>
    <row r="7409" spans="5:11" x14ac:dyDescent="0.35">
      <c r="E7409" s="9" t="str">
        <v>ESRI</v>
      </c>
      <c r="F7409" s="7" t="str">
        <v>102492</v>
      </c>
      <c r="G7409" t="str">
        <v>ProjectedCrs</v>
      </c>
      <c r="H7409" t="str">
        <v>Lambert Conic Conformal (1SP)</v>
      </c>
      <c r="I7409" t="str">
        <v>Sud_Algerie_Ancienne_Degree</v>
      </c>
      <c r="J7409" t="str">
        <v>Algeria - 35.6 grads to 38.5 grads North (32°N to 34°39'N).</v>
      </c>
      <c r="K7409" s="11">
        <v>0</v>
      </c>
    </row>
    <row r="7410" spans="5:11" x14ac:dyDescent="0.35">
      <c r="E7410" s="9" t="str">
        <v>ESRI</v>
      </c>
      <c r="F7410" s="7" t="str">
        <v>102498</v>
      </c>
      <c r="G7410" t="str">
        <v>ProjectedCrs</v>
      </c>
      <c r="H7410" t="str">
        <v>&lt;undefined&gt;</v>
      </c>
      <c r="I7410" t="str">
        <v>GOES-16_East_ABI_Fixed_Grid_ITRF2008</v>
      </c>
      <c r="J7410" t="str">
        <v>GOES-16 East Full disk</v>
      </c>
      <c r="K7410" s="11">
        <v>0</v>
      </c>
    </row>
    <row r="7411" spans="5:11" x14ac:dyDescent="0.35">
      <c r="E7411" s="9" t="str">
        <v>ESRI</v>
      </c>
      <c r="F7411" s="7" t="str">
        <v>102499</v>
      </c>
      <c r="G7411" t="str">
        <v>ProjectedCrs</v>
      </c>
      <c r="H7411" t="str">
        <v>Lambert Conic Conformal (2SP)</v>
      </c>
      <c r="I7411" t="str">
        <v>Belge_Lambert_1972_bad_FE_FN</v>
      </c>
      <c r="J7411" t="str">
        <v>Belgium - onshore.</v>
      </c>
      <c r="K7411" s="11">
        <v>0</v>
      </c>
    </row>
    <row r="7412" spans="5:11" x14ac:dyDescent="0.35">
      <c r="E7412" s="9" t="str">
        <v>ESRI</v>
      </c>
      <c r="F7412" s="7" t="str">
        <v>102525</v>
      </c>
      <c r="G7412" t="str">
        <v>ProjectedCrs</v>
      </c>
      <c r="H7412" t="str">
        <v>Transverse Mercator</v>
      </c>
      <c r="I7412" t="str">
        <v>NAD_1983_PA11_StatePlane_Hawaii_1_FIPS_5101_Feet</v>
      </c>
      <c r="J7412" t="str">
        <v>United States (USA) - Hawaii - island of Hawaii - onshore.</v>
      </c>
      <c r="K7412" s="11">
        <v>0</v>
      </c>
    </row>
    <row r="7413" spans="5:11" x14ac:dyDescent="0.35">
      <c r="E7413" s="9" t="str">
        <v>ESRI</v>
      </c>
      <c r="F7413" s="7" t="str">
        <v>102526</v>
      </c>
      <c r="G7413" t="str">
        <v>ProjectedCrs</v>
      </c>
      <c r="H7413" t="str">
        <v>Transverse Mercator</v>
      </c>
      <c r="I7413" t="str">
        <v>NAD_1983_PA11_StatePlane_Hawaii_2_FIPS_5102_Feet</v>
      </c>
      <c r="J7413" t="str">
        <v>United States (USA) - Hawaii - Maui; Kahoolawe; Lanai; Molokai - onshore.</v>
      </c>
      <c r="K7413" s="11">
        <v>0</v>
      </c>
    </row>
    <row r="7414" spans="5:11" x14ac:dyDescent="0.35">
      <c r="E7414" s="9" t="str">
        <v>ESRI</v>
      </c>
      <c r="F7414" s="7" t="str">
        <v>102528</v>
      </c>
      <c r="G7414" t="str">
        <v>ProjectedCrs</v>
      </c>
      <c r="H7414" t="str">
        <v>Transverse Mercator</v>
      </c>
      <c r="I7414" t="str">
        <v>NAD_1983_PA11_StatePlane_Hawaii_4_FIPS_5104_Feet</v>
      </c>
      <c r="J7414" t="str">
        <v>United States (USA) - Hawaii - Kauai - onshore.</v>
      </c>
      <c r="K7414" s="11">
        <v>0</v>
      </c>
    </row>
    <row r="7415" spans="5:11" x14ac:dyDescent="0.35">
      <c r="E7415" s="9" t="str">
        <v>ESRI</v>
      </c>
      <c r="F7415" s="7" t="str">
        <v>102529</v>
      </c>
      <c r="G7415" t="str">
        <v>ProjectedCrs</v>
      </c>
      <c r="H7415" t="str">
        <v>Transverse Mercator</v>
      </c>
      <c r="I7415" t="str">
        <v>NAD_1983_PA11_StatePlane_Hawaii_5_FIPS_5105_Feet</v>
      </c>
      <c r="J7415" t="str">
        <v>United States (USA) - Hawaii - Niihau - onshore.</v>
      </c>
      <c r="K7415" s="11">
        <v>0</v>
      </c>
    </row>
    <row r="7416" spans="5:11" x14ac:dyDescent="0.35">
      <c r="E7416" s="9" t="str">
        <v>ESRI</v>
      </c>
      <c r="F7416" s="7" t="str">
        <v>102550</v>
      </c>
      <c r="G7416" t="str">
        <v>ProjectedCrs</v>
      </c>
      <c r="H7416" t="str">
        <v>Transverse Mercator</v>
      </c>
      <c r="I7416" t="str">
        <v>ED_1950_Turkey_9</v>
      </c>
      <c r="J7416" t="str">
        <v>Türkiye (Turkey) - west of 28°30'E, onshore.</v>
      </c>
      <c r="K7416" s="11">
        <v>0</v>
      </c>
    </row>
    <row r="7417" spans="5:11" x14ac:dyDescent="0.35">
      <c r="E7417" s="9" t="str">
        <v>ESRI</v>
      </c>
      <c r="F7417" s="7" t="str">
        <v>102551</v>
      </c>
      <c r="G7417" t="str">
        <v>ProjectedCrs</v>
      </c>
      <c r="H7417" t="str">
        <v>Transverse Mercator</v>
      </c>
      <c r="I7417" t="str">
        <v>ED_1950_Turkey_10</v>
      </c>
      <c r="J7417" t="str">
        <v>Türkiye (Turkey) - between 28°30'E and 31°30'E, onshore.</v>
      </c>
      <c r="K7417" s="11">
        <v>0</v>
      </c>
    </row>
    <row r="7418" spans="5:11" x14ac:dyDescent="0.35">
      <c r="E7418" s="9" t="str">
        <v>ESRI</v>
      </c>
      <c r="F7418" s="7" t="str">
        <v>102552</v>
      </c>
      <c r="G7418" t="str">
        <v>ProjectedCrs</v>
      </c>
      <c r="H7418" t="str">
        <v>Transverse Mercator</v>
      </c>
      <c r="I7418" t="str">
        <v>ED_1950_Turkey_11</v>
      </c>
      <c r="J7418" t="str">
        <v>Türkiye (Turkey) - between 31°30'E and 34°30'E, onshore.</v>
      </c>
      <c r="K7418" s="11">
        <v>0</v>
      </c>
    </row>
    <row r="7419" spans="5:11" x14ac:dyDescent="0.35">
      <c r="E7419" s="9" t="str">
        <v>ESRI</v>
      </c>
      <c r="F7419" s="7" t="str">
        <v>102553</v>
      </c>
      <c r="G7419" t="str">
        <v>ProjectedCrs</v>
      </c>
      <c r="H7419" t="str">
        <v>Transverse Mercator</v>
      </c>
      <c r="I7419" t="str">
        <v>ED_1950_Turkey_12</v>
      </c>
      <c r="J7419" t="str">
        <v>Türkiye (Turkey) - between 34°30'E and 37°30'E, onshore.</v>
      </c>
      <c r="K7419" s="11">
        <v>0</v>
      </c>
    </row>
    <row r="7420" spans="5:11" x14ac:dyDescent="0.35">
      <c r="E7420" s="9" t="str">
        <v>ESRI</v>
      </c>
      <c r="F7420" s="7" t="str">
        <v>102554</v>
      </c>
      <c r="G7420" t="str">
        <v>ProjectedCrs</v>
      </c>
      <c r="H7420" t="str">
        <v>Transverse Mercator</v>
      </c>
      <c r="I7420" t="str">
        <v>ED_1950_Turkey_13</v>
      </c>
      <c r="J7420" t="str">
        <v>Türkiye (Turkey) - between 37°30'E and 40°30'E, onshore.</v>
      </c>
      <c r="K7420" s="11">
        <v>0</v>
      </c>
    </row>
    <row r="7421" spans="5:11" x14ac:dyDescent="0.35">
      <c r="E7421" s="9" t="str">
        <v>ESRI</v>
      </c>
      <c r="F7421" s="7" t="str">
        <v>102555</v>
      </c>
      <c r="G7421" t="str">
        <v>ProjectedCrs</v>
      </c>
      <c r="H7421" t="str">
        <v>Transverse Mercator</v>
      </c>
      <c r="I7421" t="str">
        <v>ED_1950_Turkey_14</v>
      </c>
      <c r="J7421" t="str">
        <v>Türkiye (Turkey) - between 40°30'E and 43°30'E, onshore.</v>
      </c>
      <c r="K7421" s="11">
        <v>0</v>
      </c>
    </row>
    <row r="7422" spans="5:11" x14ac:dyDescent="0.35">
      <c r="E7422" s="9" t="str">
        <v>ESRI</v>
      </c>
      <c r="F7422" s="7" t="str">
        <v>102556</v>
      </c>
      <c r="G7422" t="str">
        <v>ProjectedCrs</v>
      </c>
      <c r="H7422" t="str">
        <v>Transverse Mercator</v>
      </c>
      <c r="I7422" t="str">
        <v>ED_1950_Turkey_15</v>
      </c>
      <c r="J7422" t="str">
        <v>Türkiye (Turkey) - east of 43°30'E.</v>
      </c>
      <c r="K7422" s="11">
        <v>0</v>
      </c>
    </row>
    <row r="7423" spans="5:11" x14ac:dyDescent="0.35">
      <c r="E7423" s="9" t="str">
        <v>ESRI</v>
      </c>
      <c r="F7423" s="7" t="str">
        <v>102562</v>
      </c>
      <c r="G7423" t="str">
        <v>ProjectedCrs</v>
      </c>
      <c r="H7423" t="str">
        <v>Transverse Mercator</v>
      </c>
      <c r="I7423" t="str">
        <v>Hartebeesthoek94_Lo19_(E-N)</v>
      </c>
      <c r="J7423" t="str">
        <v>South Africa - onshore between 18°E and 20°E.</v>
      </c>
      <c r="K7423" s="11">
        <v>0</v>
      </c>
    </row>
    <row r="7424" spans="5:11" x14ac:dyDescent="0.35">
      <c r="E7424" s="9" t="str">
        <v>ESRI</v>
      </c>
      <c r="F7424" s="7" t="str">
        <v>102563</v>
      </c>
      <c r="G7424" t="str">
        <v>ProjectedCrs</v>
      </c>
      <c r="H7424" t="str">
        <v>Transverse Mercator</v>
      </c>
      <c r="I7424" t="str">
        <v>Hartebeesthoek94_Lo21_(E-N)</v>
      </c>
      <c r="J7424" t="str">
        <v>South Africa - onshore between 20°E and 22°E.</v>
      </c>
      <c r="K7424" s="11">
        <v>0</v>
      </c>
    </row>
    <row r="7425" spans="5:11" x14ac:dyDescent="0.35">
      <c r="E7425" s="9" t="str">
        <v>ESRI</v>
      </c>
      <c r="F7425" s="7" t="str">
        <v>102564</v>
      </c>
      <c r="G7425" t="str">
        <v>ProjectedCrs</v>
      </c>
      <c r="H7425" t="str">
        <v>Transverse Mercator</v>
      </c>
      <c r="I7425" t="str">
        <v>Hartebeesthoek94_Lo23_(E-N)</v>
      </c>
      <c r="J7425" t="str">
        <v>South Africa - onshore between 22°E and 24°E.</v>
      </c>
      <c r="K7425" s="11">
        <v>0</v>
      </c>
    </row>
    <row r="7426" spans="5:11" x14ac:dyDescent="0.35">
      <c r="E7426" s="9" t="str">
        <v>ESRI</v>
      </c>
      <c r="F7426" s="7" t="str">
        <v>102565</v>
      </c>
      <c r="G7426" t="str">
        <v>ProjectedCrs</v>
      </c>
      <c r="H7426" t="str">
        <v>Transverse Mercator</v>
      </c>
      <c r="I7426" t="str">
        <v>Hartebeesthoek94_Lo25_(E-N)</v>
      </c>
      <c r="J7426" t="str">
        <v>South Africa - onshore between 24°E and 26°E.</v>
      </c>
      <c r="K7426" s="11">
        <v>0</v>
      </c>
    </row>
    <row r="7427" spans="5:11" x14ac:dyDescent="0.35">
      <c r="E7427" s="9" t="str">
        <v>ESRI</v>
      </c>
      <c r="F7427" s="7" t="str">
        <v>102566</v>
      </c>
      <c r="G7427" t="str">
        <v>ProjectedCrs</v>
      </c>
      <c r="H7427" t="str">
        <v>Transverse Mercator</v>
      </c>
      <c r="I7427" t="str">
        <v>Hartebeesthoek94_Lo27_(E-N)</v>
      </c>
      <c r="J7427" t="str">
        <v>Lesotho - west of 28°E. South Africa - onshore between 26°E and 28°E.</v>
      </c>
      <c r="K7427" s="11">
        <v>0</v>
      </c>
    </row>
    <row r="7428" spans="5:11" x14ac:dyDescent="0.35">
      <c r="E7428" s="9" t="str">
        <v>ESRI</v>
      </c>
      <c r="F7428" s="7" t="str">
        <v>102567</v>
      </c>
      <c r="G7428" t="str">
        <v>ProjectedCrs</v>
      </c>
      <c r="H7428" t="str">
        <v>Transverse Mercator</v>
      </c>
      <c r="I7428" t="str">
        <v>Hartebeesthoek94_Lo29_(E-N)</v>
      </c>
      <c r="J7428" t="str">
        <v>Lesotho - east of 28°E. South Africa - onshore between 28°E and 30°E.</v>
      </c>
      <c r="K7428" s="11">
        <v>0</v>
      </c>
    </row>
    <row r="7429" spans="5:11" x14ac:dyDescent="0.35">
      <c r="E7429" s="9" t="str">
        <v>ESRI</v>
      </c>
      <c r="F7429" s="7" t="str">
        <v>102568</v>
      </c>
      <c r="G7429" t="str">
        <v>ProjectedCrs</v>
      </c>
      <c r="H7429" t="str">
        <v>Transverse Mercator</v>
      </c>
      <c r="I7429" t="str">
        <v>Hartebeesthoek94_Lo31_(E-N)</v>
      </c>
      <c r="J7429" t="str">
        <v>South Africa - onshore between 30°E and 32°E. Eswatini (Swaziland).</v>
      </c>
      <c r="K7429" s="11">
        <v>0</v>
      </c>
    </row>
    <row r="7430" spans="5:11" x14ac:dyDescent="0.35">
      <c r="E7430" s="9" t="str">
        <v>ESRI</v>
      </c>
      <c r="F7430" s="7" t="str">
        <v>102569</v>
      </c>
      <c r="G7430" t="str">
        <v>ProjectedCrs</v>
      </c>
      <c r="H7430" t="str">
        <v>Transverse Mercator</v>
      </c>
      <c r="I7430" t="str">
        <v>New_Beijing_3_Degree_Gauss_Kruger_CM_132E</v>
      </c>
      <c r="J7430" t="str">
        <v>China - between 130°30'E and 133°30'E.</v>
      </c>
      <c r="K7430" s="11">
        <v>0</v>
      </c>
    </row>
    <row r="7431" spans="5:11" x14ac:dyDescent="0.35">
      <c r="E7431" s="9" t="str">
        <v>ESRI</v>
      </c>
      <c r="F7431" s="7" t="str">
        <v>102570</v>
      </c>
      <c r="G7431" t="str">
        <v>ProjectedCrs</v>
      </c>
      <c r="H7431" t="str">
        <v>&lt;undefined&gt;</v>
      </c>
      <c r="I7431" t="str">
        <v>WGS_1984_Complex_UTM_Zone_20N</v>
      </c>
      <c r="J7431" t="str">
        <v>Between 66°W and 60°W, northern hemisphere between equator and 84°N, onshore and offshore.</v>
      </c>
      <c r="K7431" s="11">
        <v>0</v>
      </c>
    </row>
    <row r="7432" spans="5:11" x14ac:dyDescent="0.35">
      <c r="E7432" s="9" t="str">
        <v>ESRI</v>
      </c>
      <c r="F7432" s="7" t="str">
        <v>102571</v>
      </c>
      <c r="G7432" t="str">
        <v>ProjectedCrs</v>
      </c>
      <c r="H7432" t="str">
        <v>&lt;undefined&gt;</v>
      </c>
      <c r="I7432" t="str">
        <v>WGS_1984_Complex_UTM_Zone_21N</v>
      </c>
      <c r="J7432" t="str">
        <v>Between 60°W and 54°W, northern hemisphere between equator and 84°N, onshore and offshore.</v>
      </c>
      <c r="K7432" s="11">
        <v>0</v>
      </c>
    </row>
    <row r="7433" spans="5:11" x14ac:dyDescent="0.35">
      <c r="E7433" s="9" t="str">
        <v>ESRI</v>
      </c>
      <c r="F7433" s="7" t="str">
        <v>102572</v>
      </c>
      <c r="G7433" t="str">
        <v>ProjectedCrs</v>
      </c>
      <c r="H7433" t="str">
        <v>&lt;undefined&gt;</v>
      </c>
      <c r="I7433" t="str">
        <v>WGS_1984_Complex_UTM_Zone_22N</v>
      </c>
      <c r="J7433" t="str">
        <v>Between 54°W and 48°W, northern hemisphere between equator and 84°N, onshore and offshore.</v>
      </c>
      <c r="K7433" s="11">
        <v>0</v>
      </c>
    </row>
    <row r="7434" spans="5:11" x14ac:dyDescent="0.35">
      <c r="E7434" s="9" t="str">
        <v>ESRI</v>
      </c>
      <c r="F7434" s="7" t="str">
        <v>102573</v>
      </c>
      <c r="G7434" t="str">
        <v>ProjectedCrs</v>
      </c>
      <c r="H7434" t="str">
        <v>&lt;undefined&gt;</v>
      </c>
      <c r="I7434" t="str">
        <v>WGS_1984_Complex_UTM_Zone_23N</v>
      </c>
      <c r="J7434" t="str">
        <v>Between 48°W and 42°W, northern hemisphere between equator and 84°N, onshore and offshore.</v>
      </c>
      <c r="K7434" s="11">
        <v>0</v>
      </c>
    </row>
    <row r="7435" spans="5:11" x14ac:dyDescent="0.35">
      <c r="E7435" s="9" t="str">
        <v>ESRI</v>
      </c>
      <c r="F7435" s="7" t="str">
        <v>102574</v>
      </c>
      <c r="G7435" t="str">
        <v>ProjectedCrs</v>
      </c>
      <c r="H7435" t="str">
        <v>&lt;undefined&gt;</v>
      </c>
      <c r="I7435" t="str">
        <v>WGS_1984_Complex_UTM_Zone_24N</v>
      </c>
      <c r="J7435" t="str">
        <v>Between 42°W and 36°W, northern hemisphere between equator and 84°N, onshore and offshore.</v>
      </c>
      <c r="K7435" s="11">
        <v>0</v>
      </c>
    </row>
    <row r="7436" spans="5:11" x14ac:dyDescent="0.35">
      <c r="E7436" s="9" t="str">
        <v>ESRI</v>
      </c>
      <c r="F7436" s="7" t="str">
        <v>102575</v>
      </c>
      <c r="G7436" t="str">
        <v>ProjectedCrs</v>
      </c>
      <c r="H7436" t="str">
        <v>&lt;undefined&gt;</v>
      </c>
      <c r="I7436" t="str">
        <v>WGS_1984_Complex_UTM_Zone_25N</v>
      </c>
      <c r="J7436" t="str">
        <v>Between 36°W and 30°W, northern hemisphere between equator and 84°N, onshore and offshore.</v>
      </c>
      <c r="K7436" s="11">
        <v>0</v>
      </c>
    </row>
    <row r="7437" spans="5:11" x14ac:dyDescent="0.35">
      <c r="E7437" s="9" t="str">
        <v>ESRI</v>
      </c>
      <c r="F7437" s="7" t="str">
        <v>102576</v>
      </c>
      <c r="G7437" t="str">
        <v>ProjectedCrs</v>
      </c>
      <c r="H7437" t="str">
        <v>&lt;undefined&gt;</v>
      </c>
      <c r="I7437" t="str">
        <v>WGS_1984_Complex_UTM_Zone_26N</v>
      </c>
      <c r="J7437" t="str">
        <v>Between 30°W and 24°W, northern hemisphere between equator and 84°N, onshore and offshore.</v>
      </c>
      <c r="K7437" s="11">
        <v>0</v>
      </c>
    </row>
    <row r="7438" spans="5:11" x14ac:dyDescent="0.35">
      <c r="E7438" s="9" t="str">
        <v>ESRI</v>
      </c>
      <c r="F7438" s="7" t="str">
        <v>102577</v>
      </c>
      <c r="G7438" t="str">
        <v>ProjectedCrs</v>
      </c>
      <c r="H7438" t="str">
        <v>&lt;undefined&gt;</v>
      </c>
      <c r="I7438" t="str">
        <v>WGS_1984_Complex_UTM_Zone_27N</v>
      </c>
      <c r="J7438" t="str">
        <v>Between 24°W and 18°W, northern hemisphere between equator and 84°N, onshore and offshore.</v>
      </c>
      <c r="K7438" s="11">
        <v>0</v>
      </c>
    </row>
    <row r="7439" spans="5:11" x14ac:dyDescent="0.35">
      <c r="E7439" s="9" t="str">
        <v>ESRI</v>
      </c>
      <c r="F7439" s="7" t="str">
        <v>102578</v>
      </c>
      <c r="G7439" t="str">
        <v>ProjectedCrs</v>
      </c>
      <c r="H7439" t="str">
        <v>&lt;undefined&gt;</v>
      </c>
      <c r="I7439" t="str">
        <v>WGS_1984_Complex_UTM_Zone_28N</v>
      </c>
      <c r="J7439" t="str">
        <v>Between 18°W and 12°W, northern hemisphere between equator and 84°N, onshore and offshore.</v>
      </c>
      <c r="K7439" s="11">
        <v>0</v>
      </c>
    </row>
    <row r="7440" spans="5:11" x14ac:dyDescent="0.35">
      <c r="E7440" s="9" t="str">
        <v>ESRI</v>
      </c>
      <c r="F7440" s="7" t="str">
        <v>102579</v>
      </c>
      <c r="G7440" t="str">
        <v>ProjectedCrs</v>
      </c>
      <c r="H7440" t="str">
        <v>&lt;undefined&gt;</v>
      </c>
      <c r="I7440" t="str">
        <v>WGS_1984_Complex_UTM_Zone_29N</v>
      </c>
      <c r="J7440" t="str">
        <v>Between 12°W and 6°W, northern hemisphere between equator and 84°N, onshore and offshore.</v>
      </c>
      <c r="K7440" s="11">
        <v>0</v>
      </c>
    </row>
    <row r="7441" spans="5:11" x14ac:dyDescent="0.35">
      <c r="E7441" s="9" t="str">
        <v>ESRI</v>
      </c>
      <c r="F7441" s="7" t="str">
        <v>102580</v>
      </c>
      <c r="G7441" t="str">
        <v>ProjectedCrs</v>
      </c>
      <c r="H7441" t="str">
        <v>&lt;undefined&gt;</v>
      </c>
      <c r="I7441" t="str">
        <v>WGS_1984_Complex_UTM_Zone_30N</v>
      </c>
      <c r="J7441" t="str">
        <v>Between 6°W and 0°W, northern hemisphere between equator and 84°N, onshore and offshore.</v>
      </c>
      <c r="K7441" s="11">
        <v>0</v>
      </c>
    </row>
    <row r="7442" spans="5:11" x14ac:dyDescent="0.35">
      <c r="E7442" s="9" t="str">
        <v>ESRI</v>
      </c>
      <c r="F7442" s="7" t="str">
        <v>102581</v>
      </c>
      <c r="G7442" t="str">
        <v>ProjectedCrs</v>
      </c>
      <c r="H7442" t="str">
        <v>Lambert Conic Conformal (1SP)</v>
      </c>
      <c r="I7442" t="str">
        <v>NTF_France_I_degrees</v>
      </c>
      <c r="J7442" t="str">
        <v>France mainland onshore north of 53.5 grads North (48°09'N).</v>
      </c>
      <c r="K7442" s="11">
        <v>0</v>
      </c>
    </row>
    <row r="7443" spans="5:11" x14ac:dyDescent="0.35">
      <c r="E7443" s="9" t="str">
        <v>ESRI</v>
      </c>
      <c r="F7443" s="7" t="str">
        <v>102582</v>
      </c>
      <c r="G7443" t="str">
        <v>ProjectedCrs</v>
      </c>
      <c r="H7443" t="str">
        <v>Lambert Conic Conformal (1SP)</v>
      </c>
      <c r="I7443" t="str">
        <v>NTF_France_II_degrees</v>
      </c>
      <c r="J7443" t="str">
        <v>France mainland onshore between 50.5 grads and 53.5 grads North (45°27'N to 48°09'N). Also used over all onshore mainland France.</v>
      </c>
      <c r="K7443" s="11">
        <v>0</v>
      </c>
    </row>
    <row r="7444" spans="5:11" x14ac:dyDescent="0.35">
      <c r="E7444" s="9" t="str">
        <v>ESRI</v>
      </c>
      <c r="F7444" s="7" t="str">
        <v>102583</v>
      </c>
      <c r="G7444" t="str">
        <v>ProjectedCrs</v>
      </c>
      <c r="H7444" t="str">
        <v>Lambert Conic Conformal (1SP)</v>
      </c>
      <c r="I7444" t="str">
        <v>NTF_France_III_degrees</v>
      </c>
      <c r="J7444" t="str">
        <v>France - mainland onshore south of 50.5 grads North (45°27'N).</v>
      </c>
      <c r="K7444" s="11">
        <v>0</v>
      </c>
    </row>
    <row r="7445" spans="5:11" x14ac:dyDescent="0.35">
      <c r="E7445" s="9" t="str">
        <v>ESRI</v>
      </c>
      <c r="F7445" s="7" t="str">
        <v>102584</v>
      </c>
      <c r="G7445" t="str">
        <v>ProjectedCrs</v>
      </c>
      <c r="H7445" t="str">
        <v>Lambert Conic Conformal (1SP)</v>
      </c>
      <c r="I7445" t="str">
        <v>NTF_France_IV_degrees</v>
      </c>
      <c r="J7445" t="str">
        <v>France - Corsica onshore.</v>
      </c>
      <c r="K7445" s="11">
        <v>0</v>
      </c>
    </row>
    <row r="7446" spans="5:11" x14ac:dyDescent="0.35">
      <c r="E7446" s="9" t="str">
        <v>ESRI</v>
      </c>
      <c r="F7446" s="7" t="str">
        <v>102585</v>
      </c>
      <c r="G7446" t="str">
        <v>ProjectedCrs</v>
      </c>
      <c r="H7446" t="str">
        <v>Lambert Conic Conformal (1SP)</v>
      </c>
      <c r="I7446" t="str">
        <v>NTF_Lambert_Zone_I</v>
      </c>
      <c r="J7446" t="str">
        <v>France mainland onshore north of 53.5 grads North (48°09'N).</v>
      </c>
      <c r="K7446" s="11">
        <v>0</v>
      </c>
    </row>
    <row r="7447" spans="5:11" x14ac:dyDescent="0.35">
      <c r="E7447" s="9" t="str">
        <v>ESRI</v>
      </c>
      <c r="F7447" s="7" t="str">
        <v>102586</v>
      </c>
      <c r="G7447" t="str">
        <v>ProjectedCrs</v>
      </c>
      <c r="H7447" t="str">
        <v>Lambert Conic Conformal (1SP)</v>
      </c>
      <c r="I7447" t="str">
        <v>NTF_Lambert_Zone_II</v>
      </c>
      <c r="J7447" t="str">
        <v>France mainland onshore between 50.5 grads and 53.5 grads North (45°27'N to 48°09'N). Also used over all onshore mainland France.</v>
      </c>
      <c r="K7447" s="11">
        <v>0</v>
      </c>
    </row>
    <row r="7448" spans="5:11" x14ac:dyDescent="0.35">
      <c r="E7448" s="9" t="str">
        <v>ESRI</v>
      </c>
      <c r="F7448" s="7" t="str">
        <v>102587</v>
      </c>
      <c r="G7448" t="str">
        <v>ProjectedCrs</v>
      </c>
      <c r="H7448" t="str">
        <v>Lambert Conic Conformal (1SP)</v>
      </c>
      <c r="I7448" t="str">
        <v>NTF_Lambert_Zone_III</v>
      </c>
      <c r="J7448" t="str">
        <v>France - mainland onshore south of 50.5 grads North (45°27'N).</v>
      </c>
      <c r="K7448" s="11">
        <v>0</v>
      </c>
    </row>
    <row r="7449" spans="5:11" x14ac:dyDescent="0.35">
      <c r="E7449" s="9" t="str">
        <v>ESRI</v>
      </c>
      <c r="F7449" s="7" t="str">
        <v>102588</v>
      </c>
      <c r="G7449" t="str">
        <v>ProjectedCrs</v>
      </c>
      <c r="H7449" t="str">
        <v>Lambert Conic Conformal (1SP)</v>
      </c>
      <c r="I7449" t="str">
        <v>NTF_Lambert_Zone_IV</v>
      </c>
      <c r="J7449" t="str">
        <v>France - Corsica onshore.</v>
      </c>
      <c r="K7449" s="11">
        <v>0</v>
      </c>
    </row>
    <row r="7450" spans="5:11" x14ac:dyDescent="0.35">
      <c r="E7450" s="9" t="str">
        <v>ESRI</v>
      </c>
      <c r="F7450" s="7" t="str">
        <v>102589</v>
      </c>
      <c r="G7450" t="str">
        <v>ProjectedCrs</v>
      </c>
      <c r="H7450" t="str">
        <v>Albers Equal Area</v>
      </c>
      <c r="I7450" t="str">
        <v>Panhandle_Energy_Albers</v>
      </c>
      <c r="J7450" t="str">
        <v>USA - Contiguous US</v>
      </c>
      <c r="K7450" s="11">
        <v>0</v>
      </c>
    </row>
    <row r="7451" spans="5:11" x14ac:dyDescent="0.35">
      <c r="E7451" s="9" t="str">
        <v>ESRI</v>
      </c>
      <c r="F7451" s="7" t="str">
        <v>102598</v>
      </c>
      <c r="G7451" t="str">
        <v>ProjectedCrs</v>
      </c>
      <c r="H7451" t="str">
        <v>Transverse Mercator</v>
      </c>
      <c r="I7451" t="str">
        <v>JGD_2011_UTM_Zone_56N</v>
      </c>
      <c r="J7451" t="str">
        <v>Japan - 150~E to 156~E</v>
      </c>
      <c r="K7451" s="11">
        <v>0</v>
      </c>
    </row>
    <row r="7452" spans="5:11" x14ac:dyDescent="0.35">
      <c r="E7452" s="9" t="str">
        <v>ESRI</v>
      </c>
      <c r="F7452" s="7" t="str">
        <v>102599</v>
      </c>
      <c r="G7452" t="str">
        <v>ProjectedCrs</v>
      </c>
      <c r="H7452" t="str">
        <v>Albers Equal Area</v>
      </c>
      <c r="I7452" t="str">
        <v>WGS_1984_California_Teale_Albers_FtUS</v>
      </c>
      <c r="J7452" t="str">
        <v>United States (USA) - California.</v>
      </c>
      <c r="K7452" s="11">
        <v>0</v>
      </c>
    </row>
    <row r="7453" spans="5:11" x14ac:dyDescent="0.35">
      <c r="E7453" s="9" t="str">
        <v>ESRI</v>
      </c>
      <c r="F7453" s="7" t="str">
        <v>102600</v>
      </c>
      <c r="G7453" t="str">
        <v>ProjectedCrs</v>
      </c>
      <c r="H7453" t="str">
        <v>Albers Equal Area</v>
      </c>
      <c r="I7453" t="str">
        <v>NAD_1983_California_Teale_Albers_FtUS</v>
      </c>
      <c r="J7453" t="str">
        <v>United States (USA) - California.</v>
      </c>
      <c r="K7453" s="11">
        <v>0</v>
      </c>
    </row>
    <row r="7454" spans="5:11" x14ac:dyDescent="0.35">
      <c r="E7454" s="9" t="str">
        <v>ESRI</v>
      </c>
      <c r="F7454" s="7" t="str">
        <v>102604</v>
      </c>
      <c r="G7454" t="str">
        <v>ProjectedCrs</v>
      </c>
      <c r="H7454" t="str">
        <v>Lambert Conic Conformal (2SP)</v>
      </c>
      <c r="I7454" t="str">
        <v>NAD_1983_Georgia_Statewide_Lambert</v>
      </c>
      <c r="J7454" t="str">
        <v>United States (USA) - Georgia.</v>
      </c>
      <c r="K7454" s="11">
        <v>0</v>
      </c>
    </row>
    <row r="7455" spans="5:11" x14ac:dyDescent="0.35">
      <c r="E7455" s="9" t="str">
        <v>ESRI</v>
      </c>
      <c r="F7455" s="7" t="str">
        <v>102629</v>
      </c>
      <c r="G7455" t="str">
        <v>ProjectedCrs</v>
      </c>
      <c r="H7455" t="str">
        <v>Transverse Mercator</v>
      </c>
      <c r="I7455" t="str">
        <v>NAD_1983_StatePlane_Alabama_East_FIPS_0101_Feet</v>
      </c>
      <c r="J7455"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7455" s="11">
        <v>0</v>
      </c>
    </row>
    <row r="7456" spans="5:11" x14ac:dyDescent="0.35">
      <c r="E7456" s="9" t="str">
        <v>ESRI</v>
      </c>
      <c r="F7456" s="7" t="str">
        <v>102630</v>
      </c>
      <c r="G7456" t="str">
        <v>ProjectedCrs</v>
      </c>
      <c r="H7456" t="str">
        <v>Transverse Mercator</v>
      </c>
      <c r="I7456" t="str">
        <v>NAD_1983_StatePlane_Alabama_West_FIPS_0102_Feet</v>
      </c>
      <c r="J7456"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7456" s="11">
        <v>0</v>
      </c>
    </row>
    <row r="7457" spans="5:11" x14ac:dyDescent="0.35">
      <c r="E7457" s="9" t="str">
        <v>ESRI</v>
      </c>
      <c r="F7457" s="7" t="str">
        <v>102631</v>
      </c>
      <c r="G7457" t="str">
        <v>ProjectedCrs</v>
      </c>
      <c r="H7457" t="str">
        <v>Hotine Oblique Mercator (variant A)</v>
      </c>
      <c r="I7457" t="str">
        <v>NAD_1983_StatePlane_Alaska_1_FIPS_5001_Feet</v>
      </c>
      <c r="J7457" t="str">
        <v>United States (USA) - Alaska - east of 141°W; i.e. Panhandle.</v>
      </c>
      <c r="K7457" s="11">
        <v>0</v>
      </c>
    </row>
    <row r="7458" spans="5:11" x14ac:dyDescent="0.35">
      <c r="E7458" s="9" t="str">
        <v>ESRI</v>
      </c>
      <c r="F7458" s="7" t="str">
        <v>102632</v>
      </c>
      <c r="G7458" t="str">
        <v>ProjectedCrs</v>
      </c>
      <c r="H7458" t="str">
        <v>Transverse Mercator</v>
      </c>
      <c r="I7458" t="str">
        <v>NAD_1983_StatePlane_Alaska_2_FIPS_5002_Feet</v>
      </c>
      <c r="J7458" t="str">
        <v>United States (USA) - Alaska - between 144°W and 141°W, onshore.</v>
      </c>
      <c r="K7458" s="11">
        <v>0</v>
      </c>
    </row>
    <row r="7459" spans="5:11" x14ac:dyDescent="0.35">
      <c r="E7459" s="9" t="str">
        <v>ESRI</v>
      </c>
      <c r="F7459" s="7" t="str">
        <v>102633</v>
      </c>
      <c r="G7459" t="str">
        <v>ProjectedCrs</v>
      </c>
      <c r="H7459" t="str">
        <v>Transverse Mercator</v>
      </c>
      <c r="I7459" t="str">
        <v>NAD_1983_StatePlane_Alaska_3_FIPS_5003_Feet</v>
      </c>
      <c r="J7459" t="str">
        <v>United States (USA) - Alaska - between 148°W and 144°W.</v>
      </c>
      <c r="K7459" s="11">
        <v>0</v>
      </c>
    </row>
    <row r="7460" spans="5:11" x14ac:dyDescent="0.35">
      <c r="E7460" s="9" t="str">
        <v>ESRI</v>
      </c>
      <c r="F7460" s="7" t="str">
        <v>102634</v>
      </c>
      <c r="G7460" t="str">
        <v>ProjectedCrs</v>
      </c>
      <c r="H7460" t="str">
        <v>Transverse Mercator</v>
      </c>
      <c r="I7460" t="str">
        <v>NAD_1983_StatePlane_Alaska_4_FIPS_5004_Feet</v>
      </c>
      <c r="J7460" t="str">
        <v>United States (USA) - Alaska - between 152°W and 148°W, onshore.</v>
      </c>
      <c r="K7460" s="11">
        <v>0</v>
      </c>
    </row>
    <row r="7461" spans="5:11" x14ac:dyDescent="0.35">
      <c r="E7461" s="9" t="str">
        <v>ESRI</v>
      </c>
      <c r="F7461" s="7" t="str">
        <v>102635</v>
      </c>
      <c r="G7461" t="str">
        <v>ProjectedCrs</v>
      </c>
      <c r="H7461" t="str">
        <v>Transverse Mercator</v>
      </c>
      <c r="I7461" t="str">
        <v>NAD_1983_StatePlane_Alaska_5_FIPS_5005_Feet</v>
      </c>
      <c r="J7461" t="str">
        <v>United States (USA) - Alaska - between 156°W and 152°W.</v>
      </c>
      <c r="K7461" s="11">
        <v>0</v>
      </c>
    </row>
    <row r="7462" spans="5:11" x14ac:dyDescent="0.35">
      <c r="E7462" s="9" t="str">
        <v>ESRI</v>
      </c>
      <c r="F7462" s="7" t="str">
        <v>102636</v>
      </c>
      <c r="G7462" t="str">
        <v>ProjectedCrs</v>
      </c>
      <c r="H7462" t="str">
        <v>Transverse Mercator</v>
      </c>
      <c r="I7462" t="str">
        <v>NAD_1983_StatePlane_Alaska_6_FIPS_5006_Feet</v>
      </c>
      <c r="J7462" t="str">
        <v>United States (USA) - Alaska - between 160°W and 156°W, onshore.</v>
      </c>
      <c r="K7462" s="11">
        <v>0</v>
      </c>
    </row>
    <row r="7463" spans="5:11" x14ac:dyDescent="0.35">
      <c r="E7463" s="9" t="str">
        <v>ESRI</v>
      </c>
      <c r="F7463" s="7" t="str">
        <v>102637</v>
      </c>
      <c r="G7463" t="str">
        <v>ProjectedCrs</v>
      </c>
      <c r="H7463" t="str">
        <v>Transverse Mercator</v>
      </c>
      <c r="I7463" t="str">
        <v>NAD_1983_StatePlane_Alaska_7_FIPS_5007_Feet</v>
      </c>
      <c r="J7463" t="str">
        <v>United States (USA) - Alaska - between 164°W and 160°W, onshore.</v>
      </c>
      <c r="K7463" s="11">
        <v>0</v>
      </c>
    </row>
    <row r="7464" spans="5:11" x14ac:dyDescent="0.35">
      <c r="E7464" s="9" t="str">
        <v>ESRI</v>
      </c>
      <c r="F7464" s="7" t="str">
        <v>102638</v>
      </c>
      <c r="G7464" t="str">
        <v>ProjectedCrs</v>
      </c>
      <c r="H7464" t="str">
        <v>Transverse Mercator</v>
      </c>
      <c r="I7464" t="str">
        <v>NAD_1983_StatePlane_Alaska_8_FIPS_5008_Feet</v>
      </c>
      <c r="J7464" t="str">
        <v>United States (USA) - Alaska onshore north of 54°30'N and between 168°W and 164°W.</v>
      </c>
      <c r="K7464" s="11">
        <v>0</v>
      </c>
    </row>
    <row r="7465" spans="5:11" x14ac:dyDescent="0.35">
      <c r="E7465" s="9" t="str">
        <v>ESRI</v>
      </c>
      <c r="F7465" s="7" t="str">
        <v>102639</v>
      </c>
      <c r="G7465" t="str">
        <v>ProjectedCrs</v>
      </c>
      <c r="H7465" t="str">
        <v>Transverse Mercator</v>
      </c>
      <c r="I7465" t="str">
        <v>NAD_1983_StatePlane_Alaska_9_FIPS_5009_Feet</v>
      </c>
      <c r="J7465" t="str">
        <v>United States (USA) - Alaska onshore north of 54°30'N and west of 168°W.</v>
      </c>
      <c r="K7465" s="11">
        <v>0</v>
      </c>
    </row>
    <row r="7466" spans="5:11" x14ac:dyDescent="0.35">
      <c r="E7466" s="9" t="str">
        <v>ESRI</v>
      </c>
      <c r="F7466" s="7" t="str">
        <v>102640</v>
      </c>
      <c r="G7466" t="str">
        <v>ProjectedCrs</v>
      </c>
      <c r="H7466" t="str">
        <v>Lambert Conic Conformal (2SP)</v>
      </c>
      <c r="I7466" t="str">
        <v>NAD_1983_StatePlane_Alaska_10_FIPS_5010_Feet</v>
      </c>
      <c r="J7466" t="str">
        <v>United States (USA) - Alaska - Aleutian Islands onshore.</v>
      </c>
      <c r="K7466" s="11">
        <v>0</v>
      </c>
    </row>
    <row r="7467" spans="5:11" x14ac:dyDescent="0.35">
      <c r="E7467" s="9" t="str">
        <v>ESRI</v>
      </c>
      <c r="F7467" s="7" t="str">
        <v>102648</v>
      </c>
      <c r="G7467" t="str">
        <v>ProjectedCrs</v>
      </c>
      <c r="H7467" t="str">
        <v>Transverse Mercator</v>
      </c>
      <c r="I7467" t="str">
        <v>NAD_1983_StatePlane_Arizona_East_FIPS_0201_Feet</v>
      </c>
      <c r="J7467" t="str">
        <v>United States (USA) - Arizona - counties Apache; Cochise; Gila; Graham; Greenlee; Navajo.</v>
      </c>
      <c r="K7467" s="11">
        <v>0</v>
      </c>
    </row>
    <row r="7468" spans="5:11" x14ac:dyDescent="0.35">
      <c r="E7468" s="9" t="str">
        <v>ESRI</v>
      </c>
      <c r="F7468" s="7" t="str">
        <v>102649</v>
      </c>
      <c r="G7468" t="str">
        <v>ProjectedCrs</v>
      </c>
      <c r="H7468" t="str">
        <v>Transverse Mercator</v>
      </c>
      <c r="I7468" t="str">
        <v>NAD_1983_StatePlane_Arizona_Central_FIPS_0202_Feet</v>
      </c>
      <c r="J7468" t="str">
        <v>United States (USA) - Arizona - counties Coconino; Maricopa; Pima; Pinal; Santa Cruz; Yavapai.</v>
      </c>
      <c r="K7468" s="11">
        <v>0</v>
      </c>
    </row>
    <row r="7469" spans="5:11" x14ac:dyDescent="0.35">
      <c r="E7469" s="9" t="str">
        <v>ESRI</v>
      </c>
      <c r="F7469" s="7" t="str">
        <v>102650</v>
      </c>
      <c r="G7469" t="str">
        <v>ProjectedCrs</v>
      </c>
      <c r="H7469" t="str">
        <v>Transverse Mercator</v>
      </c>
      <c r="I7469" t="str">
        <v>NAD_1983_StatePlane_Arizona_West_FIPS_0203_Feet</v>
      </c>
      <c r="J7469" t="str">
        <v>United States (USA) - Arizona - counties of La Paz; Mohave; Yuma.</v>
      </c>
      <c r="K7469" s="11">
        <v>0</v>
      </c>
    </row>
    <row r="7470" spans="5:11" x14ac:dyDescent="0.35">
      <c r="E7470" s="9" t="str">
        <v>ESRI</v>
      </c>
      <c r="F7470" s="7" t="str">
        <v>102661</v>
      </c>
      <c r="G7470" t="str">
        <v>ProjectedCrs</v>
      </c>
      <c r="H7470" t="str">
        <v>Transverse Mercator</v>
      </c>
      <c r="I7470" t="str">
        <v>NAD_1983_StatePlane_Hawaii_1_FIPS_5101_Feet</v>
      </c>
      <c r="J7470" t="str">
        <v>United States (USA) - Hawaii - island of Hawaii - onshore.</v>
      </c>
      <c r="K7470" s="11">
        <v>0</v>
      </c>
    </row>
    <row r="7471" spans="5:11" x14ac:dyDescent="0.35">
      <c r="E7471" s="9" t="str">
        <v>ESRI</v>
      </c>
      <c r="F7471" s="7" t="str">
        <v>102662</v>
      </c>
      <c r="G7471" t="str">
        <v>ProjectedCrs</v>
      </c>
      <c r="H7471" t="str">
        <v>Transverse Mercator</v>
      </c>
      <c r="I7471" t="str">
        <v>NAD_1983_StatePlane_Hawaii_2_FIPS_5102_Feet</v>
      </c>
      <c r="J7471" t="str">
        <v>United States (USA) - Hawaii - Maui; Kahoolawe; Lanai; Molokai - onshore.</v>
      </c>
      <c r="K7471" s="11">
        <v>0</v>
      </c>
    </row>
    <row r="7472" spans="5:11" x14ac:dyDescent="0.35">
      <c r="E7472" s="9" t="str">
        <v>ESRI</v>
      </c>
      <c r="F7472" s="7" t="str">
        <v>102664</v>
      </c>
      <c r="G7472" t="str">
        <v>ProjectedCrs</v>
      </c>
      <c r="H7472" t="str">
        <v>Transverse Mercator</v>
      </c>
      <c r="I7472" t="str">
        <v>NAD_1983_StatePlane_Hawaii_4_FIPS_5104_Feet</v>
      </c>
      <c r="J7472" t="str">
        <v>United States (USA) - Hawaii - Kauai - onshore.</v>
      </c>
      <c r="K7472" s="11">
        <v>0</v>
      </c>
    </row>
    <row r="7473" spans="5:11" x14ac:dyDescent="0.35">
      <c r="E7473" s="9" t="str">
        <v>ESRI</v>
      </c>
      <c r="F7473" s="7" t="str">
        <v>102665</v>
      </c>
      <c r="G7473" t="str">
        <v>ProjectedCrs</v>
      </c>
      <c r="H7473" t="str">
        <v>Transverse Mercator</v>
      </c>
      <c r="I7473" t="str">
        <v>NAD_1983_StatePlane_Hawaii_5_FIPS_5105_Feet</v>
      </c>
      <c r="J7473" t="str">
        <v>United States (USA) - Hawaii - Niihau - onshore.</v>
      </c>
      <c r="K7473" s="11">
        <v>0</v>
      </c>
    </row>
    <row r="7474" spans="5:11" x14ac:dyDescent="0.35">
      <c r="E7474" s="9" t="str">
        <v>ESRI</v>
      </c>
      <c r="F7474" s="7" t="str">
        <v>102688</v>
      </c>
      <c r="G7474" t="str">
        <v>ProjectedCrs</v>
      </c>
      <c r="H7474" t="str">
        <v>Lambert Conic Conformal (2SP)</v>
      </c>
      <c r="I7474" t="str">
        <v>NAD_1983_StatePlane_Michigan_North_FIPS_2111_Feet</v>
      </c>
      <c r="J7474" t="str">
        <v>United States (USA) - Michigan north of approximately 45°45'N - counties of Alger; Baraga; Chippewa; Delta; Dickinson; Gogebic; Houghton; Iron; Keweenaw; Luce; Mackinac; Marquette; Menominee; Ontonagon; Schoolcraft.</v>
      </c>
      <c r="K7474" s="11">
        <v>0</v>
      </c>
    </row>
    <row r="7475" spans="5:11" x14ac:dyDescent="0.35">
      <c r="E7475" s="9" t="str">
        <v>ESRI</v>
      </c>
      <c r="F7475" s="7" t="str">
        <v>102689</v>
      </c>
      <c r="G7475" t="str">
        <v>ProjectedCrs</v>
      </c>
      <c r="H7475" t="str">
        <v>Lambert Conic Conformal (2SP)</v>
      </c>
      <c r="I7475" t="str">
        <v>NAD_1983_StatePlane_Michigan_Central_FIPS_2112_Feet</v>
      </c>
      <c r="J7475"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7475" s="11">
        <v>0</v>
      </c>
    </row>
    <row r="7476" spans="5:11" x14ac:dyDescent="0.35">
      <c r="E7476" s="9" t="str">
        <v>ESRI</v>
      </c>
      <c r="F7476" s="7" t="str">
        <v>102690</v>
      </c>
      <c r="G7476" t="str">
        <v>ProjectedCrs</v>
      </c>
      <c r="H7476" t="str">
        <v>Lambert Conic Conformal (2SP)</v>
      </c>
      <c r="I7476" t="str">
        <v>NAD_1983_StatePlane_Michigan_South_FIPS_2113_Feet</v>
      </c>
      <c r="J7476"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7476" s="11">
        <v>0</v>
      </c>
    </row>
    <row r="7477" spans="5:11" x14ac:dyDescent="0.35">
      <c r="E7477" s="9" t="str">
        <v>ESRI</v>
      </c>
      <c r="F7477" s="7" t="str">
        <v>102696</v>
      </c>
      <c r="G7477" t="str">
        <v>ProjectedCrs</v>
      </c>
      <c r="H7477" t="str">
        <v>Transverse Mercator</v>
      </c>
      <c r="I7477" t="str">
        <v>NAD_1983_StatePlane_Missouri_East_FIPS_2401_Feet</v>
      </c>
      <c r="J7477" t="str">
        <v>United States (USA) - Missouri - counties of Bollinger; Butler; Cape Girardeau; Carter; Clark; Crawford; Dent; Dunklin; Franklin; Gasconade; Iron; Jefferson; Lewis; Lincoln; Madison; Marion; Mississippi; Montgomery; New Madrid; Oregon; Pemiscot; Perry; Pike; Ralls; Reynolds; Ripley; Scott; Shannon; St Charles; St Francois; St Louis; Ste. Genevieve; Stoddard; Warren; Washington; Wayne.</v>
      </c>
      <c r="K7477" s="11">
        <v>0</v>
      </c>
    </row>
    <row r="7478" spans="5:11" x14ac:dyDescent="0.35">
      <c r="E7478" s="9" t="str">
        <v>ESRI</v>
      </c>
      <c r="F7478" s="7" t="str">
        <v>102697</v>
      </c>
      <c r="G7478" t="str">
        <v>ProjectedCrs</v>
      </c>
      <c r="H7478" t="str">
        <v>Transverse Mercator</v>
      </c>
      <c r="I7478" t="str">
        <v>NAD_1983_StatePlane_Missouri_Central_FIPS_2402_Feet</v>
      </c>
      <c r="J7478" t="str">
        <v>United States (USA) - Missouri - counties of Adair; Audrain; Benton; Boone; Callaway; Camden; Carroll; Chariton; Christian; Cole; Cooper; Dallas; Douglas; Greene; Grundy; Hickory; Howard; Howell; Knox; Laclede; Linn; Livingston; Macon; Maries; Mercer; Miller; Moniteau; Monroe; Morgan; Osage; Ozark; Pettis; Phelps; Polk; Pulaski; Putnam; Randolph; Saline; Schuyler; Scotland; Shelby; Stone; Sullivan; Taney; Texas; Webster; Wright.</v>
      </c>
      <c r="K7478" s="11">
        <v>0</v>
      </c>
    </row>
    <row r="7479" spans="5:11" x14ac:dyDescent="0.35">
      <c r="E7479" s="9" t="str">
        <v>ESRI</v>
      </c>
      <c r="F7479" s="7" t="str">
        <v>102698</v>
      </c>
      <c r="G7479" t="str">
        <v>ProjectedCrs</v>
      </c>
      <c r="H7479" t="str">
        <v>Transverse Mercator</v>
      </c>
      <c r="I7479" t="str">
        <v>NAD_1983_StatePlane_Missouri_West_FIPS_2403_Feet</v>
      </c>
      <c r="J7479" t="str">
        <v>United States (USA) - Missouri - counties of Andrew; Atchison; Barry; Barton; Bates; Buchanan; Caldwell; Cass; Cedar; Clay; Clinton; Dade; Daviess; De Kalb; Gentry; Harrison; Henry; Holt; Jackson; Jasper; Johnson; Lafayette; Lawrence; McDonald; Newton; Nodaway; Platte; Ray; St Clair; Vernon; Worth.</v>
      </c>
      <c r="K7479" s="11">
        <v>0</v>
      </c>
    </row>
    <row r="7480" spans="5:11" x14ac:dyDescent="0.35">
      <c r="E7480" s="9" t="str">
        <v>ESRI</v>
      </c>
      <c r="F7480" s="7" t="str">
        <v>102699</v>
      </c>
      <c r="G7480" t="str">
        <v>ProjectedCrs</v>
      </c>
      <c r="H7480" t="str">
        <v>Lambert Conic Conformal (2SP)</v>
      </c>
      <c r="I7480" t="str">
        <v>NAD_1927_StatePlane_California_V_Ventura</v>
      </c>
      <c r="J7480" t="str">
        <v>United States (USA) - California - counties of Kern; San Bernardino; San Luis Obispo; Santa Barbara; Ventura.</v>
      </c>
      <c r="K7480" s="11">
        <v>0</v>
      </c>
    </row>
    <row r="7481" spans="5:11" x14ac:dyDescent="0.35">
      <c r="E7481" s="9" t="str">
        <v>ESRI</v>
      </c>
      <c r="F7481" s="7" t="str">
        <v>102700</v>
      </c>
      <c r="G7481" t="str">
        <v>ProjectedCrs</v>
      </c>
      <c r="H7481" t="str">
        <v>Lambert Conic Conformal (2SP)</v>
      </c>
      <c r="I7481" t="str">
        <v>NAD_1983_StatePlane_Montana_FIPS_2500_Feet</v>
      </c>
      <c r="J7481"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7481" s="11">
        <v>0</v>
      </c>
    </row>
    <row r="7482" spans="5:11" x14ac:dyDescent="0.35">
      <c r="E7482" s="9" t="str">
        <v>ESRI</v>
      </c>
      <c r="F7482" s="7" t="str">
        <v>102701</v>
      </c>
      <c r="G7482" t="str">
        <v>ProjectedCrs</v>
      </c>
      <c r="H7482" t="str">
        <v>Transverse Mercator</v>
      </c>
      <c r="I7482" t="str">
        <v>NAD_1983_PACP00_UTM_Zone_4N</v>
      </c>
      <c r="J7482" t="str">
        <v>United States (USA) - between 162°W and 156°W onshore - Hawaii.</v>
      </c>
      <c r="K7482" s="11">
        <v>0</v>
      </c>
    </row>
    <row r="7483" spans="5:11" x14ac:dyDescent="0.35">
      <c r="E7483" s="9" t="str">
        <v>ESRI</v>
      </c>
      <c r="F7483" s="7" t="str">
        <v>102702</v>
      </c>
      <c r="G7483" t="str">
        <v>ProjectedCrs</v>
      </c>
      <c r="H7483" t="str">
        <v>Transverse Mercator</v>
      </c>
      <c r="I7483" t="str">
        <v>NAD_1983_PACP00_UTM_Zone_5N</v>
      </c>
      <c r="J7483" t="str">
        <v>United States (USA) - between 156°W and 150°W onshore - Hawaii.</v>
      </c>
      <c r="K7483" s="11">
        <v>0</v>
      </c>
    </row>
    <row r="7484" spans="5:11" x14ac:dyDescent="0.35">
      <c r="E7484" s="9" t="str">
        <v>ESRI</v>
      </c>
      <c r="F7484" s="7" t="str">
        <v>102703</v>
      </c>
      <c r="G7484" t="str">
        <v>ProjectedCrs</v>
      </c>
      <c r="H7484" t="str">
        <v>Transverse Mercator</v>
      </c>
      <c r="I7484" t="str">
        <v>NAD_1983_PACP00_UTM_Zone_2S</v>
      </c>
      <c r="J7484" t="str">
        <v>American Samoa - Tutuila, Aunu'u, Ofu, Olesega, Ta'u and Rose islands.</v>
      </c>
      <c r="K7484" s="11">
        <v>0</v>
      </c>
    </row>
    <row r="7485" spans="5:11" x14ac:dyDescent="0.35">
      <c r="E7485" s="9" t="str">
        <v>ESRI</v>
      </c>
      <c r="F7485" s="7" t="str">
        <v>102705</v>
      </c>
      <c r="G7485" t="str">
        <v>ProjectedCrs</v>
      </c>
      <c r="H7485" t="str">
        <v>Transverse Mercator</v>
      </c>
      <c r="I7485" t="str">
        <v>NAD_1983_Nebraska_Lancaster_County_FtUS</v>
      </c>
      <c r="J7485" t="str">
        <v>US - Nebraska - Lancaster County</v>
      </c>
      <c r="K7485" s="11">
        <v>0</v>
      </c>
    </row>
    <row r="7486" spans="5:11" x14ac:dyDescent="0.35">
      <c r="E7486" s="9" t="str">
        <v>ESRI</v>
      </c>
      <c r="F7486" s="7" t="str">
        <v>102720</v>
      </c>
      <c r="G7486" t="str">
        <v>ProjectedCrs</v>
      </c>
      <c r="H7486" t="str">
        <v>Lambert Conic Conformal (2SP)</v>
      </c>
      <c r="I7486" t="str">
        <v>NAD_1983_StatePlane_North_Dakota_North_FIPS_3301_Feet</v>
      </c>
      <c r="J7486" t="str">
        <v>United States (USA) - North Dakota - counties of Benson; Bottineau; Burke; Cavalier; Divide; Eddy; Foster; Grand Forks; Griggs; McHenry; McKenzie; McLean; Mountrial; Nelson; Pembina; Pierce; Ramsey; Renville; Rolette; Sheridan; Steele; Towner; Traill; Walsh; Ward; Wells; Williams.</v>
      </c>
      <c r="K7486" s="11">
        <v>0</v>
      </c>
    </row>
    <row r="7487" spans="5:11" x14ac:dyDescent="0.35">
      <c r="E7487" s="9" t="str">
        <v>ESRI</v>
      </c>
      <c r="F7487" s="7" t="str">
        <v>102721</v>
      </c>
      <c r="G7487" t="str">
        <v>ProjectedCrs</v>
      </c>
      <c r="H7487" t="str">
        <v>Lambert Conic Conformal (2SP)</v>
      </c>
      <c r="I7487" t="str">
        <v>NAD_1983_StatePlane_North_Dakota_South_FIPS_3302_Feet</v>
      </c>
      <c r="J7487" t="str">
        <v>United States (USA) - North Dakota - counties of Adams; Barnes; Billings; Bowman; Burleigh; Cass; Dickey; Dunn; Emmons; Golden Valley; Grant; Hettinger; Kidder; La Moure; Logan; McIntosh; Mercer; Morton; Oliver; Ransom; Richland; Sargent; Sioux; Slope; Stark; Stutsman.</v>
      </c>
      <c r="K7487" s="11">
        <v>0</v>
      </c>
    </row>
    <row r="7488" spans="5:11" x14ac:dyDescent="0.35">
      <c r="E7488" s="9" t="str">
        <v>ESRI</v>
      </c>
      <c r="F7488" s="7" t="str">
        <v>102726</v>
      </c>
      <c r="G7488" t="str">
        <v>ProjectedCrs</v>
      </c>
      <c r="H7488" t="str">
        <v>Lambert Conic Conformal (2SP)</v>
      </c>
      <c r="I7488" t="str">
        <v>NAD_1983_StatePlane_Oregon_North_FIPS_3601_Feet</v>
      </c>
      <c r="J7488" t="str">
        <v>United States (USA) - Oregon - counties of Baker; Benton; Clackamas; Clatsop; Columbia; Gilliam; Grant; Hood River; Jefferson; Lincoln; Linn; Marion; Morrow; Multnomah; Polk; Sherman; Tillamook; Umatilla; Union; Wallowa; Wasco; Washington; Wheeler; Yamhill.</v>
      </c>
      <c r="K7488" s="11">
        <v>0</v>
      </c>
    </row>
    <row r="7489" spans="5:11" x14ac:dyDescent="0.35">
      <c r="E7489" s="9" t="str">
        <v>ESRI</v>
      </c>
      <c r="F7489" s="7" t="str">
        <v>102727</v>
      </c>
      <c r="G7489" t="str">
        <v>ProjectedCrs</v>
      </c>
      <c r="H7489" t="str">
        <v>Lambert Conic Conformal (2SP)</v>
      </c>
      <c r="I7489" t="str">
        <v>NAD_1983_StatePlane_Oregon_South_FIPS_3602_Feet</v>
      </c>
      <c r="J7489" t="str">
        <v>United States (USA) - Oregon - counties of Coos; Crook; Curry; Deschutes; Douglas; Harney; Jackson; Josephine; Klamath; Lake; Lane; Malheur.</v>
      </c>
      <c r="K7489" s="11">
        <v>0</v>
      </c>
    </row>
    <row r="7490" spans="5:11" x14ac:dyDescent="0.35">
      <c r="E7490" s="9" t="str">
        <v>ESRI</v>
      </c>
      <c r="F7490" s="7" t="str">
        <v>102731</v>
      </c>
      <c r="G7490" t="str">
        <v>ProjectedCrs</v>
      </c>
      <c r="H7490" t="str">
        <v>Transverse Mercator</v>
      </c>
      <c r="I7490" t="str">
        <v>PANAMA_ITRF08_UTM_17N</v>
      </c>
      <c r="J7490" t="str">
        <v>Panama - UTM Zone 17N</v>
      </c>
      <c r="K7490" s="11">
        <v>0</v>
      </c>
    </row>
    <row r="7491" spans="5:11" x14ac:dyDescent="0.35">
      <c r="E7491" s="9" t="str">
        <v>ESRI</v>
      </c>
      <c r="F7491" s="7" t="str">
        <v>102732</v>
      </c>
      <c r="G7491" t="str">
        <v>ProjectedCrs</v>
      </c>
      <c r="H7491" t="str">
        <v>Transverse Mercator</v>
      </c>
      <c r="I7491" t="str">
        <v>PANAMA_ITRF08_UTM_18N</v>
      </c>
      <c r="J7491" t="str">
        <v>Panama - UTM Zone 18N</v>
      </c>
      <c r="K7491" s="11">
        <v>0</v>
      </c>
    </row>
    <row r="7492" spans="5:11" x14ac:dyDescent="0.35">
      <c r="E7492" s="9" t="str">
        <v>ESRI</v>
      </c>
      <c r="F7492" s="7" t="str">
        <v>102733</v>
      </c>
      <c r="G7492" t="str">
        <v>ProjectedCrs</v>
      </c>
      <c r="H7492" t="str">
        <v>Lambert Conic Conformal (2SP)</v>
      </c>
      <c r="I7492" t="str">
        <v>NAD_1983_StatePlane_South_Carolina_FIPS_3900_Feet</v>
      </c>
      <c r="J7492"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7492" s="11">
        <v>0</v>
      </c>
    </row>
    <row r="7493" spans="5:11" x14ac:dyDescent="0.35">
      <c r="E7493" s="9" t="str">
        <v>ESRI</v>
      </c>
      <c r="F7493" s="7" t="str">
        <v>102759</v>
      </c>
      <c r="G7493" t="str">
        <v>ProjectedCrs</v>
      </c>
      <c r="H7493" t="str">
        <v>Albers Equal Area</v>
      </c>
      <c r="I7493" t="str">
        <v>WGS_1984_California_Teale_Albers_Ft_Intl</v>
      </c>
      <c r="J7493" t="str">
        <v>United States (USA) - California.</v>
      </c>
      <c r="K7493" s="11">
        <v>0</v>
      </c>
    </row>
    <row r="7494" spans="5:11" x14ac:dyDescent="0.35">
      <c r="E7494" s="9" t="str">
        <v>ESRI</v>
      </c>
      <c r="F7494" s="7" t="str">
        <v>102760</v>
      </c>
      <c r="G7494" t="str">
        <v>ProjectedCrs</v>
      </c>
      <c r="H7494" t="str">
        <v>Albers Equal Area</v>
      </c>
      <c r="I7494" t="str">
        <v>NAD_1983_California_Teale_Albers_Ft_Intl</v>
      </c>
      <c r="J7494" t="str">
        <v>United States (USA) - California.</v>
      </c>
      <c r="K7494" s="11">
        <v>0</v>
      </c>
    </row>
    <row r="7495" spans="5:11" x14ac:dyDescent="0.35">
      <c r="E7495" s="9" t="str">
        <v>ESRI</v>
      </c>
      <c r="F7495" s="7" t="str">
        <v>102761</v>
      </c>
      <c r="G7495" t="str">
        <v>ProjectedCrs</v>
      </c>
      <c r="H7495" t="str">
        <v>Lambert Conic Conformal (2SP)</v>
      </c>
      <c r="I7495" t="str">
        <v>NAD_1983_StatePlane_Puerto_Rico_Virgin_Islands_FIPS_5200_Feet</v>
      </c>
      <c r="J7495" t="str">
        <v>Puerto Rico and US Virgin Islands - onshore and offshore.</v>
      </c>
      <c r="K7495" s="11">
        <v>0</v>
      </c>
    </row>
    <row r="7496" spans="5:11" x14ac:dyDescent="0.35">
      <c r="E7496" s="9" t="str">
        <v>ESRI</v>
      </c>
      <c r="F7496" s="7" t="str">
        <v>102766</v>
      </c>
      <c r="G7496" t="str">
        <v>ProjectedCrs</v>
      </c>
      <c r="H7496" t="str">
        <v>American Polyconic</v>
      </c>
      <c r="I7496" t="str">
        <v>NAD_1983_StatePlane_Guam_FIPS_5400_Feet</v>
      </c>
      <c r="J7496" t="str">
        <v>Guam - onshore and offshore.</v>
      </c>
      <c r="K7496" s="11">
        <v>0</v>
      </c>
    </row>
    <row r="7497" spans="5:11" x14ac:dyDescent="0.35">
      <c r="E7497" s="9" t="str">
        <v>ESRI</v>
      </c>
      <c r="F7497" s="7" t="str">
        <v>102934</v>
      </c>
      <c r="G7497" t="str">
        <v>ProjectedCrs</v>
      </c>
      <c r="H7497" t="str">
        <v>Cassini-Soldner</v>
      </c>
      <c r="I7497" t="str">
        <v>Cassini_Bangladesh_Zone_01_Dinajpur</v>
      </c>
      <c r="J7497" t="str">
        <v>Bangladesh - Dinajpur</v>
      </c>
      <c r="K7497" s="11">
        <v>0</v>
      </c>
    </row>
    <row r="7498" spans="5:11" x14ac:dyDescent="0.35">
      <c r="E7498" s="9" t="str">
        <v>ESRI</v>
      </c>
      <c r="F7498" s="7" t="str">
        <v>102935</v>
      </c>
      <c r="G7498" t="str">
        <v>ProjectedCrs</v>
      </c>
      <c r="H7498" t="str">
        <v>Cassini-Soldner</v>
      </c>
      <c r="I7498" t="str">
        <v>Cassini_Bangladesh_Zone_02_Rangpur</v>
      </c>
      <c r="J7498" t="str">
        <v>Bangladesh - Rangpur</v>
      </c>
      <c r="K7498" s="11">
        <v>0</v>
      </c>
    </row>
    <row r="7499" spans="5:11" x14ac:dyDescent="0.35">
      <c r="E7499" s="9" t="str">
        <v>ESRI</v>
      </c>
      <c r="F7499" s="7" t="str">
        <v>102936</v>
      </c>
      <c r="G7499" t="str">
        <v>ProjectedCrs</v>
      </c>
      <c r="H7499" t="str">
        <v>Cassini-Soldner</v>
      </c>
      <c r="I7499" t="str">
        <v>Cassini_Bangladesh_Zone_03_Rajshahi</v>
      </c>
      <c r="J7499" t="str">
        <v>Bangladesh - Rajshahi</v>
      </c>
      <c r="K7499" s="11">
        <v>0</v>
      </c>
    </row>
    <row r="7500" spans="5:11" x14ac:dyDescent="0.35">
      <c r="E7500" s="9" t="str">
        <v>ESRI</v>
      </c>
      <c r="F7500" s="7" t="str">
        <v>102937</v>
      </c>
      <c r="G7500" t="str">
        <v>ProjectedCrs</v>
      </c>
      <c r="H7500" t="str">
        <v>Cassini-Soldner</v>
      </c>
      <c r="I7500" t="str">
        <v>Cassini_Bangladesh_Zone_04_Bogura</v>
      </c>
      <c r="J7500" t="str">
        <v>Bangladesh - Bogura</v>
      </c>
      <c r="K7500" s="11">
        <v>0</v>
      </c>
    </row>
    <row r="7501" spans="5:11" x14ac:dyDescent="0.35">
      <c r="E7501" s="9" t="str">
        <v>ESRI</v>
      </c>
      <c r="F7501" s="7" t="str">
        <v>102938</v>
      </c>
      <c r="G7501" t="str">
        <v>ProjectedCrs</v>
      </c>
      <c r="H7501" t="str">
        <v>Cassini-Soldner</v>
      </c>
      <c r="I7501" t="str">
        <v>Cassini_Bangladesh_Zone_05_Pabna</v>
      </c>
      <c r="J7501" t="str">
        <v>Bangladesh - Pabna</v>
      </c>
      <c r="K7501" s="11">
        <v>0</v>
      </c>
    </row>
    <row r="7502" spans="5:11" x14ac:dyDescent="0.35">
      <c r="E7502" s="9" t="str">
        <v>ESRI</v>
      </c>
      <c r="F7502" s="7" t="str">
        <v>102939</v>
      </c>
      <c r="G7502" t="str">
        <v>ProjectedCrs</v>
      </c>
      <c r="H7502" t="str">
        <v>Cassini-Soldner</v>
      </c>
      <c r="I7502" t="str">
        <v>Cassini_Bangladesh_Zone_06_Mymensingh</v>
      </c>
      <c r="J7502" t="str">
        <v>Bangladesh - Mymensingh</v>
      </c>
      <c r="K7502" s="11">
        <v>0</v>
      </c>
    </row>
    <row r="7503" spans="5:11" x14ac:dyDescent="0.35">
      <c r="E7503" s="9" t="str">
        <v>ESRI</v>
      </c>
      <c r="F7503" s="7" t="str">
        <v>102940</v>
      </c>
      <c r="G7503" t="str">
        <v>ProjectedCrs</v>
      </c>
      <c r="H7503" t="str">
        <v>Cassini-Soldner</v>
      </c>
      <c r="I7503" t="str">
        <v>Cassini_Bangladesh_Zone_07_Dhaka</v>
      </c>
      <c r="J7503" t="str">
        <v>Bangladesh - Dhaka</v>
      </c>
      <c r="K7503" s="11">
        <v>0</v>
      </c>
    </row>
    <row r="7504" spans="5:11" x14ac:dyDescent="0.35">
      <c r="E7504" s="9" t="str">
        <v>ESRI</v>
      </c>
      <c r="F7504" s="7" t="str">
        <v>102941</v>
      </c>
      <c r="G7504" t="str">
        <v>ProjectedCrs</v>
      </c>
      <c r="H7504" t="str">
        <v>Cassini-Soldner</v>
      </c>
      <c r="I7504" t="str">
        <v>Cassini_Bangladesh_Zone_08_Faridpur</v>
      </c>
      <c r="J7504" t="str">
        <v>Bangladesh - Faridpur</v>
      </c>
      <c r="K7504" s="11">
        <v>0</v>
      </c>
    </row>
    <row r="7505" spans="5:11" x14ac:dyDescent="0.35">
      <c r="E7505" s="9" t="str">
        <v>ESRI</v>
      </c>
      <c r="F7505" s="7" t="str">
        <v>102942</v>
      </c>
      <c r="G7505" t="str">
        <v>ProjectedCrs</v>
      </c>
      <c r="H7505" t="str">
        <v>Cassini-Soldner</v>
      </c>
      <c r="I7505" t="str">
        <v>Cassini_Bangladesh_Zone_09_Sylhet</v>
      </c>
      <c r="J7505" t="str">
        <v>Bangladesh - Sylhet</v>
      </c>
      <c r="K7505" s="11">
        <v>0</v>
      </c>
    </row>
    <row r="7506" spans="5:11" x14ac:dyDescent="0.35">
      <c r="E7506" s="9" t="str">
        <v>ESRI</v>
      </c>
      <c r="F7506" s="7" t="str">
        <v>102943</v>
      </c>
      <c r="G7506" t="str">
        <v>ProjectedCrs</v>
      </c>
      <c r="H7506" t="str">
        <v>Cassini-Soldner</v>
      </c>
      <c r="I7506" t="str">
        <v>Cassini_Bangladesh_Zone_10_Kushtia</v>
      </c>
      <c r="J7506" t="str">
        <v>Bangladesh - Kushtia</v>
      </c>
      <c r="K7506" s="11">
        <v>0</v>
      </c>
    </row>
    <row r="7507" spans="5:11" x14ac:dyDescent="0.35">
      <c r="E7507" s="9" t="str">
        <v>ESRI</v>
      </c>
      <c r="F7507" s="7" t="str">
        <v>102944</v>
      </c>
      <c r="G7507" t="str">
        <v>ProjectedCrs</v>
      </c>
      <c r="H7507" t="str">
        <v>Cassini-Soldner</v>
      </c>
      <c r="I7507" t="str">
        <v>Cassini_Bangladesh_Zone_11_Joshore</v>
      </c>
      <c r="J7507" t="str">
        <v>Bangladesh - Joshore</v>
      </c>
      <c r="K7507" s="11">
        <v>0</v>
      </c>
    </row>
    <row r="7508" spans="5:11" x14ac:dyDescent="0.35">
      <c r="E7508" s="9" t="str">
        <v>ESRI</v>
      </c>
      <c r="F7508" s="7" t="str">
        <v>102945</v>
      </c>
      <c r="G7508" t="str">
        <v>ProjectedCrs</v>
      </c>
      <c r="H7508" t="str">
        <v>Cassini-Soldner</v>
      </c>
      <c r="I7508" t="str">
        <v>Cassini_Bangladesh_Zone_12_Khulna</v>
      </c>
      <c r="J7508" t="str">
        <v>Bangladesh - Khulna</v>
      </c>
      <c r="K7508" s="11">
        <v>0</v>
      </c>
    </row>
    <row r="7509" spans="5:11" x14ac:dyDescent="0.35">
      <c r="E7509" s="9" t="str">
        <v>ESRI</v>
      </c>
      <c r="F7509" s="7" t="str">
        <v>102946</v>
      </c>
      <c r="G7509" t="str">
        <v>ProjectedCrs</v>
      </c>
      <c r="H7509" t="str">
        <v>Cassini-Soldner</v>
      </c>
      <c r="I7509" t="str">
        <v>Cassini_Bangladesh_Zone_13_Barishal</v>
      </c>
      <c r="J7509" t="str">
        <v>Bangladesh - Barishal</v>
      </c>
      <c r="K7509" s="11">
        <v>0</v>
      </c>
    </row>
    <row r="7510" spans="5:11" x14ac:dyDescent="0.35">
      <c r="E7510" s="9" t="str">
        <v>ESRI</v>
      </c>
      <c r="F7510" s="7" t="str">
        <v>102947</v>
      </c>
      <c r="G7510" t="str">
        <v>ProjectedCrs</v>
      </c>
      <c r="H7510" t="str">
        <v>Cassini-Soldner</v>
      </c>
      <c r="I7510" t="str">
        <v>Cassini_Bangladesh_Zone_14_Cumilla</v>
      </c>
      <c r="J7510" t="str">
        <v>Bangladesh - Cumilla</v>
      </c>
      <c r="K7510" s="11">
        <v>0</v>
      </c>
    </row>
    <row r="7511" spans="5:11" x14ac:dyDescent="0.35">
      <c r="E7511" s="9" t="str">
        <v>ESRI</v>
      </c>
      <c r="F7511" s="7" t="str">
        <v>102948</v>
      </c>
      <c r="G7511" t="str">
        <v>ProjectedCrs</v>
      </c>
      <c r="H7511" t="str">
        <v>Cassini-Soldner</v>
      </c>
      <c r="I7511" t="str">
        <v>Cassini_Bangladesh_Zone_15_Noakhali</v>
      </c>
      <c r="J7511" t="str">
        <v>Bangladesh - Noakhali</v>
      </c>
      <c r="K7511" s="11">
        <v>0</v>
      </c>
    </row>
    <row r="7512" spans="5:11" x14ac:dyDescent="0.35">
      <c r="E7512" s="9" t="str">
        <v>ESRI</v>
      </c>
      <c r="F7512" s="7" t="str">
        <v>102949</v>
      </c>
      <c r="G7512" t="str">
        <v>ProjectedCrs</v>
      </c>
      <c r="H7512" t="str">
        <v>Cassini-Soldner</v>
      </c>
      <c r="I7512" t="str">
        <v>Cassini_Bangladesh_Zone_16_Chottogram</v>
      </c>
      <c r="J7512" t="str">
        <v>Bangladesh - Chottogram</v>
      </c>
      <c r="K7512" s="11">
        <v>0</v>
      </c>
    </row>
    <row r="7513" spans="5:11" x14ac:dyDescent="0.35">
      <c r="E7513" s="9" t="str">
        <v>ESRI</v>
      </c>
      <c r="F7513" s="7" t="str">
        <v>102950</v>
      </c>
      <c r="G7513" t="str">
        <v>ProjectedCrs</v>
      </c>
      <c r="H7513" t="str">
        <v>Cassini-Soldner</v>
      </c>
      <c r="I7513" t="str">
        <v>Cassini_Bangladesh_Zone_17_CHT</v>
      </c>
      <c r="J7513" t="str">
        <v>Bangladesh - CHT</v>
      </c>
      <c r="K7513" s="11">
        <v>0</v>
      </c>
    </row>
    <row r="7514" spans="5:11" x14ac:dyDescent="0.35">
      <c r="E7514" s="9" t="str">
        <v>ESRI</v>
      </c>
      <c r="F7514" s="7" t="str">
        <v>102951</v>
      </c>
      <c r="G7514" t="str">
        <v>ProjectedCrs</v>
      </c>
      <c r="H7514" t="str">
        <v>Lambert Conic Conformal (2SP)</v>
      </c>
      <c r="I7514" t="str">
        <v>LCC_Bangladesh</v>
      </c>
      <c r="J7514" t="str">
        <v>Bangladesh - onshore and offshore.</v>
      </c>
      <c r="K7514" s="11">
        <v>0</v>
      </c>
    </row>
    <row r="7515" spans="5:11" x14ac:dyDescent="0.35">
      <c r="E7515" s="9" t="str">
        <v>ESRI</v>
      </c>
      <c r="F7515" s="7" t="str">
        <v>102952</v>
      </c>
      <c r="G7515" t="str">
        <v>ProjectedCrs</v>
      </c>
      <c r="H7515" t="str">
        <v>Lambert Conic Conformal (2SP)</v>
      </c>
      <c r="I7515" t="str">
        <v>LCC_Gulshan</v>
      </c>
      <c r="J7515" t="str">
        <v>Bangladesh - onshore and offshore.</v>
      </c>
      <c r="K7515" s="11">
        <v>0</v>
      </c>
    </row>
    <row r="7516" spans="5:11" x14ac:dyDescent="0.35">
      <c r="E7516" s="9" t="str">
        <v>ESRI</v>
      </c>
      <c r="F7516" s="7" t="str">
        <v>102953</v>
      </c>
      <c r="G7516" t="str">
        <v>ProjectedCrs</v>
      </c>
      <c r="H7516" t="str">
        <v>Transverse Mercator</v>
      </c>
      <c r="I7516" t="str">
        <v>UTM_Bangladesh_(BTM)</v>
      </c>
      <c r="J7516" t="str">
        <v>Bangladesh - onshore and offshore.</v>
      </c>
      <c r="K7516" s="11">
        <v>0</v>
      </c>
    </row>
    <row r="7517" spans="5:11" x14ac:dyDescent="0.35">
      <c r="E7517" s="9" t="str">
        <v>ESRI</v>
      </c>
      <c r="F7517" s="7" t="str">
        <v>102954</v>
      </c>
      <c r="G7517" t="str">
        <v>ProjectedCrs</v>
      </c>
      <c r="H7517" t="str">
        <v>Transverse Mercator</v>
      </c>
      <c r="I7517" t="str">
        <v>BUTM2010</v>
      </c>
      <c r="J7517" t="str">
        <v>Bangladesh - onshore and offshore.</v>
      </c>
      <c r="K7517" s="11">
        <v>0</v>
      </c>
    </row>
    <row r="7518" spans="5:11" x14ac:dyDescent="0.35">
      <c r="E7518" s="9" t="str">
        <v>ESRI</v>
      </c>
      <c r="F7518" s="7" t="str">
        <v>102955</v>
      </c>
      <c r="G7518" t="str">
        <v>ProjectedCrs</v>
      </c>
      <c r="H7518" t="str">
        <v>Transverse Mercator</v>
      </c>
      <c r="I7518" t="str">
        <v>UTM_Gulshan</v>
      </c>
      <c r="J7518" t="str">
        <v>Bangladesh - onshore and offshore.</v>
      </c>
      <c r="K7518" s="11">
        <v>0</v>
      </c>
    </row>
    <row r="7519" spans="5:11" x14ac:dyDescent="0.35">
      <c r="E7519" s="9" t="str">
        <v>ESRI</v>
      </c>
      <c r="F7519" s="7" t="str">
        <v>102956</v>
      </c>
      <c r="G7519" t="str">
        <v>ProjectedCrs</v>
      </c>
      <c r="H7519" t="str">
        <v>Transverse Mercator</v>
      </c>
      <c r="I7519" t="str">
        <v>NAD_1983_(MA11)_UTM_Zone_53N</v>
      </c>
      <c r="J7519" t="str">
        <v>Republic of Palau - Babeldaob</v>
      </c>
      <c r="K7519" s="11">
        <v>0</v>
      </c>
    </row>
    <row r="7520" spans="5:11" x14ac:dyDescent="0.35">
      <c r="E7520" s="9" t="str">
        <v>ESRI</v>
      </c>
      <c r="F7520" s="7" t="str">
        <v>102957</v>
      </c>
      <c r="G7520" t="str">
        <v>ProjectedCrs</v>
      </c>
      <c r="H7520" t="str">
        <v>Transverse Mercator</v>
      </c>
      <c r="I7520" t="str">
        <v>NAD_1983_(PA11)_UTM_Zone_56N</v>
      </c>
      <c r="J7520" t="str">
        <v>Federated States of Micronesia - UTM 56N</v>
      </c>
      <c r="K7520" s="11">
        <v>0</v>
      </c>
    </row>
    <row r="7521" spans="5:11" x14ac:dyDescent="0.35">
      <c r="E7521" s="9" t="str">
        <v>ESRI</v>
      </c>
      <c r="F7521" s="7" t="str">
        <v>102958</v>
      </c>
      <c r="G7521" t="str">
        <v>ProjectedCrs</v>
      </c>
      <c r="H7521" t="str">
        <v>Transverse Mercator</v>
      </c>
      <c r="I7521" t="str">
        <v>NAD_1983_(PA11)_UTM_Zone_57N</v>
      </c>
      <c r="J7521" t="str">
        <v>Federated States of Micronesia - UTM 57N and east</v>
      </c>
      <c r="K7521" s="11">
        <v>0</v>
      </c>
    </row>
    <row r="7522" spans="5:11" x14ac:dyDescent="0.35">
      <c r="E7522" s="9" t="str">
        <v>ESRI</v>
      </c>
      <c r="F7522" s="7" t="str">
        <v>102959</v>
      </c>
      <c r="G7522" t="str">
        <v>ProjectedCrs</v>
      </c>
      <c r="H7522" t="str">
        <v>Transverse Mercator</v>
      </c>
      <c r="I7522" t="str">
        <v>NAD_1983_(PA11)_UTM_Zone_58N</v>
      </c>
      <c r="J7522" t="str">
        <v>Republic of Marshall Islands - UTM 58N</v>
      </c>
      <c r="K7522" s="11">
        <v>0</v>
      </c>
    </row>
    <row r="7523" spans="5:11" x14ac:dyDescent="0.35">
      <c r="E7523" s="9" t="str">
        <v>ESRI</v>
      </c>
      <c r="F7523" s="7" t="str">
        <v>102960</v>
      </c>
      <c r="G7523" t="str">
        <v>ProjectedCrs</v>
      </c>
      <c r="H7523" t="str">
        <v>Transverse Mercator</v>
      </c>
      <c r="I7523" t="str">
        <v>NAD_1983_(PA11)_UTM_Zone_59N</v>
      </c>
      <c r="J7523" t="str">
        <v>Republic of Marshall Islands - UTM 59N</v>
      </c>
      <c r="K7523" s="11">
        <v>0</v>
      </c>
    </row>
    <row r="7524" spans="5:11" x14ac:dyDescent="0.35">
      <c r="E7524" s="9" t="str">
        <v>ESRI</v>
      </c>
      <c r="F7524" s="7" t="str">
        <v>102961</v>
      </c>
      <c r="G7524" t="str">
        <v>ProjectedCrs</v>
      </c>
      <c r="H7524" t="str">
        <v>Transverse Mercator</v>
      </c>
      <c r="I7524" t="str">
        <v>AGD_1966_ISG_57_2</v>
      </c>
      <c r="J7524" t="str">
        <v>Australia - Lord Howe Island - 158~E to 160~E (ISG 57/2)</v>
      </c>
      <c r="K7524" s="11">
        <v>0</v>
      </c>
    </row>
    <row r="7525" spans="5:11" x14ac:dyDescent="0.35">
      <c r="E7525" s="9" t="str">
        <v>ESRI</v>
      </c>
      <c r="F7525" s="7" t="str">
        <v>102974</v>
      </c>
      <c r="G7525" t="str">
        <v>ProjectedCrs</v>
      </c>
      <c r="H7525" t="str">
        <v>Transverse Mercator</v>
      </c>
      <c r="I7525" t="str">
        <v>NAD_1983_2011_Wisconsin_TM_US_Ft</v>
      </c>
      <c r="J7525" t="str">
        <v>United States (USA) - Wisconsin.</v>
      </c>
      <c r="K7525" s="11">
        <v>0</v>
      </c>
    </row>
    <row r="7526" spans="5:11" x14ac:dyDescent="0.35">
      <c r="E7526" s="9" t="str">
        <v>ESRI</v>
      </c>
      <c r="F7526" s="7" t="str">
        <v>103166</v>
      </c>
      <c r="G7526" t="str">
        <v>ProjectedCrs</v>
      </c>
      <c r="H7526" t="str">
        <v>Lambert Conic Conformal (2SP)</v>
      </c>
      <c r="I7526" t="str">
        <v>NAD_1983_2011_StatePlane_Utah_North_FIPS_4301_Ft_Intl</v>
      </c>
      <c r="J7526" t="str">
        <v>United States (USA) - Utah - counties of Box Elder; Cache; Daggett; Davis; Morgan; Rich; Summit; Weber.</v>
      </c>
      <c r="K7526" s="11">
        <v>0</v>
      </c>
    </row>
    <row r="7527" spans="5:11" x14ac:dyDescent="0.35">
      <c r="E7527" s="9" t="str">
        <v>ESRI</v>
      </c>
      <c r="F7527" s="7" t="str">
        <v>103167</v>
      </c>
      <c r="G7527" t="str">
        <v>ProjectedCrs</v>
      </c>
      <c r="H7527" t="str">
        <v>Lambert Conic Conformal (2SP)</v>
      </c>
      <c r="I7527" t="str">
        <v>NAD_1983_2011_StatePlane_Utah_Central_FIPS_4302_Ft_Intl</v>
      </c>
      <c r="J7527" t="str">
        <v>United States (USA) - Utah - counties of Carbon; Duchesne; Emery; Grand; Juab; Millard; Salt Lake; Sanpete; Sevier; Tooele; Uintah; Utah; Wasatch.</v>
      </c>
      <c r="K7527" s="11">
        <v>0</v>
      </c>
    </row>
    <row r="7528" spans="5:11" x14ac:dyDescent="0.35">
      <c r="E7528" s="9" t="str">
        <v>ESRI</v>
      </c>
      <c r="F7528" s="7" t="str">
        <v>103168</v>
      </c>
      <c r="G7528" t="str">
        <v>ProjectedCrs</v>
      </c>
      <c r="H7528" t="str">
        <v>Lambert Conic Conformal (2SP)</v>
      </c>
      <c r="I7528" t="str">
        <v>NAD_1983_2011_StatePlane_Utah_South_FIPS_4303_Ft_Intl</v>
      </c>
      <c r="J7528" t="str">
        <v>United States (USA) - Utah - counties of Beaver; Garfield; Iron; Kane; Piute; San Juan; Washington; Wayne.</v>
      </c>
      <c r="K7528" s="11">
        <v>0</v>
      </c>
    </row>
    <row r="7529" spans="5:11" x14ac:dyDescent="0.35">
      <c r="E7529" s="9" t="str">
        <v>ESRI</v>
      </c>
      <c r="F7529" s="7" t="str">
        <v>103220</v>
      </c>
      <c r="G7529" t="str">
        <v>ProjectedCrs</v>
      </c>
      <c r="H7529" t="str">
        <v>Transverse Mercator</v>
      </c>
      <c r="I7529" t="str">
        <v>NAD_1983_CORS96_StatePlane_Alabama_East_FIPS_0101</v>
      </c>
      <c r="J7529" t="str">
        <v>United States (USA) - Alabama east of approximately 86°37'W - counties Barbour; Bullock; Calhoun; Chambers; Cherokee; Clay; Cleburne; Coffee; Coosa; Covington; Crenshaw; Dale; De Kalb; Elmore; Etowah; Geneva; Henry; Houston; Jackson; Lee; Macon; Madison; Marshall; Montgomery; Pike; Randolph; Russell; StClair; Talladega; Tallapoosa.</v>
      </c>
      <c r="K7529" s="11">
        <v>0</v>
      </c>
    </row>
    <row r="7530" spans="5:11" x14ac:dyDescent="0.35">
      <c r="E7530" s="9" t="str">
        <v>ESRI</v>
      </c>
      <c r="F7530" s="7" t="str">
        <v>103221</v>
      </c>
      <c r="G7530" t="str">
        <v>ProjectedCrs</v>
      </c>
      <c r="H7530" t="str">
        <v>Transverse Mercator</v>
      </c>
      <c r="I7530" t="str">
        <v>NAD_1983_CORS96_StatePlane_Alabama_West_FIPS_0102</v>
      </c>
      <c r="J7530" t="str">
        <v>United States (USA) - Alabama west of approximately 86°37'W - counties Autauga; Baldwin; Bibb; Blount; Butler; Chilton; Choctaw; Clarke; Colbert; Conecuh; Cullman; Dallas; Escambia; Fayette; Franklin; Greene; Hale; Jefferson; Lamar; Lauderdale; Lawrence; Limestone; Lowndes; Marengo; Marion; Mobile; Monroe; Morgan; Perry; Pickens; Shelby; Sumter; Tuscaloosa; Walker; Washington; Wilcox; Winston.</v>
      </c>
      <c r="K7530" s="11">
        <v>0</v>
      </c>
    </row>
    <row r="7531" spans="5:11" x14ac:dyDescent="0.35">
      <c r="E7531" s="9" t="str">
        <v>ESRI</v>
      </c>
      <c r="F7531" s="7" t="str">
        <v>103222</v>
      </c>
      <c r="G7531" t="str">
        <v>ProjectedCrs</v>
      </c>
      <c r="H7531" t="str">
        <v>Transverse Mercator</v>
      </c>
      <c r="I7531" t="str">
        <v>NAD_1983_CORS96_StatePlane_Arizona_East_FIPS_0201</v>
      </c>
      <c r="J7531" t="str">
        <v>United States (USA) - Arizona - counties Apache; Cochise; Gila; Graham; Greenlee; Navajo.</v>
      </c>
      <c r="K7531" s="11">
        <v>0</v>
      </c>
    </row>
    <row r="7532" spans="5:11" x14ac:dyDescent="0.35">
      <c r="E7532" s="9" t="str">
        <v>ESRI</v>
      </c>
      <c r="F7532" s="7" t="str">
        <v>103223</v>
      </c>
      <c r="G7532" t="str">
        <v>ProjectedCrs</v>
      </c>
      <c r="H7532" t="str">
        <v>Transverse Mercator</v>
      </c>
      <c r="I7532" t="str">
        <v>NAD_1983_CORS96_StatePlane_Arizona_Central_FIPS_0202</v>
      </c>
      <c r="J7532" t="str">
        <v>United States (USA) - Arizona - counties Coconino; Maricopa; Pima; Pinal; Santa Cruz; Yavapai.</v>
      </c>
      <c r="K7532" s="11">
        <v>0</v>
      </c>
    </row>
    <row r="7533" spans="5:11" x14ac:dyDescent="0.35">
      <c r="E7533" s="9" t="str">
        <v>ESRI</v>
      </c>
      <c r="F7533" s="7" t="str">
        <v>103224</v>
      </c>
      <c r="G7533" t="str">
        <v>ProjectedCrs</v>
      </c>
      <c r="H7533" t="str">
        <v>Transverse Mercator</v>
      </c>
      <c r="I7533" t="str">
        <v>NAD_1983_CORS96_StatePlane_Arizona_West_FIPS_0203</v>
      </c>
      <c r="J7533" t="str">
        <v>United States (USA) - Arizona - counties of La Paz; Mohave; Yuma.</v>
      </c>
      <c r="K7533" s="11">
        <v>0</v>
      </c>
    </row>
    <row r="7534" spans="5:11" x14ac:dyDescent="0.35">
      <c r="E7534" s="9" t="str">
        <v>ESRI</v>
      </c>
      <c r="F7534" s="7" t="str">
        <v>103225</v>
      </c>
      <c r="G7534" t="str">
        <v>ProjectedCrs</v>
      </c>
      <c r="H7534" t="str">
        <v>Transverse Mercator</v>
      </c>
      <c r="I7534" t="str">
        <v>NAD_1983_CORS96_StatePlane_Arizona_East_FIPS_0201_Ft_Intl</v>
      </c>
      <c r="J7534" t="str">
        <v>United States (USA) - Arizona - counties Apache; Cochise; Gila; Graham; Greenlee; Navajo.</v>
      </c>
      <c r="K7534" s="11">
        <v>0</v>
      </c>
    </row>
    <row r="7535" spans="5:11" x14ac:dyDescent="0.35">
      <c r="E7535" s="9" t="str">
        <v>ESRI</v>
      </c>
      <c r="F7535" s="7" t="str">
        <v>103226</v>
      </c>
      <c r="G7535" t="str">
        <v>ProjectedCrs</v>
      </c>
      <c r="H7535" t="str">
        <v>Transverse Mercator</v>
      </c>
      <c r="I7535" t="str">
        <v>NAD_1983_CORS96_StatePlane_Arizona_Central_FIPS_0202_Ft_Intl</v>
      </c>
      <c r="J7535" t="str">
        <v>United States (USA) - Arizona - counties Coconino; Maricopa; Pima; Pinal; Santa Cruz; Yavapai.</v>
      </c>
      <c r="K7535" s="11">
        <v>0</v>
      </c>
    </row>
    <row r="7536" spans="5:11" x14ac:dyDescent="0.35">
      <c r="E7536" s="9" t="str">
        <v>ESRI</v>
      </c>
      <c r="F7536" s="7" t="str">
        <v>103227</v>
      </c>
      <c r="G7536" t="str">
        <v>ProjectedCrs</v>
      </c>
      <c r="H7536" t="str">
        <v>Transverse Mercator</v>
      </c>
      <c r="I7536" t="str">
        <v>NAD_1983_CORS96_StatePlane_Arizona_West_FIPS_0203_Ft_Intl</v>
      </c>
      <c r="J7536" t="str">
        <v>United States (USA) - Arizona - counties of La Paz; Mohave; Yuma.</v>
      </c>
      <c r="K7536" s="11">
        <v>0</v>
      </c>
    </row>
    <row r="7537" spans="5:11" x14ac:dyDescent="0.35">
      <c r="E7537" s="9" t="str">
        <v>ESRI</v>
      </c>
      <c r="F7537" s="7" t="str">
        <v>103228</v>
      </c>
      <c r="G7537" t="str">
        <v>ProjectedCrs</v>
      </c>
      <c r="H7537" t="str">
        <v>Lambert Conic Conformal (2SP)</v>
      </c>
      <c r="I7537" t="str">
        <v>NAD_1983_CORS96_StatePlane_Arkansas_North_FIPS_0301</v>
      </c>
      <c r="J7537"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7537" s="11">
        <v>0</v>
      </c>
    </row>
    <row r="7538" spans="5:11" x14ac:dyDescent="0.35">
      <c r="E7538" s="9" t="str">
        <v>ESRI</v>
      </c>
      <c r="F7538" s="7" t="str">
        <v>103229</v>
      </c>
      <c r="G7538" t="str">
        <v>ProjectedCrs</v>
      </c>
      <c r="H7538" t="str">
        <v>Lambert Conic Conformal (2SP)</v>
      </c>
      <c r="I7538" t="str">
        <v>NAD_1983_CORS96_StatePlane_Arkansas_South_FIPS_0302</v>
      </c>
      <c r="J7538"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7538" s="11">
        <v>0</v>
      </c>
    </row>
    <row r="7539" spans="5:11" x14ac:dyDescent="0.35">
      <c r="E7539" s="9" t="str">
        <v>ESRI</v>
      </c>
      <c r="F7539" s="7" t="str">
        <v>103230</v>
      </c>
      <c r="G7539" t="str">
        <v>ProjectedCrs</v>
      </c>
      <c r="H7539" t="str">
        <v>Lambert Conic Conformal (2SP)</v>
      </c>
      <c r="I7539" t="str">
        <v>NAD_1983_CORS96_StatePlane_Arkansas_North_FIPS_0301_Ft_US</v>
      </c>
      <c r="J7539" t="str">
        <v>United States (USA) - Arkansas - counties of Baxter; Benton; Boone; Carroll; Clay; Cleburne; Conway; Craighead; Crawford; Crittenden; Cross; Faulkner; Franklin; Fulton; Greene; Independence; Izard; Jackson; Johnson; Lawrence; Logan; Madison; Marion; Mississippi; Newton; Perry; Poinsett; Pope; Randolph; Scott; Searcy; Sebastian; Sharp; St Francis; Stone; Van Buren; Washington; White; Woodruff; Yell.</v>
      </c>
      <c r="K7539" s="11">
        <v>0</v>
      </c>
    </row>
    <row r="7540" spans="5:11" x14ac:dyDescent="0.35">
      <c r="E7540" s="9" t="str">
        <v>ESRI</v>
      </c>
      <c r="F7540" s="7" t="str">
        <v>103231</v>
      </c>
      <c r="G7540" t="str">
        <v>ProjectedCrs</v>
      </c>
      <c r="H7540" t="str">
        <v>Lambert Conic Conformal (2SP)</v>
      </c>
      <c r="I7540" t="str">
        <v>NAD_1983_CORS96_StatePlane_Arkansas_South_FIPS_0302_Ft_US</v>
      </c>
      <c r="J7540" t="str">
        <v>United States (USA) - Arkansas - counties Arkansas; Ashley; Bradley; Calhoun; Chicot; Clark; Cleveland; Columbia; Dallas; Desha; Drew; Garland; Grant; Hempstead; Hot Spring; Howard; Jefferson; Lafayette; Lee; Lincoln; Little River; Lonoke; Miller; Monroe; Montgomery; Nevada; Ouachita; Phillips; Pike; Polk; Prairie; Pulaski; Saline; Sevier; Union.</v>
      </c>
      <c r="K7540" s="11">
        <v>0</v>
      </c>
    </row>
    <row r="7541" spans="5:11" x14ac:dyDescent="0.35">
      <c r="E7541" s="9" t="str">
        <v>ESRI</v>
      </c>
      <c r="F7541" s="7" t="str">
        <v>103232</v>
      </c>
      <c r="G7541" t="str">
        <v>ProjectedCrs</v>
      </c>
      <c r="H7541" t="str">
        <v>Lambert Conic Conformal (2SP)</v>
      </c>
      <c r="I7541" t="str">
        <v>NAD_1983_CORS96_StatePlane_California_I_FIPS_0401</v>
      </c>
      <c r="J7541" t="str">
        <v>United States (USA) - California - counties Del Norte; Humboldt; Lassen; Modoc; Plumas; Shasta; Siskiyou; Tehama; Trinity.</v>
      </c>
      <c r="K7541" s="11">
        <v>0</v>
      </c>
    </row>
    <row r="7542" spans="5:11" x14ac:dyDescent="0.35">
      <c r="E7542" s="9" t="str">
        <v>ESRI</v>
      </c>
      <c r="F7542" s="7" t="str">
        <v>103233</v>
      </c>
      <c r="G7542" t="str">
        <v>ProjectedCrs</v>
      </c>
      <c r="H7542" t="str">
        <v>Lambert Conic Conformal (2SP)</v>
      </c>
      <c r="I7542" t="str">
        <v>NAD_1983_CORS96_StatePlane_California_II_FIPS_0402</v>
      </c>
      <c r="J7542" t="str">
        <v>United States (USA) - California - counties of Alpine; Amador; Butte; Colusa; El Dorado; Glenn; Lake; Mendocino; Napa; Nevada; Placer; Sacramento; Sierra; Solano; Sonoma; Sutter; Yolo; Yuba.</v>
      </c>
      <c r="K7542" s="11">
        <v>0</v>
      </c>
    </row>
    <row r="7543" spans="5:11" x14ac:dyDescent="0.35">
      <c r="E7543" s="9" t="str">
        <v>ESRI</v>
      </c>
      <c r="F7543" s="7" t="str">
        <v>103234</v>
      </c>
      <c r="G7543" t="str">
        <v>ProjectedCrs</v>
      </c>
      <c r="H7543" t="str">
        <v>Lambert Conic Conformal (2SP)</v>
      </c>
      <c r="I7543" t="str">
        <v>NAD_1983_CORS96_StatePlane_California_III_FIPS_0403</v>
      </c>
      <c r="J7543" t="str">
        <v>United States (USA) - California - counties Alameda; Calaveras; Contra Costa; Madera; Marin; Mariposa; Merced; Mono; San Francisco; San Joaquin; San Mateo; Santa Clara; Santa Cruz; Stanislaus; Tuolumne.</v>
      </c>
      <c r="K7543" s="11">
        <v>0</v>
      </c>
    </row>
    <row r="7544" spans="5:11" x14ac:dyDescent="0.35">
      <c r="E7544" s="9" t="str">
        <v>ESRI</v>
      </c>
      <c r="F7544" s="7" t="str">
        <v>103235</v>
      </c>
      <c r="G7544" t="str">
        <v>ProjectedCrs</v>
      </c>
      <c r="H7544" t="str">
        <v>Lambert Conic Conformal (2SP)</v>
      </c>
      <c r="I7544" t="str">
        <v>NAD_1983_CORS96_StatePlane_California_IV_FIPS_0404</v>
      </c>
      <c r="J7544" t="str">
        <v>United States (USA) - California - counties Fresno; Inyo; Kings; Monterey; San Benito; Tulare.</v>
      </c>
      <c r="K7544" s="11">
        <v>0</v>
      </c>
    </row>
    <row r="7545" spans="5:11" x14ac:dyDescent="0.35">
      <c r="E7545" s="9" t="str">
        <v>ESRI</v>
      </c>
      <c r="F7545" s="7" t="str">
        <v>103236</v>
      </c>
      <c r="G7545" t="str">
        <v>ProjectedCrs</v>
      </c>
      <c r="H7545" t="str">
        <v>Lambert Conic Conformal (2SP)</v>
      </c>
      <c r="I7545" t="str">
        <v>NAD_1983_CORS96_StatePlane_California_V_FIPS_0405</v>
      </c>
      <c r="J7545" t="str">
        <v>United States (USA) - California - counties Kern; Los Angeles; San Bernardino; San Luis Obispo; Santa Barbara; Ventura.</v>
      </c>
      <c r="K7545" s="11">
        <v>0</v>
      </c>
    </row>
    <row r="7546" spans="5:11" x14ac:dyDescent="0.35">
      <c r="E7546" s="9" t="str">
        <v>ESRI</v>
      </c>
      <c r="F7546" s="7" t="str">
        <v>103237</v>
      </c>
      <c r="G7546" t="str">
        <v>ProjectedCrs</v>
      </c>
      <c r="H7546" t="str">
        <v>Lambert Conic Conformal (2SP)</v>
      </c>
      <c r="I7546" t="str">
        <v>NAD_1983_CORS96_StatePlane_California_VI_FIPS_0406</v>
      </c>
      <c r="J7546" t="str">
        <v>United States (USA) - California - counties Imperial; Orange; Riverside; San Diego.</v>
      </c>
      <c r="K7546" s="11">
        <v>0</v>
      </c>
    </row>
    <row r="7547" spans="5:11" x14ac:dyDescent="0.35">
      <c r="E7547" s="9" t="str">
        <v>ESRI</v>
      </c>
      <c r="F7547" s="7" t="str">
        <v>103238</v>
      </c>
      <c r="G7547" t="str">
        <v>ProjectedCrs</v>
      </c>
      <c r="H7547" t="str">
        <v>Lambert Conic Conformal (2SP)</v>
      </c>
      <c r="I7547" t="str">
        <v>NAD_1983_CORS96_StatePlane_California_I_FIPS_0401_Ft_US</v>
      </c>
      <c r="J7547" t="str">
        <v>United States (USA) - California - counties Del Norte; Humboldt; Lassen; Modoc; Plumas; Shasta; Siskiyou; Tehama; Trinity.</v>
      </c>
      <c r="K7547" s="11">
        <v>0</v>
      </c>
    </row>
    <row r="7548" spans="5:11" x14ac:dyDescent="0.35">
      <c r="E7548" s="9" t="str">
        <v>ESRI</v>
      </c>
      <c r="F7548" s="7" t="str">
        <v>103239</v>
      </c>
      <c r="G7548" t="str">
        <v>ProjectedCrs</v>
      </c>
      <c r="H7548" t="str">
        <v>Lambert Conic Conformal (2SP)</v>
      </c>
      <c r="I7548" t="str">
        <v>NAD_1983_CORS96_StatePlane_California_II_FIPS_0402_Ft_US</v>
      </c>
      <c r="J7548" t="str">
        <v>United States (USA) - California - counties of Alpine; Amador; Butte; Colusa; El Dorado; Glenn; Lake; Mendocino; Napa; Nevada; Placer; Sacramento; Sierra; Solano; Sonoma; Sutter; Yolo; Yuba.</v>
      </c>
      <c r="K7548" s="11">
        <v>0</v>
      </c>
    </row>
    <row r="7549" spans="5:11" x14ac:dyDescent="0.35">
      <c r="E7549" s="9" t="str">
        <v>ESRI</v>
      </c>
      <c r="F7549" s="7" t="str">
        <v>103240</v>
      </c>
      <c r="G7549" t="str">
        <v>ProjectedCrs</v>
      </c>
      <c r="H7549" t="str">
        <v>Lambert Conic Conformal (2SP)</v>
      </c>
      <c r="I7549" t="str">
        <v>NAD_1983_CORS96_StatePlane_California_III_FIPS_0403_Ft_US</v>
      </c>
      <c r="J7549" t="str">
        <v>United States (USA) - California - counties Alameda; Calaveras; Contra Costa; Madera; Marin; Mariposa; Merced; Mono; San Francisco; San Joaquin; San Mateo; Santa Clara; Santa Cruz; Stanislaus; Tuolumne.</v>
      </c>
      <c r="K7549" s="11">
        <v>0</v>
      </c>
    </row>
    <row r="7550" spans="5:11" x14ac:dyDescent="0.35">
      <c r="E7550" s="9" t="str">
        <v>ESRI</v>
      </c>
      <c r="F7550" s="7" t="str">
        <v>103241</v>
      </c>
      <c r="G7550" t="str">
        <v>ProjectedCrs</v>
      </c>
      <c r="H7550" t="str">
        <v>Lambert Conic Conformal (2SP)</v>
      </c>
      <c r="I7550" t="str">
        <v>NAD_1983_CORS96_StatePlane_California_IV_FIPS_0404_Ft_US</v>
      </c>
      <c r="J7550" t="str">
        <v>United States (USA) - California - counties Fresno; Inyo; Kings; Monterey; San Benito; Tulare.</v>
      </c>
      <c r="K7550" s="11">
        <v>0</v>
      </c>
    </row>
    <row r="7551" spans="5:11" x14ac:dyDescent="0.35">
      <c r="E7551" s="9" t="str">
        <v>ESRI</v>
      </c>
      <c r="F7551" s="7" t="str">
        <v>103242</v>
      </c>
      <c r="G7551" t="str">
        <v>ProjectedCrs</v>
      </c>
      <c r="H7551" t="str">
        <v>Lambert Conic Conformal (2SP)</v>
      </c>
      <c r="I7551" t="str">
        <v>NAD_1983_CORS96_StatePlane_California_V_FIPS_0405_Ft_US</v>
      </c>
      <c r="J7551" t="str">
        <v>United States (USA) - California - counties Kern; Los Angeles; San Bernardino; San Luis Obispo; Santa Barbara; Ventura.</v>
      </c>
      <c r="K7551" s="11">
        <v>0</v>
      </c>
    </row>
    <row r="7552" spans="5:11" x14ac:dyDescent="0.35">
      <c r="E7552" s="9" t="str">
        <v>ESRI</v>
      </c>
      <c r="F7552" s="7" t="str">
        <v>103243</v>
      </c>
      <c r="G7552" t="str">
        <v>ProjectedCrs</v>
      </c>
      <c r="H7552" t="str">
        <v>Lambert Conic Conformal (2SP)</v>
      </c>
      <c r="I7552" t="str">
        <v>NAD_1983_CORS96_StatePlane_California_VI_FIPS_0406_Ft_US</v>
      </c>
      <c r="J7552" t="str">
        <v>United States (USA) - California - counties Imperial; Orange; Riverside; San Diego.</v>
      </c>
      <c r="K7552" s="11">
        <v>0</v>
      </c>
    </row>
    <row r="7553" spans="5:11" x14ac:dyDescent="0.35">
      <c r="E7553" s="9" t="str">
        <v>ESRI</v>
      </c>
      <c r="F7553" s="7" t="str">
        <v>103244</v>
      </c>
      <c r="G7553" t="str">
        <v>ProjectedCrs</v>
      </c>
      <c r="H7553" t="str">
        <v>Lambert Conic Conformal (2SP)</v>
      </c>
      <c r="I7553" t="str">
        <v>NAD_1983_CORS96_StatePlane_Colorado_North_FIPS_0501</v>
      </c>
      <c r="J7553" t="str">
        <v>United States (USA) - Colorado - counties Adams; Boulder; Gilpin; Grand; Jackson; Larimer; Logan; Moffat; Morgan; Phillips; Rio Blanco; Routt; Sedgwick; Washington; Weld; Yuma.</v>
      </c>
      <c r="K7553" s="11">
        <v>0</v>
      </c>
    </row>
    <row r="7554" spans="5:11" x14ac:dyDescent="0.35">
      <c r="E7554" s="9" t="str">
        <v>ESRI</v>
      </c>
      <c r="F7554" s="7" t="str">
        <v>103245</v>
      </c>
      <c r="G7554" t="str">
        <v>ProjectedCrs</v>
      </c>
      <c r="H7554" t="str">
        <v>Lambert Conic Conformal (2SP)</v>
      </c>
      <c r="I7554" t="str">
        <v>NAD_1983_CORS96_StatePlane_Colorado_Central_FIPS_0502</v>
      </c>
      <c r="J7554" t="str">
        <v>United States (USA) - Colorado - counties Arapahoe; Chaffee; Cheyenne; Clear Creek; Delta; Denver; Douglas; Eagle; El Paso; Elbert; Fremont; Garfield; Gunnison; Jefferson; Kit Carson; Lake; Lincoln; Mesa; Park; Pitkin; Summit; Teller.</v>
      </c>
      <c r="K7554" s="11">
        <v>0</v>
      </c>
    </row>
    <row r="7555" spans="5:11" x14ac:dyDescent="0.35">
      <c r="E7555" s="9" t="str">
        <v>ESRI</v>
      </c>
      <c r="F7555" s="7" t="str">
        <v>103246</v>
      </c>
      <c r="G7555" t="str">
        <v>ProjectedCrs</v>
      </c>
      <c r="H7555" t="str">
        <v>Lambert Conic Conformal (2SP)</v>
      </c>
      <c r="I7555" t="str">
        <v>NAD_1983_CORS96_StatePlane_Colorado_South_FIPS_0503</v>
      </c>
      <c r="J7555" t="str">
        <v>United States (USA) - Colorado - counties Alamosa; Archuleta; Baca; Bent; Conejos; Costilla; Crowley; Custer; Dolores; Hinsdale; Huerfano; Kiowa; La Plata; Las Animas; Mineral; Montezuma; Montrose; Otero; Ouray; Prowers; Pueblo; Rio Grande; Saguache; San Juan; San Miguel.</v>
      </c>
      <c r="K7555" s="11">
        <v>0</v>
      </c>
    </row>
    <row r="7556" spans="5:11" x14ac:dyDescent="0.35">
      <c r="E7556" s="9" t="str">
        <v>ESRI</v>
      </c>
      <c r="F7556" s="7" t="str">
        <v>103247</v>
      </c>
      <c r="G7556" t="str">
        <v>ProjectedCrs</v>
      </c>
      <c r="H7556" t="str">
        <v>Lambert Conic Conformal (2SP)</v>
      </c>
      <c r="I7556" t="str">
        <v>NAD_1983_CORS96_StatePlane_Colorado_North_FIPS_0501_Ft_US</v>
      </c>
      <c r="J7556" t="str">
        <v>United States (USA) - Colorado - counties Adams; Boulder; Gilpin; Grand; Jackson; Larimer; Logan; Moffat; Morgan; Phillips; Rio Blanco; Routt; Sedgwick; Washington; Weld; Yuma.</v>
      </c>
      <c r="K7556" s="11">
        <v>0</v>
      </c>
    </row>
    <row r="7557" spans="5:11" x14ac:dyDescent="0.35">
      <c r="E7557" s="9" t="str">
        <v>ESRI</v>
      </c>
      <c r="F7557" s="7" t="str">
        <v>103248</v>
      </c>
      <c r="G7557" t="str">
        <v>ProjectedCrs</v>
      </c>
      <c r="H7557" t="str">
        <v>Lambert Conic Conformal (2SP)</v>
      </c>
      <c r="I7557" t="str">
        <v>NAD_1983_CORS96_StatePlane_Colorado_Central_FIPS_0502_Ft_US</v>
      </c>
      <c r="J7557" t="str">
        <v>United States (USA) - Colorado - counties Arapahoe; Chaffee; Cheyenne; Clear Creek; Delta; Denver; Douglas; Eagle; El Paso; Elbert; Fremont; Garfield; Gunnison; Jefferson; Kit Carson; Lake; Lincoln; Mesa; Park; Pitkin; Summit; Teller.</v>
      </c>
      <c r="K7557" s="11">
        <v>0</v>
      </c>
    </row>
    <row r="7558" spans="5:11" x14ac:dyDescent="0.35">
      <c r="E7558" s="9" t="str">
        <v>ESRI</v>
      </c>
      <c r="F7558" s="7" t="str">
        <v>103249</v>
      </c>
      <c r="G7558" t="str">
        <v>ProjectedCrs</v>
      </c>
      <c r="H7558" t="str">
        <v>Lambert Conic Conformal (2SP)</v>
      </c>
      <c r="I7558" t="str">
        <v>NAD_1983_CORS96_StatePlane_Colorado_South_FIPS_0503_Ft_US</v>
      </c>
      <c r="J7558" t="str">
        <v>United States (USA) - Colorado - counties Alamosa; Archuleta; Baca; Bent; Conejos; Costilla; Crowley; Custer; Dolores; Hinsdale; Huerfano; Kiowa; La Plata; Las Animas; Mineral; Montezuma; Montrose; Otero; Ouray; Prowers; Pueblo; Rio Grande; Saguache; San Juan; San Miguel.</v>
      </c>
      <c r="K7558" s="11">
        <v>0</v>
      </c>
    </row>
    <row r="7559" spans="5:11" x14ac:dyDescent="0.35">
      <c r="E7559" s="9" t="str">
        <v>ESRI</v>
      </c>
      <c r="F7559" s="7" t="str">
        <v>103250</v>
      </c>
      <c r="G7559" t="str">
        <v>ProjectedCrs</v>
      </c>
      <c r="H7559" t="str">
        <v>Lambert Conic Conformal (2SP)</v>
      </c>
      <c r="I7559" t="str">
        <v>NAD_1983_CORS96_StatePlane_Connecticut_FIPS_0600</v>
      </c>
      <c r="J7559" t="str">
        <v>United States (USA) - Connecticut - counties of Fairfield; Hartford; Litchfield; Middlesex; New Haven; New London; Tolland; Windham.</v>
      </c>
      <c r="K7559" s="11">
        <v>0</v>
      </c>
    </row>
    <row r="7560" spans="5:11" x14ac:dyDescent="0.35">
      <c r="E7560" s="9" t="str">
        <v>ESRI</v>
      </c>
      <c r="F7560" s="7" t="str">
        <v>103251</v>
      </c>
      <c r="G7560" t="str">
        <v>ProjectedCrs</v>
      </c>
      <c r="H7560" t="str">
        <v>Lambert Conic Conformal (2SP)</v>
      </c>
      <c r="I7560" t="str">
        <v>NAD_1983_CORS96_StatePlane_Connecticut_FIPS_0600_Ft_US</v>
      </c>
      <c r="J7560" t="str">
        <v>United States (USA) - Connecticut - counties of Fairfield; Hartford; Litchfield; Middlesex; New Haven; New London; Tolland; Windham.</v>
      </c>
      <c r="K7560" s="11">
        <v>0</v>
      </c>
    </row>
    <row r="7561" spans="5:11" x14ac:dyDescent="0.35">
      <c r="E7561" s="9" t="str">
        <v>ESRI</v>
      </c>
      <c r="F7561" s="7" t="str">
        <v>103252</v>
      </c>
      <c r="G7561" t="str">
        <v>ProjectedCrs</v>
      </c>
      <c r="H7561" t="str">
        <v>Transverse Mercator</v>
      </c>
      <c r="I7561" t="str">
        <v>NAD_1983_CORS96_StatePlane_Delaware_FIPS_0700</v>
      </c>
      <c r="J7561" t="str">
        <v>United States (USA) - Delaware - counties of Kent; New Castle; Sussex.</v>
      </c>
      <c r="K7561" s="11">
        <v>0</v>
      </c>
    </row>
    <row r="7562" spans="5:11" x14ac:dyDescent="0.35">
      <c r="E7562" s="9" t="str">
        <v>ESRI</v>
      </c>
      <c r="F7562" s="7" t="str">
        <v>103253</v>
      </c>
      <c r="G7562" t="str">
        <v>ProjectedCrs</v>
      </c>
      <c r="H7562" t="str">
        <v>Transverse Mercator</v>
      </c>
      <c r="I7562" t="str">
        <v>NAD_1983_CORS96_StatePlane_Delaware_FIPS_0700_Ft_US</v>
      </c>
      <c r="J7562" t="str">
        <v>United States (USA) - Delaware - counties of Kent; New Castle; Sussex.</v>
      </c>
      <c r="K7562" s="11">
        <v>0</v>
      </c>
    </row>
    <row r="7563" spans="5:11" x14ac:dyDescent="0.35">
      <c r="E7563" s="9" t="str">
        <v>ESRI</v>
      </c>
      <c r="F7563" s="7" t="str">
        <v>103254</v>
      </c>
      <c r="G7563" t="str">
        <v>ProjectedCrs</v>
      </c>
      <c r="H7563" t="str">
        <v>Transverse Mercator</v>
      </c>
      <c r="I7563" t="str">
        <v>NAD_1983_CORS96_StatePlane_Florida_East_FIPS_0901</v>
      </c>
      <c r="J7563" t="str">
        <v>United States (USA) - Florida - counties of Brevard; Broward; Clay; Collier; Dade; Duval; Flagler; Glades; Hendry; Highlands; Indian River; Lake; Martin; Monroe; Nassau; Okeechobee; Orange; Osceola; Palm Beach; Putnam; Seminole; St Johns; St Lucie; Volusia.</v>
      </c>
      <c r="K7563" s="11">
        <v>0</v>
      </c>
    </row>
    <row r="7564" spans="5:11" x14ac:dyDescent="0.35">
      <c r="E7564" s="9" t="str">
        <v>ESRI</v>
      </c>
      <c r="F7564" s="7" t="str">
        <v>103255</v>
      </c>
      <c r="G7564" t="str">
        <v>ProjectedCrs</v>
      </c>
      <c r="H7564" t="str">
        <v>Transverse Mercator</v>
      </c>
      <c r="I7564" t="str">
        <v>NAD_1983_CORS96_StatePlane_Florida_West_FIPS_0902</v>
      </c>
      <c r="J7564" t="str">
        <v>United States (USA) - Florida - counties of Charlotte; Citrus; De Soto; Hardee; Hernando; Hillsborough; Lee; Levy; Manatee; Marion; Pasco; Pinellas; Polk; Sarasota; Sumter.</v>
      </c>
      <c r="K7564" s="11">
        <v>0</v>
      </c>
    </row>
    <row r="7565" spans="5:11" x14ac:dyDescent="0.35">
      <c r="E7565" s="9" t="str">
        <v>ESRI</v>
      </c>
      <c r="F7565" s="7" t="str">
        <v>103256</v>
      </c>
      <c r="G7565" t="str">
        <v>ProjectedCrs</v>
      </c>
      <c r="H7565" t="str">
        <v>Lambert Conic Conformal (2SP)</v>
      </c>
      <c r="I7565" t="str">
        <v>NAD_1983_CORS96_StatePlane_Florida_North_FIPS_0903</v>
      </c>
      <c r="J7565" t="str">
        <v>United States (USA) - Florida - counties of Alachua; Baker; Bay; Bradford; Calhoun; Columbia; Dixie; Escambia; Franklin; Gadsden; Gilchrist; Gulf; Hamilton; Holmes; Jackson; Jefferson; Lafayette; Leon; Liberty; Madison; Okaloosa; Santa Rosa; Suwannee; Taylor; Union; Wakulla; Walton; Washington.</v>
      </c>
      <c r="K7565" s="11">
        <v>0</v>
      </c>
    </row>
    <row r="7566" spans="5:11" x14ac:dyDescent="0.35">
      <c r="E7566" s="9" t="str">
        <v>ESRI</v>
      </c>
      <c r="F7566" s="7" t="str">
        <v>103257</v>
      </c>
      <c r="G7566" t="str">
        <v>ProjectedCrs</v>
      </c>
      <c r="H7566" t="str">
        <v>Transverse Mercator</v>
      </c>
      <c r="I7566" t="str">
        <v>NAD_1983_CORS96_StatePlane_Florida_East_FIPS_0901_Ft_US</v>
      </c>
      <c r="J7566" t="str">
        <v>United States (USA) - Florida - counties of Brevard; Broward; Clay; Collier; Dade; Duval; Flagler; Glades; Hendry; Highlands; Indian River; Lake; Martin; Monroe; Nassau; Okeechobee; Orange; Osceola; Palm Beach; Putnam; Seminole; St Johns; St Lucie; Volusia.</v>
      </c>
      <c r="K7566" s="11">
        <v>0</v>
      </c>
    </row>
    <row r="7567" spans="5:11" x14ac:dyDescent="0.35">
      <c r="E7567" s="9" t="str">
        <v>ESRI</v>
      </c>
      <c r="F7567" s="7" t="str">
        <v>103258</v>
      </c>
      <c r="G7567" t="str">
        <v>ProjectedCrs</v>
      </c>
      <c r="H7567" t="str">
        <v>Transverse Mercator</v>
      </c>
      <c r="I7567" t="str">
        <v>NAD_1983_CORS96_StatePlane_Florida_West_FIPS_0902_Ft_US</v>
      </c>
      <c r="J7567" t="str">
        <v>United States (USA) - Florida - counties of Charlotte; Citrus; De Soto; Hardee; Hernando; Hillsborough; Lee; Levy; Manatee; Marion; Pasco; Pinellas; Polk; Sarasota; Sumter.</v>
      </c>
      <c r="K7567" s="11">
        <v>0</v>
      </c>
    </row>
    <row r="7568" spans="5:11" x14ac:dyDescent="0.35">
      <c r="E7568" s="9" t="str">
        <v>ESRI</v>
      </c>
      <c r="F7568" s="7" t="str">
        <v>103259</v>
      </c>
      <c r="G7568" t="str">
        <v>ProjectedCrs</v>
      </c>
      <c r="H7568" t="str">
        <v>Lambert Conic Conformal (2SP)</v>
      </c>
      <c r="I7568" t="str">
        <v>NAD_1983_CORS96_StatePlane_Florida_North_FIPS_0903_Ft_US</v>
      </c>
      <c r="J7568" t="str">
        <v>United States (USA) - Florida - counties of Alachua; Baker; Bay; Bradford; Calhoun; Columbia; Dixie; Escambia; Franklin; Gadsden; Gilchrist; Gulf; Hamilton; Holmes; Jackson; Jefferson; Lafayette; Leon; Liberty; Madison; Okaloosa; Santa Rosa; Suwannee; Taylor; Union; Wakulla; Walton; Washington.</v>
      </c>
      <c r="K7568" s="11">
        <v>0</v>
      </c>
    </row>
    <row r="7569" spans="5:11" x14ac:dyDescent="0.35">
      <c r="E7569" s="9" t="str">
        <v>ESRI</v>
      </c>
      <c r="F7569" s="7" t="str">
        <v>103260</v>
      </c>
      <c r="G7569" t="str">
        <v>ProjectedCrs</v>
      </c>
      <c r="H7569" t="str">
        <v>Transverse Mercator</v>
      </c>
      <c r="I7569" t="str">
        <v>NAD_1983_CORS96_StatePlane_Georgia_East_FIPS_1001</v>
      </c>
      <c r="J7569"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7569" s="11">
        <v>0</v>
      </c>
    </row>
    <row r="7570" spans="5:11" x14ac:dyDescent="0.35">
      <c r="E7570" s="9" t="str">
        <v>ESRI</v>
      </c>
      <c r="F7570" s="7" t="str">
        <v>103261</v>
      </c>
      <c r="G7570" t="str">
        <v>ProjectedCrs</v>
      </c>
      <c r="H7570" t="str">
        <v>Transverse Mercator</v>
      </c>
      <c r="I7570" t="str">
        <v>NAD_1983_CORS96_StatePlane_Georgia_West_FIPS_1002</v>
      </c>
      <c r="J7570"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7570" s="11">
        <v>0</v>
      </c>
    </row>
    <row r="7571" spans="5:11" x14ac:dyDescent="0.35">
      <c r="E7571" s="9" t="str">
        <v>ESRI</v>
      </c>
      <c r="F7571" s="7" t="str">
        <v>103262</v>
      </c>
      <c r="G7571" t="str">
        <v>ProjectedCrs</v>
      </c>
      <c r="H7571" t="str">
        <v>Transverse Mercator</v>
      </c>
      <c r="I7571" t="str">
        <v>NAD_1983_CORS96_StatePlane_Georgia_East_FIPS_1001_Ft_US</v>
      </c>
      <c r="J7571" t="str">
        <v>United States (USA) - Georgia - counties of Appling; Atkinson; Bacon; Baldwin; Brantley; Bryan; Bulloch; Burke; Camden; Candler; Charlton; Chatham; Clinch; Coffee; Columbia; Dodge; Echols; Effingham; Elbert; Emanuel; Evans; Franklin; Glascock; Glynn; Greene; Hancock; Hart; Jeff Davis; Jefferson; Jenkins; Johnson; Lanier; Laurens; Liberty; Lincoln; Long; Madison; McDuffie; McIntosh; Montgomery; Oglethorpe; Pierce; Richmond; Screven; Stephens; Taliaferro; Tattnall; Telfair; Toombs; Treutlen; Ware; Warren; Washington; Wayne; Wheeler; Wilkes; Wilkinson.</v>
      </c>
      <c r="K7571" s="11">
        <v>0</v>
      </c>
    </row>
    <row r="7572" spans="5:11" x14ac:dyDescent="0.35">
      <c r="E7572" s="9" t="str">
        <v>ESRI</v>
      </c>
      <c r="F7572" s="7" t="str">
        <v>103263</v>
      </c>
      <c r="G7572" t="str">
        <v>ProjectedCrs</v>
      </c>
      <c r="H7572" t="str">
        <v>Transverse Mercator</v>
      </c>
      <c r="I7572" t="str">
        <v>NAD_1983_CORS96_StatePlane_Georgia_West_FIPS_1002_Ft_US</v>
      </c>
      <c r="J7572" t="str">
        <v>United States (USA) - Georgia - counties of Baker; Banks; Barrow; Bartow; Ben Hill; Berrien; Bibb; Bleckley; Brooks; Butts; Calhoun; Carroll; Catoosa; Chattahoochee; Chattooga; Cherokee; Clarke; Clay; Clayton; Cobb; Colquitt; Cook; Coweta; Crawford; Crisp; Dade; Dawson; De Kalb; Decatur; Dooly; Dougherty; Douglas; Early; Fannin; Fayette; Floyd; Forsyth; Fulton; Gilmer; Gordon; Grady; Gwinnett; Habersham; Hall; Haralson; Harris; Heard; Henry; Houston; Irwin; Jackson; Jasper; Jones; Lamar; Lee; Lowndes; Lumpkin; Macon; Marion; Meriwether; Miller; Mitchell; Monroe; Morgan; Murray; Muscogee; Newton; Oconee; Paulding; Peach; Pickens; Pike; Polk; Pulaski; Putnam; Quitman; Rabun; Randolph; Rockdale; Schley; Seminole; Spalding; Stewart; Sumter; Talbot; Taylor; Terrell; Thomas; Tift; Towns; Troup; Turner; Twiggs; Union; Upson; Walker; Walton; Webster; White; Whitfield; Wilcox; Worth.</v>
      </c>
      <c r="K7572" s="11">
        <v>0</v>
      </c>
    </row>
    <row r="7573" spans="5:11" x14ac:dyDescent="0.35">
      <c r="E7573" s="9" t="str">
        <v>ESRI</v>
      </c>
      <c r="F7573" s="7" t="str">
        <v>103264</v>
      </c>
      <c r="G7573" t="str">
        <v>ProjectedCrs</v>
      </c>
      <c r="H7573" t="str">
        <v>Transverse Mercator</v>
      </c>
      <c r="I7573" t="str">
        <v>NAD_1983_CORS96_StatePlane_Idaho_East_FIPS_1101</v>
      </c>
      <c r="J7573" t="str">
        <v>United States (USA) - Idaho - counties of Bannock; Bear Lake; Bingham; Bonneville; Caribou; Clark; Franklin; Fremont; Jefferson; Madison; Oneida; Power; Teton.</v>
      </c>
      <c r="K7573" s="11">
        <v>0</v>
      </c>
    </row>
    <row r="7574" spans="5:11" x14ac:dyDescent="0.35">
      <c r="E7574" s="9" t="str">
        <v>ESRI</v>
      </c>
      <c r="F7574" s="7" t="str">
        <v>103265</v>
      </c>
      <c r="G7574" t="str">
        <v>ProjectedCrs</v>
      </c>
      <c r="H7574" t="str">
        <v>Transverse Mercator</v>
      </c>
      <c r="I7574" t="str">
        <v>NAD_1983_CORS96_StatePlane_Idaho_Central_FIPS_1102</v>
      </c>
      <c r="J7574" t="str">
        <v>United States (USA) - Idaho - counties of Blaine; Butte; Camas; Cassia; Custer; Gooding; Jerome; Lemhi; Lincoln; Minidoka; Twin Falls.</v>
      </c>
      <c r="K7574" s="11">
        <v>0</v>
      </c>
    </row>
    <row r="7575" spans="5:11" x14ac:dyDescent="0.35">
      <c r="E7575" s="9" t="str">
        <v>ESRI</v>
      </c>
      <c r="F7575" s="7" t="str">
        <v>103266</v>
      </c>
      <c r="G7575" t="str">
        <v>ProjectedCrs</v>
      </c>
      <c r="H7575" t="str">
        <v>Transverse Mercator</v>
      </c>
      <c r="I7575" t="str">
        <v>NAD_1983_CORS96_StatePlane_Idaho_West_FIPS_1103</v>
      </c>
      <c r="J7575" t="str">
        <v>United States (USA) - Idaho - counties of Ada; Adams; Benewah; Boise; Bonner; Boundary; Canyon; Clearwater; Elmore; Gem; Idaho; Kootenai; Latah; Lewis; Nez Perce; Owyhee; Payette; Shoshone; Valley; Washington.</v>
      </c>
      <c r="K7575" s="11">
        <v>0</v>
      </c>
    </row>
    <row r="7576" spans="5:11" x14ac:dyDescent="0.35">
      <c r="E7576" s="9" t="str">
        <v>ESRI</v>
      </c>
      <c r="F7576" s="7" t="str">
        <v>103267</v>
      </c>
      <c r="G7576" t="str">
        <v>ProjectedCrs</v>
      </c>
      <c r="H7576" t="str">
        <v>Transverse Mercator</v>
      </c>
      <c r="I7576" t="str">
        <v>NAD_1983_CORS96_StatePlane_Idaho_East_FIPS_1101_Ft_US</v>
      </c>
      <c r="J7576" t="str">
        <v>United States (USA) - Idaho - counties of Bannock; Bear Lake; Bingham; Bonneville; Caribou; Clark; Franklin; Fremont; Jefferson; Madison; Oneida; Power; Teton.</v>
      </c>
      <c r="K7576" s="11">
        <v>0</v>
      </c>
    </row>
    <row r="7577" spans="5:11" x14ac:dyDescent="0.35">
      <c r="E7577" s="9" t="str">
        <v>ESRI</v>
      </c>
      <c r="F7577" s="7" t="str">
        <v>103268</v>
      </c>
      <c r="G7577" t="str">
        <v>ProjectedCrs</v>
      </c>
      <c r="H7577" t="str">
        <v>Transverse Mercator</v>
      </c>
      <c r="I7577" t="str">
        <v>NAD_1983_CORS96_StatePlane_Idaho_Central_FIPS_1102_Ft_US</v>
      </c>
      <c r="J7577" t="str">
        <v>United States (USA) - Idaho - counties of Blaine; Butte; Camas; Cassia; Custer; Gooding; Jerome; Lemhi; Lincoln; Minidoka; Twin Falls.</v>
      </c>
      <c r="K7577" s="11">
        <v>0</v>
      </c>
    </row>
    <row r="7578" spans="5:11" x14ac:dyDescent="0.35">
      <c r="E7578" s="9" t="str">
        <v>ESRI</v>
      </c>
      <c r="F7578" s="7" t="str">
        <v>103269</v>
      </c>
      <c r="G7578" t="str">
        <v>ProjectedCrs</v>
      </c>
      <c r="H7578" t="str">
        <v>Transverse Mercator</v>
      </c>
      <c r="I7578" t="str">
        <v>NAD_1983_CORS96_StatePlane_Idaho_West_FIPS_1103_Ft_US</v>
      </c>
      <c r="J7578" t="str">
        <v>United States (USA) - Idaho - counties of Ada; Adams; Benewah; Boise; Bonner; Boundary; Canyon; Clearwater; Elmore; Gem; Idaho; Kootenai; Latah; Lewis; Nez Perce; Owyhee; Payette; Shoshone; Valley; Washington.</v>
      </c>
      <c r="K7578" s="11">
        <v>0</v>
      </c>
    </row>
    <row r="7579" spans="5:11" x14ac:dyDescent="0.35">
      <c r="E7579" s="9" t="str">
        <v>ESRI</v>
      </c>
      <c r="F7579" s="7" t="str">
        <v>103270</v>
      </c>
      <c r="G7579" t="str">
        <v>ProjectedCrs</v>
      </c>
      <c r="H7579" t="str">
        <v>Transverse Mercator</v>
      </c>
      <c r="I7579" t="str">
        <v>NAD_1983_CORS96_StatePlane_Illinois_East_FIPS_1201</v>
      </c>
      <c r="J7579"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7579" s="11">
        <v>0</v>
      </c>
    </row>
    <row r="7580" spans="5:11" x14ac:dyDescent="0.35">
      <c r="E7580" s="9" t="str">
        <v>ESRI</v>
      </c>
      <c r="F7580" s="7" t="str">
        <v>103271</v>
      </c>
      <c r="G7580" t="str">
        <v>ProjectedCrs</v>
      </c>
      <c r="H7580" t="str">
        <v>Transverse Mercator</v>
      </c>
      <c r="I7580" t="str">
        <v>NAD_1983_CORS96_StatePlane_Illinois_West_FIPS_1202</v>
      </c>
      <c r="J7580"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7580" s="11">
        <v>0</v>
      </c>
    </row>
    <row r="7581" spans="5:11" x14ac:dyDescent="0.35">
      <c r="E7581" s="9" t="str">
        <v>ESRI</v>
      </c>
      <c r="F7581" s="7" t="str">
        <v>103272</v>
      </c>
      <c r="G7581" t="str">
        <v>ProjectedCrs</v>
      </c>
      <c r="H7581" t="str">
        <v>Transverse Mercator</v>
      </c>
      <c r="I7581" t="str">
        <v>NAD_1983_CORS96_StatePlane_Illinois_East_FIPS_1201_Ft_US</v>
      </c>
      <c r="J7581" t="str">
        <v>United States (USA) - Illinois - counties of Boone; Champaign; Clark; Clay; Coles; Cook; Crawford; Cumberland; De Kalb; De Witt; Douglas; Du Page; Edgar; Edwards; Effingham; Fayette; Ford; Franklin; Gallatin; Grundy; Hamilton; Hardin; Iroquois; Jasper; Jefferson; Johnson; Kane; Kankakee; Kendall; La Salle; Lake; Lawrence; Livingston; Macon; Marion; Massac; McHenry; McLean; Moultrie; Piatt; Pope; Richland; Saline; Shelby; Vermilion; Wabash; Wayne; White; Will; Williamson.</v>
      </c>
      <c r="K7581" s="11">
        <v>0</v>
      </c>
    </row>
    <row r="7582" spans="5:11" x14ac:dyDescent="0.35">
      <c r="E7582" s="9" t="str">
        <v>ESRI</v>
      </c>
      <c r="F7582" s="7" t="str">
        <v>103273</v>
      </c>
      <c r="G7582" t="str">
        <v>ProjectedCrs</v>
      </c>
      <c r="H7582" t="str">
        <v>Transverse Mercator</v>
      </c>
      <c r="I7582" t="str">
        <v>NAD_1983_CORS96_StatePlane_Illinois_West_FIPS_1202_Ft_US</v>
      </c>
      <c r="J7582" t="str">
        <v>United States (USA) - Illinois - counties of Adams; Alexander; Bond; Brown; Bureau; Calhoun; Carroll; Cass; Christian; Clinton; Fulton; Greene; Hancock; Henderson; Henry; Jackson; Jersey; Jo Daviess; Knox; Lee; Logan; Macoupin; Madison; Marshall; Mason; McDonough; Menard; Mercer; Monroe; Montgomery; Morgan; Ogle; Peoria; Perry; Pike; Pulaski; Putnam; Randolph; Rock Island; Sangamon; Schuyler; Scott; St Clair; Stark; Stephenson; Tazewell; Union; Warren; Washington; Whiteside; Winnebago; Woodford.</v>
      </c>
      <c r="K7582" s="11">
        <v>0</v>
      </c>
    </row>
    <row r="7583" spans="5:11" x14ac:dyDescent="0.35">
      <c r="E7583" s="9" t="str">
        <v>ESRI</v>
      </c>
      <c r="F7583" s="7" t="str">
        <v>103274</v>
      </c>
      <c r="G7583" t="str">
        <v>ProjectedCrs</v>
      </c>
      <c r="H7583" t="str">
        <v>Transverse Mercator</v>
      </c>
      <c r="I7583" t="str">
        <v>NAD_1983_CORS96_StatePlane_Indiana_East_FIPS_1301</v>
      </c>
      <c r="J7583"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7583" s="11">
        <v>0</v>
      </c>
    </row>
    <row r="7584" spans="5:11" x14ac:dyDescent="0.35">
      <c r="E7584" s="9" t="str">
        <v>ESRI</v>
      </c>
      <c r="F7584" s="7" t="str">
        <v>103275</v>
      </c>
      <c r="G7584" t="str">
        <v>ProjectedCrs</v>
      </c>
      <c r="H7584" t="str">
        <v>Transverse Mercator</v>
      </c>
      <c r="I7584" t="str">
        <v>NAD_1983_CORS96_StatePlane_Indiana_West_FIPS_1302</v>
      </c>
      <c r="J7584"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7584" s="11">
        <v>0</v>
      </c>
    </row>
    <row r="7585" spans="5:11" x14ac:dyDescent="0.35">
      <c r="E7585" s="9" t="str">
        <v>ESRI</v>
      </c>
      <c r="F7585" s="7" t="str">
        <v>103276</v>
      </c>
      <c r="G7585" t="str">
        <v>ProjectedCrs</v>
      </c>
      <c r="H7585" t="str">
        <v>Transverse Mercator</v>
      </c>
      <c r="I7585" t="str">
        <v>NAD_1983_CORS96_StatePlane_Indiana_East_FIPS_1301_Ft_US</v>
      </c>
      <c r="J7585" t="str">
        <v>United States (USA) - Indiana - counties of Adams; Allen; Bartholomew; Blackford; Brown; Cass; Clark; De Kalb; Dearborn; Decatur; Delaware; Elkhart; Fayette; Floyd; Franklin; Fulton; Grant; Hamilton; Hancock; Harrison; Henry; Howard; Huntington; Jackson; Jay; Jefferson; Jennings; Johnson; Kosciusko; Lagrange; Madison; Marion; Marshall; Miami; Noble; Ohio; Randolph; Ripley; Rush; Scott; Shelby; St Joseph; Steuben; Switzerland; Tipton; Union; Wabash; Washington; Wayne; Wells; Whitley.</v>
      </c>
      <c r="K7585" s="11">
        <v>0</v>
      </c>
    </row>
    <row r="7586" spans="5:11" x14ac:dyDescent="0.35">
      <c r="E7586" s="9" t="str">
        <v>ESRI</v>
      </c>
      <c r="F7586" s="7" t="str">
        <v>103277</v>
      </c>
      <c r="G7586" t="str">
        <v>ProjectedCrs</v>
      </c>
      <c r="H7586" t="str">
        <v>Transverse Mercator</v>
      </c>
      <c r="I7586" t="str">
        <v>NAD_1983_CORS96_StatePlane_Indiana_West_FIPS_1302_Ft_US</v>
      </c>
      <c r="J7586" t="str">
        <v>United States (USA) - Indiana - counties of Benton; Boone; Carroll; Clay; Clinton; Crawford; Daviess; Dubois; Fountain; Gibson; Greene; Hendricks; Jasper; Knox; La Porte; Lake; Lawrence; Martin; Monroe; Montgomery; Morgan; Newton; Orange; Owen; Parke; Perry; Pike; Porter; Posey; Pulaski; Putnam; Spencer; Starke; Sullivan; Tippecanoe; Vanderburgh; Vermillion; Vigo; Warren; Warrick; White.</v>
      </c>
      <c r="K7586" s="11">
        <v>0</v>
      </c>
    </row>
    <row r="7587" spans="5:11" x14ac:dyDescent="0.35">
      <c r="E7587" s="9" t="str">
        <v>ESRI</v>
      </c>
      <c r="F7587" s="7" t="str">
        <v>103278</v>
      </c>
      <c r="G7587" t="str">
        <v>ProjectedCrs</v>
      </c>
      <c r="H7587" t="str">
        <v>Lambert Conic Conformal (2SP)</v>
      </c>
      <c r="I7587" t="str">
        <v>NAD_1983_CORS96_StatePlane_Iowa_North_FIPS_1401</v>
      </c>
      <c r="J7587"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7587" s="11">
        <v>0</v>
      </c>
    </row>
    <row r="7588" spans="5:11" x14ac:dyDescent="0.35">
      <c r="E7588" s="9" t="str">
        <v>ESRI</v>
      </c>
      <c r="F7588" s="7" t="str">
        <v>103279</v>
      </c>
      <c r="G7588" t="str">
        <v>ProjectedCrs</v>
      </c>
      <c r="H7588" t="str">
        <v>Lambert Conic Conformal (2SP)</v>
      </c>
      <c r="I7588" t="str">
        <v>NAD_1983_CORS96_StatePlane_Iowa_South_FIPS_1402</v>
      </c>
      <c r="J7588"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7588" s="11">
        <v>0</v>
      </c>
    </row>
    <row r="7589" spans="5:11" x14ac:dyDescent="0.35">
      <c r="E7589" s="9" t="str">
        <v>ESRI</v>
      </c>
      <c r="F7589" s="7" t="str">
        <v>103280</v>
      </c>
      <c r="G7589" t="str">
        <v>ProjectedCrs</v>
      </c>
      <c r="H7589" t="str">
        <v>Lambert Conic Conformal (2SP)</v>
      </c>
      <c r="I7589" t="str">
        <v>NAD_1983_CORS96_StatePlane_Iowa_North_FIPS_1401_Ft_US</v>
      </c>
      <c r="J7589" t="str">
        <v>United States (USA) - Iowa - counties of Allamakee; Benton; Black Hawk; Boone; Bremer; Buchanan; Buena Vista; Butler; Calhoun; Carroll; Cerro Gordo; Cherokee; Chickasaw; Clay; Clayton; Crawford; Delaware; Dickinson; Dubuque; Emmet; Fayette; Floyd; Franklin; Greene; Grundy; Hamilton; Hancock; Hardin; Howard; Humboldt; Ida; Jackson; Jones; Kossuth; Linn; Lyon; Marshall; Mitchell; Monona; O'Brien; Osceola; Palo Alto; Plymouth; Pocahontas; Sac; Sioux; Story; Tama; Webster; Winnebago; Winneshiek; Woodbury; Worth; Wright.</v>
      </c>
      <c r="K7589" s="11">
        <v>0</v>
      </c>
    </row>
    <row r="7590" spans="5:11" x14ac:dyDescent="0.35">
      <c r="E7590" s="9" t="str">
        <v>ESRI</v>
      </c>
      <c r="F7590" s="7" t="str">
        <v>103281</v>
      </c>
      <c r="G7590" t="str">
        <v>ProjectedCrs</v>
      </c>
      <c r="H7590" t="str">
        <v>Lambert Conic Conformal (2SP)</v>
      </c>
      <c r="I7590" t="str">
        <v>NAD_1983_CORS96_StatePlane_Iowa_South_FIPS_1402_Ft_US</v>
      </c>
      <c r="J7590" t="str">
        <v>United States (USA) - Iowa - counties of Adair; Adams; Appanoose; Audubon; Cass; Cedar; Clarke; Clinton; Dallas; Davis; Decatur; Des Moines; Fremont; Guthrie; Harrison; Henry; Iowa; Jasper; Jefferson; Johnson; Keokuk; Lee; Louisa; Lucas; Madison; Mahaska; Marion; Mills; Monroe; Montgomery; Muscatine; Page; Polk; Pottawattamie; Poweshiek; Ringgold; Scott; Shelby; Taylor; Union; Van Buren; Wapello; Warren; Washington; Wayne.</v>
      </c>
      <c r="K7590" s="11">
        <v>0</v>
      </c>
    </row>
    <row r="7591" spans="5:11" x14ac:dyDescent="0.35">
      <c r="E7591" s="9" t="str">
        <v>ESRI</v>
      </c>
      <c r="F7591" s="7" t="str">
        <v>103282</v>
      </c>
      <c r="G7591" t="str">
        <v>ProjectedCrs</v>
      </c>
      <c r="H7591" t="str">
        <v>Lambert Conic Conformal (2SP)</v>
      </c>
      <c r="I7591" t="str">
        <v>NAD_1983_CORS96_StatePlane_Kansas_North_FIPS_1501</v>
      </c>
      <c r="J7591"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7591" s="11">
        <v>0</v>
      </c>
    </row>
    <row r="7592" spans="5:11" x14ac:dyDescent="0.35">
      <c r="E7592" s="9" t="str">
        <v>ESRI</v>
      </c>
      <c r="F7592" s="7" t="str">
        <v>103283</v>
      </c>
      <c r="G7592" t="str">
        <v>ProjectedCrs</v>
      </c>
      <c r="H7592" t="str">
        <v>Lambert Conic Conformal (2SP)</v>
      </c>
      <c r="I7592" t="str">
        <v>NAD_1983_CORS96_StatePlane_Kansas_South_FIPS_1502</v>
      </c>
      <c r="J7592"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7592" s="11">
        <v>0</v>
      </c>
    </row>
    <row r="7593" spans="5:11" x14ac:dyDescent="0.35">
      <c r="E7593" s="9" t="str">
        <v>ESRI</v>
      </c>
      <c r="F7593" s="7" t="str">
        <v>103284</v>
      </c>
      <c r="G7593" t="str">
        <v>ProjectedCrs</v>
      </c>
      <c r="H7593" t="str">
        <v>Lambert Conic Conformal (2SP)</v>
      </c>
      <c r="I7593" t="str">
        <v>NAD_1983_CORS96_StatePlane_Kansas_North_FIPS_1501_Ft_US</v>
      </c>
      <c r="J7593" t="str">
        <v>United States (USA) - Kansas - counties of Atchison; Brown; Cheyenne; Clay; Cloud; Decatur; Dickinson; Doniphan; Douglas; Ellis; Ellsworth; Geary; Gove; Graham; Jackson; Jefferson; Jewell; Johnson; Leavenworth; Lincoln; Logan; Marshall; Mitchell; Morris; Nemaha; Norton; Osborne; Ottawa; Phillips; Pottawatomie; Rawlins; Republic; Riley; Rooks; Russell; Saline; Shawnee; Sheridan; Sherman; Smith; Thomas; Trego; Wabaunsee; Wallace; Washington; Wyandotte.</v>
      </c>
      <c r="K7593" s="11">
        <v>0</v>
      </c>
    </row>
    <row r="7594" spans="5:11" x14ac:dyDescent="0.35">
      <c r="E7594" s="9" t="str">
        <v>ESRI</v>
      </c>
      <c r="F7594" s="7" t="str">
        <v>103285</v>
      </c>
      <c r="G7594" t="str">
        <v>ProjectedCrs</v>
      </c>
      <c r="H7594" t="str">
        <v>Lambert Conic Conformal (2SP)</v>
      </c>
      <c r="I7594" t="str">
        <v>NAD_1983_CORS96_StatePlane_Kansas_South_FIPS_1502_Ft_US</v>
      </c>
      <c r="J7594" t="str">
        <v>United States (USA) - Kansas - counties of Allen; Anderson; Barber; Barton; Bourbon; Butler; Chase; Chautauqua; Cherokee; Clark; Coffey; Comanche; Cowley; Crawford; Edwards; Elk; Finney; Ford; Franklin; Grant; Gray; Greeley; Greenwood; Hamilton; Harper; Harvey; Haskell; Hodgeman; Kearny; Kingman; Kiowa; Labette; Lane; Linn; Lyon; Marion; McPherson; Meade; Miami; Montgomery; Morton; Neosho; Ness; Osage; Pawnee; Pratt; Reno; Rice; Rush; Scott; Sedgwick; Seward; Stafford; Stanton; Stevens; Sumner; Wichita; Wilson; Woodson.</v>
      </c>
      <c r="K7594" s="11">
        <v>0</v>
      </c>
    </row>
    <row r="7595" spans="5:11" x14ac:dyDescent="0.35">
      <c r="E7595" s="9" t="str">
        <v>ESRI</v>
      </c>
      <c r="F7595" s="7" t="str">
        <v>103286</v>
      </c>
      <c r="G7595" t="str">
        <v>ProjectedCrs</v>
      </c>
      <c r="H7595" t="str">
        <v>Lambert Conic Conformal (2SP)</v>
      </c>
      <c r="I7595" t="str">
        <v>NAD_1983_CORS96_StatePlane_Kentucky_North_FIPS_1601</v>
      </c>
      <c r="J7595"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7595" s="11">
        <v>0</v>
      </c>
    </row>
    <row r="7596" spans="5:11" x14ac:dyDescent="0.35">
      <c r="E7596" s="9" t="str">
        <v>ESRI</v>
      </c>
      <c r="F7596" s="7" t="str">
        <v>103287</v>
      </c>
      <c r="G7596" t="str">
        <v>ProjectedCrs</v>
      </c>
      <c r="H7596" t="str">
        <v>Lambert Conic Conformal (2SP)</v>
      </c>
      <c r="I7596" t="str">
        <v>NAD_1983_CORS96_StatePlane_Kentucky_North_FIPS_1601_Ft_US</v>
      </c>
      <c r="J7596" t="str">
        <v>United States (USA) - Kentucky - counties of Anderson; Bath; Boone; Bourbon; Boyd; Bracken; Bullitt; Campbell; Carroll; Carter; Clark; Elliott; Fayette; Fleming; Franklin; Gallatin; Grant; Greenup; Harrison; Henry; Jefferson; Jessamine; Kenton; Lawrence; Lewis; Mason; Menifee; Montgomery; Morgan; Nicholas; Oldham; Owen; Pendleton; Robertson; Rowan; Scott; Shelby; Spencer; Trimble; Woodford.</v>
      </c>
      <c r="K7596" s="11">
        <v>0</v>
      </c>
    </row>
    <row r="7597" spans="5:11" x14ac:dyDescent="0.35">
      <c r="E7597" s="9" t="str">
        <v>ESRI</v>
      </c>
      <c r="F7597" s="7" t="str">
        <v>103288</v>
      </c>
      <c r="G7597" t="str">
        <v>ProjectedCrs</v>
      </c>
      <c r="H7597" t="str">
        <v>Lambert Conic Conformal (2SP)</v>
      </c>
      <c r="I7597" t="str">
        <v>NAD_1983_CORS96_StatePlane_Kentucky_FIPS_1600</v>
      </c>
      <c r="J7597" t="str">
        <v>United States (USA) - Kentucky.</v>
      </c>
      <c r="K7597" s="11">
        <v>0</v>
      </c>
    </row>
    <row r="7598" spans="5:11" x14ac:dyDescent="0.35">
      <c r="E7598" s="9" t="str">
        <v>ESRI</v>
      </c>
      <c r="F7598" s="7" t="str">
        <v>103289</v>
      </c>
      <c r="G7598" t="str">
        <v>ProjectedCrs</v>
      </c>
      <c r="H7598" t="str">
        <v>Lambert Conic Conformal (2SP)</v>
      </c>
      <c r="I7598" t="str">
        <v>NAD_1983_CORS96_StatePlane_Kentucky_FIPS_1600_Ft_US</v>
      </c>
      <c r="J7598" t="str">
        <v>United States (USA) - Kentucky.</v>
      </c>
      <c r="K7598" s="11">
        <v>0</v>
      </c>
    </row>
    <row r="7599" spans="5:11" x14ac:dyDescent="0.35">
      <c r="E7599" s="9" t="str">
        <v>ESRI</v>
      </c>
      <c r="F7599" s="7" t="str">
        <v>103290</v>
      </c>
      <c r="G7599" t="str">
        <v>ProjectedCrs</v>
      </c>
      <c r="H7599" t="str">
        <v>Lambert Conic Conformal (2SP)</v>
      </c>
      <c r="I7599" t="str">
        <v>NAD_1983_CORS96_StatePlane_Kentucky_South_FIPS_1602</v>
      </c>
      <c r="J7599"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7599" s="11">
        <v>0</v>
      </c>
    </row>
    <row r="7600" spans="5:11" x14ac:dyDescent="0.35">
      <c r="E7600" s="9" t="str">
        <v>ESRI</v>
      </c>
      <c r="F7600" s="7" t="str">
        <v>103291</v>
      </c>
      <c r="G7600" t="str">
        <v>ProjectedCrs</v>
      </c>
      <c r="H7600" t="str">
        <v>Lambert Conic Conformal (2SP)</v>
      </c>
      <c r="I7600" t="str">
        <v>NAD_1983_CORS96_StatePlane_Kentucky_South_FIPS_1602_Ft_US</v>
      </c>
      <c r="J7600" t="str">
        <v>United States (USA) - Kentucky - counties of Adair; Allen; Ballard; Barren; Bell; Boyle; Breathitt; Breckinridge; Butler; Caldwell; Calloway; Carlisle; Casey; Christian; Clay; Clinton; Crittenden; Cumberland; Daviess; Edmonson; Estill; Floyd; Fulton; Garrard; Graves; Grayson; Green; Hancock; Hardin; Harlan; Hart; Henderson; Hickman; Hopkins; Jackson; Johnson; Knott; Knox; Larue; Laurel; Lee; Leslie; Letcher; Lincoln; Livingston; Logan; Lyon; Madison; Magoffin; Marion; Marshall; Martin; McCracken; McCreary; McLean; Meade; Mercer; Metcalfe; Monroe; Muhlenberg; Nelson; Ohio; Owsley; Perry; Pike; Powell; Pulaski; Rockcastle; Russell; Simpson; Taylor; Todd; Trigg; Union; Warren; Washington; Wayne; Webster; Whitley; Wolfe.</v>
      </c>
      <c r="K7600" s="11">
        <v>0</v>
      </c>
    </row>
    <row r="7601" spans="5:11" x14ac:dyDescent="0.35">
      <c r="E7601" s="9" t="str">
        <v>ESRI</v>
      </c>
      <c r="F7601" s="7" t="str">
        <v>103292</v>
      </c>
      <c r="G7601" t="str">
        <v>ProjectedCrs</v>
      </c>
      <c r="H7601" t="str">
        <v>Lambert Conic Conformal (2SP)</v>
      </c>
      <c r="I7601" t="str">
        <v>NAD_1983_CORS96_StatePlane_Louisiana_North_FIPS_1701</v>
      </c>
      <c r="J7601"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7601" s="11">
        <v>0</v>
      </c>
    </row>
    <row r="7602" spans="5:11" x14ac:dyDescent="0.35">
      <c r="E7602" s="9" t="str">
        <v>ESRI</v>
      </c>
      <c r="F7602" s="7" t="str">
        <v>103293</v>
      </c>
      <c r="G7602" t="str">
        <v>ProjectedCrs</v>
      </c>
      <c r="H7602" t="str">
        <v>Lambert Conic Conformal (2SP)</v>
      </c>
      <c r="I7602" t="str">
        <v>NAD_1983_CORS96_StatePlane_Louisiana_South_FIPS_1702</v>
      </c>
      <c r="J7602"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7602" s="11">
        <v>0</v>
      </c>
    </row>
    <row r="7603" spans="5:11" x14ac:dyDescent="0.35">
      <c r="E7603" s="9" t="str">
        <v>ESRI</v>
      </c>
      <c r="F7603" s="7" t="str">
        <v>103294</v>
      </c>
      <c r="G7603" t="str">
        <v>ProjectedCrs</v>
      </c>
      <c r="H7603" t="str">
        <v>Lambert Conic Conformal (2SP)</v>
      </c>
      <c r="I7603" t="str">
        <v>NAD_1983_CORS96_StatePlane_Louisiana_North_FIPS_1701_Ft_US</v>
      </c>
      <c r="J7603" t="str">
        <v>United States (USA) - Louisiana - counties of Avoyelles; Bienville; Bossier; Caddo; Caldwell; Catahoula; Claiborne; Concordia; De Soto; East Carroll; Franklin; Grant; Jackson; La Salle; Lincoln; Madison; Morehouse; Natchitoches; Ouachita; Rapides; Red River; Richland; Sabine; Tensas; Union; Vernon; Webster; West Carroll; Winn.</v>
      </c>
      <c r="K7603" s="11">
        <v>0</v>
      </c>
    </row>
    <row r="7604" spans="5:11" x14ac:dyDescent="0.35">
      <c r="E7604" s="9" t="str">
        <v>ESRI</v>
      </c>
      <c r="F7604" s="7" t="str">
        <v>103295</v>
      </c>
      <c r="G7604" t="str">
        <v>ProjectedCrs</v>
      </c>
      <c r="H7604" t="str">
        <v>Lambert Conic Conformal (2SP)</v>
      </c>
      <c r="I7604" t="str">
        <v>NAD_1983_CORS96_StatePlane_Louisiana_South_FIPS_1702_Ft_US</v>
      </c>
      <c r="J7604" t="str">
        <v>United States (USA) - Louisiana - counties of Acadia; Allen; Ascension; Assumption; Beauregard; Calcasieu; Cameron; East Baton Rouge; East Feliciana; Evangeline; Iberia; Iberville; Jefferson; Jefferson Davis; Lafayette; LaFourche; Livingston; Orleans; Plaquemines; Pointe Coupee; St Bernard; St Charles; St Helena; St James; St John the Baptist; St Landry; St Martin; St Mary; St Tammany; Tangipahoa; Terrebonne; Vermilion; Washington; West Baton Rouge; West Feliciana.</v>
      </c>
      <c r="K7604" s="11">
        <v>0</v>
      </c>
    </row>
    <row r="7605" spans="5:11" x14ac:dyDescent="0.35">
      <c r="E7605" s="9" t="str">
        <v>ESRI</v>
      </c>
      <c r="F7605" s="7" t="str">
        <v>103296</v>
      </c>
      <c r="G7605" t="str">
        <v>ProjectedCrs</v>
      </c>
      <c r="H7605" t="str">
        <v>Transverse Mercator</v>
      </c>
      <c r="I7605" t="str">
        <v>NAD_1983_CORS96_StatePlane_Maine_East_FIPS_1801</v>
      </c>
      <c r="J7605" t="str">
        <v>United States (USA) - Maine - counties of Aroostook; Hancock; Knox; Penobscot; Piscataquis; Waldo; Washington.</v>
      </c>
      <c r="K7605" s="11">
        <v>0</v>
      </c>
    </row>
    <row r="7606" spans="5:11" x14ac:dyDescent="0.35">
      <c r="E7606" s="9" t="str">
        <v>ESRI</v>
      </c>
      <c r="F7606" s="7" t="str">
        <v>103297</v>
      </c>
      <c r="G7606" t="str">
        <v>ProjectedCrs</v>
      </c>
      <c r="H7606" t="str">
        <v>Transverse Mercator</v>
      </c>
      <c r="I7606" t="str">
        <v>NAD_1983_CORS96_StatePlane_Maine_West_FIPS_1802</v>
      </c>
      <c r="J7606" t="str">
        <v>United States (USA) - Maine - counties of Androscoggin; Cumberland; Franklin; Kennebec; Lincoln; Oxford; Sagadahoc; Somerset; York.</v>
      </c>
      <c r="K7606" s="11">
        <v>0</v>
      </c>
    </row>
    <row r="7607" spans="5:11" x14ac:dyDescent="0.35">
      <c r="E7607" s="9" t="str">
        <v>ESRI</v>
      </c>
      <c r="F7607" s="7" t="str">
        <v>103298</v>
      </c>
      <c r="G7607" t="str">
        <v>ProjectedCrs</v>
      </c>
      <c r="H7607" t="str">
        <v>Transverse Mercator</v>
      </c>
      <c r="I7607" t="str">
        <v>NAD_1983_CORS96_StatePlane_Maine_East_FIPS_1801_Ft_US</v>
      </c>
      <c r="J7607" t="str">
        <v>United States (USA) - Maine - counties of Aroostook; Hancock; Knox; Penobscot; Piscataquis; Waldo; Washington.</v>
      </c>
      <c r="K7607" s="11">
        <v>0</v>
      </c>
    </row>
    <row r="7608" spans="5:11" x14ac:dyDescent="0.35">
      <c r="E7608" s="9" t="str">
        <v>ESRI</v>
      </c>
      <c r="F7608" s="7" t="str">
        <v>103299</v>
      </c>
      <c r="G7608" t="str">
        <v>ProjectedCrs</v>
      </c>
      <c r="H7608" t="str">
        <v>Transverse Mercator</v>
      </c>
      <c r="I7608" t="str">
        <v>NAD_1983_CORS96_StatePlane_Maine_West_FIPS_1802_Ft_US</v>
      </c>
      <c r="J7608" t="str">
        <v>United States (USA) - Maine - counties of Androscoggin; Cumberland; Franklin; Kennebec; Lincoln; Oxford; Sagadahoc; Somerset; York.</v>
      </c>
      <c r="K7608" s="11">
        <v>0</v>
      </c>
    </row>
    <row r="7609" spans="5:11" x14ac:dyDescent="0.35">
      <c r="E7609" s="9" t="str">
        <v>ESRI</v>
      </c>
      <c r="F7609" s="7" t="str">
        <v>103300</v>
      </c>
      <c r="G7609" t="str">
        <v>ProjectedCrs</v>
      </c>
      <c r="H7609" t="str">
        <v>Transverse Mercator</v>
      </c>
      <c r="I7609" t="str">
        <v>NAD_1983_HARN_WISCRS_Adams_County_Meters</v>
      </c>
      <c r="J7609" t="str">
        <v>United States (USA) - Wisconsin.</v>
      </c>
      <c r="K7609" s="11">
        <v>0</v>
      </c>
    </row>
    <row r="7610" spans="5:11" x14ac:dyDescent="0.35">
      <c r="E7610" s="9" t="str">
        <v>ESRI</v>
      </c>
      <c r="F7610" s="7" t="str">
        <v>103307</v>
      </c>
      <c r="G7610" t="str">
        <v>ProjectedCrs</v>
      </c>
      <c r="H7610" t="str">
        <v>Transverse Mercator</v>
      </c>
      <c r="I7610" t="str">
        <v>NAD_1983_HARN_WISCRS_Calumet_County_Meters</v>
      </c>
      <c r="J7610" t="str">
        <v>United States (USA) - Wisconsin.</v>
      </c>
      <c r="K7610" s="11">
        <v>0</v>
      </c>
    </row>
    <row r="7611" spans="5:11" x14ac:dyDescent="0.35">
      <c r="E7611" s="9" t="str">
        <v>ESRI</v>
      </c>
      <c r="F7611" s="7" t="str">
        <v>103313</v>
      </c>
      <c r="G7611" t="str">
        <v>ProjectedCrs</v>
      </c>
      <c r="H7611" t="str">
        <v>Transverse Mercator</v>
      </c>
      <c r="I7611" t="str">
        <v>NAD_1983_HARN_WISCRS_Dodge_County_Meters</v>
      </c>
      <c r="J7611" t="str">
        <v>United States (USA) - Wisconsin.</v>
      </c>
      <c r="K7611" s="11">
        <v>0</v>
      </c>
    </row>
    <row r="7612" spans="5:11" x14ac:dyDescent="0.35">
      <c r="E7612" s="9" t="str">
        <v>ESRI</v>
      </c>
      <c r="F7612" s="7" t="str">
        <v>103319</v>
      </c>
      <c r="G7612" t="str">
        <v>ProjectedCrs</v>
      </c>
      <c r="H7612" t="str">
        <v>Transverse Mercator</v>
      </c>
      <c r="I7612" t="str">
        <v>NAD_1983_HARN_WISCRS_Fond_du_Lac_County_Meters</v>
      </c>
      <c r="J7612" t="str">
        <v>United States (USA) - Wisconsin.</v>
      </c>
      <c r="K7612" s="11">
        <v>0</v>
      </c>
    </row>
    <row r="7613" spans="5:11" x14ac:dyDescent="0.35">
      <c r="E7613" s="9" t="str">
        <v>ESRI</v>
      </c>
      <c r="F7613" s="7" t="str">
        <v>103322</v>
      </c>
      <c r="G7613" t="str">
        <v>ProjectedCrs</v>
      </c>
      <c r="H7613" t="str">
        <v>Lambert Conic Conformal (1SP)</v>
      </c>
      <c r="I7613" t="str">
        <v>NAD_1983_HARN_WISCRS_Green_County_Meters</v>
      </c>
      <c r="J7613" t="str">
        <v>United States (USA) - Wisconsin.</v>
      </c>
      <c r="K7613" s="11">
        <v>0</v>
      </c>
    </row>
    <row r="7614" spans="5:11" x14ac:dyDescent="0.35">
      <c r="E7614" s="9" t="str">
        <v>ESRI</v>
      </c>
      <c r="F7614" s="7" t="str">
        <v>103323</v>
      </c>
      <c r="G7614" t="str">
        <v>ProjectedCrs</v>
      </c>
      <c r="H7614" t="str">
        <v>Lambert Conic Conformal (1SP)</v>
      </c>
      <c r="I7614" t="str">
        <v>NAD_1983_HARN_WISCRS_GreenLake_County_Meters</v>
      </c>
      <c r="J7614" t="str">
        <v>United States (USA) - Wisconsin.</v>
      </c>
      <c r="K7614" s="11">
        <v>0</v>
      </c>
    </row>
    <row r="7615" spans="5:11" x14ac:dyDescent="0.35">
      <c r="E7615" s="9" t="str">
        <v>ESRI</v>
      </c>
      <c r="F7615" s="7" t="str">
        <v>103327</v>
      </c>
      <c r="G7615" t="str">
        <v>ProjectedCrs</v>
      </c>
      <c r="H7615" t="str">
        <v>Transverse Mercator</v>
      </c>
      <c r="I7615" t="str">
        <v>NAD_1983_HARN_WISCRS_Jefferson_County_Meters</v>
      </c>
      <c r="J7615" t="str">
        <v>United States (USA) - Wisconsin.</v>
      </c>
      <c r="K7615" s="11">
        <v>0</v>
      </c>
    </row>
    <row r="7616" spans="5:11" x14ac:dyDescent="0.35">
      <c r="E7616" s="9" t="str">
        <v>ESRI</v>
      </c>
      <c r="F7616" s="7" t="str">
        <v>103328</v>
      </c>
      <c r="G7616" t="str">
        <v>ProjectedCrs</v>
      </c>
      <c r="H7616" t="str">
        <v>Transverse Mercator</v>
      </c>
      <c r="I7616" t="str">
        <v>NAD_1983_HARN_WISCRS_Juneau_County_Meters</v>
      </c>
      <c r="J7616" t="str">
        <v>United States (USA) - Wisconsin.</v>
      </c>
      <c r="K7616" s="11">
        <v>0</v>
      </c>
    </row>
    <row r="7617" spans="5:11" x14ac:dyDescent="0.35">
      <c r="E7617" s="9" t="str">
        <v>ESRI</v>
      </c>
      <c r="F7617" s="7" t="str">
        <v>103329</v>
      </c>
      <c r="G7617" t="str">
        <v>ProjectedCrs</v>
      </c>
      <c r="H7617" t="str">
        <v>Transverse Mercator</v>
      </c>
      <c r="I7617" t="str">
        <v>NAD_1983_HARN_WISCRS_Kenosha_County_Meters</v>
      </c>
      <c r="J7617" t="str">
        <v>United States (USA) - Wisconsin.</v>
      </c>
      <c r="K7617" s="11">
        <v>0</v>
      </c>
    </row>
    <row r="7618" spans="5:11" x14ac:dyDescent="0.35">
      <c r="E7618" s="9" t="str">
        <v>ESRI</v>
      </c>
      <c r="F7618" s="7" t="str">
        <v>103330</v>
      </c>
      <c r="G7618" t="str">
        <v>ProjectedCrs</v>
      </c>
      <c r="H7618" t="str">
        <v>Transverse Mercator</v>
      </c>
      <c r="I7618" t="str">
        <v>NAD_1983_HARN_WISCRS_Kewaunee_County_Meters</v>
      </c>
      <c r="J7618" t="str">
        <v>United States (USA) - Wisconsin.</v>
      </c>
      <c r="K7618" s="11">
        <v>0</v>
      </c>
    </row>
    <row r="7619" spans="5:11" x14ac:dyDescent="0.35">
      <c r="E7619" s="9" t="str">
        <v>ESRI</v>
      </c>
      <c r="F7619" s="7" t="str">
        <v>103332</v>
      </c>
      <c r="G7619" t="str">
        <v>ProjectedCrs</v>
      </c>
      <c r="H7619" t="str">
        <v>Lambert Conic Conformal (1SP)</v>
      </c>
      <c r="I7619" t="str">
        <v>NAD_1983_HARN_WISCRS_Lafayette_County_Meters</v>
      </c>
      <c r="J7619" t="str">
        <v>United States (USA) - Wisconsin.</v>
      </c>
      <c r="K7619" s="11">
        <v>0</v>
      </c>
    </row>
    <row r="7620" spans="5:11" x14ac:dyDescent="0.35">
      <c r="E7620" s="9" t="str">
        <v>ESRI</v>
      </c>
      <c r="F7620" s="7" t="str">
        <v>103335</v>
      </c>
      <c r="G7620" t="str">
        <v>ProjectedCrs</v>
      </c>
      <c r="H7620" t="str">
        <v>Transverse Mercator</v>
      </c>
      <c r="I7620" t="str">
        <v>NAD_1983_HARN_WISCRS_Manitowoc_County_Meters</v>
      </c>
      <c r="J7620" t="str">
        <v>United States (USA) - Wisconsin.</v>
      </c>
      <c r="K7620" s="11">
        <v>0</v>
      </c>
    </row>
    <row r="7621" spans="5:11" x14ac:dyDescent="0.35">
      <c r="E7621" s="9" t="str">
        <v>ESRI</v>
      </c>
      <c r="F7621" s="7" t="str">
        <v>103338</v>
      </c>
      <c r="G7621" t="str">
        <v>ProjectedCrs</v>
      </c>
      <c r="H7621" t="str">
        <v>Lambert Conic Conformal (1SP)</v>
      </c>
      <c r="I7621" t="str">
        <v>NAD_1983_HARN_WISCRS_Marquette_County_Meters</v>
      </c>
      <c r="J7621" t="str">
        <v>United States (USA) - Wisconsin.</v>
      </c>
      <c r="K7621" s="11">
        <v>0</v>
      </c>
    </row>
    <row r="7622" spans="5:11" x14ac:dyDescent="0.35">
      <c r="E7622" s="9" t="str">
        <v>ESRI</v>
      </c>
      <c r="F7622" s="7" t="str">
        <v>103340</v>
      </c>
      <c r="G7622" t="str">
        <v>ProjectedCrs</v>
      </c>
      <c r="H7622" t="str">
        <v>Transverse Mercator</v>
      </c>
      <c r="I7622" t="str">
        <v>NAD_1983_HARN_WISCRS_Milwaukee_County_Meters</v>
      </c>
      <c r="J7622" t="str">
        <v>United States (USA) - Wisconsin.</v>
      </c>
      <c r="K7622" s="11">
        <v>0</v>
      </c>
    </row>
    <row r="7623" spans="5:11" x14ac:dyDescent="0.35">
      <c r="E7623" s="9" t="str">
        <v>ESRI</v>
      </c>
      <c r="F7623" s="7" t="str">
        <v>103344</v>
      </c>
      <c r="G7623" t="str">
        <v>ProjectedCrs</v>
      </c>
      <c r="H7623" t="str">
        <v>Transverse Mercator</v>
      </c>
      <c r="I7623" t="str">
        <v>NAD_1983_HARN_WISCRS_Outagamie_County_Meters</v>
      </c>
      <c r="J7623" t="str">
        <v>United States (USA) - Wisconsin.</v>
      </c>
      <c r="K7623" s="11">
        <v>0</v>
      </c>
    </row>
    <row r="7624" spans="5:11" x14ac:dyDescent="0.35">
      <c r="E7624" s="9" t="str">
        <v>ESRI</v>
      </c>
      <c r="F7624" s="7" t="str">
        <v>103345</v>
      </c>
      <c r="G7624" t="str">
        <v>ProjectedCrs</v>
      </c>
      <c r="H7624" t="str">
        <v>Transverse Mercator</v>
      </c>
      <c r="I7624" t="str">
        <v>NAD_1983_HARN_WISCRS_Ozaukee_County_Meters</v>
      </c>
      <c r="J7624" t="str">
        <v>United States (USA) - Wisconsin.</v>
      </c>
      <c r="K7624" s="11">
        <v>0</v>
      </c>
    </row>
    <row r="7625" spans="5:11" x14ac:dyDescent="0.35">
      <c r="E7625" s="9" t="str">
        <v>ESRI</v>
      </c>
      <c r="F7625" s="7" t="str">
        <v>103346</v>
      </c>
      <c r="G7625" t="str">
        <v>ProjectedCrs</v>
      </c>
      <c r="H7625" t="str">
        <v>Lambert Conic Conformal (1SP)</v>
      </c>
      <c r="I7625" t="str">
        <v>NAD_1983_HARN_WISCRS_Pepin_County_Meters</v>
      </c>
      <c r="J7625" t="str">
        <v>United States (USA) - Wisconsin.</v>
      </c>
      <c r="K7625" s="11">
        <v>0</v>
      </c>
    </row>
    <row r="7626" spans="5:11" x14ac:dyDescent="0.35">
      <c r="E7626" s="9" t="str">
        <v>ESRI</v>
      </c>
      <c r="F7626" s="7" t="str">
        <v>103347</v>
      </c>
      <c r="G7626" t="str">
        <v>ProjectedCrs</v>
      </c>
      <c r="H7626" t="str">
        <v>Lambert Conic Conformal (1SP)</v>
      </c>
      <c r="I7626" t="str">
        <v>NAD_1983_HARN_WISCRS_Pierce_County_Meters</v>
      </c>
      <c r="J7626" t="str">
        <v>United States (USA) - Wisconsin.</v>
      </c>
      <c r="K7626" s="11">
        <v>0</v>
      </c>
    </row>
    <row r="7627" spans="5:11" x14ac:dyDescent="0.35">
      <c r="E7627" s="9" t="str">
        <v>ESRI</v>
      </c>
      <c r="F7627" s="7" t="str">
        <v>103351</v>
      </c>
      <c r="G7627" t="str">
        <v>ProjectedCrs</v>
      </c>
      <c r="H7627" t="str">
        <v>Transverse Mercator</v>
      </c>
      <c r="I7627" t="str">
        <v>NAD_1983_HARN_WISCRS_Racine_County_Meters</v>
      </c>
      <c r="J7627" t="str">
        <v>United States (USA) - Wisconsin.</v>
      </c>
      <c r="K7627" s="11">
        <v>0</v>
      </c>
    </row>
    <row r="7628" spans="5:11" x14ac:dyDescent="0.35">
      <c r="E7628" s="9" t="str">
        <v>ESRI</v>
      </c>
      <c r="F7628" s="7" t="str">
        <v>103358</v>
      </c>
      <c r="G7628" t="str">
        <v>ProjectedCrs</v>
      </c>
      <c r="H7628" t="str">
        <v>Transverse Mercator</v>
      </c>
      <c r="I7628" t="str">
        <v>NAD_1983_HARN_WISCRS_Sheboygan_County_Meters</v>
      </c>
      <c r="J7628" t="str">
        <v>United States (USA) - Wisconsin.</v>
      </c>
      <c r="K7628" s="11">
        <v>0</v>
      </c>
    </row>
    <row r="7629" spans="5:11" x14ac:dyDescent="0.35">
      <c r="E7629" s="9" t="str">
        <v>ESRI</v>
      </c>
      <c r="F7629" s="7" t="str">
        <v>103370</v>
      </c>
      <c r="G7629" t="str">
        <v>ProjectedCrs</v>
      </c>
      <c r="H7629" t="str">
        <v>Transverse Mercator</v>
      </c>
      <c r="I7629" t="str">
        <v>NAD_1983_HARN_WISCRS_Winnebago_County_Meters</v>
      </c>
      <c r="J7629" t="str">
        <v>United States (USA) - Wisconsin.</v>
      </c>
      <c r="K7629" s="11">
        <v>0</v>
      </c>
    </row>
    <row r="7630" spans="5:11" x14ac:dyDescent="0.35">
      <c r="E7630" s="9" t="str">
        <v>ESRI</v>
      </c>
      <c r="F7630" s="7" t="str">
        <v>103372</v>
      </c>
      <c r="G7630" t="str">
        <v>ProjectedCrs</v>
      </c>
      <c r="H7630" t="str">
        <v>Transverse Mercator</v>
      </c>
      <c r="I7630" t="str">
        <v>NAD_1983_CORS96_Maine_2000_East_Zone</v>
      </c>
      <c r="J7630" t="str">
        <v>United States (USA) - Maine east of approximately 68°25'W. The area is bounded by the following: Beginning at the point determined by the intersection of the Maine State line and the Fort Kent - Frenchville town line, thence continuing easterly and then southerly along the state line to the boundary of the State of Maine as determined by Maritime law, thence following the State boundary westerly to the intersection of the Knox and Hancock County line, thence northerly along the easterly boundary of the Maine 2000 Central Zone, as defined, to the point of beginning.</v>
      </c>
      <c r="K7630" s="11">
        <v>0</v>
      </c>
    </row>
    <row r="7631" spans="5:11" x14ac:dyDescent="0.35">
      <c r="E7631" s="9" t="str">
        <v>ESRI</v>
      </c>
      <c r="F7631" s="7" t="str">
        <v>103373</v>
      </c>
      <c r="G7631" t="str">
        <v>ProjectedCrs</v>
      </c>
      <c r="H7631" t="str">
        <v>Transverse Mercator</v>
      </c>
      <c r="I7631" t="str">
        <v>NAD_1983_CORS96_Maine_2000_Central_Zone</v>
      </c>
      <c r="J7631" t="str">
        <v>United States (USA) - Maine between approximately 69°40'W and 68°25'W. The area is bounded by the following: Beginning at the point determined by the intersection of the Maine State line and the County Line between Aroostook and Somerset Counties, thence northeasterly along the state line to the intersection of the Fort Kent - Frenchville town line, thence southerly along this town line to the intersection with the New Canada Plantation - T17 R5 WELS town line, thence continuing southerly along town lines to the northeast corner of Penobscot County, thence continuing southerly along the Penobscot County line to the intersection of the Woodville - Mattawamkeag town line (being determined by the Penobscot River), thence along the Penobscot River to the Enfield - Lincoln town line, thence southeasterly along the Enfield - Lincoln town line and the Enfield - Lowell town line to the Passadumkeag - Edinburg town line, thence south-southeasterly along town lines to the intersection of the Hancock County line, thence southerly along the county line to the intersection of the Otis - Mariaville town line, thence southerly along the Otis - Mariaville town line to the Ellsworth city line, thence southerly along the Ellsworth city line to the intersection of the Surry - Trenton town line, thence southerly along the easterly town lines of Surry, Blue Hill, Brooklin, Deer Isle, and Stonington to the Knox County line, thence following the Knox County line to the boundary of the State of Maine as determined by Maritime law, thence following the State boundary westerly to the intersection of the Sagadahoc - Lincoln county line, thence northerly along the easterly boundary of the Maine 2000 West Zone, as defined, to the point of beginning.</v>
      </c>
      <c r="K7631" s="11">
        <v>0</v>
      </c>
    </row>
    <row r="7632" spans="5:11" x14ac:dyDescent="0.35">
      <c r="E7632" s="9" t="str">
        <v>ESRI</v>
      </c>
      <c r="F7632" s="7" t="str">
        <v>103374</v>
      </c>
      <c r="G7632" t="str">
        <v>ProjectedCrs</v>
      </c>
      <c r="H7632" t="str">
        <v>Transverse Mercator</v>
      </c>
      <c r="I7632" t="str">
        <v>NAD_1983_CORS96_Maine_2000_West_Zone</v>
      </c>
      <c r="J7632" t="str">
        <v>United States (USA) - Maine west of approximately 69°40'W. The area is bounded by the following: Beginning at the point determined by the intersection of the Maine State line and the County Line between Aroostook and Somerset Counties, thence following the Somerset County line Easterly to the Northwest corner of the Somerset and Piscataquis county line, thence Southerly along this county line to the northeast corner of the Athens town line, thence westerly along the town line between Brighton Plantation and Athens to the westerly corner of Athens, and continuing southerly to the southwest corner of the town of Athens where it meets the Cornville town line, thence westerly along the Cornville - Solon town line to the intersection of the Cornville - Madison town line, thence southerly and westerly following the Madison town line to the intersection of the Norridgewock - Skowhegan town line, thence southerly along the Skowhegan town line to the Fairfield town line, thence easterly along the Fairfield town line to the Clinton town line (being determined by the Kennebec River), thence southerly along the Kennebec River to the Augusta city line, thence easterly along the city line to the Windsor town line, thence southerly along the Augusta - Windsor town line to the northwest corner of the Lincoln County line, thence southerly along the westerly Lincoln county line to the boundary of the State of Maine as determined by Maritime law, thence following the State boundary on the westerly side of the state to the point of beginning.</v>
      </c>
      <c r="K7632" s="11">
        <v>0</v>
      </c>
    </row>
    <row r="7633" spans="5:11" x14ac:dyDescent="0.35">
      <c r="E7633" s="9" t="str">
        <v>ESRI</v>
      </c>
      <c r="F7633" s="7" t="str">
        <v>103375</v>
      </c>
      <c r="G7633" t="str">
        <v>ProjectedCrs</v>
      </c>
      <c r="H7633" t="str">
        <v>Lambert Conic Conformal (2SP)</v>
      </c>
      <c r="I7633" t="str">
        <v>NAD_1983_CORS96_StatePlane_Maryland_FIPS_1900</v>
      </c>
      <c r="J7633" t="str">
        <v>United States (USA) - Maryland - counties of Allegany; Anne Arundel; Baltimore; Calvert; Caroline; Carroll; Cecil; Charles; Dorchester; Frederick; Garrett; Harford; Howard; Kent; Montgomery; Prince Georges; Queen Annes; Somerset; St Marys; Talbot; Washington; Wicomico; Worcester.</v>
      </c>
      <c r="K7633" s="11">
        <v>0</v>
      </c>
    </row>
    <row r="7634" spans="5:11" x14ac:dyDescent="0.35">
      <c r="E7634" s="9" t="str">
        <v>ESRI</v>
      </c>
      <c r="F7634" s="7" t="str">
        <v>103376</v>
      </c>
      <c r="G7634" t="str">
        <v>ProjectedCrs</v>
      </c>
      <c r="H7634" t="str">
        <v>Lambert Conic Conformal (2SP)</v>
      </c>
      <c r="I7634" t="str">
        <v>NAD_1983_CORS96_StatePlane_Maryland_FIPS_1900_Ft_US</v>
      </c>
      <c r="J7634" t="str">
        <v>United States (USA) - Maryland - counties of Allegany; Anne Arundel; Baltimore; Calvert; Caroline; Carroll; Cecil; Charles; Dorchester; Frederick; Garrett; Harford; Howard; Kent; Montgomery; Prince Georges; Queen Annes; Somerset; St Marys; Talbot; Washington; Wicomico; Worcester.</v>
      </c>
      <c r="K7634" s="11">
        <v>0</v>
      </c>
    </row>
    <row r="7635" spans="5:11" x14ac:dyDescent="0.35">
      <c r="E7635" s="9" t="str">
        <v>ESRI</v>
      </c>
      <c r="F7635" s="7" t="str">
        <v>103377</v>
      </c>
      <c r="G7635" t="str">
        <v>ProjectedCrs</v>
      </c>
      <c r="H7635" t="str">
        <v>Lambert Conic Conformal (2SP)</v>
      </c>
      <c r="I7635" t="str">
        <v>NAD_1983_CORS96_StatePlane_Massachusetts_Mainland_FIPS_2001</v>
      </c>
      <c r="J7635" t="str">
        <v>United States (USA) - Massachusetts onshore - counties of Barnstable; Berkshire; Bristol; Essex; Franklin; Hampden; Hampshire; Middlesex; Norfolk; Plymouth; Suffolk; Worcester.</v>
      </c>
      <c r="K7635" s="11">
        <v>0</v>
      </c>
    </row>
    <row r="7636" spans="5:11" x14ac:dyDescent="0.35">
      <c r="E7636" s="9" t="str">
        <v>ESRI</v>
      </c>
      <c r="F7636" s="7" t="str">
        <v>103378</v>
      </c>
      <c r="G7636" t="str">
        <v>ProjectedCrs</v>
      </c>
      <c r="H7636" t="str">
        <v>Lambert Conic Conformal (2SP)</v>
      </c>
      <c r="I7636" t="str">
        <v>NAD_1983_CORS96_StatePlane_Massachusetts_Island_FIPS_2002</v>
      </c>
      <c r="J7636" t="str">
        <v>United States (USA) - Massachusetts offshore - counties of Dukes; Nantucket.</v>
      </c>
      <c r="K7636" s="11">
        <v>0</v>
      </c>
    </row>
    <row r="7637" spans="5:11" x14ac:dyDescent="0.35">
      <c r="E7637" s="9" t="str">
        <v>ESRI</v>
      </c>
      <c r="F7637" s="7" t="str">
        <v>103379</v>
      </c>
      <c r="G7637" t="str">
        <v>ProjectedCrs</v>
      </c>
      <c r="H7637" t="str">
        <v>Lambert Conic Conformal (2SP)</v>
      </c>
      <c r="I7637" t="str">
        <v>NAD_1983_CORS96_StatePlane_Massachusetts_Mnld_FIPS_2001_FtUS</v>
      </c>
      <c r="J7637" t="str">
        <v>United States (USA) - Massachusetts onshore - counties of Barnstable; Berkshire; Bristol; Essex; Franklin; Hampden; Hampshire; Middlesex; Norfolk; Plymouth; Suffolk; Worcester.</v>
      </c>
      <c r="K7637" s="11">
        <v>0</v>
      </c>
    </row>
    <row r="7638" spans="5:11" x14ac:dyDescent="0.35">
      <c r="E7638" s="9" t="str">
        <v>ESRI</v>
      </c>
      <c r="F7638" s="7" t="str">
        <v>103380</v>
      </c>
      <c r="G7638" t="str">
        <v>ProjectedCrs</v>
      </c>
      <c r="H7638" t="str">
        <v>Lambert Conic Conformal (2SP)</v>
      </c>
      <c r="I7638" t="str">
        <v>NAD_1983_CORS96_StatePlane_Massachusetts_Isl_FIPS_2002_FtUS</v>
      </c>
      <c r="J7638" t="str">
        <v>United States (USA) - Massachusetts offshore - counties of Dukes; Nantucket.</v>
      </c>
      <c r="K7638" s="11">
        <v>0</v>
      </c>
    </row>
    <row r="7639" spans="5:11" x14ac:dyDescent="0.35">
      <c r="E7639" s="9" t="str">
        <v>ESRI</v>
      </c>
      <c r="F7639" s="7" t="str">
        <v>103381</v>
      </c>
      <c r="G7639" t="str">
        <v>ProjectedCrs</v>
      </c>
      <c r="H7639" t="str">
        <v>Lambert Conic Conformal (2SP)</v>
      </c>
      <c r="I7639" t="str">
        <v>NAD_1983_CORS96_StatePlane_Michigan_North_FIPS_2111</v>
      </c>
      <c r="J7639" t="str">
        <v>United States (USA) - Michigan north of approximately 45°45'N - counties of Alger; Baraga; Chippewa; Delta; Dickinson; Gogebic; Houghton; Iron; Keweenaw; Luce; Mackinac; Marquette; Menominee; Ontonagon; Schoolcraft.</v>
      </c>
      <c r="K7639" s="11">
        <v>0</v>
      </c>
    </row>
    <row r="7640" spans="5:11" x14ac:dyDescent="0.35">
      <c r="E7640" s="9" t="str">
        <v>ESRI</v>
      </c>
      <c r="F7640" s="7" t="str">
        <v>103382</v>
      </c>
      <c r="G7640" t="str">
        <v>ProjectedCrs</v>
      </c>
      <c r="H7640" t="str">
        <v>Lambert Conic Conformal (2SP)</v>
      </c>
      <c r="I7640" t="str">
        <v>NAD_1983_CORS96_StatePlane_Michigan_Central_FIPS_2112</v>
      </c>
      <c r="J7640"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7640" s="11">
        <v>0</v>
      </c>
    </row>
    <row r="7641" spans="5:11" x14ac:dyDescent="0.35">
      <c r="E7641" s="9" t="str">
        <v>ESRI</v>
      </c>
      <c r="F7641" s="7" t="str">
        <v>103383</v>
      </c>
      <c r="G7641" t="str">
        <v>ProjectedCrs</v>
      </c>
      <c r="H7641" t="str">
        <v>Lambert Conic Conformal (2SP)</v>
      </c>
      <c r="I7641" t="str">
        <v>NAD_1983_CORS96_StatePlane_Michigan_South_FIPS_2113</v>
      </c>
      <c r="J7641"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7641" s="11">
        <v>0</v>
      </c>
    </row>
    <row r="7642" spans="5:11" x14ac:dyDescent="0.35">
      <c r="E7642" s="9" t="str">
        <v>ESRI</v>
      </c>
      <c r="F7642" s="7" t="str">
        <v>103384</v>
      </c>
      <c r="G7642" t="str">
        <v>ProjectedCrs</v>
      </c>
      <c r="H7642" t="str">
        <v>Lambert Conic Conformal (2SP)</v>
      </c>
      <c r="I7642" t="str">
        <v>NAD_1983_CORS96_StatePlane_Michigan_North_FIPS_2111_Ft_Intl</v>
      </c>
      <c r="J7642" t="str">
        <v>United States (USA) - Michigan north of approximately 45°45'N - counties of Alger; Baraga; Chippewa; Delta; Dickinson; Gogebic; Houghton; Iron; Keweenaw; Luce; Mackinac; Marquette; Menominee; Ontonagon; Schoolcraft.</v>
      </c>
      <c r="K7642" s="11">
        <v>0</v>
      </c>
    </row>
    <row r="7643" spans="5:11" x14ac:dyDescent="0.35">
      <c r="E7643" s="9" t="str">
        <v>ESRI</v>
      </c>
      <c r="F7643" s="7" t="str">
        <v>103385</v>
      </c>
      <c r="G7643" t="str">
        <v>ProjectedCrs</v>
      </c>
      <c r="H7643" t="str">
        <v>Lambert Conic Conformal (2SP)</v>
      </c>
      <c r="I7643" t="str">
        <v>NAD_1983_CORS96_StatePlane_Michigan_Central_FIPS_2112_Ft_Intl</v>
      </c>
      <c r="J7643" t="str">
        <v>United States (USA) - Michigan - counties of Alcona; Alpena; Antrim; Arenac; Benzie; Charlevoix; Cheboygan; Clare; Crawford; Emmet; Gladwin; Grand Traverse; Iosco; Kalkaska; Lake; Leelanau; Manistee; Mason; Missaukee; Montmorency; Ogemaw; Osceola; Oscoda; Otsego; Presque Isle; Roscommon; Wexford.</v>
      </c>
      <c r="K7643" s="11">
        <v>0</v>
      </c>
    </row>
    <row r="7644" spans="5:11" x14ac:dyDescent="0.35">
      <c r="E7644" s="9" t="str">
        <v>ESRI</v>
      </c>
      <c r="F7644" s="7" t="str">
        <v>103386</v>
      </c>
      <c r="G7644" t="str">
        <v>ProjectedCrs</v>
      </c>
      <c r="H7644" t="str">
        <v>Lambert Conic Conformal (2SP)</v>
      </c>
      <c r="I7644" t="str">
        <v>NAD_1983_CORS96_StatePlane_Michigan_South_FIPS_2113_Ft_Intl</v>
      </c>
      <c r="J7644" t="str">
        <v>United States (USA) - Michigan - counties of Allegan; Barry; Bay; Berrien; Branch; Calhoun; Cass; Clinton; Eaton; Genesee; Gratiot; Hillsdale; Huron; Ingham; Ionia; Isabella; Jackson; Kalamazoo; Kent; Lapeer; Lenawee; Livingston; Macomb; Mecosta; Midland; Monroe; Montcalm; Muskegon; Newaygo; Oakland; Oceana; Ottawa; Saginaw; Sanilac; Shiawassee; St Clair; St Joseph; Tuscola; Van Buren; Washtenaw; Wayne.</v>
      </c>
      <c r="K7644" s="11">
        <v>0</v>
      </c>
    </row>
    <row r="7645" spans="5:11" x14ac:dyDescent="0.35">
      <c r="E7645" s="9" t="str">
        <v>ESRI</v>
      </c>
      <c r="F7645" s="7" t="str">
        <v>103387</v>
      </c>
      <c r="G7645" t="str">
        <v>ProjectedCrs</v>
      </c>
      <c r="H7645" t="str">
        <v>Lambert Conic Conformal (2SP)</v>
      </c>
      <c r="I7645" t="str">
        <v>NAD_1983_CORS96_StatePlane_Minnesota_North_FIPS_2201</v>
      </c>
      <c r="J7645" t="str">
        <v>United States (USA) - Minnesota - counties of Beltrami; Clearwater; Cook; Itasca; Kittson; Koochiching; Lake; Lake of the Woods; Mahnomen; Marshall; Norman; Pennington; Polk; Red Lake; Roseau; St Louis.</v>
      </c>
      <c r="K7645" s="11">
        <v>0</v>
      </c>
    </row>
    <row r="7646" spans="5:11" x14ac:dyDescent="0.35">
      <c r="E7646" s="9" t="str">
        <v>ESRI</v>
      </c>
      <c r="F7646" s="7" t="str">
        <v>103388</v>
      </c>
      <c r="G7646" t="str">
        <v>ProjectedCrs</v>
      </c>
      <c r="H7646" t="str">
        <v>Lambert Conic Conformal (2SP)</v>
      </c>
      <c r="I7646" t="str">
        <v>NAD_1983_CORS96_StatePlane_Minnesota_Central_FIPS_2202</v>
      </c>
      <c r="J7646" t="str">
        <v>United States (USA) - Minnesota - counties of Aitkin; Becker; Benton; Carlton; Cass; Chisago; Clay; Crow Wing; Douglas; Grant; Hubbard; Isanti; Kanabec; Mille Lacs; Morrison; Otter Tail; Pine; Pope; Stearns; Stevens; Todd; Traverse; Wadena; Wilkin.</v>
      </c>
      <c r="K7646" s="11">
        <v>0</v>
      </c>
    </row>
    <row r="7647" spans="5:11" x14ac:dyDescent="0.35">
      <c r="E7647" s="9" t="str">
        <v>ESRI</v>
      </c>
      <c r="F7647" s="7" t="str">
        <v>103389</v>
      </c>
      <c r="G7647" t="str">
        <v>ProjectedCrs</v>
      </c>
      <c r="H7647" t="str">
        <v>Lambert Conic Conformal (2SP)</v>
      </c>
      <c r="I7647" t="str">
        <v>NAD_1983_CORS96_StatePlane_Minnesota_South_FIPS_2203</v>
      </c>
      <c r="J7647"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7647" s="11">
        <v>0</v>
      </c>
    </row>
    <row r="7648" spans="5:11" x14ac:dyDescent="0.35">
      <c r="E7648" s="9" t="str">
        <v>ESRI</v>
      </c>
      <c r="F7648" s="7" t="str">
        <v>103390</v>
      </c>
      <c r="G7648" t="str">
        <v>ProjectedCrs</v>
      </c>
      <c r="H7648" t="str">
        <v>Lambert Conic Conformal (2SP)</v>
      </c>
      <c r="I7648" t="str">
        <v>NAD_1983_CORS96_StatePlane_Minnesota_North_FIPS_2201_Ft_US</v>
      </c>
      <c r="J7648" t="str">
        <v>United States (USA) - Minnesota - counties of Beltrami; Clearwater; Cook; Itasca; Kittson; Koochiching; Lake; Lake of the Woods; Mahnomen; Marshall; Norman; Pennington; Polk; Red Lake; Roseau; St Louis.</v>
      </c>
      <c r="K7648" s="11">
        <v>0</v>
      </c>
    </row>
    <row r="7649" spans="5:11" x14ac:dyDescent="0.35">
      <c r="E7649" s="9" t="str">
        <v>ESRI</v>
      </c>
      <c r="F7649" s="7" t="str">
        <v>103391</v>
      </c>
      <c r="G7649" t="str">
        <v>ProjectedCrs</v>
      </c>
      <c r="H7649" t="str">
        <v>Lambert Conic Conformal (2SP)</v>
      </c>
      <c r="I7649" t="str">
        <v>NAD_1983_CORS96_StatePlane_Minnesota_Central_FIPS_2202_Ft_US</v>
      </c>
      <c r="J7649" t="str">
        <v>United States (USA) - Minnesota - counties of Aitkin; Becker; Benton; Carlton; Cass; Chisago; Clay; Crow Wing; Douglas; Grant; Hubbard; Isanti; Kanabec; Mille Lacs; Morrison; Otter Tail; Pine; Pope; Stearns; Stevens; Todd; Traverse; Wadena; Wilkin.</v>
      </c>
      <c r="K7649" s="11">
        <v>0</v>
      </c>
    </row>
    <row r="7650" spans="5:11" x14ac:dyDescent="0.35">
      <c r="E7650" s="9" t="str">
        <v>ESRI</v>
      </c>
      <c r="F7650" s="7" t="str">
        <v>103392</v>
      </c>
      <c r="G7650" t="str">
        <v>ProjectedCrs</v>
      </c>
      <c r="H7650" t="str">
        <v>Lambert Conic Conformal (2SP)</v>
      </c>
      <c r="I7650" t="str">
        <v>NAD_1983_CORS96_StatePlane_Minnesota_South_FIPS_2203_Ft_US</v>
      </c>
      <c r="J7650" t="str">
        <v>United States (USA) - Minnesota - counties of Anoka; Big Stone; Blue Earth; Brown; Carver; Chippewa; Cottonwood; Dakota; Dodge; Faribault; Fillmore; Freeborn; Goodhue; Hennepin; Houston; Jackson; Kandiyohi; Lac Qui Parle; Le Sueur; Lincoln; Lyon; Martin; McLeod; Meeker; Mower; Murray; Nicollet; Nobles; Olmsted; Pipestone; Ramsey; Redwood; Renville; Rice; Rock; Scott; Sherburne; Sibley; Steele; Swift; Wabasha; Waseca; Washington; Watonwan; Winona; Wright; Yellow Medicine.</v>
      </c>
      <c r="K7650" s="11">
        <v>0</v>
      </c>
    </row>
    <row r="7651" spans="5:11" x14ac:dyDescent="0.35">
      <c r="E7651" s="9" t="str">
        <v>ESRI</v>
      </c>
      <c r="F7651" s="7" t="str">
        <v>103393</v>
      </c>
      <c r="G7651" t="str">
        <v>ProjectedCrs</v>
      </c>
      <c r="H7651" t="str">
        <v>Transverse Mercator</v>
      </c>
      <c r="I7651" t="str">
        <v>NAD_1983_CORS96_StatePlane_Mississippi_East_FIPS_2301</v>
      </c>
      <c r="J7651"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7651" s="11">
        <v>0</v>
      </c>
    </row>
    <row r="7652" spans="5:11" x14ac:dyDescent="0.35">
      <c r="E7652" s="9" t="str">
        <v>ESRI</v>
      </c>
      <c r="F7652" s="7" t="str">
        <v>103394</v>
      </c>
      <c r="G7652" t="str">
        <v>ProjectedCrs</v>
      </c>
      <c r="H7652" t="str">
        <v>Transverse Mercator</v>
      </c>
      <c r="I7652" t="str">
        <v>NAD_1983_CORS96_StatePlane_Mississippi_West_FIPS_2302</v>
      </c>
      <c r="J7652"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7652" s="11">
        <v>0</v>
      </c>
    </row>
    <row r="7653" spans="5:11" x14ac:dyDescent="0.35">
      <c r="E7653" s="9" t="str">
        <v>ESRI</v>
      </c>
      <c r="F7653" s="7" t="str">
        <v>103395</v>
      </c>
      <c r="G7653" t="str">
        <v>ProjectedCrs</v>
      </c>
      <c r="H7653" t="str">
        <v>Transverse Mercator</v>
      </c>
      <c r="I7653" t="str">
        <v>NAD_1983_CORS96_StatePlane_Mississippi_East_FIPS_2301_Ft_US</v>
      </c>
      <c r="J7653" t="str">
        <v>United States (USA) - Mississippi - counties of Alcorn; Attala; Benton; Calhoun; Chickasaw; Choctaw; Clarke; Clay; Covington; Forrest; George; Greene; Hancock; Harrison; Itawamba; Jackson; Jasper; Jones; Kemper; Lafayette; Lamar; Lauderdale; Leake; Lee; Lowndes; Marshall; Monroe; Neshoba; Newton; Noxubee; Oktibbeha; Pearl River; Perry; Pontotoc; Prentiss; Scott; Smith; Stone; Tippah; Tishomingo; Union; Wayne; Webster; Winston.</v>
      </c>
      <c r="K7653" s="11">
        <v>0</v>
      </c>
    </row>
    <row r="7654" spans="5:11" x14ac:dyDescent="0.35">
      <c r="E7654" s="9" t="str">
        <v>ESRI</v>
      </c>
      <c r="F7654" s="7" t="str">
        <v>103396</v>
      </c>
      <c r="G7654" t="str">
        <v>ProjectedCrs</v>
      </c>
      <c r="H7654" t="str">
        <v>Transverse Mercator</v>
      </c>
      <c r="I7654" t="str">
        <v>NAD_1983_CORS96_StatePlane_Mississippi_West_FIPS_2302_Ft_US</v>
      </c>
      <c r="J7654" t="str">
        <v>United States (USA) - Mississippi - counties of Adams; Amite; Bolivar; Carroll; Claiborne; Coahoma; Copiah; De Soto; Franklin; Grenada; Hinds; Holmes; Humphreys; Issaquena; Jefferson; Jefferson Davis; Lawrence; Leflore; Lincoln; Madison; Marion; Montgomery; Panola; Pike; Quitman; Rankin; Sharkey; Simpson; Sunflower; Tallahatchie; Tate; Tunica; Walthall; Warren; Washington; Wilkinson; Yalobusha; Yazoo.</v>
      </c>
      <c r="K7654" s="11">
        <v>0</v>
      </c>
    </row>
    <row r="7655" spans="5:11" x14ac:dyDescent="0.35">
      <c r="E7655" s="9" t="str">
        <v>ESRI</v>
      </c>
      <c r="F7655" s="7" t="str">
        <v>103397</v>
      </c>
      <c r="G7655" t="str">
        <v>ProjectedCrs</v>
      </c>
      <c r="H7655" t="str">
        <v>Transverse Mercator</v>
      </c>
      <c r="I7655" t="str">
        <v>NAD_1983_CORS96_StatePlane_Missouri_East_FIPS_2401</v>
      </c>
      <c r="J7655" t="str">
        <v>United States (USA) - Missouri - counties of Bollinger; Butler; Cape Girardeau; Carter; Clark; Crawford; Dent; Dunklin; Franklin; Gasconade; Iron; Jefferson; Lewis; Lincoln; Madison; Marion; Mississippi; Montgomery; New Madrid; Oregon; Pemiscot; Perry; Pike; Ralls; Reynolds; Ripley; Scott; Shannon; St Charles; St Francois; St Louis; Ste. Genevieve; Stoddard; Warren; Washington; Wayne.</v>
      </c>
      <c r="K7655" s="11">
        <v>0</v>
      </c>
    </row>
    <row r="7656" spans="5:11" x14ac:dyDescent="0.35">
      <c r="E7656" s="9" t="str">
        <v>ESRI</v>
      </c>
      <c r="F7656" s="7" t="str">
        <v>103398</v>
      </c>
      <c r="G7656" t="str">
        <v>ProjectedCrs</v>
      </c>
      <c r="H7656" t="str">
        <v>Transverse Mercator</v>
      </c>
      <c r="I7656" t="str">
        <v>NAD_1983_CORS96_StatePlane_Missouri_Central_FIPS_2402</v>
      </c>
      <c r="J7656" t="str">
        <v>United States (USA) - Missouri - counties of Adair; Audrain; Benton; Boone; Callaway; Camden; Carroll; Chariton; Christian; Cole; Cooper; Dallas; Douglas; Greene; Grundy; Hickory; Howard; Howell; Knox; Laclede; Linn; Livingston; Macon; Maries; Mercer; Miller; Moniteau; Monroe; Morgan; Osage; Ozark; Pettis; Phelps; Polk; Pulaski; Putnam; Randolph; Saline; Schuyler; Scotland; Shelby; Stone; Sullivan; Taney; Texas; Webster; Wright.</v>
      </c>
      <c r="K7656" s="11">
        <v>0</v>
      </c>
    </row>
    <row r="7657" spans="5:11" x14ac:dyDescent="0.35">
      <c r="E7657" s="9" t="str">
        <v>ESRI</v>
      </c>
      <c r="F7657" s="7" t="str">
        <v>103399</v>
      </c>
      <c r="G7657" t="str">
        <v>ProjectedCrs</v>
      </c>
      <c r="H7657" t="str">
        <v>Transverse Mercator</v>
      </c>
      <c r="I7657" t="str">
        <v>NAD_1983_CORS96_StatePlane_Missouri_West_FIPS_2403</v>
      </c>
      <c r="J7657" t="str">
        <v>United States (USA) - Missouri - counties of Andrew; Atchison; Barry; Barton; Bates; Buchanan; Caldwell; Cass; Cedar; Clay; Clinton; Dade; Daviess; De Kalb; Gentry; Harrison; Henry; Holt; Jackson; Jasper; Johnson; Lafayette; Lawrence; McDonald; Newton; Nodaway; Platte; Ray; St Clair; Vernon; Worth.</v>
      </c>
      <c r="K7657" s="11">
        <v>0</v>
      </c>
    </row>
    <row r="7658" spans="5:11" x14ac:dyDescent="0.35">
      <c r="E7658" s="9" t="str">
        <v>ESRI</v>
      </c>
      <c r="F7658" s="7" t="str">
        <v>103400</v>
      </c>
      <c r="G7658" t="str">
        <v>ProjectedCrs</v>
      </c>
      <c r="H7658" t="str">
        <v>Transverse Mercator</v>
      </c>
      <c r="I7658" t="str">
        <v>NAD_1983_HARN_WISCRS_Adams_County_Feet</v>
      </c>
      <c r="J7658" t="str">
        <v>United States (USA) - Wisconsin.</v>
      </c>
      <c r="K7658" s="11">
        <v>0</v>
      </c>
    </row>
    <row r="7659" spans="5:11" x14ac:dyDescent="0.35">
      <c r="E7659" s="9" t="str">
        <v>ESRI</v>
      </c>
      <c r="F7659" s="7" t="str">
        <v>103407</v>
      </c>
      <c r="G7659" t="str">
        <v>ProjectedCrs</v>
      </c>
      <c r="H7659" t="str">
        <v>Transverse Mercator</v>
      </c>
      <c r="I7659" t="str">
        <v>NAD_1983_HARN_WISCRS_Calumet_County_Feet</v>
      </c>
      <c r="J7659" t="str">
        <v>United States (USA) - Wisconsin.</v>
      </c>
      <c r="K7659" s="11">
        <v>0</v>
      </c>
    </row>
    <row r="7660" spans="5:11" x14ac:dyDescent="0.35">
      <c r="E7660" s="9" t="str">
        <v>ESRI</v>
      </c>
      <c r="F7660" s="7" t="str">
        <v>103413</v>
      </c>
      <c r="G7660" t="str">
        <v>ProjectedCrs</v>
      </c>
      <c r="H7660" t="str">
        <v>Transverse Mercator</v>
      </c>
      <c r="I7660" t="str">
        <v>NAD_1983_HARN_WISCRS_Dodge_County_Feet</v>
      </c>
      <c r="J7660" t="str">
        <v>United States (USA) - Wisconsin.</v>
      </c>
      <c r="K7660" s="11">
        <v>0</v>
      </c>
    </row>
    <row r="7661" spans="5:11" x14ac:dyDescent="0.35">
      <c r="E7661" s="9" t="str">
        <v>ESRI</v>
      </c>
      <c r="F7661" s="7" t="str">
        <v>103419</v>
      </c>
      <c r="G7661" t="str">
        <v>ProjectedCrs</v>
      </c>
      <c r="H7661" t="str">
        <v>Transverse Mercator</v>
      </c>
      <c r="I7661" t="str">
        <v>NAD_1983_HARN_WISCRS_Fond_du_Lac_County_Feet</v>
      </c>
      <c r="J7661" t="str">
        <v>United States (USA) - Wisconsin.</v>
      </c>
      <c r="K7661" s="11">
        <v>0</v>
      </c>
    </row>
    <row r="7662" spans="5:11" x14ac:dyDescent="0.35">
      <c r="E7662" s="9" t="str">
        <v>ESRI</v>
      </c>
      <c r="F7662" s="7" t="str">
        <v>103422</v>
      </c>
      <c r="G7662" t="str">
        <v>ProjectedCrs</v>
      </c>
      <c r="H7662" t="str">
        <v>Lambert Conic Conformal (1SP)</v>
      </c>
      <c r="I7662" t="str">
        <v>NAD_1983_HARN_WISCRS_Green_County_Feet</v>
      </c>
      <c r="J7662" t="str">
        <v>United States (USA) - Wisconsin.</v>
      </c>
      <c r="K7662" s="11">
        <v>0</v>
      </c>
    </row>
    <row r="7663" spans="5:11" x14ac:dyDescent="0.35">
      <c r="E7663" s="9" t="str">
        <v>ESRI</v>
      </c>
      <c r="F7663" s="7" t="str">
        <v>103423</v>
      </c>
      <c r="G7663" t="str">
        <v>ProjectedCrs</v>
      </c>
      <c r="H7663" t="str">
        <v>Lambert Conic Conformal (1SP)</v>
      </c>
      <c r="I7663" t="str">
        <v>NAD_1983_HARN_WISCRS_GreenLake_County_Feet</v>
      </c>
      <c r="J7663" t="str">
        <v>United States (USA) - Wisconsin.</v>
      </c>
      <c r="K7663" s="11">
        <v>0</v>
      </c>
    </row>
    <row r="7664" spans="5:11" x14ac:dyDescent="0.35">
      <c r="E7664" s="9" t="str">
        <v>ESRI</v>
      </c>
      <c r="F7664" s="7" t="str">
        <v>103427</v>
      </c>
      <c r="G7664" t="str">
        <v>ProjectedCrs</v>
      </c>
      <c r="H7664" t="str">
        <v>Transverse Mercator</v>
      </c>
      <c r="I7664" t="str">
        <v>NAD_1983_HARN_WISCRS_Jefferson_County_Feet</v>
      </c>
      <c r="J7664" t="str">
        <v>United States (USA) - Wisconsin.</v>
      </c>
      <c r="K7664" s="11">
        <v>0</v>
      </c>
    </row>
    <row r="7665" spans="5:11" x14ac:dyDescent="0.35">
      <c r="E7665" s="9" t="str">
        <v>ESRI</v>
      </c>
      <c r="F7665" s="7" t="str">
        <v>103428</v>
      </c>
      <c r="G7665" t="str">
        <v>ProjectedCrs</v>
      </c>
      <c r="H7665" t="str">
        <v>Transverse Mercator</v>
      </c>
      <c r="I7665" t="str">
        <v>NAD_1983_HARN_WISCRS_Juneau_County_Feet</v>
      </c>
      <c r="J7665" t="str">
        <v>United States (USA) - Wisconsin.</v>
      </c>
      <c r="K7665" s="11">
        <v>0</v>
      </c>
    </row>
    <row r="7666" spans="5:11" x14ac:dyDescent="0.35">
      <c r="E7666" s="9" t="str">
        <v>ESRI</v>
      </c>
      <c r="F7666" s="7" t="str">
        <v>103429</v>
      </c>
      <c r="G7666" t="str">
        <v>ProjectedCrs</v>
      </c>
      <c r="H7666" t="str">
        <v>Transverse Mercator</v>
      </c>
      <c r="I7666" t="str">
        <v>NAD_1983_HARN_WISCRS_Kenosha_County_Feet</v>
      </c>
      <c r="J7666" t="str">
        <v>United States (USA) - Wisconsin.</v>
      </c>
      <c r="K7666" s="11">
        <v>0</v>
      </c>
    </row>
    <row r="7667" spans="5:11" x14ac:dyDescent="0.35">
      <c r="E7667" s="9" t="str">
        <v>ESRI</v>
      </c>
      <c r="F7667" s="7" t="str">
        <v>103430</v>
      </c>
      <c r="G7667" t="str">
        <v>ProjectedCrs</v>
      </c>
      <c r="H7667" t="str">
        <v>Transverse Mercator</v>
      </c>
      <c r="I7667" t="str">
        <v>NAD_1983_HARN_WISCRS_Kewaunee_County_Feet</v>
      </c>
      <c r="J7667" t="str">
        <v>United States (USA) - Wisconsin.</v>
      </c>
      <c r="K7667" s="11">
        <v>0</v>
      </c>
    </row>
    <row r="7668" spans="5:11" x14ac:dyDescent="0.35">
      <c r="E7668" s="9" t="str">
        <v>ESRI</v>
      </c>
      <c r="F7668" s="7" t="str">
        <v>103432</v>
      </c>
      <c r="G7668" t="str">
        <v>ProjectedCrs</v>
      </c>
      <c r="H7668" t="str">
        <v>Lambert Conic Conformal (1SP)</v>
      </c>
      <c r="I7668" t="str">
        <v>NAD_1983_HARN_WISCRS_Lafayette_County_Feet</v>
      </c>
      <c r="J7668" t="str">
        <v>United States (USA) - Wisconsin.</v>
      </c>
      <c r="K7668" s="11">
        <v>0</v>
      </c>
    </row>
    <row r="7669" spans="5:11" x14ac:dyDescent="0.35">
      <c r="E7669" s="9" t="str">
        <v>ESRI</v>
      </c>
      <c r="F7669" s="7" t="str">
        <v>103435</v>
      </c>
      <c r="G7669" t="str">
        <v>ProjectedCrs</v>
      </c>
      <c r="H7669" t="str">
        <v>Transverse Mercator</v>
      </c>
      <c r="I7669" t="str">
        <v>NAD_1983_HARN_WISCRS_Manitowoc_County_Feet</v>
      </c>
      <c r="J7669" t="str">
        <v>United States (USA) - Wisconsin.</v>
      </c>
      <c r="K7669" s="11">
        <v>0</v>
      </c>
    </row>
    <row r="7670" spans="5:11" x14ac:dyDescent="0.35">
      <c r="E7670" s="9" t="str">
        <v>ESRI</v>
      </c>
      <c r="F7670" s="7" t="str">
        <v>103438</v>
      </c>
      <c r="G7670" t="str">
        <v>ProjectedCrs</v>
      </c>
      <c r="H7670" t="str">
        <v>Lambert Conic Conformal (1SP)</v>
      </c>
      <c r="I7670" t="str">
        <v>NAD_1983_HARN_WISCRS_Marquette_County_Feet</v>
      </c>
      <c r="J7670" t="str">
        <v>United States (USA) - Wisconsin.</v>
      </c>
      <c r="K7670" s="11">
        <v>0</v>
      </c>
    </row>
    <row r="7671" spans="5:11" x14ac:dyDescent="0.35">
      <c r="E7671" s="9" t="str">
        <v>ESRI</v>
      </c>
      <c r="F7671" s="7" t="str">
        <v>103440</v>
      </c>
      <c r="G7671" t="str">
        <v>ProjectedCrs</v>
      </c>
      <c r="H7671" t="str">
        <v>Transverse Mercator</v>
      </c>
      <c r="I7671" t="str">
        <v>NAD_1983_HARN_WISCRS_Milwaukee_County_Feet</v>
      </c>
      <c r="J7671" t="str">
        <v>United States (USA) - Wisconsin.</v>
      </c>
      <c r="K7671" s="11">
        <v>0</v>
      </c>
    </row>
    <row r="7672" spans="5:11" x14ac:dyDescent="0.35">
      <c r="E7672" s="9" t="str">
        <v>ESRI</v>
      </c>
      <c r="F7672" s="7" t="str">
        <v>103444</v>
      </c>
      <c r="G7672" t="str">
        <v>ProjectedCrs</v>
      </c>
      <c r="H7672" t="str">
        <v>Transverse Mercator</v>
      </c>
      <c r="I7672" t="str">
        <v>NAD_1983_HARN_WISCRS_Outagamie_County_Feet</v>
      </c>
      <c r="J7672" t="str">
        <v>United States (USA) - Wisconsin.</v>
      </c>
      <c r="K7672" s="11">
        <v>0</v>
      </c>
    </row>
    <row r="7673" spans="5:11" x14ac:dyDescent="0.35">
      <c r="E7673" s="9" t="str">
        <v>ESRI</v>
      </c>
      <c r="F7673" s="7" t="str">
        <v>103445</v>
      </c>
      <c r="G7673" t="str">
        <v>ProjectedCrs</v>
      </c>
      <c r="H7673" t="str">
        <v>Transverse Mercator</v>
      </c>
      <c r="I7673" t="str">
        <v>NAD_1983_HARN_WISCRS_Ozaukee_County_Feet</v>
      </c>
      <c r="J7673" t="str">
        <v>United States (USA) - Wisconsin.</v>
      </c>
      <c r="K7673" s="11">
        <v>0</v>
      </c>
    </row>
    <row r="7674" spans="5:11" x14ac:dyDescent="0.35">
      <c r="E7674" s="9" t="str">
        <v>ESRI</v>
      </c>
      <c r="F7674" s="7" t="str">
        <v>103446</v>
      </c>
      <c r="G7674" t="str">
        <v>ProjectedCrs</v>
      </c>
      <c r="H7674" t="str">
        <v>Lambert Conic Conformal (1SP)</v>
      </c>
      <c r="I7674" t="str">
        <v>NAD_1983_HARN_WISCRS_Pepin_County_Feet</v>
      </c>
      <c r="J7674" t="str">
        <v>United States (USA) - Wisconsin.</v>
      </c>
      <c r="K7674" s="11">
        <v>0</v>
      </c>
    </row>
    <row r="7675" spans="5:11" x14ac:dyDescent="0.35">
      <c r="E7675" s="9" t="str">
        <v>ESRI</v>
      </c>
      <c r="F7675" s="7" t="str">
        <v>103447</v>
      </c>
      <c r="G7675" t="str">
        <v>ProjectedCrs</v>
      </c>
      <c r="H7675" t="str">
        <v>Lambert Conic Conformal (1SP)</v>
      </c>
      <c r="I7675" t="str">
        <v>NAD_1983_HARN_WISCRS_Pierce_County_Feet</v>
      </c>
      <c r="J7675" t="str">
        <v>United States (USA) - Wisconsin.</v>
      </c>
      <c r="K7675" s="11">
        <v>0</v>
      </c>
    </row>
    <row r="7676" spans="5:11" x14ac:dyDescent="0.35">
      <c r="E7676" s="9" t="str">
        <v>ESRI</v>
      </c>
      <c r="F7676" s="7" t="str">
        <v>103451</v>
      </c>
      <c r="G7676" t="str">
        <v>ProjectedCrs</v>
      </c>
      <c r="H7676" t="str">
        <v>Transverse Mercator</v>
      </c>
      <c r="I7676" t="str">
        <v>NAD_1983_HARN_WISCRS_Racine_County_Feet</v>
      </c>
      <c r="J7676" t="str">
        <v>United States (USA) - Wisconsin.</v>
      </c>
      <c r="K7676" s="11">
        <v>0</v>
      </c>
    </row>
    <row r="7677" spans="5:11" x14ac:dyDescent="0.35">
      <c r="E7677" s="9" t="str">
        <v>ESRI</v>
      </c>
      <c r="F7677" s="7" t="str">
        <v>103458</v>
      </c>
      <c r="G7677" t="str">
        <v>ProjectedCrs</v>
      </c>
      <c r="H7677" t="str">
        <v>Transverse Mercator</v>
      </c>
      <c r="I7677" t="str">
        <v>NAD_1983_HARN_WISCRS_Sheboygan_County_Feet</v>
      </c>
      <c r="J7677" t="str">
        <v>United States (USA) - Wisconsin.</v>
      </c>
      <c r="K7677" s="11">
        <v>0</v>
      </c>
    </row>
    <row r="7678" spans="5:11" x14ac:dyDescent="0.35">
      <c r="E7678" s="9" t="str">
        <v>ESRI</v>
      </c>
      <c r="F7678" s="7" t="str">
        <v>103470</v>
      </c>
      <c r="G7678" t="str">
        <v>ProjectedCrs</v>
      </c>
      <c r="H7678" t="str">
        <v>Transverse Mercator</v>
      </c>
      <c r="I7678" t="str">
        <v>NAD_1983_HARN_WISCRS_Winnebago_County_Feet</v>
      </c>
      <c r="J7678" t="str">
        <v>United States (USA) - Wisconsin.</v>
      </c>
      <c r="K7678" s="11">
        <v>0</v>
      </c>
    </row>
    <row r="7679" spans="5:11" x14ac:dyDescent="0.35">
      <c r="E7679" s="9" t="str">
        <v>ESRI</v>
      </c>
      <c r="F7679" s="7" t="str">
        <v>103472</v>
      </c>
      <c r="G7679" t="str">
        <v>ProjectedCrs</v>
      </c>
      <c r="H7679" t="str">
        <v>Lambert Conic Conformal (2SP)</v>
      </c>
      <c r="I7679" t="str">
        <v>NAD_1983_CORS96_StatePlane_Montana_FIPS_2500</v>
      </c>
      <c r="J7679"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7679" s="11">
        <v>0</v>
      </c>
    </row>
    <row r="7680" spans="5:11" x14ac:dyDescent="0.35">
      <c r="E7680" s="9" t="str">
        <v>ESRI</v>
      </c>
      <c r="F7680" s="7" t="str">
        <v>103473</v>
      </c>
      <c r="G7680" t="str">
        <v>ProjectedCrs</v>
      </c>
      <c r="H7680" t="str">
        <v>Lambert Conic Conformal (2SP)</v>
      </c>
      <c r="I7680" t="str">
        <v>NAD_1983_CORS96_StatePlane_Montana_FIPS_2500_Ft_Intl</v>
      </c>
      <c r="J7680" t="str">
        <v>United States (USA) - Montana - counties of Beaverhead; Big Horn; Blaine; Broadwater; Carbon; Carter; Cascade; Chouteau; Custer; Daniels; Dawson; Deer Lodge; Fallon; Fergus; Flathead; Gallatin; Garfield; Glacier; Golden Valley; Granite; Hill; Jefferson; Judith Basin; Lake; Lewis and Clark; Liberty; Lincoln; Madison; McCone; Meagher; Mineral; Missoula; Musselshell; Park; Petroleum; Phillips; Pondera; Powder River; Powell; Prairie; Ravalli; Richland; Roosevelt; Rosebud; Sanders; Sheridan; Silver Bow; Stillwater; Sweet Grass; Teton; Toole; Treasure; Valley; Wheatland; Wibaux; Yellowstone.</v>
      </c>
      <c r="K7680" s="11">
        <v>0</v>
      </c>
    </row>
    <row r="7681" spans="5:11" x14ac:dyDescent="0.35">
      <c r="E7681" s="9" t="str">
        <v>ESRI</v>
      </c>
      <c r="F7681" s="7" t="str">
        <v>103474</v>
      </c>
      <c r="G7681" t="str">
        <v>ProjectedCrs</v>
      </c>
      <c r="H7681" t="str">
        <v>Lambert Conic Conformal (2SP)</v>
      </c>
      <c r="I7681" t="str">
        <v>NAD_1983_CORS96_StatePlane_Nebraska_FIPS_2600</v>
      </c>
      <c r="J7681"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7681" s="11">
        <v>0</v>
      </c>
    </row>
    <row r="7682" spans="5:11" x14ac:dyDescent="0.35">
      <c r="E7682" s="9" t="str">
        <v>ESRI</v>
      </c>
      <c r="F7682" s="7" t="str">
        <v>103475</v>
      </c>
      <c r="G7682" t="str">
        <v>ProjectedCrs</v>
      </c>
      <c r="H7682" t="str">
        <v>Lambert Conic Conformal (2SP)</v>
      </c>
      <c r="I7682" t="str">
        <v>NAD_1983_CORS96_StatePlane_Nebraska_FIPS_2600_Ft_US</v>
      </c>
      <c r="J7682" t="str">
        <v>United States (USA) - Nebraska - counties of Adams; Antelope; Arthur; Banner; Blaine; Boone; Box Butte; Boyd; Brown; Buffalo; Burt; Butler; Cass; Cedar; Chase; Cherry; Cheyenne; Clay; Colfax; Cuming; Custer; Dakota; Dawes; Dawson; Deuel; Dixon; Dodge; Douglas; Dundy; Fillmore; Franklin; Frontier; Furnas; Gage; Garden; Garfield; Gosper; Grant; Greeley; Hall; Hamilton; Harlan; Hayes; Hitchcock; Holt; Hooker; Howard; Jefferson; Johnson; Kearney; Keith; Keya Paha; Kimball; Knox; Lancaster; Lincoln; Logan; Loup; Madison; McPherson; Merrick; Morrill; Nance; Nemaha; Nuckolls; Otoe; Pawnee; Perkins; Phelps; Pierce; Platte; Polk; Red Willow; Richardson; Rock; Saline; Sarpy; Saunders; Scotts Bluff; Seward; Sheridan; Sherman; Sioux; Stanton; Thayer; Thomas; Thurston; Valley; Washington; Wayne; Webster; Wheeler; York.</v>
      </c>
      <c r="K7682" s="11">
        <v>0</v>
      </c>
    </row>
    <row r="7683" spans="5:11" x14ac:dyDescent="0.35">
      <c r="E7683" s="9" t="str">
        <v>ESRI</v>
      </c>
      <c r="F7683" s="7" t="str">
        <v>103476</v>
      </c>
      <c r="G7683" t="str">
        <v>ProjectedCrs</v>
      </c>
      <c r="H7683" t="str">
        <v>Transverse Mercator</v>
      </c>
      <c r="I7683" t="str">
        <v>NAD_1983_CORS96_StatePlane_Nevada_East_FIPS_2701</v>
      </c>
      <c r="J7683" t="str">
        <v>United States (USA) - Nevada - counties of Clark; Elko; Eureka; Lincoln; White Pine.</v>
      </c>
      <c r="K7683" s="11">
        <v>0</v>
      </c>
    </row>
    <row r="7684" spans="5:11" x14ac:dyDescent="0.35">
      <c r="E7684" s="9" t="str">
        <v>ESRI</v>
      </c>
      <c r="F7684" s="7" t="str">
        <v>103477</v>
      </c>
      <c r="G7684" t="str">
        <v>ProjectedCrs</v>
      </c>
      <c r="H7684" t="str">
        <v>Transverse Mercator</v>
      </c>
      <c r="I7684" t="str">
        <v>NAD_1983_CORS96_StatePlane_Nevada_Central_FIPS_2702</v>
      </c>
      <c r="J7684" t="str">
        <v>United States (USA) - Nevada - counties of Lander; Nye.</v>
      </c>
      <c r="K7684" s="11">
        <v>0</v>
      </c>
    </row>
    <row r="7685" spans="5:11" x14ac:dyDescent="0.35">
      <c r="E7685" s="9" t="str">
        <v>ESRI</v>
      </c>
      <c r="F7685" s="7" t="str">
        <v>103478</v>
      </c>
      <c r="G7685" t="str">
        <v>ProjectedCrs</v>
      </c>
      <c r="H7685" t="str">
        <v>Transverse Mercator</v>
      </c>
      <c r="I7685" t="str">
        <v>NAD_1983_CORS96_StatePlane_Nevada_West_FIPS_2703</v>
      </c>
      <c r="J7685" t="str">
        <v>United States (USA) - Nevada - counties of Churchill; Douglas; Esmeralda; Humboldt; Lyon; Mineral; Pershing; Storey; Washoe.</v>
      </c>
      <c r="K7685" s="11">
        <v>0</v>
      </c>
    </row>
    <row r="7686" spans="5:11" x14ac:dyDescent="0.35">
      <c r="E7686" s="9" t="str">
        <v>ESRI</v>
      </c>
      <c r="F7686" s="7" t="str">
        <v>103479</v>
      </c>
      <c r="G7686" t="str">
        <v>ProjectedCrs</v>
      </c>
      <c r="H7686" t="str">
        <v>Transverse Mercator</v>
      </c>
      <c r="I7686" t="str">
        <v>NAD_1983_CORS96_StatePlane_Nevada_East_FIPS_2701_Ft_US</v>
      </c>
      <c r="J7686" t="str">
        <v>United States (USA) - Nevada - counties of Clark; Elko; Eureka; Lincoln; White Pine.</v>
      </c>
      <c r="K7686" s="11">
        <v>0</v>
      </c>
    </row>
    <row r="7687" spans="5:11" x14ac:dyDescent="0.35">
      <c r="E7687" s="9" t="str">
        <v>ESRI</v>
      </c>
      <c r="F7687" s="7" t="str">
        <v>103480</v>
      </c>
      <c r="G7687" t="str">
        <v>ProjectedCrs</v>
      </c>
      <c r="H7687" t="str">
        <v>Transverse Mercator</v>
      </c>
      <c r="I7687" t="str">
        <v>NAD_1983_CORS96_StatePlane_Nevada_Central_FIPS_2702_Ft_US</v>
      </c>
      <c r="J7687" t="str">
        <v>United States (USA) - Nevada - counties of Lander; Nye.</v>
      </c>
      <c r="K7687" s="11">
        <v>0</v>
      </c>
    </row>
    <row r="7688" spans="5:11" x14ac:dyDescent="0.35">
      <c r="E7688" s="9" t="str">
        <v>ESRI</v>
      </c>
      <c r="F7688" s="7" t="str">
        <v>103481</v>
      </c>
      <c r="G7688" t="str">
        <v>ProjectedCrs</v>
      </c>
      <c r="H7688" t="str">
        <v>Transverse Mercator</v>
      </c>
      <c r="I7688" t="str">
        <v>NAD_1983_CORS96_StatePlane_Nevada_West_FIPS_2703_Ft_US</v>
      </c>
      <c r="J7688" t="str">
        <v>United States (USA) - Nevada - counties of Churchill; Douglas; Esmeralda; Humboldt; Lyon; Mineral; Pershing; Storey; Washoe.</v>
      </c>
      <c r="K7688" s="11">
        <v>0</v>
      </c>
    </row>
    <row r="7689" spans="5:11" x14ac:dyDescent="0.35">
      <c r="E7689" s="9" t="str">
        <v>ESRI</v>
      </c>
      <c r="F7689" s="7" t="str">
        <v>103482</v>
      </c>
      <c r="G7689" t="str">
        <v>ProjectedCrs</v>
      </c>
      <c r="H7689" t="str">
        <v>Transverse Mercator</v>
      </c>
      <c r="I7689" t="str">
        <v>NAD_1983_CORS96_StatePlane_New_Hampshire_FIPS_2800</v>
      </c>
      <c r="J7689" t="str">
        <v>United States (USA) - New Hampshire - counties of Belknap; Carroll; Cheshire; Coos; Grafton; Hillsborough; Merrimack; Rockingham; Strafford; Sullivan.</v>
      </c>
      <c r="K7689" s="11">
        <v>0</v>
      </c>
    </row>
    <row r="7690" spans="5:11" x14ac:dyDescent="0.35">
      <c r="E7690" s="9" t="str">
        <v>ESRI</v>
      </c>
      <c r="F7690" s="7" t="str">
        <v>103483</v>
      </c>
      <c r="G7690" t="str">
        <v>ProjectedCrs</v>
      </c>
      <c r="H7690" t="str">
        <v>Transverse Mercator</v>
      </c>
      <c r="I7690" t="str">
        <v>NAD_1983_CORS96_StatePlane_New_Hampshire_FIPS_2800_Ft_US</v>
      </c>
      <c r="J7690" t="str">
        <v>United States (USA) - New Hampshire - counties of Belknap; Carroll; Cheshire; Coos; Grafton; Hillsborough; Merrimack; Rockingham; Strafford; Sullivan.</v>
      </c>
      <c r="K7690" s="11">
        <v>0</v>
      </c>
    </row>
    <row r="7691" spans="5:11" x14ac:dyDescent="0.35">
      <c r="E7691" s="9" t="str">
        <v>ESRI</v>
      </c>
      <c r="F7691" s="7" t="str">
        <v>103484</v>
      </c>
      <c r="G7691" t="str">
        <v>ProjectedCrs</v>
      </c>
      <c r="H7691" t="str">
        <v>Transverse Mercator</v>
      </c>
      <c r="I7691" t="str">
        <v>NAD_1983_CORS96_StatePlane_New_Jersey_FIPS_2900</v>
      </c>
      <c r="J7691" t="str">
        <v>United States (USA) - New Jersey - counties of Atlantic; Bergen; Burlington; Camden; Cape May; Cumberland; Essex; Gloucester; Hudson; Hunterdon; Mercer; Middlesex; Monmouth; Morris; Ocean; Passaic; Salem; Somerset; Sussex; Union; Warren.</v>
      </c>
      <c r="K7691" s="11">
        <v>0</v>
      </c>
    </row>
    <row r="7692" spans="5:11" x14ac:dyDescent="0.35">
      <c r="E7692" s="9" t="str">
        <v>ESRI</v>
      </c>
      <c r="F7692" s="7" t="str">
        <v>103485</v>
      </c>
      <c r="G7692" t="str">
        <v>ProjectedCrs</v>
      </c>
      <c r="H7692" t="str">
        <v>Transverse Mercator</v>
      </c>
      <c r="I7692" t="str">
        <v>NAD_1983_CORS96_StatePlane_New_Jersey_FIPS_2900_Ft_US</v>
      </c>
      <c r="J7692" t="str">
        <v>United States (USA) - New Jersey - counties of Atlantic; Bergen; Burlington; Camden; Cape May; Cumberland; Essex; Gloucester; Hudson; Hunterdon; Mercer; Middlesex; Monmouth; Morris; Ocean; Passaic; Salem; Somerset; Sussex; Union; Warren.</v>
      </c>
      <c r="K7692" s="11">
        <v>0</v>
      </c>
    </row>
    <row r="7693" spans="5:11" x14ac:dyDescent="0.35">
      <c r="E7693" s="9" t="str">
        <v>ESRI</v>
      </c>
      <c r="F7693" s="7" t="str">
        <v>103486</v>
      </c>
      <c r="G7693" t="str">
        <v>ProjectedCrs</v>
      </c>
      <c r="H7693" t="str">
        <v>Transverse Mercator</v>
      </c>
      <c r="I7693" t="str">
        <v>NAD_1983_CORS96_StatePlane_New_Mexico_East_FIPS_3001</v>
      </c>
      <c r="J7693" t="str">
        <v>United States (USA) - New Mexico - counties of Chaves; Colfax; Curry; De Baca; Eddy; Guadalupe; Harding; Lea; Mora; Quay; Roosevelt; San Miguel; Union.</v>
      </c>
      <c r="K7693" s="11">
        <v>0</v>
      </c>
    </row>
    <row r="7694" spans="5:11" x14ac:dyDescent="0.35">
      <c r="E7694" s="9" t="str">
        <v>ESRI</v>
      </c>
      <c r="F7694" s="7" t="str">
        <v>103487</v>
      </c>
      <c r="G7694" t="str">
        <v>ProjectedCrs</v>
      </c>
      <c r="H7694" t="str">
        <v>Transverse Mercator</v>
      </c>
      <c r="I7694" t="str">
        <v>NAD_1983_CORS96_StatePlane_New_Mexico_Central_FIPS_3002</v>
      </c>
      <c r="J7694" t="str">
        <v>United States (USA) - New Mexico - counties of Bernalillo; Dona Ana; Lincoln; Los Alamos; Otero; Rio Arriba; Sandoval; Santa Fe; Socorro; Taos; Torrance; Valencia.</v>
      </c>
      <c r="K7694" s="11">
        <v>0</v>
      </c>
    </row>
    <row r="7695" spans="5:11" x14ac:dyDescent="0.35">
      <c r="E7695" s="9" t="str">
        <v>ESRI</v>
      </c>
      <c r="F7695" s="7" t="str">
        <v>103488</v>
      </c>
      <c r="G7695" t="str">
        <v>ProjectedCrs</v>
      </c>
      <c r="H7695" t="str">
        <v>Transverse Mercator</v>
      </c>
      <c r="I7695" t="str">
        <v>NAD_1983_CORS96_StatePlane_New_Mexico_West_FIPS_3003</v>
      </c>
      <c r="J7695" t="str">
        <v>United States (USA) - New Mexico - counties of Catron; Cibola; Grant; Hidalgo; Luna; McKinley; San Juan; Sierra.</v>
      </c>
      <c r="K7695" s="11">
        <v>0</v>
      </c>
    </row>
    <row r="7696" spans="5:11" x14ac:dyDescent="0.35">
      <c r="E7696" s="9" t="str">
        <v>ESRI</v>
      </c>
      <c r="F7696" s="7" t="str">
        <v>103489</v>
      </c>
      <c r="G7696" t="str">
        <v>ProjectedCrs</v>
      </c>
      <c r="H7696" t="str">
        <v>Transverse Mercator</v>
      </c>
      <c r="I7696" t="str">
        <v>NAD_1983_CORS96_StatePlane_New_Mexico_East_FIPS_3001_Ft_US</v>
      </c>
      <c r="J7696" t="str">
        <v>United States (USA) - New Mexico - counties of Chaves; Colfax; Curry; De Baca; Eddy; Guadalupe; Harding; Lea; Mora; Quay; Roosevelt; San Miguel; Union.</v>
      </c>
      <c r="K7696" s="11">
        <v>0</v>
      </c>
    </row>
    <row r="7697" spans="5:11" x14ac:dyDescent="0.35">
      <c r="E7697" s="9" t="str">
        <v>ESRI</v>
      </c>
      <c r="F7697" s="7" t="str">
        <v>103490</v>
      </c>
      <c r="G7697" t="str">
        <v>ProjectedCrs</v>
      </c>
      <c r="H7697" t="str">
        <v>Transverse Mercator</v>
      </c>
      <c r="I7697" t="str">
        <v>NAD_1983_CORS96_StatePlane_New_Mexico_Central_FIPS_3002_Ft_US</v>
      </c>
      <c r="J7697" t="str">
        <v>United States (USA) - New Mexico - counties of Bernalillo; Dona Ana; Lincoln; Los Alamos; Otero; Rio Arriba; Sandoval; Santa Fe; Socorro; Taos; Torrance; Valencia.</v>
      </c>
      <c r="K7697" s="11">
        <v>0</v>
      </c>
    </row>
    <row r="7698" spans="5:11" x14ac:dyDescent="0.35">
      <c r="E7698" s="9" t="str">
        <v>ESRI</v>
      </c>
      <c r="F7698" s="7" t="str">
        <v>103491</v>
      </c>
      <c r="G7698" t="str">
        <v>ProjectedCrs</v>
      </c>
      <c r="H7698" t="str">
        <v>Transverse Mercator</v>
      </c>
      <c r="I7698" t="str">
        <v>NAD_1983_CORS96_StatePlane_New_Mexico_West_FIPS_3003_Ft_US</v>
      </c>
      <c r="J7698" t="str">
        <v>United States (USA) - New Mexico - counties of Catron; Cibola; Grant; Hidalgo; Luna; McKinley; San Juan; Sierra.</v>
      </c>
      <c r="K7698" s="11">
        <v>0</v>
      </c>
    </row>
    <row r="7699" spans="5:11" x14ac:dyDescent="0.35">
      <c r="E7699" s="9" t="str">
        <v>ESRI</v>
      </c>
      <c r="F7699" s="7" t="str">
        <v>103492</v>
      </c>
      <c r="G7699" t="str">
        <v>ProjectedCrs</v>
      </c>
      <c r="H7699" t="str">
        <v>Transverse Mercator</v>
      </c>
      <c r="I7699" t="str">
        <v>NAD_1983_CORS96_StatePlane_New_York_East_FIPS_3101</v>
      </c>
      <c r="J7699"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7699" s="11">
        <v>0</v>
      </c>
    </row>
    <row r="7700" spans="5:11" x14ac:dyDescent="0.35">
      <c r="E7700" s="9" t="str">
        <v>ESRI</v>
      </c>
      <c r="F7700" s="7" t="str">
        <v>103493</v>
      </c>
      <c r="G7700" t="str">
        <v>ProjectedCrs</v>
      </c>
      <c r="H7700" t="str">
        <v>Transverse Mercator</v>
      </c>
      <c r="I7700" t="str">
        <v>NAD_1983_CORS96_StatePlane_New_York_Central_FIPS_3102</v>
      </c>
      <c r="J7700" t="str">
        <v>United States (USA) - New York - counties of Broome; Cayuga; Chemung; Chenango; Cortland; Jefferson; Lewis; Madison; Oneida; Onondaga; Ontario; Oswego; Schuyler; Seneca; Steuben; Tioga; Tompkins; Wayne; Yates.</v>
      </c>
      <c r="K7700" s="11">
        <v>0</v>
      </c>
    </row>
    <row r="7701" spans="5:11" x14ac:dyDescent="0.35">
      <c r="E7701" s="9" t="str">
        <v>ESRI</v>
      </c>
      <c r="F7701" s="7" t="str">
        <v>103494</v>
      </c>
      <c r="G7701" t="str">
        <v>ProjectedCrs</v>
      </c>
      <c r="H7701" t="str">
        <v>Transverse Mercator</v>
      </c>
      <c r="I7701" t="str">
        <v>NAD_1983_CORS96_StatePlane_New_York_West_FIPS_3103</v>
      </c>
      <c r="J7701" t="str">
        <v>United States (USA) - New York - counties of Allegany; Cattaraugus; Chautauqua; Erie; Genesee; Livingston; Monroe; Niagara; Orleans; Wyoming.</v>
      </c>
      <c r="K7701" s="11">
        <v>0</v>
      </c>
    </row>
    <row r="7702" spans="5:11" x14ac:dyDescent="0.35">
      <c r="E7702" s="9" t="str">
        <v>ESRI</v>
      </c>
      <c r="F7702" s="7" t="str">
        <v>103495</v>
      </c>
      <c r="G7702" t="str">
        <v>ProjectedCrs</v>
      </c>
      <c r="H7702" t="str">
        <v>Lambert Conic Conformal (2SP)</v>
      </c>
      <c r="I7702" t="str">
        <v>NAD_1983_CORS96_StatePlane_New_York_Long_Island_FIPS_3104</v>
      </c>
      <c r="J7702" t="str">
        <v>United States (USA) - New York - counties of Bronx; Kings; Nassau; New York; Queens; Richmond; Suffolk.</v>
      </c>
      <c r="K7702" s="11">
        <v>0</v>
      </c>
    </row>
    <row r="7703" spans="5:11" x14ac:dyDescent="0.35">
      <c r="E7703" s="9" t="str">
        <v>ESRI</v>
      </c>
      <c r="F7703" s="7" t="str">
        <v>103496</v>
      </c>
      <c r="G7703" t="str">
        <v>ProjectedCrs</v>
      </c>
      <c r="H7703" t="str">
        <v>Transverse Mercator</v>
      </c>
      <c r="I7703" t="str">
        <v>NAD_1983_CORS96_StatePlane_New_York_East_FIPS_3101_Ft_US</v>
      </c>
      <c r="J7703" t="str">
        <v>United States (USA) - New York mainland - counties of Albany; Clinton; Columbia; Delaware; Dutchess; Essex; Franklin; Fulton; Greene; Hamilton; Herkimer; Montgomery; Orange; Otsego; Putnam; Rensselaer; Rockland; Saratoga; Schenectady; Schoharie; St Lawrence; Sullivan; Ulster; Warren; Washington; Westchester.</v>
      </c>
      <c r="K7703" s="11">
        <v>0</v>
      </c>
    </row>
    <row r="7704" spans="5:11" x14ac:dyDescent="0.35">
      <c r="E7704" s="9" t="str">
        <v>ESRI</v>
      </c>
      <c r="F7704" s="7" t="str">
        <v>103497</v>
      </c>
      <c r="G7704" t="str">
        <v>ProjectedCrs</v>
      </c>
      <c r="H7704" t="str">
        <v>Transverse Mercator</v>
      </c>
      <c r="I7704" t="str">
        <v>NAD_1983_CORS96_StatePlane_New_York_Central_FIPS_3102_Ft_US</v>
      </c>
      <c r="J7704" t="str">
        <v>United States (USA) - New York - counties of Broome; Cayuga; Chemung; Chenango; Cortland; Jefferson; Lewis; Madison; Oneida; Onondaga; Ontario; Oswego; Schuyler; Seneca; Steuben; Tioga; Tompkins; Wayne; Yates.</v>
      </c>
      <c r="K7704" s="11">
        <v>0</v>
      </c>
    </row>
    <row r="7705" spans="5:11" x14ac:dyDescent="0.35">
      <c r="E7705" s="9" t="str">
        <v>ESRI</v>
      </c>
      <c r="F7705" s="7" t="str">
        <v>103498</v>
      </c>
      <c r="G7705" t="str">
        <v>ProjectedCrs</v>
      </c>
      <c r="H7705" t="str">
        <v>Transverse Mercator</v>
      </c>
      <c r="I7705" t="str">
        <v>NAD_1983_CORS96_StatePlane_New_York_West_FIPS_3103_Ft_US</v>
      </c>
      <c r="J7705" t="str">
        <v>United States (USA) - New York - counties of Allegany; Cattaraugus; Chautauqua; Erie; Genesee; Livingston; Monroe; Niagara; Orleans; Wyoming.</v>
      </c>
      <c r="K7705" s="11">
        <v>0</v>
      </c>
    </row>
    <row r="7706" spans="5:11" x14ac:dyDescent="0.35">
      <c r="E7706" s="9" t="str">
        <v>ESRI</v>
      </c>
      <c r="F7706" s="7" t="str">
        <v>103499</v>
      </c>
      <c r="G7706" t="str">
        <v>ProjectedCrs</v>
      </c>
      <c r="H7706" t="str">
        <v>Lambert Conic Conformal (2SP)</v>
      </c>
      <c r="I7706" t="str">
        <v>NAD_1983_CORS96_StatePlane_New_York_Long_Isl_FIPS_3104_Ft_US</v>
      </c>
      <c r="J7706" t="str">
        <v>United States (USA) - New York - counties of Bronx; Kings; Nassau; New York; Queens; Richmond; Suffolk.</v>
      </c>
      <c r="K7706" s="11">
        <v>0</v>
      </c>
    </row>
    <row r="7707" spans="5:11" x14ac:dyDescent="0.35">
      <c r="E7707" s="9" t="str">
        <v>ESRI</v>
      </c>
      <c r="F7707" s="7" t="str">
        <v>103500</v>
      </c>
      <c r="G7707" t="str">
        <v>ProjectedCrs</v>
      </c>
      <c r="H7707" t="str">
        <v>Lambert Conic Conformal (2SP)</v>
      </c>
      <c r="I7707" t="str">
        <v>NAD_1983_CORS96_StatePlane_North_Carolina_FIPS_3200</v>
      </c>
      <c r="J7707"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7707" s="11">
        <v>0</v>
      </c>
    </row>
    <row r="7708" spans="5:11" x14ac:dyDescent="0.35">
      <c r="E7708" s="9" t="str">
        <v>ESRI</v>
      </c>
      <c r="F7708" s="7" t="str">
        <v>103501</v>
      </c>
      <c r="G7708" t="str">
        <v>ProjectedCrs</v>
      </c>
      <c r="H7708" t="str">
        <v>Lambert Conic Conformal (2SP)</v>
      </c>
      <c r="I7708" t="str">
        <v>NAD_1983_CORS96_StatePlane_North_Carolina_FIPS_3200_Ft_US</v>
      </c>
      <c r="J7708" t="str">
        <v>United States (USA) - North Carolina - counties of Alamance; Alexander; Alleghany; Anson; Ashe; Avery; Beaufort; Bertie; Bladen; Brunswick; Buncombe; Burke; Cabarrus; Caldwell; Camden; Carteret; Caswell; Catawba; Chatham; Cherokee; Chowan; Clay; Cleveland; Columbus; Craven; Cumberland; Currituck; Dare; Davidson; Davie; Duplin; Durham; Edgecombe; Forsyth; Franklin; Gaston; Gates; Graham; Granville; Greene; Guilford; Halifax; Harnett; Haywood; Henderson; Hertford; Hoke; Hyde; Iredell; Jackson; Johnston; Jones; Lee; Lenoir; Lincoln; Macon; Madison; Martin; McDowell; Mecklenburg; Mitchell; Montgomery; Moore; Nash; New Hanover; Northampton; Onslow; Orange; Pamlico; Pasquotank; Pender; Perquimans; Person; Pitt; Polk; Randolph; Richmond; Robeson; Rockingham; Rowan; Rutherford; Sampson; Scotland; Stanly; Stokes; Surry; Swain; Transylvania; Tyrrell; Union; Vance; Wake; Warren; Washington; Watauga; Wayne; Wilkes; Wilson; Yadkin; Yancey.</v>
      </c>
      <c r="K7708" s="11">
        <v>0</v>
      </c>
    </row>
    <row r="7709" spans="5:11" x14ac:dyDescent="0.35">
      <c r="E7709" s="9" t="str">
        <v>ESRI</v>
      </c>
      <c r="F7709" s="7" t="str">
        <v>103502</v>
      </c>
      <c r="G7709" t="str">
        <v>ProjectedCrs</v>
      </c>
      <c r="H7709" t="str">
        <v>Lambert Conic Conformal (2SP)</v>
      </c>
      <c r="I7709" t="str">
        <v>NAD_1983_CORS96_StatePlane_North_Dakota_North_FIPS_3301</v>
      </c>
      <c r="J7709" t="str">
        <v>United States (USA) - North Dakota - counties of Benson; Bottineau; Burke; Cavalier; Divide; Eddy; Foster; Grand Forks; Griggs; McHenry; McKenzie; McLean; Mountrial; Nelson; Pembina; Pierce; Ramsey; Renville; Rolette; Sheridan; Steele; Towner; Traill; Walsh; Ward; Wells; Williams.</v>
      </c>
      <c r="K7709" s="11">
        <v>0</v>
      </c>
    </row>
    <row r="7710" spans="5:11" x14ac:dyDescent="0.35">
      <c r="E7710" s="9" t="str">
        <v>ESRI</v>
      </c>
      <c r="F7710" s="7" t="str">
        <v>103503</v>
      </c>
      <c r="G7710" t="str">
        <v>ProjectedCrs</v>
      </c>
      <c r="H7710" t="str">
        <v>Lambert Conic Conformal (2SP)</v>
      </c>
      <c r="I7710" t="str">
        <v>NAD_1983_CORS96_StatePlane_North_Dakota_South_FIPS_3302</v>
      </c>
      <c r="J7710" t="str">
        <v>United States (USA) - North Dakota - counties of Adams; Barnes; Billings; Bowman; Burleigh; Cass; Dickey; Dunn; Emmons; Golden Valley; Grant; Hettinger; Kidder; La Moure; Logan; McIntosh; Mercer; Morton; Oliver; Ransom; Richland; Sargent; Sioux; Slope; Stark; Stutsman.</v>
      </c>
      <c r="K7710" s="11">
        <v>0</v>
      </c>
    </row>
    <row r="7711" spans="5:11" x14ac:dyDescent="0.35">
      <c r="E7711" s="9" t="str">
        <v>ESRI</v>
      </c>
      <c r="F7711" s="7" t="str">
        <v>103504</v>
      </c>
      <c r="G7711" t="str">
        <v>ProjectedCrs</v>
      </c>
      <c r="H7711" t="str">
        <v>Lambert Conic Conformal (2SP)</v>
      </c>
      <c r="I7711" t="str">
        <v>NAD_1983_CORS96_StatePlane_North_Dakota_North_FIPS_3301_FtI</v>
      </c>
      <c r="J7711" t="str">
        <v>United States (USA) - North Dakota - counties of Benson; Bottineau; Burke; Cavalier; Divide; Eddy; Foster; Grand Forks; Griggs; McHenry; McKenzie; McLean; Mountrial; Nelson; Pembina; Pierce; Ramsey; Renville; Rolette; Sheridan; Steele; Towner; Traill; Walsh; Ward; Wells; Williams.</v>
      </c>
      <c r="K7711" s="11">
        <v>0</v>
      </c>
    </row>
    <row r="7712" spans="5:11" x14ac:dyDescent="0.35">
      <c r="E7712" s="9" t="str">
        <v>ESRI</v>
      </c>
      <c r="F7712" s="7" t="str">
        <v>103505</v>
      </c>
      <c r="G7712" t="str">
        <v>ProjectedCrs</v>
      </c>
      <c r="H7712" t="str">
        <v>Lambert Conic Conformal (2SP)</v>
      </c>
      <c r="I7712" t="str">
        <v>NAD_1983_CORS96_StatePlane_North_Dakota_South_FIPS_3302_FtI</v>
      </c>
      <c r="J7712" t="str">
        <v>United States (USA) - North Dakota - counties of Adams; Barnes; Billings; Bowman; Burleigh; Cass; Dickey; Dunn; Emmons; Golden Valley; Grant; Hettinger; Kidder; La Moure; Logan; McIntosh; Mercer; Morton; Oliver; Ransom; Richland; Sargent; Sioux; Slope; Stark; Stutsman.</v>
      </c>
      <c r="K7712" s="11">
        <v>0</v>
      </c>
    </row>
    <row r="7713" spans="5:11" x14ac:dyDescent="0.35">
      <c r="E7713" s="9" t="str">
        <v>ESRI</v>
      </c>
      <c r="F7713" s="7" t="str">
        <v>103506</v>
      </c>
      <c r="G7713" t="str">
        <v>ProjectedCrs</v>
      </c>
      <c r="H7713" t="str">
        <v>Lambert Conic Conformal (2SP)</v>
      </c>
      <c r="I7713" t="str">
        <v>NAD_1983_CORS96_StatePlane_Ohio_North_FIPS_3401</v>
      </c>
      <c r="J7713"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7713" s="11">
        <v>0</v>
      </c>
    </row>
    <row r="7714" spans="5:11" x14ac:dyDescent="0.35">
      <c r="E7714" s="9" t="str">
        <v>ESRI</v>
      </c>
      <c r="F7714" s="7" t="str">
        <v>103507</v>
      </c>
      <c r="G7714" t="str">
        <v>ProjectedCrs</v>
      </c>
      <c r="H7714" t="str">
        <v>Lambert Conic Conformal (2SP)</v>
      </c>
      <c r="I7714" t="str">
        <v>NAD_1983_CORS96_StatePlane_Ohio_South_FIPS_3402</v>
      </c>
      <c r="J7714"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7714" s="11">
        <v>0</v>
      </c>
    </row>
    <row r="7715" spans="5:11" x14ac:dyDescent="0.35">
      <c r="E7715" s="9" t="str">
        <v>ESRI</v>
      </c>
      <c r="F7715" s="7" t="str">
        <v>103508</v>
      </c>
      <c r="G7715" t="str">
        <v>ProjectedCrs</v>
      </c>
      <c r="H7715" t="str">
        <v>Lambert Conic Conformal (2SP)</v>
      </c>
      <c r="I7715" t="str">
        <v>NAD_1983_CORS96_StatePlane_Ohio_North_FIPS_3401_Ft_US</v>
      </c>
      <c r="J7715" t="str">
        <v>United States (USA) - Ohio - counties of Allen;Ashland; Ashtabula; Auglaize; Carroll; Columbiana; Coshocton; Crawford; Cuyahoga; Defiance; Delaware; Erie; Fulton; Geauga; Hancock; Hardin; Harrison; Henry; Holmes; Huron; Jefferson; Knox; Lake; Logan; Lorain; Lucas; Mahoning; Marion; Medina; Mercer; Morrow; Ottawa; Paulding; Portage; Putnam; Richland; Sandusky; Seneca; Shelby; Stark; Summit; Trumbull; Tuscarawas; Union; Van Wert; Wayne; Williams; Wood; Wyandot.</v>
      </c>
      <c r="K7715" s="11">
        <v>0</v>
      </c>
    </row>
    <row r="7716" spans="5:11" x14ac:dyDescent="0.35">
      <c r="E7716" s="9" t="str">
        <v>ESRI</v>
      </c>
      <c r="F7716" s="7" t="str">
        <v>103509</v>
      </c>
      <c r="G7716" t="str">
        <v>ProjectedCrs</v>
      </c>
      <c r="H7716" t="str">
        <v>Lambert Conic Conformal (2SP)</v>
      </c>
      <c r="I7716" t="str">
        <v>NAD_1983_CORS96_StatePlane_Ohio_South_FIPS_3402_Ft_US</v>
      </c>
      <c r="J7716" t="str">
        <v>United States (USA) - Ohio - counties of Adams; Athens; Belmont; Brown; Butler; Champaign; Clark; Clermont; Clinton; Darke; Fairfield; Fayette; Franklin; Gallia; Greene; Guernsey; Hamilton; Highland; Hocking; Jackson; Lawrence; Licking; Madison; Meigs; Miami; Monroe; Montgomery; Morgan; Muskingum; Noble; Perry; Pickaway; Pike; Preble; Ross; Scioto; Vinton; Warren; Washington.</v>
      </c>
      <c r="K7716" s="11">
        <v>0</v>
      </c>
    </row>
    <row r="7717" spans="5:11" x14ac:dyDescent="0.35">
      <c r="E7717" s="9" t="str">
        <v>ESRI</v>
      </c>
      <c r="F7717" s="7" t="str">
        <v>103510</v>
      </c>
      <c r="G7717" t="str">
        <v>ProjectedCrs</v>
      </c>
      <c r="H7717" t="str">
        <v>Lambert Conic Conformal (2SP)</v>
      </c>
      <c r="I7717" t="str">
        <v>NAD_1983_CORS96_StatePlane_Oklahoma_North_FIPS_3501</v>
      </c>
      <c r="J7717"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7717" s="11">
        <v>0</v>
      </c>
    </row>
    <row r="7718" spans="5:11" x14ac:dyDescent="0.35">
      <c r="E7718" s="9" t="str">
        <v>ESRI</v>
      </c>
      <c r="F7718" s="7" t="str">
        <v>103511</v>
      </c>
      <c r="G7718" t="str">
        <v>ProjectedCrs</v>
      </c>
      <c r="H7718" t="str">
        <v>Lambert Conic Conformal (2SP)</v>
      </c>
      <c r="I7718" t="str">
        <v>NAD_1983_CORS96_StatePlane_Oklahoma_South_FIPS_3502</v>
      </c>
      <c r="J7718"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7718" s="11">
        <v>0</v>
      </c>
    </row>
    <row r="7719" spans="5:11" x14ac:dyDescent="0.35">
      <c r="E7719" s="9" t="str">
        <v>ESRI</v>
      </c>
      <c r="F7719" s="7" t="str">
        <v>103512</v>
      </c>
      <c r="G7719" t="str">
        <v>ProjectedCrs</v>
      </c>
      <c r="H7719" t="str">
        <v>Lambert Conic Conformal (2SP)</v>
      </c>
      <c r="I7719" t="str">
        <v>NAD_1983_CORS96_StatePlane_Oklahoma_North_FIPS_3501_Ft_US</v>
      </c>
      <c r="J7719" t="str">
        <v>United States (USA) - Oklahoma - counties of Adair; Alfalfa; Beaver; Blaine; Canadian; Cherokee; Cimarron; Craig; Creek; Custer; Delaware; Dewey; Ellis; Garfield; Grant; Harper; Kay; Kingfisher; Lincoln; Logan; Major; Mayes; Muskogee; Noble; Nowata; Okfuskee; Oklahoma; Okmulgee; Osage; Ottawa; Pawnee; Payne; Roger Mills; Rogers; Sequoyah; Texas; Tulsa; Wagoner; Washington; Woods; Woodward.</v>
      </c>
      <c r="K7719" s="11">
        <v>0</v>
      </c>
    </row>
    <row r="7720" spans="5:11" x14ac:dyDescent="0.35">
      <c r="E7720" s="9" t="str">
        <v>ESRI</v>
      </c>
      <c r="F7720" s="7" t="str">
        <v>103513</v>
      </c>
      <c r="G7720" t="str">
        <v>ProjectedCrs</v>
      </c>
      <c r="H7720" t="str">
        <v>Lambert Conic Conformal (2SP)</v>
      </c>
      <c r="I7720" t="str">
        <v>NAD_1983_CORS96_StatePlane_Oklahoma_South_FIPS_3502_Ft_US</v>
      </c>
      <c r="J7720" t="str">
        <v>United States (USA) - Oklahoma - counties of Atoka; Beckham; Bryan; Caddo; Carter; Choctaw; Cleveland; Coal; Comanche; Cotton; Garvin; Grady; Greer; Harmon; Haskell; Hughes; Jackson; Jefferson; Johnston; Kiowa; Latimer; Le Flore; Love; Marshall; McClain; McCurtain; McIntosh; Murray; Pittsburg; Pontotoc; Pottawatomie; Pushmataha; Seminole; Stephens; Tillman; Washita.</v>
      </c>
      <c r="K7720" s="11">
        <v>0</v>
      </c>
    </row>
    <row r="7721" spans="5:11" x14ac:dyDescent="0.35">
      <c r="E7721" s="9" t="str">
        <v>ESRI</v>
      </c>
      <c r="F7721" s="7" t="str">
        <v>103514</v>
      </c>
      <c r="G7721" t="str">
        <v>ProjectedCrs</v>
      </c>
      <c r="H7721" t="str">
        <v>Lambert Conic Conformal (2SP)</v>
      </c>
      <c r="I7721" t="str">
        <v>NAD_1983_CORS96_StatePlane_Pennsylvania_North_FIPS_3701</v>
      </c>
      <c r="J7721"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7721" s="11">
        <v>0</v>
      </c>
    </row>
    <row r="7722" spans="5:11" x14ac:dyDescent="0.35">
      <c r="E7722" s="9" t="str">
        <v>ESRI</v>
      </c>
      <c r="F7722" s="7" t="str">
        <v>103515</v>
      </c>
      <c r="G7722" t="str">
        <v>ProjectedCrs</v>
      </c>
      <c r="H7722" t="str">
        <v>Lambert Conic Conformal (2SP)</v>
      </c>
      <c r="I7722" t="str">
        <v>NAD_1983_CORS96_StatePlane_Pennsylvania_North_FIPS_3701_Ft_US</v>
      </c>
      <c r="J7722" t="str">
        <v>United States (USA) - Pennsylvania - counties of Bradford; Cameron; Carbon; Centre; Clarion; Clearfield; Clinton; Columbia; Crawford; Elk; Erie; Forest; Jefferson; Lackawanna; Luzerne; Lycoming; McKean; Mercer; Monroe; Montour; Northumberland; Pike; Potter; Sullivan; Susquehanna; Tioga; Union; Venango; Warren; Wayne; Wyoming.</v>
      </c>
      <c r="K7722" s="11">
        <v>0</v>
      </c>
    </row>
    <row r="7723" spans="5:11" x14ac:dyDescent="0.35">
      <c r="E7723" s="9" t="str">
        <v>ESRI</v>
      </c>
      <c r="F7723" s="7" t="str">
        <v>103516</v>
      </c>
      <c r="G7723" t="str">
        <v>ProjectedCrs</v>
      </c>
      <c r="H7723" t="str">
        <v>Lambert Conic Conformal (2SP)</v>
      </c>
      <c r="I7723" t="str">
        <v>NAD_1983_CORS96_StatePlane_Pennsylvania_South_FIPS_3702</v>
      </c>
      <c r="J7723"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7723" s="11">
        <v>0</v>
      </c>
    </row>
    <row r="7724" spans="5:11" x14ac:dyDescent="0.35">
      <c r="E7724" s="9" t="str">
        <v>ESRI</v>
      </c>
      <c r="F7724" s="7" t="str">
        <v>103517</v>
      </c>
      <c r="G7724" t="str">
        <v>ProjectedCrs</v>
      </c>
      <c r="H7724" t="str">
        <v>Lambert Conic Conformal (2SP)</v>
      </c>
      <c r="I7724" t="str">
        <v>NAD_1983_CORS96_StatePlane_Pennsylvania_South_FIPS_3702_Ft_US</v>
      </c>
      <c r="J7724" t="str">
        <v>United States (USA) - Pennsylvania - counties of Adams; Allegheny; Armstrong; Beaver; Bedford; Berks; Blair; Bucks; Butler; Cambria; Chester; Cumberland; Dauphin; Delaware; Fayette; Franklin; Fulton; Greene; Huntingdon; Indiana; Juniata; Lancaster; Lawrence; Lebanon; Lehigh; Mifflin; Montgomery; Northampton; Perry; Philadelphia; Schuylkill; Snyder; Somerset; Washington; Westmoreland; York.</v>
      </c>
      <c r="K7724" s="11">
        <v>0</v>
      </c>
    </row>
    <row r="7725" spans="5:11" x14ac:dyDescent="0.35">
      <c r="E7725" s="9" t="str">
        <v>ESRI</v>
      </c>
      <c r="F7725" s="7" t="str">
        <v>103518</v>
      </c>
      <c r="G7725" t="str">
        <v>ProjectedCrs</v>
      </c>
      <c r="H7725" t="str">
        <v>Transverse Mercator</v>
      </c>
      <c r="I7725" t="str">
        <v>NAD_1983_CORS96_StatePlane_Rhode_Island_FIPS_3800</v>
      </c>
      <c r="J7725" t="str">
        <v>United States (USA) - Rhode Island - counties of Bristol; Kent; Newport; Providence; Washington.</v>
      </c>
      <c r="K7725" s="11">
        <v>0</v>
      </c>
    </row>
    <row r="7726" spans="5:11" x14ac:dyDescent="0.35">
      <c r="E7726" s="9" t="str">
        <v>ESRI</v>
      </c>
      <c r="F7726" s="7" t="str">
        <v>103519</v>
      </c>
      <c r="G7726" t="str">
        <v>ProjectedCrs</v>
      </c>
      <c r="H7726" t="str">
        <v>Transverse Mercator</v>
      </c>
      <c r="I7726" t="str">
        <v>NAD_1983_CORS96_StatePlane_Rhode_Island_FIPS_3800_Ft_US</v>
      </c>
      <c r="J7726" t="str">
        <v>United States (USA) - Rhode Island - counties of Bristol; Kent; Newport; Providence; Washington.</v>
      </c>
      <c r="K7726" s="11">
        <v>0</v>
      </c>
    </row>
    <row r="7727" spans="5:11" x14ac:dyDescent="0.35">
      <c r="E7727" s="9" t="str">
        <v>ESRI</v>
      </c>
      <c r="F7727" s="7" t="str">
        <v>103520</v>
      </c>
      <c r="G7727" t="str">
        <v>ProjectedCrs</v>
      </c>
      <c r="H7727" t="str">
        <v>Lambert Conic Conformal (2SP)</v>
      </c>
      <c r="I7727" t="str">
        <v>NAD_1983_CORS96_StatePlane_South_Carolina_FIPS_3900</v>
      </c>
      <c r="J7727"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7727" s="11">
        <v>0</v>
      </c>
    </row>
    <row r="7728" spans="5:11" x14ac:dyDescent="0.35">
      <c r="E7728" s="9" t="str">
        <v>ESRI</v>
      </c>
      <c r="F7728" s="7" t="str">
        <v>103521</v>
      </c>
      <c r="G7728" t="str">
        <v>ProjectedCrs</v>
      </c>
      <c r="H7728" t="str">
        <v>Lambert Conic Conformal (2SP)</v>
      </c>
      <c r="I7728" t="str">
        <v>NAD_1983_CORS96_StatePlane_South_Carolina_FIPS_3900_Ft_Intl</v>
      </c>
      <c r="J7728" t="str">
        <v>United States (USA) - South Carolina - counties of Abbeville; Aiken; Allendale; Anderson; Bamberg; Barnwell; Beaufort; Berkeley; Calhoun; Charleston; Cherokee; Chester; Chesterfield; Clarendon; Colleton; Darlington; Dillon; Dorchester; Edgefield; Fairfield; Florence; Georgetown; Greenville; Greenwood; Hampton; Horry; Jasper; Kershaw; Lancaster; Laurens; Lee; Lexington; Marion; Marlboro; McCormick; Newberry; Oconee; Orangeburg; Pickens; Richland; Saluda; Spartanburg; Sumter; Union; Williamsburg; York.</v>
      </c>
      <c r="K7728" s="11">
        <v>0</v>
      </c>
    </row>
    <row r="7729" spans="5:11" x14ac:dyDescent="0.35">
      <c r="E7729" s="9" t="str">
        <v>ESRI</v>
      </c>
      <c r="F7729" s="7" t="str">
        <v>103522</v>
      </c>
      <c r="G7729" t="str">
        <v>ProjectedCrs</v>
      </c>
      <c r="H7729" t="str">
        <v>Lambert Conic Conformal (2SP)</v>
      </c>
      <c r="I7729" t="str">
        <v>NAD_1983_CORS96_StatePlane_South_Dakota_North_FIPS_4001</v>
      </c>
      <c r="J7729" t="str">
        <v>United States (USA) - South Dakota - counties of Beadle; Brookings; Brown; Butte; Campbell; Clark; Codington; Corson; Day; Deuel; Dewey; Edmunds; Faulk; Grant; Hamlin; Hand; Harding; Hyde; Kingsbury; Lawrence; Marshall; McPherson; Meade; Perkins; Potter; Roberts; Spink; Sully; Walworth; Ziebach.</v>
      </c>
      <c r="K7729" s="11">
        <v>0</v>
      </c>
    </row>
    <row r="7730" spans="5:11" x14ac:dyDescent="0.35">
      <c r="E7730" s="9" t="str">
        <v>ESRI</v>
      </c>
      <c r="F7730" s="7" t="str">
        <v>103523</v>
      </c>
      <c r="G7730" t="str">
        <v>ProjectedCrs</v>
      </c>
      <c r="H7730" t="str">
        <v>Lambert Conic Conformal (2SP)</v>
      </c>
      <c r="I7730" t="str">
        <v>NAD_1983_CORS96_StatePlane_South_Dakota_South_FIPS_4002</v>
      </c>
      <c r="J7730"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7730" s="11">
        <v>0</v>
      </c>
    </row>
    <row r="7731" spans="5:11" x14ac:dyDescent="0.35">
      <c r="E7731" s="9" t="str">
        <v>ESRI</v>
      </c>
      <c r="F7731" s="7" t="str">
        <v>103524</v>
      </c>
      <c r="G7731" t="str">
        <v>ProjectedCrs</v>
      </c>
      <c r="H7731" t="str">
        <v>Lambert Conic Conformal (2SP)</v>
      </c>
      <c r="I7731" t="str">
        <v>NAD_1983_CORS96_StatePlane_South_Dakota_North_FIPS_4001_Ft_US</v>
      </c>
      <c r="J7731" t="str">
        <v>United States (USA) - South Dakota - counties of Beadle; Brookings; Brown; Butte; Campbell; Clark; Codington; Corson; Day; Deuel; Dewey; Edmunds; Faulk; Grant; Hamlin; Hand; Harding; Hyde; Kingsbury; Lawrence; Marshall; McPherson; Meade; Perkins; Potter; Roberts; Spink; Sully; Walworth; Ziebach.</v>
      </c>
      <c r="K7731" s="11">
        <v>0</v>
      </c>
    </row>
    <row r="7732" spans="5:11" x14ac:dyDescent="0.35">
      <c r="E7732" s="9" t="str">
        <v>ESRI</v>
      </c>
      <c r="F7732" s="7" t="str">
        <v>103525</v>
      </c>
      <c r="G7732" t="str">
        <v>ProjectedCrs</v>
      </c>
      <c r="H7732" t="str">
        <v>Lambert Conic Conformal (2SP)</v>
      </c>
      <c r="I7732" t="str">
        <v>NAD_1983_CORS96_StatePlane_South_Dakota_South_FIPS_4002_Ft_US</v>
      </c>
      <c r="J7732" t="str">
        <v>United States (USA) - South Dakota - counties of Aurora; Bennett; Bon Homme; Brule; Buffalo; Charles Mix; Clay; Custer; Davison; Douglas; Fall River; Gregory; Haakon; Hanson; Hughes; Hutchinson; Jackson; Jerauld; Jones; Lake; Lincoln; Lyman; McCook; Mellette; Miner; Minnehaha; Moody; Pennington; Sanborn; Shannon; Stanley; Todd; Tripp; Turner; Union; Yankton.</v>
      </c>
      <c r="K7732" s="11">
        <v>0</v>
      </c>
    </row>
    <row r="7733" spans="5:11" x14ac:dyDescent="0.35">
      <c r="E7733" s="9" t="str">
        <v>ESRI</v>
      </c>
      <c r="F7733" s="7" t="str">
        <v>103526</v>
      </c>
      <c r="G7733" t="str">
        <v>ProjectedCrs</v>
      </c>
      <c r="H7733" t="str">
        <v>Lambert Conic Conformal (2SP)</v>
      </c>
      <c r="I7733" t="str">
        <v>NAD_1983_CORS96_StatePlane_Tennessee_FIPS_4100</v>
      </c>
      <c r="J7733"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7733" s="11">
        <v>0</v>
      </c>
    </row>
    <row r="7734" spans="5:11" x14ac:dyDescent="0.35">
      <c r="E7734" s="9" t="str">
        <v>ESRI</v>
      </c>
      <c r="F7734" s="7" t="str">
        <v>103527</v>
      </c>
      <c r="G7734" t="str">
        <v>ProjectedCrs</v>
      </c>
      <c r="H7734" t="str">
        <v>Lambert Conic Conformal (2SP)</v>
      </c>
      <c r="I7734" t="str">
        <v>NAD_1983_CORS96_StatePlane_Tennessee_FIPS_4100_Ft_US</v>
      </c>
      <c r="J7734" t="str">
        <v>United States (USA) - Tennessee - counties of Anderson; Bedford; Benton; Bledsoe; Blount; Bradley; Campbell; Cannon; Carroll; Carter; Cheatham; Chester; Claiborne; Clay; Cocke; Coffee; Crockett; Cumberland; Davidson; De Kalb; Decatur; Dickson; Dyer; Fayette; Fentress; Franklin; Gibson; Giles; Grainger; Greene; Grundy; Hamblen; Hamilton; Hancock; Hardeman; Hardin; Hawkins; Haywood; Henderson; Henry; Hickman; Houston; Humphreys; Jackson; Jefferson; Johnson; Knox; Lake; Lauderdale; Lawrence; Lewis; Lincoln; Loudon; Macon; Madison; Marion; Marshall; Maury; McMinn; McNairy; Meigs; Monroe; Montgomery; Moore; Morgan; Obion; Overton; Perry; Pickett; Polk; Putnam; Rhea; Roane; Robertson; Rutherford; Scott; Sequatchie; Sevier; Shelby; Smith; Stewart; Sullivan; Sumner; Tipton; Trousdale; Unicoi; Union; Van Buren; Warren; Washington; Wayne; Weakley; White; Williamson; Wilson.</v>
      </c>
      <c r="K7734" s="11">
        <v>0</v>
      </c>
    </row>
    <row r="7735" spans="5:11" x14ac:dyDescent="0.35">
      <c r="E7735" s="9" t="str">
        <v>ESRI</v>
      </c>
      <c r="F7735" s="7" t="str">
        <v>103539</v>
      </c>
      <c r="G7735" t="str">
        <v>ProjectedCrs</v>
      </c>
      <c r="H7735" t="str">
        <v>Lambert Conic Conformal (2SP)</v>
      </c>
      <c r="I7735" t="str">
        <v>NAD_1983_CORS96_StatePlane_Texas_North_FIPS_4201</v>
      </c>
      <c r="J7735" t="str">
        <v>United States (USA) - Texas - counties of: Armstrong; Briscoe; Carson; Castro; Childress; Collingsworth; Dallam; Deaf Smith; Donley; Gray; Hall; Hansford; Hartley; Hemphill; Hutchinson; Lipscomb; Moore; Ochiltree; Oldham; Parmer; Potter; Randall; Roberts; Sherman; Swisher; Wheeler.</v>
      </c>
      <c r="K7735" s="11">
        <v>0</v>
      </c>
    </row>
    <row r="7736" spans="5:11" x14ac:dyDescent="0.35">
      <c r="E7736" s="9" t="str">
        <v>ESRI</v>
      </c>
      <c r="F7736" s="7" t="str">
        <v>103540</v>
      </c>
      <c r="G7736" t="str">
        <v>ProjectedCrs</v>
      </c>
      <c r="H7736" t="str">
        <v>Lambert Conic Conformal (2SP)</v>
      </c>
      <c r="I7736" t="str">
        <v>NAD_1983_CORS96_StatePlane_Texas_North_Central_FIPS_4202</v>
      </c>
      <c r="J7736"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7736" s="11">
        <v>0</v>
      </c>
    </row>
    <row r="7737" spans="5:11" x14ac:dyDescent="0.35">
      <c r="E7737" s="9" t="str">
        <v>ESRI</v>
      </c>
      <c r="F7737" s="7" t="str">
        <v>103541</v>
      </c>
      <c r="G7737" t="str">
        <v>ProjectedCrs</v>
      </c>
      <c r="H7737" t="str">
        <v>Lambert Conic Conformal (2SP)</v>
      </c>
      <c r="I7737" t="str">
        <v>NAD_1983_CORS96_StatePlane_Texas_Central_FIPS_4203</v>
      </c>
      <c r="J7737"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7737" s="11">
        <v>0</v>
      </c>
    </row>
    <row r="7738" spans="5:11" x14ac:dyDescent="0.35">
      <c r="E7738" s="9" t="str">
        <v>ESRI</v>
      </c>
      <c r="F7738" s="7" t="str">
        <v>103542</v>
      </c>
      <c r="G7738" t="str">
        <v>ProjectedCrs</v>
      </c>
      <c r="H7738" t="str">
        <v>Lambert Conic Conformal (2SP)</v>
      </c>
      <c r="I7738" t="str">
        <v>NAD_1983_CORS96_StatePlane_Texas_South_Central_FIPS_4204</v>
      </c>
      <c r="J7738"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7738" s="11">
        <v>0</v>
      </c>
    </row>
    <row r="7739" spans="5:11" x14ac:dyDescent="0.35">
      <c r="E7739" s="9" t="str">
        <v>ESRI</v>
      </c>
      <c r="F7739" s="7" t="str">
        <v>103543</v>
      </c>
      <c r="G7739" t="str">
        <v>ProjectedCrs</v>
      </c>
      <c r="H7739" t="str">
        <v>Lambert Conic Conformal (2SP)</v>
      </c>
      <c r="I7739" t="str">
        <v>NAD_1983_CORS96_StatePlane_Texas_South_FIPS_4205</v>
      </c>
      <c r="J7739" t="str">
        <v>United States (USA) - Texas - counties of Brooks; Cameron; Duval; Hidalgo; Jim Hogg; Jim Wells; Kenedy; Kleberg; Nueces; San Patricio; Starr; Webb; Willacy; Zapata.</v>
      </c>
      <c r="K7739" s="11">
        <v>0</v>
      </c>
    </row>
    <row r="7740" spans="5:11" x14ac:dyDescent="0.35">
      <c r="E7740" s="9" t="str">
        <v>ESRI</v>
      </c>
      <c r="F7740" s="7" t="str">
        <v>103544</v>
      </c>
      <c r="G7740" t="str">
        <v>ProjectedCrs</v>
      </c>
      <c r="H7740" t="str">
        <v>Lambert Conic Conformal (2SP)</v>
      </c>
      <c r="I7740" t="str">
        <v>NAD_1983_CORS96_StatePlane_Texas_North_FIPS_4201_Ft_US</v>
      </c>
      <c r="J7740" t="str">
        <v>United States (USA) - Texas - counties of: Armstrong; Briscoe; Carson; Castro; Childress; Collingsworth; Dallam; Deaf Smith; Donley; Gray; Hall; Hansford; Hartley; Hemphill; Hutchinson; Lipscomb; Moore; Ochiltree; Oldham; Parmer; Potter; Randall; Roberts; Sherman; Swisher; Wheeler.</v>
      </c>
      <c r="K7740" s="11">
        <v>0</v>
      </c>
    </row>
    <row r="7741" spans="5:11" x14ac:dyDescent="0.35">
      <c r="E7741" s="9" t="str">
        <v>ESRI</v>
      </c>
      <c r="F7741" s="7" t="str">
        <v>103545</v>
      </c>
      <c r="G7741" t="str">
        <v>ProjectedCrs</v>
      </c>
      <c r="H7741" t="str">
        <v>Lambert Conic Conformal (2SP)</v>
      </c>
      <c r="I7741" t="str">
        <v>NAD_1983_CORS96_StatePlane_Texas_North_Central_FIPS_4202_FtUS</v>
      </c>
      <c r="J7741" t="str">
        <v>United States (USA) - Texas - counties of: Andrews; Archer; Bailey; Baylor; Borden; Bowie; Callahan; Camp; Cass; Clay; Cochran; Collin; Cooke; Cottle; Crosby; Dallas; Dawson; Delta; Denton; Dickens; Eastland; Ellis; Erath; Fannin; Fisher; Floyd; Foard; Franklin; Gaines; Garza; Grayson; Gregg; Hale; Hardeman; Harrison; Haskell; Henderson; Hill; Hockley; Hood; Hopkins; Howard; Hunt; Jack; Johnson; Jones; Kaufman; Kent; King; Knox; Lamar; Lamb; Lubbock; Lynn; Marion; Martin; Mitchell; Montague; Morris; Motley; Navarro; Nolan; Palo Pinto; Panola; Parker; Rains; Red River; Rockwall; Rusk; Scurry; Shackelford; Smith; Somervell; Stephens; Stonewall; Tarrant; Taylor; Terry; Throckmorton; Titus; Upshur; Van Zandt; Wichita; Wilbarger; Wise; Wood; Yoakum; Young.</v>
      </c>
      <c r="K7741" s="11">
        <v>0</v>
      </c>
    </row>
    <row r="7742" spans="5:11" x14ac:dyDescent="0.35">
      <c r="E7742" s="9" t="str">
        <v>ESRI</v>
      </c>
      <c r="F7742" s="7" t="str">
        <v>103546</v>
      </c>
      <c r="G7742" t="str">
        <v>ProjectedCrs</v>
      </c>
      <c r="H7742" t="str">
        <v>Lambert Conic Conformal (2SP)</v>
      </c>
      <c r="I7742" t="str">
        <v>NAD_1983_CORS96_StatePlane_Texas_Central_FIPS_4203_Ft_US</v>
      </c>
      <c r="J7742" t="str">
        <v>United States (USA) - Texas - counties of Anderson; Angelina; Bastrop; Bell; Blanco; Bosque; Brazos; Brown; Burleson; Burnet; Cherokee; Coke; Coleman; Comanche; Concho; Coryell; Crane; Crockett; Culberson; Ector; El Paso; Falls; Freestone; Gillespie; Glasscock; Grimes; Hamilton; Hardin; Houston; Hudspeth; Irion; Jasper; Jeff Davis; Kimble; Lampasas; Lee; Leon; Liberty; Limestone; Llano; Loving; Madison; Mason; McCulloch; McLennan; Menard; Midland; Milam; Mills; Montgomery; Nacogdoches; Newton; Orange; Pecos; Polk; Reagan; Reeves; Robertson; Runnels; Sabine; San Augustine; San Jacinto; San Saba; Schleicher; Shelby; Sterling; Sutton; Tom Green; Travis; Trinity; Tyler; Upton; Walker; Ward; Washington; Williamson; Winkler.</v>
      </c>
      <c r="K7742" s="11">
        <v>0</v>
      </c>
    </row>
    <row r="7743" spans="5:11" x14ac:dyDescent="0.35">
      <c r="E7743" s="9" t="str">
        <v>ESRI</v>
      </c>
      <c r="F7743" s="7" t="str">
        <v>103547</v>
      </c>
      <c r="G7743" t="str">
        <v>ProjectedCrs</v>
      </c>
      <c r="H7743" t="str">
        <v>Lambert Conic Conformal (2SP)</v>
      </c>
      <c r="I7743" t="str">
        <v>NAD_1983_CORS96_StatePlane_Texas_South_Central_FIPS_4204_FtUS</v>
      </c>
      <c r="J7743" t="str">
        <v>United States (USA) - Texas - counties of Aransas; Atascosa; Austin; Bandera; Bee; Bexar; Brazoria; Brewster; Caldwell; Calhoun; Chambers; Colorado; Comal; De Witt; Dimmit; Edwards; Fayette; Fort Bend; Frio; Galveston; Goliad; Gonzales; Guadalupe; Harris; Hays; Jackson; Jefferson; Karnes; Kendall; Kerr; Kinney; La Salle; Lavaca; Live Oak; Matagorda; Maverick; McMullen; Medina; Presidio; Real; Refugio; Terrell; Uvalde; Val Verde; Victoria; Waller; Wharton; Wilson; Zavala.</v>
      </c>
      <c r="K7743" s="11">
        <v>0</v>
      </c>
    </row>
    <row r="7744" spans="5:11" x14ac:dyDescent="0.35">
      <c r="E7744" s="9" t="str">
        <v>ESRI</v>
      </c>
      <c r="F7744" s="7" t="str">
        <v>103548</v>
      </c>
      <c r="G7744" t="str">
        <v>ProjectedCrs</v>
      </c>
      <c r="H7744" t="str">
        <v>Lambert Conic Conformal (2SP)</v>
      </c>
      <c r="I7744" t="str">
        <v>NAD_1983_CORS96_StatePlane_Texas_South_FIPS_4205_Ft_US</v>
      </c>
      <c r="J7744" t="str">
        <v>United States (USA) - Texas - counties of Brooks; Cameron; Duval; Hidalgo; Jim Hogg; Jim Wells; Kenedy; Kleberg; Nueces; San Patricio; Starr; Webb; Willacy; Zapata.</v>
      </c>
      <c r="K7744" s="11">
        <v>0</v>
      </c>
    </row>
    <row r="7745" spans="5:11" x14ac:dyDescent="0.35">
      <c r="E7745" s="9" t="str">
        <v>ESRI</v>
      </c>
      <c r="F7745" s="7" t="str">
        <v>103549</v>
      </c>
      <c r="G7745" t="str">
        <v>ProjectedCrs</v>
      </c>
      <c r="H7745" t="str">
        <v>Lambert Conic Conformal (2SP)</v>
      </c>
      <c r="I7745" t="str">
        <v>NAD_1983_CORS96_StatePlane_Utah_North_FIPS_4301</v>
      </c>
      <c r="J7745" t="str">
        <v>United States (USA) - Utah - counties of Box Elder; Cache; Daggett; Davis; Morgan; Rich; Summit; Weber.</v>
      </c>
      <c r="K7745" s="11">
        <v>0</v>
      </c>
    </row>
    <row r="7746" spans="5:11" x14ac:dyDescent="0.35">
      <c r="E7746" s="9" t="str">
        <v>ESRI</v>
      </c>
      <c r="F7746" s="7" t="str">
        <v>103550</v>
      </c>
      <c r="G7746" t="str">
        <v>ProjectedCrs</v>
      </c>
      <c r="H7746" t="str">
        <v>Lambert Conic Conformal (2SP)</v>
      </c>
      <c r="I7746" t="str">
        <v>NAD_1983_CORS96_StatePlane_Utah_Central_FIPS_4302</v>
      </c>
      <c r="J7746" t="str">
        <v>United States (USA) - Utah - counties of Carbon; Duchesne; Emery; Grand; Juab; Millard; Salt Lake; Sanpete; Sevier; Tooele; Uintah; Utah; Wasatch.</v>
      </c>
      <c r="K7746" s="11">
        <v>0</v>
      </c>
    </row>
    <row r="7747" spans="5:11" x14ac:dyDescent="0.35">
      <c r="E7747" s="9" t="str">
        <v>ESRI</v>
      </c>
      <c r="F7747" s="7" t="str">
        <v>103551</v>
      </c>
      <c r="G7747" t="str">
        <v>ProjectedCrs</v>
      </c>
      <c r="H7747" t="str">
        <v>Lambert Conic Conformal (2SP)</v>
      </c>
      <c r="I7747" t="str">
        <v>NAD_1983_CORS96_StatePlane_Utah_South_FIPS_4303</v>
      </c>
      <c r="J7747" t="str">
        <v>United States (USA) - Utah - counties of Beaver; Garfield; Iron; Kane; Piute; San Juan; Washington; Wayne.</v>
      </c>
      <c r="K7747" s="11">
        <v>0</v>
      </c>
    </row>
    <row r="7748" spans="5:11" x14ac:dyDescent="0.35">
      <c r="E7748" s="9" t="str">
        <v>ESRI</v>
      </c>
      <c r="F7748" s="7" t="str">
        <v>103552</v>
      </c>
      <c r="G7748" t="str">
        <v>ProjectedCrs</v>
      </c>
      <c r="H7748" t="str">
        <v>Lambert Conic Conformal (2SP)</v>
      </c>
      <c r="I7748" t="str">
        <v>NAD_1983_CORS96_StatePlane_Utah_North_FIPS_4301_Ft_Intl</v>
      </c>
      <c r="J7748" t="str">
        <v>United States (USA) - Utah - counties of Box Elder; Cache; Daggett; Davis; Morgan; Rich; Summit; Weber.</v>
      </c>
      <c r="K7748" s="11">
        <v>0</v>
      </c>
    </row>
    <row r="7749" spans="5:11" x14ac:dyDescent="0.35">
      <c r="E7749" s="9" t="str">
        <v>ESRI</v>
      </c>
      <c r="F7749" s="7" t="str">
        <v>103553</v>
      </c>
      <c r="G7749" t="str">
        <v>ProjectedCrs</v>
      </c>
      <c r="H7749" t="str">
        <v>Lambert Conic Conformal (2SP)</v>
      </c>
      <c r="I7749" t="str">
        <v>NAD_1983_CORS96_StatePlane_Utah_Central_FIPS_4302_Ft_Intl</v>
      </c>
      <c r="J7749" t="str">
        <v>United States (USA) - Utah - counties of Carbon; Duchesne; Emery; Grand; Juab; Millard; Salt Lake; Sanpete; Sevier; Tooele; Uintah; Utah; Wasatch.</v>
      </c>
      <c r="K7749" s="11">
        <v>0</v>
      </c>
    </row>
    <row r="7750" spans="5:11" x14ac:dyDescent="0.35">
      <c r="E7750" s="9" t="str">
        <v>ESRI</v>
      </c>
      <c r="F7750" s="7" t="str">
        <v>103554</v>
      </c>
      <c r="G7750" t="str">
        <v>ProjectedCrs</v>
      </c>
      <c r="H7750" t="str">
        <v>Lambert Conic Conformal (2SP)</v>
      </c>
      <c r="I7750" t="str">
        <v>NAD_1983_CORS96_StatePlane_Utah_South_FIPS_4303_Ft_Intl</v>
      </c>
      <c r="J7750" t="str">
        <v>United States (USA) - Utah - counties of Beaver; Garfield; Iron; Kane; Piute; San Juan; Washington; Wayne.</v>
      </c>
      <c r="K7750" s="11">
        <v>0</v>
      </c>
    </row>
    <row r="7751" spans="5:11" x14ac:dyDescent="0.35">
      <c r="E7751" s="9" t="str">
        <v>ESRI</v>
      </c>
      <c r="F7751" s="7" t="str">
        <v>103555</v>
      </c>
      <c r="G7751" t="str">
        <v>ProjectedCrs</v>
      </c>
      <c r="H7751" t="str">
        <v>Lambert Conic Conformal (2SP)</v>
      </c>
      <c r="I7751" t="str">
        <v>NAD_1983_CORS96_StatePlane_Utah_North_FIPS_4301_Ft_US</v>
      </c>
      <c r="J7751" t="str">
        <v>United States (USA) - Utah - counties of Box Elder; Cache; Daggett; Davis; Morgan; Rich; Summit; Weber.</v>
      </c>
      <c r="K7751" s="11">
        <v>0</v>
      </c>
    </row>
    <row r="7752" spans="5:11" x14ac:dyDescent="0.35">
      <c r="E7752" s="9" t="str">
        <v>ESRI</v>
      </c>
      <c r="F7752" s="7" t="str">
        <v>103556</v>
      </c>
      <c r="G7752" t="str">
        <v>ProjectedCrs</v>
      </c>
      <c r="H7752" t="str">
        <v>Lambert Conic Conformal (2SP)</v>
      </c>
      <c r="I7752" t="str">
        <v>NAD_1983_CORS96_StatePlane_Utah_Central_FIPS_4302_Ft_US</v>
      </c>
      <c r="J7752" t="str">
        <v>United States (USA) - Utah - counties of Carbon; Duchesne; Emery; Grand; Juab; Millard; Salt Lake; Sanpete; Sevier; Tooele; Uintah; Utah; Wasatch.</v>
      </c>
      <c r="K7752" s="11">
        <v>0</v>
      </c>
    </row>
    <row r="7753" spans="5:11" x14ac:dyDescent="0.35">
      <c r="E7753" s="9" t="str">
        <v>ESRI</v>
      </c>
      <c r="F7753" s="7" t="str">
        <v>103557</v>
      </c>
      <c r="G7753" t="str">
        <v>ProjectedCrs</v>
      </c>
      <c r="H7753" t="str">
        <v>Lambert Conic Conformal (2SP)</v>
      </c>
      <c r="I7753" t="str">
        <v>NAD_1983_CORS96_StatePlane_Utah_South_FIPS_4303_Ft_US</v>
      </c>
      <c r="J7753" t="str">
        <v>United States (USA) - Utah - counties of Beaver; Garfield; Iron; Kane; Piute; San Juan; Washington; Wayne.</v>
      </c>
      <c r="K7753" s="11">
        <v>0</v>
      </c>
    </row>
    <row r="7754" spans="5:11" x14ac:dyDescent="0.35">
      <c r="E7754" s="9" t="str">
        <v>ESRI</v>
      </c>
      <c r="F7754" s="7" t="str">
        <v>103558</v>
      </c>
      <c r="G7754" t="str">
        <v>ProjectedCrs</v>
      </c>
      <c r="H7754" t="str">
        <v>Transverse Mercator</v>
      </c>
      <c r="I7754" t="str">
        <v>NAD_1983_CORS96_StatePlane_Vermont_FIPS_4400</v>
      </c>
      <c r="J7754" t="str">
        <v>United States (USA) - Vermont - counties of Addison; Bennington; Caledonia; Chittenden; Essex; Franklin; Grand Isle; Lamoille; Orange; Orleans; Rutland; Washington; Windham; Windsor.</v>
      </c>
      <c r="K7754" s="11">
        <v>0</v>
      </c>
    </row>
    <row r="7755" spans="5:11" x14ac:dyDescent="0.35">
      <c r="E7755" s="9" t="str">
        <v>ESRI</v>
      </c>
      <c r="F7755" s="7" t="str">
        <v>103559</v>
      </c>
      <c r="G7755" t="str">
        <v>ProjectedCrs</v>
      </c>
      <c r="H7755" t="str">
        <v>Lambert Conic Conformal (2SP)</v>
      </c>
      <c r="I7755" t="str">
        <v>NAD_1983_CORS96_StatePlane_Virginia_North_FIPS_4501</v>
      </c>
      <c r="J7755" t="str">
        <v>United States (USA) - Virginia - counties of Arlington; Augusta; Bath; Caroline; Clarke; Culpeper; Fairfax; Fauquier; Frederick; Greene; Highland; King George; Loudoun; Madison; Orange; Page; Prince William; Rappahannock; Rockingham; Shenandoah; Spotsylvania; Stafford; Warren; Westmoreland.</v>
      </c>
      <c r="K7755" s="11">
        <v>0</v>
      </c>
    </row>
    <row r="7756" spans="5:11" x14ac:dyDescent="0.35">
      <c r="E7756" s="9" t="str">
        <v>ESRI</v>
      </c>
      <c r="F7756" s="7" t="str">
        <v>103560</v>
      </c>
      <c r="G7756" t="str">
        <v>ProjectedCrs</v>
      </c>
      <c r="H7756" t="str">
        <v>Lambert Conic Conformal (2SP)</v>
      </c>
      <c r="I7756" t="str">
        <v>NAD_1983_CORS96_StatePlane_Virginia_South_FIPS_4502</v>
      </c>
      <c r="J7756"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7756" s="11">
        <v>0</v>
      </c>
    </row>
    <row r="7757" spans="5:11" x14ac:dyDescent="0.35">
      <c r="E7757" s="9" t="str">
        <v>ESRI</v>
      </c>
      <c r="F7757" s="7" t="str">
        <v>103561</v>
      </c>
      <c r="G7757" t="str">
        <v>ProjectedCrs</v>
      </c>
      <c r="H7757" t="str">
        <v>Lambert Conic Conformal (2SP)</v>
      </c>
      <c r="I7757" t="str">
        <v>NAD_1983_CORS96_StatePlane_Virginia_North_FIPS_4501_Ft_US</v>
      </c>
      <c r="J7757" t="str">
        <v>United States (USA) - Virginia - counties of Arlington; Augusta; Bath; Caroline; Clarke; Culpeper; Fairfax; Fauquier; Frederick; Greene; Highland; King George; Loudoun; Madison; Orange; Page; Prince William; Rappahannock; Rockingham; Shenandoah; Spotsylvania; Stafford; Warren; Westmoreland.</v>
      </c>
      <c r="K7757" s="11">
        <v>0</v>
      </c>
    </row>
    <row r="7758" spans="5:11" x14ac:dyDescent="0.35">
      <c r="E7758" s="9" t="str">
        <v>ESRI</v>
      </c>
      <c r="F7758" s="7" t="str">
        <v>103562</v>
      </c>
      <c r="G7758" t="str">
        <v>ProjectedCrs</v>
      </c>
      <c r="H7758" t="str">
        <v>Lambert Conic Conformal (2SP)</v>
      </c>
      <c r="I7758" t="str">
        <v>NAD_1983_CORS96_StatePlane_Virginia_South_FIPS_4502_Ft_US</v>
      </c>
      <c r="J7758" t="str">
        <v>United States (USA) - Virginia - counties of Accomack; Albemarle; Alleghany; Amelia; Amherst; Appomattox; Bedford; Bland; Botetourt; Bristol; Brunswick; Buchanan; Buckingham; Campbell; Carroll; Charles City; Charlotte; Chesapeake; Chesterfield; Colonial Heights; Craig; Cumberland; Dickenson; Dinwiddie; Essex; Floyd; Fluvanna; Franklin; Giles; Gloucester; Goochland; Grayson; Greensville; Halifax; Hampton; Hanover; Henrico; Henry; Isle of Wight; James City; King and Queen; King William; Lancaster; Lee; Louisa; Lunenburg; Lynchburg; Mathews; Mecklenburg; Middlesex; Montgomery; Nelson; New Kent; Newport News; Norfolk; Northampton; Northumberland; Norton; Nottoway; Patrick; Petersburg; Pittsylvania; Portsmouth; Powhatan; Prince Edward; Prince George; Pulaski; Richmond; Roanoke; Rockbridge; Russell; Scott; Smyth; Southampton; Suffolk; Surry; Sussex; Tazewell; Washington; Wise; Wythe; York.</v>
      </c>
      <c r="K7758" s="11">
        <v>0</v>
      </c>
    </row>
    <row r="7759" spans="5:11" x14ac:dyDescent="0.35">
      <c r="E7759" s="9" t="str">
        <v>ESRI</v>
      </c>
      <c r="F7759" s="7" t="str">
        <v>103563</v>
      </c>
      <c r="G7759" t="str">
        <v>ProjectedCrs</v>
      </c>
      <c r="H7759" t="str">
        <v>Lambert Conic Conformal (2SP)</v>
      </c>
      <c r="I7759" t="str">
        <v>NAD_1983_CORS96_StatePlane_Washington_North_FIPS_4601</v>
      </c>
      <c r="J7759" t="str">
        <v>United States (USA) - Washington - counties of Chelan; Clallam; Douglas; Ferry; Grant north of approximately 47°30'N; Island; Jefferson; King; Kitsap; Lincoln; Okanogan; Pend Oreille; San Juan; Skagit; Snohomish; Spokane; Stevens; Whatcom.</v>
      </c>
      <c r="K7759" s="11">
        <v>0</v>
      </c>
    </row>
    <row r="7760" spans="5:11" x14ac:dyDescent="0.35">
      <c r="E7760" s="9" t="str">
        <v>ESRI</v>
      </c>
      <c r="F7760" s="7" t="str">
        <v>103564</v>
      </c>
      <c r="G7760" t="str">
        <v>ProjectedCrs</v>
      </c>
      <c r="H7760" t="str">
        <v>Lambert Conic Conformal (2SP)</v>
      </c>
      <c r="I7760" t="str">
        <v>NAD_1983_CORS96_StatePlane_Washington_South_FIPS_4602</v>
      </c>
      <c r="J7760" t="str">
        <v>United States (USA) - Washington - counties of Adams; Asotin; Benton; Clark; Columbia; Cowlitz; Franklin; Garfield; Grant south of approximately 47°30'N; Grays Harbor; Kittitas; Klickitat; Lewis; Mason; Pacific; Pierce; Skamania; Thurston; Wahkiakum; Walla Walla; Whitman; Yakima.</v>
      </c>
      <c r="K7760" s="11">
        <v>0</v>
      </c>
    </row>
    <row r="7761" spans="5:11" x14ac:dyDescent="0.35">
      <c r="E7761" s="9" t="str">
        <v>ESRI</v>
      </c>
      <c r="F7761" s="7" t="str">
        <v>103565</v>
      </c>
      <c r="G7761" t="str">
        <v>ProjectedCrs</v>
      </c>
      <c r="H7761" t="str">
        <v>Lambert Conic Conformal (2SP)</v>
      </c>
      <c r="I7761" t="str">
        <v>NAD_1983_CORS96_StatePlane_Washington_North_FIPS_4601_Ft_US</v>
      </c>
      <c r="J7761" t="str">
        <v>United States (USA) - Washington - counties of Chelan; Clallam; Douglas; Ferry; Grant north of approximately 47°30'N; Island; Jefferson; King; Kitsap; Lincoln; Okanogan; Pend Oreille; San Juan; Skagit; Snohomish; Spokane; Stevens; Whatcom.</v>
      </c>
      <c r="K7761" s="11">
        <v>0</v>
      </c>
    </row>
    <row r="7762" spans="5:11" x14ac:dyDescent="0.35">
      <c r="E7762" s="9" t="str">
        <v>ESRI</v>
      </c>
      <c r="F7762" s="7" t="str">
        <v>103566</v>
      </c>
      <c r="G7762" t="str">
        <v>ProjectedCrs</v>
      </c>
      <c r="H7762" t="str">
        <v>Lambert Conic Conformal (2SP)</v>
      </c>
      <c r="I7762" t="str">
        <v>NAD_1983_CORS96_StatePlane_Washington_South_FIPS_4602_Ft_US</v>
      </c>
      <c r="J7762" t="str">
        <v>United States (USA) - Washington - counties of Adams; Asotin; Benton; Clark; Columbia; Cowlitz; Franklin; Garfield; Grant south of approximately 47°30'N; Grays Harbor; Kittitas; Klickitat; Lewis; Mason; Pacific; Pierce; Skamania; Thurston; Wahkiakum; Walla Walla; Whitman; Yakima.</v>
      </c>
      <c r="K7762" s="11">
        <v>0</v>
      </c>
    </row>
    <row r="7763" spans="5:11" x14ac:dyDescent="0.35">
      <c r="E7763" s="9" t="str">
        <v>ESRI</v>
      </c>
      <c r="F7763" s="7" t="str">
        <v>103567</v>
      </c>
      <c r="G7763" t="str">
        <v>ProjectedCrs</v>
      </c>
      <c r="H7763" t="str">
        <v>Lambert Conic Conformal (2SP)</v>
      </c>
      <c r="I7763" t="str">
        <v>NAD_1983_CORS96_StatePlane_West_Virginia_North_FIPS_4701</v>
      </c>
      <c r="J7763" t="str">
        <v>United States (USA) - West Virginia - counties of Barbour; Berkeley; Brooke; Doddridge; Grant; Hampshire; Hancock; Hardy; Harrison; Jefferson; Marion; Marshall; Mineral; Monongalia; Morgan; Ohio; Pleasants; Preston; Ritchie; Taylor; Tucker; Tyler; Wetzel; Wirt; Wood.</v>
      </c>
      <c r="K7763" s="11">
        <v>0</v>
      </c>
    </row>
    <row r="7764" spans="5:11" x14ac:dyDescent="0.35">
      <c r="E7764" s="9" t="str">
        <v>ESRI</v>
      </c>
      <c r="F7764" s="7" t="str">
        <v>103568</v>
      </c>
      <c r="G7764" t="str">
        <v>ProjectedCrs</v>
      </c>
      <c r="H7764" t="str">
        <v>Lambert Conic Conformal (2SP)</v>
      </c>
      <c r="I7764" t="str">
        <v>NAD_1983_CORS96_StatePlane_West_Virginia_South_FIPS_4702</v>
      </c>
      <c r="J7764"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7764" s="11">
        <v>0</v>
      </c>
    </row>
    <row r="7765" spans="5:11" x14ac:dyDescent="0.35">
      <c r="E7765" s="9" t="str">
        <v>ESRI</v>
      </c>
      <c r="F7765" s="7" t="str">
        <v>103569</v>
      </c>
      <c r="G7765" t="str">
        <v>ProjectedCrs</v>
      </c>
      <c r="H7765" t="str">
        <v>Lambert Conic Conformal (2SP)</v>
      </c>
      <c r="I7765" t="str">
        <v>NAD_1983_CORS96_StatePlane_West_Virginia_North_FIPS_4701_FtUS</v>
      </c>
      <c r="J7765" t="str">
        <v>United States (USA) - West Virginia - counties of Barbour; Berkeley; Brooke; Doddridge; Grant; Hampshire; Hancock; Hardy; Harrison; Jefferson; Marion; Marshall; Mineral; Monongalia; Morgan; Ohio; Pleasants; Preston; Ritchie; Taylor; Tucker; Tyler; Wetzel; Wirt; Wood.</v>
      </c>
      <c r="K7765" s="11">
        <v>0</v>
      </c>
    </row>
    <row r="7766" spans="5:11" x14ac:dyDescent="0.35">
      <c r="E7766" s="9" t="str">
        <v>ESRI</v>
      </c>
      <c r="F7766" s="7" t="str">
        <v>103570</v>
      </c>
      <c r="G7766" t="str">
        <v>ProjectedCrs</v>
      </c>
      <c r="H7766" t="str">
        <v>Lambert Conic Conformal (2SP)</v>
      </c>
      <c r="I7766" t="str">
        <v>NAD_1983_CORS96_StatePlane_West_Virginia_South_FIPS_4702_FtUS</v>
      </c>
      <c r="J7766" t="str">
        <v>United States (USA) - West Virginia - counties of Boone; Braxton; Cabell; Calhoun; Clay; Fayette; Gilmer; Greenbrier; Jackson; Kanawha; Lewis; Lincoln; Logan; Mason; McDowell; Mercer; Mingo; Monroe; Nicholas; Pendleton; Pocahontas; Putnam; Raleigh; Randolph; Roane; Summers; Upshur; Wayne; Webster; Wyoming.</v>
      </c>
      <c r="K7766" s="11">
        <v>0</v>
      </c>
    </row>
    <row r="7767" spans="5:11" x14ac:dyDescent="0.35">
      <c r="E7767" s="9" t="str">
        <v>ESRI</v>
      </c>
      <c r="F7767" s="7" t="str">
        <v>103571</v>
      </c>
      <c r="G7767" t="str">
        <v>ProjectedCrs</v>
      </c>
      <c r="H7767" t="str">
        <v>Lambert Conic Conformal (2SP)</v>
      </c>
      <c r="I7767" t="str">
        <v>NAD_1983_CORS96_StatePlane_Wisconsin_North_FIPS_4801</v>
      </c>
      <c r="J7767" t="str">
        <v>United States (USA) - Wisconsin - counties of Ashland; Bayfield; Burnett; Douglas; Florence; Forest; Iron; Oneida; Price; Sawyer; Vilas; Washburn.</v>
      </c>
      <c r="K7767" s="11">
        <v>0</v>
      </c>
    </row>
    <row r="7768" spans="5:11" x14ac:dyDescent="0.35">
      <c r="E7768" s="9" t="str">
        <v>ESRI</v>
      </c>
      <c r="F7768" s="7" t="str">
        <v>103572</v>
      </c>
      <c r="G7768" t="str">
        <v>ProjectedCrs</v>
      </c>
      <c r="H7768" t="str">
        <v>Lambert Conic Conformal (2SP)</v>
      </c>
      <c r="I7768" t="str">
        <v>NAD_1983_CORS96_StatePlane_Wisconsin_Central_FIPS_4802</v>
      </c>
      <c r="J7768" t="str">
        <v>United States (USA) - Wisconsin - counties of Barron; Brown; Buffalo; Chippewa; Clark; Door; Dunn; Eau Claire; Jackson; Kewaunee; Langlade; Lincoln; Marathon; Marinette; Menominee; Oconto; Outagamie; Pepin; Pierce; Polk; Portage; Rusk; Shawano; St Croix; Taylor; Trempealeau; Waupaca; Wood.</v>
      </c>
      <c r="K7768" s="11">
        <v>0</v>
      </c>
    </row>
    <row r="7769" spans="5:11" x14ac:dyDescent="0.35">
      <c r="E7769" s="9" t="str">
        <v>ESRI</v>
      </c>
      <c r="F7769" s="7" t="str">
        <v>103573</v>
      </c>
      <c r="G7769" t="str">
        <v>ProjectedCrs</v>
      </c>
      <c r="H7769" t="str">
        <v>Lambert Conic Conformal (2SP)</v>
      </c>
      <c r="I7769" t="str">
        <v>NAD_1983_CORS96_StatePlane_Wisconsin_South_FIPS_4803</v>
      </c>
      <c r="J7769"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7769" s="11">
        <v>0</v>
      </c>
    </row>
    <row r="7770" spans="5:11" x14ac:dyDescent="0.35">
      <c r="E7770" s="9" t="str">
        <v>ESRI</v>
      </c>
      <c r="F7770" s="7" t="str">
        <v>103574</v>
      </c>
      <c r="G7770" t="str">
        <v>ProjectedCrs</v>
      </c>
      <c r="H7770" t="str">
        <v>Lambert Conic Conformal (2SP)</v>
      </c>
      <c r="I7770" t="str">
        <v>NAD_1983_CORS96_StatePlane_Wisconsin_North_FIPS_4801_Ft_US</v>
      </c>
      <c r="J7770" t="str">
        <v>United States (USA) - Wisconsin - counties of Ashland; Bayfield; Burnett; Douglas; Florence; Forest; Iron; Oneida; Price; Sawyer; Vilas; Washburn.</v>
      </c>
      <c r="K7770" s="11">
        <v>0</v>
      </c>
    </row>
    <row r="7771" spans="5:11" x14ac:dyDescent="0.35">
      <c r="E7771" s="9" t="str">
        <v>ESRI</v>
      </c>
      <c r="F7771" s="7" t="str">
        <v>103575</v>
      </c>
      <c r="G7771" t="str">
        <v>ProjectedCrs</v>
      </c>
      <c r="H7771" t="str">
        <v>Lambert Conic Conformal (2SP)</v>
      </c>
      <c r="I7771" t="str">
        <v>NAD_1983_CORS96_StatePlane_Wisconsin_Central_FIPS_4802_Ft_US</v>
      </c>
      <c r="J7771" t="str">
        <v>United States (USA) - Wisconsin - counties of Barron; Brown; Buffalo; Chippewa; Clark; Door; Dunn; Eau Claire; Jackson; Kewaunee; Langlade; Lincoln; Marathon; Marinette; Menominee; Oconto; Outagamie; Pepin; Pierce; Polk; Portage; Rusk; Shawano; St Croix; Taylor; Trempealeau; Waupaca; Wood.</v>
      </c>
      <c r="K7771" s="11">
        <v>0</v>
      </c>
    </row>
    <row r="7772" spans="5:11" x14ac:dyDescent="0.35">
      <c r="E7772" s="9" t="str">
        <v>ESRI</v>
      </c>
      <c r="F7772" s="7" t="str">
        <v>103576</v>
      </c>
      <c r="G7772" t="str">
        <v>ProjectedCrs</v>
      </c>
      <c r="H7772" t="str">
        <v>Lambert Conic Conformal (2SP)</v>
      </c>
      <c r="I7772" t="str">
        <v>NAD_1983_CORS96_StatePlane_Wisconsin_South_FIPS_4803_Ft_US</v>
      </c>
      <c r="J7772" t="str">
        <v>United States (USA) - Wisconsin - counties of Adams; Calumet; Columbia; Crawford; Dane; Dodge; Fond Du Lac; Grant; Green; Green Lake; Iowa; Jefferson; Juneau; Kenosha; La Crosse; Lafayette; Manitowoc; Marquette; Milwaukee; Monroe; Ozaukee; Racine; Richland; Rock; Sauk; Sheboygan; Vernon; Walworth; Washington; Waukesha; Waushara; Winnebago.</v>
      </c>
      <c r="K7772" s="11">
        <v>0</v>
      </c>
    </row>
    <row r="7773" spans="5:11" x14ac:dyDescent="0.35">
      <c r="E7773" s="9" t="str">
        <v>ESRI</v>
      </c>
      <c r="F7773" s="7" t="str">
        <v>103577</v>
      </c>
      <c r="G7773" t="str">
        <v>ProjectedCrs</v>
      </c>
      <c r="H7773" t="str">
        <v>Transverse Mercator</v>
      </c>
      <c r="I7773" t="str">
        <v>NAD_1983_CORS96_StatePlane_Wyoming_East_FIPS_4901</v>
      </c>
      <c r="J7773" t="str">
        <v>United States (USA) - Wyoming - counties of Albany; Campbell; Converse; Crook; Goshen; Laramie; Niobrara; Platte; Weston.</v>
      </c>
      <c r="K7773" s="11">
        <v>0</v>
      </c>
    </row>
    <row r="7774" spans="5:11" x14ac:dyDescent="0.35">
      <c r="E7774" s="9" t="str">
        <v>ESRI</v>
      </c>
      <c r="F7774" s="7" t="str">
        <v>103578</v>
      </c>
      <c r="G7774" t="str">
        <v>ProjectedCrs</v>
      </c>
      <c r="H7774" t="str">
        <v>Transverse Mercator</v>
      </c>
      <c r="I7774" t="str">
        <v>NAD_1983_CORS96_StatePlane_Wyoming_East_Central_FIPS_4902</v>
      </c>
      <c r="J7774" t="str">
        <v>United States (USA) - Wyoming - counties of Big Horn; Carbon; Johnson; Natrona; Sheridan; Washakie.</v>
      </c>
      <c r="K7774" s="11">
        <v>0</v>
      </c>
    </row>
    <row r="7775" spans="5:11" x14ac:dyDescent="0.35">
      <c r="E7775" s="9" t="str">
        <v>ESRI</v>
      </c>
      <c r="F7775" s="7" t="str">
        <v>103579</v>
      </c>
      <c r="G7775" t="str">
        <v>ProjectedCrs</v>
      </c>
      <c r="H7775" t="str">
        <v>Transverse Mercator</v>
      </c>
      <c r="I7775" t="str">
        <v>NAD_1983_CORS96_StatePlane_Wyoming_West_Central_FIPS_4903</v>
      </c>
      <c r="J7775" t="str">
        <v>United States (USA) - Wyoming - counties of Fremont; Hot Springs; Park; Sweetwater.</v>
      </c>
      <c r="K7775" s="11">
        <v>0</v>
      </c>
    </row>
    <row r="7776" spans="5:11" x14ac:dyDescent="0.35">
      <c r="E7776" s="9" t="str">
        <v>ESRI</v>
      </c>
      <c r="F7776" s="7" t="str">
        <v>103580</v>
      </c>
      <c r="G7776" t="str">
        <v>ProjectedCrs</v>
      </c>
      <c r="H7776" t="str">
        <v>Transverse Mercator</v>
      </c>
      <c r="I7776" t="str">
        <v>NAD_1983_CORS96_StatePlane_Wyoming_West_FIPS_4904</v>
      </c>
      <c r="J7776" t="str">
        <v>United States (USA) - Wyoming - counties of Lincoln; Sublette; Teton; Uinta.</v>
      </c>
      <c r="K7776" s="11">
        <v>0</v>
      </c>
    </row>
    <row r="7777" spans="5:11" x14ac:dyDescent="0.35">
      <c r="E7777" s="9" t="str">
        <v>ESRI</v>
      </c>
      <c r="F7777" s="7" t="str">
        <v>103581</v>
      </c>
      <c r="G7777" t="str">
        <v>ProjectedCrs</v>
      </c>
      <c r="H7777" t="str">
        <v>Transverse Mercator</v>
      </c>
      <c r="I7777" t="str">
        <v>NAD_1983_CORS96_StatePlane_Wyoming_East_FIPS_4901_Ft_US</v>
      </c>
      <c r="J7777" t="str">
        <v>United States (USA) - Wyoming - counties of Albany; Campbell; Converse; Crook; Goshen; Laramie; Niobrara; Platte; Weston.</v>
      </c>
      <c r="K7777" s="11">
        <v>0</v>
      </c>
    </row>
    <row r="7778" spans="5:11" x14ac:dyDescent="0.35">
      <c r="E7778" s="9" t="str">
        <v>ESRI</v>
      </c>
      <c r="F7778" s="7" t="str">
        <v>103582</v>
      </c>
      <c r="G7778" t="str">
        <v>ProjectedCrs</v>
      </c>
      <c r="H7778" t="str">
        <v>Transverse Mercator</v>
      </c>
      <c r="I7778" t="str">
        <v>NAD_1983_CORS96_StatePlane_Wyoming_E_Central_FIPS_4902_Ft_US</v>
      </c>
      <c r="J7778" t="str">
        <v>United States (USA) - Wyoming - counties of Big Horn; Carbon; Johnson; Natrona; Sheridan; Washakie.</v>
      </c>
      <c r="K7778" s="11">
        <v>0</v>
      </c>
    </row>
    <row r="7779" spans="5:11" x14ac:dyDescent="0.35">
      <c r="E7779" s="9" t="str">
        <v>ESRI</v>
      </c>
      <c r="F7779" s="7" t="str">
        <v>103583</v>
      </c>
      <c r="G7779" t="str">
        <v>ProjectedCrs</v>
      </c>
      <c r="H7779" t="str">
        <v>Transverse Mercator</v>
      </c>
      <c r="I7779" t="str">
        <v>NAD_1983_CORS96_StatePlane_Wyoming_W_Central_FIPS_4903_Ft_US</v>
      </c>
      <c r="J7779" t="str">
        <v>United States (USA) - Wyoming - counties of Fremont; Hot Springs; Park; Sweetwater.</v>
      </c>
      <c r="K7779" s="11">
        <v>0</v>
      </c>
    </row>
    <row r="7780" spans="5:11" x14ac:dyDescent="0.35">
      <c r="E7780" s="9" t="str">
        <v>ESRI</v>
      </c>
      <c r="F7780" s="7" t="str">
        <v>103585</v>
      </c>
      <c r="G7780" t="str">
        <v>ProjectedCrs</v>
      </c>
      <c r="H7780" t="str">
        <v>Transverse Mercator</v>
      </c>
      <c r="I7780" t="str">
        <v>NAD_1983_CORS96_StatePlane_Wyoming_West_FIPS_4904_Ft_US</v>
      </c>
      <c r="J7780" t="str">
        <v>United States (USA) - Wyoming - counties of Lincoln; Sublette; Teton; Uinta.</v>
      </c>
      <c r="K7780" s="11">
        <v>0</v>
      </c>
    </row>
    <row r="7781" spans="5:11" x14ac:dyDescent="0.35">
      <c r="E7781" s="9" t="str">
        <v>ESRI</v>
      </c>
      <c r="F7781" s="7" t="str">
        <v>103586</v>
      </c>
      <c r="G7781" t="str">
        <v>ProjectedCrs</v>
      </c>
      <c r="H7781" t="str">
        <v>Lambert Conic Conformal (1SP)</v>
      </c>
      <c r="I7781" t="str">
        <v>NAD_1983_HARN_Navajo_Nation_Coordinate_System_Meters</v>
      </c>
      <c r="J7781" t="str">
        <v>Navajo Nation</v>
      </c>
      <c r="K7781" s="11">
        <v>0</v>
      </c>
    </row>
    <row r="7782" spans="5:11" x14ac:dyDescent="0.35">
      <c r="E7782" s="9" t="str">
        <v>ESRI</v>
      </c>
      <c r="F7782" s="7" t="str">
        <v>103587</v>
      </c>
      <c r="G7782" t="str">
        <v>ProjectedCrs</v>
      </c>
      <c r="H7782" t="str">
        <v>Lambert Conic Conformal (1SP)</v>
      </c>
      <c r="I7782" t="str">
        <v>NAD_1983_HARN_Navajo_Nation_Coordinate_System_US_Feet</v>
      </c>
      <c r="J7782" t="str">
        <v>Navajo Nation</v>
      </c>
      <c r="K7782" s="11">
        <v>0</v>
      </c>
    </row>
    <row r="7783" spans="5:11" x14ac:dyDescent="0.35">
      <c r="E7783" s="9" t="str">
        <v>ESRI</v>
      </c>
      <c r="F7783" s="7" t="str">
        <v>103588</v>
      </c>
      <c r="G7783" t="str">
        <v>ProjectedCrs</v>
      </c>
      <c r="H7783" t="str">
        <v>Lambert Conic Conformal (1SP)</v>
      </c>
      <c r="I7783" t="str">
        <v>NAD_1983_HARN_Navajo_Nation_Coordinate_System_Intl_Feet</v>
      </c>
      <c r="J7783" t="str">
        <v>Navajo Nation</v>
      </c>
      <c r="K7783" s="11">
        <v>0</v>
      </c>
    </row>
    <row r="7784" spans="5:11" x14ac:dyDescent="0.35">
      <c r="E7784" s="9" t="str">
        <v>ESRI</v>
      </c>
      <c r="F7784" s="7" t="str">
        <v>103589</v>
      </c>
      <c r="G7784" t="str">
        <v>ProjectedCrs</v>
      </c>
      <c r="H7784" t="str">
        <v>Lambert Conic Conformal (1SP)</v>
      </c>
      <c r="I7784" t="str">
        <v>NAD_1983_NSRS2007_Navajo_Nation_Coordinate_System_Meters</v>
      </c>
      <c r="J7784" t="str">
        <v>Navajo Nation</v>
      </c>
      <c r="K7784" s="11">
        <v>0</v>
      </c>
    </row>
    <row r="7785" spans="5:11" x14ac:dyDescent="0.35">
      <c r="E7785" s="9" t="str">
        <v>ESRI</v>
      </c>
      <c r="F7785" s="7" t="str">
        <v>103590</v>
      </c>
      <c r="G7785" t="str">
        <v>ProjectedCrs</v>
      </c>
      <c r="H7785" t="str">
        <v>Lambert Conic Conformal (1SP)</v>
      </c>
      <c r="I7785" t="str">
        <v>NAD_1983_NSRS2007_Navajo_Nation_Coordinate_System_US_Feet</v>
      </c>
      <c r="J7785" t="str">
        <v>Navajo Nation</v>
      </c>
      <c r="K7785" s="11">
        <v>0</v>
      </c>
    </row>
    <row r="7786" spans="5:11" x14ac:dyDescent="0.35">
      <c r="E7786" s="9" t="str">
        <v>ESRI</v>
      </c>
      <c r="F7786" s="7" t="str">
        <v>103591</v>
      </c>
      <c r="G7786" t="str">
        <v>ProjectedCrs</v>
      </c>
      <c r="H7786" t="str">
        <v>Lambert Conic Conformal (1SP)</v>
      </c>
      <c r="I7786" t="str">
        <v>NAD_1983_NSRS2007_Navajo_Nation_Coordinate_System_Intl_Feet</v>
      </c>
      <c r="J7786" t="str">
        <v>Navajo Nation</v>
      </c>
      <c r="K7786" s="11">
        <v>0</v>
      </c>
    </row>
    <row r="7787" spans="5:11" x14ac:dyDescent="0.35">
      <c r="E7787" s="9" t="str">
        <v>ESRI</v>
      </c>
      <c r="F7787" s="7" t="str">
        <v>103592</v>
      </c>
      <c r="G7787" t="str">
        <v>ProjectedCrs</v>
      </c>
      <c r="H7787" t="str">
        <v>Lambert Conic Conformal (1SP)</v>
      </c>
      <c r="I7787" t="str">
        <v>NAD_1983_(2011)_Navajo_Nation_Coordinate_System_Meters</v>
      </c>
      <c r="J7787" t="str">
        <v>Navajo Nation</v>
      </c>
      <c r="K7787" s="11">
        <v>0</v>
      </c>
    </row>
    <row r="7788" spans="5:11" x14ac:dyDescent="0.35">
      <c r="E7788" s="9" t="str">
        <v>ESRI</v>
      </c>
      <c r="F7788" s="7" t="str">
        <v>103593</v>
      </c>
      <c r="G7788" t="str">
        <v>ProjectedCrs</v>
      </c>
      <c r="H7788" t="str">
        <v>Lambert Conic Conformal (1SP)</v>
      </c>
      <c r="I7788" t="str">
        <v>NAD_1983_(2011)_Navajo_Nation_Coordinate_System_US_Feet</v>
      </c>
      <c r="J7788" t="str">
        <v>Navajo Nation</v>
      </c>
      <c r="K7788" s="11">
        <v>0</v>
      </c>
    </row>
    <row r="7789" spans="5:11" x14ac:dyDescent="0.35">
      <c r="E7789" s="9" t="str">
        <v>ESRI</v>
      </c>
      <c r="F7789" s="7" t="str">
        <v>103594</v>
      </c>
      <c r="G7789" t="str">
        <v>ProjectedCrs</v>
      </c>
      <c r="H7789" t="str">
        <v>Lambert Conic Conformal (1SP)</v>
      </c>
      <c r="I7789" t="str">
        <v>NAD_1983_(2011)_Navajo_Nation_Coordinate_System_Intl_Feet</v>
      </c>
      <c r="J7789" t="str">
        <v>Navajo Nation</v>
      </c>
      <c r="K7789" s="11">
        <v>0</v>
      </c>
    </row>
    <row r="7790" spans="5:11" x14ac:dyDescent="0.35">
      <c r="E7790" s="9" t="str">
        <v>ESRI</v>
      </c>
      <c r="F7790" s="7" t="str">
        <v>103598</v>
      </c>
      <c r="G7790" t="str">
        <v>ProjectedCrs</v>
      </c>
      <c r="H7790" t="str">
        <v>Transverse Mercator</v>
      </c>
      <c r="I7790" t="str">
        <v>GTM</v>
      </c>
      <c r="J7790" t="str">
        <v>Guatemala - onshore and offshore.</v>
      </c>
      <c r="K7790" s="11">
        <v>0</v>
      </c>
    </row>
    <row r="7791" spans="5:11" x14ac:dyDescent="0.35">
      <c r="E7791" s="9" t="str">
        <v>ESRI</v>
      </c>
      <c r="F7791" s="7" t="str">
        <v>103599</v>
      </c>
      <c r="G7791" t="str">
        <v>ProjectedCrs</v>
      </c>
      <c r="H7791" t="str">
        <v>Transverse Mercator</v>
      </c>
      <c r="I7791" t="str">
        <v>MAGNA-SIRGAS_CMT12</v>
      </c>
      <c r="J7791" t="str">
        <v>Colombia - onshore and offshore. Includes San Andres y Providencia, Malpelo Islands, Roncador Bank, Serrana Bank and Serranilla Bank.</v>
      </c>
      <c r="K7791" s="11">
        <v>0</v>
      </c>
    </row>
    <row r="7792" spans="5:11" x14ac:dyDescent="0.35">
      <c r="E7792" s="9" t="str">
        <v>ESRI</v>
      </c>
      <c r="F7792" s="7" t="str">
        <v>103600</v>
      </c>
      <c r="G7792" t="str">
        <v>ProjectedCrs</v>
      </c>
      <c r="H7792" t="str">
        <v>Transverse Mercator</v>
      </c>
      <c r="I7792" t="str">
        <v>NAD_1983_HARN_Adj_MN_Aitkin_Meters</v>
      </c>
      <c r="J7792" t="str">
        <v>United States (USA) - Minnesota.</v>
      </c>
      <c r="K7792" s="11">
        <v>0</v>
      </c>
    </row>
    <row r="7793" spans="5:11" x14ac:dyDescent="0.35">
      <c r="E7793" s="9" t="str">
        <v>ESRI</v>
      </c>
      <c r="F7793" s="7" t="str">
        <v>103601</v>
      </c>
      <c r="G7793" t="str">
        <v>ProjectedCrs</v>
      </c>
      <c r="H7793" t="str">
        <v>Transverse Mercator</v>
      </c>
      <c r="I7793" t="str">
        <v>NAD_1983_HARN_Adj_MN_Clay_Meters</v>
      </c>
      <c r="J7793" t="str">
        <v>United States (USA) - Minnesota.</v>
      </c>
      <c r="K7793" s="11">
        <v>0</v>
      </c>
    </row>
    <row r="7794" spans="5:11" x14ac:dyDescent="0.35">
      <c r="E7794" s="9" t="str">
        <v>ESRI</v>
      </c>
      <c r="F7794" s="7" t="str">
        <v>103602</v>
      </c>
      <c r="G7794" t="str">
        <v>ProjectedCrs</v>
      </c>
      <c r="H7794" t="str">
        <v>Transverse Mercator</v>
      </c>
      <c r="I7794" t="str">
        <v>NAD_1983_HARN_Adj_MN_Clearwater_Meters</v>
      </c>
      <c r="J7794" t="str">
        <v>United States (USA) - Minnesota.</v>
      </c>
      <c r="K7794" s="11">
        <v>0</v>
      </c>
    </row>
    <row r="7795" spans="5:11" x14ac:dyDescent="0.35">
      <c r="E7795" s="9" t="str">
        <v>ESRI</v>
      </c>
      <c r="F7795" s="7" t="str">
        <v>103603</v>
      </c>
      <c r="G7795" t="str">
        <v>ProjectedCrs</v>
      </c>
      <c r="H7795" t="str">
        <v>Transverse Mercator</v>
      </c>
      <c r="I7795" t="str">
        <v>NAD_1983_HARN_Adj_MN_Hubbard_Meters</v>
      </c>
      <c r="J7795" t="str">
        <v>United States (USA) - Minnesota.</v>
      </c>
      <c r="K7795" s="11">
        <v>0</v>
      </c>
    </row>
    <row r="7796" spans="5:11" x14ac:dyDescent="0.35">
      <c r="E7796" s="9" t="str">
        <v>ESRI</v>
      </c>
      <c r="F7796" s="7" t="str">
        <v>103604</v>
      </c>
      <c r="G7796" t="str">
        <v>ProjectedCrs</v>
      </c>
      <c r="H7796" t="str">
        <v>Transverse Mercator</v>
      </c>
      <c r="I7796" t="str">
        <v>NAD_1983_HARN_Adj_MN_Lake_Meters</v>
      </c>
      <c r="J7796" t="str">
        <v>United States (USA) - Minnesota.</v>
      </c>
      <c r="K7796" s="11">
        <v>0</v>
      </c>
    </row>
    <row r="7797" spans="5:11" x14ac:dyDescent="0.35">
      <c r="E7797" s="9" t="str">
        <v>ESRI</v>
      </c>
      <c r="F7797" s="7" t="str">
        <v>103605</v>
      </c>
      <c r="G7797" t="str">
        <v>ProjectedCrs</v>
      </c>
      <c r="H7797" t="str">
        <v>Transverse Mercator</v>
      </c>
      <c r="I7797" t="str">
        <v>NAD_1983_HARN_Adj_MN_Mille_Lacs_Meters</v>
      </c>
      <c r="J7797" t="str">
        <v>United States (USA) - Minnesota.</v>
      </c>
      <c r="K7797" s="11">
        <v>0</v>
      </c>
    </row>
    <row r="7798" spans="5:11" x14ac:dyDescent="0.35">
      <c r="E7798" s="9" t="str">
        <v>ESRI</v>
      </c>
      <c r="F7798" s="7" t="str">
        <v>103606</v>
      </c>
      <c r="G7798" t="str">
        <v>ProjectedCrs</v>
      </c>
      <c r="H7798" t="str">
        <v>Transverse Mercator</v>
      </c>
      <c r="I7798" t="str">
        <v>NAD_1983_HARN_Adj_MN_Washington_Meters</v>
      </c>
      <c r="J7798" t="str">
        <v>United States (USA) - Minnesota.</v>
      </c>
      <c r="K7798" s="11">
        <v>0</v>
      </c>
    </row>
    <row r="7799" spans="5:11" x14ac:dyDescent="0.35">
      <c r="E7799" s="9" t="str">
        <v>ESRI</v>
      </c>
      <c r="F7799" s="7" t="str">
        <v>103607</v>
      </c>
      <c r="G7799" t="str">
        <v>ProjectedCrs</v>
      </c>
      <c r="H7799" t="str">
        <v>Transverse Mercator</v>
      </c>
      <c r="I7799" t="str">
        <v>NAD_1983_HARN_Adj_MN_Wilkin_Meters</v>
      </c>
      <c r="J7799" t="str">
        <v>United States (USA) - Minnesota.</v>
      </c>
      <c r="K7799" s="11">
        <v>0</v>
      </c>
    </row>
    <row r="7800" spans="5:11" x14ac:dyDescent="0.35">
      <c r="E7800" s="9" t="str">
        <v>ESRI</v>
      </c>
      <c r="F7800" s="7" t="str">
        <v>103608</v>
      </c>
      <c r="G7800" t="str">
        <v>ProjectedCrs</v>
      </c>
      <c r="H7800" t="str">
        <v>Lambert Conic Conformal (2SP)</v>
      </c>
      <c r="I7800" t="str">
        <v>NAD_1983_HARN_Adj_MN_Anoka_Meters</v>
      </c>
      <c r="J7800" t="str">
        <v>United States (USA) - Minnesota.</v>
      </c>
      <c r="K7800" s="11">
        <v>0</v>
      </c>
    </row>
    <row r="7801" spans="5:11" x14ac:dyDescent="0.35">
      <c r="E7801" s="9" t="str">
        <v>ESRI</v>
      </c>
      <c r="F7801" s="7" t="str">
        <v>103609</v>
      </c>
      <c r="G7801" t="str">
        <v>ProjectedCrs</v>
      </c>
      <c r="H7801" t="str">
        <v>Lambert Conic Conformal (2SP)</v>
      </c>
      <c r="I7801" t="str">
        <v>NAD_1983_HARN_Adj_MN_Becker_Meters</v>
      </c>
      <c r="J7801" t="str">
        <v>United States (USA) - Minnesota.</v>
      </c>
      <c r="K7801" s="11">
        <v>0</v>
      </c>
    </row>
    <row r="7802" spans="5:11" x14ac:dyDescent="0.35">
      <c r="E7802" s="9" t="str">
        <v>ESRI</v>
      </c>
      <c r="F7802" s="7" t="str">
        <v>103610</v>
      </c>
      <c r="G7802" t="str">
        <v>ProjectedCrs</v>
      </c>
      <c r="H7802" t="str">
        <v>Lambert Conic Conformal (2SP)</v>
      </c>
      <c r="I7802" t="str">
        <v>NAD_1983_HARN_Adj_MN_Beltrami_North_Meters</v>
      </c>
      <c r="J7802" t="str">
        <v>United States (USA) - Minnesota.</v>
      </c>
      <c r="K7802" s="11">
        <v>0</v>
      </c>
    </row>
    <row r="7803" spans="5:11" x14ac:dyDescent="0.35">
      <c r="E7803" s="9" t="str">
        <v>ESRI</v>
      </c>
      <c r="F7803" s="7" t="str">
        <v>103611</v>
      </c>
      <c r="G7803" t="str">
        <v>ProjectedCrs</v>
      </c>
      <c r="H7803" t="str">
        <v>Lambert Conic Conformal (2SP)</v>
      </c>
      <c r="I7803" t="str">
        <v>NAD_1983_HARN_Adj_MN_Beltrami_South_Meters</v>
      </c>
      <c r="J7803" t="str">
        <v>United States (USA) - Minnesota.</v>
      </c>
      <c r="K7803" s="11">
        <v>0</v>
      </c>
    </row>
    <row r="7804" spans="5:11" x14ac:dyDescent="0.35">
      <c r="E7804" s="9" t="str">
        <v>ESRI</v>
      </c>
      <c r="F7804" s="7" t="str">
        <v>103612</v>
      </c>
      <c r="G7804" t="str">
        <v>ProjectedCrs</v>
      </c>
      <c r="H7804" t="str">
        <v>Lambert Conic Conformal (2SP)</v>
      </c>
      <c r="I7804" t="str">
        <v>NAD_1983_HARN_Adj_MN_Benton_Meters</v>
      </c>
      <c r="J7804" t="str">
        <v>United States (USA) - Minnesota.</v>
      </c>
      <c r="K7804" s="11">
        <v>0</v>
      </c>
    </row>
    <row r="7805" spans="5:11" x14ac:dyDescent="0.35">
      <c r="E7805" s="9" t="str">
        <v>ESRI</v>
      </c>
      <c r="F7805" s="7" t="str">
        <v>103613</v>
      </c>
      <c r="G7805" t="str">
        <v>ProjectedCrs</v>
      </c>
      <c r="H7805" t="str">
        <v>Lambert Conic Conformal (2SP)</v>
      </c>
      <c r="I7805" t="str">
        <v>NAD_1983_HARN_Adj_MN_Big_Stone_Meters</v>
      </c>
      <c r="J7805" t="str">
        <v>United States (USA) - Minnesota.</v>
      </c>
      <c r="K7805" s="11">
        <v>0</v>
      </c>
    </row>
    <row r="7806" spans="5:11" x14ac:dyDescent="0.35">
      <c r="E7806" s="9" t="str">
        <v>ESRI</v>
      </c>
      <c r="F7806" s="7" t="str">
        <v>103614</v>
      </c>
      <c r="G7806" t="str">
        <v>ProjectedCrs</v>
      </c>
      <c r="H7806" t="str">
        <v>Lambert Conic Conformal (2SP)</v>
      </c>
      <c r="I7806" t="str">
        <v>NAD_1983_HARN_Adj_MN_Blue_Earth_Meters</v>
      </c>
      <c r="J7806" t="str">
        <v>United States (USA) - Minnesota.</v>
      </c>
      <c r="K7806" s="11">
        <v>0</v>
      </c>
    </row>
    <row r="7807" spans="5:11" x14ac:dyDescent="0.35">
      <c r="E7807" s="9" t="str">
        <v>ESRI</v>
      </c>
      <c r="F7807" s="7" t="str">
        <v>103615</v>
      </c>
      <c r="G7807" t="str">
        <v>ProjectedCrs</v>
      </c>
      <c r="H7807" t="str">
        <v>Lambert Conic Conformal (2SP)</v>
      </c>
      <c r="I7807" t="str">
        <v>NAD_1983_HARN_Adj_MN_Brown_Meters</v>
      </c>
      <c r="J7807" t="str">
        <v>United States (USA) - Minnesota.</v>
      </c>
      <c r="K7807" s="11">
        <v>0</v>
      </c>
    </row>
    <row r="7808" spans="5:11" x14ac:dyDescent="0.35">
      <c r="E7808" s="9" t="str">
        <v>ESRI</v>
      </c>
      <c r="F7808" s="7" t="str">
        <v>103616</v>
      </c>
      <c r="G7808" t="str">
        <v>ProjectedCrs</v>
      </c>
      <c r="H7808" t="str">
        <v>Lambert Conic Conformal (2SP)</v>
      </c>
      <c r="I7808" t="str">
        <v>NAD_1983_HARN_Adj_MN_Carlton_Meters</v>
      </c>
      <c r="J7808" t="str">
        <v>United States (USA) - Minnesota.</v>
      </c>
      <c r="K7808" s="11">
        <v>0</v>
      </c>
    </row>
    <row r="7809" spans="5:11" x14ac:dyDescent="0.35">
      <c r="E7809" s="9" t="str">
        <v>ESRI</v>
      </c>
      <c r="F7809" s="7" t="str">
        <v>103617</v>
      </c>
      <c r="G7809" t="str">
        <v>ProjectedCrs</v>
      </c>
      <c r="H7809" t="str">
        <v>Lambert Conic Conformal (2SP)</v>
      </c>
      <c r="I7809" t="str">
        <v>NAD_1983_HARN_Adj_MN_Carver_Meters</v>
      </c>
      <c r="J7809" t="str">
        <v>United States (USA) - Minnesota.</v>
      </c>
      <c r="K7809" s="11">
        <v>0</v>
      </c>
    </row>
    <row r="7810" spans="5:11" x14ac:dyDescent="0.35">
      <c r="E7810" s="9" t="str">
        <v>ESRI</v>
      </c>
      <c r="F7810" s="7" t="str">
        <v>103618</v>
      </c>
      <c r="G7810" t="str">
        <v>ProjectedCrs</v>
      </c>
      <c r="H7810" t="str">
        <v>Lambert Conic Conformal (2SP)</v>
      </c>
      <c r="I7810" t="str">
        <v>NAD_1983_HARN_Adj_MN_Cass_North_Meters</v>
      </c>
      <c r="J7810" t="str">
        <v>United States (USA) - Minnesota.</v>
      </c>
      <c r="K7810" s="11">
        <v>0</v>
      </c>
    </row>
    <row r="7811" spans="5:11" x14ac:dyDescent="0.35">
      <c r="E7811" s="9" t="str">
        <v>ESRI</v>
      </c>
      <c r="F7811" s="7" t="str">
        <v>103619</v>
      </c>
      <c r="G7811" t="str">
        <v>ProjectedCrs</v>
      </c>
      <c r="H7811" t="str">
        <v>Lambert Conic Conformal (2SP)</v>
      </c>
      <c r="I7811" t="str">
        <v>NAD_1983_HARN_Adj_MN_Cass_South_Meters</v>
      </c>
      <c r="J7811" t="str">
        <v>United States (USA) - Minnesota.</v>
      </c>
      <c r="K7811" s="11">
        <v>0</v>
      </c>
    </row>
    <row r="7812" spans="5:11" x14ac:dyDescent="0.35">
      <c r="E7812" s="9" t="str">
        <v>ESRI</v>
      </c>
      <c r="F7812" s="7" t="str">
        <v>103620</v>
      </c>
      <c r="G7812" t="str">
        <v>ProjectedCrs</v>
      </c>
      <c r="H7812" t="str">
        <v>Lambert Conic Conformal (2SP)</v>
      </c>
      <c r="I7812" t="str">
        <v>NAD_1983_HARN_Adj_MN_Chippewa_Meters</v>
      </c>
      <c r="J7812" t="str">
        <v>United States (USA) - Minnesota.</v>
      </c>
      <c r="K7812" s="11">
        <v>0</v>
      </c>
    </row>
    <row r="7813" spans="5:11" x14ac:dyDescent="0.35">
      <c r="E7813" s="9" t="str">
        <v>ESRI</v>
      </c>
      <c r="F7813" s="7" t="str">
        <v>103621</v>
      </c>
      <c r="G7813" t="str">
        <v>ProjectedCrs</v>
      </c>
      <c r="H7813" t="str">
        <v>Lambert Conic Conformal (2SP)</v>
      </c>
      <c r="I7813" t="str">
        <v>NAD_1983_HARN_Adj_MN_Chisago_Meters</v>
      </c>
      <c r="J7813" t="str">
        <v>United States (USA) - Minnesota.</v>
      </c>
      <c r="K7813" s="11">
        <v>0</v>
      </c>
    </row>
    <row r="7814" spans="5:11" x14ac:dyDescent="0.35">
      <c r="E7814" s="9" t="str">
        <v>ESRI</v>
      </c>
      <c r="F7814" s="7" t="str">
        <v>103622</v>
      </c>
      <c r="G7814" t="str">
        <v>ProjectedCrs</v>
      </c>
      <c r="H7814" t="str">
        <v>Lambert Conic Conformal (2SP)</v>
      </c>
      <c r="I7814" t="str">
        <v>NAD_1983_HARN_Adj_MN_Cook_North_Meters</v>
      </c>
      <c r="J7814" t="str">
        <v>United States (USA) - Minnesota.</v>
      </c>
      <c r="K7814" s="11">
        <v>0</v>
      </c>
    </row>
    <row r="7815" spans="5:11" x14ac:dyDescent="0.35">
      <c r="E7815" s="9" t="str">
        <v>ESRI</v>
      </c>
      <c r="F7815" s="7" t="str">
        <v>103623</v>
      </c>
      <c r="G7815" t="str">
        <v>ProjectedCrs</v>
      </c>
      <c r="H7815" t="str">
        <v>Lambert Conic Conformal (2SP)</v>
      </c>
      <c r="I7815" t="str">
        <v>NAD_1983_HARN_Adj_MN_Cook_South_Meters</v>
      </c>
      <c r="J7815" t="str">
        <v>United States (USA) - Minnesota.</v>
      </c>
      <c r="K7815" s="11">
        <v>0</v>
      </c>
    </row>
    <row r="7816" spans="5:11" x14ac:dyDescent="0.35">
      <c r="E7816" s="9" t="str">
        <v>ESRI</v>
      </c>
      <c r="F7816" s="7" t="str">
        <v>103624</v>
      </c>
      <c r="G7816" t="str">
        <v>ProjectedCrs</v>
      </c>
      <c r="H7816" t="str">
        <v>Lambert Conic Conformal (2SP)</v>
      </c>
      <c r="I7816" t="str">
        <v>NAD_1983_HARN_Adj_MN_Cottonwood_Meters</v>
      </c>
      <c r="J7816" t="str">
        <v>United States (USA) - Minnesota.</v>
      </c>
      <c r="K7816" s="11">
        <v>0</v>
      </c>
    </row>
    <row r="7817" spans="5:11" x14ac:dyDescent="0.35">
      <c r="E7817" s="9" t="str">
        <v>ESRI</v>
      </c>
      <c r="F7817" s="7" t="str">
        <v>103625</v>
      </c>
      <c r="G7817" t="str">
        <v>ProjectedCrs</v>
      </c>
      <c r="H7817" t="str">
        <v>Lambert Conic Conformal (2SP)</v>
      </c>
      <c r="I7817" t="str">
        <v>NAD_1983_HARN_Adj_MN_Crow_Wing_Meters</v>
      </c>
      <c r="J7817" t="str">
        <v>United States (USA) - Minnesota.</v>
      </c>
      <c r="K7817" s="11">
        <v>0</v>
      </c>
    </row>
    <row r="7818" spans="5:11" x14ac:dyDescent="0.35">
      <c r="E7818" s="9" t="str">
        <v>ESRI</v>
      </c>
      <c r="F7818" s="7" t="str">
        <v>103626</v>
      </c>
      <c r="G7818" t="str">
        <v>ProjectedCrs</v>
      </c>
      <c r="H7818" t="str">
        <v>Lambert Conic Conformal (2SP)</v>
      </c>
      <c r="I7818" t="str">
        <v>NAD_1983_HARN_Adj_MN_Dakota_Meters</v>
      </c>
      <c r="J7818" t="str">
        <v>United States (USA) - Minnesota.</v>
      </c>
      <c r="K7818" s="11">
        <v>0</v>
      </c>
    </row>
    <row r="7819" spans="5:11" x14ac:dyDescent="0.35">
      <c r="E7819" s="9" t="str">
        <v>ESRI</v>
      </c>
      <c r="F7819" s="7" t="str">
        <v>103627</v>
      </c>
      <c r="G7819" t="str">
        <v>ProjectedCrs</v>
      </c>
      <c r="H7819" t="str">
        <v>Lambert Conic Conformal (2SP)</v>
      </c>
      <c r="I7819" t="str">
        <v>NAD_1983_HARN_Adj_MN_Dodge_Meters</v>
      </c>
      <c r="J7819" t="str">
        <v>United States (USA) - Minnesota.</v>
      </c>
      <c r="K7819" s="11">
        <v>0</v>
      </c>
    </row>
    <row r="7820" spans="5:11" x14ac:dyDescent="0.35">
      <c r="E7820" s="9" t="str">
        <v>ESRI</v>
      </c>
      <c r="F7820" s="7" t="str">
        <v>103628</v>
      </c>
      <c r="G7820" t="str">
        <v>ProjectedCrs</v>
      </c>
      <c r="H7820" t="str">
        <v>Lambert Conic Conformal (2SP)</v>
      </c>
      <c r="I7820" t="str">
        <v>NAD_1983_HARN_Adj_MN_Douglas_Meters</v>
      </c>
      <c r="J7820" t="str">
        <v>United States (USA) - Minnesota.</v>
      </c>
      <c r="K7820" s="11">
        <v>0</v>
      </c>
    </row>
    <row r="7821" spans="5:11" x14ac:dyDescent="0.35">
      <c r="E7821" s="9" t="str">
        <v>ESRI</v>
      </c>
      <c r="F7821" s="7" t="str">
        <v>103629</v>
      </c>
      <c r="G7821" t="str">
        <v>ProjectedCrs</v>
      </c>
      <c r="H7821" t="str">
        <v>Lambert Conic Conformal (2SP)</v>
      </c>
      <c r="I7821" t="str">
        <v>NAD_1983_HARN_Adj_MN_Faribault_Meters</v>
      </c>
      <c r="J7821" t="str">
        <v>United States (USA) - Minnesota.</v>
      </c>
      <c r="K7821" s="11">
        <v>0</v>
      </c>
    </row>
    <row r="7822" spans="5:11" x14ac:dyDescent="0.35">
      <c r="E7822" s="9" t="str">
        <v>ESRI</v>
      </c>
      <c r="F7822" s="7" t="str">
        <v>103630</v>
      </c>
      <c r="G7822" t="str">
        <v>ProjectedCrs</v>
      </c>
      <c r="H7822" t="str">
        <v>Lambert Conic Conformal (2SP)</v>
      </c>
      <c r="I7822" t="str">
        <v>NAD_1983_HARN_Adj_MN_Fillmore_Meters</v>
      </c>
      <c r="J7822" t="str">
        <v>United States (USA) - Minnesota.</v>
      </c>
      <c r="K7822" s="11">
        <v>0</v>
      </c>
    </row>
    <row r="7823" spans="5:11" x14ac:dyDescent="0.35">
      <c r="E7823" s="9" t="str">
        <v>ESRI</v>
      </c>
      <c r="F7823" s="7" t="str">
        <v>103631</v>
      </c>
      <c r="G7823" t="str">
        <v>ProjectedCrs</v>
      </c>
      <c r="H7823" t="str">
        <v>Lambert Conic Conformal (2SP)</v>
      </c>
      <c r="I7823" t="str">
        <v>NAD_1983_HARN_Adj_MN_Freeborn_Meters</v>
      </c>
      <c r="J7823" t="str">
        <v>United States (USA) - Minnesota.</v>
      </c>
      <c r="K7823" s="11">
        <v>0</v>
      </c>
    </row>
    <row r="7824" spans="5:11" x14ac:dyDescent="0.35">
      <c r="E7824" s="9" t="str">
        <v>ESRI</v>
      </c>
      <c r="F7824" s="7" t="str">
        <v>103632</v>
      </c>
      <c r="G7824" t="str">
        <v>ProjectedCrs</v>
      </c>
      <c r="H7824" t="str">
        <v>Lambert Conic Conformal (2SP)</v>
      </c>
      <c r="I7824" t="str">
        <v>NAD_1983_HARN_Adj_MN_Goodhue_Meters</v>
      </c>
      <c r="J7824" t="str">
        <v>United States (USA) - Minnesota.</v>
      </c>
      <c r="K7824" s="11">
        <v>0</v>
      </c>
    </row>
    <row r="7825" spans="5:11" x14ac:dyDescent="0.35">
      <c r="E7825" s="9" t="str">
        <v>ESRI</v>
      </c>
      <c r="F7825" s="7" t="str">
        <v>103633</v>
      </c>
      <c r="G7825" t="str">
        <v>ProjectedCrs</v>
      </c>
      <c r="H7825" t="str">
        <v>Lambert Conic Conformal (2SP)</v>
      </c>
      <c r="I7825" t="str">
        <v>NAD_1983_HARN_Adj_MN_Grant_Meters</v>
      </c>
      <c r="J7825" t="str">
        <v>United States (USA) - Minnesota.</v>
      </c>
      <c r="K7825" s="11">
        <v>0</v>
      </c>
    </row>
    <row r="7826" spans="5:11" x14ac:dyDescent="0.35">
      <c r="E7826" s="9" t="str">
        <v>ESRI</v>
      </c>
      <c r="F7826" s="7" t="str">
        <v>103634</v>
      </c>
      <c r="G7826" t="str">
        <v>ProjectedCrs</v>
      </c>
      <c r="H7826" t="str">
        <v>Lambert Conic Conformal (2SP)</v>
      </c>
      <c r="I7826" t="str">
        <v>NAD_1983_HARN_Adj_MN_Hennepin_Meters</v>
      </c>
      <c r="J7826" t="str">
        <v>United States (USA) - Minnesota.</v>
      </c>
      <c r="K7826" s="11">
        <v>0</v>
      </c>
    </row>
    <row r="7827" spans="5:11" x14ac:dyDescent="0.35">
      <c r="E7827" s="9" t="str">
        <v>ESRI</v>
      </c>
      <c r="F7827" s="7" t="str">
        <v>103635</v>
      </c>
      <c r="G7827" t="str">
        <v>ProjectedCrs</v>
      </c>
      <c r="H7827" t="str">
        <v>Lambert Conic Conformal (2SP)</v>
      </c>
      <c r="I7827" t="str">
        <v>NAD_1983_HARN_Adj_MN_Houston_Meters</v>
      </c>
      <c r="J7827" t="str">
        <v>United States (USA) - Minnesota.</v>
      </c>
      <c r="K7827" s="11">
        <v>0</v>
      </c>
    </row>
    <row r="7828" spans="5:11" x14ac:dyDescent="0.35">
      <c r="E7828" s="9" t="str">
        <v>ESRI</v>
      </c>
      <c r="F7828" s="7" t="str">
        <v>103636</v>
      </c>
      <c r="G7828" t="str">
        <v>ProjectedCrs</v>
      </c>
      <c r="H7828" t="str">
        <v>Lambert Conic Conformal (2SP)</v>
      </c>
      <c r="I7828" t="str">
        <v>NAD_1983_HARN_Adj_MN_Isanti_Meters</v>
      </c>
      <c r="J7828" t="str">
        <v>United States (USA) - Minnesota.</v>
      </c>
      <c r="K7828" s="11">
        <v>0</v>
      </c>
    </row>
    <row r="7829" spans="5:11" x14ac:dyDescent="0.35">
      <c r="E7829" s="9" t="str">
        <v>ESRI</v>
      </c>
      <c r="F7829" s="7" t="str">
        <v>103637</v>
      </c>
      <c r="G7829" t="str">
        <v>ProjectedCrs</v>
      </c>
      <c r="H7829" t="str">
        <v>Lambert Conic Conformal (2SP)</v>
      </c>
      <c r="I7829" t="str">
        <v>NAD_1983_HARN_Adj_MN_Itasca_North_Meters</v>
      </c>
      <c r="J7829" t="str">
        <v>United States (USA) - Minnesota.</v>
      </c>
      <c r="K7829" s="11">
        <v>0</v>
      </c>
    </row>
    <row r="7830" spans="5:11" x14ac:dyDescent="0.35">
      <c r="E7830" s="9" t="str">
        <v>ESRI</v>
      </c>
      <c r="F7830" s="7" t="str">
        <v>103638</v>
      </c>
      <c r="G7830" t="str">
        <v>ProjectedCrs</v>
      </c>
      <c r="H7830" t="str">
        <v>Lambert Conic Conformal (2SP)</v>
      </c>
      <c r="I7830" t="str">
        <v>NAD_1983_HARN_Adj_MN_Itasca_South_Meters</v>
      </c>
      <c r="J7830" t="str">
        <v>United States (USA) - Minnesota.</v>
      </c>
      <c r="K7830" s="11">
        <v>0</v>
      </c>
    </row>
    <row r="7831" spans="5:11" x14ac:dyDescent="0.35">
      <c r="E7831" s="9" t="str">
        <v>ESRI</v>
      </c>
      <c r="F7831" s="7" t="str">
        <v>103639</v>
      </c>
      <c r="G7831" t="str">
        <v>ProjectedCrs</v>
      </c>
      <c r="H7831" t="str">
        <v>Lambert Conic Conformal (2SP)</v>
      </c>
      <c r="I7831" t="str">
        <v>NAD_1983_HARN_Adj_MN_Jackson_Meters</v>
      </c>
      <c r="J7831" t="str">
        <v>United States (USA) - Minnesota.</v>
      </c>
      <c r="K7831" s="11">
        <v>0</v>
      </c>
    </row>
    <row r="7832" spans="5:11" x14ac:dyDescent="0.35">
      <c r="E7832" s="9" t="str">
        <v>ESRI</v>
      </c>
      <c r="F7832" s="7" t="str">
        <v>103640</v>
      </c>
      <c r="G7832" t="str">
        <v>ProjectedCrs</v>
      </c>
      <c r="H7832" t="str">
        <v>Lambert Conic Conformal (2SP)</v>
      </c>
      <c r="I7832" t="str">
        <v>NAD_1983_HARN_Adj_MN_Kanabec_Meters</v>
      </c>
      <c r="J7832" t="str">
        <v>United States (USA) - Minnesota.</v>
      </c>
      <c r="K7832" s="11">
        <v>0</v>
      </c>
    </row>
    <row r="7833" spans="5:11" x14ac:dyDescent="0.35">
      <c r="E7833" s="9" t="str">
        <v>ESRI</v>
      </c>
      <c r="F7833" s="7" t="str">
        <v>103641</v>
      </c>
      <c r="G7833" t="str">
        <v>ProjectedCrs</v>
      </c>
      <c r="H7833" t="str">
        <v>Lambert Conic Conformal (2SP)</v>
      </c>
      <c r="I7833" t="str">
        <v>NAD_1983_HARN_Adj_MN_Kandiyohi_Meters</v>
      </c>
      <c r="J7833" t="str">
        <v>United States (USA) - Minnesota.</v>
      </c>
      <c r="K7833" s="11">
        <v>0</v>
      </c>
    </row>
    <row r="7834" spans="5:11" x14ac:dyDescent="0.35">
      <c r="E7834" s="9" t="str">
        <v>ESRI</v>
      </c>
      <c r="F7834" s="7" t="str">
        <v>103642</v>
      </c>
      <c r="G7834" t="str">
        <v>ProjectedCrs</v>
      </c>
      <c r="H7834" t="str">
        <v>Lambert Conic Conformal (2SP)</v>
      </c>
      <c r="I7834" t="str">
        <v>NAD_1983_HARN_Adj_MN_Kittson_Meters</v>
      </c>
      <c r="J7834" t="str">
        <v>United States (USA) - Minnesota.</v>
      </c>
      <c r="K7834" s="11">
        <v>0</v>
      </c>
    </row>
    <row r="7835" spans="5:11" x14ac:dyDescent="0.35">
      <c r="E7835" s="9" t="str">
        <v>ESRI</v>
      </c>
      <c r="F7835" s="7" t="str">
        <v>103643</v>
      </c>
      <c r="G7835" t="str">
        <v>ProjectedCrs</v>
      </c>
      <c r="H7835" t="str">
        <v>Lambert Conic Conformal (2SP)</v>
      </c>
      <c r="I7835" t="str">
        <v>NAD_1983_HARN_Adj_MN_Koochiching_Meters</v>
      </c>
      <c r="J7835" t="str">
        <v>United States (USA) - Minnesota.</v>
      </c>
      <c r="K7835" s="11">
        <v>0</v>
      </c>
    </row>
    <row r="7836" spans="5:11" x14ac:dyDescent="0.35">
      <c r="E7836" s="9" t="str">
        <v>ESRI</v>
      </c>
      <c r="F7836" s="7" t="str">
        <v>103644</v>
      </c>
      <c r="G7836" t="str">
        <v>ProjectedCrs</v>
      </c>
      <c r="H7836" t="str">
        <v>Lambert Conic Conformal (2SP)</v>
      </c>
      <c r="I7836" t="str">
        <v>NAD_1983_HARN_Adj_MN_Lac_Qui_Parle_Meters</v>
      </c>
      <c r="J7836" t="str">
        <v>United States (USA) - Minnesota.</v>
      </c>
      <c r="K7836" s="11">
        <v>0</v>
      </c>
    </row>
    <row r="7837" spans="5:11" x14ac:dyDescent="0.35">
      <c r="E7837" s="9" t="str">
        <v>ESRI</v>
      </c>
      <c r="F7837" s="7" t="str">
        <v>103645</v>
      </c>
      <c r="G7837" t="str">
        <v>ProjectedCrs</v>
      </c>
      <c r="H7837" t="str">
        <v>Lambert Conic Conformal (2SP)</v>
      </c>
      <c r="I7837" t="str">
        <v>NAD_1983_HARN_Adj_MN_Lake_of_the_Woods_North_Meters</v>
      </c>
      <c r="J7837" t="str">
        <v>United States (USA) - Minnesota.</v>
      </c>
      <c r="K7837" s="11">
        <v>0</v>
      </c>
    </row>
    <row r="7838" spans="5:11" x14ac:dyDescent="0.35">
      <c r="E7838" s="9" t="str">
        <v>ESRI</v>
      </c>
      <c r="F7838" s="7" t="str">
        <v>103646</v>
      </c>
      <c r="G7838" t="str">
        <v>ProjectedCrs</v>
      </c>
      <c r="H7838" t="str">
        <v>Lambert Conic Conformal (2SP)</v>
      </c>
      <c r="I7838" t="str">
        <v>NAD_1983_HARN_Adj_MN_Lake_of_the_Woods_South_Meters</v>
      </c>
      <c r="J7838" t="str">
        <v>United States (USA) - Minnesota.</v>
      </c>
      <c r="K7838" s="11">
        <v>0</v>
      </c>
    </row>
    <row r="7839" spans="5:11" x14ac:dyDescent="0.35">
      <c r="E7839" s="9" t="str">
        <v>ESRI</v>
      </c>
      <c r="F7839" s="7" t="str">
        <v>103647</v>
      </c>
      <c r="G7839" t="str">
        <v>ProjectedCrs</v>
      </c>
      <c r="H7839" t="str">
        <v>Lambert Conic Conformal (2SP)</v>
      </c>
      <c r="I7839" t="str">
        <v>NAD_1983_HARN_Adj_MN_Le_Sueur_Meters</v>
      </c>
      <c r="J7839" t="str">
        <v>United States (USA) - Minnesota.</v>
      </c>
      <c r="K7839" s="11">
        <v>0</v>
      </c>
    </row>
    <row r="7840" spans="5:11" x14ac:dyDescent="0.35">
      <c r="E7840" s="9" t="str">
        <v>ESRI</v>
      </c>
      <c r="F7840" s="7" t="str">
        <v>103648</v>
      </c>
      <c r="G7840" t="str">
        <v>ProjectedCrs</v>
      </c>
      <c r="H7840" t="str">
        <v>Lambert Conic Conformal (2SP)</v>
      </c>
      <c r="I7840" t="str">
        <v>NAD_1983_HARN_Adj_MN_Lincoln_Meters</v>
      </c>
      <c r="J7840" t="str">
        <v>United States (USA) - Minnesota.</v>
      </c>
      <c r="K7840" s="11">
        <v>0</v>
      </c>
    </row>
    <row r="7841" spans="5:11" x14ac:dyDescent="0.35">
      <c r="E7841" s="9" t="str">
        <v>ESRI</v>
      </c>
      <c r="F7841" s="7" t="str">
        <v>103649</v>
      </c>
      <c r="G7841" t="str">
        <v>ProjectedCrs</v>
      </c>
      <c r="H7841" t="str">
        <v>Lambert Conic Conformal (2SP)</v>
      </c>
      <c r="I7841" t="str">
        <v>NAD_1983_HARN_Adj_MN_Lyon_Meters</v>
      </c>
      <c r="J7841" t="str">
        <v>United States (USA) - Minnesota.</v>
      </c>
      <c r="K7841" s="11">
        <v>0</v>
      </c>
    </row>
    <row r="7842" spans="5:11" x14ac:dyDescent="0.35">
      <c r="E7842" s="9" t="str">
        <v>ESRI</v>
      </c>
      <c r="F7842" s="7" t="str">
        <v>103650</v>
      </c>
      <c r="G7842" t="str">
        <v>ProjectedCrs</v>
      </c>
      <c r="H7842" t="str">
        <v>Lambert Conic Conformal (2SP)</v>
      </c>
      <c r="I7842" t="str">
        <v>NAD_1983_HARN_Adj_MN_McLeod_Meters</v>
      </c>
      <c r="J7842" t="str">
        <v>United States (USA) - Minnesota.</v>
      </c>
      <c r="K7842" s="11">
        <v>0</v>
      </c>
    </row>
    <row r="7843" spans="5:11" x14ac:dyDescent="0.35">
      <c r="E7843" s="9" t="str">
        <v>ESRI</v>
      </c>
      <c r="F7843" s="7" t="str">
        <v>103651</v>
      </c>
      <c r="G7843" t="str">
        <v>ProjectedCrs</v>
      </c>
      <c r="H7843" t="str">
        <v>Lambert Conic Conformal (2SP)</v>
      </c>
      <c r="I7843" t="str">
        <v>NAD_1983_HARN_Adj_MN_Mahnomen_Meters</v>
      </c>
      <c r="J7843" t="str">
        <v>United States (USA) - Minnesota.</v>
      </c>
      <c r="K7843" s="11">
        <v>0</v>
      </c>
    </row>
    <row r="7844" spans="5:11" x14ac:dyDescent="0.35">
      <c r="E7844" s="9" t="str">
        <v>ESRI</v>
      </c>
      <c r="F7844" s="7" t="str">
        <v>103652</v>
      </c>
      <c r="G7844" t="str">
        <v>ProjectedCrs</v>
      </c>
      <c r="H7844" t="str">
        <v>Lambert Conic Conformal (2SP)</v>
      </c>
      <c r="I7844" t="str">
        <v>NAD_1983_HARN_Adj_MN_Marshall_Meters</v>
      </c>
      <c r="J7844" t="str">
        <v>United States (USA) - Minnesota.</v>
      </c>
      <c r="K7844" s="11">
        <v>0</v>
      </c>
    </row>
    <row r="7845" spans="5:11" x14ac:dyDescent="0.35">
      <c r="E7845" s="9" t="str">
        <v>ESRI</v>
      </c>
      <c r="F7845" s="7" t="str">
        <v>103653</v>
      </c>
      <c r="G7845" t="str">
        <v>ProjectedCrs</v>
      </c>
      <c r="H7845" t="str">
        <v>Lambert Conic Conformal (2SP)</v>
      </c>
      <c r="I7845" t="str">
        <v>NAD_1983_HARN_Adj_MN_Martin_Meters</v>
      </c>
      <c r="J7845" t="str">
        <v>United States (USA) - Minnesota.</v>
      </c>
      <c r="K7845" s="11">
        <v>0</v>
      </c>
    </row>
    <row r="7846" spans="5:11" x14ac:dyDescent="0.35">
      <c r="E7846" s="9" t="str">
        <v>ESRI</v>
      </c>
      <c r="F7846" s="7" t="str">
        <v>103654</v>
      </c>
      <c r="G7846" t="str">
        <v>ProjectedCrs</v>
      </c>
      <c r="H7846" t="str">
        <v>Lambert Conic Conformal (2SP)</v>
      </c>
      <c r="I7846" t="str">
        <v>NAD_1983_HARN_Adj_MN_Meeker_Meters</v>
      </c>
      <c r="J7846" t="str">
        <v>United States (USA) - Minnesota.</v>
      </c>
      <c r="K7846" s="11">
        <v>0</v>
      </c>
    </row>
    <row r="7847" spans="5:11" x14ac:dyDescent="0.35">
      <c r="E7847" s="9" t="str">
        <v>ESRI</v>
      </c>
      <c r="F7847" s="7" t="str">
        <v>103655</v>
      </c>
      <c r="G7847" t="str">
        <v>ProjectedCrs</v>
      </c>
      <c r="H7847" t="str">
        <v>Lambert Conic Conformal (2SP)</v>
      </c>
      <c r="I7847" t="str">
        <v>NAD_1983_HARN_Adj_MN_Morrison_Meters</v>
      </c>
      <c r="J7847" t="str">
        <v>United States (USA) - Minnesota.</v>
      </c>
      <c r="K7847" s="11">
        <v>0</v>
      </c>
    </row>
    <row r="7848" spans="5:11" x14ac:dyDescent="0.35">
      <c r="E7848" s="9" t="str">
        <v>ESRI</v>
      </c>
      <c r="F7848" s="7" t="str">
        <v>103656</v>
      </c>
      <c r="G7848" t="str">
        <v>ProjectedCrs</v>
      </c>
      <c r="H7848" t="str">
        <v>Lambert Conic Conformal (2SP)</v>
      </c>
      <c r="I7848" t="str">
        <v>NAD_1983_HARN_Adj_MN_Mower_Meters</v>
      </c>
      <c r="J7848" t="str">
        <v>United States (USA) - Minnesota.</v>
      </c>
      <c r="K7848" s="11">
        <v>0</v>
      </c>
    </row>
    <row r="7849" spans="5:11" x14ac:dyDescent="0.35">
      <c r="E7849" s="9" t="str">
        <v>ESRI</v>
      </c>
      <c r="F7849" s="7" t="str">
        <v>103657</v>
      </c>
      <c r="G7849" t="str">
        <v>ProjectedCrs</v>
      </c>
      <c r="H7849" t="str">
        <v>Lambert Conic Conformal (2SP)</v>
      </c>
      <c r="I7849" t="str">
        <v>NAD_1983_HARN_Adj_MN_Murray_Meters</v>
      </c>
      <c r="J7849" t="str">
        <v>United States (USA) - Minnesota.</v>
      </c>
      <c r="K7849" s="11">
        <v>0</v>
      </c>
    </row>
    <row r="7850" spans="5:11" x14ac:dyDescent="0.35">
      <c r="E7850" s="9" t="str">
        <v>ESRI</v>
      </c>
      <c r="F7850" s="7" t="str">
        <v>103658</v>
      </c>
      <c r="G7850" t="str">
        <v>ProjectedCrs</v>
      </c>
      <c r="H7850" t="str">
        <v>Lambert Conic Conformal (2SP)</v>
      </c>
      <c r="I7850" t="str">
        <v>NAD_1983_HARN_Adj_MN_Nicollet_Meters</v>
      </c>
      <c r="J7850" t="str">
        <v>United States (USA) - Minnesota.</v>
      </c>
      <c r="K7850" s="11">
        <v>0</v>
      </c>
    </row>
    <row r="7851" spans="5:11" x14ac:dyDescent="0.35">
      <c r="E7851" s="9" t="str">
        <v>ESRI</v>
      </c>
      <c r="F7851" s="7" t="str">
        <v>103659</v>
      </c>
      <c r="G7851" t="str">
        <v>ProjectedCrs</v>
      </c>
      <c r="H7851" t="str">
        <v>Lambert Conic Conformal (2SP)</v>
      </c>
      <c r="I7851" t="str">
        <v>NAD_1983_HARN_Adj_MN_Nobles_Meters</v>
      </c>
      <c r="J7851" t="str">
        <v>United States (USA) - Minnesota.</v>
      </c>
      <c r="K7851" s="11">
        <v>0</v>
      </c>
    </row>
    <row r="7852" spans="5:11" x14ac:dyDescent="0.35">
      <c r="E7852" s="9" t="str">
        <v>ESRI</v>
      </c>
      <c r="F7852" s="7" t="str">
        <v>103660</v>
      </c>
      <c r="G7852" t="str">
        <v>ProjectedCrs</v>
      </c>
      <c r="H7852" t="str">
        <v>Lambert Conic Conformal (2SP)</v>
      </c>
      <c r="I7852" t="str">
        <v>NAD_1983_HARN_Adj_MN_Norman_Meters</v>
      </c>
      <c r="J7852" t="str">
        <v>United States (USA) - Minnesota.</v>
      </c>
      <c r="K7852" s="11">
        <v>0</v>
      </c>
    </row>
    <row r="7853" spans="5:11" x14ac:dyDescent="0.35">
      <c r="E7853" s="9" t="str">
        <v>ESRI</v>
      </c>
      <c r="F7853" s="7" t="str">
        <v>103661</v>
      </c>
      <c r="G7853" t="str">
        <v>ProjectedCrs</v>
      </c>
      <c r="H7853" t="str">
        <v>Lambert Conic Conformal (2SP)</v>
      </c>
      <c r="I7853" t="str">
        <v>NAD_1983_HARN_Adj_MN_Olmsted_Meters</v>
      </c>
      <c r="J7853" t="str">
        <v>United States (USA) - Minnesota.</v>
      </c>
      <c r="K7853" s="11">
        <v>0</v>
      </c>
    </row>
    <row r="7854" spans="5:11" x14ac:dyDescent="0.35">
      <c r="E7854" s="9" t="str">
        <v>ESRI</v>
      </c>
      <c r="F7854" s="7" t="str">
        <v>103662</v>
      </c>
      <c r="G7854" t="str">
        <v>ProjectedCrs</v>
      </c>
      <c r="H7854" t="str">
        <v>Lambert Conic Conformal (2SP)</v>
      </c>
      <c r="I7854" t="str">
        <v>NAD_1983_HARN_Adj_MN_Ottertail_Meters</v>
      </c>
      <c r="J7854" t="str">
        <v>United States (USA) - Minnesota.</v>
      </c>
      <c r="K7854" s="11">
        <v>0</v>
      </c>
    </row>
    <row r="7855" spans="5:11" x14ac:dyDescent="0.35">
      <c r="E7855" s="9" t="str">
        <v>ESRI</v>
      </c>
      <c r="F7855" s="7" t="str">
        <v>103663</v>
      </c>
      <c r="G7855" t="str">
        <v>ProjectedCrs</v>
      </c>
      <c r="H7855" t="str">
        <v>Lambert Conic Conformal (2SP)</v>
      </c>
      <c r="I7855" t="str">
        <v>NAD_1983_HARN_Adj_MN_Pennington_Meters</v>
      </c>
      <c r="J7855" t="str">
        <v>United States (USA) - Minnesota.</v>
      </c>
      <c r="K7855" s="11">
        <v>0</v>
      </c>
    </row>
    <row r="7856" spans="5:11" x14ac:dyDescent="0.35">
      <c r="E7856" s="9" t="str">
        <v>ESRI</v>
      </c>
      <c r="F7856" s="7" t="str">
        <v>103664</v>
      </c>
      <c r="G7856" t="str">
        <v>ProjectedCrs</v>
      </c>
      <c r="H7856" t="str">
        <v>Lambert Conic Conformal (2SP)</v>
      </c>
      <c r="I7856" t="str">
        <v>NAD_1983_HARN_Adj_MN_Pine_Meters</v>
      </c>
      <c r="J7856" t="str">
        <v>United States (USA) - Minnesota.</v>
      </c>
      <c r="K7856" s="11">
        <v>0</v>
      </c>
    </row>
    <row r="7857" spans="5:11" x14ac:dyDescent="0.35">
      <c r="E7857" s="9" t="str">
        <v>ESRI</v>
      </c>
      <c r="F7857" s="7" t="str">
        <v>103665</v>
      </c>
      <c r="G7857" t="str">
        <v>ProjectedCrs</v>
      </c>
      <c r="H7857" t="str">
        <v>Lambert Conic Conformal (2SP)</v>
      </c>
      <c r="I7857" t="str">
        <v>NAD_1983_HARN_Adj_MN_Pipestone_Meters</v>
      </c>
      <c r="J7857" t="str">
        <v>United States (USA) - Minnesota.</v>
      </c>
      <c r="K7857" s="11">
        <v>0</v>
      </c>
    </row>
    <row r="7858" spans="5:11" x14ac:dyDescent="0.35">
      <c r="E7858" s="9" t="str">
        <v>ESRI</v>
      </c>
      <c r="F7858" s="7" t="str">
        <v>103666</v>
      </c>
      <c r="G7858" t="str">
        <v>ProjectedCrs</v>
      </c>
      <c r="H7858" t="str">
        <v>Lambert Conic Conformal (2SP)</v>
      </c>
      <c r="I7858" t="str">
        <v>NAD_1983_HARN_Adj_MN_Polk_Meters</v>
      </c>
      <c r="J7858" t="str">
        <v>United States (USA) - Minnesota.</v>
      </c>
      <c r="K7858" s="11">
        <v>0</v>
      </c>
    </row>
    <row r="7859" spans="5:11" x14ac:dyDescent="0.35">
      <c r="E7859" s="9" t="str">
        <v>ESRI</v>
      </c>
      <c r="F7859" s="7" t="str">
        <v>103667</v>
      </c>
      <c r="G7859" t="str">
        <v>ProjectedCrs</v>
      </c>
      <c r="H7859" t="str">
        <v>Lambert Conic Conformal (2SP)</v>
      </c>
      <c r="I7859" t="str">
        <v>NAD_1983_HARN_Adj_MN_Pope_Meters</v>
      </c>
      <c r="J7859" t="str">
        <v>United States (USA) - Minnesota.</v>
      </c>
      <c r="K7859" s="11">
        <v>0</v>
      </c>
    </row>
    <row r="7860" spans="5:11" x14ac:dyDescent="0.35">
      <c r="E7860" s="9" t="str">
        <v>ESRI</v>
      </c>
      <c r="F7860" s="7" t="str">
        <v>103668</v>
      </c>
      <c r="G7860" t="str">
        <v>ProjectedCrs</v>
      </c>
      <c r="H7860" t="str">
        <v>Lambert Conic Conformal (2SP)</v>
      </c>
      <c r="I7860" t="str">
        <v>NAD_1983_HARN_Adj_MN_Ramsey_Meters</v>
      </c>
      <c r="J7860" t="str">
        <v>United States (USA) - Minnesota.</v>
      </c>
      <c r="K7860" s="11">
        <v>0</v>
      </c>
    </row>
    <row r="7861" spans="5:11" x14ac:dyDescent="0.35">
      <c r="E7861" s="9" t="str">
        <v>ESRI</v>
      </c>
      <c r="F7861" s="7" t="str">
        <v>103669</v>
      </c>
      <c r="G7861" t="str">
        <v>ProjectedCrs</v>
      </c>
      <c r="H7861" t="str">
        <v>Lambert Conic Conformal (2SP)</v>
      </c>
      <c r="I7861" t="str">
        <v>NAD_1983_HARN_Adj_MN_Red_Lake_Meters</v>
      </c>
      <c r="J7861" t="str">
        <v>United States (USA) - Minnesota.</v>
      </c>
      <c r="K7861" s="11">
        <v>0</v>
      </c>
    </row>
    <row r="7862" spans="5:11" x14ac:dyDescent="0.35">
      <c r="E7862" s="9" t="str">
        <v>ESRI</v>
      </c>
      <c r="F7862" s="7" t="str">
        <v>103670</v>
      </c>
      <c r="G7862" t="str">
        <v>ProjectedCrs</v>
      </c>
      <c r="H7862" t="str">
        <v>Lambert Conic Conformal (2SP)</v>
      </c>
      <c r="I7862" t="str">
        <v>NAD_1983_HARN_Adj_MN_Redwood_Meters</v>
      </c>
      <c r="J7862" t="str">
        <v>United States (USA) - Minnesota.</v>
      </c>
      <c r="K7862" s="11">
        <v>0</v>
      </c>
    </row>
    <row r="7863" spans="5:11" x14ac:dyDescent="0.35">
      <c r="E7863" s="9" t="str">
        <v>ESRI</v>
      </c>
      <c r="F7863" s="7" t="str">
        <v>103671</v>
      </c>
      <c r="G7863" t="str">
        <v>ProjectedCrs</v>
      </c>
      <c r="H7863" t="str">
        <v>Lambert Conic Conformal (2SP)</v>
      </c>
      <c r="I7863" t="str">
        <v>NAD_1983_HARN_Adj_MN_Renville_Meters</v>
      </c>
      <c r="J7863" t="str">
        <v>United States (USA) - Minnesota.</v>
      </c>
      <c r="K7863" s="11">
        <v>0</v>
      </c>
    </row>
    <row r="7864" spans="5:11" x14ac:dyDescent="0.35">
      <c r="E7864" s="9" t="str">
        <v>ESRI</v>
      </c>
      <c r="F7864" s="7" t="str">
        <v>103672</v>
      </c>
      <c r="G7864" t="str">
        <v>ProjectedCrs</v>
      </c>
      <c r="H7864" t="str">
        <v>Lambert Conic Conformal (2SP)</v>
      </c>
      <c r="I7864" t="str">
        <v>NAD_1983_HARN_Adj_MN_Rice_Meters</v>
      </c>
      <c r="J7864" t="str">
        <v>United States (USA) - Minnesota.</v>
      </c>
      <c r="K7864" s="11">
        <v>0</v>
      </c>
    </row>
    <row r="7865" spans="5:11" x14ac:dyDescent="0.35">
      <c r="E7865" s="9" t="str">
        <v>ESRI</v>
      </c>
      <c r="F7865" s="7" t="str">
        <v>103673</v>
      </c>
      <c r="G7865" t="str">
        <v>ProjectedCrs</v>
      </c>
      <c r="H7865" t="str">
        <v>Lambert Conic Conformal (2SP)</v>
      </c>
      <c r="I7865" t="str">
        <v>NAD_1983_HARN_Adj_MN_Rock_Meters</v>
      </c>
      <c r="J7865" t="str">
        <v>United States (USA) - Minnesota.</v>
      </c>
      <c r="K7865" s="11">
        <v>0</v>
      </c>
    </row>
    <row r="7866" spans="5:11" x14ac:dyDescent="0.35">
      <c r="E7866" s="9" t="str">
        <v>ESRI</v>
      </c>
      <c r="F7866" s="7" t="str">
        <v>103674</v>
      </c>
      <c r="G7866" t="str">
        <v>ProjectedCrs</v>
      </c>
      <c r="H7866" t="str">
        <v>Lambert Conic Conformal (2SP)</v>
      </c>
      <c r="I7866" t="str">
        <v>NAD_1983_HARN_Adj_MN_Roseau_Meters</v>
      </c>
      <c r="J7866" t="str">
        <v>United States (USA) - Minnesota.</v>
      </c>
      <c r="K7866" s="11">
        <v>0</v>
      </c>
    </row>
    <row r="7867" spans="5:11" x14ac:dyDescent="0.35">
      <c r="E7867" s="9" t="str">
        <v>ESRI</v>
      </c>
      <c r="F7867" s="7" t="str">
        <v>103675</v>
      </c>
      <c r="G7867" t="str">
        <v>ProjectedCrs</v>
      </c>
      <c r="H7867" t="str">
        <v>Lambert Conic Conformal (2SP)</v>
      </c>
      <c r="I7867" t="str">
        <v>NAD_1983_HARN_Adj_MN_St_Louis_North_Meters</v>
      </c>
      <c r="J7867" t="str">
        <v>United States (USA) - Minnesota.</v>
      </c>
      <c r="K7867" s="11">
        <v>0</v>
      </c>
    </row>
    <row r="7868" spans="5:11" x14ac:dyDescent="0.35">
      <c r="E7868" s="9" t="str">
        <v>ESRI</v>
      </c>
      <c r="F7868" s="7" t="str">
        <v>103676</v>
      </c>
      <c r="G7868" t="str">
        <v>ProjectedCrs</v>
      </c>
      <c r="H7868" t="str">
        <v>Lambert Conic Conformal (2SP)</v>
      </c>
      <c r="I7868" t="str">
        <v>NAD_1983_HARN_Adj_MN_St_Louis_Central_Meters</v>
      </c>
      <c r="J7868" t="str">
        <v>United States (USA) - Minnesota.</v>
      </c>
      <c r="K7868" s="11">
        <v>0</v>
      </c>
    </row>
    <row r="7869" spans="5:11" x14ac:dyDescent="0.35">
      <c r="E7869" s="9" t="str">
        <v>ESRI</v>
      </c>
      <c r="F7869" s="7" t="str">
        <v>103677</v>
      </c>
      <c r="G7869" t="str">
        <v>ProjectedCrs</v>
      </c>
      <c r="H7869" t="str">
        <v>Lambert Conic Conformal (2SP)</v>
      </c>
      <c r="I7869" t="str">
        <v>NAD_1983_HARN_Adj_MN_St_Louis_South_Meters</v>
      </c>
      <c r="J7869" t="str">
        <v>United States (USA) - Minnesota.</v>
      </c>
      <c r="K7869" s="11">
        <v>0</v>
      </c>
    </row>
    <row r="7870" spans="5:11" x14ac:dyDescent="0.35">
      <c r="E7870" s="9" t="str">
        <v>ESRI</v>
      </c>
      <c r="F7870" s="7" t="str">
        <v>103678</v>
      </c>
      <c r="G7870" t="str">
        <v>ProjectedCrs</v>
      </c>
      <c r="H7870" t="str">
        <v>Lambert Conic Conformal (2SP)</v>
      </c>
      <c r="I7870" t="str">
        <v>NAD_1983_HARN_Adj_MN_Scott_Meters</v>
      </c>
      <c r="J7870" t="str">
        <v>United States (USA) - Minnesota.</v>
      </c>
      <c r="K7870" s="11">
        <v>0</v>
      </c>
    </row>
    <row r="7871" spans="5:11" x14ac:dyDescent="0.35">
      <c r="E7871" s="9" t="str">
        <v>ESRI</v>
      </c>
      <c r="F7871" s="7" t="str">
        <v>103679</v>
      </c>
      <c r="G7871" t="str">
        <v>ProjectedCrs</v>
      </c>
      <c r="H7871" t="str">
        <v>Lambert Conic Conformal (2SP)</v>
      </c>
      <c r="I7871" t="str">
        <v>NAD_1983_HARN_Adj_MN_Sherburne_Meters</v>
      </c>
      <c r="J7871" t="str">
        <v>United States (USA) - Minnesota.</v>
      </c>
      <c r="K7871" s="11">
        <v>0</v>
      </c>
    </row>
    <row r="7872" spans="5:11" x14ac:dyDescent="0.35">
      <c r="E7872" s="9" t="str">
        <v>ESRI</v>
      </c>
      <c r="F7872" s="7" t="str">
        <v>103680</v>
      </c>
      <c r="G7872" t="str">
        <v>ProjectedCrs</v>
      </c>
      <c r="H7872" t="str">
        <v>Lambert Conic Conformal (2SP)</v>
      </c>
      <c r="I7872" t="str">
        <v>NAD_1983_HARN_Adj_MN_Sibley_Meters</v>
      </c>
      <c r="J7872" t="str">
        <v>United States (USA) - Minnesota.</v>
      </c>
      <c r="K7872" s="11">
        <v>0</v>
      </c>
    </row>
    <row r="7873" spans="5:11" x14ac:dyDescent="0.35">
      <c r="E7873" s="9" t="str">
        <v>ESRI</v>
      </c>
      <c r="F7873" s="7" t="str">
        <v>103681</v>
      </c>
      <c r="G7873" t="str">
        <v>ProjectedCrs</v>
      </c>
      <c r="H7873" t="str">
        <v>Lambert Conic Conformal (2SP)</v>
      </c>
      <c r="I7873" t="str">
        <v>NAD_1983_HARN_Adj_MN_Stearns_Meters</v>
      </c>
      <c r="J7873" t="str">
        <v>United States (USA) - Minnesota.</v>
      </c>
      <c r="K7873" s="11">
        <v>0</v>
      </c>
    </row>
    <row r="7874" spans="5:11" x14ac:dyDescent="0.35">
      <c r="E7874" s="9" t="str">
        <v>ESRI</v>
      </c>
      <c r="F7874" s="7" t="str">
        <v>103682</v>
      </c>
      <c r="G7874" t="str">
        <v>ProjectedCrs</v>
      </c>
      <c r="H7874" t="str">
        <v>Lambert Conic Conformal (2SP)</v>
      </c>
      <c r="I7874" t="str">
        <v>NAD_1983_HARN_Adj_MN_Steele_Meters</v>
      </c>
      <c r="J7874" t="str">
        <v>United States (USA) - Minnesota.</v>
      </c>
      <c r="K7874" s="11">
        <v>0</v>
      </c>
    </row>
    <row r="7875" spans="5:11" x14ac:dyDescent="0.35">
      <c r="E7875" s="9" t="str">
        <v>ESRI</v>
      </c>
      <c r="F7875" s="7" t="str">
        <v>103683</v>
      </c>
      <c r="G7875" t="str">
        <v>ProjectedCrs</v>
      </c>
      <c r="H7875" t="str">
        <v>Lambert Conic Conformal (2SP)</v>
      </c>
      <c r="I7875" t="str">
        <v>NAD_1983_HARN_Adj_MN_Stevens_Meters</v>
      </c>
      <c r="J7875" t="str">
        <v>United States (USA) - Minnesota.</v>
      </c>
      <c r="K7875" s="11">
        <v>0</v>
      </c>
    </row>
    <row r="7876" spans="5:11" x14ac:dyDescent="0.35">
      <c r="E7876" s="9" t="str">
        <v>ESRI</v>
      </c>
      <c r="F7876" s="7" t="str">
        <v>103684</v>
      </c>
      <c r="G7876" t="str">
        <v>ProjectedCrs</v>
      </c>
      <c r="H7876" t="str">
        <v>Lambert Conic Conformal (2SP)</v>
      </c>
      <c r="I7876" t="str">
        <v>NAD_1983_HARN_Adj_MN_Swift_Meters</v>
      </c>
      <c r="J7876" t="str">
        <v>United States (USA) - Minnesota.</v>
      </c>
      <c r="K7876" s="11">
        <v>0</v>
      </c>
    </row>
    <row r="7877" spans="5:11" x14ac:dyDescent="0.35">
      <c r="E7877" s="9" t="str">
        <v>ESRI</v>
      </c>
      <c r="F7877" s="7" t="str">
        <v>103685</v>
      </c>
      <c r="G7877" t="str">
        <v>ProjectedCrs</v>
      </c>
      <c r="H7877" t="str">
        <v>Lambert Conic Conformal (2SP)</v>
      </c>
      <c r="I7877" t="str">
        <v>NAD_1983_HARN_Adj_MN_Todd_Meters</v>
      </c>
      <c r="J7877" t="str">
        <v>United States (USA) - Minnesota.</v>
      </c>
      <c r="K7877" s="11">
        <v>0</v>
      </c>
    </row>
    <row r="7878" spans="5:11" x14ac:dyDescent="0.35">
      <c r="E7878" s="9" t="str">
        <v>ESRI</v>
      </c>
      <c r="F7878" s="7" t="str">
        <v>103686</v>
      </c>
      <c r="G7878" t="str">
        <v>ProjectedCrs</v>
      </c>
      <c r="H7878" t="str">
        <v>Lambert Conic Conformal (2SP)</v>
      </c>
      <c r="I7878" t="str">
        <v>NAD_1983_HARN_Adj_MN_Traverse_Meters</v>
      </c>
      <c r="J7878" t="str">
        <v>United States (USA) - Minnesota.</v>
      </c>
      <c r="K7878" s="11">
        <v>0</v>
      </c>
    </row>
    <row r="7879" spans="5:11" x14ac:dyDescent="0.35">
      <c r="E7879" s="9" t="str">
        <v>ESRI</v>
      </c>
      <c r="F7879" s="7" t="str">
        <v>103687</v>
      </c>
      <c r="G7879" t="str">
        <v>ProjectedCrs</v>
      </c>
      <c r="H7879" t="str">
        <v>Lambert Conic Conformal (2SP)</v>
      </c>
      <c r="I7879" t="str">
        <v>NAD_1983_HARN_Adj_MN_Wabasha_Meters</v>
      </c>
      <c r="J7879" t="str">
        <v>United States (USA) - Minnesota.</v>
      </c>
      <c r="K7879" s="11">
        <v>0</v>
      </c>
    </row>
    <row r="7880" spans="5:11" x14ac:dyDescent="0.35">
      <c r="E7880" s="9" t="str">
        <v>ESRI</v>
      </c>
      <c r="F7880" s="7" t="str">
        <v>103688</v>
      </c>
      <c r="G7880" t="str">
        <v>ProjectedCrs</v>
      </c>
      <c r="H7880" t="str">
        <v>Lambert Conic Conformal (2SP)</v>
      </c>
      <c r="I7880" t="str">
        <v>NAD_1983_HARN_Adj_MN_Wadena_Meters</v>
      </c>
      <c r="J7880" t="str">
        <v>United States (USA) - Minnesota.</v>
      </c>
      <c r="K7880" s="11">
        <v>0</v>
      </c>
    </row>
    <row r="7881" spans="5:11" x14ac:dyDescent="0.35">
      <c r="E7881" s="9" t="str">
        <v>ESRI</v>
      </c>
      <c r="F7881" s="7" t="str">
        <v>103689</v>
      </c>
      <c r="G7881" t="str">
        <v>ProjectedCrs</v>
      </c>
      <c r="H7881" t="str">
        <v>Lambert Conic Conformal (2SP)</v>
      </c>
      <c r="I7881" t="str">
        <v>NAD_1983_HARN_Adj_MN_Waseca_Meters</v>
      </c>
      <c r="J7881" t="str">
        <v>United States (USA) - Minnesota.</v>
      </c>
      <c r="K7881" s="11">
        <v>0</v>
      </c>
    </row>
    <row r="7882" spans="5:11" x14ac:dyDescent="0.35">
      <c r="E7882" s="9" t="str">
        <v>ESRI</v>
      </c>
      <c r="F7882" s="7" t="str">
        <v>103690</v>
      </c>
      <c r="G7882" t="str">
        <v>ProjectedCrs</v>
      </c>
      <c r="H7882" t="str">
        <v>Lambert Conic Conformal (2SP)</v>
      </c>
      <c r="I7882" t="str">
        <v>NAD_1983_HARN_Adj_MN_Watonwan_Meters</v>
      </c>
      <c r="J7882" t="str">
        <v>United States (USA) - Minnesota.</v>
      </c>
      <c r="K7882" s="11">
        <v>0</v>
      </c>
    </row>
    <row r="7883" spans="5:11" x14ac:dyDescent="0.35">
      <c r="E7883" s="9" t="str">
        <v>ESRI</v>
      </c>
      <c r="F7883" s="7" t="str">
        <v>103691</v>
      </c>
      <c r="G7883" t="str">
        <v>ProjectedCrs</v>
      </c>
      <c r="H7883" t="str">
        <v>Lambert Conic Conformal (2SP)</v>
      </c>
      <c r="I7883" t="str">
        <v>NAD_1983_HARN_Adj_MN_Winona_Meters</v>
      </c>
      <c r="J7883" t="str">
        <v>United States (USA) - Minnesota.</v>
      </c>
      <c r="K7883" s="11">
        <v>0</v>
      </c>
    </row>
    <row r="7884" spans="5:11" x14ac:dyDescent="0.35">
      <c r="E7884" s="9" t="str">
        <v>ESRI</v>
      </c>
      <c r="F7884" s="7" t="str">
        <v>103692</v>
      </c>
      <c r="G7884" t="str">
        <v>ProjectedCrs</v>
      </c>
      <c r="H7884" t="str">
        <v>Lambert Conic Conformal (2SP)</v>
      </c>
      <c r="I7884" t="str">
        <v>NAD_1983_HARN_Adj_MN_Wright_Meters</v>
      </c>
      <c r="J7884" t="str">
        <v>United States (USA) - Minnesota.</v>
      </c>
      <c r="K7884" s="11">
        <v>0</v>
      </c>
    </row>
    <row r="7885" spans="5:11" x14ac:dyDescent="0.35">
      <c r="E7885" s="9" t="str">
        <v>ESRI</v>
      </c>
      <c r="F7885" s="7" t="str">
        <v>103693</v>
      </c>
      <c r="G7885" t="str">
        <v>ProjectedCrs</v>
      </c>
      <c r="H7885" t="str">
        <v>Lambert Conic Conformal (2SP)</v>
      </c>
      <c r="I7885" t="str">
        <v>NAD_1983_HARN_Adj_MN_Yellow_Medicine_Meters</v>
      </c>
      <c r="J7885" t="str">
        <v>United States (USA) - Minnesota.</v>
      </c>
      <c r="K7885" s="11">
        <v>0</v>
      </c>
    </row>
    <row r="7886" spans="5:11" x14ac:dyDescent="0.35">
      <c r="E7886" s="9" t="str">
        <v>ESRI</v>
      </c>
      <c r="F7886" s="7" t="str">
        <v>103694</v>
      </c>
      <c r="G7886" t="str">
        <v>ProjectedCrs</v>
      </c>
      <c r="H7886" t="str">
        <v>Transverse Mercator</v>
      </c>
      <c r="I7886" t="str">
        <v>NAD_1983_HARN_Adj_MN_St_Louis_CS96_Meters</v>
      </c>
      <c r="J7886" t="str">
        <v>United States (USA) - Minnesota.</v>
      </c>
      <c r="K7886" s="11">
        <v>0</v>
      </c>
    </row>
    <row r="7887" spans="5:11" x14ac:dyDescent="0.35">
      <c r="E7887" s="9" t="str">
        <v>ESRI</v>
      </c>
      <c r="F7887" s="7" t="str">
        <v>103695</v>
      </c>
      <c r="G7887" t="str">
        <v>ProjectedCrs</v>
      </c>
      <c r="H7887" t="str">
        <v>Transverse Mercator</v>
      </c>
      <c r="I7887" t="str">
        <v>NAD_1983_HARN_Adj_MN_St_Louis_CS96_Feet</v>
      </c>
      <c r="J7887" t="str">
        <v>United States (USA) - Minnesota.</v>
      </c>
      <c r="K7887" s="11">
        <v>0</v>
      </c>
    </row>
    <row r="7888" spans="5:11" x14ac:dyDescent="0.35">
      <c r="E7888" s="9" t="str">
        <v>ESRI</v>
      </c>
      <c r="F7888" s="7" t="str">
        <v>103699</v>
      </c>
      <c r="G7888" t="str">
        <v>ProjectedCrs</v>
      </c>
      <c r="H7888" t="str">
        <v>Transverse Mercator</v>
      </c>
      <c r="I7888" t="str">
        <v>Palestine_Grid_1923_Modified_TM</v>
      </c>
      <c r="J7888" t="str">
        <v>Palestine Territory.</v>
      </c>
      <c r="K7888" s="11">
        <v>0</v>
      </c>
    </row>
    <row r="7889" spans="5:11" x14ac:dyDescent="0.35">
      <c r="E7889" s="9" t="str">
        <v>ESRI</v>
      </c>
      <c r="F7889" s="7" t="str">
        <v>103700</v>
      </c>
      <c r="G7889" t="str">
        <v>ProjectedCrs</v>
      </c>
      <c r="H7889" t="str">
        <v>Transverse Mercator</v>
      </c>
      <c r="I7889" t="str">
        <v>NAD_1983_HARN_Adj_MN_Aitkin_Feet</v>
      </c>
      <c r="J7889" t="str">
        <v>United States (USA) - Minnesota.</v>
      </c>
      <c r="K7889" s="11">
        <v>0</v>
      </c>
    </row>
    <row r="7890" spans="5:11" x14ac:dyDescent="0.35">
      <c r="E7890" s="9" t="str">
        <v>ESRI</v>
      </c>
      <c r="F7890" s="7" t="str">
        <v>103701</v>
      </c>
      <c r="G7890" t="str">
        <v>ProjectedCrs</v>
      </c>
      <c r="H7890" t="str">
        <v>Transverse Mercator</v>
      </c>
      <c r="I7890" t="str">
        <v>NAD_1983_HARN_Adj_MN_Clay_Feet</v>
      </c>
      <c r="J7890" t="str">
        <v>United States (USA) - Minnesota.</v>
      </c>
      <c r="K7890" s="11">
        <v>0</v>
      </c>
    </row>
    <row r="7891" spans="5:11" x14ac:dyDescent="0.35">
      <c r="E7891" s="9" t="str">
        <v>ESRI</v>
      </c>
      <c r="F7891" s="7" t="str">
        <v>103702</v>
      </c>
      <c r="G7891" t="str">
        <v>ProjectedCrs</v>
      </c>
      <c r="H7891" t="str">
        <v>Transverse Mercator</v>
      </c>
      <c r="I7891" t="str">
        <v>NAD_1983_HARN_Adj_MN_Clearwater_Feet</v>
      </c>
      <c r="J7891" t="str">
        <v>United States (USA) - Minnesota.</v>
      </c>
      <c r="K7891" s="11">
        <v>0</v>
      </c>
    </row>
    <row r="7892" spans="5:11" x14ac:dyDescent="0.35">
      <c r="E7892" s="9" t="str">
        <v>ESRI</v>
      </c>
      <c r="F7892" s="7" t="str">
        <v>103703</v>
      </c>
      <c r="G7892" t="str">
        <v>ProjectedCrs</v>
      </c>
      <c r="H7892" t="str">
        <v>Transverse Mercator</v>
      </c>
      <c r="I7892" t="str">
        <v>NAD_1983_HARN_Adj_MN_Hubbard_Feet</v>
      </c>
      <c r="J7892" t="str">
        <v>United States (USA) - Minnesota.</v>
      </c>
      <c r="K7892" s="11">
        <v>0</v>
      </c>
    </row>
    <row r="7893" spans="5:11" x14ac:dyDescent="0.35">
      <c r="E7893" s="9" t="str">
        <v>ESRI</v>
      </c>
      <c r="F7893" s="7" t="str">
        <v>103704</v>
      </c>
      <c r="G7893" t="str">
        <v>ProjectedCrs</v>
      </c>
      <c r="H7893" t="str">
        <v>Transverse Mercator</v>
      </c>
      <c r="I7893" t="str">
        <v>NAD_1983_HARN_Adj_MN_Lake_Feet</v>
      </c>
      <c r="J7893" t="str">
        <v>United States (USA) - Minnesota.</v>
      </c>
      <c r="K7893" s="11">
        <v>0</v>
      </c>
    </row>
    <row r="7894" spans="5:11" x14ac:dyDescent="0.35">
      <c r="E7894" s="9" t="str">
        <v>ESRI</v>
      </c>
      <c r="F7894" s="7" t="str">
        <v>103705</v>
      </c>
      <c r="G7894" t="str">
        <v>ProjectedCrs</v>
      </c>
      <c r="H7894" t="str">
        <v>Transverse Mercator</v>
      </c>
      <c r="I7894" t="str">
        <v>NAD_1983_HARN_Adj_MN_Mille_Lacs_Feet</v>
      </c>
      <c r="J7894" t="str">
        <v>United States (USA) - Minnesota.</v>
      </c>
      <c r="K7894" s="11">
        <v>0</v>
      </c>
    </row>
    <row r="7895" spans="5:11" x14ac:dyDescent="0.35">
      <c r="E7895" s="9" t="str">
        <v>ESRI</v>
      </c>
      <c r="F7895" s="7" t="str">
        <v>103706</v>
      </c>
      <c r="G7895" t="str">
        <v>ProjectedCrs</v>
      </c>
      <c r="H7895" t="str">
        <v>Transverse Mercator</v>
      </c>
      <c r="I7895" t="str">
        <v>NAD_1983_HARN_Adj_MN_Washington_Feet</v>
      </c>
      <c r="J7895" t="str">
        <v>United States (USA) - Minnesota.</v>
      </c>
      <c r="K7895" s="11">
        <v>0</v>
      </c>
    </row>
    <row r="7896" spans="5:11" x14ac:dyDescent="0.35">
      <c r="E7896" s="9" t="str">
        <v>ESRI</v>
      </c>
      <c r="F7896" s="7" t="str">
        <v>103707</v>
      </c>
      <c r="G7896" t="str">
        <v>ProjectedCrs</v>
      </c>
      <c r="H7896" t="str">
        <v>Transverse Mercator</v>
      </c>
      <c r="I7896" t="str">
        <v>NAD_1983_HARN_Adj_MN_Wilkin_Feet</v>
      </c>
      <c r="J7896" t="str">
        <v>United States (USA) - Minnesota.</v>
      </c>
      <c r="K7896" s="11">
        <v>0</v>
      </c>
    </row>
    <row r="7897" spans="5:11" x14ac:dyDescent="0.35">
      <c r="E7897" s="9" t="str">
        <v>ESRI</v>
      </c>
      <c r="F7897" s="7" t="str">
        <v>103708</v>
      </c>
      <c r="G7897" t="str">
        <v>ProjectedCrs</v>
      </c>
      <c r="H7897" t="str">
        <v>Lambert Conic Conformal (2SP)</v>
      </c>
      <c r="I7897" t="str">
        <v>NAD_1983_HARN_Adj_MN_Anoka_Feet</v>
      </c>
      <c r="J7897" t="str">
        <v>United States (USA) - Minnesota.</v>
      </c>
      <c r="K7897" s="11">
        <v>0</v>
      </c>
    </row>
    <row r="7898" spans="5:11" x14ac:dyDescent="0.35">
      <c r="E7898" s="9" t="str">
        <v>ESRI</v>
      </c>
      <c r="F7898" s="7" t="str">
        <v>103709</v>
      </c>
      <c r="G7898" t="str">
        <v>ProjectedCrs</v>
      </c>
      <c r="H7898" t="str">
        <v>Lambert Conic Conformal (2SP)</v>
      </c>
      <c r="I7898" t="str">
        <v>NAD_1983_HARN_Adj_MN_Becker_Feet</v>
      </c>
      <c r="J7898" t="str">
        <v>United States (USA) - Minnesota.</v>
      </c>
      <c r="K7898" s="11">
        <v>0</v>
      </c>
    </row>
    <row r="7899" spans="5:11" x14ac:dyDescent="0.35">
      <c r="E7899" s="9" t="str">
        <v>ESRI</v>
      </c>
      <c r="F7899" s="7" t="str">
        <v>103710</v>
      </c>
      <c r="G7899" t="str">
        <v>ProjectedCrs</v>
      </c>
      <c r="H7899" t="str">
        <v>Lambert Conic Conformal (2SP)</v>
      </c>
      <c r="I7899" t="str">
        <v>NAD_1983_HARN_Adj_MN_Beltrami_North_Feet</v>
      </c>
      <c r="J7899" t="str">
        <v>United States (USA) - Minnesota.</v>
      </c>
      <c r="K7899" s="11">
        <v>0</v>
      </c>
    </row>
    <row r="7900" spans="5:11" x14ac:dyDescent="0.35">
      <c r="E7900" s="9" t="str">
        <v>ESRI</v>
      </c>
      <c r="F7900" s="7" t="str">
        <v>103711</v>
      </c>
      <c r="G7900" t="str">
        <v>ProjectedCrs</v>
      </c>
      <c r="H7900" t="str">
        <v>Lambert Conic Conformal (2SP)</v>
      </c>
      <c r="I7900" t="str">
        <v>NAD_1983_HARN_Adj_MN_Beltrami_South_Feet</v>
      </c>
      <c r="J7900" t="str">
        <v>United States (USA) - Minnesota.</v>
      </c>
      <c r="K7900" s="11">
        <v>0</v>
      </c>
    </row>
    <row r="7901" spans="5:11" x14ac:dyDescent="0.35">
      <c r="E7901" s="9" t="str">
        <v>ESRI</v>
      </c>
      <c r="F7901" s="7" t="str">
        <v>103712</v>
      </c>
      <c r="G7901" t="str">
        <v>ProjectedCrs</v>
      </c>
      <c r="H7901" t="str">
        <v>Lambert Conic Conformal (2SP)</v>
      </c>
      <c r="I7901" t="str">
        <v>NAD_1983_HARN_Adj_MN_Benton_Feet</v>
      </c>
      <c r="J7901" t="str">
        <v>United States (USA) - Minnesota.</v>
      </c>
      <c r="K7901" s="11">
        <v>0</v>
      </c>
    </row>
    <row r="7902" spans="5:11" x14ac:dyDescent="0.35">
      <c r="E7902" s="9" t="str">
        <v>ESRI</v>
      </c>
      <c r="F7902" s="7" t="str">
        <v>103713</v>
      </c>
      <c r="G7902" t="str">
        <v>ProjectedCrs</v>
      </c>
      <c r="H7902" t="str">
        <v>Lambert Conic Conformal (2SP)</v>
      </c>
      <c r="I7902" t="str">
        <v>NAD_1983_HARN_Adj_MN_Big_Stone_Feet</v>
      </c>
      <c r="J7902" t="str">
        <v>United States (USA) - Minnesota.</v>
      </c>
      <c r="K7902" s="11">
        <v>0</v>
      </c>
    </row>
    <row r="7903" spans="5:11" x14ac:dyDescent="0.35">
      <c r="E7903" s="9" t="str">
        <v>ESRI</v>
      </c>
      <c r="F7903" s="7" t="str">
        <v>103714</v>
      </c>
      <c r="G7903" t="str">
        <v>ProjectedCrs</v>
      </c>
      <c r="H7903" t="str">
        <v>Lambert Conic Conformal (2SP)</v>
      </c>
      <c r="I7903" t="str">
        <v>NAD_1983_HARN_Adj_MN_Blue_Earth_Feet</v>
      </c>
      <c r="J7903" t="str">
        <v>United States (USA) - Minnesota.</v>
      </c>
      <c r="K7903" s="11">
        <v>0</v>
      </c>
    </row>
    <row r="7904" spans="5:11" x14ac:dyDescent="0.35">
      <c r="E7904" s="9" t="str">
        <v>ESRI</v>
      </c>
      <c r="F7904" s="7" t="str">
        <v>103715</v>
      </c>
      <c r="G7904" t="str">
        <v>ProjectedCrs</v>
      </c>
      <c r="H7904" t="str">
        <v>Lambert Conic Conformal (2SP)</v>
      </c>
      <c r="I7904" t="str">
        <v>NAD_1983_HARN_Adj_MN_Brown_Feet</v>
      </c>
      <c r="J7904" t="str">
        <v>United States (USA) - Minnesota.</v>
      </c>
      <c r="K7904" s="11">
        <v>0</v>
      </c>
    </row>
    <row r="7905" spans="5:11" x14ac:dyDescent="0.35">
      <c r="E7905" s="9" t="str">
        <v>ESRI</v>
      </c>
      <c r="F7905" s="7" t="str">
        <v>103716</v>
      </c>
      <c r="G7905" t="str">
        <v>ProjectedCrs</v>
      </c>
      <c r="H7905" t="str">
        <v>Lambert Conic Conformal (2SP)</v>
      </c>
      <c r="I7905" t="str">
        <v>NAD_1983_HARN_Adj_MN_Carlton_Feet</v>
      </c>
      <c r="J7905" t="str">
        <v>United States (USA) - Minnesota.</v>
      </c>
      <c r="K7905" s="11">
        <v>0</v>
      </c>
    </row>
    <row r="7906" spans="5:11" x14ac:dyDescent="0.35">
      <c r="E7906" s="9" t="str">
        <v>ESRI</v>
      </c>
      <c r="F7906" s="7" t="str">
        <v>103717</v>
      </c>
      <c r="G7906" t="str">
        <v>ProjectedCrs</v>
      </c>
      <c r="H7906" t="str">
        <v>Lambert Conic Conformal (2SP)</v>
      </c>
      <c r="I7906" t="str">
        <v>NAD_1983_HARN_Adj_MN_Carver_Feet</v>
      </c>
      <c r="J7906" t="str">
        <v>United States (USA) - Minnesota.</v>
      </c>
      <c r="K7906" s="11">
        <v>0</v>
      </c>
    </row>
    <row r="7907" spans="5:11" x14ac:dyDescent="0.35">
      <c r="E7907" s="9" t="str">
        <v>ESRI</v>
      </c>
      <c r="F7907" s="7" t="str">
        <v>103718</v>
      </c>
      <c r="G7907" t="str">
        <v>ProjectedCrs</v>
      </c>
      <c r="H7907" t="str">
        <v>Lambert Conic Conformal (2SP)</v>
      </c>
      <c r="I7907" t="str">
        <v>NAD_1983_HARN_Adj_MN_Cass_North_Feet</v>
      </c>
      <c r="J7907" t="str">
        <v>United States (USA) - Minnesota.</v>
      </c>
      <c r="K7907" s="11">
        <v>0</v>
      </c>
    </row>
    <row r="7908" spans="5:11" x14ac:dyDescent="0.35">
      <c r="E7908" s="9" t="str">
        <v>ESRI</v>
      </c>
      <c r="F7908" s="7" t="str">
        <v>103719</v>
      </c>
      <c r="G7908" t="str">
        <v>ProjectedCrs</v>
      </c>
      <c r="H7908" t="str">
        <v>Lambert Conic Conformal (2SP)</v>
      </c>
      <c r="I7908" t="str">
        <v>NAD_1983_HARN_Adj_MN_Cass_South_Feet</v>
      </c>
      <c r="J7908" t="str">
        <v>United States (USA) - Minnesota.</v>
      </c>
      <c r="K7908" s="11">
        <v>0</v>
      </c>
    </row>
    <row r="7909" spans="5:11" x14ac:dyDescent="0.35">
      <c r="E7909" s="9" t="str">
        <v>ESRI</v>
      </c>
      <c r="F7909" s="7" t="str">
        <v>103720</v>
      </c>
      <c r="G7909" t="str">
        <v>ProjectedCrs</v>
      </c>
      <c r="H7909" t="str">
        <v>Lambert Conic Conformal (2SP)</v>
      </c>
      <c r="I7909" t="str">
        <v>NAD_1983_HARN_Adj_MN_Chippewa_Feet</v>
      </c>
      <c r="J7909" t="str">
        <v>United States (USA) - Minnesota.</v>
      </c>
      <c r="K7909" s="11">
        <v>0</v>
      </c>
    </row>
    <row r="7910" spans="5:11" x14ac:dyDescent="0.35">
      <c r="E7910" s="9" t="str">
        <v>ESRI</v>
      </c>
      <c r="F7910" s="7" t="str">
        <v>103721</v>
      </c>
      <c r="G7910" t="str">
        <v>ProjectedCrs</v>
      </c>
      <c r="H7910" t="str">
        <v>Lambert Conic Conformal (2SP)</v>
      </c>
      <c r="I7910" t="str">
        <v>NAD_1983_HARN_Adj_MN_Chisago_Feet</v>
      </c>
      <c r="J7910" t="str">
        <v>United States (USA) - Minnesota.</v>
      </c>
      <c r="K7910" s="11">
        <v>0</v>
      </c>
    </row>
    <row r="7911" spans="5:11" x14ac:dyDescent="0.35">
      <c r="E7911" s="9" t="str">
        <v>ESRI</v>
      </c>
      <c r="F7911" s="7" t="str">
        <v>103722</v>
      </c>
      <c r="G7911" t="str">
        <v>ProjectedCrs</v>
      </c>
      <c r="H7911" t="str">
        <v>Lambert Conic Conformal (2SP)</v>
      </c>
      <c r="I7911" t="str">
        <v>NAD_1983_HARN_Adj_MN_Cook_North_Feet</v>
      </c>
      <c r="J7911" t="str">
        <v>United States (USA) - Minnesota.</v>
      </c>
      <c r="K7911" s="11">
        <v>0</v>
      </c>
    </row>
    <row r="7912" spans="5:11" x14ac:dyDescent="0.35">
      <c r="E7912" s="9" t="str">
        <v>ESRI</v>
      </c>
      <c r="F7912" s="7" t="str">
        <v>103723</v>
      </c>
      <c r="G7912" t="str">
        <v>ProjectedCrs</v>
      </c>
      <c r="H7912" t="str">
        <v>Lambert Conic Conformal (2SP)</v>
      </c>
      <c r="I7912" t="str">
        <v>NAD_1983_HARN_Adj_MN_Cook_South_Feet</v>
      </c>
      <c r="J7912" t="str">
        <v>United States (USA) - Minnesota.</v>
      </c>
      <c r="K7912" s="11">
        <v>0</v>
      </c>
    </row>
    <row r="7913" spans="5:11" x14ac:dyDescent="0.35">
      <c r="E7913" s="9" t="str">
        <v>ESRI</v>
      </c>
      <c r="F7913" s="7" t="str">
        <v>103724</v>
      </c>
      <c r="G7913" t="str">
        <v>ProjectedCrs</v>
      </c>
      <c r="H7913" t="str">
        <v>Lambert Conic Conformal (2SP)</v>
      </c>
      <c r="I7913" t="str">
        <v>NAD_1983_HARN_Adj_MN_Cottonwood_Feet</v>
      </c>
      <c r="J7913" t="str">
        <v>United States (USA) - Minnesota.</v>
      </c>
      <c r="K7913" s="11">
        <v>0</v>
      </c>
    </row>
    <row r="7914" spans="5:11" x14ac:dyDescent="0.35">
      <c r="E7914" s="9" t="str">
        <v>ESRI</v>
      </c>
      <c r="F7914" s="7" t="str">
        <v>103725</v>
      </c>
      <c r="G7914" t="str">
        <v>ProjectedCrs</v>
      </c>
      <c r="H7914" t="str">
        <v>Lambert Conic Conformal (2SP)</v>
      </c>
      <c r="I7914" t="str">
        <v>NAD_1983_HARN_Adj_MN_Crow_Wing_Feet</v>
      </c>
      <c r="J7914" t="str">
        <v>United States (USA) - Minnesota.</v>
      </c>
      <c r="K7914" s="11">
        <v>0</v>
      </c>
    </row>
    <row r="7915" spans="5:11" x14ac:dyDescent="0.35">
      <c r="E7915" s="9" t="str">
        <v>ESRI</v>
      </c>
      <c r="F7915" s="7" t="str">
        <v>103726</v>
      </c>
      <c r="G7915" t="str">
        <v>ProjectedCrs</v>
      </c>
      <c r="H7915" t="str">
        <v>Lambert Conic Conformal (2SP)</v>
      </c>
      <c r="I7915" t="str">
        <v>NAD_1983_HARN_Adj_MN_Dakota_Feet</v>
      </c>
      <c r="J7915" t="str">
        <v>United States (USA) - Minnesota.</v>
      </c>
      <c r="K7915" s="11">
        <v>0</v>
      </c>
    </row>
    <row r="7916" spans="5:11" x14ac:dyDescent="0.35">
      <c r="E7916" s="9" t="str">
        <v>ESRI</v>
      </c>
      <c r="F7916" s="7" t="str">
        <v>103727</v>
      </c>
      <c r="G7916" t="str">
        <v>ProjectedCrs</v>
      </c>
      <c r="H7916" t="str">
        <v>Lambert Conic Conformal (2SP)</v>
      </c>
      <c r="I7916" t="str">
        <v>NAD_1983_HARN_Adj_MN_Dodge_Feet</v>
      </c>
      <c r="J7916" t="str">
        <v>United States (USA) - Minnesota.</v>
      </c>
      <c r="K7916" s="11">
        <v>0</v>
      </c>
    </row>
    <row r="7917" spans="5:11" x14ac:dyDescent="0.35">
      <c r="E7917" s="9" t="str">
        <v>ESRI</v>
      </c>
      <c r="F7917" s="7" t="str">
        <v>103728</v>
      </c>
      <c r="G7917" t="str">
        <v>ProjectedCrs</v>
      </c>
      <c r="H7917" t="str">
        <v>Lambert Conic Conformal (2SP)</v>
      </c>
      <c r="I7917" t="str">
        <v>NAD_1983_HARN_Adj_MN_Douglas_Feet</v>
      </c>
      <c r="J7917" t="str">
        <v>United States (USA) - Minnesota.</v>
      </c>
      <c r="K7917" s="11">
        <v>0</v>
      </c>
    </row>
    <row r="7918" spans="5:11" x14ac:dyDescent="0.35">
      <c r="E7918" s="9" t="str">
        <v>ESRI</v>
      </c>
      <c r="F7918" s="7" t="str">
        <v>103729</v>
      </c>
      <c r="G7918" t="str">
        <v>ProjectedCrs</v>
      </c>
      <c r="H7918" t="str">
        <v>Lambert Conic Conformal (2SP)</v>
      </c>
      <c r="I7918" t="str">
        <v>NAD_1983_HARN_Adj_MN_Faribault_Feet</v>
      </c>
      <c r="J7918" t="str">
        <v>United States (USA) - Minnesota.</v>
      </c>
      <c r="K7918" s="11">
        <v>0</v>
      </c>
    </row>
    <row r="7919" spans="5:11" x14ac:dyDescent="0.35">
      <c r="E7919" s="9" t="str">
        <v>ESRI</v>
      </c>
      <c r="F7919" s="7" t="str">
        <v>103730</v>
      </c>
      <c r="G7919" t="str">
        <v>ProjectedCrs</v>
      </c>
      <c r="H7919" t="str">
        <v>Lambert Conic Conformal (2SP)</v>
      </c>
      <c r="I7919" t="str">
        <v>NAD_1983_HARN_Adj_MN_Fillmore_Feet</v>
      </c>
      <c r="J7919" t="str">
        <v>United States (USA) - Minnesota.</v>
      </c>
      <c r="K7919" s="11">
        <v>0</v>
      </c>
    </row>
    <row r="7920" spans="5:11" x14ac:dyDescent="0.35">
      <c r="E7920" s="9" t="str">
        <v>ESRI</v>
      </c>
      <c r="F7920" s="7" t="str">
        <v>103731</v>
      </c>
      <c r="G7920" t="str">
        <v>ProjectedCrs</v>
      </c>
      <c r="H7920" t="str">
        <v>Lambert Conic Conformal (2SP)</v>
      </c>
      <c r="I7920" t="str">
        <v>NAD_1983_HARN_Adj_MN_Freeborn_Feet</v>
      </c>
      <c r="J7920" t="str">
        <v>United States (USA) - Minnesota.</v>
      </c>
      <c r="K7920" s="11">
        <v>0</v>
      </c>
    </row>
    <row r="7921" spans="5:11" x14ac:dyDescent="0.35">
      <c r="E7921" s="9" t="str">
        <v>ESRI</v>
      </c>
      <c r="F7921" s="7" t="str">
        <v>103732</v>
      </c>
      <c r="G7921" t="str">
        <v>ProjectedCrs</v>
      </c>
      <c r="H7921" t="str">
        <v>Lambert Conic Conformal (2SP)</v>
      </c>
      <c r="I7921" t="str">
        <v>NAD_1983_HARN_Adj_MN_Goodhue_Feet</v>
      </c>
      <c r="J7921" t="str">
        <v>United States (USA) - Minnesota.</v>
      </c>
      <c r="K7921" s="11">
        <v>0</v>
      </c>
    </row>
    <row r="7922" spans="5:11" x14ac:dyDescent="0.35">
      <c r="E7922" s="9" t="str">
        <v>ESRI</v>
      </c>
      <c r="F7922" s="7" t="str">
        <v>103733</v>
      </c>
      <c r="G7922" t="str">
        <v>ProjectedCrs</v>
      </c>
      <c r="H7922" t="str">
        <v>Lambert Conic Conformal (2SP)</v>
      </c>
      <c r="I7922" t="str">
        <v>NAD_1983_HARN_Adj_MN_Grant_Feet</v>
      </c>
      <c r="J7922" t="str">
        <v>United States (USA) - Minnesota.</v>
      </c>
      <c r="K7922" s="11">
        <v>0</v>
      </c>
    </row>
    <row r="7923" spans="5:11" x14ac:dyDescent="0.35">
      <c r="E7923" s="9" t="str">
        <v>ESRI</v>
      </c>
      <c r="F7923" s="7" t="str">
        <v>103734</v>
      </c>
      <c r="G7923" t="str">
        <v>ProjectedCrs</v>
      </c>
      <c r="H7923" t="str">
        <v>Lambert Conic Conformal (2SP)</v>
      </c>
      <c r="I7923" t="str">
        <v>NAD_1983_HARN_Adj_MN_Hennepin_Feet</v>
      </c>
      <c r="J7923" t="str">
        <v>United States (USA) - Minnesota.</v>
      </c>
      <c r="K7923" s="11">
        <v>0</v>
      </c>
    </row>
    <row r="7924" spans="5:11" x14ac:dyDescent="0.35">
      <c r="E7924" s="9" t="str">
        <v>ESRI</v>
      </c>
      <c r="F7924" s="7" t="str">
        <v>103735</v>
      </c>
      <c r="G7924" t="str">
        <v>ProjectedCrs</v>
      </c>
      <c r="H7924" t="str">
        <v>Lambert Conic Conformal (2SP)</v>
      </c>
      <c r="I7924" t="str">
        <v>NAD_1983_HARN_Adj_MN_Houston_Feet</v>
      </c>
      <c r="J7924" t="str">
        <v>United States (USA) - Minnesota.</v>
      </c>
      <c r="K7924" s="11">
        <v>0</v>
      </c>
    </row>
    <row r="7925" spans="5:11" x14ac:dyDescent="0.35">
      <c r="E7925" s="9" t="str">
        <v>ESRI</v>
      </c>
      <c r="F7925" s="7" t="str">
        <v>103736</v>
      </c>
      <c r="G7925" t="str">
        <v>ProjectedCrs</v>
      </c>
      <c r="H7925" t="str">
        <v>Lambert Conic Conformal (2SP)</v>
      </c>
      <c r="I7925" t="str">
        <v>NAD_1983_HARN_Adj_MN_Isanti_Feet</v>
      </c>
      <c r="J7925" t="str">
        <v>United States (USA) - Minnesota.</v>
      </c>
      <c r="K7925" s="11">
        <v>0</v>
      </c>
    </row>
    <row r="7926" spans="5:11" x14ac:dyDescent="0.35">
      <c r="E7926" s="9" t="str">
        <v>ESRI</v>
      </c>
      <c r="F7926" s="7" t="str">
        <v>103737</v>
      </c>
      <c r="G7926" t="str">
        <v>ProjectedCrs</v>
      </c>
      <c r="H7926" t="str">
        <v>Lambert Conic Conformal (2SP)</v>
      </c>
      <c r="I7926" t="str">
        <v>NAD_1983_HARN_Adj_MN_Itasca_North_Feet</v>
      </c>
      <c r="J7926" t="str">
        <v>United States (USA) - Minnesota.</v>
      </c>
      <c r="K7926" s="11">
        <v>0</v>
      </c>
    </row>
    <row r="7927" spans="5:11" x14ac:dyDescent="0.35">
      <c r="E7927" s="9" t="str">
        <v>ESRI</v>
      </c>
      <c r="F7927" s="7" t="str">
        <v>103738</v>
      </c>
      <c r="G7927" t="str">
        <v>ProjectedCrs</v>
      </c>
      <c r="H7927" t="str">
        <v>Lambert Conic Conformal (2SP)</v>
      </c>
      <c r="I7927" t="str">
        <v>NAD_1983_HARN_Adj_MN_Itasca_South_Feet</v>
      </c>
      <c r="J7927" t="str">
        <v>United States (USA) - Minnesota.</v>
      </c>
      <c r="K7927" s="11">
        <v>0</v>
      </c>
    </row>
    <row r="7928" spans="5:11" x14ac:dyDescent="0.35">
      <c r="E7928" s="9" t="str">
        <v>ESRI</v>
      </c>
      <c r="F7928" s="7" t="str">
        <v>103739</v>
      </c>
      <c r="G7928" t="str">
        <v>ProjectedCrs</v>
      </c>
      <c r="H7928" t="str">
        <v>Lambert Conic Conformal (2SP)</v>
      </c>
      <c r="I7928" t="str">
        <v>NAD_1983_HARN_Adj_MN_Jackson_Feet</v>
      </c>
      <c r="J7928" t="str">
        <v>United States (USA) - Minnesota.</v>
      </c>
      <c r="K7928" s="11">
        <v>0</v>
      </c>
    </row>
    <row r="7929" spans="5:11" x14ac:dyDescent="0.35">
      <c r="E7929" s="9" t="str">
        <v>ESRI</v>
      </c>
      <c r="F7929" s="7" t="str">
        <v>103740</v>
      </c>
      <c r="G7929" t="str">
        <v>ProjectedCrs</v>
      </c>
      <c r="H7929" t="str">
        <v>Lambert Conic Conformal (2SP)</v>
      </c>
      <c r="I7929" t="str">
        <v>NAD_1983_HARN_Adj_MN_Kanabec_Feet</v>
      </c>
      <c r="J7929" t="str">
        <v>United States (USA) - Minnesota.</v>
      </c>
      <c r="K7929" s="11">
        <v>0</v>
      </c>
    </row>
    <row r="7930" spans="5:11" x14ac:dyDescent="0.35">
      <c r="E7930" s="9" t="str">
        <v>ESRI</v>
      </c>
      <c r="F7930" s="7" t="str">
        <v>103741</v>
      </c>
      <c r="G7930" t="str">
        <v>ProjectedCrs</v>
      </c>
      <c r="H7930" t="str">
        <v>Lambert Conic Conformal (2SP)</v>
      </c>
      <c r="I7930" t="str">
        <v>NAD_1983_HARN_Adj_MN_Kandiyohi_Feet</v>
      </c>
      <c r="J7930" t="str">
        <v>United States (USA) - Minnesota.</v>
      </c>
      <c r="K7930" s="11">
        <v>0</v>
      </c>
    </row>
    <row r="7931" spans="5:11" x14ac:dyDescent="0.35">
      <c r="E7931" s="9" t="str">
        <v>ESRI</v>
      </c>
      <c r="F7931" s="7" t="str">
        <v>103742</v>
      </c>
      <c r="G7931" t="str">
        <v>ProjectedCrs</v>
      </c>
      <c r="H7931" t="str">
        <v>Lambert Conic Conformal (2SP)</v>
      </c>
      <c r="I7931" t="str">
        <v>NAD_1983_HARN_Adj_MN_Kittson_Feet</v>
      </c>
      <c r="J7931" t="str">
        <v>United States (USA) - Minnesota.</v>
      </c>
      <c r="K7931" s="11">
        <v>0</v>
      </c>
    </row>
    <row r="7932" spans="5:11" x14ac:dyDescent="0.35">
      <c r="E7932" s="9" t="str">
        <v>ESRI</v>
      </c>
      <c r="F7932" s="7" t="str">
        <v>103743</v>
      </c>
      <c r="G7932" t="str">
        <v>ProjectedCrs</v>
      </c>
      <c r="H7932" t="str">
        <v>Lambert Conic Conformal (2SP)</v>
      </c>
      <c r="I7932" t="str">
        <v>NAD_1983_HARN_Adj_MN_Koochiching_Feet</v>
      </c>
      <c r="J7932" t="str">
        <v>United States (USA) - Minnesota.</v>
      </c>
      <c r="K7932" s="11">
        <v>0</v>
      </c>
    </row>
    <row r="7933" spans="5:11" x14ac:dyDescent="0.35">
      <c r="E7933" s="9" t="str">
        <v>ESRI</v>
      </c>
      <c r="F7933" s="7" t="str">
        <v>103744</v>
      </c>
      <c r="G7933" t="str">
        <v>ProjectedCrs</v>
      </c>
      <c r="H7933" t="str">
        <v>Lambert Conic Conformal (2SP)</v>
      </c>
      <c r="I7933" t="str">
        <v>NAD_1983_HARN_Adj_MN_Lac_Qui_Parle_Feet</v>
      </c>
      <c r="J7933" t="str">
        <v>United States (USA) - Minnesota.</v>
      </c>
      <c r="K7933" s="11">
        <v>0</v>
      </c>
    </row>
    <row r="7934" spans="5:11" x14ac:dyDescent="0.35">
      <c r="E7934" s="9" t="str">
        <v>ESRI</v>
      </c>
      <c r="F7934" s="7" t="str">
        <v>103745</v>
      </c>
      <c r="G7934" t="str">
        <v>ProjectedCrs</v>
      </c>
      <c r="H7934" t="str">
        <v>Lambert Conic Conformal (2SP)</v>
      </c>
      <c r="I7934" t="str">
        <v>NAD_1983_HARN_Adj_MN_Lake_of_the_Woods_North_Feet</v>
      </c>
      <c r="J7934" t="str">
        <v>United States (USA) - Minnesota.</v>
      </c>
      <c r="K7934" s="11">
        <v>0</v>
      </c>
    </row>
    <row r="7935" spans="5:11" x14ac:dyDescent="0.35">
      <c r="E7935" s="9" t="str">
        <v>ESRI</v>
      </c>
      <c r="F7935" s="7" t="str">
        <v>103746</v>
      </c>
      <c r="G7935" t="str">
        <v>ProjectedCrs</v>
      </c>
      <c r="H7935" t="str">
        <v>Lambert Conic Conformal (2SP)</v>
      </c>
      <c r="I7935" t="str">
        <v>NAD_1983_HARN_Adj_MN_Lake_of_the_Woods_South_Feet</v>
      </c>
      <c r="J7935" t="str">
        <v>United States (USA) - Minnesota.</v>
      </c>
      <c r="K7935" s="11">
        <v>0</v>
      </c>
    </row>
    <row r="7936" spans="5:11" x14ac:dyDescent="0.35">
      <c r="E7936" s="9" t="str">
        <v>ESRI</v>
      </c>
      <c r="F7936" s="7" t="str">
        <v>103747</v>
      </c>
      <c r="G7936" t="str">
        <v>ProjectedCrs</v>
      </c>
      <c r="H7936" t="str">
        <v>Lambert Conic Conformal (2SP)</v>
      </c>
      <c r="I7936" t="str">
        <v>NAD_1983_HARN_Adj_MN_Le_Sueur_Feet</v>
      </c>
      <c r="J7936" t="str">
        <v>United States (USA) - Minnesota.</v>
      </c>
      <c r="K7936" s="11">
        <v>0</v>
      </c>
    </row>
    <row r="7937" spans="5:11" x14ac:dyDescent="0.35">
      <c r="E7937" s="9" t="str">
        <v>ESRI</v>
      </c>
      <c r="F7937" s="7" t="str">
        <v>103748</v>
      </c>
      <c r="G7937" t="str">
        <v>ProjectedCrs</v>
      </c>
      <c r="H7937" t="str">
        <v>Lambert Conic Conformal (2SP)</v>
      </c>
      <c r="I7937" t="str">
        <v>NAD_1983_HARN_Adj_MN_Lincoln_Feet</v>
      </c>
      <c r="J7937" t="str">
        <v>United States (USA) - Minnesota.</v>
      </c>
      <c r="K7937" s="11">
        <v>0</v>
      </c>
    </row>
    <row r="7938" spans="5:11" x14ac:dyDescent="0.35">
      <c r="E7938" s="9" t="str">
        <v>ESRI</v>
      </c>
      <c r="F7938" s="7" t="str">
        <v>103749</v>
      </c>
      <c r="G7938" t="str">
        <v>ProjectedCrs</v>
      </c>
      <c r="H7938" t="str">
        <v>Lambert Conic Conformal (2SP)</v>
      </c>
      <c r="I7938" t="str">
        <v>NAD_1983_HARN_Adj_MN_Lyon_Feet</v>
      </c>
      <c r="J7938" t="str">
        <v>United States (USA) - Minnesota.</v>
      </c>
      <c r="K7938" s="11">
        <v>0</v>
      </c>
    </row>
    <row r="7939" spans="5:11" x14ac:dyDescent="0.35">
      <c r="E7939" s="9" t="str">
        <v>ESRI</v>
      </c>
      <c r="F7939" s="7" t="str">
        <v>103750</v>
      </c>
      <c r="G7939" t="str">
        <v>ProjectedCrs</v>
      </c>
      <c r="H7939" t="str">
        <v>Lambert Conic Conformal (2SP)</v>
      </c>
      <c r="I7939" t="str">
        <v>NAD_1983_HARN_Adj_MN_McLeod_Feet</v>
      </c>
      <c r="J7939" t="str">
        <v>United States (USA) - Minnesota.</v>
      </c>
      <c r="K7939" s="11">
        <v>0</v>
      </c>
    </row>
    <row r="7940" spans="5:11" x14ac:dyDescent="0.35">
      <c r="E7940" s="9" t="str">
        <v>ESRI</v>
      </c>
      <c r="F7940" s="7" t="str">
        <v>103751</v>
      </c>
      <c r="G7940" t="str">
        <v>ProjectedCrs</v>
      </c>
      <c r="H7940" t="str">
        <v>Lambert Conic Conformal (2SP)</v>
      </c>
      <c r="I7940" t="str">
        <v>NAD_1983_HARN_Adj_MN_Mahnomen_Feet</v>
      </c>
      <c r="J7940" t="str">
        <v>United States (USA) - Minnesota.</v>
      </c>
      <c r="K7940" s="11">
        <v>0</v>
      </c>
    </row>
    <row r="7941" spans="5:11" x14ac:dyDescent="0.35">
      <c r="E7941" s="9" t="str">
        <v>ESRI</v>
      </c>
      <c r="F7941" s="7" t="str">
        <v>103752</v>
      </c>
      <c r="G7941" t="str">
        <v>ProjectedCrs</v>
      </c>
      <c r="H7941" t="str">
        <v>Lambert Conic Conformal (2SP)</v>
      </c>
      <c r="I7941" t="str">
        <v>NAD_1983_HARN_Adj_MN_Marshall_Feet</v>
      </c>
      <c r="J7941" t="str">
        <v>United States (USA) - Minnesota.</v>
      </c>
      <c r="K7941" s="11">
        <v>0</v>
      </c>
    </row>
    <row r="7942" spans="5:11" x14ac:dyDescent="0.35">
      <c r="E7942" s="9" t="str">
        <v>ESRI</v>
      </c>
      <c r="F7942" s="7" t="str">
        <v>103753</v>
      </c>
      <c r="G7942" t="str">
        <v>ProjectedCrs</v>
      </c>
      <c r="H7942" t="str">
        <v>Lambert Conic Conformal (2SP)</v>
      </c>
      <c r="I7942" t="str">
        <v>NAD_1983_HARN_Adj_MN_Martin_Feet</v>
      </c>
      <c r="J7942" t="str">
        <v>United States (USA) - Minnesota.</v>
      </c>
      <c r="K7942" s="11">
        <v>0</v>
      </c>
    </row>
    <row r="7943" spans="5:11" x14ac:dyDescent="0.35">
      <c r="E7943" s="9" t="str">
        <v>ESRI</v>
      </c>
      <c r="F7943" s="7" t="str">
        <v>103754</v>
      </c>
      <c r="G7943" t="str">
        <v>ProjectedCrs</v>
      </c>
      <c r="H7943" t="str">
        <v>Lambert Conic Conformal (2SP)</v>
      </c>
      <c r="I7943" t="str">
        <v>NAD_1983_HARN_Adj_MN_Meeker_Feet</v>
      </c>
      <c r="J7943" t="str">
        <v>United States (USA) - Minnesota.</v>
      </c>
      <c r="K7943" s="11">
        <v>0</v>
      </c>
    </row>
    <row r="7944" spans="5:11" x14ac:dyDescent="0.35">
      <c r="E7944" s="9" t="str">
        <v>ESRI</v>
      </c>
      <c r="F7944" s="7" t="str">
        <v>103755</v>
      </c>
      <c r="G7944" t="str">
        <v>ProjectedCrs</v>
      </c>
      <c r="H7944" t="str">
        <v>Lambert Conic Conformal (2SP)</v>
      </c>
      <c r="I7944" t="str">
        <v>NAD_1983_HARN_Adj_MN_Morrison_Feet</v>
      </c>
      <c r="J7944" t="str">
        <v>United States (USA) - Minnesota.</v>
      </c>
      <c r="K7944" s="11">
        <v>0</v>
      </c>
    </row>
    <row r="7945" spans="5:11" x14ac:dyDescent="0.35">
      <c r="E7945" s="9" t="str">
        <v>ESRI</v>
      </c>
      <c r="F7945" s="7" t="str">
        <v>103756</v>
      </c>
      <c r="G7945" t="str">
        <v>ProjectedCrs</v>
      </c>
      <c r="H7945" t="str">
        <v>Lambert Conic Conformal (2SP)</v>
      </c>
      <c r="I7945" t="str">
        <v>NAD_1983_HARN_Adj_MN_Mower_Feet</v>
      </c>
      <c r="J7945" t="str">
        <v>United States (USA) - Minnesota.</v>
      </c>
      <c r="K7945" s="11">
        <v>0</v>
      </c>
    </row>
    <row r="7946" spans="5:11" x14ac:dyDescent="0.35">
      <c r="E7946" s="9" t="str">
        <v>ESRI</v>
      </c>
      <c r="F7946" s="7" t="str">
        <v>103757</v>
      </c>
      <c r="G7946" t="str">
        <v>ProjectedCrs</v>
      </c>
      <c r="H7946" t="str">
        <v>Lambert Conic Conformal (2SP)</v>
      </c>
      <c r="I7946" t="str">
        <v>NAD_1983_HARN_Adj_MN_Murray_Feet</v>
      </c>
      <c r="J7946" t="str">
        <v>United States (USA) - Minnesota.</v>
      </c>
      <c r="K7946" s="11">
        <v>0</v>
      </c>
    </row>
    <row r="7947" spans="5:11" x14ac:dyDescent="0.35">
      <c r="E7947" s="9" t="str">
        <v>ESRI</v>
      </c>
      <c r="F7947" s="7" t="str">
        <v>103758</v>
      </c>
      <c r="G7947" t="str">
        <v>ProjectedCrs</v>
      </c>
      <c r="H7947" t="str">
        <v>Lambert Conic Conformal (2SP)</v>
      </c>
      <c r="I7947" t="str">
        <v>NAD_1983_HARN_Adj_MN_Nicollet_Feet</v>
      </c>
      <c r="J7947" t="str">
        <v>United States (USA) - Minnesota.</v>
      </c>
      <c r="K7947" s="11">
        <v>0</v>
      </c>
    </row>
    <row r="7948" spans="5:11" x14ac:dyDescent="0.35">
      <c r="E7948" s="9" t="str">
        <v>ESRI</v>
      </c>
      <c r="F7948" s="7" t="str">
        <v>103759</v>
      </c>
      <c r="G7948" t="str">
        <v>ProjectedCrs</v>
      </c>
      <c r="H7948" t="str">
        <v>Lambert Conic Conformal (2SP)</v>
      </c>
      <c r="I7948" t="str">
        <v>NAD_1983_HARN_Adj_MN_Nobles_Feet</v>
      </c>
      <c r="J7948" t="str">
        <v>United States (USA) - Minnesota.</v>
      </c>
      <c r="K7948" s="11">
        <v>0</v>
      </c>
    </row>
    <row r="7949" spans="5:11" x14ac:dyDescent="0.35">
      <c r="E7949" s="9" t="str">
        <v>ESRI</v>
      </c>
      <c r="F7949" s="7" t="str">
        <v>103760</v>
      </c>
      <c r="G7949" t="str">
        <v>ProjectedCrs</v>
      </c>
      <c r="H7949" t="str">
        <v>Lambert Conic Conformal (2SP)</v>
      </c>
      <c r="I7949" t="str">
        <v>NAD_1983_HARN_Adj_MN_Norman_Feet</v>
      </c>
      <c r="J7949" t="str">
        <v>United States (USA) - Minnesota.</v>
      </c>
      <c r="K7949" s="11">
        <v>0</v>
      </c>
    </row>
    <row r="7950" spans="5:11" x14ac:dyDescent="0.35">
      <c r="E7950" s="9" t="str">
        <v>ESRI</v>
      </c>
      <c r="F7950" s="7" t="str">
        <v>103761</v>
      </c>
      <c r="G7950" t="str">
        <v>ProjectedCrs</v>
      </c>
      <c r="H7950" t="str">
        <v>Lambert Conic Conformal (2SP)</v>
      </c>
      <c r="I7950" t="str">
        <v>NAD_1983_HARN_Adj_MN_Olmsted_Feet</v>
      </c>
      <c r="J7950" t="str">
        <v>United States (USA) - Minnesota.</v>
      </c>
      <c r="K7950" s="11">
        <v>0</v>
      </c>
    </row>
    <row r="7951" spans="5:11" x14ac:dyDescent="0.35">
      <c r="E7951" s="9" t="str">
        <v>ESRI</v>
      </c>
      <c r="F7951" s="7" t="str">
        <v>103762</v>
      </c>
      <c r="G7951" t="str">
        <v>ProjectedCrs</v>
      </c>
      <c r="H7951" t="str">
        <v>Lambert Conic Conformal (2SP)</v>
      </c>
      <c r="I7951" t="str">
        <v>NAD_1983_HARN_Adj_MN_Ottertail_Feet</v>
      </c>
      <c r="J7951" t="str">
        <v>United States (USA) - Minnesota.</v>
      </c>
      <c r="K7951" s="11">
        <v>0</v>
      </c>
    </row>
    <row r="7952" spans="5:11" x14ac:dyDescent="0.35">
      <c r="E7952" s="9" t="str">
        <v>ESRI</v>
      </c>
      <c r="F7952" s="7" t="str">
        <v>103763</v>
      </c>
      <c r="G7952" t="str">
        <v>ProjectedCrs</v>
      </c>
      <c r="H7952" t="str">
        <v>Lambert Conic Conformal (2SP)</v>
      </c>
      <c r="I7952" t="str">
        <v>NAD_1983_HARN_Adj_MN_Pennington_Feet</v>
      </c>
      <c r="J7952" t="str">
        <v>United States (USA) - Minnesota.</v>
      </c>
      <c r="K7952" s="11">
        <v>0</v>
      </c>
    </row>
    <row r="7953" spans="5:11" x14ac:dyDescent="0.35">
      <c r="E7953" s="9" t="str">
        <v>ESRI</v>
      </c>
      <c r="F7953" s="7" t="str">
        <v>103764</v>
      </c>
      <c r="G7953" t="str">
        <v>ProjectedCrs</v>
      </c>
      <c r="H7953" t="str">
        <v>Lambert Conic Conformal (2SP)</v>
      </c>
      <c r="I7953" t="str">
        <v>NAD_1983_HARN_Adj_MN_Pine_Feet</v>
      </c>
      <c r="J7953" t="str">
        <v>United States (USA) - Minnesota.</v>
      </c>
      <c r="K7953" s="11">
        <v>0</v>
      </c>
    </row>
    <row r="7954" spans="5:11" x14ac:dyDescent="0.35">
      <c r="E7954" s="9" t="str">
        <v>ESRI</v>
      </c>
      <c r="F7954" s="7" t="str">
        <v>103765</v>
      </c>
      <c r="G7954" t="str">
        <v>ProjectedCrs</v>
      </c>
      <c r="H7954" t="str">
        <v>Lambert Conic Conformal (2SP)</v>
      </c>
      <c r="I7954" t="str">
        <v>NAD_1983_HARN_Adj_MN_Pipestone_Feet</v>
      </c>
      <c r="J7954" t="str">
        <v>United States (USA) - Minnesota.</v>
      </c>
      <c r="K7954" s="11">
        <v>0</v>
      </c>
    </row>
    <row r="7955" spans="5:11" x14ac:dyDescent="0.35">
      <c r="E7955" s="9" t="str">
        <v>ESRI</v>
      </c>
      <c r="F7955" s="7" t="str">
        <v>103766</v>
      </c>
      <c r="G7955" t="str">
        <v>ProjectedCrs</v>
      </c>
      <c r="H7955" t="str">
        <v>Lambert Conic Conformal (2SP)</v>
      </c>
      <c r="I7955" t="str">
        <v>NAD_1983_HARN_Adj_MN_Polk_Feet</v>
      </c>
      <c r="J7955" t="str">
        <v>United States (USA) - Minnesota.</v>
      </c>
      <c r="K7955" s="11">
        <v>0</v>
      </c>
    </row>
    <row r="7956" spans="5:11" x14ac:dyDescent="0.35">
      <c r="E7956" s="9" t="str">
        <v>ESRI</v>
      </c>
      <c r="F7956" s="7" t="str">
        <v>103767</v>
      </c>
      <c r="G7956" t="str">
        <v>ProjectedCrs</v>
      </c>
      <c r="H7956" t="str">
        <v>Lambert Conic Conformal (2SP)</v>
      </c>
      <c r="I7956" t="str">
        <v>NAD_1983_HARN_Adj_MN_Pope_Feet</v>
      </c>
      <c r="J7956" t="str">
        <v>United States (USA) - Minnesota.</v>
      </c>
      <c r="K7956" s="11">
        <v>0</v>
      </c>
    </row>
    <row r="7957" spans="5:11" x14ac:dyDescent="0.35">
      <c r="E7957" s="9" t="str">
        <v>ESRI</v>
      </c>
      <c r="F7957" s="7" t="str">
        <v>103768</v>
      </c>
      <c r="G7957" t="str">
        <v>ProjectedCrs</v>
      </c>
      <c r="H7957" t="str">
        <v>Lambert Conic Conformal (2SP)</v>
      </c>
      <c r="I7957" t="str">
        <v>NAD_1983_HARN_Adj_MN_Ramsey_Feet</v>
      </c>
      <c r="J7957" t="str">
        <v>United States (USA) - Minnesota.</v>
      </c>
      <c r="K7957" s="11">
        <v>0</v>
      </c>
    </row>
    <row r="7958" spans="5:11" x14ac:dyDescent="0.35">
      <c r="E7958" s="9" t="str">
        <v>ESRI</v>
      </c>
      <c r="F7958" s="7" t="str">
        <v>103769</v>
      </c>
      <c r="G7958" t="str">
        <v>ProjectedCrs</v>
      </c>
      <c r="H7958" t="str">
        <v>Lambert Conic Conformal (2SP)</v>
      </c>
      <c r="I7958" t="str">
        <v>NAD_1983_HARN_Adj_MN_Red_Lake_Feet</v>
      </c>
      <c r="J7958" t="str">
        <v>United States (USA) - Minnesota.</v>
      </c>
      <c r="K7958" s="11">
        <v>0</v>
      </c>
    </row>
    <row r="7959" spans="5:11" x14ac:dyDescent="0.35">
      <c r="E7959" s="9" t="str">
        <v>ESRI</v>
      </c>
      <c r="F7959" s="7" t="str">
        <v>103770</v>
      </c>
      <c r="G7959" t="str">
        <v>ProjectedCrs</v>
      </c>
      <c r="H7959" t="str">
        <v>Lambert Conic Conformal (2SP)</v>
      </c>
      <c r="I7959" t="str">
        <v>NAD_1983_HARN_Adj_MN_Redwood_Feet</v>
      </c>
      <c r="J7959" t="str">
        <v>United States (USA) - Minnesota.</v>
      </c>
      <c r="K7959" s="11">
        <v>0</v>
      </c>
    </row>
    <row r="7960" spans="5:11" x14ac:dyDescent="0.35">
      <c r="E7960" s="9" t="str">
        <v>ESRI</v>
      </c>
      <c r="F7960" s="7" t="str">
        <v>103771</v>
      </c>
      <c r="G7960" t="str">
        <v>ProjectedCrs</v>
      </c>
      <c r="H7960" t="str">
        <v>Lambert Conic Conformal (2SP)</v>
      </c>
      <c r="I7960" t="str">
        <v>NAD_1983_HARN_Adj_MN_Renville_Feet</v>
      </c>
      <c r="J7960" t="str">
        <v>United States (USA) - Minnesota.</v>
      </c>
      <c r="K7960" s="11">
        <v>0</v>
      </c>
    </row>
    <row r="7961" spans="5:11" x14ac:dyDescent="0.35">
      <c r="E7961" s="9" t="str">
        <v>ESRI</v>
      </c>
      <c r="F7961" s="7" t="str">
        <v>103772</v>
      </c>
      <c r="G7961" t="str">
        <v>ProjectedCrs</v>
      </c>
      <c r="H7961" t="str">
        <v>Lambert Conic Conformal (2SP)</v>
      </c>
      <c r="I7961" t="str">
        <v>NAD_1983_HARN_Adj_MN_Rice_Feet</v>
      </c>
      <c r="J7961" t="str">
        <v>United States (USA) - Minnesota.</v>
      </c>
      <c r="K7961" s="11">
        <v>0</v>
      </c>
    </row>
    <row r="7962" spans="5:11" x14ac:dyDescent="0.35">
      <c r="E7962" s="9" t="str">
        <v>ESRI</v>
      </c>
      <c r="F7962" s="7" t="str">
        <v>103773</v>
      </c>
      <c r="G7962" t="str">
        <v>ProjectedCrs</v>
      </c>
      <c r="H7962" t="str">
        <v>Lambert Conic Conformal (2SP)</v>
      </c>
      <c r="I7962" t="str">
        <v>NAD_1983_HARN_Adj_MN_Rock_Feet</v>
      </c>
      <c r="J7962" t="str">
        <v>United States (USA) - Minnesota.</v>
      </c>
      <c r="K7962" s="11">
        <v>0</v>
      </c>
    </row>
    <row r="7963" spans="5:11" x14ac:dyDescent="0.35">
      <c r="E7963" s="9" t="str">
        <v>ESRI</v>
      </c>
      <c r="F7963" s="7" t="str">
        <v>103774</v>
      </c>
      <c r="G7963" t="str">
        <v>ProjectedCrs</v>
      </c>
      <c r="H7963" t="str">
        <v>Lambert Conic Conformal (2SP)</v>
      </c>
      <c r="I7963" t="str">
        <v>NAD_1983_HARN_Adj_MN_Roseau_Feet</v>
      </c>
      <c r="J7963" t="str">
        <v>United States (USA) - Minnesota.</v>
      </c>
      <c r="K7963" s="11">
        <v>0</v>
      </c>
    </row>
    <row r="7964" spans="5:11" x14ac:dyDescent="0.35">
      <c r="E7964" s="9" t="str">
        <v>ESRI</v>
      </c>
      <c r="F7964" s="7" t="str">
        <v>103775</v>
      </c>
      <c r="G7964" t="str">
        <v>ProjectedCrs</v>
      </c>
      <c r="H7964" t="str">
        <v>Lambert Conic Conformal (2SP)</v>
      </c>
      <c r="I7964" t="str">
        <v>NAD_1983_HARN_Adj_MN_St_Louis_North_Feet</v>
      </c>
      <c r="J7964" t="str">
        <v>United States (USA) - Minnesota.</v>
      </c>
      <c r="K7964" s="11">
        <v>0</v>
      </c>
    </row>
    <row r="7965" spans="5:11" x14ac:dyDescent="0.35">
      <c r="E7965" s="9" t="str">
        <v>ESRI</v>
      </c>
      <c r="F7965" s="7" t="str">
        <v>103776</v>
      </c>
      <c r="G7965" t="str">
        <v>ProjectedCrs</v>
      </c>
      <c r="H7965" t="str">
        <v>Lambert Conic Conformal (2SP)</v>
      </c>
      <c r="I7965" t="str">
        <v>NAD_1983_HARN_Adj_MN_St_Louis_Central_Feet</v>
      </c>
      <c r="J7965" t="str">
        <v>United States (USA) - Minnesota.</v>
      </c>
      <c r="K7965" s="11">
        <v>0</v>
      </c>
    </row>
    <row r="7966" spans="5:11" x14ac:dyDescent="0.35">
      <c r="E7966" s="9" t="str">
        <v>ESRI</v>
      </c>
      <c r="F7966" s="7" t="str">
        <v>103777</v>
      </c>
      <c r="G7966" t="str">
        <v>ProjectedCrs</v>
      </c>
      <c r="H7966" t="str">
        <v>Lambert Conic Conformal (2SP)</v>
      </c>
      <c r="I7966" t="str">
        <v>NAD_1983_HARN_Adj_MN_St_Louis_South_Feet</v>
      </c>
      <c r="J7966" t="str">
        <v>United States (USA) - Minnesota.</v>
      </c>
      <c r="K7966" s="11">
        <v>0</v>
      </c>
    </row>
    <row r="7967" spans="5:11" x14ac:dyDescent="0.35">
      <c r="E7967" s="9" t="str">
        <v>ESRI</v>
      </c>
      <c r="F7967" s="7" t="str">
        <v>103778</v>
      </c>
      <c r="G7967" t="str">
        <v>ProjectedCrs</v>
      </c>
      <c r="H7967" t="str">
        <v>Lambert Conic Conformal (2SP)</v>
      </c>
      <c r="I7967" t="str">
        <v>NAD_1983_HARN_Adj_MN_Scott_Feet</v>
      </c>
      <c r="J7967" t="str">
        <v>United States (USA) - Minnesota.</v>
      </c>
      <c r="K7967" s="11">
        <v>0</v>
      </c>
    </row>
    <row r="7968" spans="5:11" x14ac:dyDescent="0.35">
      <c r="E7968" s="9" t="str">
        <v>ESRI</v>
      </c>
      <c r="F7968" s="7" t="str">
        <v>103779</v>
      </c>
      <c r="G7968" t="str">
        <v>ProjectedCrs</v>
      </c>
      <c r="H7968" t="str">
        <v>Lambert Conic Conformal (2SP)</v>
      </c>
      <c r="I7968" t="str">
        <v>NAD_1983_HARN_Adj_MN_Sherburne_Feet</v>
      </c>
      <c r="J7968" t="str">
        <v>United States (USA) - Minnesota.</v>
      </c>
      <c r="K7968" s="11">
        <v>0</v>
      </c>
    </row>
    <row r="7969" spans="5:11" x14ac:dyDescent="0.35">
      <c r="E7969" s="9" t="str">
        <v>ESRI</v>
      </c>
      <c r="F7969" s="7" t="str">
        <v>103780</v>
      </c>
      <c r="G7969" t="str">
        <v>ProjectedCrs</v>
      </c>
      <c r="H7969" t="str">
        <v>Lambert Conic Conformal (2SP)</v>
      </c>
      <c r="I7969" t="str">
        <v>NAD_1983_HARN_Adj_MN_Sibley_Feet</v>
      </c>
      <c r="J7969" t="str">
        <v>United States (USA) - Minnesota.</v>
      </c>
      <c r="K7969" s="11">
        <v>0</v>
      </c>
    </row>
    <row r="7970" spans="5:11" x14ac:dyDescent="0.35">
      <c r="E7970" s="9" t="str">
        <v>ESRI</v>
      </c>
      <c r="F7970" s="7" t="str">
        <v>103781</v>
      </c>
      <c r="G7970" t="str">
        <v>ProjectedCrs</v>
      </c>
      <c r="H7970" t="str">
        <v>Lambert Conic Conformal (2SP)</v>
      </c>
      <c r="I7970" t="str">
        <v>NAD_1983_HARN_Adj_MN_Stearns_Feet</v>
      </c>
      <c r="J7970" t="str">
        <v>United States (USA) - Minnesota.</v>
      </c>
      <c r="K7970" s="11">
        <v>0</v>
      </c>
    </row>
    <row r="7971" spans="5:11" x14ac:dyDescent="0.35">
      <c r="E7971" s="9" t="str">
        <v>ESRI</v>
      </c>
      <c r="F7971" s="7" t="str">
        <v>103782</v>
      </c>
      <c r="G7971" t="str">
        <v>ProjectedCrs</v>
      </c>
      <c r="H7971" t="str">
        <v>Lambert Conic Conformal (2SP)</v>
      </c>
      <c r="I7971" t="str">
        <v>NAD_1983_HARN_Adj_MN_Steele_Feet</v>
      </c>
      <c r="J7971" t="str">
        <v>United States (USA) - Minnesota.</v>
      </c>
      <c r="K7971" s="11">
        <v>0</v>
      </c>
    </row>
    <row r="7972" spans="5:11" x14ac:dyDescent="0.35">
      <c r="E7972" s="9" t="str">
        <v>ESRI</v>
      </c>
      <c r="F7972" s="7" t="str">
        <v>103783</v>
      </c>
      <c r="G7972" t="str">
        <v>ProjectedCrs</v>
      </c>
      <c r="H7972" t="str">
        <v>Lambert Conic Conformal (2SP)</v>
      </c>
      <c r="I7972" t="str">
        <v>NAD_1983_HARN_Adj_MN_Stevens_Feet</v>
      </c>
      <c r="J7972" t="str">
        <v>United States (USA) - Minnesota.</v>
      </c>
      <c r="K7972" s="11">
        <v>0</v>
      </c>
    </row>
    <row r="7973" spans="5:11" x14ac:dyDescent="0.35">
      <c r="E7973" s="9" t="str">
        <v>ESRI</v>
      </c>
      <c r="F7973" s="7" t="str">
        <v>103784</v>
      </c>
      <c r="G7973" t="str">
        <v>ProjectedCrs</v>
      </c>
      <c r="H7973" t="str">
        <v>Lambert Conic Conformal (2SP)</v>
      </c>
      <c r="I7973" t="str">
        <v>NAD_1983_HARN_Adj_MN_Swift_Feet</v>
      </c>
      <c r="J7973" t="str">
        <v>United States (USA) - Minnesota.</v>
      </c>
      <c r="K7973" s="11">
        <v>0</v>
      </c>
    </row>
    <row r="7974" spans="5:11" x14ac:dyDescent="0.35">
      <c r="E7974" s="9" t="str">
        <v>ESRI</v>
      </c>
      <c r="F7974" s="7" t="str">
        <v>103785</v>
      </c>
      <c r="G7974" t="str">
        <v>ProjectedCrs</v>
      </c>
      <c r="H7974" t="str">
        <v>Lambert Conic Conformal (2SP)</v>
      </c>
      <c r="I7974" t="str">
        <v>NAD_1983_HARN_Adj_MN_Todd_Feet</v>
      </c>
      <c r="J7974" t="str">
        <v>United States (USA) - Minnesota.</v>
      </c>
      <c r="K7974" s="11">
        <v>0</v>
      </c>
    </row>
    <row r="7975" spans="5:11" x14ac:dyDescent="0.35">
      <c r="E7975" s="9" t="str">
        <v>ESRI</v>
      </c>
      <c r="F7975" s="7" t="str">
        <v>103786</v>
      </c>
      <c r="G7975" t="str">
        <v>ProjectedCrs</v>
      </c>
      <c r="H7975" t="str">
        <v>Lambert Conic Conformal (2SP)</v>
      </c>
      <c r="I7975" t="str">
        <v>NAD_1983_HARN_Adj_MN_Traverse_Feet</v>
      </c>
      <c r="J7975" t="str">
        <v>United States (USA) - Minnesota.</v>
      </c>
      <c r="K7975" s="11">
        <v>0</v>
      </c>
    </row>
    <row r="7976" spans="5:11" x14ac:dyDescent="0.35">
      <c r="E7976" s="9" t="str">
        <v>ESRI</v>
      </c>
      <c r="F7976" s="7" t="str">
        <v>103787</v>
      </c>
      <c r="G7976" t="str">
        <v>ProjectedCrs</v>
      </c>
      <c r="H7976" t="str">
        <v>Lambert Conic Conformal (2SP)</v>
      </c>
      <c r="I7976" t="str">
        <v>NAD_1983_HARN_Adj_MN_Wabasha_Feet</v>
      </c>
      <c r="J7976" t="str">
        <v>United States (USA) - Minnesota.</v>
      </c>
      <c r="K7976" s="11">
        <v>0</v>
      </c>
    </row>
    <row r="7977" spans="5:11" x14ac:dyDescent="0.35">
      <c r="E7977" s="9" t="str">
        <v>ESRI</v>
      </c>
      <c r="F7977" s="7" t="str">
        <v>103788</v>
      </c>
      <c r="G7977" t="str">
        <v>ProjectedCrs</v>
      </c>
      <c r="H7977" t="str">
        <v>Lambert Conic Conformal (2SP)</v>
      </c>
      <c r="I7977" t="str">
        <v>NAD_1983_HARN_Adj_MN_Wadena_Feet</v>
      </c>
      <c r="J7977" t="str">
        <v>United States (USA) - Minnesota.</v>
      </c>
      <c r="K7977" s="11">
        <v>0</v>
      </c>
    </row>
    <row r="7978" spans="5:11" x14ac:dyDescent="0.35">
      <c r="E7978" s="9" t="str">
        <v>ESRI</v>
      </c>
      <c r="F7978" s="7" t="str">
        <v>103789</v>
      </c>
      <c r="G7978" t="str">
        <v>ProjectedCrs</v>
      </c>
      <c r="H7978" t="str">
        <v>Lambert Conic Conformal (2SP)</v>
      </c>
      <c r="I7978" t="str">
        <v>NAD_1983_HARN_Adj_MN_Waseca_Feet</v>
      </c>
      <c r="J7978" t="str">
        <v>United States (USA) - Minnesota.</v>
      </c>
      <c r="K7978" s="11">
        <v>0</v>
      </c>
    </row>
    <row r="7979" spans="5:11" x14ac:dyDescent="0.35">
      <c r="E7979" s="9" t="str">
        <v>ESRI</v>
      </c>
      <c r="F7979" s="7" t="str">
        <v>103790</v>
      </c>
      <c r="G7979" t="str">
        <v>ProjectedCrs</v>
      </c>
      <c r="H7979" t="str">
        <v>Lambert Conic Conformal (2SP)</v>
      </c>
      <c r="I7979" t="str">
        <v>NAD_1983_HARN_Adj_MN_Watonwan_Feet</v>
      </c>
      <c r="J7979" t="str">
        <v>United States (USA) - Minnesota.</v>
      </c>
      <c r="K7979" s="11">
        <v>0</v>
      </c>
    </row>
    <row r="7980" spans="5:11" x14ac:dyDescent="0.35">
      <c r="E7980" s="9" t="str">
        <v>ESRI</v>
      </c>
      <c r="F7980" s="7" t="str">
        <v>103791</v>
      </c>
      <c r="G7980" t="str">
        <v>ProjectedCrs</v>
      </c>
      <c r="H7980" t="str">
        <v>Lambert Conic Conformal (2SP)</v>
      </c>
      <c r="I7980" t="str">
        <v>NAD_1983_HARN_Adj_MN_Winona_Feet</v>
      </c>
      <c r="J7980" t="str">
        <v>United States (USA) - Minnesota.</v>
      </c>
      <c r="K7980" s="11">
        <v>0</v>
      </c>
    </row>
    <row r="7981" spans="5:11" x14ac:dyDescent="0.35">
      <c r="E7981" s="9" t="str">
        <v>ESRI</v>
      </c>
      <c r="F7981" s="7" t="str">
        <v>103792</v>
      </c>
      <c r="G7981" t="str">
        <v>ProjectedCrs</v>
      </c>
      <c r="H7981" t="str">
        <v>Lambert Conic Conformal (2SP)</v>
      </c>
      <c r="I7981" t="str">
        <v>NAD_1983_HARN_Adj_MN_Wright_Feet</v>
      </c>
      <c r="J7981" t="str">
        <v>United States (USA) - Minnesota.</v>
      </c>
      <c r="K7981" s="11">
        <v>0</v>
      </c>
    </row>
    <row r="7982" spans="5:11" x14ac:dyDescent="0.35">
      <c r="E7982" s="9" t="str">
        <v>ESRI</v>
      </c>
      <c r="F7982" s="7" t="str">
        <v>103793</v>
      </c>
      <c r="G7982" t="str">
        <v>ProjectedCrs</v>
      </c>
      <c r="H7982" t="str">
        <v>Lambert Conic Conformal (2SP)</v>
      </c>
      <c r="I7982" t="str">
        <v>NAD_1983_HARN_Adj_MN_Yellow_Medicine_Feet</v>
      </c>
      <c r="J7982" t="str">
        <v>United States (USA) - Minnesota.</v>
      </c>
      <c r="K7982" s="11">
        <v>0</v>
      </c>
    </row>
    <row r="7983" spans="5:11" x14ac:dyDescent="0.35">
      <c r="E7983" s="9" t="str">
        <v>ESRI</v>
      </c>
      <c r="F7983" s="7" t="str">
        <v>103846</v>
      </c>
      <c r="G7983" t="str">
        <v>ProjectedCrs</v>
      </c>
      <c r="H7983" t="str">
        <v>Lambert Conic Conformal (2SP)</v>
      </c>
      <c r="I7983" t="str">
        <v>NAD_1983_HARN_Adj_WI_Chippewa_Meters</v>
      </c>
      <c r="J7983" t="str">
        <v>United States (USA) - Wisconsin.</v>
      </c>
      <c r="K7983" s="11">
        <v>0</v>
      </c>
    </row>
    <row r="7984" spans="5:11" x14ac:dyDescent="0.35">
      <c r="E7984" s="9" t="str">
        <v>ESRI</v>
      </c>
      <c r="F7984" s="7" t="str">
        <v>103872</v>
      </c>
      <c r="G7984" t="str">
        <v>ProjectedCrs</v>
      </c>
      <c r="H7984" t="str">
        <v>Lambert Conic Conformal (2SP)</v>
      </c>
      <c r="I7984" t="str">
        <v>GDM2008_LGM2012</v>
      </c>
      <c r="J7984" t="str">
        <v>Mauritius - onshore and offshore. Includes Rodrigues, Agalega Islands, and Cargados Carajos.</v>
      </c>
      <c r="K7984" s="11">
        <v>0</v>
      </c>
    </row>
    <row r="7985" spans="5:11" x14ac:dyDescent="0.35">
      <c r="E7985" s="9" t="str">
        <v>ESRI</v>
      </c>
      <c r="F7985" s="7" t="str">
        <v>103877</v>
      </c>
      <c r="G7985" t="str">
        <v>ProjectedCrs</v>
      </c>
      <c r="H7985" t="str">
        <v>&lt;undefined&gt;</v>
      </c>
      <c r="I7985" t="str">
        <v>Moon_2000_North_Pole_Stereographic</v>
      </c>
      <c r="J7985" t="str">
        <v>Northern hemisphere - north of 60°N onshore and offshore, including Arctic.</v>
      </c>
      <c r="K7985" s="11">
        <v>0</v>
      </c>
    </row>
    <row r="7986" spans="5:11" x14ac:dyDescent="0.35">
      <c r="E7986" s="9" t="str">
        <v>ESRI</v>
      </c>
      <c r="F7986" s="7" t="str">
        <v>103878</v>
      </c>
      <c r="G7986" t="str">
        <v>ProjectedCrs</v>
      </c>
      <c r="H7986" t="str">
        <v>&lt;undefined&gt;</v>
      </c>
      <c r="I7986" t="str">
        <v>Moon_2000_South_Pole_Stereographic</v>
      </c>
      <c r="J7986" t="str">
        <v>Southern hemisphere - south of 60°S onshore and offshore - Antarctica.</v>
      </c>
      <c r="K7986" s="11">
        <v>0</v>
      </c>
    </row>
    <row r="7987" spans="5:11" x14ac:dyDescent="0.35">
      <c r="E7987" s="9" t="str">
        <v>ESRI</v>
      </c>
      <c r="F7987" s="7" t="str">
        <v>103879</v>
      </c>
      <c r="G7987" t="str">
        <v>ProjectedCrs</v>
      </c>
      <c r="H7987" t="str">
        <v>&lt;undefined&gt;</v>
      </c>
      <c r="I7987" t="str">
        <v>Moon_2000_Far_Side_Lambert_Azimuthal_Equal_Area</v>
      </c>
      <c r="J7987" t="str">
        <v>Moon - Far Side</v>
      </c>
      <c r="K7987" s="11">
        <v>0</v>
      </c>
    </row>
    <row r="7988" spans="5:11" x14ac:dyDescent="0.35">
      <c r="E7988" s="9" t="str">
        <v>ESRI</v>
      </c>
      <c r="F7988" s="7" t="str">
        <v>103880</v>
      </c>
      <c r="G7988" t="str">
        <v>ProjectedCrs</v>
      </c>
      <c r="H7988" t="str">
        <v>&lt;undefined&gt;</v>
      </c>
      <c r="I7988" t="str">
        <v>Moon_2000_Near_Side_Lambert_Azimuthal_Equal_Area</v>
      </c>
      <c r="J7988" t="str">
        <v>Moon - Near Side</v>
      </c>
      <c r="K7988" s="11">
        <v>0</v>
      </c>
    </row>
    <row r="7989" spans="5:11" x14ac:dyDescent="0.35">
      <c r="E7989" s="9" t="str">
        <v>ESRI</v>
      </c>
      <c r="F7989" s="7" t="str">
        <v>103881</v>
      </c>
      <c r="G7989" t="str">
        <v>ProjectedCrs</v>
      </c>
      <c r="H7989" t="str">
        <v>&lt;undefined&gt;</v>
      </c>
      <c r="I7989" t="str">
        <v>Moon_2000_Equidistant_Cylindrical</v>
      </c>
      <c r="J7989" t="str">
        <v>World.</v>
      </c>
      <c r="K7989" s="11">
        <v>0</v>
      </c>
    </row>
    <row r="7990" spans="5:11" x14ac:dyDescent="0.35">
      <c r="E7990" s="9" t="str">
        <v>ESRI</v>
      </c>
      <c r="F7990" s="7" t="str">
        <v>103882</v>
      </c>
      <c r="G7990" t="str">
        <v>ProjectedCrs</v>
      </c>
      <c r="H7990" t="str">
        <v>&lt;undefined&gt;</v>
      </c>
      <c r="I7990" t="str">
        <v>Moon_2000_Sinusoidal</v>
      </c>
      <c r="J7990" t="str">
        <v>World.</v>
      </c>
      <c r="K7990" s="11">
        <v>0</v>
      </c>
    </row>
    <row r="7991" spans="5:11" x14ac:dyDescent="0.35">
      <c r="E7991" s="9" t="str">
        <v>ESRI</v>
      </c>
      <c r="F7991" s="7" t="str">
        <v>103883</v>
      </c>
      <c r="G7991" t="str">
        <v>ProjectedCrs</v>
      </c>
      <c r="H7991" t="str">
        <v>&lt;undefined&gt;</v>
      </c>
      <c r="I7991" t="str">
        <v>Mars_2000_North_Pole_Stereographic_sphere</v>
      </c>
      <c r="J7991" t="str">
        <v>Northern hemisphere - north of 60°N onshore and offshore, including Arctic.</v>
      </c>
      <c r="K7991" s="11">
        <v>0</v>
      </c>
    </row>
    <row r="7992" spans="5:11" x14ac:dyDescent="0.35">
      <c r="E7992" s="9" t="str">
        <v>ESRI</v>
      </c>
      <c r="F7992" s="7" t="str">
        <v>103884</v>
      </c>
      <c r="G7992" t="str">
        <v>ProjectedCrs</v>
      </c>
      <c r="H7992" t="str">
        <v>&lt;undefined&gt;</v>
      </c>
      <c r="I7992" t="str">
        <v>Mars_2000_South_Pole_Stereographic_sphere</v>
      </c>
      <c r="J7992" t="str">
        <v>Southern hemisphere - south of 60°S onshore and offshore - Antarctica.</v>
      </c>
      <c r="K7992" s="11">
        <v>0</v>
      </c>
    </row>
    <row r="7993" spans="5:11" x14ac:dyDescent="0.35">
      <c r="E7993" s="9" t="str">
        <v>ESRI</v>
      </c>
      <c r="F7993" s="7" t="str">
        <v>103885</v>
      </c>
      <c r="G7993" t="str">
        <v>ProjectedCrs</v>
      </c>
      <c r="H7993" t="str">
        <v>&lt;undefined&gt;</v>
      </c>
      <c r="I7993" t="str">
        <v>Mars_2000_Equidistant_Cylindrical_sphere</v>
      </c>
      <c r="J7993" t="str">
        <v>World.</v>
      </c>
      <c r="K7993" s="11">
        <v>0</v>
      </c>
    </row>
    <row r="7994" spans="5:11" x14ac:dyDescent="0.35">
      <c r="E7994" s="9" t="str">
        <v>ESRI</v>
      </c>
      <c r="F7994" s="7" t="str">
        <v>103886</v>
      </c>
      <c r="G7994" t="str">
        <v>ProjectedCrs</v>
      </c>
      <c r="H7994" t="str">
        <v>&lt;undefined&gt;</v>
      </c>
      <c r="I7994" t="str">
        <v>Mars_2000_Sinusoidal_sphere</v>
      </c>
      <c r="J7994" t="str">
        <v>World.</v>
      </c>
      <c r="K7994" s="11">
        <v>0</v>
      </c>
    </row>
    <row r="7995" spans="5:11" x14ac:dyDescent="0.35">
      <c r="E7995" s="9" t="str">
        <v>ESRI</v>
      </c>
      <c r="F7995" s="7" t="str">
        <v>103887</v>
      </c>
      <c r="G7995" t="str">
        <v>ProjectedCrs</v>
      </c>
      <c r="H7995" t="str">
        <v>&lt;undefined&gt;</v>
      </c>
      <c r="I7995" t="str">
        <v>Mars_2000_Winkel_Tripel_sphere</v>
      </c>
      <c r="J7995" t="str">
        <v>World.</v>
      </c>
      <c r="K7995" s="11">
        <v>0</v>
      </c>
    </row>
    <row r="7996" spans="5:11" x14ac:dyDescent="0.35">
      <c r="E7996" s="9" t="str">
        <v>ESRI</v>
      </c>
      <c r="F7996" s="7" t="str">
        <v>103888</v>
      </c>
      <c r="G7996" t="str">
        <v>ProjectedCrs</v>
      </c>
      <c r="H7996" t="str">
        <v>Transverse Mercator</v>
      </c>
      <c r="I7996" t="str">
        <v>Hartebeesthoek94_Lo15_(E-N)</v>
      </c>
      <c r="J7996" t="str">
        <v>Namibia - Walvis Bay.</v>
      </c>
      <c r="K7996" s="11">
        <v>0</v>
      </c>
    </row>
    <row r="7997" spans="5:11" x14ac:dyDescent="0.35">
      <c r="E7997" s="9" t="str">
        <v>ESRI</v>
      </c>
      <c r="F7997" s="7" t="str">
        <v>103889</v>
      </c>
      <c r="G7997" t="str">
        <v>ProjectedCrs</v>
      </c>
      <c r="H7997" t="str">
        <v>Transverse Mercator</v>
      </c>
      <c r="I7997" t="str">
        <v>Hartebeesthoek94_Lo17_(E-N)</v>
      </c>
      <c r="J7997" t="str">
        <v>South Africa - onshore west of 18°E.</v>
      </c>
      <c r="K7997" s="11">
        <v>0</v>
      </c>
    </row>
    <row r="7998" spans="5:11" x14ac:dyDescent="0.35">
      <c r="E7998" s="9" t="str">
        <v>ESRI</v>
      </c>
      <c r="F7998" s="7" t="str">
        <v>103890</v>
      </c>
      <c r="G7998" t="str">
        <v>ProjectedCrs</v>
      </c>
      <c r="H7998" t="str">
        <v>Transverse Mercator</v>
      </c>
      <c r="I7998" t="str">
        <v>Hartebeesthoek94_Lo33_(E-N)</v>
      </c>
      <c r="J7998" t="str">
        <v>South Africa - east of 32°E.</v>
      </c>
      <c r="K7998" s="11">
        <v>0</v>
      </c>
    </row>
    <row r="7999" spans="5:11" x14ac:dyDescent="0.35">
      <c r="E7999" s="9" t="str">
        <v>ESRI</v>
      </c>
      <c r="F7999" s="7" t="str">
        <v>103891</v>
      </c>
      <c r="G7999" t="str">
        <v>ProjectedCrs</v>
      </c>
      <c r="H7999" t="str">
        <v>Lambert Conic Conformal (2SP)</v>
      </c>
      <c r="I7999" t="str">
        <v>California_SRS_Epoch_2017.50_(NAD83)_StatePlane_CA_I_US_Feet</v>
      </c>
      <c r="J7999" t="str">
        <v>United States (USA) - California - counties Del Norte; Humboldt; Lassen; Modoc; Plumas; Shasta; Siskiyou; Tehama; Trinity.</v>
      </c>
      <c r="K7999" s="11">
        <v>0</v>
      </c>
    </row>
    <row r="8000" spans="5:11" x14ac:dyDescent="0.35">
      <c r="E8000" s="9" t="str">
        <v>ESRI</v>
      </c>
      <c r="F8000" s="7" t="str">
        <v>103892</v>
      </c>
      <c r="G8000" t="str">
        <v>ProjectedCrs</v>
      </c>
      <c r="H8000" t="str">
        <v>Lambert Conic Conformal (2SP)</v>
      </c>
      <c r="I8000" t="str">
        <v>California_SRS_Epoch_2017.50_(NAD83)_StatePlane_CA_II_US_Feet</v>
      </c>
      <c r="J8000" t="str">
        <v>United States (USA) - California - counties of Alpine; Amador; Butte; Colusa; El Dorado; Glenn; Lake; Mendocino; Napa; Nevada; Placer; Sacramento; Sierra; Solano; Sonoma; Sutter; Yolo; Yuba.</v>
      </c>
      <c r="K8000" s="11">
        <v>0</v>
      </c>
    </row>
    <row r="8001" spans="5:11" x14ac:dyDescent="0.35">
      <c r="E8001" s="9" t="str">
        <v>ESRI</v>
      </c>
      <c r="F8001" s="7" t="str">
        <v>103893</v>
      </c>
      <c r="G8001" t="str">
        <v>ProjectedCrs</v>
      </c>
      <c r="H8001" t="str">
        <v>Lambert Conic Conformal (2SP)</v>
      </c>
      <c r="I8001" t="str">
        <v>California_SRS_Epoch_2017.50_(NAD83)_StatePlane_CA_III_US_Feet</v>
      </c>
      <c r="J8001" t="str">
        <v>United States (USA) - California - counties Alameda; Calaveras; Contra Costa; Madera; Marin; Mariposa; Merced; Mono; San Francisco; San Joaquin; San Mateo; Santa Clara; Santa Cruz; Stanislaus; Tuolumne.</v>
      </c>
      <c r="K8001" s="11">
        <v>0</v>
      </c>
    </row>
    <row r="8002" spans="5:11" x14ac:dyDescent="0.35">
      <c r="E8002" s="9" t="str">
        <v>ESRI</v>
      </c>
      <c r="F8002" s="7" t="str">
        <v>103894</v>
      </c>
      <c r="G8002" t="str">
        <v>ProjectedCrs</v>
      </c>
      <c r="H8002" t="str">
        <v>Lambert Conic Conformal (2SP)</v>
      </c>
      <c r="I8002" t="str">
        <v>California_SRS_Epoch_2017.50_(NAD83)_StatePlane_CA_IV_US_Feet</v>
      </c>
      <c r="J8002" t="str">
        <v>United States (USA) - California - counties Fresno; Inyo; Kings; Monterey; San Benito; Tulare.</v>
      </c>
      <c r="K8002" s="11">
        <v>0</v>
      </c>
    </row>
    <row r="8003" spans="5:11" x14ac:dyDescent="0.35">
      <c r="E8003" s="9" t="str">
        <v>ESRI</v>
      </c>
      <c r="F8003" s="7" t="str">
        <v>103895</v>
      </c>
      <c r="G8003" t="str">
        <v>ProjectedCrs</v>
      </c>
      <c r="H8003" t="str">
        <v>Lambert Conic Conformal (2SP)</v>
      </c>
      <c r="I8003" t="str">
        <v>California_SRS_Epoch_2017.50_(NAD83)_StatePlane_CA_V_US_Feet</v>
      </c>
      <c r="J8003" t="str">
        <v>United States (USA) - California - counties Kern; Los Angeles; San Bernardino; San Luis Obispo; Santa Barbara; Ventura.</v>
      </c>
      <c r="K8003" s="11">
        <v>0</v>
      </c>
    </row>
    <row r="8004" spans="5:11" x14ac:dyDescent="0.35">
      <c r="E8004" s="9" t="str">
        <v>ESRI</v>
      </c>
      <c r="F8004" s="7" t="str">
        <v>103896</v>
      </c>
      <c r="G8004" t="str">
        <v>ProjectedCrs</v>
      </c>
      <c r="H8004" t="str">
        <v>Lambert Conic Conformal (2SP)</v>
      </c>
      <c r="I8004" t="str">
        <v>California_SRS_Epoch_2017.50_(NAD83)_StatePlane_CA_VI_US_Feet</v>
      </c>
      <c r="J8004" t="str">
        <v>United States (USA) - California - counties Imperial; Orange; Riverside; San Diego.</v>
      </c>
      <c r="K8004" s="11">
        <v>0</v>
      </c>
    </row>
    <row r="8005" spans="5:11" x14ac:dyDescent="0.35">
      <c r="E8005" s="9" t="str">
        <v>ESRI</v>
      </c>
      <c r="F8005" s="7" t="str">
        <v>103897</v>
      </c>
      <c r="G8005" t="str">
        <v>ProjectedCrs</v>
      </c>
      <c r="H8005" t="str">
        <v>Transverse Mercator</v>
      </c>
      <c r="I8005" t="str">
        <v>NAD_1983_2011_Nebraska_LDP_Douglas-Sarpy_County_Ft_Intl</v>
      </c>
      <c r="J8005" t="str">
        <v>Nebraska - Douglas-Sarpy County</v>
      </c>
      <c r="K8005" s="11">
        <v>0</v>
      </c>
    </row>
    <row r="8006" spans="5:11" x14ac:dyDescent="0.35">
      <c r="E8006" s="9" t="str">
        <v>ESRI</v>
      </c>
      <c r="F8006" s="7" t="str">
        <v>103946</v>
      </c>
      <c r="G8006" t="str">
        <v>ProjectedCrs</v>
      </c>
      <c r="H8006" t="str">
        <v>Lambert Conic Conformal (2SP)</v>
      </c>
      <c r="I8006" t="str">
        <v>NAD_1983_HARN_Adj_WI_Chippewa_Feet</v>
      </c>
      <c r="J8006" t="str">
        <v>United States (USA) - Wisconsin.</v>
      </c>
      <c r="K8006" s="11">
        <v>0</v>
      </c>
    </row>
    <row r="8007" spans="5:11" x14ac:dyDescent="0.35">
      <c r="E8007" s="9" t="str">
        <v>ESRI</v>
      </c>
      <c r="F8007" s="7" t="str">
        <v>103972</v>
      </c>
      <c r="G8007" t="str">
        <v>ProjectedCrs</v>
      </c>
      <c r="H8007" t="str">
        <v>Transverse Mercator</v>
      </c>
      <c r="I8007" t="str">
        <v>Germany_Zone_1</v>
      </c>
      <c r="J8007" t="str">
        <v>Germany - offshore North Sea west of 4°30'E.</v>
      </c>
      <c r="K8007" s="11">
        <v>0</v>
      </c>
    </row>
    <row r="8008" spans="5:11" x14ac:dyDescent="0.35">
      <c r="E8008" s="9" t="str">
        <v>ESRI</v>
      </c>
      <c r="F8008" s="7" t="str">
        <v>103973</v>
      </c>
      <c r="G8008" t="str">
        <v>ProjectedCrs</v>
      </c>
      <c r="H8008" t="str">
        <v>Transverse Mercator</v>
      </c>
      <c r="I8008" t="str">
        <v>Germany_Zone_2</v>
      </c>
      <c r="J8008" t="str">
        <v>Germany - former West Germany onshore west of 7°30'E - states of Niedersachsen, Nordrhein-Westfalen, Rheinland-Pfalz, Saarland.</v>
      </c>
      <c r="K8008" s="11">
        <v>0</v>
      </c>
    </row>
    <row r="8009" spans="5:11" x14ac:dyDescent="0.35">
      <c r="E8009" s="9" t="str">
        <v>ESRI</v>
      </c>
      <c r="F8009" s="7" t="str">
        <v>103974</v>
      </c>
      <c r="G8009" t="str">
        <v>ProjectedCrs</v>
      </c>
      <c r="H8009" t="str">
        <v>Transverse Mercator</v>
      </c>
      <c r="I8009" t="str">
        <v>Germany_Zone_3</v>
      </c>
      <c r="J8009" t="str">
        <v>Germany - former West Germany onshore between 7°30'E and 10°30'E - states of Baden-Wurtemberg, Bayern, Bremen, Hamberg, Hessen, Niedersachsen, Nordrhein-Westfalen, Rhineland-Pfalz, Schleswig-Holstein.</v>
      </c>
      <c r="K8009" s="11">
        <v>0</v>
      </c>
    </row>
    <row r="8010" spans="5:11" x14ac:dyDescent="0.35">
      <c r="E8010" s="9" t="str">
        <v>ESRI</v>
      </c>
      <c r="F8010" s="7" t="str">
        <v>103975</v>
      </c>
      <c r="G8010" t="str">
        <v>ProjectedCrs</v>
      </c>
      <c r="H8010" t="str">
        <v>Transverse Mercator</v>
      </c>
      <c r="I8010" t="str">
        <v>Germany_Zone_4</v>
      </c>
      <c r="J8010" t="str">
        <v>Germany - former West Germany onshore between 10°30'E and 13°30'E - states of Bayern, Berlin, Niedersachsen, Schleswig-Holstein.</v>
      </c>
      <c r="K8010" s="11">
        <v>0</v>
      </c>
    </row>
    <row r="8011" spans="5:11" x14ac:dyDescent="0.35">
      <c r="E8011" s="9" t="str">
        <v>ESRI</v>
      </c>
      <c r="F8011" s="7" t="str">
        <v>103976</v>
      </c>
      <c r="G8011" t="str">
        <v>ProjectedCrs</v>
      </c>
      <c r="H8011" t="str">
        <v>Transverse Mercator</v>
      </c>
      <c r="I8011" t="str">
        <v>Germany_Zone_5</v>
      </c>
      <c r="J8011" t="str">
        <v>Germany - former West Germany onshore east of 13°30'E - state of Bayern.</v>
      </c>
      <c r="K8011" s="11">
        <v>0</v>
      </c>
    </row>
    <row r="8012" spans="5:11" x14ac:dyDescent="0.35">
      <c r="E8012" s="9" t="str">
        <v>ESRI</v>
      </c>
      <c r="F8012" s="7" t="str">
        <v>103977</v>
      </c>
      <c r="G8012" t="str">
        <v>ProjectedCrs</v>
      </c>
      <c r="H8012" t="str">
        <v>Transverse Mercator</v>
      </c>
      <c r="I8012" t="str">
        <v>WGS_1984_UTM_GTM_2010</v>
      </c>
      <c r="J8012" t="str">
        <v>Gabon - onshore.</v>
      </c>
      <c r="K8012" s="11">
        <v>0</v>
      </c>
    </row>
    <row r="8013" spans="5:11" x14ac:dyDescent="0.35">
      <c r="E8013" s="9" t="str">
        <v>ESRI</v>
      </c>
      <c r="F8013" s="7" t="str">
        <v>103978</v>
      </c>
      <c r="G8013" t="str">
        <v>ProjectedCrs</v>
      </c>
      <c r="H8013" t="str">
        <v>Albers Equal Area</v>
      </c>
      <c r="I8013" t="str">
        <v>NAD_1983_WYDOT_Albers_(ftUS)</v>
      </c>
      <c r="J8013" t="str">
        <v>United States (USA) - Wyoming.</v>
      </c>
      <c r="K8013" s="11">
        <v>0</v>
      </c>
    </row>
    <row r="8014" spans="5:11" x14ac:dyDescent="0.35">
      <c r="E8014" s="9" t="str">
        <v>ESRI</v>
      </c>
      <c r="F8014" s="7" t="str">
        <v>103979</v>
      </c>
      <c r="G8014" t="str">
        <v>ProjectedCrs</v>
      </c>
      <c r="H8014" t="str">
        <v>Albers Equal Area</v>
      </c>
      <c r="I8014" t="str">
        <v>NAD_1983_WYDOT_Albers_(m)</v>
      </c>
      <c r="J8014" t="str">
        <v>United States (USA) - Wyoming.</v>
      </c>
      <c r="K8014" s="11">
        <v>0</v>
      </c>
    </row>
    <row r="8015" spans="5:11" x14ac:dyDescent="0.35">
      <c r="E8015" s="9" t="str">
        <v>ESRI</v>
      </c>
      <c r="F8015" s="7" t="str">
        <v>103980</v>
      </c>
      <c r="G8015" t="str">
        <v>ProjectedCrs</v>
      </c>
      <c r="H8015" t="str">
        <v>Albers Equal Area</v>
      </c>
      <c r="I8015" t="str">
        <v>NAD_1983_2011_WYDOT_Albers_(ftUS)</v>
      </c>
      <c r="J8015" t="str">
        <v>United States (USA) - Wyoming.</v>
      </c>
      <c r="K8015" s="11">
        <v>0</v>
      </c>
    </row>
    <row r="8016" spans="5:11" x14ac:dyDescent="0.35">
      <c r="E8016" s="9" t="str">
        <v>ESRI</v>
      </c>
      <c r="F8016" s="7" t="str">
        <v>103981</v>
      </c>
      <c r="G8016" t="str">
        <v>ProjectedCrs</v>
      </c>
      <c r="H8016" t="str">
        <v>Albers Equal Area</v>
      </c>
      <c r="I8016" t="str">
        <v>NAD_1983_2011_WYDOT_Albers_(m)</v>
      </c>
      <c r="J8016" t="str">
        <v>United States (USA) - Wyoming.</v>
      </c>
      <c r="K8016" s="11">
        <v>0</v>
      </c>
    </row>
    <row r="8017" spans="5:11" x14ac:dyDescent="0.35">
      <c r="E8017" s="9" t="str">
        <v>ESRI</v>
      </c>
      <c r="F8017" s="7" t="str">
        <v>104022</v>
      </c>
      <c r="G8017" t="str">
        <v>Geographic2DCrs</v>
      </c>
      <c r="H8017" t="str">
        <v>&lt;undefined&gt;</v>
      </c>
      <c r="I8017" t="str">
        <v>GGD</v>
      </c>
      <c r="J8017" t="str">
        <v>Georgia - onshore.</v>
      </c>
      <c r="K8017" s="11">
        <v>0</v>
      </c>
    </row>
    <row r="8018" spans="5:11" x14ac:dyDescent="0.35">
      <c r="E8018" s="9" t="str">
        <v>ESRI</v>
      </c>
      <c r="F8018" s="7" t="str">
        <v>104024</v>
      </c>
      <c r="G8018" t="str">
        <v>Geographic2DCrs</v>
      </c>
      <c r="H8018" t="str">
        <v>&lt;undefined&gt;</v>
      </c>
      <c r="I8018" t="str">
        <v>California_SRS_Epoch_2017.50_(NAD83)</v>
      </c>
      <c r="J8018" t="str">
        <v>USA - California and borders of NV, AZ, OR and MX</v>
      </c>
      <c r="K8018" s="11">
        <v>0</v>
      </c>
    </row>
    <row r="8019" spans="5:11" x14ac:dyDescent="0.35">
      <c r="E8019" s="9" t="str">
        <v>ESRI</v>
      </c>
      <c r="F8019" s="7" t="str">
        <v>104028</v>
      </c>
      <c r="G8019" t="str">
        <v>Geographic2DCrs</v>
      </c>
      <c r="H8019" t="str">
        <v>&lt;undefined&gt;</v>
      </c>
      <c r="I8019" t="str">
        <v>GDM2008</v>
      </c>
      <c r="J8019" t="str">
        <v>Mauritius - onshore and offshore. Includes Rodrigues, Agalega Islands, and Cargados Carajos.</v>
      </c>
      <c r="K8019" s="11">
        <v>0</v>
      </c>
    </row>
    <row r="8020" spans="5:11" x14ac:dyDescent="0.35">
      <c r="E8020" s="9" t="str">
        <v>ESRI</v>
      </c>
      <c r="F8020" s="7" t="str">
        <v>104047</v>
      </c>
      <c r="G8020" t="str">
        <v>Geographic2DCrs</v>
      </c>
      <c r="H8020" t="str">
        <v>&lt;undefined&gt;</v>
      </c>
      <c r="I8020" t="str">
        <v>GCS_Sphere_GRS_1980_Mean_Radius</v>
      </c>
      <c r="J8020" t="str">
        <v>Not specified.</v>
      </c>
      <c r="K8020" s="11">
        <v>0</v>
      </c>
    </row>
    <row r="8021" spans="5:11" x14ac:dyDescent="0.35">
      <c r="E8021" s="9" t="str">
        <v>ESRI</v>
      </c>
      <c r="F8021" s="7" t="str">
        <v>104050</v>
      </c>
      <c r="G8021" t="str">
        <v>Geographic2DCrs</v>
      </c>
      <c r="H8021" t="str">
        <v>&lt;undefined&gt;</v>
      </c>
      <c r="I8021" t="str">
        <v>GCS_Xrail84</v>
      </c>
      <c r="J8021" t="str">
        <v>UK - London</v>
      </c>
      <c r="K8021" s="11">
        <v>0</v>
      </c>
    </row>
    <row r="8022" spans="5:11" x14ac:dyDescent="0.35">
      <c r="E8022" s="9" t="str">
        <v>ESRI</v>
      </c>
      <c r="F8022" s="7" t="str">
        <v>104101</v>
      </c>
      <c r="G8022" t="str">
        <v>Geographic2DCrs</v>
      </c>
      <c r="H8022" t="str">
        <v>&lt;undefined&gt;</v>
      </c>
      <c r="I8022" t="str">
        <v>GCS_Estonia_1937</v>
      </c>
      <c r="J8022" t="str">
        <v>Estonia - onshore and offshore.</v>
      </c>
      <c r="K8022" s="11">
        <v>0</v>
      </c>
    </row>
    <row r="8023" spans="5:11" x14ac:dyDescent="0.35">
      <c r="E8023" s="9" t="str">
        <v>ESRI</v>
      </c>
      <c r="F8023" s="7" t="str">
        <v>104102</v>
      </c>
      <c r="G8023" t="str">
        <v>Geographic2DCrs</v>
      </c>
      <c r="H8023" t="str">
        <v>&lt;undefined&gt;</v>
      </c>
      <c r="I8023" t="str">
        <v>GCS_Hermannskogel</v>
      </c>
      <c r="J8023" t="str">
        <v>Austria. Bosnia and Herzegovina. Croatia - onshore. Kosovo. Montenegro - onshore. North Macedonia. Serbia. Slovenia - onshore.</v>
      </c>
      <c r="K8023" s="11">
        <v>0</v>
      </c>
    </row>
    <row r="8024" spans="5:11" x14ac:dyDescent="0.35">
      <c r="E8024" s="9" t="str">
        <v>ESRI</v>
      </c>
      <c r="F8024" s="7" t="str">
        <v>104103</v>
      </c>
      <c r="G8024" t="str">
        <v>Geographic2DCrs</v>
      </c>
      <c r="H8024" t="str">
        <v>&lt;undefined&gt;</v>
      </c>
      <c r="I8024" t="str">
        <v>GCS_Sierra_Leone_1960</v>
      </c>
      <c r="J8024" t="str">
        <v>Sierra Leone - onshore and offshore.</v>
      </c>
      <c r="K8024" s="11">
        <v>0</v>
      </c>
    </row>
    <row r="8025" spans="5:11" x14ac:dyDescent="0.35">
      <c r="E8025" s="9" t="str">
        <v>ESRI</v>
      </c>
      <c r="F8025" s="7" t="str">
        <v>104105</v>
      </c>
      <c r="G8025" t="str">
        <v>Geographic2DCrs</v>
      </c>
      <c r="H8025" t="str">
        <v>&lt;undefined&gt;</v>
      </c>
      <c r="I8025" t="str">
        <v>GCS_Datum_Lisboa_Bessel</v>
      </c>
      <c r="J8025" t="str">
        <v>Portugal - mainland, Azores and Madeira, onshore and offshore.</v>
      </c>
      <c r="K8025" s="11">
        <v>0</v>
      </c>
    </row>
    <row r="8026" spans="5:11" x14ac:dyDescent="0.35">
      <c r="E8026" s="9" t="str">
        <v>ESRI</v>
      </c>
      <c r="F8026" s="7" t="str">
        <v>104106</v>
      </c>
      <c r="G8026" t="str">
        <v>Geographic2DCrs</v>
      </c>
      <c r="H8026" t="str">
        <v>&lt;undefined&gt;</v>
      </c>
      <c r="I8026" t="str">
        <v>GCS_Datum_Lisboa_Hayford</v>
      </c>
      <c r="J8026" t="str">
        <v>Portugal - mainland, Azores and Madeira, onshore and offshore.</v>
      </c>
      <c r="K8026" s="11">
        <v>0</v>
      </c>
    </row>
    <row r="8027" spans="5:11" x14ac:dyDescent="0.35">
      <c r="E8027" s="9" t="str">
        <v>ESRI</v>
      </c>
      <c r="F8027" s="7" t="str">
        <v>104109</v>
      </c>
      <c r="G8027" t="str">
        <v>Geographic2DCrs</v>
      </c>
      <c r="H8027" t="str">
        <v>&lt;undefined&gt;</v>
      </c>
      <c r="I8027" t="str">
        <v>GCS_Pohnpei</v>
      </c>
      <c r="J8027" t="str">
        <v>Federated States of Micronesia - onshore and offshore. Includes Caroline Islands, Yap, Truk, Ponape, Kosrae.</v>
      </c>
      <c r="K8027" s="11">
        <v>0</v>
      </c>
    </row>
    <row r="8028" spans="5:11" x14ac:dyDescent="0.35">
      <c r="E8028" s="9" t="str">
        <v>ESRI</v>
      </c>
      <c r="F8028" s="7" t="str">
        <v>104112</v>
      </c>
      <c r="G8028" t="str">
        <v>Geographic2DCrs</v>
      </c>
      <c r="H8028" t="str">
        <v>&lt;undefined&gt;</v>
      </c>
      <c r="I8028" t="str">
        <v>GCS_Bab_South</v>
      </c>
      <c r="J8028" t="str">
        <v>Palau - onshore and offshore.</v>
      </c>
      <c r="K8028" s="11">
        <v>0</v>
      </c>
    </row>
    <row r="8029" spans="5:11" x14ac:dyDescent="0.35">
      <c r="E8029" s="9" t="str">
        <v>ESRI</v>
      </c>
      <c r="F8029" s="7" t="str">
        <v>104113</v>
      </c>
      <c r="G8029" t="str">
        <v>Geographic2DCrs</v>
      </c>
      <c r="H8029" t="str">
        <v>&lt;undefined&gt;</v>
      </c>
      <c r="I8029" t="str">
        <v>GCS_Majuro</v>
      </c>
      <c r="J8029" t="str">
        <v>Marshall Islands - onshore and offshore.</v>
      </c>
      <c r="K8029" s="11">
        <v>0</v>
      </c>
    </row>
    <row r="8030" spans="5:11" x14ac:dyDescent="0.35">
      <c r="E8030" s="9" t="str">
        <v>ESRI</v>
      </c>
      <c r="F8030" s="7" t="str">
        <v>104126</v>
      </c>
      <c r="G8030" t="str">
        <v>Geographic2DCrs</v>
      </c>
      <c r="H8030" t="str">
        <v>&lt;undefined&gt;</v>
      </c>
      <c r="I8030" t="str">
        <v>GCS_Observatorio_Meteorologico_1965</v>
      </c>
      <c r="J8030" t="str">
        <v>China - Macao - onshore and offshore.</v>
      </c>
      <c r="K8030" s="11">
        <v>0</v>
      </c>
    </row>
    <row r="8031" spans="5:11" x14ac:dyDescent="0.35">
      <c r="E8031" s="9" t="str">
        <v>ESRI</v>
      </c>
      <c r="F8031" s="7" t="str">
        <v>104127</v>
      </c>
      <c r="G8031" t="str">
        <v>Geographic2DCrs</v>
      </c>
      <c r="H8031" t="str">
        <v>&lt;undefined&gt;</v>
      </c>
      <c r="I8031" t="str">
        <v>GCS_Roma_1940</v>
      </c>
      <c r="J8031" t="str">
        <v>Italy - onshore and offshore; San Marino, Vatican City State.</v>
      </c>
      <c r="K8031" s="11">
        <v>0</v>
      </c>
    </row>
    <row r="8032" spans="5:11" x14ac:dyDescent="0.35">
      <c r="E8032" s="9" t="str">
        <v>ESRI</v>
      </c>
      <c r="F8032" s="7" t="str">
        <v>104128</v>
      </c>
      <c r="G8032" t="str">
        <v>Geographic2DCrs</v>
      </c>
      <c r="H8032" t="str">
        <v>&lt;undefined&gt;</v>
      </c>
      <c r="I8032" t="str">
        <v>GCS_Sphere_EMEP</v>
      </c>
      <c r="J8032" t="str">
        <v>Europe</v>
      </c>
      <c r="K8032" s="11">
        <v>0</v>
      </c>
    </row>
    <row r="8033" spans="5:11" x14ac:dyDescent="0.35">
      <c r="E8033" s="9" t="str">
        <v>ESRI</v>
      </c>
      <c r="F8033" s="7" t="str">
        <v>104129</v>
      </c>
      <c r="G8033" t="str">
        <v>Geographic2DCrs</v>
      </c>
      <c r="H8033" t="str">
        <v>&lt;undefined&gt;</v>
      </c>
      <c r="I8033" t="str">
        <v>GCS_EUREF_FIN</v>
      </c>
      <c r="J8033" t="str">
        <v>Finland - onshore and offshore.</v>
      </c>
      <c r="K8033" s="11">
        <v>0</v>
      </c>
    </row>
    <row r="8034" spans="5:11" x14ac:dyDescent="0.35">
      <c r="E8034" s="9" t="str">
        <v>ESRI</v>
      </c>
      <c r="F8034" s="7" t="str">
        <v>104130</v>
      </c>
      <c r="G8034" t="str">
        <v>Geographic2DCrs</v>
      </c>
      <c r="H8034" t="str">
        <v>&lt;undefined&gt;</v>
      </c>
      <c r="I8034" t="str">
        <v>GCS_Jordan</v>
      </c>
      <c r="J8034" t="str">
        <v>Jordan.</v>
      </c>
      <c r="K8034" s="11">
        <v>0</v>
      </c>
    </row>
    <row r="8035" spans="5:11" x14ac:dyDescent="0.35">
      <c r="E8035" s="9" t="str">
        <v>ESRI</v>
      </c>
      <c r="F8035" s="7" t="str">
        <v>104131</v>
      </c>
      <c r="G8035" t="str">
        <v>Geographic2DCrs</v>
      </c>
      <c r="H8035" t="str">
        <v>&lt;undefined&gt;</v>
      </c>
      <c r="I8035" t="str">
        <v>GCS_D48</v>
      </c>
      <c r="J8035" t="str">
        <v>Slovenia - onshore and offshore.</v>
      </c>
      <c r="K8035" s="11">
        <v>0</v>
      </c>
    </row>
    <row r="8036" spans="5:11" x14ac:dyDescent="0.35">
      <c r="E8036" s="9" t="str">
        <v>ESRI</v>
      </c>
      <c r="F8036" s="7" t="str">
        <v>104134</v>
      </c>
      <c r="G8036" t="str">
        <v>Geographic2DCrs</v>
      </c>
      <c r="H8036" t="str">
        <v>&lt;undefined&gt;</v>
      </c>
      <c r="I8036" t="str">
        <v>GCS_MONREF_1997</v>
      </c>
      <c r="J8036" t="str">
        <v>Mongolia.</v>
      </c>
      <c r="K8036" s="11">
        <v>0</v>
      </c>
    </row>
    <row r="8037" spans="5:11" x14ac:dyDescent="0.35">
      <c r="E8037" s="9" t="str">
        <v>ESRI</v>
      </c>
      <c r="F8037" s="7" t="str">
        <v>104135</v>
      </c>
      <c r="G8037" t="str">
        <v>Geographic2DCrs</v>
      </c>
      <c r="H8037" t="str">
        <v>&lt;undefined&gt;</v>
      </c>
      <c r="I8037" t="str">
        <v>GCS_MSK_1942</v>
      </c>
      <c r="J8037" t="str">
        <v>Mongolia.</v>
      </c>
      <c r="K8037" s="11">
        <v>0</v>
      </c>
    </row>
    <row r="8038" spans="5:11" x14ac:dyDescent="0.35">
      <c r="E8038" s="9" t="str">
        <v>ESRI</v>
      </c>
      <c r="F8038" s="7" t="str">
        <v>104138</v>
      </c>
      <c r="G8038" t="str">
        <v>Geographic2DCrs</v>
      </c>
      <c r="H8038" t="str">
        <v>&lt;undefined&gt;</v>
      </c>
      <c r="I8038" t="str">
        <v>GCS_Old_Hawaiian_Intl_1924</v>
      </c>
      <c r="J8038" t="str">
        <v>United States (USA) - Hawaii - main islands onshore.</v>
      </c>
      <c r="K8038" s="11">
        <v>0</v>
      </c>
    </row>
    <row r="8039" spans="5:11" x14ac:dyDescent="0.35">
      <c r="E8039" s="9" t="str">
        <v>ESRI</v>
      </c>
      <c r="F8039" s="7" t="str">
        <v>104139</v>
      </c>
      <c r="G8039" t="str">
        <v>Geographic2DCrs</v>
      </c>
      <c r="H8039" t="str">
        <v>&lt;undefined&gt;</v>
      </c>
      <c r="I8039" t="str">
        <v>GCS_Voirol_1875_Grad</v>
      </c>
      <c r="J8039" t="str">
        <v>Algeria - onshore north of 32°N.</v>
      </c>
      <c r="K8039" s="11">
        <v>0</v>
      </c>
    </row>
    <row r="8040" spans="5:11" x14ac:dyDescent="0.35">
      <c r="E8040" s="9" t="str">
        <v>ESRI</v>
      </c>
      <c r="F8040" s="7" t="str">
        <v>104140</v>
      </c>
      <c r="G8040" t="str">
        <v>Geographic2DCrs</v>
      </c>
      <c r="H8040" t="str">
        <v>&lt;undefined&gt;</v>
      </c>
      <c r="I8040" t="str">
        <v>GCS_Voirol_1879_Grad</v>
      </c>
      <c r="J8040" t="str">
        <v>Algeria - onshore north of 32°N.</v>
      </c>
      <c r="K8040" s="11">
        <v>0</v>
      </c>
    </row>
    <row r="8041" spans="5:11" x14ac:dyDescent="0.35">
      <c r="E8041" s="9" t="str">
        <v>ESRI</v>
      </c>
      <c r="F8041" s="7" t="str">
        <v>104602</v>
      </c>
      <c r="G8041" t="str">
        <v>Geographic3DCrs</v>
      </c>
      <c r="H8041" t="str">
        <v>&lt;undefined&gt;</v>
      </c>
      <c r="I8041" t="str">
        <v>North_American_1983_3D</v>
      </c>
      <c r="J8041" t="str">
        <v>North America - onshore and offshore: Canada - Alberta; British Columbia; Manitoba; New Brunswick; Newfoundland and Labrador; Northwest Territories; Nova Scotia; Nunavut; Ontario; Prince Edward Island; Quebec; Saskatchewan; Yukon. Puerto Rico. United States (USA) -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British Virgin Islands.</v>
      </c>
      <c r="K8041" s="11">
        <v>0</v>
      </c>
    </row>
    <row r="8042" spans="5:11" x14ac:dyDescent="0.35">
      <c r="E8042" s="9" t="str">
        <v>ESRI</v>
      </c>
      <c r="F8042" s="7" t="str">
        <v>104613</v>
      </c>
      <c r="G8042" t="str">
        <v>Geographic3DCrs</v>
      </c>
      <c r="H8042" t="str">
        <v>&lt;undefined&gt;</v>
      </c>
      <c r="I8042" t="str">
        <v>EUREF_FIN_3D</v>
      </c>
      <c r="J8042" t="str">
        <v>Finland - onshore and offshore.</v>
      </c>
      <c r="K8042" s="11">
        <v>0</v>
      </c>
    </row>
    <row r="8043" spans="5:11" x14ac:dyDescent="0.35">
      <c r="E8043" s="9" t="str">
        <v>ESRI</v>
      </c>
      <c r="F8043" s="7" t="str">
        <v>104644</v>
      </c>
      <c r="G8043" t="str">
        <v>Geographic3DCrs</v>
      </c>
      <c r="H8043" t="str">
        <v>&lt;undefined&gt;</v>
      </c>
      <c r="I8043" t="str">
        <v>California_SRS_Epoch_2017.50_(NAD83)_3D</v>
      </c>
      <c r="J8043" t="str">
        <v>USA - California and borders of NV, AZ, OR and MX</v>
      </c>
      <c r="K8043" s="11">
        <v>0</v>
      </c>
    </row>
    <row r="8044" spans="5:11" x14ac:dyDescent="0.35">
      <c r="E8044" s="9" t="str">
        <v>ESRI</v>
      </c>
      <c r="F8044" s="7" t="str">
        <v>104645</v>
      </c>
      <c r="G8044" t="str">
        <v>Geographic3DCrs</v>
      </c>
      <c r="H8044" t="str">
        <v>&lt;undefined&gt;</v>
      </c>
      <c r="I8044" t="str">
        <v>GGD_3D</v>
      </c>
      <c r="J8044" t="str">
        <v>Georgia - onshore.</v>
      </c>
      <c r="K8044" s="11">
        <v>0</v>
      </c>
    </row>
    <row r="8045" spans="5:11" x14ac:dyDescent="0.35">
      <c r="E8045" s="9" t="str">
        <v>ESRI</v>
      </c>
      <c r="F8045" s="7" t="str">
        <v>104646</v>
      </c>
      <c r="G8045" t="str">
        <v>Geographic2DCrs</v>
      </c>
      <c r="H8045" t="str">
        <v>&lt;undefined&gt;</v>
      </c>
      <c r="I8045" t="str">
        <v>GCS_PANAMA08_2011</v>
      </c>
      <c r="J8045" t="str">
        <v>Panama - onshore and offshore.</v>
      </c>
      <c r="K8045" s="11">
        <v>0</v>
      </c>
    </row>
    <row r="8046" spans="5:11" x14ac:dyDescent="0.35">
      <c r="E8046" s="9" t="str">
        <v>ESRI</v>
      </c>
      <c r="F8046" s="7" t="str">
        <v>104648</v>
      </c>
      <c r="G8046" t="str">
        <v>Geographic3DCrs</v>
      </c>
      <c r="H8046" t="str">
        <v>&lt;undefined&gt;</v>
      </c>
      <c r="I8046" t="str">
        <v>S-JTSK_[JTSK03]_3D</v>
      </c>
      <c r="J8046" t="str">
        <v>Slovakia.</v>
      </c>
      <c r="K8046" s="11">
        <v>0</v>
      </c>
    </row>
    <row r="8047" spans="5:11" x14ac:dyDescent="0.35">
      <c r="E8047" s="9" t="str">
        <v>ESRI</v>
      </c>
      <c r="F8047" s="7" t="str">
        <v>104653</v>
      </c>
      <c r="G8047" t="str">
        <v>Geographic3DCrs</v>
      </c>
      <c r="H8047" t="str">
        <v>&lt;undefined&gt;</v>
      </c>
      <c r="I8047" t="str">
        <v>MONREF_1997_3D</v>
      </c>
      <c r="J8047" t="str">
        <v>Mongolia.</v>
      </c>
      <c r="K8047" s="11">
        <v>0</v>
      </c>
    </row>
    <row r="8048" spans="5:11" x14ac:dyDescent="0.35">
      <c r="E8048" s="9" t="str">
        <v>ESRI</v>
      </c>
      <c r="F8048" s="7" t="str">
        <v>104664</v>
      </c>
      <c r="G8048" t="str">
        <v>Geographic3DCrs</v>
      </c>
      <c r="H8048" t="str">
        <v>&lt;undefined&gt;</v>
      </c>
      <c r="I8048" t="str">
        <v>Nepal_Nagarkot_3D</v>
      </c>
      <c r="J8048" t="str">
        <v>Nepal.</v>
      </c>
      <c r="K8048" s="11">
        <v>0</v>
      </c>
    </row>
    <row r="8049" spans="5:11" x14ac:dyDescent="0.35">
      <c r="E8049" s="9" t="str">
        <v>ESRI</v>
      </c>
      <c r="F8049" s="7" t="str">
        <v>104693</v>
      </c>
      <c r="G8049" t="str">
        <v>Geographic3DCrs</v>
      </c>
      <c r="H8049" t="str">
        <v>&lt;undefined&gt;</v>
      </c>
      <c r="I8049" t="str">
        <v>SLD99_3D</v>
      </c>
      <c r="J8049" t="str">
        <v>Sri Lanka - onshore.</v>
      </c>
      <c r="K8049" s="11">
        <v>0</v>
      </c>
    </row>
    <row r="8050" spans="5:11" x14ac:dyDescent="0.35">
      <c r="E8050" s="9" t="str">
        <v>ESRI</v>
      </c>
      <c r="F8050" s="7" t="str">
        <v>104696</v>
      </c>
      <c r="G8050" t="str">
        <v>Geographic3DCrs</v>
      </c>
      <c r="H8050" t="str">
        <v>&lt;undefined&gt;</v>
      </c>
      <c r="I8050" t="str">
        <v>S_JTSK/05_3D</v>
      </c>
      <c r="J8050" t="str">
        <v>Czechia.</v>
      </c>
      <c r="K8050" s="11">
        <v>0</v>
      </c>
    </row>
    <row r="8051" spans="5:11" x14ac:dyDescent="0.35">
      <c r="E8051" s="9" t="str">
        <v>ESRI</v>
      </c>
      <c r="F8051" s="7" t="str">
        <v>104697</v>
      </c>
      <c r="G8051" t="str">
        <v>Geographic3DCrs</v>
      </c>
      <c r="H8051" t="str">
        <v>&lt;undefined&gt;</v>
      </c>
      <c r="I8051" t="str">
        <v>S_JTSK/05_Ferro_3D</v>
      </c>
      <c r="J8051" t="str">
        <v>Czechia.</v>
      </c>
      <c r="K8051" s="11">
        <v>0</v>
      </c>
    </row>
    <row r="8052" spans="5:11" x14ac:dyDescent="0.35">
      <c r="E8052" s="9" t="str">
        <v>ESRI</v>
      </c>
      <c r="F8052" s="7" t="str">
        <v>104700</v>
      </c>
      <c r="G8052" t="str">
        <v>Geographic2DCrs</v>
      </c>
      <c r="H8052" t="str">
        <v>&lt;undefined&gt;</v>
      </c>
      <c r="I8052" t="str">
        <v>GCS_NAD_1983_HARN_Adj_MN_Anoka</v>
      </c>
      <c r="J8052" t="str">
        <v>United States (USA) - Minnesota.</v>
      </c>
      <c r="K8052" s="11">
        <v>0</v>
      </c>
    </row>
    <row r="8053" spans="5:11" x14ac:dyDescent="0.35">
      <c r="E8053" s="9" t="str">
        <v>ESRI</v>
      </c>
      <c r="F8053" s="7" t="str">
        <v>104701</v>
      </c>
      <c r="G8053" t="str">
        <v>Geographic2DCrs</v>
      </c>
      <c r="H8053" t="str">
        <v>&lt;undefined&gt;</v>
      </c>
      <c r="I8053" t="str">
        <v>GCS_NAD_1983_HARN_Adj_MN_Becker</v>
      </c>
      <c r="J8053" t="str">
        <v>United States (USA) - Minnesota.</v>
      </c>
      <c r="K8053" s="11">
        <v>0</v>
      </c>
    </row>
    <row r="8054" spans="5:11" x14ac:dyDescent="0.35">
      <c r="E8054" s="9" t="str">
        <v>ESRI</v>
      </c>
      <c r="F8054" s="7" t="str">
        <v>104702</v>
      </c>
      <c r="G8054" t="str">
        <v>Geographic2DCrs</v>
      </c>
      <c r="H8054" t="str">
        <v>&lt;undefined&gt;</v>
      </c>
      <c r="I8054" t="str">
        <v>GCS_NAD_1983_HARN_Adj_MN_Beltrami_North</v>
      </c>
      <c r="J8054" t="str">
        <v>United States (USA) - Minnesota.</v>
      </c>
      <c r="K8054" s="11">
        <v>0</v>
      </c>
    </row>
    <row r="8055" spans="5:11" x14ac:dyDescent="0.35">
      <c r="E8055" s="9" t="str">
        <v>ESRI</v>
      </c>
      <c r="F8055" s="7" t="str">
        <v>104703</v>
      </c>
      <c r="G8055" t="str">
        <v>Geographic2DCrs</v>
      </c>
      <c r="H8055" t="str">
        <v>&lt;undefined&gt;</v>
      </c>
      <c r="I8055" t="str">
        <v>GCS_NAD_1983_HARN_Adj_MN_Beltrami_South</v>
      </c>
      <c r="J8055" t="str">
        <v>United States (USA) - Minnesota.</v>
      </c>
      <c r="K8055" s="11">
        <v>0</v>
      </c>
    </row>
    <row r="8056" spans="5:11" x14ac:dyDescent="0.35">
      <c r="E8056" s="9" t="str">
        <v>ESRI</v>
      </c>
      <c r="F8056" s="7" t="str">
        <v>104704</v>
      </c>
      <c r="G8056" t="str">
        <v>Geographic2DCrs</v>
      </c>
      <c r="H8056" t="str">
        <v>&lt;undefined&gt;</v>
      </c>
      <c r="I8056" t="str">
        <v>GCS_NAD_1983_HARN_Adj_MN_Benton</v>
      </c>
      <c r="J8056" t="str">
        <v>United States (USA) - Minnesota.</v>
      </c>
      <c r="K8056" s="11">
        <v>0</v>
      </c>
    </row>
    <row r="8057" spans="5:11" x14ac:dyDescent="0.35">
      <c r="E8057" s="9" t="str">
        <v>ESRI</v>
      </c>
      <c r="F8057" s="7" t="str">
        <v>104705</v>
      </c>
      <c r="G8057" t="str">
        <v>Geographic2DCrs</v>
      </c>
      <c r="H8057" t="str">
        <v>&lt;undefined&gt;</v>
      </c>
      <c r="I8057" t="str">
        <v>GCS_NAD_1983_HARN_Adj_MN_Big_Stone</v>
      </c>
      <c r="J8057" t="str">
        <v>United States (USA) - Minnesota.</v>
      </c>
      <c r="K8057" s="11">
        <v>0</v>
      </c>
    </row>
    <row r="8058" spans="5:11" x14ac:dyDescent="0.35">
      <c r="E8058" s="9" t="str">
        <v>ESRI</v>
      </c>
      <c r="F8058" s="7" t="str">
        <v>104706</v>
      </c>
      <c r="G8058" t="str">
        <v>Geographic2DCrs</v>
      </c>
      <c r="H8058" t="str">
        <v>&lt;undefined&gt;</v>
      </c>
      <c r="I8058" t="str">
        <v>GCS_NAD_1983_HARN_Adj_MN_Blue_Earth</v>
      </c>
      <c r="J8058" t="str">
        <v>United States (USA) - Minnesota.</v>
      </c>
      <c r="K8058" s="11">
        <v>0</v>
      </c>
    </row>
    <row r="8059" spans="5:11" x14ac:dyDescent="0.35">
      <c r="E8059" s="9" t="str">
        <v>ESRI</v>
      </c>
      <c r="F8059" s="7" t="str">
        <v>104707</v>
      </c>
      <c r="G8059" t="str">
        <v>Geographic2DCrs</v>
      </c>
      <c r="H8059" t="str">
        <v>&lt;undefined&gt;</v>
      </c>
      <c r="I8059" t="str">
        <v>GCS_NAD_1983_HARN_Adj_MN_Brown</v>
      </c>
      <c r="J8059" t="str">
        <v>United States (USA) - Minnesota.</v>
      </c>
      <c r="K8059" s="11">
        <v>0</v>
      </c>
    </row>
    <row r="8060" spans="5:11" x14ac:dyDescent="0.35">
      <c r="E8060" s="9" t="str">
        <v>ESRI</v>
      </c>
      <c r="F8060" s="7" t="str">
        <v>104708</v>
      </c>
      <c r="G8060" t="str">
        <v>Geographic2DCrs</v>
      </c>
      <c r="H8060" t="str">
        <v>&lt;undefined&gt;</v>
      </c>
      <c r="I8060" t="str">
        <v>GCS_NAD_1983_HARN_Adj_MN_Carlton</v>
      </c>
      <c r="J8060" t="str">
        <v>United States (USA) - Minnesota.</v>
      </c>
      <c r="K8060" s="11">
        <v>0</v>
      </c>
    </row>
    <row r="8061" spans="5:11" x14ac:dyDescent="0.35">
      <c r="E8061" s="9" t="str">
        <v>ESRI</v>
      </c>
      <c r="F8061" s="7" t="str">
        <v>104709</v>
      </c>
      <c r="G8061" t="str">
        <v>Geographic2DCrs</v>
      </c>
      <c r="H8061" t="str">
        <v>&lt;undefined&gt;</v>
      </c>
      <c r="I8061" t="str">
        <v>GCS_NAD_1983_HARN_Adj_MN_Carver</v>
      </c>
      <c r="J8061" t="str">
        <v>United States (USA) - Minnesota.</v>
      </c>
      <c r="K8061" s="11">
        <v>0</v>
      </c>
    </row>
    <row r="8062" spans="5:11" x14ac:dyDescent="0.35">
      <c r="E8062" s="9" t="str">
        <v>ESRI</v>
      </c>
      <c r="F8062" s="7" t="str">
        <v>104710</v>
      </c>
      <c r="G8062" t="str">
        <v>Geographic2DCrs</v>
      </c>
      <c r="H8062" t="str">
        <v>&lt;undefined&gt;</v>
      </c>
      <c r="I8062" t="str">
        <v>GCS_NAD_1983_HARN_Adj_MN_Cass_North</v>
      </c>
      <c r="J8062" t="str">
        <v>United States (USA) - Minnesota.</v>
      </c>
      <c r="K8062" s="11">
        <v>0</v>
      </c>
    </row>
    <row r="8063" spans="5:11" x14ac:dyDescent="0.35">
      <c r="E8063" s="9" t="str">
        <v>ESRI</v>
      </c>
      <c r="F8063" s="7" t="str">
        <v>104711</v>
      </c>
      <c r="G8063" t="str">
        <v>Geographic2DCrs</v>
      </c>
      <c r="H8063" t="str">
        <v>&lt;undefined&gt;</v>
      </c>
      <c r="I8063" t="str">
        <v>GCS_NAD_1983_HARN_Adj_MN_Cass_South</v>
      </c>
      <c r="J8063" t="str">
        <v>United States (USA) - Minnesota.</v>
      </c>
      <c r="K8063" s="11">
        <v>0</v>
      </c>
    </row>
    <row r="8064" spans="5:11" x14ac:dyDescent="0.35">
      <c r="E8064" s="9" t="str">
        <v>ESRI</v>
      </c>
      <c r="F8064" s="7" t="str">
        <v>104712</v>
      </c>
      <c r="G8064" t="str">
        <v>Geographic2DCrs</v>
      </c>
      <c r="H8064" t="str">
        <v>&lt;undefined&gt;</v>
      </c>
      <c r="I8064" t="str">
        <v>GCS_NAD_1983_HARN_Adj_MN_Chippewa</v>
      </c>
      <c r="J8064" t="str">
        <v>United States (USA) - Minnesota.</v>
      </c>
      <c r="K8064" s="11">
        <v>0</v>
      </c>
    </row>
    <row r="8065" spans="5:11" x14ac:dyDescent="0.35">
      <c r="E8065" s="9" t="str">
        <v>ESRI</v>
      </c>
      <c r="F8065" s="7" t="str">
        <v>104713</v>
      </c>
      <c r="G8065" t="str">
        <v>Geographic2DCrs</v>
      </c>
      <c r="H8065" t="str">
        <v>&lt;undefined&gt;</v>
      </c>
      <c r="I8065" t="str">
        <v>GCS_NAD_1983_HARN_Adj_MN_Chisago</v>
      </c>
      <c r="J8065" t="str">
        <v>United States (USA) - Minnesota.</v>
      </c>
      <c r="K8065" s="11">
        <v>0</v>
      </c>
    </row>
    <row r="8066" spans="5:11" x14ac:dyDescent="0.35">
      <c r="E8066" s="9" t="str">
        <v>ESRI</v>
      </c>
      <c r="F8066" s="7" t="str">
        <v>104714</v>
      </c>
      <c r="G8066" t="str">
        <v>Geographic2DCrs</v>
      </c>
      <c r="H8066" t="str">
        <v>&lt;undefined&gt;</v>
      </c>
      <c r="I8066" t="str">
        <v>GCS_NAD_1983_HARN_Adj_MN_Cook_North</v>
      </c>
      <c r="J8066" t="str">
        <v>United States (USA) - Minnesota.</v>
      </c>
      <c r="K8066" s="11">
        <v>0</v>
      </c>
    </row>
    <row r="8067" spans="5:11" x14ac:dyDescent="0.35">
      <c r="E8067" s="9" t="str">
        <v>ESRI</v>
      </c>
      <c r="F8067" s="7" t="str">
        <v>104715</v>
      </c>
      <c r="G8067" t="str">
        <v>Geographic2DCrs</v>
      </c>
      <c r="H8067" t="str">
        <v>&lt;undefined&gt;</v>
      </c>
      <c r="I8067" t="str">
        <v>GCS_NAD_1983_HARN_Adj_MN_Cook_South</v>
      </c>
      <c r="J8067" t="str">
        <v>United States (USA) - Minnesota.</v>
      </c>
      <c r="K8067" s="11">
        <v>0</v>
      </c>
    </row>
    <row r="8068" spans="5:11" x14ac:dyDescent="0.35">
      <c r="E8068" s="9" t="str">
        <v>ESRI</v>
      </c>
      <c r="F8068" s="7" t="str">
        <v>104716</v>
      </c>
      <c r="G8068" t="str">
        <v>Geographic2DCrs</v>
      </c>
      <c r="H8068" t="str">
        <v>&lt;undefined&gt;</v>
      </c>
      <c r="I8068" t="str">
        <v>GCS_NAD_1983_HARN_Adj_MN_Cottonwood</v>
      </c>
      <c r="J8068" t="str">
        <v>United States (USA) - Minnesota.</v>
      </c>
      <c r="K8068" s="11">
        <v>0</v>
      </c>
    </row>
    <row r="8069" spans="5:11" x14ac:dyDescent="0.35">
      <c r="E8069" s="9" t="str">
        <v>ESRI</v>
      </c>
      <c r="F8069" s="7" t="str">
        <v>104717</v>
      </c>
      <c r="G8069" t="str">
        <v>Geographic2DCrs</v>
      </c>
      <c r="H8069" t="str">
        <v>&lt;undefined&gt;</v>
      </c>
      <c r="I8069" t="str">
        <v>GCS_NAD_1983_HARN_Adj_MN_Crow_Wing</v>
      </c>
      <c r="J8069" t="str">
        <v>United States (USA) - Minnesota.</v>
      </c>
      <c r="K8069" s="11">
        <v>0</v>
      </c>
    </row>
    <row r="8070" spans="5:11" x14ac:dyDescent="0.35">
      <c r="E8070" s="9" t="str">
        <v>ESRI</v>
      </c>
      <c r="F8070" s="7" t="str">
        <v>104718</v>
      </c>
      <c r="G8070" t="str">
        <v>Geographic2DCrs</v>
      </c>
      <c r="H8070" t="str">
        <v>&lt;undefined&gt;</v>
      </c>
      <c r="I8070" t="str">
        <v>GCS_NAD_1983_HARN_Adj_MN_Dakota</v>
      </c>
      <c r="J8070" t="str">
        <v>United States (USA) - Minnesota.</v>
      </c>
      <c r="K8070" s="11">
        <v>0</v>
      </c>
    </row>
    <row r="8071" spans="5:11" x14ac:dyDescent="0.35">
      <c r="E8071" s="9" t="str">
        <v>ESRI</v>
      </c>
      <c r="F8071" s="7" t="str">
        <v>104719</v>
      </c>
      <c r="G8071" t="str">
        <v>Geographic2DCrs</v>
      </c>
      <c r="H8071" t="str">
        <v>&lt;undefined&gt;</v>
      </c>
      <c r="I8071" t="str">
        <v>GCS_NAD_1983_HARN_Adj_MN_Dodge</v>
      </c>
      <c r="J8071" t="str">
        <v>United States (USA) - Minnesota.</v>
      </c>
      <c r="K8071" s="11">
        <v>0</v>
      </c>
    </row>
    <row r="8072" spans="5:11" x14ac:dyDescent="0.35">
      <c r="E8072" s="9" t="str">
        <v>ESRI</v>
      </c>
      <c r="F8072" s="7" t="str">
        <v>104720</v>
      </c>
      <c r="G8072" t="str">
        <v>Geographic2DCrs</v>
      </c>
      <c r="H8072" t="str">
        <v>&lt;undefined&gt;</v>
      </c>
      <c r="I8072" t="str">
        <v>GCS_NAD_1983_HARN_Adj_MN_Douglas</v>
      </c>
      <c r="J8072" t="str">
        <v>United States (USA) - Minnesota.</v>
      </c>
      <c r="K8072" s="11">
        <v>0</v>
      </c>
    </row>
    <row r="8073" spans="5:11" x14ac:dyDescent="0.35">
      <c r="E8073" s="9" t="str">
        <v>ESRI</v>
      </c>
      <c r="F8073" s="7" t="str">
        <v>104721</v>
      </c>
      <c r="G8073" t="str">
        <v>Geographic2DCrs</v>
      </c>
      <c r="H8073" t="str">
        <v>&lt;undefined&gt;</v>
      </c>
      <c r="I8073" t="str">
        <v>GCS_NAD_1983_HARN_Adj_MN_Faribault</v>
      </c>
      <c r="J8073" t="str">
        <v>United States (USA) - Minnesota.</v>
      </c>
      <c r="K8073" s="11">
        <v>0</v>
      </c>
    </row>
    <row r="8074" spans="5:11" x14ac:dyDescent="0.35">
      <c r="E8074" s="9" t="str">
        <v>ESRI</v>
      </c>
      <c r="F8074" s="7" t="str">
        <v>104722</v>
      </c>
      <c r="G8074" t="str">
        <v>Geographic2DCrs</v>
      </c>
      <c r="H8074" t="str">
        <v>&lt;undefined&gt;</v>
      </c>
      <c r="I8074" t="str">
        <v>GCS_NAD_1983_HARN_Adj_MN_Fillmore</v>
      </c>
      <c r="J8074" t="str">
        <v>United States (USA) - Minnesota.</v>
      </c>
      <c r="K8074" s="11">
        <v>0</v>
      </c>
    </row>
    <row r="8075" spans="5:11" x14ac:dyDescent="0.35">
      <c r="E8075" s="9" t="str">
        <v>ESRI</v>
      </c>
      <c r="F8075" s="7" t="str">
        <v>104723</v>
      </c>
      <c r="G8075" t="str">
        <v>Geographic2DCrs</v>
      </c>
      <c r="H8075" t="str">
        <v>&lt;undefined&gt;</v>
      </c>
      <c r="I8075" t="str">
        <v>GCS_NAD_1983_HARN_Adj_MN_Freeborn</v>
      </c>
      <c r="J8075" t="str">
        <v>United States (USA) - Minnesota.</v>
      </c>
      <c r="K8075" s="11">
        <v>0</v>
      </c>
    </row>
    <row r="8076" spans="5:11" x14ac:dyDescent="0.35">
      <c r="E8076" s="9" t="str">
        <v>ESRI</v>
      </c>
      <c r="F8076" s="7" t="str">
        <v>104724</v>
      </c>
      <c r="G8076" t="str">
        <v>Geographic2DCrs</v>
      </c>
      <c r="H8076" t="str">
        <v>&lt;undefined&gt;</v>
      </c>
      <c r="I8076" t="str">
        <v>GCS_NAD_1983_HARN_Adj_MN_Goodhue</v>
      </c>
      <c r="J8076" t="str">
        <v>United States (USA) - Minnesota.</v>
      </c>
      <c r="K8076" s="11">
        <v>0</v>
      </c>
    </row>
    <row r="8077" spans="5:11" x14ac:dyDescent="0.35">
      <c r="E8077" s="9" t="str">
        <v>ESRI</v>
      </c>
      <c r="F8077" s="7" t="str">
        <v>104725</v>
      </c>
      <c r="G8077" t="str">
        <v>Geographic2DCrs</v>
      </c>
      <c r="H8077" t="str">
        <v>&lt;undefined&gt;</v>
      </c>
      <c r="I8077" t="str">
        <v>GCS_NAD_1983_HARN_Adj_MN_Grant</v>
      </c>
      <c r="J8077" t="str">
        <v>United States (USA) - Minnesota.</v>
      </c>
      <c r="K8077" s="11">
        <v>0</v>
      </c>
    </row>
    <row r="8078" spans="5:11" x14ac:dyDescent="0.35">
      <c r="E8078" s="9" t="str">
        <v>ESRI</v>
      </c>
      <c r="F8078" s="7" t="str">
        <v>104726</v>
      </c>
      <c r="G8078" t="str">
        <v>Geographic2DCrs</v>
      </c>
      <c r="H8078" t="str">
        <v>&lt;undefined&gt;</v>
      </c>
      <c r="I8078" t="str">
        <v>GCS_NAD_1983_HARN_Adj_MN_Hennepin</v>
      </c>
      <c r="J8078" t="str">
        <v>United States (USA) - Minnesota.</v>
      </c>
      <c r="K8078" s="11">
        <v>0</v>
      </c>
    </row>
    <row r="8079" spans="5:11" x14ac:dyDescent="0.35">
      <c r="E8079" s="9" t="str">
        <v>ESRI</v>
      </c>
      <c r="F8079" s="7" t="str">
        <v>104727</v>
      </c>
      <c r="G8079" t="str">
        <v>Geographic2DCrs</v>
      </c>
      <c r="H8079" t="str">
        <v>&lt;undefined&gt;</v>
      </c>
      <c r="I8079" t="str">
        <v>GCS_NAD_1983_HARN_Adj_MN_Houston</v>
      </c>
      <c r="J8079" t="str">
        <v>United States (USA) - Minnesota.</v>
      </c>
      <c r="K8079" s="11">
        <v>0</v>
      </c>
    </row>
    <row r="8080" spans="5:11" x14ac:dyDescent="0.35">
      <c r="E8080" s="9" t="str">
        <v>ESRI</v>
      </c>
      <c r="F8080" s="7" t="str">
        <v>104728</v>
      </c>
      <c r="G8080" t="str">
        <v>Geographic2DCrs</v>
      </c>
      <c r="H8080" t="str">
        <v>&lt;undefined&gt;</v>
      </c>
      <c r="I8080" t="str">
        <v>GCS_NAD_1983_HARN_Adj_MN_Isanti</v>
      </c>
      <c r="J8080" t="str">
        <v>United States (USA) - Minnesota.</v>
      </c>
      <c r="K8080" s="11">
        <v>0</v>
      </c>
    </row>
    <row r="8081" spans="5:11" x14ac:dyDescent="0.35">
      <c r="E8081" s="9" t="str">
        <v>ESRI</v>
      </c>
      <c r="F8081" s="7" t="str">
        <v>104729</v>
      </c>
      <c r="G8081" t="str">
        <v>Geographic2DCrs</v>
      </c>
      <c r="H8081" t="str">
        <v>&lt;undefined&gt;</v>
      </c>
      <c r="I8081" t="str">
        <v>GCS_NAD_1983_HARN_Adj_MN_Itasca_North</v>
      </c>
      <c r="J8081" t="str">
        <v>United States (USA) - Minnesota.</v>
      </c>
      <c r="K8081" s="11">
        <v>0</v>
      </c>
    </row>
    <row r="8082" spans="5:11" x14ac:dyDescent="0.35">
      <c r="E8082" s="9" t="str">
        <v>ESRI</v>
      </c>
      <c r="F8082" s="7" t="str">
        <v>104730</v>
      </c>
      <c r="G8082" t="str">
        <v>Geographic2DCrs</v>
      </c>
      <c r="H8082" t="str">
        <v>&lt;undefined&gt;</v>
      </c>
      <c r="I8082" t="str">
        <v>GCS_NAD_1983_HARN_Adj_MN_Itasca_South</v>
      </c>
      <c r="J8082" t="str">
        <v>United States (USA) - Minnesota.</v>
      </c>
      <c r="K8082" s="11">
        <v>0</v>
      </c>
    </row>
    <row r="8083" spans="5:11" x14ac:dyDescent="0.35">
      <c r="E8083" s="9" t="str">
        <v>ESRI</v>
      </c>
      <c r="F8083" s="7" t="str">
        <v>104731</v>
      </c>
      <c r="G8083" t="str">
        <v>Geographic2DCrs</v>
      </c>
      <c r="H8083" t="str">
        <v>&lt;undefined&gt;</v>
      </c>
      <c r="I8083" t="str">
        <v>GCS_NAD_1983_HARN_Adj_MN_Jackson</v>
      </c>
      <c r="J8083" t="str">
        <v>United States (USA) - Minnesota.</v>
      </c>
      <c r="K8083" s="11">
        <v>0</v>
      </c>
    </row>
    <row r="8084" spans="5:11" x14ac:dyDescent="0.35">
      <c r="E8084" s="9" t="str">
        <v>ESRI</v>
      </c>
      <c r="F8084" s="7" t="str">
        <v>104732</v>
      </c>
      <c r="G8084" t="str">
        <v>Geographic2DCrs</v>
      </c>
      <c r="H8084" t="str">
        <v>&lt;undefined&gt;</v>
      </c>
      <c r="I8084" t="str">
        <v>GCS_NAD_1983_HARN_Adj_MN_Kanabec</v>
      </c>
      <c r="J8084" t="str">
        <v>United States (USA) - Minnesota.</v>
      </c>
      <c r="K8084" s="11">
        <v>0</v>
      </c>
    </row>
    <row r="8085" spans="5:11" x14ac:dyDescent="0.35">
      <c r="E8085" s="9" t="str">
        <v>ESRI</v>
      </c>
      <c r="F8085" s="7" t="str">
        <v>104733</v>
      </c>
      <c r="G8085" t="str">
        <v>Geographic2DCrs</v>
      </c>
      <c r="H8085" t="str">
        <v>&lt;undefined&gt;</v>
      </c>
      <c r="I8085" t="str">
        <v>GCS_NAD_1983_HARN_Adj_MN_Kandiyohi</v>
      </c>
      <c r="J8085" t="str">
        <v>United States (USA) - Minnesota.</v>
      </c>
      <c r="K8085" s="11">
        <v>0</v>
      </c>
    </row>
    <row r="8086" spans="5:11" x14ac:dyDescent="0.35">
      <c r="E8086" s="9" t="str">
        <v>ESRI</v>
      </c>
      <c r="F8086" s="7" t="str">
        <v>104734</v>
      </c>
      <c r="G8086" t="str">
        <v>Geographic2DCrs</v>
      </c>
      <c r="H8086" t="str">
        <v>&lt;undefined&gt;</v>
      </c>
      <c r="I8086" t="str">
        <v>GCS_NAD_1983_HARN_Adj_MN_Kittson</v>
      </c>
      <c r="J8086" t="str">
        <v>United States (USA) - Minnesota.</v>
      </c>
      <c r="K8086" s="11">
        <v>0</v>
      </c>
    </row>
    <row r="8087" spans="5:11" x14ac:dyDescent="0.35">
      <c r="E8087" s="9" t="str">
        <v>ESRI</v>
      </c>
      <c r="F8087" s="7" t="str">
        <v>104735</v>
      </c>
      <c r="G8087" t="str">
        <v>Geographic2DCrs</v>
      </c>
      <c r="H8087" t="str">
        <v>&lt;undefined&gt;</v>
      </c>
      <c r="I8087" t="str">
        <v>GCS_NAD_1983_HARN_Adj_MN_Koochiching</v>
      </c>
      <c r="J8087" t="str">
        <v>United States (USA) - Minnesota.</v>
      </c>
      <c r="K8087" s="11">
        <v>0</v>
      </c>
    </row>
    <row r="8088" spans="5:11" x14ac:dyDescent="0.35">
      <c r="E8088" s="9" t="str">
        <v>ESRI</v>
      </c>
      <c r="F8088" s="7" t="str">
        <v>104736</v>
      </c>
      <c r="G8088" t="str">
        <v>Geographic2DCrs</v>
      </c>
      <c r="H8088" t="str">
        <v>&lt;undefined&gt;</v>
      </c>
      <c r="I8088" t="str">
        <v>GCS_NAD_1983_HARN_Adj_MN_Lac_Qui_Parle</v>
      </c>
      <c r="J8088" t="str">
        <v>United States (USA) - Minnesota.</v>
      </c>
      <c r="K8088" s="11">
        <v>0</v>
      </c>
    </row>
    <row r="8089" spans="5:11" x14ac:dyDescent="0.35">
      <c r="E8089" s="9" t="str">
        <v>ESRI</v>
      </c>
      <c r="F8089" s="7" t="str">
        <v>104737</v>
      </c>
      <c r="G8089" t="str">
        <v>Geographic2DCrs</v>
      </c>
      <c r="H8089" t="str">
        <v>&lt;undefined&gt;</v>
      </c>
      <c r="I8089" t="str">
        <v>GCS_NAD_1983_HARN_Adj_MN_Lake_of_the_Woods_North</v>
      </c>
      <c r="J8089" t="str">
        <v>United States (USA) - Minnesota.</v>
      </c>
      <c r="K8089" s="11">
        <v>0</v>
      </c>
    </row>
    <row r="8090" spans="5:11" x14ac:dyDescent="0.35">
      <c r="E8090" s="9" t="str">
        <v>ESRI</v>
      </c>
      <c r="F8090" s="7" t="str">
        <v>104738</v>
      </c>
      <c r="G8090" t="str">
        <v>Geographic2DCrs</v>
      </c>
      <c r="H8090" t="str">
        <v>&lt;undefined&gt;</v>
      </c>
      <c r="I8090" t="str">
        <v>GCS_NAD_1983_HARN_Adj_MN_Lake_of_the_Woods_South</v>
      </c>
      <c r="J8090" t="str">
        <v>United States (USA) - Minnesota.</v>
      </c>
      <c r="K8090" s="11">
        <v>0</v>
      </c>
    </row>
    <row r="8091" spans="5:11" x14ac:dyDescent="0.35">
      <c r="E8091" s="9" t="str">
        <v>ESRI</v>
      </c>
      <c r="F8091" s="7" t="str">
        <v>104739</v>
      </c>
      <c r="G8091" t="str">
        <v>Geographic2DCrs</v>
      </c>
      <c r="H8091" t="str">
        <v>&lt;undefined&gt;</v>
      </c>
      <c r="I8091" t="str">
        <v>GCS_NAD_1983_HARN_Adj_MN_Le_Sueur</v>
      </c>
      <c r="J8091" t="str">
        <v>United States (USA) - Minnesota.</v>
      </c>
      <c r="K8091" s="11">
        <v>0</v>
      </c>
    </row>
    <row r="8092" spans="5:11" x14ac:dyDescent="0.35">
      <c r="E8092" s="9" t="str">
        <v>ESRI</v>
      </c>
      <c r="F8092" s="7" t="str">
        <v>104740</v>
      </c>
      <c r="G8092" t="str">
        <v>Geographic2DCrs</v>
      </c>
      <c r="H8092" t="str">
        <v>&lt;undefined&gt;</v>
      </c>
      <c r="I8092" t="str">
        <v>GCS_NAD_1983_HARN_Adj_MN_Lincoln</v>
      </c>
      <c r="J8092" t="str">
        <v>United States (USA) - Minnesota.</v>
      </c>
      <c r="K8092" s="11">
        <v>0</v>
      </c>
    </row>
    <row r="8093" spans="5:11" x14ac:dyDescent="0.35">
      <c r="E8093" s="9" t="str">
        <v>ESRI</v>
      </c>
      <c r="F8093" s="7" t="str">
        <v>104741</v>
      </c>
      <c r="G8093" t="str">
        <v>Geographic2DCrs</v>
      </c>
      <c r="H8093" t="str">
        <v>&lt;undefined&gt;</v>
      </c>
      <c r="I8093" t="str">
        <v>GCS_NAD_1983_HARN_Adj_MN_Lyon</v>
      </c>
      <c r="J8093" t="str">
        <v>United States (USA) - Minnesota.</v>
      </c>
      <c r="K8093" s="11">
        <v>0</v>
      </c>
    </row>
    <row r="8094" spans="5:11" x14ac:dyDescent="0.35">
      <c r="E8094" s="9" t="str">
        <v>ESRI</v>
      </c>
      <c r="F8094" s="7" t="str">
        <v>104742</v>
      </c>
      <c r="G8094" t="str">
        <v>Geographic2DCrs</v>
      </c>
      <c r="H8094" t="str">
        <v>&lt;undefined&gt;</v>
      </c>
      <c r="I8094" t="str">
        <v>GCS_NAD_1983_HARN_Adj_MN_McLeod</v>
      </c>
      <c r="J8094" t="str">
        <v>United States (USA) - Minnesota.</v>
      </c>
      <c r="K8094" s="11">
        <v>0</v>
      </c>
    </row>
    <row r="8095" spans="5:11" x14ac:dyDescent="0.35">
      <c r="E8095" s="9" t="str">
        <v>ESRI</v>
      </c>
      <c r="F8095" s="7" t="str">
        <v>104743</v>
      </c>
      <c r="G8095" t="str">
        <v>Geographic2DCrs</v>
      </c>
      <c r="H8095" t="str">
        <v>&lt;undefined&gt;</v>
      </c>
      <c r="I8095" t="str">
        <v>GCS_NAD_1983_HARN_Adj_MN_Mahnomen</v>
      </c>
      <c r="J8095" t="str">
        <v>United States (USA) - Minnesota.</v>
      </c>
      <c r="K8095" s="11">
        <v>0</v>
      </c>
    </row>
    <row r="8096" spans="5:11" x14ac:dyDescent="0.35">
      <c r="E8096" s="9" t="str">
        <v>ESRI</v>
      </c>
      <c r="F8096" s="7" t="str">
        <v>104744</v>
      </c>
      <c r="G8096" t="str">
        <v>Geographic2DCrs</v>
      </c>
      <c r="H8096" t="str">
        <v>&lt;undefined&gt;</v>
      </c>
      <c r="I8096" t="str">
        <v>GCS_NAD_1983_HARN_Adj_MN_Marshall</v>
      </c>
      <c r="J8096" t="str">
        <v>United States (USA) - Minnesota.</v>
      </c>
      <c r="K8096" s="11">
        <v>0</v>
      </c>
    </row>
    <row r="8097" spans="5:11" x14ac:dyDescent="0.35">
      <c r="E8097" s="9" t="str">
        <v>ESRI</v>
      </c>
      <c r="F8097" s="7" t="str">
        <v>104745</v>
      </c>
      <c r="G8097" t="str">
        <v>Geographic2DCrs</v>
      </c>
      <c r="H8097" t="str">
        <v>&lt;undefined&gt;</v>
      </c>
      <c r="I8097" t="str">
        <v>GCS_NAD_1983_HARN_Adj_MN_Martin</v>
      </c>
      <c r="J8097" t="str">
        <v>United States (USA) - Minnesota.</v>
      </c>
      <c r="K8097" s="11">
        <v>0</v>
      </c>
    </row>
    <row r="8098" spans="5:11" x14ac:dyDescent="0.35">
      <c r="E8098" s="9" t="str">
        <v>ESRI</v>
      </c>
      <c r="F8098" s="7" t="str">
        <v>104746</v>
      </c>
      <c r="G8098" t="str">
        <v>Geographic2DCrs</v>
      </c>
      <c r="H8098" t="str">
        <v>&lt;undefined&gt;</v>
      </c>
      <c r="I8098" t="str">
        <v>GCS_NAD_1983_HARN_Adj_MN_Meeker</v>
      </c>
      <c r="J8098" t="str">
        <v>United States (USA) - Minnesota.</v>
      </c>
      <c r="K8098" s="11">
        <v>0</v>
      </c>
    </row>
    <row r="8099" spans="5:11" x14ac:dyDescent="0.35">
      <c r="E8099" s="9" t="str">
        <v>ESRI</v>
      </c>
      <c r="F8099" s="7" t="str">
        <v>104747</v>
      </c>
      <c r="G8099" t="str">
        <v>Geographic2DCrs</v>
      </c>
      <c r="H8099" t="str">
        <v>&lt;undefined&gt;</v>
      </c>
      <c r="I8099" t="str">
        <v>GCS_NAD_1983_HARN_Adj_MN_Morrison</v>
      </c>
      <c r="J8099" t="str">
        <v>United States (USA) - Minnesota.</v>
      </c>
      <c r="K8099" s="11">
        <v>0</v>
      </c>
    </row>
    <row r="8100" spans="5:11" x14ac:dyDescent="0.35">
      <c r="E8100" s="9" t="str">
        <v>ESRI</v>
      </c>
      <c r="F8100" s="7" t="str">
        <v>104748</v>
      </c>
      <c r="G8100" t="str">
        <v>Geographic2DCrs</v>
      </c>
      <c r="H8100" t="str">
        <v>&lt;undefined&gt;</v>
      </c>
      <c r="I8100" t="str">
        <v>GCS_NAD_1983_HARN_Adj_MN_Mower</v>
      </c>
      <c r="J8100" t="str">
        <v>United States (USA) - Minnesota.</v>
      </c>
      <c r="K8100" s="11">
        <v>0</v>
      </c>
    </row>
    <row r="8101" spans="5:11" x14ac:dyDescent="0.35">
      <c r="E8101" s="9" t="str">
        <v>ESRI</v>
      </c>
      <c r="F8101" s="7" t="str">
        <v>104749</v>
      </c>
      <c r="G8101" t="str">
        <v>Geographic2DCrs</v>
      </c>
      <c r="H8101" t="str">
        <v>&lt;undefined&gt;</v>
      </c>
      <c r="I8101" t="str">
        <v>GCS_NAD_1983_HARN_Adj_MN_Murray</v>
      </c>
      <c r="J8101" t="str">
        <v>United States (USA) - Minnesota.</v>
      </c>
      <c r="K8101" s="11">
        <v>0</v>
      </c>
    </row>
    <row r="8102" spans="5:11" x14ac:dyDescent="0.35">
      <c r="E8102" s="9" t="str">
        <v>ESRI</v>
      </c>
      <c r="F8102" s="7" t="str">
        <v>104750</v>
      </c>
      <c r="G8102" t="str">
        <v>Geographic2DCrs</v>
      </c>
      <c r="H8102" t="str">
        <v>&lt;undefined&gt;</v>
      </c>
      <c r="I8102" t="str">
        <v>GCS_NAD_1983_HARN_Adj_MN_Nicollet</v>
      </c>
      <c r="J8102" t="str">
        <v>United States (USA) - Minnesota.</v>
      </c>
      <c r="K8102" s="11">
        <v>0</v>
      </c>
    </row>
    <row r="8103" spans="5:11" x14ac:dyDescent="0.35">
      <c r="E8103" s="9" t="str">
        <v>ESRI</v>
      </c>
      <c r="F8103" s="7" t="str">
        <v>104751</v>
      </c>
      <c r="G8103" t="str">
        <v>Geographic2DCrs</v>
      </c>
      <c r="H8103" t="str">
        <v>&lt;undefined&gt;</v>
      </c>
      <c r="I8103" t="str">
        <v>GCS_NAD_1983_HARN_Adj_MN_Nobles</v>
      </c>
      <c r="J8103" t="str">
        <v>United States (USA) - Minnesota.</v>
      </c>
      <c r="K8103" s="11">
        <v>0</v>
      </c>
    </row>
    <row r="8104" spans="5:11" x14ac:dyDescent="0.35">
      <c r="E8104" s="9" t="str">
        <v>ESRI</v>
      </c>
      <c r="F8104" s="7" t="str">
        <v>104752</v>
      </c>
      <c r="G8104" t="str">
        <v>Geographic2DCrs</v>
      </c>
      <c r="H8104" t="str">
        <v>&lt;undefined&gt;</v>
      </c>
      <c r="I8104" t="str">
        <v>GCS_NAD_1983_HARN_Adj_MN_Norman</v>
      </c>
      <c r="J8104" t="str">
        <v>United States (USA) - Minnesota.</v>
      </c>
      <c r="K8104" s="11">
        <v>0</v>
      </c>
    </row>
    <row r="8105" spans="5:11" x14ac:dyDescent="0.35">
      <c r="E8105" s="9" t="str">
        <v>ESRI</v>
      </c>
      <c r="F8105" s="7" t="str">
        <v>104753</v>
      </c>
      <c r="G8105" t="str">
        <v>Geographic2DCrs</v>
      </c>
      <c r="H8105" t="str">
        <v>&lt;undefined&gt;</v>
      </c>
      <c r="I8105" t="str">
        <v>GCS_NAD_1983_HARN_Adj_MN_Olmsted</v>
      </c>
      <c r="J8105" t="str">
        <v>United States (USA) - Minnesota.</v>
      </c>
      <c r="K8105" s="11">
        <v>0</v>
      </c>
    </row>
    <row r="8106" spans="5:11" x14ac:dyDescent="0.35">
      <c r="E8106" s="9" t="str">
        <v>ESRI</v>
      </c>
      <c r="F8106" s="7" t="str">
        <v>104754</v>
      </c>
      <c r="G8106" t="str">
        <v>Geographic2DCrs</v>
      </c>
      <c r="H8106" t="str">
        <v>&lt;undefined&gt;</v>
      </c>
      <c r="I8106" t="str">
        <v>GCS_NAD_1983_HARN_Adj_MN_Ottertail</v>
      </c>
      <c r="J8106" t="str">
        <v>United States (USA) - Minnesota.</v>
      </c>
      <c r="K8106" s="11">
        <v>0</v>
      </c>
    </row>
    <row r="8107" spans="5:11" x14ac:dyDescent="0.35">
      <c r="E8107" s="9" t="str">
        <v>ESRI</v>
      </c>
      <c r="F8107" s="7" t="str">
        <v>104755</v>
      </c>
      <c r="G8107" t="str">
        <v>Geographic2DCrs</v>
      </c>
      <c r="H8107" t="str">
        <v>&lt;undefined&gt;</v>
      </c>
      <c r="I8107" t="str">
        <v>GCS_NAD_1983_HARN_Adj_MN_Pennington</v>
      </c>
      <c r="J8107" t="str">
        <v>United States (USA) - Minnesota.</v>
      </c>
      <c r="K8107" s="11">
        <v>0</v>
      </c>
    </row>
    <row r="8108" spans="5:11" x14ac:dyDescent="0.35">
      <c r="E8108" s="9" t="str">
        <v>ESRI</v>
      </c>
      <c r="F8108" s="7" t="str">
        <v>104756</v>
      </c>
      <c r="G8108" t="str">
        <v>Geographic2DCrs</v>
      </c>
      <c r="H8108" t="str">
        <v>&lt;undefined&gt;</v>
      </c>
      <c r="I8108" t="str">
        <v>GCS_NAD_1983_HARN_Adj_MN_Pine</v>
      </c>
      <c r="J8108" t="str">
        <v>United States (USA) - Minnesota.</v>
      </c>
      <c r="K8108" s="11">
        <v>0</v>
      </c>
    </row>
    <row r="8109" spans="5:11" x14ac:dyDescent="0.35">
      <c r="E8109" s="9" t="str">
        <v>ESRI</v>
      </c>
      <c r="F8109" s="7" t="str">
        <v>104757</v>
      </c>
      <c r="G8109" t="str">
        <v>Geographic2DCrs</v>
      </c>
      <c r="H8109" t="str">
        <v>&lt;undefined&gt;</v>
      </c>
      <c r="I8109" t="str">
        <v>GCS_NAD_1983_HARN_Adj_MN_Pipestone</v>
      </c>
      <c r="J8109" t="str">
        <v>United States (USA) - Minnesota.</v>
      </c>
      <c r="K8109" s="11">
        <v>0</v>
      </c>
    </row>
    <row r="8110" spans="5:11" x14ac:dyDescent="0.35">
      <c r="E8110" s="9" t="str">
        <v>ESRI</v>
      </c>
      <c r="F8110" s="7" t="str">
        <v>104758</v>
      </c>
      <c r="G8110" t="str">
        <v>Geographic2DCrs</v>
      </c>
      <c r="H8110" t="str">
        <v>&lt;undefined&gt;</v>
      </c>
      <c r="I8110" t="str">
        <v>GCS_NAD_1983_HARN_Adj_MN_Polk</v>
      </c>
      <c r="J8110" t="str">
        <v>United States (USA) - Minnesota.</v>
      </c>
      <c r="K8110" s="11">
        <v>0</v>
      </c>
    </row>
    <row r="8111" spans="5:11" x14ac:dyDescent="0.35">
      <c r="E8111" s="9" t="str">
        <v>ESRI</v>
      </c>
      <c r="F8111" s="7" t="str">
        <v>104759</v>
      </c>
      <c r="G8111" t="str">
        <v>Geographic2DCrs</v>
      </c>
      <c r="H8111" t="str">
        <v>&lt;undefined&gt;</v>
      </c>
      <c r="I8111" t="str">
        <v>GCS_NAD_1983_HARN_Adj_MN_Pope</v>
      </c>
      <c r="J8111" t="str">
        <v>United States (USA) - Minnesota.</v>
      </c>
      <c r="K8111" s="11">
        <v>0</v>
      </c>
    </row>
    <row r="8112" spans="5:11" x14ac:dyDescent="0.35">
      <c r="E8112" s="9" t="str">
        <v>ESRI</v>
      </c>
      <c r="F8112" s="7" t="str">
        <v>104760</v>
      </c>
      <c r="G8112" t="str">
        <v>Geographic2DCrs</v>
      </c>
      <c r="H8112" t="str">
        <v>&lt;undefined&gt;</v>
      </c>
      <c r="I8112" t="str">
        <v>GCS_NAD_1983_HARN_Adj_MN_Ramsey</v>
      </c>
      <c r="J8112" t="str">
        <v>United States (USA) - Minnesota.</v>
      </c>
      <c r="K8112" s="11">
        <v>0</v>
      </c>
    </row>
    <row r="8113" spans="5:11" x14ac:dyDescent="0.35">
      <c r="E8113" s="9" t="str">
        <v>ESRI</v>
      </c>
      <c r="F8113" s="7" t="str">
        <v>104761</v>
      </c>
      <c r="G8113" t="str">
        <v>Geographic2DCrs</v>
      </c>
      <c r="H8113" t="str">
        <v>&lt;undefined&gt;</v>
      </c>
      <c r="I8113" t="str">
        <v>GCS_NAD_1983_HARN_Adj_MN_Red_Lake</v>
      </c>
      <c r="J8113" t="str">
        <v>United States (USA) - Minnesota.</v>
      </c>
      <c r="K8113" s="11">
        <v>0</v>
      </c>
    </row>
    <row r="8114" spans="5:11" x14ac:dyDescent="0.35">
      <c r="E8114" s="9" t="str">
        <v>ESRI</v>
      </c>
      <c r="F8114" s="7" t="str">
        <v>104762</v>
      </c>
      <c r="G8114" t="str">
        <v>Geographic2DCrs</v>
      </c>
      <c r="H8114" t="str">
        <v>&lt;undefined&gt;</v>
      </c>
      <c r="I8114" t="str">
        <v>GCS_NAD_1983_HARN_Adj_MN_Redwood</v>
      </c>
      <c r="J8114" t="str">
        <v>United States (USA) - Minnesota.</v>
      </c>
      <c r="K8114" s="11">
        <v>0</v>
      </c>
    </row>
    <row r="8115" spans="5:11" x14ac:dyDescent="0.35">
      <c r="E8115" s="9" t="str">
        <v>ESRI</v>
      </c>
      <c r="F8115" s="7" t="str">
        <v>104763</v>
      </c>
      <c r="G8115" t="str">
        <v>Geographic2DCrs</v>
      </c>
      <c r="H8115" t="str">
        <v>&lt;undefined&gt;</v>
      </c>
      <c r="I8115" t="str">
        <v>GCS_NAD_1983_HARN_Adj_MN_Renville</v>
      </c>
      <c r="J8115" t="str">
        <v>United States (USA) - Minnesota.</v>
      </c>
      <c r="K8115" s="11">
        <v>0</v>
      </c>
    </row>
    <row r="8116" spans="5:11" x14ac:dyDescent="0.35">
      <c r="E8116" s="9" t="str">
        <v>ESRI</v>
      </c>
      <c r="F8116" s="7" t="str">
        <v>104764</v>
      </c>
      <c r="G8116" t="str">
        <v>Geographic2DCrs</v>
      </c>
      <c r="H8116" t="str">
        <v>&lt;undefined&gt;</v>
      </c>
      <c r="I8116" t="str">
        <v>GCS_NAD_1983_HARN_Adj_MN_Rice</v>
      </c>
      <c r="J8116" t="str">
        <v>United States (USA) - Minnesota.</v>
      </c>
      <c r="K8116" s="11">
        <v>0</v>
      </c>
    </row>
    <row r="8117" spans="5:11" x14ac:dyDescent="0.35">
      <c r="E8117" s="9" t="str">
        <v>ESRI</v>
      </c>
      <c r="F8117" s="7" t="str">
        <v>104765</v>
      </c>
      <c r="G8117" t="str">
        <v>Geographic2DCrs</v>
      </c>
      <c r="H8117" t="str">
        <v>&lt;undefined&gt;</v>
      </c>
      <c r="I8117" t="str">
        <v>GCS_NAD_1983_HARN_Adj_MN_Rock</v>
      </c>
      <c r="J8117" t="str">
        <v>United States (USA) - Minnesota.</v>
      </c>
      <c r="K8117" s="11">
        <v>0</v>
      </c>
    </row>
    <row r="8118" spans="5:11" x14ac:dyDescent="0.35">
      <c r="E8118" s="9" t="str">
        <v>ESRI</v>
      </c>
      <c r="F8118" s="7" t="str">
        <v>104766</v>
      </c>
      <c r="G8118" t="str">
        <v>Geographic2DCrs</v>
      </c>
      <c r="H8118" t="str">
        <v>&lt;undefined&gt;</v>
      </c>
      <c r="I8118" t="str">
        <v>GCS_NAD_1983_HARN_Adj_MN_Roseau</v>
      </c>
      <c r="J8118" t="str">
        <v>United States (USA) - Minnesota.</v>
      </c>
      <c r="K8118" s="11">
        <v>0</v>
      </c>
    </row>
    <row r="8119" spans="5:11" x14ac:dyDescent="0.35">
      <c r="E8119" s="9" t="str">
        <v>ESRI</v>
      </c>
      <c r="F8119" s="7" t="str">
        <v>104767</v>
      </c>
      <c r="G8119" t="str">
        <v>Geographic2DCrs</v>
      </c>
      <c r="H8119" t="str">
        <v>&lt;undefined&gt;</v>
      </c>
      <c r="I8119" t="str">
        <v>GCS_NAD_1983_HARN_Adj_MN_St_Louis_North</v>
      </c>
      <c r="J8119" t="str">
        <v>United States (USA) - Minnesota.</v>
      </c>
      <c r="K8119" s="11">
        <v>0</v>
      </c>
    </row>
    <row r="8120" spans="5:11" x14ac:dyDescent="0.35">
      <c r="E8120" s="9" t="str">
        <v>ESRI</v>
      </c>
      <c r="F8120" s="7" t="str">
        <v>104768</v>
      </c>
      <c r="G8120" t="str">
        <v>Geographic2DCrs</v>
      </c>
      <c r="H8120" t="str">
        <v>&lt;undefined&gt;</v>
      </c>
      <c r="I8120" t="str">
        <v>GCS_NAD_1983_HARN_Adj_MN_St_Louis_Central</v>
      </c>
      <c r="J8120" t="str">
        <v>United States (USA) - Minnesota.</v>
      </c>
      <c r="K8120" s="11">
        <v>0</v>
      </c>
    </row>
    <row r="8121" spans="5:11" x14ac:dyDescent="0.35">
      <c r="E8121" s="9" t="str">
        <v>ESRI</v>
      </c>
      <c r="F8121" s="7" t="str">
        <v>104769</v>
      </c>
      <c r="G8121" t="str">
        <v>Geographic2DCrs</v>
      </c>
      <c r="H8121" t="str">
        <v>&lt;undefined&gt;</v>
      </c>
      <c r="I8121" t="str">
        <v>GCS_NAD_1983_HARN_Adj_MN_St_Louis_South</v>
      </c>
      <c r="J8121" t="str">
        <v>United States (USA) - Minnesota.</v>
      </c>
      <c r="K8121" s="11">
        <v>0</v>
      </c>
    </row>
    <row r="8122" spans="5:11" x14ac:dyDescent="0.35">
      <c r="E8122" s="9" t="str">
        <v>ESRI</v>
      </c>
      <c r="F8122" s="7" t="str">
        <v>104770</v>
      </c>
      <c r="G8122" t="str">
        <v>Geographic2DCrs</v>
      </c>
      <c r="H8122" t="str">
        <v>&lt;undefined&gt;</v>
      </c>
      <c r="I8122" t="str">
        <v>GCS_NAD_1983_HARN_Adj_MN_Scott</v>
      </c>
      <c r="J8122" t="str">
        <v>United States (USA) - Minnesota.</v>
      </c>
      <c r="K8122" s="11">
        <v>0</v>
      </c>
    </row>
    <row r="8123" spans="5:11" x14ac:dyDescent="0.35">
      <c r="E8123" s="9" t="str">
        <v>ESRI</v>
      </c>
      <c r="F8123" s="7" t="str">
        <v>104771</v>
      </c>
      <c r="G8123" t="str">
        <v>Geographic2DCrs</v>
      </c>
      <c r="H8123" t="str">
        <v>&lt;undefined&gt;</v>
      </c>
      <c r="I8123" t="str">
        <v>GCS_NAD_1983_HARN_Adj_MN_Sherburne</v>
      </c>
      <c r="J8123" t="str">
        <v>United States (USA) - Minnesota.</v>
      </c>
      <c r="K8123" s="11">
        <v>0</v>
      </c>
    </row>
    <row r="8124" spans="5:11" x14ac:dyDescent="0.35">
      <c r="E8124" s="9" t="str">
        <v>ESRI</v>
      </c>
      <c r="F8124" s="7" t="str">
        <v>104772</v>
      </c>
      <c r="G8124" t="str">
        <v>Geographic2DCrs</v>
      </c>
      <c r="H8124" t="str">
        <v>&lt;undefined&gt;</v>
      </c>
      <c r="I8124" t="str">
        <v>GCS_NAD_1983_HARN_Adj_MN_Sibley</v>
      </c>
      <c r="J8124" t="str">
        <v>United States (USA) - Minnesota.</v>
      </c>
      <c r="K8124" s="11">
        <v>0</v>
      </c>
    </row>
    <row r="8125" spans="5:11" x14ac:dyDescent="0.35">
      <c r="E8125" s="9" t="str">
        <v>ESRI</v>
      </c>
      <c r="F8125" s="7" t="str">
        <v>104773</v>
      </c>
      <c r="G8125" t="str">
        <v>Geographic2DCrs</v>
      </c>
      <c r="H8125" t="str">
        <v>&lt;undefined&gt;</v>
      </c>
      <c r="I8125" t="str">
        <v>GCS_NAD_1983_HARN_Adj_MN_Stearns</v>
      </c>
      <c r="J8125" t="str">
        <v>United States (USA) - Minnesota.</v>
      </c>
      <c r="K8125" s="11">
        <v>0</v>
      </c>
    </row>
    <row r="8126" spans="5:11" x14ac:dyDescent="0.35">
      <c r="E8126" s="9" t="str">
        <v>ESRI</v>
      </c>
      <c r="F8126" s="7" t="str">
        <v>104774</v>
      </c>
      <c r="G8126" t="str">
        <v>Geographic2DCrs</v>
      </c>
      <c r="H8126" t="str">
        <v>&lt;undefined&gt;</v>
      </c>
      <c r="I8126" t="str">
        <v>GCS_NAD_1983_HARN_Adj_MN_Steele</v>
      </c>
      <c r="J8126" t="str">
        <v>United States (USA) - Minnesota.</v>
      </c>
      <c r="K8126" s="11">
        <v>0</v>
      </c>
    </row>
    <row r="8127" spans="5:11" x14ac:dyDescent="0.35">
      <c r="E8127" s="9" t="str">
        <v>ESRI</v>
      </c>
      <c r="F8127" s="7" t="str">
        <v>104775</v>
      </c>
      <c r="G8127" t="str">
        <v>Geographic2DCrs</v>
      </c>
      <c r="H8127" t="str">
        <v>&lt;undefined&gt;</v>
      </c>
      <c r="I8127" t="str">
        <v>GCS_NAD_1983_HARN_Adj_MN_Stevens</v>
      </c>
      <c r="J8127" t="str">
        <v>United States (USA) - Minnesota.</v>
      </c>
      <c r="K8127" s="11">
        <v>0</v>
      </c>
    </row>
    <row r="8128" spans="5:11" x14ac:dyDescent="0.35">
      <c r="E8128" s="9" t="str">
        <v>ESRI</v>
      </c>
      <c r="F8128" s="7" t="str">
        <v>104776</v>
      </c>
      <c r="G8128" t="str">
        <v>Geographic2DCrs</v>
      </c>
      <c r="H8128" t="str">
        <v>&lt;undefined&gt;</v>
      </c>
      <c r="I8128" t="str">
        <v>GCS_NAD_1983_HARN_Adj_MN_Swift</v>
      </c>
      <c r="J8128" t="str">
        <v>United States (USA) - Minnesota.</v>
      </c>
      <c r="K8128" s="11">
        <v>0</v>
      </c>
    </row>
    <row r="8129" spans="5:11" x14ac:dyDescent="0.35">
      <c r="E8129" s="9" t="str">
        <v>ESRI</v>
      </c>
      <c r="F8129" s="7" t="str">
        <v>104777</v>
      </c>
      <c r="G8129" t="str">
        <v>Geographic2DCrs</v>
      </c>
      <c r="H8129" t="str">
        <v>&lt;undefined&gt;</v>
      </c>
      <c r="I8129" t="str">
        <v>GCS_NAD_1983_HARN_Adj_MN_Todd</v>
      </c>
      <c r="J8129" t="str">
        <v>United States (USA) - Minnesota.</v>
      </c>
      <c r="K8129" s="11">
        <v>0</v>
      </c>
    </row>
    <row r="8130" spans="5:11" x14ac:dyDescent="0.35">
      <c r="E8130" s="9" t="str">
        <v>ESRI</v>
      </c>
      <c r="F8130" s="7" t="str">
        <v>104778</v>
      </c>
      <c r="G8130" t="str">
        <v>Geographic2DCrs</v>
      </c>
      <c r="H8130" t="str">
        <v>&lt;undefined&gt;</v>
      </c>
      <c r="I8130" t="str">
        <v>GCS_NAD_1983_HARN_Adj_MN_Traverse</v>
      </c>
      <c r="J8130" t="str">
        <v>United States (USA) - Minnesota.</v>
      </c>
      <c r="K8130" s="11">
        <v>0</v>
      </c>
    </row>
    <row r="8131" spans="5:11" x14ac:dyDescent="0.35">
      <c r="E8131" s="9" t="str">
        <v>ESRI</v>
      </c>
      <c r="F8131" s="7" t="str">
        <v>104779</v>
      </c>
      <c r="G8131" t="str">
        <v>Geographic2DCrs</v>
      </c>
      <c r="H8131" t="str">
        <v>&lt;undefined&gt;</v>
      </c>
      <c r="I8131" t="str">
        <v>GCS_NAD_1983_HARN_Adj_MN_Wabasha</v>
      </c>
      <c r="J8131" t="str">
        <v>United States (USA) - Minnesota.</v>
      </c>
      <c r="K8131" s="11">
        <v>0</v>
      </c>
    </row>
    <row r="8132" spans="5:11" x14ac:dyDescent="0.35">
      <c r="E8132" s="9" t="str">
        <v>ESRI</v>
      </c>
      <c r="F8132" s="7" t="str">
        <v>104780</v>
      </c>
      <c r="G8132" t="str">
        <v>Geographic2DCrs</v>
      </c>
      <c r="H8132" t="str">
        <v>&lt;undefined&gt;</v>
      </c>
      <c r="I8132" t="str">
        <v>GCS_NAD_1983_HARN_Adj_MN_Wadena</v>
      </c>
      <c r="J8132" t="str">
        <v>United States (USA) - Minnesota.</v>
      </c>
      <c r="K8132" s="11">
        <v>0</v>
      </c>
    </row>
    <row r="8133" spans="5:11" x14ac:dyDescent="0.35">
      <c r="E8133" s="9" t="str">
        <v>ESRI</v>
      </c>
      <c r="F8133" s="7" t="str">
        <v>104781</v>
      </c>
      <c r="G8133" t="str">
        <v>Geographic2DCrs</v>
      </c>
      <c r="H8133" t="str">
        <v>&lt;undefined&gt;</v>
      </c>
      <c r="I8133" t="str">
        <v>GCS_NAD_1983_HARN_Adj_MN_Waseca</v>
      </c>
      <c r="J8133" t="str">
        <v>United States (USA) - Minnesota.</v>
      </c>
      <c r="K8133" s="11">
        <v>0</v>
      </c>
    </row>
    <row r="8134" spans="5:11" x14ac:dyDescent="0.35">
      <c r="E8134" s="9" t="str">
        <v>ESRI</v>
      </c>
      <c r="F8134" s="7" t="str">
        <v>104782</v>
      </c>
      <c r="G8134" t="str">
        <v>Geographic2DCrs</v>
      </c>
      <c r="H8134" t="str">
        <v>&lt;undefined&gt;</v>
      </c>
      <c r="I8134" t="str">
        <v>GCS_NAD_1983_HARN_Adj_MN_Watonwan</v>
      </c>
      <c r="J8134" t="str">
        <v>United States (USA) - Minnesota.</v>
      </c>
      <c r="K8134" s="11">
        <v>0</v>
      </c>
    </row>
    <row r="8135" spans="5:11" x14ac:dyDescent="0.35">
      <c r="E8135" s="9" t="str">
        <v>ESRI</v>
      </c>
      <c r="F8135" s="7" t="str">
        <v>104783</v>
      </c>
      <c r="G8135" t="str">
        <v>Geographic2DCrs</v>
      </c>
      <c r="H8135" t="str">
        <v>&lt;undefined&gt;</v>
      </c>
      <c r="I8135" t="str">
        <v>GCS_NAD_1983_HARN_Adj_MN_Winona</v>
      </c>
      <c r="J8135" t="str">
        <v>United States (USA) - Minnesota.</v>
      </c>
      <c r="K8135" s="11">
        <v>0</v>
      </c>
    </row>
    <row r="8136" spans="5:11" x14ac:dyDescent="0.35">
      <c r="E8136" s="9" t="str">
        <v>ESRI</v>
      </c>
      <c r="F8136" s="7" t="str">
        <v>104784</v>
      </c>
      <c r="G8136" t="str">
        <v>Geographic2DCrs</v>
      </c>
      <c r="H8136" t="str">
        <v>&lt;undefined&gt;</v>
      </c>
      <c r="I8136" t="str">
        <v>GCS_NAD_1983_HARN_Adj_MN_Wright</v>
      </c>
      <c r="J8136" t="str">
        <v>United States (USA) - Minnesota.</v>
      </c>
      <c r="K8136" s="11">
        <v>0</v>
      </c>
    </row>
    <row r="8137" spans="5:11" x14ac:dyDescent="0.35">
      <c r="E8137" s="9" t="str">
        <v>ESRI</v>
      </c>
      <c r="F8137" s="7" t="str">
        <v>104785</v>
      </c>
      <c r="G8137" t="str">
        <v>Geographic2DCrs</v>
      </c>
      <c r="H8137" t="str">
        <v>&lt;undefined&gt;</v>
      </c>
      <c r="I8137" t="str">
        <v>GCS_NAD_1983_HARN_Adj_MN_Yellow_Medicine</v>
      </c>
      <c r="J8137" t="str">
        <v>United States (USA) - Minnesota.</v>
      </c>
      <c r="K8137" s="11">
        <v>0</v>
      </c>
    </row>
    <row r="8138" spans="5:11" x14ac:dyDescent="0.35">
      <c r="E8138" s="9" t="str">
        <v>ESRI</v>
      </c>
      <c r="F8138" s="7" t="str">
        <v>104786</v>
      </c>
      <c r="G8138" t="str">
        <v>Geographic2DCrs</v>
      </c>
      <c r="H8138" t="str">
        <v>&lt;undefined&gt;</v>
      </c>
      <c r="I8138" t="str">
        <v>GCS_NAD_1983_HARN_Adj_MN_St_Louis</v>
      </c>
      <c r="J8138" t="str">
        <v>United States (USA) - Minnesota.</v>
      </c>
      <c r="K8138" s="11">
        <v>0</v>
      </c>
    </row>
    <row r="8139" spans="5:11" x14ac:dyDescent="0.35">
      <c r="E8139" s="9" t="str">
        <v>ESRI</v>
      </c>
      <c r="F8139" s="7" t="str">
        <v>104808</v>
      </c>
      <c r="G8139" t="str">
        <v>Geographic2DCrs</v>
      </c>
      <c r="H8139" t="str">
        <v>&lt;undefined&gt;</v>
      </c>
      <c r="I8139" t="str">
        <v>GCS_NAD_1983_HARN_Adj_WI_Chippewa</v>
      </c>
      <c r="J8139" t="str">
        <v>United States (USA) - Wisconsin.</v>
      </c>
      <c r="K8139" s="11">
        <v>0</v>
      </c>
    </row>
    <row r="8140" spans="5:11" x14ac:dyDescent="0.35">
      <c r="E8140" s="9" t="str">
        <v>ESRI</v>
      </c>
      <c r="F8140" s="7" t="str">
        <v>104872</v>
      </c>
      <c r="G8140" t="str">
        <v>Geographic2DCrs</v>
      </c>
      <c r="H8140" t="str">
        <v>&lt;undefined&gt;</v>
      </c>
      <c r="I8140" t="str">
        <v>Phobos_2015</v>
      </c>
      <c r="J8140" t="str">
        <v>World.</v>
      </c>
      <c r="K8140" s="11">
        <v>0</v>
      </c>
    </row>
    <row r="8141" spans="5:11" x14ac:dyDescent="0.35">
      <c r="E8141" s="9" t="str">
        <v>ESRI</v>
      </c>
      <c r="F8141" s="7" t="str">
        <v>104873</v>
      </c>
      <c r="G8141" t="str">
        <v>Geographic2DCrs</v>
      </c>
      <c r="H8141" t="str">
        <v>&lt;undefined&gt;</v>
      </c>
      <c r="I8141" t="str">
        <v>Callisto_2015</v>
      </c>
      <c r="J8141" t="str">
        <v>World.</v>
      </c>
      <c r="K8141" s="11">
        <v>0</v>
      </c>
    </row>
    <row r="8142" spans="5:11" x14ac:dyDescent="0.35">
      <c r="E8142" s="9" t="str">
        <v>ESRI</v>
      </c>
      <c r="F8142" s="7" t="str">
        <v>104874</v>
      </c>
      <c r="G8142" t="str">
        <v>Geographic2DCrs</v>
      </c>
      <c r="H8142" t="str">
        <v>&lt;undefined&gt;</v>
      </c>
      <c r="I8142" t="str">
        <v>Europa_2015</v>
      </c>
      <c r="J8142" t="str">
        <v>World.</v>
      </c>
      <c r="K8142" s="11">
        <v>0</v>
      </c>
    </row>
    <row r="8143" spans="5:11" x14ac:dyDescent="0.35">
      <c r="E8143" s="9" t="str">
        <v>ESRI</v>
      </c>
      <c r="F8143" s="7" t="str">
        <v>104875</v>
      </c>
      <c r="G8143" t="str">
        <v>Geographic2DCrs</v>
      </c>
      <c r="H8143" t="str">
        <v>&lt;undefined&gt;</v>
      </c>
      <c r="I8143" t="str">
        <v>Ganymede_2015</v>
      </c>
      <c r="J8143" t="str">
        <v>World.</v>
      </c>
      <c r="K8143" s="11">
        <v>0</v>
      </c>
    </row>
    <row r="8144" spans="5:11" x14ac:dyDescent="0.35">
      <c r="E8144" s="9" t="str">
        <v>ESRI</v>
      </c>
      <c r="F8144" s="7" t="str">
        <v>104876</v>
      </c>
      <c r="G8144" t="str">
        <v>Geographic2DCrs</v>
      </c>
      <c r="H8144" t="str">
        <v>&lt;undefined&gt;</v>
      </c>
      <c r="I8144" t="str">
        <v>Io_2015</v>
      </c>
      <c r="J8144" t="str">
        <v>World.</v>
      </c>
      <c r="K8144" s="11">
        <v>0</v>
      </c>
    </row>
    <row r="8145" spans="5:11" x14ac:dyDescent="0.35">
      <c r="E8145" s="9" t="str">
        <v>ESRI</v>
      </c>
      <c r="F8145" s="7" t="str">
        <v>104877</v>
      </c>
      <c r="G8145" t="str">
        <v>Geographic2DCrs</v>
      </c>
      <c r="H8145" t="str">
        <v>&lt;undefined&gt;</v>
      </c>
      <c r="I8145" t="str">
        <v>Metis_2015</v>
      </c>
      <c r="J8145" t="str">
        <v>World.</v>
      </c>
      <c r="K8145" s="11">
        <v>0</v>
      </c>
    </row>
    <row r="8146" spans="5:11" x14ac:dyDescent="0.35">
      <c r="E8146" s="9" t="str">
        <v>ESRI</v>
      </c>
      <c r="F8146" s="7" t="str">
        <v>104878</v>
      </c>
      <c r="G8146" t="str">
        <v>Geographic2DCrs</v>
      </c>
      <c r="H8146" t="str">
        <v>&lt;undefined&gt;</v>
      </c>
      <c r="I8146" t="str">
        <v>Aegaeon_2015</v>
      </c>
      <c r="J8146" t="str">
        <v>World.</v>
      </c>
      <c r="K8146" s="11">
        <v>0</v>
      </c>
    </row>
    <row r="8147" spans="5:11" x14ac:dyDescent="0.35">
      <c r="E8147" s="9" t="str">
        <v>ESRI</v>
      </c>
      <c r="F8147" s="7" t="str">
        <v>104879</v>
      </c>
      <c r="G8147" t="str">
        <v>Geographic2DCrs</v>
      </c>
      <c r="H8147" t="str">
        <v>&lt;undefined&gt;</v>
      </c>
      <c r="I8147" t="str">
        <v>Anthe_2015</v>
      </c>
      <c r="J8147" t="str">
        <v>World.</v>
      </c>
      <c r="K8147" s="11">
        <v>0</v>
      </c>
    </row>
    <row r="8148" spans="5:11" x14ac:dyDescent="0.35">
      <c r="E8148" s="9" t="str">
        <v>ESRI</v>
      </c>
      <c r="F8148" s="7" t="str">
        <v>104897</v>
      </c>
      <c r="G8148" t="str">
        <v>Geographic2DCrs</v>
      </c>
      <c r="H8148" t="str">
        <v>&lt;undefined&gt;</v>
      </c>
      <c r="I8148" t="str">
        <v>Pandora_2015</v>
      </c>
      <c r="J8148" t="str">
        <v>World.</v>
      </c>
      <c r="K8148" s="11">
        <v>0</v>
      </c>
    </row>
    <row r="8149" spans="5:11" x14ac:dyDescent="0.35">
      <c r="E8149" s="9" t="str">
        <v>ESRI</v>
      </c>
      <c r="F8149" s="7" t="str">
        <v>104898</v>
      </c>
      <c r="G8149" t="str">
        <v>Geographic2DCrs</v>
      </c>
      <c r="H8149" t="str">
        <v>&lt;undefined&gt;</v>
      </c>
      <c r="I8149" t="str">
        <v>Phoebe_2015</v>
      </c>
      <c r="J8149" t="str">
        <v>World.</v>
      </c>
      <c r="K8149" s="11">
        <v>0</v>
      </c>
    </row>
    <row r="8150" spans="5:11" x14ac:dyDescent="0.35">
      <c r="E8150" s="9" t="str">
        <v>ESRI</v>
      </c>
      <c r="F8150" s="7" t="str">
        <v>104899</v>
      </c>
      <c r="G8150" t="str">
        <v>Geographic2DCrs</v>
      </c>
      <c r="H8150" t="str">
        <v>&lt;undefined&gt;</v>
      </c>
      <c r="I8150" t="str">
        <v>Polydeuces_2015</v>
      </c>
      <c r="J8150" t="str">
        <v>World.</v>
      </c>
      <c r="K8150" s="11">
        <v>0</v>
      </c>
    </row>
    <row r="8151" spans="5:11" x14ac:dyDescent="0.35">
      <c r="E8151" s="9" t="str">
        <v>ESRI</v>
      </c>
      <c r="F8151" s="7" t="str">
        <v>104900</v>
      </c>
      <c r="G8151" t="str">
        <v>Geographic2DCrs</v>
      </c>
      <c r="H8151" t="str">
        <v>&lt;undefined&gt;</v>
      </c>
      <c r="I8151" t="str">
        <v>GCS_Mercury_2000</v>
      </c>
      <c r="J8151" t="str">
        <v>World.</v>
      </c>
      <c r="K8151" s="11">
        <v>0</v>
      </c>
    </row>
    <row r="8152" spans="5:11" x14ac:dyDescent="0.35">
      <c r="E8152" s="9" t="str">
        <v>ESRI</v>
      </c>
      <c r="F8152" s="7" t="str">
        <v>104901</v>
      </c>
      <c r="G8152" t="str">
        <v>Geographic2DCrs</v>
      </c>
      <c r="H8152" t="str">
        <v>&lt;undefined&gt;</v>
      </c>
      <c r="I8152" t="str">
        <v>GCS_Venus_1985</v>
      </c>
      <c r="J8152" t="str">
        <v>World.</v>
      </c>
      <c r="K8152" s="11">
        <v>0</v>
      </c>
    </row>
    <row r="8153" spans="5:11" x14ac:dyDescent="0.35">
      <c r="E8153" s="9" t="str">
        <v>ESRI</v>
      </c>
      <c r="F8153" s="7" t="str">
        <v>104902</v>
      </c>
      <c r="G8153" t="str">
        <v>Geographic2DCrs</v>
      </c>
      <c r="H8153" t="str">
        <v>&lt;undefined&gt;</v>
      </c>
      <c r="I8153" t="str">
        <v>GCS_Venus_2000</v>
      </c>
      <c r="J8153" t="str">
        <v>World.</v>
      </c>
      <c r="K8153" s="11">
        <v>0</v>
      </c>
    </row>
    <row r="8154" spans="5:11" x14ac:dyDescent="0.35">
      <c r="E8154" s="9" t="str">
        <v>ESRI</v>
      </c>
      <c r="F8154" s="7" t="str">
        <v>104903</v>
      </c>
      <c r="G8154" t="str">
        <v>Geographic2DCrs</v>
      </c>
      <c r="H8154" t="str">
        <v>&lt;undefined&gt;</v>
      </c>
      <c r="I8154" t="str">
        <v>GCS_Moon_2000</v>
      </c>
      <c r="J8154" t="str">
        <v>World.</v>
      </c>
      <c r="K8154" s="11">
        <v>0</v>
      </c>
    </row>
    <row r="8155" spans="5:11" x14ac:dyDescent="0.35">
      <c r="E8155" s="9" t="str">
        <v>ESRI</v>
      </c>
      <c r="F8155" s="7" t="str">
        <v>104904</v>
      </c>
      <c r="G8155" t="str">
        <v>Geographic2DCrs</v>
      </c>
      <c r="H8155" t="str">
        <v>&lt;undefined&gt;</v>
      </c>
      <c r="I8155" t="str">
        <v>GCS_Mars_1979</v>
      </c>
      <c r="J8155" t="str">
        <v>World.</v>
      </c>
      <c r="K8155" s="11">
        <v>0</v>
      </c>
    </row>
    <row r="8156" spans="5:11" x14ac:dyDescent="0.35">
      <c r="E8156" s="9" t="str">
        <v>ESRI</v>
      </c>
      <c r="F8156" s="7" t="str">
        <v>104905</v>
      </c>
      <c r="G8156" t="str">
        <v>Geographic2DCrs</v>
      </c>
      <c r="H8156" t="str">
        <v>&lt;undefined&gt;</v>
      </c>
      <c r="I8156" t="str">
        <v>GCS_Mars_2000</v>
      </c>
      <c r="J8156" t="str">
        <v>World.</v>
      </c>
      <c r="K8156" s="11">
        <v>0</v>
      </c>
    </row>
    <row r="8157" spans="5:11" x14ac:dyDescent="0.35">
      <c r="E8157" s="9" t="str">
        <v>ESRI</v>
      </c>
      <c r="F8157" s="7" t="str">
        <v>104906</v>
      </c>
      <c r="G8157" t="str">
        <v>Geographic2DCrs</v>
      </c>
      <c r="H8157" t="str">
        <v>&lt;undefined&gt;</v>
      </c>
      <c r="I8157" t="str">
        <v>GCS_Deimos_2000</v>
      </c>
      <c r="J8157" t="str">
        <v>World.</v>
      </c>
      <c r="K8157" s="11">
        <v>0</v>
      </c>
    </row>
    <row r="8158" spans="5:11" x14ac:dyDescent="0.35">
      <c r="E8158" s="9" t="str">
        <v>ESRI</v>
      </c>
      <c r="F8158" s="7" t="str">
        <v>104907</v>
      </c>
      <c r="G8158" t="str">
        <v>Geographic2DCrs</v>
      </c>
      <c r="H8158" t="str">
        <v>&lt;undefined&gt;</v>
      </c>
      <c r="I8158" t="str">
        <v>GCS_Phobos_2000</v>
      </c>
      <c r="J8158" t="str">
        <v>World.</v>
      </c>
      <c r="K8158" s="11">
        <v>0</v>
      </c>
    </row>
    <row r="8159" spans="5:11" x14ac:dyDescent="0.35">
      <c r="E8159" s="9" t="str">
        <v>ESRI</v>
      </c>
      <c r="F8159" s="7" t="str">
        <v>104908</v>
      </c>
      <c r="G8159" t="str">
        <v>Geographic2DCrs</v>
      </c>
      <c r="H8159" t="str">
        <v>&lt;undefined&gt;</v>
      </c>
      <c r="I8159" t="str">
        <v>GCS_Jupiter_2000</v>
      </c>
      <c r="J8159" t="str">
        <v>World.</v>
      </c>
      <c r="K8159" s="11">
        <v>0</v>
      </c>
    </row>
    <row r="8160" spans="5:11" x14ac:dyDescent="0.35">
      <c r="E8160" s="9" t="str">
        <v>ESRI</v>
      </c>
      <c r="F8160" s="7" t="str">
        <v>104909</v>
      </c>
      <c r="G8160" t="str">
        <v>Geographic2DCrs</v>
      </c>
      <c r="H8160" t="str">
        <v>&lt;undefined&gt;</v>
      </c>
      <c r="I8160" t="str">
        <v>GCS_Adrastea_2000</v>
      </c>
      <c r="J8160" t="str">
        <v>World.</v>
      </c>
      <c r="K8160" s="11">
        <v>0</v>
      </c>
    </row>
    <row r="8161" spans="5:11" x14ac:dyDescent="0.35">
      <c r="E8161" s="9" t="str">
        <v>ESRI</v>
      </c>
      <c r="F8161" s="7" t="str">
        <v>104910</v>
      </c>
      <c r="G8161" t="str">
        <v>Geographic2DCrs</v>
      </c>
      <c r="H8161" t="str">
        <v>&lt;undefined&gt;</v>
      </c>
      <c r="I8161" t="str">
        <v>GCS_Amalthea_2000</v>
      </c>
      <c r="J8161" t="str">
        <v>World.</v>
      </c>
      <c r="K8161" s="11">
        <v>0</v>
      </c>
    </row>
    <row r="8162" spans="5:11" x14ac:dyDescent="0.35">
      <c r="E8162" s="9" t="str">
        <v>ESRI</v>
      </c>
      <c r="F8162" s="7" t="str">
        <v>104911</v>
      </c>
      <c r="G8162" t="str">
        <v>Geographic2DCrs</v>
      </c>
      <c r="H8162" t="str">
        <v>&lt;undefined&gt;</v>
      </c>
      <c r="I8162" t="str">
        <v>GCS_Ananke_2000</v>
      </c>
      <c r="J8162" t="str">
        <v>World.</v>
      </c>
      <c r="K8162" s="11">
        <v>0</v>
      </c>
    </row>
    <row r="8163" spans="5:11" x14ac:dyDescent="0.35">
      <c r="E8163" s="9" t="str">
        <v>ESRI</v>
      </c>
      <c r="F8163" s="7" t="str">
        <v>104912</v>
      </c>
      <c r="G8163" t="str">
        <v>Geographic2DCrs</v>
      </c>
      <c r="H8163" t="str">
        <v>&lt;undefined&gt;</v>
      </c>
      <c r="I8163" t="str">
        <v>GCS_Callisto_2000</v>
      </c>
      <c r="J8163" t="str">
        <v>World.</v>
      </c>
      <c r="K8163" s="11">
        <v>0</v>
      </c>
    </row>
    <row r="8164" spans="5:11" x14ac:dyDescent="0.35">
      <c r="E8164" s="9" t="str">
        <v>ESRI</v>
      </c>
      <c r="F8164" s="7" t="str">
        <v>104913</v>
      </c>
      <c r="G8164" t="str">
        <v>Geographic2DCrs</v>
      </c>
      <c r="H8164" t="str">
        <v>&lt;undefined&gt;</v>
      </c>
      <c r="I8164" t="str">
        <v>GCS_Carme_2000</v>
      </c>
      <c r="J8164" t="str">
        <v>World.</v>
      </c>
      <c r="K8164" s="11">
        <v>0</v>
      </c>
    </row>
    <row r="8165" spans="5:11" x14ac:dyDescent="0.35">
      <c r="E8165" s="9" t="str">
        <v>ESRI</v>
      </c>
      <c r="F8165" s="7" t="str">
        <v>104914</v>
      </c>
      <c r="G8165" t="str">
        <v>Geographic2DCrs</v>
      </c>
      <c r="H8165" t="str">
        <v>&lt;undefined&gt;</v>
      </c>
      <c r="I8165" t="str">
        <v>GCS_Elara_2000</v>
      </c>
      <c r="J8165" t="str">
        <v>World.</v>
      </c>
      <c r="K8165" s="11">
        <v>0</v>
      </c>
    </row>
    <row r="8166" spans="5:11" x14ac:dyDescent="0.35">
      <c r="E8166" s="9" t="str">
        <v>ESRI</v>
      </c>
      <c r="F8166" s="7" t="str">
        <v>104915</v>
      </c>
      <c r="G8166" t="str">
        <v>Geographic2DCrs</v>
      </c>
      <c r="H8166" t="str">
        <v>&lt;undefined&gt;</v>
      </c>
      <c r="I8166" t="str">
        <v>GCS_Europa_2000</v>
      </c>
      <c r="J8166" t="str">
        <v>World.</v>
      </c>
      <c r="K8166" s="11">
        <v>0</v>
      </c>
    </row>
    <row r="8167" spans="5:11" x14ac:dyDescent="0.35">
      <c r="E8167" s="9" t="str">
        <v>ESRI</v>
      </c>
      <c r="F8167" s="7" t="str">
        <v>104916</v>
      </c>
      <c r="G8167" t="str">
        <v>Geographic2DCrs</v>
      </c>
      <c r="H8167" t="str">
        <v>&lt;undefined&gt;</v>
      </c>
      <c r="I8167" t="str">
        <v>GCS_Ganymede_2000</v>
      </c>
      <c r="J8167" t="str">
        <v>World.</v>
      </c>
      <c r="K8167" s="11">
        <v>0</v>
      </c>
    </row>
    <row r="8168" spans="5:11" x14ac:dyDescent="0.35">
      <c r="E8168" s="9" t="str">
        <v>ESRI</v>
      </c>
      <c r="F8168" s="7" t="str">
        <v>104917</v>
      </c>
      <c r="G8168" t="str">
        <v>Geographic2DCrs</v>
      </c>
      <c r="H8168" t="str">
        <v>&lt;undefined&gt;</v>
      </c>
      <c r="I8168" t="str">
        <v>GCS_Himalia_2000</v>
      </c>
      <c r="J8168" t="str">
        <v>World.</v>
      </c>
      <c r="K8168" s="11">
        <v>0</v>
      </c>
    </row>
    <row r="8169" spans="5:11" x14ac:dyDescent="0.35">
      <c r="E8169" s="9" t="str">
        <v>ESRI</v>
      </c>
      <c r="F8169" s="7" t="str">
        <v>104918</v>
      </c>
      <c r="G8169" t="str">
        <v>Geographic2DCrs</v>
      </c>
      <c r="H8169" t="str">
        <v>&lt;undefined&gt;</v>
      </c>
      <c r="I8169" t="str">
        <v>GCS_Io_2000</v>
      </c>
      <c r="J8169" t="str">
        <v>World.</v>
      </c>
      <c r="K8169" s="11">
        <v>0</v>
      </c>
    </row>
    <row r="8170" spans="5:11" x14ac:dyDescent="0.35">
      <c r="E8170" s="9" t="str">
        <v>ESRI</v>
      </c>
      <c r="F8170" s="7" t="str">
        <v>104919</v>
      </c>
      <c r="G8170" t="str">
        <v>Geographic2DCrs</v>
      </c>
      <c r="H8170" t="str">
        <v>&lt;undefined&gt;</v>
      </c>
      <c r="I8170" t="str">
        <v>GCS_Leda_2000</v>
      </c>
      <c r="J8170" t="str">
        <v>World.</v>
      </c>
      <c r="K8170" s="11">
        <v>0</v>
      </c>
    </row>
    <row r="8171" spans="5:11" x14ac:dyDescent="0.35">
      <c r="E8171" s="9" t="str">
        <v>ESRI</v>
      </c>
      <c r="F8171" s="7" t="str">
        <v>104920</v>
      </c>
      <c r="G8171" t="str">
        <v>Geographic2DCrs</v>
      </c>
      <c r="H8171" t="str">
        <v>&lt;undefined&gt;</v>
      </c>
      <c r="I8171" t="str">
        <v>GCS_Lysithea_2000</v>
      </c>
      <c r="J8171" t="str">
        <v>World.</v>
      </c>
      <c r="K8171" s="11">
        <v>0</v>
      </c>
    </row>
    <row r="8172" spans="5:11" x14ac:dyDescent="0.35">
      <c r="E8172" s="9" t="str">
        <v>ESRI</v>
      </c>
      <c r="F8172" s="7" t="str">
        <v>104921</v>
      </c>
      <c r="G8172" t="str">
        <v>Geographic2DCrs</v>
      </c>
      <c r="H8172" t="str">
        <v>&lt;undefined&gt;</v>
      </c>
      <c r="I8172" t="str">
        <v>GCS_Metis_2000</v>
      </c>
      <c r="J8172" t="str">
        <v>World.</v>
      </c>
      <c r="K8172" s="11">
        <v>0</v>
      </c>
    </row>
    <row r="8173" spans="5:11" x14ac:dyDescent="0.35">
      <c r="E8173" s="9" t="str">
        <v>ESRI</v>
      </c>
      <c r="F8173" s="7" t="str">
        <v>104922</v>
      </c>
      <c r="G8173" t="str">
        <v>Geographic2DCrs</v>
      </c>
      <c r="H8173" t="str">
        <v>&lt;undefined&gt;</v>
      </c>
      <c r="I8173" t="str">
        <v>GCS_Pasiphae_2000</v>
      </c>
      <c r="J8173" t="str">
        <v>World.</v>
      </c>
      <c r="K8173" s="11">
        <v>0</v>
      </c>
    </row>
    <row r="8174" spans="5:11" x14ac:dyDescent="0.35">
      <c r="E8174" s="9" t="str">
        <v>ESRI</v>
      </c>
      <c r="F8174" s="7" t="str">
        <v>104923</v>
      </c>
      <c r="G8174" t="str">
        <v>Geographic2DCrs</v>
      </c>
      <c r="H8174" t="str">
        <v>&lt;undefined&gt;</v>
      </c>
      <c r="I8174" t="str">
        <v>GCS_Sinope_2000</v>
      </c>
      <c r="J8174" t="str">
        <v>World.</v>
      </c>
      <c r="K8174" s="11">
        <v>0</v>
      </c>
    </row>
    <row r="8175" spans="5:11" x14ac:dyDescent="0.35">
      <c r="E8175" s="9" t="str">
        <v>ESRI</v>
      </c>
      <c r="F8175" s="7" t="str">
        <v>104924</v>
      </c>
      <c r="G8175" t="str">
        <v>Geographic2DCrs</v>
      </c>
      <c r="H8175" t="str">
        <v>&lt;undefined&gt;</v>
      </c>
      <c r="I8175" t="str">
        <v>GCS_Thebe_2000</v>
      </c>
      <c r="J8175" t="str">
        <v>World.</v>
      </c>
      <c r="K8175" s="11">
        <v>0</v>
      </c>
    </row>
    <row r="8176" spans="5:11" x14ac:dyDescent="0.35">
      <c r="E8176" s="9" t="str">
        <v>ESRI</v>
      </c>
      <c r="F8176" s="7" t="str">
        <v>104925</v>
      </c>
      <c r="G8176" t="str">
        <v>Geographic2DCrs</v>
      </c>
      <c r="H8176" t="str">
        <v>&lt;undefined&gt;</v>
      </c>
      <c r="I8176" t="str">
        <v>GCS_Saturn_2000</v>
      </c>
      <c r="J8176" t="str">
        <v>World.</v>
      </c>
      <c r="K8176" s="11">
        <v>0</v>
      </c>
    </row>
    <row r="8177" spans="5:11" x14ac:dyDescent="0.35">
      <c r="E8177" s="9" t="str">
        <v>ESRI</v>
      </c>
      <c r="F8177" s="7" t="str">
        <v>104926</v>
      </c>
      <c r="G8177" t="str">
        <v>Geographic2DCrs</v>
      </c>
      <c r="H8177" t="str">
        <v>&lt;undefined&gt;</v>
      </c>
      <c r="I8177" t="str">
        <v>GCS_Atlas_2000</v>
      </c>
      <c r="J8177" t="str">
        <v>World.</v>
      </c>
      <c r="K8177" s="11">
        <v>0</v>
      </c>
    </row>
    <row r="8178" spans="5:11" x14ac:dyDescent="0.35">
      <c r="E8178" s="9" t="str">
        <v>ESRI</v>
      </c>
      <c r="F8178" s="7" t="str">
        <v>104927</v>
      </c>
      <c r="G8178" t="str">
        <v>Geographic2DCrs</v>
      </c>
      <c r="H8178" t="str">
        <v>&lt;undefined&gt;</v>
      </c>
      <c r="I8178" t="str">
        <v>GCS_Calypso_2000</v>
      </c>
      <c r="J8178" t="str">
        <v>World.</v>
      </c>
      <c r="K8178" s="11">
        <v>0</v>
      </c>
    </row>
    <row r="8179" spans="5:11" x14ac:dyDescent="0.35">
      <c r="E8179" s="9" t="str">
        <v>ESRI</v>
      </c>
      <c r="F8179" s="7" t="str">
        <v>104928</v>
      </c>
      <c r="G8179" t="str">
        <v>Geographic2DCrs</v>
      </c>
      <c r="H8179" t="str">
        <v>&lt;undefined&gt;</v>
      </c>
      <c r="I8179" t="str">
        <v>GCS_Dione_2000</v>
      </c>
      <c r="J8179" t="str">
        <v>World.</v>
      </c>
      <c r="K8179" s="11">
        <v>0</v>
      </c>
    </row>
    <row r="8180" spans="5:11" x14ac:dyDescent="0.35">
      <c r="E8180" s="9" t="str">
        <v>ESRI</v>
      </c>
      <c r="F8180" s="7" t="str">
        <v>104929</v>
      </c>
      <c r="G8180" t="str">
        <v>Geographic2DCrs</v>
      </c>
      <c r="H8180" t="str">
        <v>&lt;undefined&gt;</v>
      </c>
      <c r="I8180" t="str">
        <v>GCS_Enceladus_2000</v>
      </c>
      <c r="J8180" t="str">
        <v>World.</v>
      </c>
      <c r="K8180" s="11">
        <v>0</v>
      </c>
    </row>
    <row r="8181" spans="5:11" x14ac:dyDescent="0.35">
      <c r="E8181" s="9" t="str">
        <v>ESRI</v>
      </c>
      <c r="F8181" s="7" t="str">
        <v>104930</v>
      </c>
      <c r="G8181" t="str">
        <v>Geographic2DCrs</v>
      </c>
      <c r="H8181" t="str">
        <v>&lt;undefined&gt;</v>
      </c>
      <c r="I8181" t="str">
        <v>GCS_Epimetheus_2000</v>
      </c>
      <c r="J8181" t="str">
        <v>World.</v>
      </c>
      <c r="K8181" s="11">
        <v>0</v>
      </c>
    </row>
    <row r="8182" spans="5:11" x14ac:dyDescent="0.35">
      <c r="E8182" s="9" t="str">
        <v>ESRI</v>
      </c>
      <c r="F8182" s="7" t="str">
        <v>104931</v>
      </c>
      <c r="G8182" t="str">
        <v>Geographic2DCrs</v>
      </c>
      <c r="H8182" t="str">
        <v>&lt;undefined&gt;</v>
      </c>
      <c r="I8182" t="str">
        <v>GCS_Helene_2000</v>
      </c>
      <c r="J8182" t="str">
        <v>World.</v>
      </c>
      <c r="K8182" s="11">
        <v>0</v>
      </c>
    </row>
    <row r="8183" spans="5:11" x14ac:dyDescent="0.35">
      <c r="E8183" s="9" t="str">
        <v>ESRI</v>
      </c>
      <c r="F8183" s="7" t="str">
        <v>104932</v>
      </c>
      <c r="G8183" t="str">
        <v>Geographic2DCrs</v>
      </c>
      <c r="H8183" t="str">
        <v>&lt;undefined&gt;</v>
      </c>
      <c r="I8183" t="str">
        <v>GCS_Hyperion_2000</v>
      </c>
      <c r="J8183" t="str">
        <v>World.</v>
      </c>
      <c r="K8183" s="11">
        <v>0</v>
      </c>
    </row>
    <row r="8184" spans="5:11" x14ac:dyDescent="0.35">
      <c r="E8184" s="9" t="str">
        <v>ESRI</v>
      </c>
      <c r="F8184" s="7" t="str">
        <v>104933</v>
      </c>
      <c r="G8184" t="str">
        <v>Geographic2DCrs</v>
      </c>
      <c r="H8184" t="str">
        <v>&lt;undefined&gt;</v>
      </c>
      <c r="I8184" t="str">
        <v>GCS_Iapetus_2000</v>
      </c>
      <c r="J8184" t="str">
        <v>World.</v>
      </c>
      <c r="K8184" s="11">
        <v>0</v>
      </c>
    </row>
    <row r="8185" spans="5:11" x14ac:dyDescent="0.35">
      <c r="E8185" s="9" t="str">
        <v>ESRI</v>
      </c>
      <c r="F8185" s="7" t="str">
        <v>104934</v>
      </c>
      <c r="G8185" t="str">
        <v>Geographic2DCrs</v>
      </c>
      <c r="H8185" t="str">
        <v>&lt;undefined&gt;</v>
      </c>
      <c r="I8185" t="str">
        <v>GCS_Janus_2000</v>
      </c>
      <c r="J8185" t="str">
        <v>World.</v>
      </c>
      <c r="K8185" s="11">
        <v>0</v>
      </c>
    </row>
    <row r="8186" spans="5:11" x14ac:dyDescent="0.35">
      <c r="E8186" s="9" t="str">
        <v>ESRI</v>
      </c>
      <c r="F8186" s="7" t="str">
        <v>104935</v>
      </c>
      <c r="G8186" t="str">
        <v>Geographic2DCrs</v>
      </c>
      <c r="H8186" t="str">
        <v>&lt;undefined&gt;</v>
      </c>
      <c r="I8186" t="str">
        <v>GCS_Mimas_2000</v>
      </c>
      <c r="J8186" t="str">
        <v>World.</v>
      </c>
      <c r="K8186" s="11">
        <v>0</v>
      </c>
    </row>
    <row r="8187" spans="5:11" x14ac:dyDescent="0.35">
      <c r="E8187" s="9" t="str">
        <v>ESRI</v>
      </c>
      <c r="F8187" s="7" t="str">
        <v>104936</v>
      </c>
      <c r="G8187" t="str">
        <v>Geographic2DCrs</v>
      </c>
      <c r="H8187" t="str">
        <v>&lt;undefined&gt;</v>
      </c>
      <c r="I8187" t="str">
        <v>GCS_Pan_2000</v>
      </c>
      <c r="J8187" t="str">
        <v>World.</v>
      </c>
      <c r="K8187" s="11">
        <v>0</v>
      </c>
    </row>
    <row r="8188" spans="5:11" x14ac:dyDescent="0.35">
      <c r="E8188" s="9" t="str">
        <v>ESRI</v>
      </c>
      <c r="F8188" s="7" t="str">
        <v>104937</v>
      </c>
      <c r="G8188" t="str">
        <v>Geographic2DCrs</v>
      </c>
      <c r="H8188" t="str">
        <v>&lt;undefined&gt;</v>
      </c>
      <c r="I8188" t="str">
        <v>GCS_Pandora_2000</v>
      </c>
      <c r="J8188" t="str">
        <v>World.</v>
      </c>
      <c r="K8188" s="11">
        <v>0</v>
      </c>
    </row>
    <row r="8189" spans="5:11" x14ac:dyDescent="0.35">
      <c r="E8189" s="9" t="str">
        <v>ESRI</v>
      </c>
      <c r="F8189" s="7" t="str">
        <v>104938</v>
      </c>
      <c r="G8189" t="str">
        <v>Geographic2DCrs</v>
      </c>
      <c r="H8189" t="str">
        <v>&lt;undefined&gt;</v>
      </c>
      <c r="I8189" t="str">
        <v>GCS_Phoebe_2000</v>
      </c>
      <c r="J8189" t="str">
        <v>World.</v>
      </c>
      <c r="K8189" s="11">
        <v>0</v>
      </c>
    </row>
    <row r="8190" spans="5:11" x14ac:dyDescent="0.35">
      <c r="E8190" s="9" t="str">
        <v>ESRI</v>
      </c>
      <c r="F8190" s="7" t="str">
        <v>104939</v>
      </c>
      <c r="G8190" t="str">
        <v>Geographic2DCrs</v>
      </c>
      <c r="H8190" t="str">
        <v>&lt;undefined&gt;</v>
      </c>
      <c r="I8190" t="str">
        <v>GCS_Prometheus_2000</v>
      </c>
      <c r="J8190" t="str">
        <v>World.</v>
      </c>
      <c r="K8190" s="11">
        <v>0</v>
      </c>
    </row>
    <row r="8191" spans="5:11" x14ac:dyDescent="0.35">
      <c r="E8191" s="9" t="str">
        <v>ESRI</v>
      </c>
      <c r="F8191" s="7" t="str">
        <v>104940</v>
      </c>
      <c r="G8191" t="str">
        <v>Geographic2DCrs</v>
      </c>
      <c r="H8191" t="str">
        <v>&lt;undefined&gt;</v>
      </c>
      <c r="I8191" t="str">
        <v>GCS_Rhea_2000</v>
      </c>
      <c r="J8191" t="str">
        <v>World.</v>
      </c>
      <c r="K8191" s="11">
        <v>0</v>
      </c>
    </row>
    <row r="8192" spans="5:11" x14ac:dyDescent="0.35">
      <c r="E8192" s="9" t="str">
        <v>ESRI</v>
      </c>
      <c r="F8192" s="7" t="str">
        <v>104941</v>
      </c>
      <c r="G8192" t="str">
        <v>Geographic2DCrs</v>
      </c>
      <c r="H8192" t="str">
        <v>&lt;undefined&gt;</v>
      </c>
      <c r="I8192" t="str">
        <v>GCS_Telesto_2000</v>
      </c>
      <c r="J8192" t="str">
        <v>World.</v>
      </c>
      <c r="K8192" s="11">
        <v>0</v>
      </c>
    </row>
    <row r="8193" spans="5:11" x14ac:dyDescent="0.35">
      <c r="E8193" s="9" t="str">
        <v>ESRI</v>
      </c>
      <c r="F8193" s="7" t="str">
        <v>104942</v>
      </c>
      <c r="G8193" t="str">
        <v>Geographic2DCrs</v>
      </c>
      <c r="H8193" t="str">
        <v>&lt;undefined&gt;</v>
      </c>
      <c r="I8193" t="str">
        <v>GCS_Tethys_2000</v>
      </c>
      <c r="J8193" t="str">
        <v>World.</v>
      </c>
      <c r="K8193" s="11">
        <v>0</v>
      </c>
    </row>
    <row r="8194" spans="5:11" x14ac:dyDescent="0.35">
      <c r="E8194" s="9" t="str">
        <v>ESRI</v>
      </c>
      <c r="F8194" s="7" t="str">
        <v>104943</v>
      </c>
      <c r="G8194" t="str">
        <v>Geographic2DCrs</v>
      </c>
      <c r="H8194" t="str">
        <v>&lt;undefined&gt;</v>
      </c>
      <c r="I8194" t="str">
        <v>GCS_Titan_2000</v>
      </c>
      <c r="J8194" t="str">
        <v>World.</v>
      </c>
      <c r="K8194" s="11">
        <v>0</v>
      </c>
    </row>
    <row r="8195" spans="5:11" x14ac:dyDescent="0.35">
      <c r="E8195" s="9" t="str">
        <v>ESRI</v>
      </c>
      <c r="F8195" s="7" t="str">
        <v>104944</v>
      </c>
      <c r="G8195" t="str">
        <v>Geographic2DCrs</v>
      </c>
      <c r="H8195" t="str">
        <v>&lt;undefined&gt;</v>
      </c>
      <c r="I8195" t="str">
        <v>GCS_Uranus_2000</v>
      </c>
      <c r="J8195" t="str">
        <v>World.</v>
      </c>
      <c r="K8195" s="11">
        <v>0</v>
      </c>
    </row>
    <row r="8196" spans="5:11" x14ac:dyDescent="0.35">
      <c r="E8196" s="9" t="str">
        <v>ESRI</v>
      </c>
      <c r="F8196" s="7" t="str">
        <v>104945</v>
      </c>
      <c r="G8196" t="str">
        <v>Geographic2DCrs</v>
      </c>
      <c r="H8196" t="str">
        <v>&lt;undefined&gt;</v>
      </c>
      <c r="I8196" t="str">
        <v>GCS_Ariel_2000</v>
      </c>
      <c r="J8196" t="str">
        <v>World.</v>
      </c>
      <c r="K8196" s="11">
        <v>0</v>
      </c>
    </row>
    <row r="8197" spans="5:11" x14ac:dyDescent="0.35">
      <c r="E8197" s="9" t="str">
        <v>ESRI</v>
      </c>
      <c r="F8197" s="7" t="str">
        <v>104946</v>
      </c>
      <c r="G8197" t="str">
        <v>Geographic2DCrs</v>
      </c>
      <c r="H8197" t="str">
        <v>&lt;undefined&gt;</v>
      </c>
      <c r="I8197" t="str">
        <v>GCS_Belinda_2000</v>
      </c>
      <c r="J8197" t="str">
        <v>World.</v>
      </c>
      <c r="K8197" s="11">
        <v>0</v>
      </c>
    </row>
    <row r="8198" spans="5:11" x14ac:dyDescent="0.35">
      <c r="E8198" s="9" t="str">
        <v>ESRI</v>
      </c>
      <c r="F8198" s="7" t="str">
        <v>104947</v>
      </c>
      <c r="G8198" t="str">
        <v>Geographic2DCrs</v>
      </c>
      <c r="H8198" t="str">
        <v>&lt;undefined&gt;</v>
      </c>
      <c r="I8198" t="str">
        <v>GCS_Bianca_2000</v>
      </c>
      <c r="J8198" t="str">
        <v>World.</v>
      </c>
      <c r="K8198" s="11">
        <v>0</v>
      </c>
    </row>
    <row r="8199" spans="5:11" x14ac:dyDescent="0.35">
      <c r="E8199" s="9" t="str">
        <v>ESRI</v>
      </c>
      <c r="F8199" s="7" t="str">
        <v>104948</v>
      </c>
      <c r="G8199" t="str">
        <v>Geographic2DCrs</v>
      </c>
      <c r="H8199" t="str">
        <v>&lt;undefined&gt;</v>
      </c>
      <c r="I8199" t="str">
        <v>GCS_Cordelia_2000</v>
      </c>
      <c r="J8199" t="str">
        <v>World.</v>
      </c>
      <c r="K8199" s="11">
        <v>0</v>
      </c>
    </row>
    <row r="8200" spans="5:11" x14ac:dyDescent="0.35">
      <c r="E8200" s="9" t="str">
        <v>ESRI</v>
      </c>
      <c r="F8200" s="7" t="str">
        <v>104949</v>
      </c>
      <c r="G8200" t="str">
        <v>Geographic2DCrs</v>
      </c>
      <c r="H8200" t="str">
        <v>&lt;undefined&gt;</v>
      </c>
      <c r="I8200" t="str">
        <v>GCS_Cressida_2000</v>
      </c>
      <c r="J8200" t="str">
        <v>World.</v>
      </c>
      <c r="K8200" s="11">
        <v>0</v>
      </c>
    </row>
    <row r="8201" spans="5:11" x14ac:dyDescent="0.35">
      <c r="E8201" s="9" t="str">
        <v>ESRI</v>
      </c>
      <c r="F8201" s="7" t="str">
        <v>104950</v>
      </c>
      <c r="G8201" t="str">
        <v>Geographic2DCrs</v>
      </c>
      <c r="H8201" t="str">
        <v>&lt;undefined&gt;</v>
      </c>
      <c r="I8201" t="str">
        <v>GCS_Desdemona_2000</v>
      </c>
      <c r="J8201" t="str">
        <v>World.</v>
      </c>
      <c r="K8201" s="11">
        <v>0</v>
      </c>
    </row>
    <row r="8202" spans="5:11" x14ac:dyDescent="0.35">
      <c r="E8202" s="9" t="str">
        <v>ESRI</v>
      </c>
      <c r="F8202" s="7" t="str">
        <v>104951</v>
      </c>
      <c r="G8202" t="str">
        <v>Geographic2DCrs</v>
      </c>
      <c r="H8202" t="str">
        <v>&lt;undefined&gt;</v>
      </c>
      <c r="I8202" t="str">
        <v>GCS_Juliet_2000</v>
      </c>
      <c r="J8202" t="str">
        <v>World.</v>
      </c>
      <c r="K8202" s="11">
        <v>0</v>
      </c>
    </row>
    <row r="8203" spans="5:11" x14ac:dyDescent="0.35">
      <c r="E8203" s="9" t="str">
        <v>ESRI</v>
      </c>
      <c r="F8203" s="7" t="str">
        <v>104952</v>
      </c>
      <c r="G8203" t="str">
        <v>Geographic2DCrs</v>
      </c>
      <c r="H8203" t="str">
        <v>&lt;undefined&gt;</v>
      </c>
      <c r="I8203" t="str">
        <v>GCS_Miranda_2000</v>
      </c>
      <c r="J8203" t="str">
        <v>World.</v>
      </c>
      <c r="K8203" s="11">
        <v>0</v>
      </c>
    </row>
    <row r="8204" spans="5:11" x14ac:dyDescent="0.35">
      <c r="E8204" s="9" t="str">
        <v>ESRI</v>
      </c>
      <c r="F8204" s="7" t="str">
        <v>104953</v>
      </c>
      <c r="G8204" t="str">
        <v>Geographic2DCrs</v>
      </c>
      <c r="H8204" t="str">
        <v>&lt;undefined&gt;</v>
      </c>
      <c r="I8204" t="str">
        <v>GCS_Oberon_2000</v>
      </c>
      <c r="J8204" t="str">
        <v>World.</v>
      </c>
      <c r="K8204" s="11">
        <v>0</v>
      </c>
    </row>
    <row r="8205" spans="5:11" x14ac:dyDescent="0.35">
      <c r="E8205" s="9" t="str">
        <v>ESRI</v>
      </c>
      <c r="F8205" s="7" t="str">
        <v>104954</v>
      </c>
      <c r="G8205" t="str">
        <v>Geographic2DCrs</v>
      </c>
      <c r="H8205" t="str">
        <v>&lt;undefined&gt;</v>
      </c>
      <c r="I8205" t="str">
        <v>GCS_Ophelia_2000</v>
      </c>
      <c r="J8205" t="str">
        <v>World.</v>
      </c>
      <c r="K8205" s="11">
        <v>0</v>
      </c>
    </row>
    <row r="8206" spans="5:11" x14ac:dyDescent="0.35">
      <c r="E8206" s="9" t="str">
        <v>ESRI</v>
      </c>
      <c r="F8206" s="7" t="str">
        <v>104955</v>
      </c>
      <c r="G8206" t="str">
        <v>Geographic2DCrs</v>
      </c>
      <c r="H8206" t="str">
        <v>&lt;undefined&gt;</v>
      </c>
      <c r="I8206" t="str">
        <v>GCS_Portia_2000</v>
      </c>
      <c r="J8206" t="str">
        <v>World.</v>
      </c>
      <c r="K8206" s="11">
        <v>0</v>
      </c>
    </row>
    <row r="8207" spans="5:11" x14ac:dyDescent="0.35">
      <c r="E8207" s="9" t="str">
        <v>ESRI</v>
      </c>
      <c r="F8207" s="7" t="str">
        <v>104956</v>
      </c>
      <c r="G8207" t="str">
        <v>Geographic2DCrs</v>
      </c>
      <c r="H8207" t="str">
        <v>&lt;undefined&gt;</v>
      </c>
      <c r="I8207" t="str">
        <v>GCS_Puck_2000</v>
      </c>
      <c r="J8207" t="str">
        <v>World.</v>
      </c>
      <c r="K8207" s="11">
        <v>0</v>
      </c>
    </row>
    <row r="8208" spans="5:11" x14ac:dyDescent="0.35">
      <c r="E8208" s="9" t="str">
        <v>ESRI</v>
      </c>
      <c r="F8208" s="7" t="str">
        <v>104957</v>
      </c>
      <c r="G8208" t="str">
        <v>Geographic2DCrs</v>
      </c>
      <c r="H8208" t="str">
        <v>&lt;undefined&gt;</v>
      </c>
      <c r="I8208" t="str">
        <v>GCS_Rosalind_2000</v>
      </c>
      <c r="J8208" t="str">
        <v>World.</v>
      </c>
      <c r="K8208" s="11">
        <v>0</v>
      </c>
    </row>
    <row r="8209" spans="5:11" x14ac:dyDescent="0.35">
      <c r="E8209" s="9" t="str">
        <v>ESRI</v>
      </c>
      <c r="F8209" s="7" t="str">
        <v>104958</v>
      </c>
      <c r="G8209" t="str">
        <v>Geographic2DCrs</v>
      </c>
      <c r="H8209" t="str">
        <v>&lt;undefined&gt;</v>
      </c>
      <c r="I8209" t="str">
        <v>GCS_Titania_2000</v>
      </c>
      <c r="J8209" t="str">
        <v>World.</v>
      </c>
      <c r="K8209" s="11">
        <v>0</v>
      </c>
    </row>
    <row r="8210" spans="5:11" x14ac:dyDescent="0.35">
      <c r="E8210" s="9" t="str">
        <v>ESRI</v>
      </c>
      <c r="F8210" s="7" t="str">
        <v>104959</v>
      </c>
      <c r="G8210" t="str">
        <v>Geographic2DCrs</v>
      </c>
      <c r="H8210" t="str">
        <v>&lt;undefined&gt;</v>
      </c>
      <c r="I8210" t="str">
        <v>GCS_Umbriel_2000</v>
      </c>
      <c r="J8210" t="str">
        <v>World.</v>
      </c>
      <c r="K8210" s="11">
        <v>0</v>
      </c>
    </row>
    <row r="8211" spans="5:11" x14ac:dyDescent="0.35">
      <c r="E8211" s="9" t="str">
        <v>ESRI</v>
      </c>
      <c r="F8211" s="7" t="str">
        <v>104960</v>
      </c>
      <c r="G8211" t="str">
        <v>Geographic2DCrs</v>
      </c>
      <c r="H8211" t="str">
        <v>&lt;undefined&gt;</v>
      </c>
      <c r="I8211" t="str">
        <v>GCS_Neptune_2000</v>
      </c>
      <c r="J8211" t="str">
        <v>World.</v>
      </c>
      <c r="K8211" s="11">
        <v>0</v>
      </c>
    </row>
    <row r="8212" spans="5:11" x14ac:dyDescent="0.35">
      <c r="E8212" s="9" t="str">
        <v>ESRI</v>
      </c>
      <c r="F8212" s="7" t="str">
        <v>104961</v>
      </c>
      <c r="G8212" t="str">
        <v>Geographic2DCrs</v>
      </c>
      <c r="H8212" t="str">
        <v>&lt;undefined&gt;</v>
      </c>
      <c r="I8212" t="str">
        <v>GCS_Despina_2000</v>
      </c>
      <c r="J8212" t="str">
        <v>World.</v>
      </c>
      <c r="K8212" s="11">
        <v>0</v>
      </c>
    </row>
    <row r="8213" spans="5:11" x14ac:dyDescent="0.35">
      <c r="E8213" s="9" t="str">
        <v>ESRI</v>
      </c>
      <c r="F8213" s="7" t="str">
        <v>104962</v>
      </c>
      <c r="G8213" t="str">
        <v>Geographic2DCrs</v>
      </c>
      <c r="H8213" t="str">
        <v>&lt;undefined&gt;</v>
      </c>
      <c r="I8213" t="str">
        <v>GCS_Galatea_2000</v>
      </c>
      <c r="J8213" t="str">
        <v>World.</v>
      </c>
      <c r="K8213" s="11">
        <v>0</v>
      </c>
    </row>
    <row r="8214" spans="5:11" x14ac:dyDescent="0.35">
      <c r="E8214" s="9" t="str">
        <v>ESRI</v>
      </c>
      <c r="F8214" s="7" t="str">
        <v>104963</v>
      </c>
      <c r="G8214" t="str">
        <v>Geographic2DCrs</v>
      </c>
      <c r="H8214" t="str">
        <v>&lt;undefined&gt;</v>
      </c>
      <c r="I8214" t="str">
        <v>GCS_Larissa_2000</v>
      </c>
      <c r="J8214" t="str">
        <v>World.</v>
      </c>
      <c r="K8214" s="11">
        <v>0</v>
      </c>
    </row>
    <row r="8215" spans="5:11" x14ac:dyDescent="0.35">
      <c r="E8215" s="9" t="str">
        <v>ESRI</v>
      </c>
      <c r="F8215" s="7" t="str">
        <v>104964</v>
      </c>
      <c r="G8215" t="str">
        <v>Geographic2DCrs</v>
      </c>
      <c r="H8215" t="str">
        <v>&lt;undefined&gt;</v>
      </c>
      <c r="I8215" t="str">
        <v>GCS_Naiad_2000</v>
      </c>
      <c r="J8215" t="str">
        <v>World.</v>
      </c>
      <c r="K8215" s="11">
        <v>0</v>
      </c>
    </row>
    <row r="8216" spans="5:11" x14ac:dyDescent="0.35">
      <c r="E8216" s="9" t="str">
        <v>ESRI</v>
      </c>
      <c r="F8216" s="7" t="str">
        <v>104965</v>
      </c>
      <c r="G8216" t="str">
        <v>Geographic2DCrs</v>
      </c>
      <c r="H8216" t="str">
        <v>&lt;undefined&gt;</v>
      </c>
      <c r="I8216" t="str">
        <v>GCS_Nereid_2000</v>
      </c>
      <c r="J8216" t="str">
        <v>World.</v>
      </c>
      <c r="K8216" s="11">
        <v>0</v>
      </c>
    </row>
    <row r="8217" spans="5:11" x14ac:dyDescent="0.35">
      <c r="E8217" s="9" t="str">
        <v>ESRI</v>
      </c>
      <c r="F8217" s="7" t="str">
        <v>104966</v>
      </c>
      <c r="G8217" t="str">
        <v>Geographic2DCrs</v>
      </c>
      <c r="H8217" t="str">
        <v>&lt;undefined&gt;</v>
      </c>
      <c r="I8217" t="str">
        <v>GCS_Proteus_2000</v>
      </c>
      <c r="J8217" t="str">
        <v>World.</v>
      </c>
      <c r="K8217" s="11">
        <v>0</v>
      </c>
    </row>
    <row r="8218" spans="5:11" x14ac:dyDescent="0.35">
      <c r="E8218" s="9" t="str">
        <v>ESRI</v>
      </c>
      <c r="F8218" s="7" t="str">
        <v>104967</v>
      </c>
      <c r="G8218" t="str">
        <v>Geographic2DCrs</v>
      </c>
      <c r="H8218" t="str">
        <v>&lt;undefined&gt;</v>
      </c>
      <c r="I8218" t="str">
        <v>GCS_Thalassa_2000</v>
      </c>
      <c r="J8218" t="str">
        <v>World.</v>
      </c>
      <c r="K8218" s="11">
        <v>0</v>
      </c>
    </row>
    <row r="8219" spans="5:11" x14ac:dyDescent="0.35">
      <c r="E8219" s="9" t="str">
        <v>ESRI</v>
      </c>
      <c r="F8219" s="7" t="str">
        <v>104968</v>
      </c>
      <c r="G8219" t="str">
        <v>Geographic2DCrs</v>
      </c>
      <c r="H8219" t="str">
        <v>&lt;undefined&gt;</v>
      </c>
      <c r="I8219" t="str">
        <v>GCS_Triton_2000</v>
      </c>
      <c r="J8219" t="str">
        <v>World.</v>
      </c>
      <c r="K8219" s="11">
        <v>0</v>
      </c>
    </row>
    <row r="8220" spans="5:11" x14ac:dyDescent="0.35">
      <c r="E8220" s="9" t="str">
        <v>ESRI</v>
      </c>
      <c r="F8220" s="7" t="str">
        <v>104969</v>
      </c>
      <c r="G8220" t="str">
        <v>Geographic2DCrs</v>
      </c>
      <c r="H8220" t="str">
        <v>&lt;undefined&gt;</v>
      </c>
      <c r="I8220" t="str">
        <v>GCS_Pluto_2000</v>
      </c>
      <c r="J8220" t="str">
        <v>World.</v>
      </c>
      <c r="K8220" s="11">
        <v>0</v>
      </c>
    </row>
    <row r="8221" spans="5:11" x14ac:dyDescent="0.35">
      <c r="E8221" s="9" t="str">
        <v>ESRI</v>
      </c>
      <c r="F8221" s="7" t="str">
        <v>104970</v>
      </c>
      <c r="G8221" t="str">
        <v>Geographic2DCrs</v>
      </c>
      <c r="H8221" t="str">
        <v>&lt;undefined&gt;</v>
      </c>
      <c r="I8221" t="str">
        <v>GCS_Charon_2000</v>
      </c>
      <c r="J8221" t="str">
        <v>World.</v>
      </c>
      <c r="K8221" s="11">
        <v>0</v>
      </c>
    </row>
    <row r="8222" spans="5:11" x14ac:dyDescent="0.35">
      <c r="E8222" s="9" t="str">
        <v>ESRI</v>
      </c>
      <c r="F8222" s="7" t="str">
        <v>104971</v>
      </c>
      <c r="G8222" t="str">
        <v>Geographic2DCrs</v>
      </c>
      <c r="H8222" t="str">
        <v>&lt;undefined&gt;</v>
      </c>
      <c r="I8222" t="str">
        <v>Mars_2000_(Sphere)</v>
      </c>
      <c r="J8222" t="str">
        <v>World.</v>
      </c>
      <c r="K8222" s="11">
        <v>0</v>
      </c>
    </row>
    <row r="8223" spans="5:11" x14ac:dyDescent="0.35">
      <c r="E8223" s="9" t="str">
        <v>ESRI</v>
      </c>
      <c r="F8223" s="7" t="str">
        <v>104972</v>
      </c>
      <c r="G8223" t="str">
        <v>Geographic2DCrs</v>
      </c>
      <c r="H8223" t="str">
        <v>&lt;undefined&gt;</v>
      </c>
      <c r="I8223" t="str">
        <v>1_Ceres_2015</v>
      </c>
      <c r="J8223" t="str">
        <v>World.</v>
      </c>
      <c r="K8223" s="11">
        <v>0</v>
      </c>
    </row>
    <row r="8224" spans="5:11" x14ac:dyDescent="0.35">
      <c r="E8224" s="9" t="str">
        <v>ESRI</v>
      </c>
      <c r="F8224" s="7" t="str">
        <v>104973</v>
      </c>
      <c r="G8224" t="str">
        <v>Geographic2DCrs</v>
      </c>
      <c r="H8224" t="str">
        <v>&lt;undefined&gt;</v>
      </c>
      <c r="I8224" t="str">
        <v>4_Vesta_2015</v>
      </c>
      <c r="J8224" t="str">
        <v>World.</v>
      </c>
      <c r="K8224" s="11">
        <v>0</v>
      </c>
    </row>
    <row r="8225" spans="5:11" x14ac:dyDescent="0.35">
      <c r="E8225" s="9" t="str">
        <v>ESRI</v>
      </c>
      <c r="F8225" s="7" t="str">
        <v>104974</v>
      </c>
      <c r="G8225" t="str">
        <v>Geographic2DCrs</v>
      </c>
      <c r="H8225" t="str">
        <v>&lt;undefined&gt;</v>
      </c>
      <c r="I8225" t="str">
        <v>Mercury_2015</v>
      </c>
      <c r="J8225" t="str">
        <v>World.</v>
      </c>
      <c r="K8225" s="11">
        <v>0</v>
      </c>
    </row>
    <row r="8226" spans="5:11" x14ac:dyDescent="0.35">
      <c r="E8226" s="9" t="str">
        <v>ESRI</v>
      </c>
      <c r="F8226" s="7" t="str">
        <v>104975</v>
      </c>
      <c r="G8226" t="str">
        <v>Geographic2DCrs</v>
      </c>
      <c r="H8226" t="str">
        <v>&lt;undefined&gt;</v>
      </c>
      <c r="I8226" t="str">
        <v>Sun_2015</v>
      </c>
      <c r="J8226" t="str">
        <v>World.</v>
      </c>
      <c r="K8226" s="11">
        <v>0</v>
      </c>
    </row>
    <row r="8227" spans="5:11" x14ac:dyDescent="0.35">
      <c r="E8227" s="9" t="str">
        <v>ESRI</v>
      </c>
      <c r="F8227" s="7" t="str">
        <v>104976</v>
      </c>
      <c r="G8227" t="str">
        <v>Geographic2DCrs</v>
      </c>
      <c r="H8227" t="str">
        <v>&lt;undefined&gt;</v>
      </c>
      <c r="I8227" t="str">
        <v>Atlas_2015</v>
      </c>
      <c r="J8227" t="str">
        <v>World.</v>
      </c>
      <c r="K8227" s="11">
        <v>0</v>
      </c>
    </row>
    <row r="8228" spans="5:11" x14ac:dyDescent="0.35">
      <c r="E8228" s="9" t="str">
        <v>ESRI</v>
      </c>
      <c r="F8228" s="7" t="str">
        <v>104977</v>
      </c>
      <c r="G8228" t="str">
        <v>Geographic2DCrs</v>
      </c>
      <c r="H8228" t="str">
        <v>&lt;undefined&gt;</v>
      </c>
      <c r="I8228" t="str">
        <v>Calypso_2015</v>
      </c>
      <c r="J8228" t="str">
        <v>World.</v>
      </c>
      <c r="K8228" s="11">
        <v>0</v>
      </c>
    </row>
    <row r="8229" spans="5:11" x14ac:dyDescent="0.35">
      <c r="E8229" s="9" t="str">
        <v>ESRI</v>
      </c>
      <c r="F8229" s="7" t="str">
        <v>104978</v>
      </c>
      <c r="G8229" t="str">
        <v>Geographic2DCrs</v>
      </c>
      <c r="H8229" t="str">
        <v>&lt;undefined&gt;</v>
      </c>
      <c r="I8229" t="str">
        <v>Daphnis_2015</v>
      </c>
      <c r="J8229" t="str">
        <v>World.</v>
      </c>
      <c r="K8229" s="11">
        <v>0</v>
      </c>
    </row>
    <row r="8230" spans="5:11" x14ac:dyDescent="0.35">
      <c r="E8230" s="9" t="str">
        <v>ESRI</v>
      </c>
      <c r="F8230" s="7" t="str">
        <v>104979</v>
      </c>
      <c r="G8230" t="str">
        <v>Geographic2DCrs</v>
      </c>
      <c r="H8230" t="str">
        <v>&lt;undefined&gt;</v>
      </c>
      <c r="I8230" t="str">
        <v>Dione_2015</v>
      </c>
      <c r="J8230" t="str">
        <v>World.</v>
      </c>
      <c r="K8230" s="11">
        <v>0</v>
      </c>
    </row>
    <row r="8231" spans="5:11" x14ac:dyDescent="0.35">
      <c r="E8231" s="9" t="str">
        <v>ESRI</v>
      </c>
      <c r="F8231" s="7" t="str">
        <v>104980</v>
      </c>
      <c r="G8231" t="str">
        <v>Geographic2DCrs</v>
      </c>
      <c r="H8231" t="str">
        <v>&lt;undefined&gt;</v>
      </c>
      <c r="I8231" t="str">
        <v>Enceladus_2015</v>
      </c>
      <c r="J8231" t="str">
        <v>World.</v>
      </c>
      <c r="K8231" s="11">
        <v>0</v>
      </c>
    </row>
    <row r="8232" spans="5:11" x14ac:dyDescent="0.35">
      <c r="E8232" s="9" t="str">
        <v>ESRI</v>
      </c>
      <c r="F8232" s="7" t="str">
        <v>104981</v>
      </c>
      <c r="G8232" t="str">
        <v>Geographic2DCrs</v>
      </c>
      <c r="H8232" t="str">
        <v>&lt;undefined&gt;</v>
      </c>
      <c r="I8232" t="str">
        <v>Epimetheus_2015</v>
      </c>
      <c r="J8232" t="str">
        <v>World.</v>
      </c>
      <c r="K8232" s="11">
        <v>0</v>
      </c>
    </row>
    <row r="8233" spans="5:11" x14ac:dyDescent="0.35">
      <c r="E8233" s="9" t="str">
        <v>ESRI</v>
      </c>
      <c r="F8233" s="7" t="str">
        <v>104982</v>
      </c>
      <c r="G8233" t="str">
        <v>Geographic2DCrs</v>
      </c>
      <c r="H8233" t="str">
        <v>&lt;undefined&gt;</v>
      </c>
      <c r="I8233" t="str">
        <v>Helene_2015</v>
      </c>
      <c r="J8233" t="str">
        <v>World.</v>
      </c>
      <c r="K8233" s="11">
        <v>0</v>
      </c>
    </row>
    <row r="8234" spans="5:11" x14ac:dyDescent="0.35">
      <c r="E8234" s="9" t="str">
        <v>ESRI</v>
      </c>
      <c r="F8234" s="7" t="str">
        <v>104983</v>
      </c>
      <c r="G8234" t="str">
        <v>Geographic2DCrs</v>
      </c>
      <c r="H8234" t="str">
        <v>&lt;undefined&gt;</v>
      </c>
      <c r="I8234" t="str">
        <v>Hyperion_2015</v>
      </c>
      <c r="J8234" t="str">
        <v>World.</v>
      </c>
      <c r="K8234" s="11">
        <v>0</v>
      </c>
    </row>
    <row r="8235" spans="5:11" x14ac:dyDescent="0.35">
      <c r="E8235" s="9" t="str">
        <v>ESRI</v>
      </c>
      <c r="F8235" s="7" t="str">
        <v>104984</v>
      </c>
      <c r="G8235" t="str">
        <v>Geographic2DCrs</v>
      </c>
      <c r="H8235" t="str">
        <v>&lt;undefined&gt;</v>
      </c>
      <c r="I8235" t="str">
        <v>Iapetus_2015</v>
      </c>
      <c r="J8235" t="str">
        <v>World.</v>
      </c>
      <c r="K8235" s="11">
        <v>0</v>
      </c>
    </row>
    <row r="8236" spans="5:11" x14ac:dyDescent="0.35">
      <c r="E8236" s="9" t="str">
        <v>ESRI</v>
      </c>
      <c r="F8236" s="7" t="str">
        <v>104985</v>
      </c>
      <c r="G8236" t="str">
        <v>Geographic2DCrs</v>
      </c>
      <c r="H8236" t="str">
        <v>&lt;undefined&gt;</v>
      </c>
      <c r="I8236" t="str">
        <v>Janus_2015</v>
      </c>
      <c r="J8236" t="str">
        <v>World.</v>
      </c>
      <c r="K8236" s="11">
        <v>0</v>
      </c>
    </row>
    <row r="8237" spans="5:11" x14ac:dyDescent="0.35">
      <c r="E8237" s="9" t="str">
        <v>ESRI</v>
      </c>
      <c r="F8237" s="7" t="str">
        <v>104986</v>
      </c>
      <c r="G8237" t="str">
        <v>Geographic2DCrs</v>
      </c>
      <c r="H8237" t="str">
        <v>&lt;undefined&gt;</v>
      </c>
      <c r="I8237" t="str">
        <v>Methone_2015</v>
      </c>
      <c r="J8237" t="str">
        <v>World.</v>
      </c>
      <c r="K8237" s="11">
        <v>0</v>
      </c>
    </row>
    <row r="8238" spans="5:11" x14ac:dyDescent="0.35">
      <c r="E8238" s="9" t="str">
        <v>ESRI</v>
      </c>
      <c r="F8238" s="7" t="str">
        <v>104987</v>
      </c>
      <c r="G8238" t="str">
        <v>Geographic2DCrs</v>
      </c>
      <c r="H8238" t="str">
        <v>&lt;undefined&gt;</v>
      </c>
      <c r="I8238" t="str">
        <v>Mimas_2015</v>
      </c>
      <c r="J8238" t="str">
        <v>World.</v>
      </c>
      <c r="K8238" s="11">
        <v>0</v>
      </c>
    </row>
    <row r="8239" spans="5:11" x14ac:dyDescent="0.35">
      <c r="E8239" s="9" t="str">
        <v>ESRI</v>
      </c>
      <c r="F8239" s="7" t="str">
        <v>104988</v>
      </c>
      <c r="G8239" t="str">
        <v>Geographic2DCrs</v>
      </c>
      <c r="H8239" t="str">
        <v>&lt;undefined&gt;</v>
      </c>
      <c r="I8239" t="str">
        <v>Pallene_2015</v>
      </c>
      <c r="J8239" t="str">
        <v>World.</v>
      </c>
      <c r="K8239" s="11">
        <v>0</v>
      </c>
    </row>
    <row r="8240" spans="5:11" x14ac:dyDescent="0.35">
      <c r="E8240" s="9" t="str">
        <v>ESRI</v>
      </c>
      <c r="F8240" s="7" t="str">
        <v>104989</v>
      </c>
      <c r="G8240" t="str">
        <v>Geographic2DCrs</v>
      </c>
      <c r="H8240" t="str">
        <v>&lt;undefined&gt;</v>
      </c>
      <c r="I8240" t="str">
        <v>Pan_2015</v>
      </c>
      <c r="J8240" t="str">
        <v>World.</v>
      </c>
      <c r="K8240" s="11">
        <v>0</v>
      </c>
    </row>
    <row r="8241" spans="5:11" x14ac:dyDescent="0.35">
      <c r="E8241" s="9" t="str">
        <v>ESRI</v>
      </c>
      <c r="F8241" s="7" t="str">
        <v>104993</v>
      </c>
      <c r="G8241" t="str">
        <v>Geographic2DCrs</v>
      </c>
      <c r="H8241" t="str">
        <v>&lt;undefined&gt;</v>
      </c>
      <c r="I8241" t="str">
        <v>Prometheus_2015</v>
      </c>
      <c r="J8241" t="str">
        <v>World.</v>
      </c>
      <c r="K8241" s="11">
        <v>0</v>
      </c>
    </row>
    <row r="8242" spans="5:11" x14ac:dyDescent="0.35">
      <c r="E8242" s="9" t="str">
        <v>ESRI</v>
      </c>
      <c r="F8242" s="7" t="str">
        <v>104994</v>
      </c>
      <c r="G8242" t="str">
        <v>Geographic2DCrs</v>
      </c>
      <c r="H8242" t="str">
        <v>&lt;undefined&gt;</v>
      </c>
      <c r="I8242" t="str">
        <v>Rhea_2015</v>
      </c>
      <c r="J8242" t="str">
        <v>World.</v>
      </c>
      <c r="K8242" s="11">
        <v>0</v>
      </c>
    </row>
    <row r="8243" spans="5:11" x14ac:dyDescent="0.35">
      <c r="E8243" s="9" t="str">
        <v>ESRI</v>
      </c>
      <c r="F8243" s="7" t="str">
        <v>104995</v>
      </c>
      <c r="G8243" t="str">
        <v>Geographic2DCrs</v>
      </c>
      <c r="H8243" t="str">
        <v>&lt;undefined&gt;</v>
      </c>
      <c r="I8243" t="str">
        <v>Telesto_2015</v>
      </c>
      <c r="J8243" t="str">
        <v>World.</v>
      </c>
      <c r="K8243" s="11">
        <v>0</v>
      </c>
    </row>
    <row r="8244" spans="5:11" x14ac:dyDescent="0.35">
      <c r="E8244" s="9" t="str">
        <v>ESRI</v>
      </c>
      <c r="F8244" s="7" t="str">
        <v>104996</v>
      </c>
      <c r="G8244" t="str">
        <v>Geographic2DCrs</v>
      </c>
      <c r="H8244" t="str">
        <v>&lt;undefined&gt;</v>
      </c>
      <c r="I8244" t="str">
        <v>Tethys_2015</v>
      </c>
      <c r="J8244" t="str">
        <v>World.</v>
      </c>
      <c r="K8244" s="11">
        <v>0</v>
      </c>
    </row>
    <row r="8245" spans="5:11" x14ac:dyDescent="0.35">
      <c r="E8245" s="9" t="str">
        <v>ESRI</v>
      </c>
      <c r="F8245" s="7" t="str">
        <v>104997</v>
      </c>
      <c r="G8245" t="str">
        <v>Geographic2DCrs</v>
      </c>
      <c r="H8245" t="str">
        <v>&lt;undefined&gt;</v>
      </c>
      <c r="I8245" t="str">
        <v>Larissa_2015</v>
      </c>
      <c r="J8245" t="str">
        <v>World.</v>
      </c>
      <c r="K8245" s="11">
        <v>0</v>
      </c>
    </row>
    <row r="8246" spans="5:11" x14ac:dyDescent="0.35">
      <c r="E8246" s="9" t="str">
        <v>ESRI</v>
      </c>
      <c r="F8246" s="7" t="str">
        <v>104998</v>
      </c>
      <c r="G8246" t="str">
        <v>Geographic2DCrs</v>
      </c>
      <c r="H8246" t="str">
        <v>&lt;undefined&gt;</v>
      </c>
      <c r="I8246" t="str">
        <v>Pluto_2015</v>
      </c>
      <c r="J8246" t="str">
        <v>World.</v>
      </c>
      <c r="K8246" s="11">
        <v>0</v>
      </c>
    </row>
    <row r="8247" spans="5:11" x14ac:dyDescent="0.35">
      <c r="E8247" s="9" t="str">
        <v>ESRI</v>
      </c>
      <c r="F8247" s="7" t="str">
        <v>104999</v>
      </c>
      <c r="G8247" t="str">
        <v>Geographic2DCrs</v>
      </c>
      <c r="H8247" t="str">
        <v>&lt;undefined&gt;</v>
      </c>
      <c r="I8247" t="str">
        <v>Charon_2015</v>
      </c>
      <c r="J8247" t="str">
        <v>World.</v>
      </c>
      <c r="K8247" s="11">
        <v>0</v>
      </c>
    </row>
    <row r="8248" spans="5:11" x14ac:dyDescent="0.35">
      <c r="E8248" s="9" t="str">
        <v>ESRI</v>
      </c>
      <c r="F8248" s="7" t="str">
        <v>105602</v>
      </c>
      <c r="G8248" t="str">
        <v>VerticalCrs</v>
      </c>
      <c r="H8248" t="str">
        <v>&lt;undefined&gt;</v>
      </c>
      <c r="I8248" t="str">
        <v>BBT2000</v>
      </c>
      <c r="J8248" t="str">
        <v>Austria and Italy - on or related to the Brenner Base Tunnel rail route from Innsbruck to Fortezza (Franzensfeste).</v>
      </c>
      <c r="K8248" s="11">
        <v>0</v>
      </c>
    </row>
    <row r="8249" spans="5:11" x14ac:dyDescent="0.35">
      <c r="E8249" s="9" t="str">
        <v>ESRI</v>
      </c>
      <c r="F8249" s="7" t="str">
        <v>105603</v>
      </c>
      <c r="G8249" t="str">
        <v>VerticalCrs</v>
      </c>
      <c r="H8249" t="str">
        <v>&lt;undefined&gt;</v>
      </c>
      <c r="I8249" t="str">
        <v>REDNAP_height</v>
      </c>
      <c r="J8249" t="str">
        <v>Spain - mainland, Balearic Islands, Ceuta and Melila - onshore.</v>
      </c>
      <c r="K8249" s="11">
        <v>0</v>
      </c>
    </row>
    <row r="8250" spans="5:11" x14ac:dyDescent="0.35">
      <c r="E8250" s="9" t="str">
        <v>ESRI</v>
      </c>
      <c r="F8250" s="7" t="str">
        <v>105700</v>
      </c>
      <c r="G8250" t="str">
        <v>VerticalCrs</v>
      </c>
      <c r="H8250" t="str">
        <v>&lt;undefined&gt;</v>
      </c>
      <c r="I8250" t="str">
        <v>WGS_1984_Geoid</v>
      </c>
      <c r="J8250" t="str">
        <v>World.</v>
      </c>
      <c r="K8250" s="11">
        <v>0</v>
      </c>
    </row>
    <row r="8251" spans="5:11" x14ac:dyDescent="0.35">
      <c r="E8251" s="9" t="str">
        <v>ESRI</v>
      </c>
      <c r="F8251" s="7" t="str">
        <v>105795</v>
      </c>
      <c r="G8251" t="str">
        <v>VerticalCrs</v>
      </c>
      <c r="H8251" t="str">
        <v>&lt;undefined&gt;</v>
      </c>
      <c r="I8251" t="str">
        <v>MSL_Hawaii_height_(m)</v>
      </c>
      <c r="J8251" t="str">
        <v>United States (USA) - Hawaii - main islands onshore.</v>
      </c>
      <c r="K8251" s="11">
        <v>0</v>
      </c>
    </row>
    <row r="8252" spans="5:11" x14ac:dyDescent="0.35">
      <c r="E8252" s="9" t="str">
        <v>ESRI</v>
      </c>
      <c r="F8252" s="7" t="str">
        <v>105796</v>
      </c>
      <c r="G8252" t="str">
        <v>VerticalCrs</v>
      </c>
      <c r="H8252" t="str">
        <v>&lt;undefined&gt;</v>
      </c>
      <c r="I8252" t="str">
        <v>MSL_Hawaii_height_(ftUS)</v>
      </c>
      <c r="J8252" t="str">
        <v>United States (USA) - Hawaii - main islands onshore.</v>
      </c>
      <c r="K8252" s="11">
        <v>0</v>
      </c>
    </row>
    <row r="8253" spans="5:11" x14ac:dyDescent="0.35">
      <c r="E8253" s="9" t="str">
        <v>ESRI</v>
      </c>
      <c r="F8253" s="7" t="str">
        <v>105797</v>
      </c>
      <c r="G8253" t="str">
        <v>VerticalCrs</v>
      </c>
      <c r="H8253" t="str">
        <v>&lt;undefined&gt;</v>
      </c>
      <c r="I8253" t="str">
        <v>EGM96_Geoid_(ftIntl)</v>
      </c>
      <c r="J8253" t="str">
        <v>World.</v>
      </c>
      <c r="K8253" s="11">
        <v>0</v>
      </c>
    </row>
    <row r="8254" spans="5:11" x14ac:dyDescent="0.35">
      <c r="E8254" s="9" t="str">
        <v>ESRI</v>
      </c>
      <c r="F8254" s="7" t="str">
        <v>105798</v>
      </c>
      <c r="G8254" t="str">
        <v>VerticalCrs</v>
      </c>
      <c r="H8254" t="str">
        <v>&lt;undefined&gt;</v>
      </c>
      <c r="I8254" t="str">
        <v>EGM96_Geoid_(ftUS)</v>
      </c>
      <c r="J8254" t="str">
        <v>World.</v>
      </c>
      <c r="K8254" s="11">
        <v>0</v>
      </c>
    </row>
    <row r="8255" spans="5:11" x14ac:dyDescent="0.35">
      <c r="E8255" s="9" t="str">
        <v>ESRI</v>
      </c>
      <c r="F8255" s="7" t="str">
        <v>112000</v>
      </c>
      <c r="G8255" t="str">
        <v>ProjectedCrs</v>
      </c>
      <c r="H8255" t="str">
        <v>Transverse Mercator</v>
      </c>
      <c r="I8255" t="str">
        <v>OSGB36_National_Highways_A01H1</v>
      </c>
      <c r="J8255" t="str">
        <v>UK - Highways England - A1</v>
      </c>
      <c r="K8255" s="11">
        <v>0</v>
      </c>
    </row>
    <row r="8256" spans="5:11" x14ac:dyDescent="0.35">
      <c r="E8256" s="9" t="str">
        <v>ESRI</v>
      </c>
      <c r="F8256" s="7" t="str">
        <v>112001</v>
      </c>
      <c r="G8256" t="str">
        <v>ProjectedCrs</v>
      </c>
      <c r="H8256" t="str">
        <v>Transverse Mercator</v>
      </c>
      <c r="I8256" t="str">
        <v>OSGB36_National_Highways_A02H1</v>
      </c>
      <c r="J8256" t="str">
        <v>UK - Highways England - A2</v>
      </c>
      <c r="K8256" s="11">
        <v>0</v>
      </c>
    </row>
    <row r="8257" spans="5:11" x14ac:dyDescent="0.35">
      <c r="E8257" s="9" t="str">
        <v>ESRI</v>
      </c>
      <c r="F8257" s="7" t="str">
        <v>112002</v>
      </c>
      <c r="G8257" t="str">
        <v>ProjectedCrs</v>
      </c>
      <c r="H8257" t="str">
        <v>Transverse Mercator</v>
      </c>
      <c r="I8257" t="str">
        <v>OSGB36_National_Highways_A03H1</v>
      </c>
      <c r="J8257" t="str">
        <v>UK - Highways England - A3</v>
      </c>
      <c r="K8257" s="11">
        <v>0</v>
      </c>
    </row>
    <row r="8258" spans="5:11" x14ac:dyDescent="0.35">
      <c r="E8258" s="9" t="str">
        <v>ESRI</v>
      </c>
      <c r="F8258" s="7" t="str">
        <v>112003</v>
      </c>
      <c r="G8258" t="str">
        <v>ProjectedCrs</v>
      </c>
      <c r="H8258" t="str">
        <v>Transverse Mercator</v>
      </c>
      <c r="I8258" t="str">
        <v>OSGB36_National_Highways_A03H2</v>
      </c>
      <c r="J8258" t="str">
        <v>UK - Highways England - A3</v>
      </c>
      <c r="K8258" s="11">
        <v>0</v>
      </c>
    </row>
    <row r="8259" spans="5:11" x14ac:dyDescent="0.35">
      <c r="E8259" s="9" t="str">
        <v>ESRI</v>
      </c>
      <c r="F8259" s="7" t="str">
        <v>112004</v>
      </c>
      <c r="G8259" t="str">
        <v>ProjectedCrs</v>
      </c>
      <c r="H8259" t="str">
        <v>Transverse Mercator</v>
      </c>
      <c r="I8259" t="str">
        <v>OSGB36_National_Highways_A04H1</v>
      </c>
      <c r="J8259" t="str">
        <v>UK - Highways England - A4</v>
      </c>
      <c r="K8259" s="11">
        <v>0</v>
      </c>
    </row>
    <row r="8260" spans="5:11" x14ac:dyDescent="0.35">
      <c r="E8260" s="9" t="str">
        <v>ESRI</v>
      </c>
      <c r="F8260" s="7" t="str">
        <v>112005</v>
      </c>
      <c r="G8260" t="str">
        <v>ProjectedCrs</v>
      </c>
      <c r="H8260" t="str">
        <v>Transverse Mercator</v>
      </c>
      <c r="I8260" t="str">
        <v>OSGB36_National_Highways_A05H1</v>
      </c>
      <c r="J8260" t="str">
        <v>UK - Highways England - A5</v>
      </c>
      <c r="K8260" s="11">
        <v>0</v>
      </c>
    </row>
    <row r="8261" spans="5:11" x14ac:dyDescent="0.35">
      <c r="E8261" s="9" t="str">
        <v>ESRI</v>
      </c>
      <c r="F8261" s="7" t="str">
        <v>112006</v>
      </c>
      <c r="G8261" t="str">
        <v>ProjectedCrs</v>
      </c>
      <c r="H8261" t="str">
        <v>Transverse Mercator</v>
      </c>
      <c r="I8261" t="str">
        <v>OSGB36_National_Highways_A05H2</v>
      </c>
      <c r="J8261" t="str">
        <v>UK - Highways England - A5</v>
      </c>
      <c r="K8261" s="11">
        <v>0</v>
      </c>
    </row>
    <row r="8262" spans="5:11" x14ac:dyDescent="0.35">
      <c r="E8262" s="9" t="str">
        <v>ESRI</v>
      </c>
      <c r="F8262" s="7" t="str">
        <v>112007</v>
      </c>
      <c r="G8262" t="str">
        <v>ProjectedCrs</v>
      </c>
      <c r="H8262" t="str">
        <v>Transverse Mercator</v>
      </c>
      <c r="I8262" t="str">
        <v>OSGB36_National_Highways_A06H1</v>
      </c>
      <c r="J8262" t="str">
        <v>UK - Highways England - A6</v>
      </c>
      <c r="K8262" s="11">
        <v>0</v>
      </c>
    </row>
    <row r="8263" spans="5:11" x14ac:dyDescent="0.35">
      <c r="E8263" s="9" t="str">
        <v>ESRI</v>
      </c>
      <c r="F8263" s="7" t="str">
        <v>112008</v>
      </c>
      <c r="G8263" t="str">
        <v>ProjectedCrs</v>
      </c>
      <c r="H8263" t="str">
        <v>Transverse Mercator</v>
      </c>
      <c r="I8263" t="str">
        <v>OSGB36_National_Highways_A06H2</v>
      </c>
      <c r="J8263" t="str">
        <v>UK - Highways England - A6</v>
      </c>
      <c r="K8263" s="11">
        <v>0</v>
      </c>
    </row>
    <row r="8264" spans="5:11" x14ac:dyDescent="0.35">
      <c r="E8264" s="9" t="str">
        <v>ESRI</v>
      </c>
      <c r="F8264" s="7" t="str">
        <v>112009</v>
      </c>
      <c r="G8264" t="str">
        <v>ProjectedCrs</v>
      </c>
      <c r="H8264" t="str">
        <v>Transverse Mercator</v>
      </c>
      <c r="I8264" t="str">
        <v>OSGB36_National_Highways_A07H1</v>
      </c>
      <c r="J8264" t="str">
        <v>UK - Highways England - A7</v>
      </c>
      <c r="K8264" s="11">
        <v>0</v>
      </c>
    </row>
    <row r="8265" spans="5:11" x14ac:dyDescent="0.35">
      <c r="E8265" s="9" t="str">
        <v>ESRI</v>
      </c>
      <c r="F8265" s="7" t="str">
        <v>112010</v>
      </c>
      <c r="G8265" t="str">
        <v>ProjectedCrs</v>
      </c>
      <c r="H8265" t="str">
        <v>Transverse Mercator</v>
      </c>
      <c r="I8265" t="str">
        <v>OSGB36_National_Highways_A07H2</v>
      </c>
      <c r="J8265" t="str">
        <v>UK - Highways England - A7</v>
      </c>
      <c r="K8265" s="11">
        <v>0</v>
      </c>
    </row>
    <row r="8266" spans="5:11" x14ac:dyDescent="0.35">
      <c r="E8266" s="9" t="str">
        <v>ESRI</v>
      </c>
      <c r="F8266" s="7" t="str">
        <v>112011</v>
      </c>
      <c r="G8266" t="str">
        <v>ProjectedCrs</v>
      </c>
      <c r="H8266" t="str">
        <v>Transverse Mercator</v>
      </c>
      <c r="I8266" t="str">
        <v>OSGB36_National_Highways_A08H1</v>
      </c>
      <c r="J8266" t="str">
        <v>UK - Highways England - A8</v>
      </c>
      <c r="K8266" s="11">
        <v>0</v>
      </c>
    </row>
    <row r="8267" spans="5:11" x14ac:dyDescent="0.35">
      <c r="E8267" s="9" t="str">
        <v>ESRI</v>
      </c>
      <c r="F8267" s="7" t="str">
        <v>112012</v>
      </c>
      <c r="G8267" t="str">
        <v>ProjectedCrs</v>
      </c>
      <c r="H8267" t="str">
        <v>Transverse Mercator</v>
      </c>
      <c r="I8267" t="str">
        <v>OSGB36_National_Highways_A08H2</v>
      </c>
      <c r="J8267" t="str">
        <v>UK - Highways England - A8</v>
      </c>
      <c r="K8267" s="11">
        <v>0</v>
      </c>
    </row>
    <row r="8268" spans="5:11" x14ac:dyDescent="0.35">
      <c r="E8268" s="9" t="str">
        <v>ESRI</v>
      </c>
      <c r="F8268" s="7" t="str">
        <v>112013</v>
      </c>
      <c r="G8268" t="str">
        <v>ProjectedCrs</v>
      </c>
      <c r="H8268" t="str">
        <v>Transverse Mercator</v>
      </c>
      <c r="I8268" t="str">
        <v>OSGB36_National_Highways_A09H1</v>
      </c>
      <c r="J8268" t="str">
        <v>UK - Highways England - A9</v>
      </c>
      <c r="K8268" s="11">
        <v>0</v>
      </c>
    </row>
    <row r="8269" spans="5:11" x14ac:dyDescent="0.35">
      <c r="E8269" s="9" t="str">
        <v>ESRI</v>
      </c>
      <c r="F8269" s="7" t="str">
        <v>112014</v>
      </c>
      <c r="G8269" t="str">
        <v>ProjectedCrs</v>
      </c>
      <c r="H8269" t="str">
        <v>Transverse Mercator</v>
      </c>
      <c r="I8269" t="str">
        <v>OSGB36_National_Highways_A09H2</v>
      </c>
      <c r="J8269" t="str">
        <v>UK - Highways England - A9</v>
      </c>
      <c r="K8269" s="11">
        <v>0</v>
      </c>
    </row>
    <row r="8270" spans="5:11" x14ac:dyDescent="0.35">
      <c r="E8270" s="9" t="str">
        <v>ESRI</v>
      </c>
      <c r="F8270" s="7" t="str">
        <v>112015</v>
      </c>
      <c r="G8270" t="str">
        <v>ProjectedCrs</v>
      </c>
      <c r="H8270" t="str">
        <v>Transverse Mercator</v>
      </c>
      <c r="I8270" t="str">
        <v>OSGB36_National_Highways_A10H1</v>
      </c>
      <c r="J8270" t="str">
        <v>UK - Highways England - A10</v>
      </c>
      <c r="K8270" s="11">
        <v>0</v>
      </c>
    </row>
    <row r="8271" spans="5:11" x14ac:dyDescent="0.35">
      <c r="E8271" s="9" t="str">
        <v>ESRI</v>
      </c>
      <c r="F8271" s="7" t="str">
        <v>112016</v>
      </c>
      <c r="G8271" t="str">
        <v>ProjectedCrs</v>
      </c>
      <c r="H8271" t="str">
        <v>Transverse Mercator</v>
      </c>
      <c r="I8271" t="str">
        <v>OSGB36_National_Highways_A10H2</v>
      </c>
      <c r="J8271" t="str">
        <v>UK - Highways England - A10</v>
      </c>
      <c r="K8271" s="11">
        <v>0</v>
      </c>
    </row>
    <row r="8272" spans="5:11" x14ac:dyDescent="0.35">
      <c r="E8272" s="9" t="str">
        <v>ESRI</v>
      </c>
      <c r="F8272" s="7" t="str">
        <v>112017</v>
      </c>
      <c r="G8272" t="str">
        <v>ProjectedCrs</v>
      </c>
      <c r="H8272" t="str">
        <v>Transverse Mercator</v>
      </c>
      <c r="I8272" t="str">
        <v>OSGB36_National_Highways_A11H1</v>
      </c>
      <c r="J8272" t="str">
        <v>UK - Highways England - A11</v>
      </c>
      <c r="K8272" s="11">
        <v>0</v>
      </c>
    </row>
    <row r="8273" spans="5:11" x14ac:dyDescent="0.35">
      <c r="E8273" s="9" t="str">
        <v>ESRI</v>
      </c>
      <c r="F8273" s="7" t="str">
        <v>112018</v>
      </c>
      <c r="G8273" t="str">
        <v>ProjectedCrs</v>
      </c>
      <c r="H8273" t="str">
        <v>Transverse Mercator</v>
      </c>
      <c r="I8273" t="str">
        <v>OSGB36_National_Highways_A11H2</v>
      </c>
      <c r="J8273" t="str">
        <v>UK - Highways England - A11</v>
      </c>
      <c r="K8273" s="11">
        <v>0</v>
      </c>
    </row>
    <row r="8274" spans="5:11" x14ac:dyDescent="0.35">
      <c r="E8274" s="9" t="str">
        <v>ESRI</v>
      </c>
      <c r="F8274" s="7" t="str">
        <v>112019</v>
      </c>
      <c r="G8274" t="str">
        <v>ProjectedCrs</v>
      </c>
      <c r="H8274" t="str">
        <v>Transverse Mercator</v>
      </c>
      <c r="I8274" t="str">
        <v>OSGB36_National_Highways_A11H3</v>
      </c>
      <c r="J8274" t="str">
        <v>UK - Highways England - A11</v>
      </c>
      <c r="K8274" s="11">
        <v>0</v>
      </c>
    </row>
    <row r="8275" spans="5:11" x14ac:dyDescent="0.35">
      <c r="E8275" s="9" t="str">
        <v>ESRI</v>
      </c>
      <c r="F8275" s="7" t="str">
        <v>112020</v>
      </c>
      <c r="G8275" t="str">
        <v>ProjectedCrs</v>
      </c>
      <c r="H8275" t="str">
        <v>Transverse Mercator</v>
      </c>
      <c r="I8275" t="str">
        <v>OSGB36_National_Highways_A12H1</v>
      </c>
      <c r="J8275" t="str">
        <v>UK - Highways England - A12</v>
      </c>
      <c r="K8275" s="11">
        <v>0</v>
      </c>
    </row>
    <row r="8276" spans="5:11" x14ac:dyDescent="0.35">
      <c r="E8276" s="9" t="str">
        <v>ESRI</v>
      </c>
      <c r="F8276" s="7" t="str">
        <v>112021</v>
      </c>
      <c r="G8276" t="str">
        <v>ProjectedCrs</v>
      </c>
      <c r="H8276" t="str">
        <v>Transverse Mercator</v>
      </c>
      <c r="I8276" t="str">
        <v>OSGB36_National_Highways_A12H2</v>
      </c>
      <c r="J8276" t="str">
        <v>UK - Highways England - A12</v>
      </c>
      <c r="K8276" s="11">
        <v>0</v>
      </c>
    </row>
    <row r="8277" spans="5:11" x14ac:dyDescent="0.35">
      <c r="E8277" s="9" t="str">
        <v>ESRI</v>
      </c>
      <c r="F8277" s="7" t="str">
        <v>112022</v>
      </c>
      <c r="G8277" t="str">
        <v>ProjectedCrs</v>
      </c>
      <c r="H8277" t="str">
        <v>Transverse Mercator</v>
      </c>
      <c r="I8277" t="str">
        <v>OSGB36_National_Highways_A12H3</v>
      </c>
      <c r="J8277" t="str">
        <v>UK - Highways England - A12</v>
      </c>
      <c r="K8277" s="11">
        <v>0</v>
      </c>
    </row>
    <row r="8278" spans="5:11" x14ac:dyDescent="0.35">
      <c r="E8278" s="9" t="str">
        <v>ESRI</v>
      </c>
      <c r="F8278" s="7" t="str">
        <v>112023</v>
      </c>
      <c r="G8278" t="str">
        <v>ProjectedCrs</v>
      </c>
      <c r="H8278" t="str">
        <v>Transverse Mercator</v>
      </c>
      <c r="I8278" t="str">
        <v>OSGB36_National_Highways_A13H1</v>
      </c>
      <c r="J8278" t="str">
        <v>UK - Highways England - A13</v>
      </c>
      <c r="K8278" s="11">
        <v>0</v>
      </c>
    </row>
    <row r="8279" spans="5:11" x14ac:dyDescent="0.35">
      <c r="E8279" s="9" t="str">
        <v>ESRI</v>
      </c>
      <c r="F8279" s="7" t="str">
        <v>112024</v>
      </c>
      <c r="G8279" t="str">
        <v>ProjectedCrs</v>
      </c>
      <c r="H8279" t="str">
        <v>Transverse Mercator</v>
      </c>
      <c r="I8279" t="str">
        <v>OSGB36_National_Highways_A13H2</v>
      </c>
      <c r="J8279" t="str">
        <v>UK - Highways England - A13</v>
      </c>
      <c r="K8279" s="11">
        <v>0</v>
      </c>
    </row>
    <row r="8280" spans="5:11" x14ac:dyDescent="0.35">
      <c r="E8280" s="9" t="str">
        <v>ESRI</v>
      </c>
      <c r="F8280" s="7" t="str">
        <v>112025</v>
      </c>
      <c r="G8280" t="str">
        <v>ProjectedCrs</v>
      </c>
      <c r="H8280" t="str">
        <v>Transverse Mercator</v>
      </c>
      <c r="I8280" t="str">
        <v>OSGB36_National_Highways_A14H1</v>
      </c>
      <c r="J8280" t="str">
        <v>UK - Highways England - A14</v>
      </c>
      <c r="K8280" s="11">
        <v>0</v>
      </c>
    </row>
    <row r="8281" spans="5:11" x14ac:dyDescent="0.35">
      <c r="E8281" s="9" t="str">
        <v>ESRI</v>
      </c>
      <c r="F8281" s="7" t="str">
        <v>112026</v>
      </c>
      <c r="G8281" t="str">
        <v>ProjectedCrs</v>
      </c>
      <c r="H8281" t="str">
        <v>Transverse Mercator</v>
      </c>
      <c r="I8281" t="str">
        <v>OSGB36_National_Highways_A14H2</v>
      </c>
      <c r="J8281" t="str">
        <v>UK - Highways England - A14</v>
      </c>
      <c r="K8281" s="11">
        <v>0</v>
      </c>
    </row>
    <row r="8282" spans="5:11" x14ac:dyDescent="0.35">
      <c r="E8282" s="9" t="str">
        <v>ESRI</v>
      </c>
      <c r="F8282" s="7" t="str">
        <v>112027</v>
      </c>
      <c r="G8282" t="str">
        <v>ProjectedCrs</v>
      </c>
      <c r="H8282" t="str">
        <v>Transverse Mercator</v>
      </c>
      <c r="I8282" t="str">
        <v>OSGB36_National_Highways_A15H1</v>
      </c>
      <c r="J8282" t="str">
        <v>UK - Highways England - A15</v>
      </c>
      <c r="K8282" s="11">
        <v>0</v>
      </c>
    </row>
    <row r="8283" spans="5:11" x14ac:dyDescent="0.35">
      <c r="E8283" s="9" t="str">
        <v>ESRI</v>
      </c>
      <c r="F8283" s="7" t="str">
        <v>112028</v>
      </c>
      <c r="G8283" t="str">
        <v>ProjectedCrs</v>
      </c>
      <c r="H8283" t="str">
        <v>Transverse Mercator</v>
      </c>
      <c r="I8283" t="str">
        <v>OSGB36_National_Highways_A15H2</v>
      </c>
      <c r="J8283" t="str">
        <v>UK - Highways England - A15</v>
      </c>
      <c r="K8283" s="11">
        <v>0</v>
      </c>
    </row>
    <row r="8284" spans="5:11" x14ac:dyDescent="0.35">
      <c r="E8284" s="9" t="str">
        <v>ESRI</v>
      </c>
      <c r="F8284" s="7" t="str">
        <v>112029</v>
      </c>
      <c r="G8284" t="str">
        <v>ProjectedCrs</v>
      </c>
      <c r="H8284" t="str">
        <v>Transverse Mercator</v>
      </c>
      <c r="I8284" t="str">
        <v>OSGB36_National_Highways_A16H1</v>
      </c>
      <c r="J8284" t="str">
        <v>UK - Highways England - A16</v>
      </c>
      <c r="K8284" s="11">
        <v>0</v>
      </c>
    </row>
    <row r="8285" spans="5:11" x14ac:dyDescent="0.35">
      <c r="E8285" s="9" t="str">
        <v>ESRI</v>
      </c>
      <c r="F8285" s="7" t="str">
        <v>112030</v>
      </c>
      <c r="G8285" t="str">
        <v>ProjectedCrs</v>
      </c>
      <c r="H8285" t="str">
        <v>Transverse Mercator</v>
      </c>
      <c r="I8285" t="str">
        <v>OSGB36_National_Highways_A16H2</v>
      </c>
      <c r="J8285" t="str">
        <v>UK - Highways England - A16</v>
      </c>
      <c r="K8285" s="11">
        <v>0</v>
      </c>
    </row>
    <row r="8286" spans="5:11" x14ac:dyDescent="0.35">
      <c r="E8286" s="9" t="str">
        <v>ESRI</v>
      </c>
      <c r="F8286" s="7" t="str">
        <v>112031</v>
      </c>
      <c r="G8286" t="str">
        <v>ProjectedCrs</v>
      </c>
      <c r="H8286" t="str">
        <v>Transverse Mercator</v>
      </c>
      <c r="I8286" t="str">
        <v>OSGB36_National_Highways_A17H1</v>
      </c>
      <c r="J8286" t="str">
        <v>UK - Highways England - A17</v>
      </c>
      <c r="K8286" s="11">
        <v>0</v>
      </c>
    </row>
    <row r="8287" spans="5:11" x14ac:dyDescent="0.35">
      <c r="E8287" s="9" t="str">
        <v>ESRI</v>
      </c>
      <c r="F8287" s="7" t="str">
        <v>112032</v>
      </c>
      <c r="G8287" t="str">
        <v>ProjectedCrs</v>
      </c>
      <c r="H8287" t="str">
        <v>Transverse Mercator</v>
      </c>
      <c r="I8287" t="str">
        <v>OSGB36_National_Highways_A17H2</v>
      </c>
      <c r="J8287" t="str">
        <v>UK - Highways England - A17</v>
      </c>
      <c r="K8287" s="11">
        <v>0</v>
      </c>
    </row>
    <row r="8288" spans="5:11" x14ac:dyDescent="0.35">
      <c r="E8288" s="9" t="str">
        <v>ESRI</v>
      </c>
      <c r="F8288" s="7" t="str">
        <v>112033</v>
      </c>
      <c r="G8288" t="str">
        <v>ProjectedCrs</v>
      </c>
      <c r="H8288" t="str">
        <v>Transverse Mercator</v>
      </c>
      <c r="I8288" t="str">
        <v>OSGB36_National_Highways_A18H1</v>
      </c>
      <c r="J8288" t="str">
        <v>UK - Highways England - A18</v>
      </c>
      <c r="K8288" s="11">
        <v>0</v>
      </c>
    </row>
    <row r="8289" spans="5:11" x14ac:dyDescent="0.35">
      <c r="E8289" s="9" t="str">
        <v>ESRI</v>
      </c>
      <c r="F8289" s="7" t="str">
        <v>112034</v>
      </c>
      <c r="G8289" t="str">
        <v>ProjectedCrs</v>
      </c>
      <c r="H8289" t="str">
        <v>Transverse Mercator</v>
      </c>
      <c r="I8289" t="str">
        <v>OSGB36_National_Highways_A18H2</v>
      </c>
      <c r="J8289" t="str">
        <v>UK - Highways England - A18</v>
      </c>
      <c r="K8289" s="11">
        <v>0</v>
      </c>
    </row>
    <row r="8290" spans="5:11" x14ac:dyDescent="0.35">
      <c r="E8290" s="9" t="str">
        <v>ESRI</v>
      </c>
      <c r="F8290" s="7" t="str">
        <v>112035</v>
      </c>
      <c r="G8290" t="str">
        <v>ProjectedCrs</v>
      </c>
      <c r="H8290" t="str">
        <v>Transverse Mercator</v>
      </c>
      <c r="I8290" t="str">
        <v>OSGB36_National_Highways_A19H1</v>
      </c>
      <c r="J8290" t="str">
        <v>UK - Highways England - A19</v>
      </c>
      <c r="K8290" s="11">
        <v>0</v>
      </c>
    </row>
    <row r="8291" spans="5:11" x14ac:dyDescent="0.35">
      <c r="E8291" s="9" t="str">
        <v>ESRI</v>
      </c>
      <c r="F8291" s="7" t="str">
        <v>112036</v>
      </c>
      <c r="G8291" t="str">
        <v>ProjectedCrs</v>
      </c>
      <c r="H8291" t="str">
        <v>Transverse Mercator</v>
      </c>
      <c r="I8291" t="str">
        <v>OSGB36_National_Highways_A19H2</v>
      </c>
      <c r="J8291" t="str">
        <v>UK - Highways England - A19</v>
      </c>
      <c r="K8291" s="11">
        <v>0</v>
      </c>
    </row>
    <row r="8292" spans="5:11" x14ac:dyDescent="0.35">
      <c r="E8292" s="9" t="str">
        <v>ESRI</v>
      </c>
      <c r="F8292" s="7" t="str">
        <v>112037</v>
      </c>
      <c r="G8292" t="str">
        <v>ProjectedCrs</v>
      </c>
      <c r="H8292" t="str">
        <v>Transverse Mercator</v>
      </c>
      <c r="I8292" t="str">
        <v>OSGB36_National_Highways_A20H1</v>
      </c>
      <c r="J8292" t="str">
        <v>UK - Highways England - A20</v>
      </c>
      <c r="K8292" s="11">
        <v>0</v>
      </c>
    </row>
    <row r="8293" spans="5:11" x14ac:dyDescent="0.35">
      <c r="E8293" s="9" t="str">
        <v>ESRI</v>
      </c>
      <c r="F8293" s="7" t="str">
        <v>112038</v>
      </c>
      <c r="G8293" t="str">
        <v>ProjectedCrs</v>
      </c>
      <c r="H8293" t="str">
        <v>Transverse Mercator</v>
      </c>
      <c r="I8293" t="str">
        <v>OSGB36_National_Highways_A20H2</v>
      </c>
      <c r="J8293" t="str">
        <v>UK - Highways England - A20</v>
      </c>
      <c r="K8293" s="11">
        <v>0</v>
      </c>
    </row>
    <row r="8294" spans="5:11" x14ac:dyDescent="0.35">
      <c r="E8294" s="9" t="str">
        <v>ESRI</v>
      </c>
      <c r="F8294" s="7" t="str">
        <v>112039</v>
      </c>
      <c r="G8294" t="str">
        <v>ProjectedCrs</v>
      </c>
      <c r="H8294" t="str">
        <v>Transverse Mercator</v>
      </c>
      <c r="I8294" t="str">
        <v>OSGB36_National_Highways_A21H1</v>
      </c>
      <c r="J8294" t="str">
        <v>UK - Highways England - A21</v>
      </c>
      <c r="K8294" s="11">
        <v>0</v>
      </c>
    </row>
    <row r="8295" spans="5:11" x14ac:dyDescent="0.35">
      <c r="E8295" s="9" t="str">
        <v>ESRI</v>
      </c>
      <c r="F8295" s="7" t="str">
        <v>112040</v>
      </c>
      <c r="G8295" t="str">
        <v>ProjectedCrs</v>
      </c>
      <c r="H8295" t="str">
        <v>Transverse Mercator</v>
      </c>
      <c r="I8295" t="str">
        <v>OSGB36_National_Highways_A21H2</v>
      </c>
      <c r="J8295" t="str">
        <v>UK - Highways England - A21</v>
      </c>
      <c r="K8295" s="11">
        <v>0</v>
      </c>
    </row>
    <row r="8296" spans="5:11" x14ac:dyDescent="0.35">
      <c r="E8296" s="9" t="str">
        <v>ESRI</v>
      </c>
      <c r="F8296" s="7" t="str">
        <v>112041</v>
      </c>
      <c r="G8296" t="str">
        <v>ProjectedCrs</v>
      </c>
      <c r="H8296" t="str">
        <v>Transverse Mercator</v>
      </c>
      <c r="I8296" t="str">
        <v>OSGB36_National_Highways_A22H1</v>
      </c>
      <c r="J8296" t="str">
        <v>UK - Highways England - A22</v>
      </c>
      <c r="K8296" s="11">
        <v>0</v>
      </c>
    </row>
    <row r="8297" spans="5:11" x14ac:dyDescent="0.35">
      <c r="E8297" s="9" t="str">
        <v>ESRI</v>
      </c>
      <c r="F8297" s="7" t="str">
        <v>112042</v>
      </c>
      <c r="G8297" t="str">
        <v>ProjectedCrs</v>
      </c>
      <c r="H8297" t="str">
        <v>Transverse Mercator</v>
      </c>
      <c r="I8297" t="str">
        <v>OSGB36_National_Highways_A22H2</v>
      </c>
      <c r="J8297" t="str">
        <v>UK - Highways England - A22</v>
      </c>
      <c r="K8297" s="11">
        <v>0</v>
      </c>
    </row>
    <row r="8298" spans="5:11" x14ac:dyDescent="0.35">
      <c r="E8298" s="9" t="str">
        <v>ESRI</v>
      </c>
      <c r="F8298" s="7" t="str">
        <v>112043</v>
      </c>
      <c r="G8298" t="str">
        <v>ProjectedCrs</v>
      </c>
      <c r="H8298" t="str">
        <v>Transverse Mercator</v>
      </c>
      <c r="I8298" t="str">
        <v>OSGB36_National_Highways_A23H1</v>
      </c>
      <c r="J8298" t="str">
        <v>UK - Highways England - A23</v>
      </c>
      <c r="K8298" s="11">
        <v>0</v>
      </c>
    </row>
    <row r="8299" spans="5:11" x14ac:dyDescent="0.35">
      <c r="E8299" s="9" t="str">
        <v>ESRI</v>
      </c>
      <c r="F8299" s="7" t="str">
        <v>112044</v>
      </c>
      <c r="G8299" t="str">
        <v>ProjectedCrs</v>
      </c>
      <c r="H8299" t="str">
        <v>Transverse Mercator</v>
      </c>
      <c r="I8299" t="str">
        <v>OSGB36_National_Highways_A23H2</v>
      </c>
      <c r="J8299" t="str">
        <v>UK - Highways England - A23</v>
      </c>
      <c r="K8299" s="11">
        <v>0</v>
      </c>
    </row>
    <row r="8300" spans="5:11" x14ac:dyDescent="0.35">
      <c r="E8300" s="9" t="str">
        <v>ESRI</v>
      </c>
      <c r="F8300" s="7" t="str">
        <v>112045</v>
      </c>
      <c r="G8300" t="str">
        <v>ProjectedCrs</v>
      </c>
      <c r="H8300" t="str">
        <v>Transverse Mercator</v>
      </c>
      <c r="I8300" t="str">
        <v>OSGB36_National_Highways_A24H1</v>
      </c>
      <c r="J8300" t="str">
        <v>UK - Highways England - A24</v>
      </c>
      <c r="K8300" s="11">
        <v>0</v>
      </c>
    </row>
    <row r="8301" spans="5:11" x14ac:dyDescent="0.35">
      <c r="E8301" s="9" t="str">
        <v>ESRI</v>
      </c>
      <c r="F8301" s="7" t="str">
        <v>112046</v>
      </c>
      <c r="G8301" t="str">
        <v>ProjectedCrs</v>
      </c>
      <c r="H8301" t="str">
        <v>Transverse Mercator</v>
      </c>
      <c r="I8301" t="str">
        <v>OSGB36_National_Highways_A24H2</v>
      </c>
      <c r="J8301" t="str">
        <v>UK - Highways England - A24</v>
      </c>
      <c r="K8301" s="11">
        <v>0</v>
      </c>
    </row>
    <row r="8302" spans="5:11" x14ac:dyDescent="0.35">
      <c r="E8302" s="9" t="str">
        <v>ESRI</v>
      </c>
      <c r="F8302" s="7" t="str">
        <v>112047</v>
      </c>
      <c r="G8302" t="str">
        <v>ProjectedCrs</v>
      </c>
      <c r="H8302" t="str">
        <v>Transverse Mercator</v>
      </c>
      <c r="I8302" t="str">
        <v>OSGB36_National_Highways_A25H1</v>
      </c>
      <c r="J8302" t="str">
        <v>UK - Highways England - A25</v>
      </c>
      <c r="K8302" s="11">
        <v>0</v>
      </c>
    </row>
    <row r="8303" spans="5:11" x14ac:dyDescent="0.35">
      <c r="E8303" s="9" t="str">
        <v>ESRI</v>
      </c>
      <c r="F8303" s="7" t="str">
        <v>112048</v>
      </c>
      <c r="G8303" t="str">
        <v>ProjectedCrs</v>
      </c>
      <c r="H8303" t="str">
        <v>Transverse Mercator</v>
      </c>
      <c r="I8303" t="str">
        <v>OSGB36_National_Highways_A25H2</v>
      </c>
      <c r="J8303" t="str">
        <v>UK - Highways England - A25</v>
      </c>
      <c r="K8303" s="11">
        <v>0</v>
      </c>
    </row>
    <row r="8304" spans="5:11" x14ac:dyDescent="0.35">
      <c r="E8304" s="9" t="str">
        <v>ESRI</v>
      </c>
      <c r="F8304" s="7" t="str">
        <v>112049</v>
      </c>
      <c r="G8304" t="str">
        <v>ProjectedCrs</v>
      </c>
      <c r="H8304" t="str">
        <v>Transverse Mercator</v>
      </c>
      <c r="I8304" t="str">
        <v>OSGB36_National_Highways_A26H1</v>
      </c>
      <c r="J8304" t="str">
        <v>UK - Highways England - A26</v>
      </c>
      <c r="K8304" s="11">
        <v>0</v>
      </c>
    </row>
    <row r="8305" spans="5:11" x14ac:dyDescent="0.35">
      <c r="E8305" s="9" t="str">
        <v>ESRI</v>
      </c>
      <c r="F8305" s="7" t="str">
        <v>112050</v>
      </c>
      <c r="G8305" t="str">
        <v>ProjectedCrs</v>
      </c>
      <c r="H8305" t="str">
        <v>Transverse Mercator</v>
      </c>
      <c r="I8305" t="str">
        <v>OSGB36_National_Highways_A26H2</v>
      </c>
      <c r="J8305" t="str">
        <v>UK - Highways England - A26</v>
      </c>
      <c r="K8305" s="11">
        <v>0</v>
      </c>
    </row>
    <row r="8306" spans="5:11" x14ac:dyDescent="0.35">
      <c r="E8306" s="9" t="str">
        <v>ESRI</v>
      </c>
      <c r="F8306" s="7" t="str">
        <v>112051</v>
      </c>
      <c r="G8306" t="str">
        <v>ProjectedCrs</v>
      </c>
      <c r="H8306" t="str">
        <v>Transverse Mercator</v>
      </c>
      <c r="I8306" t="str">
        <v>OSGB36_National_Highways_A27H1</v>
      </c>
      <c r="J8306" t="str">
        <v>UK - Highways England - A27</v>
      </c>
      <c r="K8306" s="11">
        <v>0</v>
      </c>
    </row>
    <row r="8307" spans="5:11" x14ac:dyDescent="0.35">
      <c r="E8307" s="9" t="str">
        <v>ESRI</v>
      </c>
      <c r="F8307" s="7" t="str">
        <v>112052</v>
      </c>
      <c r="G8307" t="str">
        <v>ProjectedCrs</v>
      </c>
      <c r="H8307" t="str">
        <v>Transverse Mercator</v>
      </c>
      <c r="I8307" t="str">
        <v>OSGB36_National_Highways_A27H2</v>
      </c>
      <c r="J8307" t="str">
        <v>UK - Highways England - A27</v>
      </c>
      <c r="K8307" s="11">
        <v>0</v>
      </c>
    </row>
    <row r="8308" spans="5:11" x14ac:dyDescent="0.35">
      <c r="E8308" s="9" t="str">
        <v>ESRI</v>
      </c>
      <c r="F8308" s="7" t="str">
        <v>112053</v>
      </c>
      <c r="G8308" t="str">
        <v>ProjectedCrs</v>
      </c>
      <c r="H8308" t="str">
        <v>Transverse Mercator</v>
      </c>
      <c r="I8308" t="str">
        <v>OSGB36_National_Highways_A28H1</v>
      </c>
      <c r="J8308" t="str">
        <v>UK - Highways England - A28</v>
      </c>
      <c r="K8308" s="11">
        <v>0</v>
      </c>
    </row>
    <row r="8309" spans="5:11" x14ac:dyDescent="0.35">
      <c r="E8309" s="9" t="str">
        <v>ESRI</v>
      </c>
      <c r="F8309" s="7" t="str">
        <v>112054</v>
      </c>
      <c r="G8309" t="str">
        <v>ProjectedCrs</v>
      </c>
      <c r="H8309" t="str">
        <v>Transverse Mercator</v>
      </c>
      <c r="I8309" t="str">
        <v>OSGB36_National_Highways_A28H2</v>
      </c>
      <c r="J8309" t="str">
        <v>UK - Highways England - A28</v>
      </c>
      <c r="K8309" s="11">
        <v>0</v>
      </c>
    </row>
    <row r="8310" spans="5:11" x14ac:dyDescent="0.35">
      <c r="E8310" s="9" t="str">
        <v>ESRI</v>
      </c>
      <c r="F8310" s="7" t="str">
        <v>112055</v>
      </c>
      <c r="G8310" t="str">
        <v>ProjectedCrs</v>
      </c>
      <c r="H8310" t="str">
        <v>Transverse Mercator</v>
      </c>
      <c r="I8310" t="str">
        <v>OSGB36_National_Highways_A29H1</v>
      </c>
      <c r="J8310" t="str">
        <v>UK - Highways England - A29</v>
      </c>
      <c r="K8310" s="11">
        <v>0</v>
      </c>
    </row>
    <row r="8311" spans="5:11" x14ac:dyDescent="0.35">
      <c r="E8311" s="9" t="str">
        <v>ESRI</v>
      </c>
      <c r="F8311" s="7" t="str">
        <v>112056</v>
      </c>
      <c r="G8311" t="str">
        <v>ProjectedCrs</v>
      </c>
      <c r="H8311" t="str">
        <v>Transverse Mercator</v>
      </c>
      <c r="I8311" t="str">
        <v>OSGB36_National_Highways_A30H1</v>
      </c>
      <c r="J8311" t="str">
        <v>UK - Highways England - A30</v>
      </c>
      <c r="K8311" s="11">
        <v>0</v>
      </c>
    </row>
    <row r="8312" spans="5:11" x14ac:dyDescent="0.35">
      <c r="E8312" s="9" t="str">
        <v>ESRI</v>
      </c>
      <c r="F8312" s="7" t="str">
        <v>112057</v>
      </c>
      <c r="G8312" t="str">
        <v>ProjectedCrs</v>
      </c>
      <c r="H8312" t="str">
        <v>Transverse Mercator</v>
      </c>
      <c r="I8312" t="str">
        <v>OSGB36_National_Highways_B15H1</v>
      </c>
      <c r="J8312" t="str">
        <v>UK - Highways England - B15</v>
      </c>
      <c r="K8312" s="11">
        <v>0</v>
      </c>
    </row>
    <row r="8313" spans="5:11" x14ac:dyDescent="0.35">
      <c r="E8313" s="9" t="str">
        <v>ESRI</v>
      </c>
      <c r="F8313" s="7" t="str">
        <v>112058</v>
      </c>
      <c r="G8313" t="str">
        <v>ProjectedCrs</v>
      </c>
      <c r="H8313" t="str">
        <v>Transverse Mercator</v>
      </c>
      <c r="I8313" t="str">
        <v>OSGB36_National_Highways_B15H2</v>
      </c>
      <c r="J8313" t="str">
        <v>UK - Highways England - B15</v>
      </c>
      <c r="K8313" s="11">
        <v>0</v>
      </c>
    </row>
    <row r="8314" spans="5:11" x14ac:dyDescent="0.35">
      <c r="E8314" s="9" t="str">
        <v>ESRI</v>
      </c>
      <c r="F8314" s="7" t="str">
        <v>112059</v>
      </c>
      <c r="G8314" t="str">
        <v>ProjectedCrs</v>
      </c>
      <c r="H8314" t="str">
        <v>Transverse Mercator</v>
      </c>
      <c r="I8314" t="str">
        <v>OSGB36_National_Highways_B15H3</v>
      </c>
      <c r="J8314" t="str">
        <v>UK - Highways England - B15</v>
      </c>
      <c r="K8314" s="11">
        <v>0</v>
      </c>
    </row>
    <row r="8315" spans="5:11" x14ac:dyDescent="0.35">
      <c r="E8315" s="9" t="str">
        <v>ESRI</v>
      </c>
      <c r="F8315" s="7" t="str">
        <v>112060</v>
      </c>
      <c r="G8315" t="str">
        <v>ProjectedCrs</v>
      </c>
      <c r="H8315" t="str">
        <v>Transverse Mercator</v>
      </c>
      <c r="I8315" t="str">
        <v>OSGB36_National_Highways_B16H1</v>
      </c>
      <c r="J8315" t="str">
        <v>UK - Highways England - B16</v>
      </c>
      <c r="K8315" s="11">
        <v>0</v>
      </c>
    </row>
    <row r="8316" spans="5:11" x14ac:dyDescent="0.35">
      <c r="E8316" s="9" t="str">
        <v>ESRI</v>
      </c>
      <c r="F8316" s="7" t="str">
        <v>112061</v>
      </c>
      <c r="G8316" t="str">
        <v>ProjectedCrs</v>
      </c>
      <c r="H8316" t="str">
        <v>Transverse Mercator</v>
      </c>
      <c r="I8316" t="str">
        <v>OSGB36_National_Highways_B16H2</v>
      </c>
      <c r="J8316" t="str">
        <v>UK - Highways England - B16</v>
      </c>
      <c r="K8316" s="11">
        <v>0</v>
      </c>
    </row>
    <row r="8317" spans="5:11" x14ac:dyDescent="0.35">
      <c r="E8317" s="9" t="str">
        <v>ESRI</v>
      </c>
      <c r="F8317" s="7" t="str">
        <v>112062</v>
      </c>
      <c r="G8317" t="str">
        <v>ProjectedCrs</v>
      </c>
      <c r="H8317" t="str">
        <v>Transverse Mercator</v>
      </c>
      <c r="I8317" t="str">
        <v>OSGB36_National_Highways_B16H3</v>
      </c>
      <c r="J8317" t="str">
        <v>UK - Highways England - B16</v>
      </c>
      <c r="K8317" s="11">
        <v>0</v>
      </c>
    </row>
    <row r="8318" spans="5:11" x14ac:dyDescent="0.35">
      <c r="E8318" s="9" t="str">
        <v>ESRI</v>
      </c>
      <c r="F8318" s="7" t="str">
        <v>112063</v>
      </c>
      <c r="G8318" t="str">
        <v>ProjectedCrs</v>
      </c>
      <c r="H8318" t="str">
        <v>Transverse Mercator</v>
      </c>
      <c r="I8318" t="str">
        <v>OSGB36_National_Highways_B16H4</v>
      </c>
      <c r="J8318" t="str">
        <v>UK - Highways England - B16</v>
      </c>
      <c r="K8318" s="11">
        <v>0</v>
      </c>
    </row>
    <row r="8319" spans="5:11" x14ac:dyDescent="0.35">
      <c r="E8319" s="9" t="str">
        <v>ESRI</v>
      </c>
      <c r="F8319" s="7" t="str">
        <v>112064</v>
      </c>
      <c r="G8319" t="str">
        <v>ProjectedCrs</v>
      </c>
      <c r="H8319" t="str">
        <v>Transverse Mercator</v>
      </c>
      <c r="I8319" t="str">
        <v>OSGB36_National_Highways_B17H1</v>
      </c>
      <c r="J8319" t="str">
        <v>UK - Highways England - B17</v>
      </c>
      <c r="K8319" s="11">
        <v>0</v>
      </c>
    </row>
    <row r="8320" spans="5:11" x14ac:dyDescent="0.35">
      <c r="E8320" s="9" t="str">
        <v>ESRI</v>
      </c>
      <c r="F8320" s="7" t="str">
        <v>112065</v>
      </c>
      <c r="G8320" t="str">
        <v>ProjectedCrs</v>
      </c>
      <c r="H8320" t="str">
        <v>Transverse Mercator</v>
      </c>
      <c r="I8320" t="str">
        <v>OSGB36_National_Highways_B17H2</v>
      </c>
      <c r="J8320" t="str">
        <v>UK - Highways England - B17</v>
      </c>
      <c r="K8320" s="11">
        <v>0</v>
      </c>
    </row>
    <row r="8321" spans="5:11" x14ac:dyDescent="0.35">
      <c r="E8321" s="9" t="str">
        <v>ESRI</v>
      </c>
      <c r="F8321" s="7" t="str">
        <v>112066</v>
      </c>
      <c r="G8321" t="str">
        <v>ProjectedCrs</v>
      </c>
      <c r="H8321" t="str">
        <v>Transverse Mercator</v>
      </c>
      <c r="I8321" t="str">
        <v>OSGB36_National_Highways_B18H1</v>
      </c>
      <c r="J8321" t="str">
        <v>UK - Highways England - B18</v>
      </c>
      <c r="K8321" s="11">
        <v>0</v>
      </c>
    </row>
    <row r="8322" spans="5:11" x14ac:dyDescent="0.35">
      <c r="E8322" s="9" t="str">
        <v>ESRI</v>
      </c>
      <c r="F8322" s="7" t="str">
        <v>112067</v>
      </c>
      <c r="G8322" t="str">
        <v>ProjectedCrs</v>
      </c>
      <c r="H8322" t="str">
        <v>Transverse Mercator</v>
      </c>
      <c r="I8322" t="str">
        <v>OSGB36_National_Highways_B18H2</v>
      </c>
      <c r="J8322" t="str">
        <v>UK - Highways England - B18</v>
      </c>
      <c r="K8322" s="11">
        <v>0</v>
      </c>
    </row>
    <row r="8323" spans="5:11" x14ac:dyDescent="0.35">
      <c r="E8323" s="9" t="str">
        <v>ESRI</v>
      </c>
      <c r="F8323" s="7" t="str">
        <v>112068</v>
      </c>
      <c r="G8323" t="str">
        <v>ProjectedCrs</v>
      </c>
      <c r="H8323" t="str">
        <v>Transverse Mercator</v>
      </c>
      <c r="I8323" t="str">
        <v>OSGB36_National_Highways_B19H1</v>
      </c>
      <c r="J8323" t="str">
        <v>UK - Highways England - B19</v>
      </c>
      <c r="K8323" s="11">
        <v>0</v>
      </c>
    </row>
    <row r="8324" spans="5:11" x14ac:dyDescent="0.35">
      <c r="E8324" s="9" t="str">
        <v>ESRI</v>
      </c>
      <c r="F8324" s="7" t="str">
        <v>112069</v>
      </c>
      <c r="G8324" t="str">
        <v>ProjectedCrs</v>
      </c>
      <c r="H8324" t="str">
        <v>Transverse Mercator</v>
      </c>
      <c r="I8324" t="str">
        <v>OSGB36_National_Highways_B20H1</v>
      </c>
      <c r="J8324" t="str">
        <v>UK - Highways England - B20</v>
      </c>
      <c r="K8324" s="11">
        <v>0</v>
      </c>
    </row>
    <row r="8325" spans="5:11" x14ac:dyDescent="0.35">
      <c r="E8325" s="9" t="str">
        <v>ESRI</v>
      </c>
      <c r="F8325" s="7" t="str">
        <v>112070</v>
      </c>
      <c r="G8325" t="str">
        <v>ProjectedCrs</v>
      </c>
      <c r="H8325" t="str">
        <v>Transverse Mercator</v>
      </c>
      <c r="I8325" t="str">
        <v>OSGB36_National_Highways_B21H1</v>
      </c>
      <c r="J8325" t="str">
        <v>UK - Highways England - B21</v>
      </c>
      <c r="K8325" s="11">
        <v>0</v>
      </c>
    </row>
    <row r="8326" spans="5:11" x14ac:dyDescent="0.35">
      <c r="E8326" s="9" t="str">
        <v>ESRI</v>
      </c>
      <c r="F8326" s="7" t="str">
        <v>112071</v>
      </c>
      <c r="G8326" t="str">
        <v>ProjectedCrs</v>
      </c>
      <c r="H8326" t="str">
        <v>Transverse Mercator</v>
      </c>
      <c r="I8326" t="str">
        <v>OSGB36_National_Highways_B22H1</v>
      </c>
      <c r="J8326" t="str">
        <v>UK - Highways England - B22</v>
      </c>
      <c r="K8326" s="11">
        <v>0</v>
      </c>
    </row>
    <row r="8327" spans="5:11" x14ac:dyDescent="0.35">
      <c r="E8327" s="9" t="str">
        <v>ESRI</v>
      </c>
      <c r="F8327" s="7" t="str">
        <v>112072</v>
      </c>
      <c r="G8327" t="str">
        <v>ProjectedCrs</v>
      </c>
      <c r="H8327" t="str">
        <v>Transverse Mercator</v>
      </c>
      <c r="I8327" t="str">
        <v>OSGB36_National_Highways_B23H1</v>
      </c>
      <c r="J8327" t="str">
        <v>UK - Highways England - B23</v>
      </c>
      <c r="K8327" s="11">
        <v>0</v>
      </c>
    </row>
    <row r="8328" spans="5:11" x14ac:dyDescent="0.35">
      <c r="E8328" s="9" t="str">
        <v>ESRI</v>
      </c>
      <c r="F8328" s="7" t="str">
        <v>112073</v>
      </c>
      <c r="G8328" t="str">
        <v>ProjectedCrs</v>
      </c>
      <c r="H8328" t="str">
        <v>Transverse Mercator</v>
      </c>
      <c r="I8328" t="str">
        <v>OSGB36_National_Highways_B24H1</v>
      </c>
      <c r="J8328" t="str">
        <v>UK - Highways England - B24</v>
      </c>
      <c r="K8328" s="11">
        <v>0</v>
      </c>
    </row>
    <row r="8329" spans="5:11" x14ac:dyDescent="0.35">
      <c r="E8329" s="9" t="str">
        <v>ESRI</v>
      </c>
      <c r="F8329" s="7" t="str">
        <v>112074</v>
      </c>
      <c r="G8329" t="str">
        <v>ProjectedCrs</v>
      </c>
      <c r="H8329" t="str">
        <v>Transverse Mercator</v>
      </c>
      <c r="I8329" t="str">
        <v>OSGB36_National_Highways_B25H1</v>
      </c>
      <c r="J8329" t="str">
        <v>UK - Highways England - B25</v>
      </c>
      <c r="K8329" s="11">
        <v>0</v>
      </c>
    </row>
    <row r="8330" spans="5:11" x14ac:dyDescent="0.35">
      <c r="E8330" s="9" t="str">
        <v>ESRI</v>
      </c>
      <c r="F8330" s="7" t="str">
        <v>112075</v>
      </c>
      <c r="G8330" t="str">
        <v>ProjectedCrs</v>
      </c>
      <c r="H8330" t="str">
        <v>Transverse Mercator</v>
      </c>
      <c r="I8330" t="str">
        <v>OSGB36_National_Highways_B26H1</v>
      </c>
      <c r="J8330" t="str">
        <v>UK - Highways England - B26</v>
      </c>
      <c r="K8330" s="11">
        <v>0</v>
      </c>
    </row>
    <row r="8331" spans="5:11" x14ac:dyDescent="0.35">
      <c r="E8331" s="9" t="str">
        <v>ESRI</v>
      </c>
      <c r="F8331" s="7" t="str">
        <v>112076</v>
      </c>
      <c r="G8331" t="str">
        <v>ProjectedCrs</v>
      </c>
      <c r="H8331" t="str">
        <v>Transverse Mercator</v>
      </c>
      <c r="I8331" t="str">
        <v>OSGB36_National_Highways_B27H1</v>
      </c>
      <c r="J8331" t="str">
        <v>UK - Highways England - B27</v>
      </c>
      <c r="K8331" s="11">
        <v>0</v>
      </c>
    </row>
    <row r="8332" spans="5:11" x14ac:dyDescent="0.35">
      <c r="E8332" s="9" t="str">
        <v>ESRI</v>
      </c>
      <c r="F8332" s="7" t="str">
        <v>112077</v>
      </c>
      <c r="G8332" t="str">
        <v>ProjectedCrs</v>
      </c>
      <c r="H8332" t="str">
        <v>Transverse Mercator</v>
      </c>
      <c r="I8332" t="str">
        <v>OSGB36_National_Highways_B28H1</v>
      </c>
      <c r="J8332" t="str">
        <v>UK - Highways England - B28</v>
      </c>
      <c r="K8332" s="11">
        <v>0</v>
      </c>
    </row>
    <row r="8333" spans="5:11" x14ac:dyDescent="0.35">
      <c r="E8333" s="9" t="str">
        <v>ESRI</v>
      </c>
      <c r="F8333" s="7" t="str">
        <v>112078</v>
      </c>
      <c r="G8333" t="str">
        <v>ProjectedCrs</v>
      </c>
      <c r="H8333" t="str">
        <v>Transverse Mercator</v>
      </c>
      <c r="I8333" t="str">
        <v>OSGB36_National_Highways_B29H1</v>
      </c>
      <c r="J8333" t="str">
        <v>UK - Highways England - B29</v>
      </c>
      <c r="K8333" s="11">
        <v>0</v>
      </c>
    </row>
    <row r="8334" spans="5:11" x14ac:dyDescent="0.35">
      <c r="E8334" s="9" t="str">
        <v>ESRI</v>
      </c>
      <c r="F8334" s="7" t="str">
        <v>112079</v>
      </c>
      <c r="G8334" t="str">
        <v>ProjectedCrs</v>
      </c>
      <c r="H8334" t="str">
        <v>Transverse Mercator</v>
      </c>
      <c r="I8334" t="str">
        <v>OSGB36_National_Highways_B30H1</v>
      </c>
      <c r="J8334" t="str">
        <v>UK - Highways England - B30</v>
      </c>
      <c r="K8334" s="11">
        <v>0</v>
      </c>
    </row>
    <row r="8335" spans="5:11" x14ac:dyDescent="0.35">
      <c r="E8335" s="9" t="str">
        <v>ESRI</v>
      </c>
      <c r="F8335" s="7" t="str">
        <v>112080</v>
      </c>
      <c r="G8335" t="str">
        <v>ProjectedCrs</v>
      </c>
      <c r="H8335" t="str">
        <v>Transverse Mercator</v>
      </c>
      <c r="I8335" t="str">
        <v>OSGB36_National_Highways_B31H1</v>
      </c>
      <c r="J8335" t="str">
        <v>UK - Highways England - B31</v>
      </c>
      <c r="K8335" s="11">
        <v>0</v>
      </c>
    </row>
    <row r="8336" spans="5:11" x14ac:dyDescent="0.35">
      <c r="E8336" s="9" t="str">
        <v>ESRI</v>
      </c>
      <c r="F8336" s="7" t="str">
        <v>112081</v>
      </c>
      <c r="G8336" t="str">
        <v>ProjectedCrs</v>
      </c>
      <c r="H8336" t="str">
        <v>Transverse Mercator</v>
      </c>
      <c r="I8336" t="str">
        <v>OSGB36_National_Highways_B32H1</v>
      </c>
      <c r="J8336" t="str">
        <v>UK - Highways England - B32</v>
      </c>
      <c r="K8336" s="11">
        <v>0</v>
      </c>
    </row>
    <row r="8337" spans="5:11" x14ac:dyDescent="0.35">
      <c r="E8337" s="9" t="str">
        <v>ESRI</v>
      </c>
      <c r="F8337" s="7" t="str">
        <v>112082</v>
      </c>
      <c r="G8337" t="str">
        <v>ProjectedCrs</v>
      </c>
      <c r="H8337" t="str">
        <v>Transverse Mercator</v>
      </c>
      <c r="I8337" t="str">
        <v>OSGB36_National_Highways_C13H1</v>
      </c>
      <c r="J8337" t="str">
        <v>UK - Highways England - C13</v>
      </c>
      <c r="K8337" s="11">
        <v>0</v>
      </c>
    </row>
    <row r="8338" spans="5:11" x14ac:dyDescent="0.35">
      <c r="E8338" s="9" t="str">
        <v>ESRI</v>
      </c>
      <c r="F8338" s="7" t="str">
        <v>112083</v>
      </c>
      <c r="G8338" t="str">
        <v>ProjectedCrs</v>
      </c>
      <c r="H8338" t="str">
        <v>Transverse Mercator</v>
      </c>
      <c r="I8338" t="str">
        <v>OSGB36_National_Highways_C14H1</v>
      </c>
      <c r="J8338" t="str">
        <v>UK - Highways England - C14</v>
      </c>
      <c r="K8338" s="11">
        <v>0</v>
      </c>
    </row>
    <row r="8339" spans="5:11" x14ac:dyDescent="0.35">
      <c r="E8339" s="9" t="str">
        <v>ESRI</v>
      </c>
      <c r="F8339" s="7" t="str">
        <v>112084</v>
      </c>
      <c r="G8339" t="str">
        <v>ProjectedCrs</v>
      </c>
      <c r="H8339" t="str">
        <v>Transverse Mercator</v>
      </c>
      <c r="I8339" t="str">
        <v>OSGB36_National_Highways_C14H2</v>
      </c>
      <c r="J8339" t="str">
        <v>UK - Highways England - C14</v>
      </c>
      <c r="K8339" s="11">
        <v>0</v>
      </c>
    </row>
    <row r="8340" spans="5:11" x14ac:dyDescent="0.35">
      <c r="E8340" s="9" t="str">
        <v>ESRI</v>
      </c>
      <c r="F8340" s="7" t="str">
        <v>112085</v>
      </c>
      <c r="G8340" t="str">
        <v>ProjectedCrs</v>
      </c>
      <c r="H8340" t="str">
        <v>Transverse Mercator</v>
      </c>
      <c r="I8340" t="str">
        <v>OSGB36_National_Highways_C14H3</v>
      </c>
      <c r="J8340" t="str">
        <v>UK - Highways England - C14</v>
      </c>
      <c r="K8340" s="11">
        <v>0</v>
      </c>
    </row>
    <row r="8341" spans="5:11" x14ac:dyDescent="0.35">
      <c r="E8341" s="9" t="str">
        <v>ESRI</v>
      </c>
      <c r="F8341" s="7" t="str">
        <v>112086</v>
      </c>
      <c r="G8341" t="str">
        <v>ProjectedCrs</v>
      </c>
      <c r="H8341" t="str">
        <v>Transverse Mercator</v>
      </c>
      <c r="I8341" t="str">
        <v>OSGB36_National_Highways_C14H4</v>
      </c>
      <c r="J8341" t="str">
        <v>UK - Highways England - C14</v>
      </c>
      <c r="K8341" s="11">
        <v>0</v>
      </c>
    </row>
    <row r="8342" spans="5:11" x14ac:dyDescent="0.35">
      <c r="E8342" s="9" t="str">
        <v>ESRI</v>
      </c>
      <c r="F8342" s="7" t="str">
        <v>112087</v>
      </c>
      <c r="G8342" t="str">
        <v>ProjectedCrs</v>
      </c>
      <c r="H8342" t="str">
        <v>Transverse Mercator</v>
      </c>
      <c r="I8342" t="str">
        <v>OSGB36_National_Highways_C15H1</v>
      </c>
      <c r="J8342" t="str">
        <v>UK - Highways England - C15</v>
      </c>
      <c r="K8342" s="11">
        <v>0</v>
      </c>
    </row>
    <row r="8343" spans="5:11" x14ac:dyDescent="0.35">
      <c r="E8343" s="9" t="str">
        <v>ESRI</v>
      </c>
      <c r="F8343" s="7" t="str">
        <v>112088</v>
      </c>
      <c r="G8343" t="str">
        <v>ProjectedCrs</v>
      </c>
      <c r="H8343" t="str">
        <v>Transverse Mercator</v>
      </c>
      <c r="I8343" t="str">
        <v>OSGB36_National_Highways_C15H2</v>
      </c>
      <c r="J8343" t="str">
        <v>UK - Highways England - C15</v>
      </c>
      <c r="K8343" s="11">
        <v>0</v>
      </c>
    </row>
    <row r="8344" spans="5:11" x14ac:dyDescent="0.35">
      <c r="E8344" s="9" t="str">
        <v>ESRI</v>
      </c>
      <c r="F8344" s="7" t="str">
        <v>112089</v>
      </c>
      <c r="G8344" t="str">
        <v>ProjectedCrs</v>
      </c>
      <c r="H8344" t="str">
        <v>Transverse Mercator</v>
      </c>
      <c r="I8344" t="str">
        <v>OSGB36_National_Highways_C15H3</v>
      </c>
      <c r="J8344" t="str">
        <v>UK - Highways England - C15</v>
      </c>
      <c r="K8344" s="11">
        <v>0</v>
      </c>
    </row>
    <row r="8345" spans="5:11" x14ac:dyDescent="0.35">
      <c r="E8345" s="9" t="str">
        <v>ESRI</v>
      </c>
      <c r="F8345" s="7" t="str">
        <v>112090</v>
      </c>
      <c r="G8345" t="str">
        <v>ProjectedCrs</v>
      </c>
      <c r="H8345" t="str">
        <v>Transverse Mercator</v>
      </c>
      <c r="I8345" t="str">
        <v>OSGB36_National_Highways_C15H4</v>
      </c>
      <c r="J8345" t="str">
        <v>UK - Highways England - C15</v>
      </c>
      <c r="K8345" s="11">
        <v>0</v>
      </c>
    </row>
    <row r="8346" spans="5:11" x14ac:dyDescent="0.35">
      <c r="E8346" s="9" t="str">
        <v>ESRI</v>
      </c>
      <c r="F8346" s="7" t="str">
        <v>112091</v>
      </c>
      <c r="G8346" t="str">
        <v>ProjectedCrs</v>
      </c>
      <c r="H8346" t="str">
        <v>Transverse Mercator</v>
      </c>
      <c r="I8346" t="str">
        <v>OSGB36_National_Highways_C15H5</v>
      </c>
      <c r="J8346" t="str">
        <v>UK - Highways England - C15</v>
      </c>
      <c r="K8346" s="11">
        <v>0</v>
      </c>
    </row>
    <row r="8347" spans="5:11" x14ac:dyDescent="0.35">
      <c r="E8347" s="9" t="str">
        <v>ESRI</v>
      </c>
      <c r="F8347" s="7" t="str">
        <v>112092</v>
      </c>
      <c r="G8347" t="str">
        <v>ProjectedCrs</v>
      </c>
      <c r="H8347" t="str">
        <v>Transverse Mercator</v>
      </c>
      <c r="I8347" t="str">
        <v>OSGB36_National_Highways_C16H1</v>
      </c>
      <c r="J8347" t="str">
        <v>UK - Highways England - C16</v>
      </c>
      <c r="K8347" s="11">
        <v>0</v>
      </c>
    </row>
    <row r="8348" spans="5:11" x14ac:dyDescent="0.35">
      <c r="E8348" s="9" t="str">
        <v>ESRI</v>
      </c>
      <c r="F8348" s="7" t="str">
        <v>112093</v>
      </c>
      <c r="G8348" t="str">
        <v>ProjectedCrs</v>
      </c>
      <c r="H8348" t="str">
        <v>Transverse Mercator</v>
      </c>
      <c r="I8348" t="str">
        <v>OSGB36_National_Highways_C16H2</v>
      </c>
      <c r="J8348" t="str">
        <v>UK - Highways England - C16</v>
      </c>
      <c r="K8348" s="11">
        <v>0</v>
      </c>
    </row>
    <row r="8349" spans="5:11" x14ac:dyDescent="0.35">
      <c r="E8349" s="9" t="str">
        <v>ESRI</v>
      </c>
      <c r="F8349" s="7" t="str">
        <v>112094</v>
      </c>
      <c r="G8349" t="str">
        <v>ProjectedCrs</v>
      </c>
      <c r="H8349" t="str">
        <v>Transverse Mercator</v>
      </c>
      <c r="I8349" t="str">
        <v>OSGB36_National_Highways_C16H3</v>
      </c>
      <c r="J8349" t="str">
        <v>UK - Highways England - C16</v>
      </c>
      <c r="K8349" s="11">
        <v>0</v>
      </c>
    </row>
    <row r="8350" spans="5:11" x14ac:dyDescent="0.35">
      <c r="E8350" s="9" t="str">
        <v>ESRI</v>
      </c>
      <c r="F8350" s="7" t="str">
        <v>112095</v>
      </c>
      <c r="G8350" t="str">
        <v>ProjectedCrs</v>
      </c>
      <c r="H8350" t="str">
        <v>Transverse Mercator</v>
      </c>
      <c r="I8350" t="str">
        <v>OSGB36_National_Highways_C16H4</v>
      </c>
      <c r="J8350" t="str">
        <v>UK - Highways England - C16</v>
      </c>
      <c r="K8350" s="11">
        <v>0</v>
      </c>
    </row>
    <row r="8351" spans="5:11" x14ac:dyDescent="0.35">
      <c r="E8351" s="9" t="str">
        <v>ESRI</v>
      </c>
      <c r="F8351" s="7" t="str">
        <v>112096</v>
      </c>
      <c r="G8351" t="str">
        <v>ProjectedCrs</v>
      </c>
      <c r="H8351" t="str">
        <v>Transverse Mercator</v>
      </c>
      <c r="I8351" t="str">
        <v>OSGB36_National_Highways_C17H1</v>
      </c>
      <c r="J8351" t="str">
        <v>UK - Highways England - C17</v>
      </c>
      <c r="K8351" s="11">
        <v>0</v>
      </c>
    </row>
    <row r="8352" spans="5:11" x14ac:dyDescent="0.35">
      <c r="E8352" s="9" t="str">
        <v>ESRI</v>
      </c>
      <c r="F8352" s="7" t="str">
        <v>112097</v>
      </c>
      <c r="G8352" t="str">
        <v>ProjectedCrs</v>
      </c>
      <c r="H8352" t="str">
        <v>Transverse Mercator</v>
      </c>
      <c r="I8352" t="str">
        <v>OSGB36_National_Highways_C17H2</v>
      </c>
      <c r="J8352" t="str">
        <v>UK - Highways England - C17</v>
      </c>
      <c r="K8352" s="11">
        <v>0</v>
      </c>
    </row>
    <row r="8353" spans="5:11" x14ac:dyDescent="0.35">
      <c r="E8353" s="9" t="str">
        <v>ESRI</v>
      </c>
      <c r="F8353" s="7" t="str">
        <v>112098</v>
      </c>
      <c r="G8353" t="str">
        <v>ProjectedCrs</v>
      </c>
      <c r="H8353" t="str">
        <v>Transverse Mercator</v>
      </c>
      <c r="I8353" t="str">
        <v>OSGB36_National_Highways_C18H1</v>
      </c>
      <c r="J8353" t="str">
        <v>UK - Highways England - C18</v>
      </c>
      <c r="K8353" s="11">
        <v>0</v>
      </c>
    </row>
    <row r="8354" spans="5:11" x14ac:dyDescent="0.35">
      <c r="E8354" s="9" t="str">
        <v>ESRI</v>
      </c>
      <c r="F8354" s="7" t="str">
        <v>112099</v>
      </c>
      <c r="G8354" t="str">
        <v>ProjectedCrs</v>
      </c>
      <c r="H8354" t="str">
        <v>Transverse Mercator</v>
      </c>
      <c r="I8354" t="str">
        <v>OSGB36_National_Highways_C18H2</v>
      </c>
      <c r="J8354" t="str">
        <v>UK - Highways England - C18</v>
      </c>
      <c r="K8354" s="11">
        <v>0</v>
      </c>
    </row>
    <row r="8355" spans="5:11" x14ac:dyDescent="0.35">
      <c r="E8355" s="9" t="str">
        <v>ESRI</v>
      </c>
      <c r="F8355" s="7" t="str">
        <v>112100</v>
      </c>
      <c r="G8355" t="str">
        <v>ProjectedCrs</v>
      </c>
      <c r="H8355" t="str">
        <v>Transverse Mercator</v>
      </c>
      <c r="I8355" t="str">
        <v>OSGB36_National_Highways_C19H1</v>
      </c>
      <c r="J8355" t="str">
        <v>UK - Highways England - C19</v>
      </c>
      <c r="K8355" s="11">
        <v>0</v>
      </c>
    </row>
    <row r="8356" spans="5:11" x14ac:dyDescent="0.35">
      <c r="E8356" s="9" t="str">
        <v>ESRI</v>
      </c>
      <c r="F8356" s="7" t="str">
        <v>112101</v>
      </c>
      <c r="G8356" t="str">
        <v>ProjectedCrs</v>
      </c>
      <c r="H8356" t="str">
        <v>Transverse Mercator</v>
      </c>
      <c r="I8356" t="str">
        <v>OSGB36_National_Highways_C19H2</v>
      </c>
      <c r="J8356" t="str">
        <v>UK - Highways England - C19</v>
      </c>
      <c r="K8356" s="11">
        <v>0</v>
      </c>
    </row>
    <row r="8357" spans="5:11" x14ac:dyDescent="0.35">
      <c r="E8357" s="9" t="str">
        <v>ESRI</v>
      </c>
      <c r="F8357" s="7" t="str">
        <v>115700</v>
      </c>
      <c r="G8357" t="str">
        <v>VerticalCrs</v>
      </c>
      <c r="H8357" t="str">
        <v>&lt;undefined&gt;</v>
      </c>
      <c r="I8357" t="str">
        <v>WGS_1984</v>
      </c>
      <c r="J8357" t="str">
        <v>World.</v>
      </c>
      <c r="K8357" s="11">
        <v>0</v>
      </c>
    </row>
    <row r="8358" spans="5:11" x14ac:dyDescent="0.35">
      <c r="E8358" s="9" t="str">
        <v>ESRI</v>
      </c>
      <c r="F8358" s="7" t="str">
        <v>115701</v>
      </c>
      <c r="G8358" t="str">
        <v>VerticalCrs</v>
      </c>
      <c r="H8358" t="str">
        <v>&lt;undefined&gt;</v>
      </c>
      <c r="I8358" t="str">
        <v>ETRS_1989</v>
      </c>
      <c r="J8358" t="str">
        <v>Europe - onshore and offshore - ETRF extent - approximately 16°W to 33°E and 33°N to 84°N.</v>
      </c>
      <c r="K8358" s="11">
        <v>0</v>
      </c>
    </row>
    <row r="8359" spans="5:11" x14ac:dyDescent="0.35">
      <c r="E8359" s="9" t="str">
        <v>ESRI</v>
      </c>
      <c r="F8359" s="7" t="str">
        <v>115702</v>
      </c>
      <c r="G8359" t="str">
        <v>VerticalCrs</v>
      </c>
      <c r="H8359" t="str">
        <v>&lt;undefined&gt;</v>
      </c>
      <c r="I8359" t="str">
        <v>NAD_1983</v>
      </c>
      <c r="J8359" t="str">
        <v>North America - onshore and offshore: Canada - Alberta; British Columbia; Manitoba; New Brunswick; Newfoundland and Labrador; Northwest Territories; Nova Scotia; Nunavut; Ontario; Prince Edward Island; Quebec; Saskatchewan; Yukon. Puerto Rico. United States (USA) -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British Virgin Islands.</v>
      </c>
      <c r="K8359" s="11">
        <v>0</v>
      </c>
    </row>
    <row r="8360" spans="5:11" x14ac:dyDescent="0.35">
      <c r="E8360" s="9" t="str">
        <v>ESRI</v>
      </c>
      <c r="F8360" s="7" t="str">
        <v>115703</v>
      </c>
      <c r="G8360" t="str">
        <v>VerticalCrs</v>
      </c>
      <c r="H8360" t="str">
        <v>&lt;undefined&gt;</v>
      </c>
      <c r="I8360" t="str">
        <v>Australian_Antarctic_1998</v>
      </c>
      <c r="J8360" t="str">
        <v>Antarctica between 45°E and 136°E and between 142°E and 160°E - Australian sector.</v>
      </c>
      <c r="K8360" s="11">
        <v>0</v>
      </c>
    </row>
    <row r="8361" spans="5:11" x14ac:dyDescent="0.35">
      <c r="E8361" s="9" t="str">
        <v>ESRI</v>
      </c>
      <c r="F8361" s="7" t="str">
        <v>115704</v>
      </c>
      <c r="G8361" t="str">
        <v>VerticalCrs</v>
      </c>
      <c r="H8361" t="str">
        <v>&lt;undefined&gt;</v>
      </c>
      <c r="I8361" t="str">
        <v>Cadastre_1997</v>
      </c>
      <c r="J8361" t="str">
        <v>Mayotte - onshore.</v>
      </c>
      <c r="K8361" s="11">
        <v>0</v>
      </c>
    </row>
    <row r="8362" spans="5:11" x14ac:dyDescent="0.35">
      <c r="E8362" s="9" t="str">
        <v>ESRI</v>
      </c>
      <c r="F8362" s="7" t="str">
        <v>115705</v>
      </c>
      <c r="G8362" t="str">
        <v>VerticalCrs</v>
      </c>
      <c r="H8362" t="str">
        <v>&lt;undefined&gt;</v>
      </c>
      <c r="I8362" t="str">
        <v>China_Geodetic_Coordinate_System_2000</v>
      </c>
      <c r="J8362" t="str">
        <v>China - onshore and offshore.</v>
      </c>
      <c r="K8362" s="11">
        <v>0</v>
      </c>
    </row>
    <row r="8363" spans="5:11" x14ac:dyDescent="0.35">
      <c r="E8363" s="9" t="str">
        <v>ESRI</v>
      </c>
      <c r="F8363" s="7" t="str">
        <v>115706</v>
      </c>
      <c r="G8363" t="str">
        <v>VerticalCrs</v>
      </c>
      <c r="H8363" t="str">
        <v>&lt;undefined&gt;</v>
      </c>
      <c r="I8363" t="str">
        <v>Swiss_TRF_1995</v>
      </c>
      <c r="J8363" t="str">
        <v>Liechtenstein; Switzerland.</v>
      </c>
      <c r="K8363" s="11">
        <v>0</v>
      </c>
    </row>
    <row r="8364" spans="5:11" x14ac:dyDescent="0.35">
      <c r="E8364" s="9" t="str">
        <v>ESRI</v>
      </c>
      <c r="F8364" s="7" t="str">
        <v>115707</v>
      </c>
      <c r="G8364" t="str">
        <v>VerticalCrs</v>
      </c>
      <c r="H8364" t="str">
        <v>&lt;undefined&gt;</v>
      </c>
      <c r="I8364" t="str">
        <v>CIGD11</v>
      </c>
      <c r="J8364" t="str">
        <v>Cayman Islands - onshore and offshore. Includes Grand Cayman, Little Cayman and Cayman Brac.</v>
      </c>
      <c r="K8364" s="11">
        <v>0</v>
      </c>
    </row>
    <row r="8365" spans="5:11" x14ac:dyDescent="0.35">
      <c r="E8365" s="9" t="str">
        <v>ESRI</v>
      </c>
      <c r="F8365" s="7" t="str">
        <v>115708</v>
      </c>
      <c r="G8365" t="str">
        <v>VerticalCrs</v>
      </c>
      <c r="H8365" t="str">
        <v>&lt;undefined&gt;</v>
      </c>
      <c r="I8365" t="str">
        <v>CR05</v>
      </c>
      <c r="J8365" t="str">
        <v>Costa Rica - onshore and offshore.</v>
      </c>
      <c r="K8365" s="11">
        <v>0</v>
      </c>
    </row>
    <row r="8366" spans="5:11" x14ac:dyDescent="0.35">
      <c r="E8366" s="9" t="str">
        <v>ESRI</v>
      </c>
      <c r="F8366" s="7" t="str">
        <v>115709</v>
      </c>
      <c r="G8366" t="str">
        <v>VerticalCrs</v>
      </c>
      <c r="H8366" t="str">
        <v>&lt;undefined&gt;</v>
      </c>
      <c r="I8366" t="str">
        <v>DB_REF</v>
      </c>
      <c r="J8366" t="str">
        <v>Germany - onshore - states of Baden-Wurtemberg, Bayern, Berlin, Brandenburg, Bremen, Hamburg, Hessen, Mecklenburg-Vorpommern, Niedersachsen, Nordrhein-Westfalen, Rheinland-Pfalz, Saarland, Sachsen, Sachsen-Anhalt, Schleswig-Holstein, Thuringen.</v>
      </c>
      <c r="K8366" s="11">
        <v>0</v>
      </c>
    </row>
    <row r="8367" spans="5:11" x14ac:dyDescent="0.35">
      <c r="E8367" s="9" t="str">
        <v>ESRI</v>
      </c>
      <c r="F8367" s="7" t="str">
        <v>115710</v>
      </c>
      <c r="G8367" t="str">
        <v>VerticalCrs</v>
      </c>
      <c r="H8367" t="str">
        <v>&lt;undefined&gt;</v>
      </c>
      <c r="I8367" t="str">
        <v>DGN_1995</v>
      </c>
      <c r="J8367" t="str">
        <v>Indonesia - onshore and offshore.</v>
      </c>
      <c r="K8367" s="11">
        <v>0</v>
      </c>
    </row>
    <row r="8368" spans="5:11" x14ac:dyDescent="0.35">
      <c r="E8368" s="9" t="str">
        <v>ESRI</v>
      </c>
      <c r="F8368" s="7" t="str">
        <v>115711</v>
      </c>
      <c r="G8368" t="str">
        <v>VerticalCrs</v>
      </c>
      <c r="H8368" t="str">
        <v>&lt;undefined&gt;</v>
      </c>
      <c r="I8368" t="str">
        <v>DRUKREF_03</v>
      </c>
      <c r="J8368" t="str">
        <v>Bhutan.</v>
      </c>
      <c r="K8368" s="11">
        <v>0</v>
      </c>
    </row>
    <row r="8369" spans="5:11" x14ac:dyDescent="0.35">
      <c r="E8369" s="9" t="str">
        <v>ESRI</v>
      </c>
      <c r="F8369" s="7" t="str">
        <v>115712</v>
      </c>
      <c r="G8369" t="str">
        <v>VerticalCrs</v>
      </c>
      <c r="H8369" t="str">
        <v>&lt;undefined&gt;</v>
      </c>
      <c r="I8369" t="str">
        <v>Estonia_1997</v>
      </c>
      <c r="J8369" t="str">
        <v>Estonia - onshore and offshore.</v>
      </c>
      <c r="K8369" s="11">
        <v>0</v>
      </c>
    </row>
    <row r="8370" spans="5:11" x14ac:dyDescent="0.35">
      <c r="E8370" s="9" t="str">
        <v>ESRI</v>
      </c>
      <c r="F8370" s="7" t="str">
        <v>115713</v>
      </c>
      <c r="G8370" t="str">
        <v>VerticalCrs</v>
      </c>
      <c r="H8370" t="str">
        <v>&lt;undefined&gt;</v>
      </c>
      <c r="I8370" t="str">
        <v>EUREF_FIN</v>
      </c>
      <c r="J8370" t="str">
        <v>Finland - onshore and offshore.</v>
      </c>
      <c r="K8370" s="11">
        <v>0</v>
      </c>
    </row>
    <row r="8371" spans="5:11" x14ac:dyDescent="0.35">
      <c r="E8371" s="9" t="str">
        <v>ESRI</v>
      </c>
      <c r="F8371" s="7" t="str">
        <v>115714</v>
      </c>
      <c r="G8371" t="str">
        <v>VerticalCrs</v>
      </c>
      <c r="H8371" t="str">
        <v>&lt;undefined&gt;</v>
      </c>
      <c r="I8371" t="str">
        <v>FEH2010</v>
      </c>
      <c r="J8371" t="str">
        <v>Fehmarnbelt area of Denmark and Germany.</v>
      </c>
      <c r="K8371" s="11">
        <v>0</v>
      </c>
    </row>
    <row r="8372" spans="5:11" x14ac:dyDescent="0.35">
      <c r="E8372" s="9" t="str">
        <v>ESRI</v>
      </c>
      <c r="F8372" s="7" t="str">
        <v>115715</v>
      </c>
      <c r="G8372" t="str">
        <v>VerticalCrs</v>
      </c>
      <c r="H8372" t="str">
        <v>&lt;undefined&gt;</v>
      </c>
      <c r="I8372" t="str">
        <v>GDA_1994</v>
      </c>
      <c r="J8372" t="str">
        <v>Australia including Lord Howe Island, Macquarie Island, Ashmore and Cartier Islands, Christmas Island, Cocos (Keeling) Islands, Norfolk Island. All onshore and offshore.</v>
      </c>
      <c r="K8372" s="11">
        <v>0</v>
      </c>
    </row>
    <row r="8373" spans="5:11" x14ac:dyDescent="0.35">
      <c r="E8373" s="9" t="str">
        <v>ESRI</v>
      </c>
      <c r="F8373" s="7" t="str">
        <v>115716</v>
      </c>
      <c r="G8373" t="str">
        <v>VerticalCrs</v>
      </c>
      <c r="H8373" t="str">
        <v>&lt;undefined&gt;</v>
      </c>
      <c r="I8373" t="str">
        <v>GDBD2009</v>
      </c>
      <c r="J8373" t="str">
        <v>Brunei Darussalam - onshore and offshore.</v>
      </c>
      <c r="K8373" s="11">
        <v>0</v>
      </c>
    </row>
    <row r="8374" spans="5:11" x14ac:dyDescent="0.35">
      <c r="E8374" s="9" t="str">
        <v>ESRI</v>
      </c>
      <c r="F8374" s="7" t="str">
        <v>115717</v>
      </c>
      <c r="G8374" t="str">
        <v>VerticalCrs</v>
      </c>
      <c r="H8374" t="str">
        <v>&lt;undefined&gt;</v>
      </c>
      <c r="I8374" t="str">
        <v>GDM_2000</v>
      </c>
      <c r="J8374" t="str">
        <v>Malaysia - onshore and offshore. Includes peninsular Malayasia, Sabah and Sarawak.</v>
      </c>
      <c r="K8374" s="11">
        <v>0</v>
      </c>
    </row>
    <row r="8375" spans="5:11" x14ac:dyDescent="0.35">
      <c r="E8375" s="9" t="str">
        <v>ESRI</v>
      </c>
      <c r="F8375" s="7" t="str">
        <v>115718</v>
      </c>
      <c r="G8375" t="str">
        <v>VerticalCrs</v>
      </c>
      <c r="H8375" t="str">
        <v>&lt;undefined&gt;</v>
      </c>
      <c r="I8375" t="str">
        <v>Greenland_1996</v>
      </c>
      <c r="J8375" t="str">
        <v>Greenland - onshore and offshore.</v>
      </c>
      <c r="K8375" s="11">
        <v>0</v>
      </c>
    </row>
    <row r="8376" spans="5:11" x14ac:dyDescent="0.35">
      <c r="E8376" s="9" t="str">
        <v>ESRI</v>
      </c>
      <c r="F8376" s="7" t="str">
        <v>115719</v>
      </c>
      <c r="G8376" t="str">
        <v>VerticalCrs</v>
      </c>
      <c r="H8376" t="str">
        <v>&lt;undefined&gt;</v>
      </c>
      <c r="I8376" t="str">
        <v>Hartebeesthoek_1994</v>
      </c>
      <c r="J8376" t="str">
        <v>Eswatini (Swaziland); Lesotho; South Africa - onshore and offshore.</v>
      </c>
      <c r="K8376" s="11">
        <v>0</v>
      </c>
    </row>
    <row r="8377" spans="5:11" x14ac:dyDescent="0.35">
      <c r="E8377" s="9" t="str">
        <v>ESRI</v>
      </c>
      <c r="F8377" s="7" t="str">
        <v>115720</v>
      </c>
      <c r="G8377" t="str">
        <v>VerticalCrs</v>
      </c>
      <c r="H8377" t="str">
        <v>&lt;undefined&gt;</v>
      </c>
      <c r="I8377" t="str">
        <v>IGD05</v>
      </c>
      <c r="J8377" t="str">
        <v>Israel - onshore and offshore.</v>
      </c>
      <c r="K8377" s="11">
        <v>0</v>
      </c>
    </row>
    <row r="8378" spans="5:11" x14ac:dyDescent="0.35">
      <c r="E8378" s="9" t="str">
        <v>ESRI</v>
      </c>
      <c r="F8378" s="7" t="str">
        <v>115721</v>
      </c>
      <c r="G8378" t="str">
        <v>VerticalCrs</v>
      </c>
      <c r="H8378" t="str">
        <v>&lt;undefined&gt;</v>
      </c>
      <c r="I8378" t="str">
        <v>IG05_Intermediate_CRS</v>
      </c>
      <c r="J8378" t="str">
        <v>Israel - onshore; Palestine Territory - onshore.</v>
      </c>
      <c r="K8378" s="11">
        <v>0</v>
      </c>
    </row>
    <row r="8379" spans="5:11" x14ac:dyDescent="0.35">
      <c r="E8379" s="9" t="str">
        <v>ESRI</v>
      </c>
      <c r="F8379" s="7" t="str">
        <v>115722</v>
      </c>
      <c r="G8379" t="str">
        <v>VerticalCrs</v>
      </c>
      <c r="H8379" t="str">
        <v>&lt;undefined&gt;</v>
      </c>
      <c r="I8379" t="str">
        <v>IGD05(2012)</v>
      </c>
      <c r="J8379" t="str">
        <v>Israel - onshore and offshore.</v>
      </c>
      <c r="K8379" s="11">
        <v>0</v>
      </c>
    </row>
    <row r="8380" spans="5:11" x14ac:dyDescent="0.35">
      <c r="E8380" s="9" t="str">
        <v>ESRI</v>
      </c>
      <c r="F8380" s="7" t="str">
        <v>115723</v>
      </c>
      <c r="G8380" t="str">
        <v>VerticalCrs</v>
      </c>
      <c r="H8380" t="str">
        <v>&lt;undefined&gt;</v>
      </c>
      <c r="I8380" t="str">
        <v>IG05(2012)_Intermediate_CRS</v>
      </c>
      <c r="J8380" t="str">
        <v>Israel - onshore; Palestine Territory - onshore.</v>
      </c>
      <c r="K8380" s="11">
        <v>0</v>
      </c>
    </row>
    <row r="8381" spans="5:11" x14ac:dyDescent="0.35">
      <c r="E8381" s="9" t="str">
        <v>ESRI</v>
      </c>
      <c r="F8381" s="7" t="str">
        <v>115724</v>
      </c>
      <c r="G8381" t="str">
        <v>VerticalCrs</v>
      </c>
      <c r="H8381" t="str">
        <v>&lt;undefined&gt;</v>
      </c>
      <c r="I8381" t="str">
        <v>IGM_1995</v>
      </c>
      <c r="J8381" t="str">
        <v>Italy - onshore and offshore; San Marino, Vatican City State.</v>
      </c>
      <c r="K8381" s="11">
        <v>0</v>
      </c>
    </row>
    <row r="8382" spans="5:11" x14ac:dyDescent="0.35">
      <c r="E8382" s="9" t="str">
        <v>ESRI</v>
      </c>
      <c r="F8382" s="7" t="str">
        <v>115725</v>
      </c>
      <c r="G8382" t="str">
        <v>VerticalCrs</v>
      </c>
      <c r="H8382" t="str">
        <v>&lt;undefined&gt;</v>
      </c>
      <c r="I8382" t="str">
        <v>IGRS</v>
      </c>
      <c r="J8382" t="str">
        <v>Iraq - onshore and offshore.</v>
      </c>
      <c r="K8382" s="11">
        <v>0</v>
      </c>
    </row>
    <row r="8383" spans="5:11" x14ac:dyDescent="0.35">
      <c r="E8383" s="9" t="str">
        <v>ESRI</v>
      </c>
      <c r="F8383" s="7" t="str">
        <v>115726</v>
      </c>
      <c r="G8383" t="str">
        <v>VerticalCrs</v>
      </c>
      <c r="H8383" t="str">
        <v>&lt;undefined&gt;</v>
      </c>
      <c r="I8383" t="str">
        <v>IRENET95</v>
      </c>
      <c r="J8383" t="str">
        <v>Ireland - onshore. United Kingdom (UK) - Northern Ireland (Ulster) - onshore.</v>
      </c>
      <c r="K8383" s="11">
        <v>0</v>
      </c>
    </row>
    <row r="8384" spans="5:11" x14ac:dyDescent="0.35">
      <c r="E8384" s="9" t="str">
        <v>ESRI</v>
      </c>
      <c r="F8384" s="7" t="str">
        <v>115727</v>
      </c>
      <c r="G8384" t="str">
        <v>VerticalCrs</v>
      </c>
      <c r="H8384" t="str">
        <v>&lt;undefined&gt;</v>
      </c>
      <c r="I8384" t="str">
        <v>ISN_1993</v>
      </c>
      <c r="J8384" t="str">
        <v>Iceland - onshore and offshore.</v>
      </c>
      <c r="K8384" s="11">
        <v>0</v>
      </c>
    </row>
    <row r="8385" spans="5:11" x14ac:dyDescent="0.35">
      <c r="E8385" s="9" t="str">
        <v>ESRI</v>
      </c>
      <c r="F8385" s="7" t="str">
        <v>115728</v>
      </c>
      <c r="G8385" t="str">
        <v>VerticalCrs</v>
      </c>
      <c r="H8385" t="str">
        <v>&lt;undefined&gt;</v>
      </c>
      <c r="I8385" t="str">
        <v>ISN_2004</v>
      </c>
      <c r="J8385" t="str">
        <v>Iceland - onshore and offshore.</v>
      </c>
      <c r="K8385" s="11">
        <v>0</v>
      </c>
    </row>
    <row r="8386" spans="5:11" x14ac:dyDescent="0.35">
      <c r="E8386" s="9" t="str">
        <v>ESRI</v>
      </c>
      <c r="F8386" s="7" t="str">
        <v>115729</v>
      </c>
      <c r="G8386" t="str">
        <v>VerticalCrs</v>
      </c>
      <c r="H8386" t="str">
        <v>&lt;undefined&gt;</v>
      </c>
      <c r="I8386" t="str">
        <v>ITRF_1988</v>
      </c>
      <c r="J8386" t="str">
        <v>World.</v>
      </c>
      <c r="K8386" s="11">
        <v>0</v>
      </c>
    </row>
    <row r="8387" spans="5:11" x14ac:dyDescent="0.35">
      <c r="E8387" s="9" t="str">
        <v>ESRI</v>
      </c>
      <c r="F8387" s="7" t="str">
        <v>115730</v>
      </c>
      <c r="G8387" t="str">
        <v>VerticalCrs</v>
      </c>
      <c r="H8387" t="str">
        <v>&lt;undefined&gt;</v>
      </c>
      <c r="I8387" t="str">
        <v>ITRF_1989</v>
      </c>
      <c r="J8387" t="str">
        <v>World.</v>
      </c>
      <c r="K8387" s="11">
        <v>0</v>
      </c>
    </row>
    <row r="8388" spans="5:11" x14ac:dyDescent="0.35">
      <c r="E8388" s="9" t="str">
        <v>ESRI</v>
      </c>
      <c r="F8388" s="7" t="str">
        <v>115731</v>
      </c>
      <c r="G8388" t="str">
        <v>VerticalCrs</v>
      </c>
      <c r="H8388" t="str">
        <v>&lt;undefined&gt;</v>
      </c>
      <c r="I8388" t="str">
        <v>ITRF_1990</v>
      </c>
      <c r="J8388" t="str">
        <v>World.</v>
      </c>
      <c r="K8388" s="11">
        <v>0</v>
      </c>
    </row>
    <row r="8389" spans="5:11" x14ac:dyDescent="0.35">
      <c r="E8389" s="9" t="str">
        <v>ESRI</v>
      </c>
      <c r="F8389" s="7" t="str">
        <v>115732</v>
      </c>
      <c r="G8389" t="str">
        <v>VerticalCrs</v>
      </c>
      <c r="H8389" t="str">
        <v>&lt;undefined&gt;</v>
      </c>
      <c r="I8389" t="str">
        <v>ITRF_1991</v>
      </c>
      <c r="J8389" t="str">
        <v>World.</v>
      </c>
      <c r="K8389" s="11">
        <v>0</v>
      </c>
    </row>
    <row r="8390" spans="5:11" x14ac:dyDescent="0.35">
      <c r="E8390" s="9" t="str">
        <v>ESRI</v>
      </c>
      <c r="F8390" s="7" t="str">
        <v>115733</v>
      </c>
      <c r="G8390" t="str">
        <v>VerticalCrs</v>
      </c>
      <c r="H8390" t="str">
        <v>&lt;undefined&gt;</v>
      </c>
      <c r="I8390" t="str">
        <v>ITRF_1992</v>
      </c>
      <c r="J8390" t="str">
        <v>World.</v>
      </c>
      <c r="K8390" s="11">
        <v>0</v>
      </c>
    </row>
    <row r="8391" spans="5:11" x14ac:dyDescent="0.35">
      <c r="E8391" s="9" t="str">
        <v>ESRI</v>
      </c>
      <c r="F8391" s="7" t="str">
        <v>115734</v>
      </c>
      <c r="G8391" t="str">
        <v>VerticalCrs</v>
      </c>
      <c r="H8391" t="str">
        <v>&lt;undefined&gt;</v>
      </c>
      <c r="I8391" t="str">
        <v>ITRF_1993</v>
      </c>
      <c r="J8391" t="str">
        <v>World.</v>
      </c>
      <c r="K8391" s="11">
        <v>0</v>
      </c>
    </row>
    <row r="8392" spans="5:11" x14ac:dyDescent="0.35">
      <c r="E8392" s="9" t="str">
        <v>ESRI</v>
      </c>
      <c r="F8392" s="7" t="str">
        <v>115735</v>
      </c>
      <c r="G8392" t="str">
        <v>VerticalCrs</v>
      </c>
      <c r="H8392" t="str">
        <v>&lt;undefined&gt;</v>
      </c>
      <c r="I8392" t="str">
        <v>ITRF_1996</v>
      </c>
      <c r="J8392" t="str">
        <v>World.</v>
      </c>
      <c r="K8392" s="11">
        <v>0</v>
      </c>
    </row>
    <row r="8393" spans="5:11" x14ac:dyDescent="0.35">
      <c r="E8393" s="9" t="str">
        <v>ESRI</v>
      </c>
      <c r="F8393" s="7" t="str">
        <v>115736</v>
      </c>
      <c r="G8393" t="str">
        <v>VerticalCrs</v>
      </c>
      <c r="H8393" t="str">
        <v>&lt;undefined&gt;</v>
      </c>
      <c r="I8393" t="str">
        <v>ITRF_1997</v>
      </c>
      <c r="J8393" t="str">
        <v>World.</v>
      </c>
      <c r="K8393" s="11">
        <v>0</v>
      </c>
    </row>
    <row r="8394" spans="5:11" x14ac:dyDescent="0.35">
      <c r="E8394" s="9" t="str">
        <v>ESRI</v>
      </c>
      <c r="F8394" s="7" t="str">
        <v>115737</v>
      </c>
      <c r="G8394" t="str">
        <v>VerticalCrs</v>
      </c>
      <c r="H8394" t="str">
        <v>&lt;undefined&gt;</v>
      </c>
      <c r="I8394" t="str">
        <v>ITRF_2000</v>
      </c>
      <c r="J8394" t="str">
        <v>World.</v>
      </c>
      <c r="K8394" s="11">
        <v>0</v>
      </c>
    </row>
    <row r="8395" spans="5:11" x14ac:dyDescent="0.35">
      <c r="E8395" s="9" t="str">
        <v>ESRI</v>
      </c>
      <c r="F8395" s="7" t="str">
        <v>115738</v>
      </c>
      <c r="G8395" t="str">
        <v>VerticalCrs</v>
      </c>
      <c r="H8395" t="str">
        <v>&lt;undefined&gt;</v>
      </c>
      <c r="I8395" t="str">
        <v>ITRF_2005</v>
      </c>
      <c r="J8395" t="str">
        <v>World.</v>
      </c>
      <c r="K8395" s="11">
        <v>0</v>
      </c>
    </row>
    <row r="8396" spans="5:11" x14ac:dyDescent="0.35">
      <c r="E8396" s="9" t="str">
        <v>ESRI</v>
      </c>
      <c r="F8396" s="7" t="str">
        <v>115739</v>
      </c>
      <c r="G8396" t="str">
        <v>VerticalCrs</v>
      </c>
      <c r="H8396" t="str">
        <v>&lt;undefined&gt;</v>
      </c>
      <c r="I8396" t="str">
        <v>JAD_2001</v>
      </c>
      <c r="J8396" t="str">
        <v>Jamaica - onshore and offshore. Includes Morant Cays and Pedro Cays.</v>
      </c>
      <c r="K8396" s="11">
        <v>0</v>
      </c>
    </row>
    <row r="8397" spans="5:11" x14ac:dyDescent="0.35">
      <c r="E8397" s="9" t="str">
        <v>ESRI</v>
      </c>
      <c r="F8397" s="7" t="str">
        <v>115740</v>
      </c>
      <c r="G8397" t="str">
        <v>VerticalCrs</v>
      </c>
      <c r="H8397" t="str">
        <v>&lt;undefined&gt;</v>
      </c>
      <c r="I8397" t="str">
        <v>JGD_2000</v>
      </c>
      <c r="J8397" t="str">
        <v>Japan - onshore and offshore.</v>
      </c>
      <c r="K8397" s="11">
        <v>0</v>
      </c>
    </row>
    <row r="8398" spans="5:11" x14ac:dyDescent="0.35">
      <c r="E8398" s="9" t="str">
        <v>ESRI</v>
      </c>
      <c r="F8398" s="7" t="str">
        <v>115741</v>
      </c>
      <c r="G8398" t="str">
        <v>VerticalCrs</v>
      </c>
      <c r="H8398" t="str">
        <v>&lt;undefined&gt;</v>
      </c>
      <c r="I8398" t="str">
        <v>JGD_2011</v>
      </c>
      <c r="J8398" t="str">
        <v>Japan - onshore and offshore.</v>
      </c>
      <c r="K8398" s="11">
        <v>0</v>
      </c>
    </row>
    <row r="8399" spans="5:11" x14ac:dyDescent="0.35">
      <c r="E8399" s="9" t="str">
        <v>ESRI</v>
      </c>
      <c r="F8399" s="7" t="str">
        <v>115742</v>
      </c>
      <c r="G8399" t="str">
        <v>VerticalCrs</v>
      </c>
      <c r="H8399" t="str">
        <v>&lt;undefined&gt;</v>
      </c>
      <c r="I8399" t="str">
        <v>KGD2002</v>
      </c>
      <c r="J8399" t="str">
        <v>Republic of Korea (South Korea) - onshore and offshore.</v>
      </c>
      <c r="K8399" s="11">
        <v>0</v>
      </c>
    </row>
    <row r="8400" spans="5:11" x14ac:dyDescent="0.35">
      <c r="E8400" s="9" t="str">
        <v>ESRI</v>
      </c>
      <c r="F8400" s="7" t="str">
        <v>115743</v>
      </c>
      <c r="G8400" t="str">
        <v>VerticalCrs</v>
      </c>
      <c r="H8400" t="str">
        <v>&lt;undefined&gt;</v>
      </c>
      <c r="I8400" t="str">
        <v>Lao_1997</v>
      </c>
      <c r="J8400" t="str">
        <v>Laos.</v>
      </c>
      <c r="K8400" s="11">
        <v>0</v>
      </c>
    </row>
    <row r="8401" spans="5:11" x14ac:dyDescent="0.35">
      <c r="E8401" s="9" t="str">
        <v>ESRI</v>
      </c>
      <c r="F8401" s="7" t="str">
        <v>115744</v>
      </c>
      <c r="G8401" t="str">
        <v>VerticalCrs</v>
      </c>
      <c r="H8401" t="str">
        <v>&lt;undefined&gt;</v>
      </c>
      <c r="I8401" t="str">
        <v>LGD2006</v>
      </c>
      <c r="J8401" t="str">
        <v>Libya - onshore and offshore.</v>
      </c>
      <c r="K8401" s="11">
        <v>0</v>
      </c>
    </row>
    <row r="8402" spans="5:11" x14ac:dyDescent="0.35">
      <c r="E8402" s="9" t="str">
        <v>ESRI</v>
      </c>
      <c r="F8402" s="7" t="str">
        <v>115745</v>
      </c>
      <c r="G8402" t="str">
        <v>VerticalCrs</v>
      </c>
      <c r="H8402" t="str">
        <v>&lt;undefined&gt;</v>
      </c>
      <c r="I8402" t="str">
        <v>LKS_1992</v>
      </c>
      <c r="J8402" t="str">
        <v>Latvia - onshore and offshore.</v>
      </c>
      <c r="K8402" s="11">
        <v>0</v>
      </c>
    </row>
    <row r="8403" spans="5:11" x14ac:dyDescent="0.35">
      <c r="E8403" s="9" t="str">
        <v>ESRI</v>
      </c>
      <c r="F8403" s="7" t="str">
        <v>115746</v>
      </c>
      <c r="G8403" t="str">
        <v>VerticalCrs</v>
      </c>
      <c r="H8403" t="str">
        <v>&lt;undefined&gt;</v>
      </c>
      <c r="I8403" t="str">
        <v>LKS_1994</v>
      </c>
      <c r="J8403" t="str">
        <v>Lithuania - onshore and offshore.</v>
      </c>
      <c r="K8403" s="11">
        <v>0</v>
      </c>
    </row>
    <row r="8404" spans="5:11" x14ac:dyDescent="0.35">
      <c r="E8404" s="9" t="str">
        <v>ESRI</v>
      </c>
      <c r="F8404" s="7" t="str">
        <v>115747</v>
      </c>
      <c r="G8404" t="str">
        <v>VerticalCrs</v>
      </c>
      <c r="H8404" t="str">
        <v>&lt;undefined&gt;</v>
      </c>
      <c r="I8404" t="str">
        <v>MACAO_2008</v>
      </c>
      <c r="J8404" t="str">
        <v>China - Macao - onshore and offshore.</v>
      </c>
      <c r="K8404" s="11">
        <v>0</v>
      </c>
    </row>
    <row r="8405" spans="5:11" x14ac:dyDescent="0.35">
      <c r="E8405" s="9" t="str">
        <v>ESRI</v>
      </c>
      <c r="F8405" s="7" t="str">
        <v>115748</v>
      </c>
      <c r="G8405" t="str">
        <v>VerticalCrs</v>
      </c>
      <c r="H8405" t="str">
        <v>&lt;undefined&gt;</v>
      </c>
      <c r="I8405" t="str">
        <v>MAGNA</v>
      </c>
      <c r="J8405" t="str">
        <v>Colombia - onshore and offshore. Includes San Andres y Providencia, Malpelo Islands, Roncador Bank, Serrana Bank and Serranilla Bank.</v>
      </c>
      <c r="K8405" s="11">
        <v>0</v>
      </c>
    </row>
    <row r="8406" spans="5:11" x14ac:dyDescent="0.35">
      <c r="E8406" s="9" t="str">
        <v>ESRI</v>
      </c>
      <c r="F8406" s="7" t="str">
        <v>115749</v>
      </c>
      <c r="G8406" t="str">
        <v>VerticalCrs</v>
      </c>
      <c r="H8406" t="str">
        <v>&lt;undefined&gt;</v>
      </c>
      <c r="I8406" t="str">
        <v>MARCARIO_SOLIS</v>
      </c>
      <c r="J8406" t="str">
        <v>Panama - onshore and offshore.</v>
      </c>
      <c r="K8406" s="11">
        <v>0</v>
      </c>
    </row>
    <row r="8407" spans="5:11" x14ac:dyDescent="0.35">
      <c r="E8407" s="9" t="str">
        <v>ESRI</v>
      </c>
      <c r="F8407" s="7" t="str">
        <v>115750</v>
      </c>
      <c r="G8407" t="str">
        <v>VerticalCrs</v>
      </c>
      <c r="H8407" t="str">
        <v>&lt;undefined&gt;</v>
      </c>
      <c r="I8407" t="str">
        <v>MARGEN</v>
      </c>
      <c r="J8407" t="str">
        <v>Bolivia.</v>
      </c>
      <c r="K8407" s="11">
        <v>0</v>
      </c>
    </row>
    <row r="8408" spans="5:11" x14ac:dyDescent="0.35">
      <c r="E8408" s="9" t="str">
        <v>ESRI</v>
      </c>
      <c r="F8408" s="7" t="str">
        <v>115751</v>
      </c>
      <c r="G8408" t="str">
        <v>VerticalCrs</v>
      </c>
      <c r="H8408" t="str">
        <v>&lt;undefined&gt;</v>
      </c>
      <c r="I8408" t="str">
        <v>Mexico_ITRF2008</v>
      </c>
      <c r="J8408" t="str">
        <v>Mexico - onshore and offshore.</v>
      </c>
      <c r="K8408" s="11">
        <v>0</v>
      </c>
    </row>
    <row r="8409" spans="5:11" x14ac:dyDescent="0.35">
      <c r="E8409" s="9" t="str">
        <v>ESRI</v>
      </c>
      <c r="F8409" s="7" t="str">
        <v>115752</v>
      </c>
      <c r="G8409" t="str">
        <v>VerticalCrs</v>
      </c>
      <c r="H8409" t="str">
        <v>&lt;undefined&gt;</v>
      </c>
      <c r="I8409" t="str">
        <v>MOLDREF99</v>
      </c>
      <c r="J8409" t="str">
        <v>Moldova.</v>
      </c>
      <c r="K8409" s="11">
        <v>0</v>
      </c>
    </row>
    <row r="8410" spans="5:11" x14ac:dyDescent="0.35">
      <c r="E8410" s="9" t="str">
        <v>ESRI</v>
      </c>
      <c r="F8410" s="7" t="str">
        <v>115753</v>
      </c>
      <c r="G8410" t="str">
        <v>VerticalCrs</v>
      </c>
      <c r="H8410" t="str">
        <v>&lt;undefined&gt;</v>
      </c>
      <c r="I8410" t="str">
        <v>MONREF_1997</v>
      </c>
      <c r="J8410" t="str">
        <v>Mongolia.</v>
      </c>
      <c r="K8410" s="11">
        <v>0</v>
      </c>
    </row>
    <row r="8411" spans="5:11" x14ac:dyDescent="0.35">
      <c r="E8411" s="9" t="str">
        <v>ESRI</v>
      </c>
      <c r="F8411" s="7" t="str">
        <v>115754</v>
      </c>
      <c r="G8411" t="str">
        <v>VerticalCrs</v>
      </c>
      <c r="H8411" t="str">
        <v>&lt;undefined&gt;</v>
      </c>
      <c r="I8411" t="str">
        <v>Moznet</v>
      </c>
      <c r="J8411" t="str">
        <v>Mozambique - onshore and offshore.</v>
      </c>
      <c r="K8411" s="11">
        <v>0</v>
      </c>
    </row>
    <row r="8412" spans="5:11" x14ac:dyDescent="0.35">
      <c r="E8412" s="9" t="str">
        <v>ESRI</v>
      </c>
      <c r="F8412" s="7" t="str">
        <v>115755</v>
      </c>
      <c r="G8412" t="str">
        <v>VerticalCrs</v>
      </c>
      <c r="H8412" t="str">
        <v>&lt;undefined&gt;</v>
      </c>
      <c r="I8412" t="str">
        <v>NAD_1983_2011</v>
      </c>
      <c r="J8412"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8412" s="11">
        <v>0</v>
      </c>
    </row>
    <row r="8413" spans="5:11" x14ac:dyDescent="0.35">
      <c r="E8413" s="9" t="str">
        <v>ESRI</v>
      </c>
      <c r="F8413" s="7" t="str">
        <v>115756</v>
      </c>
      <c r="G8413" t="str">
        <v>VerticalCrs</v>
      </c>
      <c r="H8413" t="str">
        <v>&lt;undefined&gt;</v>
      </c>
      <c r="I8413" t="str">
        <v>NAD_1983_CORS96</v>
      </c>
      <c r="J8413"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8413" s="11">
        <v>0</v>
      </c>
    </row>
    <row r="8414" spans="5:11" x14ac:dyDescent="0.35">
      <c r="E8414" s="9" t="str">
        <v>ESRI</v>
      </c>
      <c r="F8414" s="7" t="str">
        <v>115757</v>
      </c>
      <c r="G8414" t="str">
        <v>VerticalCrs</v>
      </c>
      <c r="H8414" t="str">
        <v>&lt;undefined&gt;</v>
      </c>
      <c r="I8414" t="str">
        <v>North_American_1983_CSRS</v>
      </c>
      <c r="J8414" t="str">
        <v>Canada - onshore and offshore - Alberta; British Columbia; Manitoba; New Brunswick; Newfoundland and Labrador; Northwest Territories; Nova Scotia; Nunavut; Ontario; Prince Edward Island; Quebec; Saskatchewan; Yukon.</v>
      </c>
      <c r="K8414" s="11">
        <v>0</v>
      </c>
    </row>
    <row r="8415" spans="5:11" x14ac:dyDescent="0.35">
      <c r="E8415" s="9" t="str">
        <v>ESRI</v>
      </c>
      <c r="F8415" s="7" t="str">
        <v>115758</v>
      </c>
      <c r="G8415" t="str">
        <v>VerticalCrs</v>
      </c>
      <c r="H8415" t="str">
        <v>&lt;undefined&gt;</v>
      </c>
      <c r="I8415" t="str">
        <v>North_American_1983_HARN</v>
      </c>
      <c r="J8415" t="str">
        <v>American Samoa - onshore - Tutuila, Aunu'u, Ofu, Olesega, Ta'u and Rose islands. Guam - onshore. Northern Mariana Islands - onshore. Puerto Rico - onshore. United States (USA) - onshore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offshore Gulf of Mexico continental shelf (GoM OCS). US Virgin Islands - onshore.</v>
      </c>
      <c r="K8415" s="11">
        <v>0</v>
      </c>
    </row>
    <row r="8416" spans="5:11" x14ac:dyDescent="0.35">
      <c r="E8416" s="9" t="str">
        <v>ESRI</v>
      </c>
      <c r="F8416" s="7" t="str">
        <v>115759</v>
      </c>
      <c r="G8416" t="str">
        <v>VerticalCrs</v>
      </c>
      <c r="H8416" t="str">
        <v>&lt;undefined&gt;</v>
      </c>
      <c r="I8416" t="str">
        <v>NAD_1983_MA11</v>
      </c>
      <c r="J8416" t="str">
        <v>Guam, Northern Mariana Islands and Palau; onshore and offshore.</v>
      </c>
      <c r="K8416" s="11">
        <v>0</v>
      </c>
    </row>
    <row r="8417" spans="5:11" x14ac:dyDescent="0.35">
      <c r="E8417" s="9" t="str">
        <v>ESRI</v>
      </c>
      <c r="F8417" s="7" t="str">
        <v>115760</v>
      </c>
      <c r="G8417" t="str">
        <v>VerticalCrs</v>
      </c>
      <c r="H8417" t="str">
        <v>&lt;undefined&gt;</v>
      </c>
      <c r="I8417" t="str">
        <v>NAD_1983_MARP00</v>
      </c>
      <c r="J8417" t="str">
        <v>Guam, Northern Mariana Islands and Palau; onshore and offshore.</v>
      </c>
      <c r="K8417" s="11">
        <v>0</v>
      </c>
    </row>
    <row r="8418" spans="5:11" x14ac:dyDescent="0.35">
      <c r="E8418" s="9" t="str">
        <v>ESRI</v>
      </c>
      <c r="F8418" s="7" t="str">
        <v>115761</v>
      </c>
      <c r="G8418" t="str">
        <v>VerticalCrs</v>
      </c>
      <c r="H8418" t="str">
        <v>&lt;undefined&gt;</v>
      </c>
      <c r="I8418" t="str">
        <v>NAD_1983_NSRS2007</v>
      </c>
      <c r="J8418" t="str">
        <v>Puerto Rico - onshore and offshore.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 onshore and offshore.</v>
      </c>
      <c r="K8418" s="11">
        <v>0</v>
      </c>
    </row>
    <row r="8419" spans="5:11" x14ac:dyDescent="0.35">
      <c r="E8419" s="9" t="str">
        <v>ESRI</v>
      </c>
      <c r="F8419" s="7" t="str">
        <v>115762</v>
      </c>
      <c r="G8419" t="str">
        <v>VerticalCrs</v>
      </c>
      <c r="H8419" t="str">
        <v>&lt;undefined&gt;</v>
      </c>
      <c r="I8419" t="str">
        <v>NAD_1983_PA11</v>
      </c>
      <c r="J8419" t="str">
        <v>NAD83 PA11 - US interests Pacific plate</v>
      </c>
      <c r="K8419" s="11">
        <v>0</v>
      </c>
    </row>
    <row r="8420" spans="5:11" x14ac:dyDescent="0.35">
      <c r="E8420" s="9" t="str">
        <v>ESRI</v>
      </c>
      <c r="F8420" s="7" t="str">
        <v>115763</v>
      </c>
      <c r="G8420" t="str">
        <v>VerticalCrs</v>
      </c>
      <c r="H8420" t="str">
        <v>&lt;undefined&gt;</v>
      </c>
      <c r="I8420" t="str">
        <v>NAD_1983_PACP00</v>
      </c>
      <c r="J8420" t="str">
        <v>American Samoa, Marshall Islands, United States (USA) - Hawaii, United States minor outlying islands; onshore and offshore.</v>
      </c>
      <c r="K8420" s="11">
        <v>0</v>
      </c>
    </row>
    <row r="8421" spans="5:11" x14ac:dyDescent="0.35">
      <c r="E8421" s="9" t="str">
        <v>ESRI</v>
      </c>
      <c r="F8421" s="7" t="str">
        <v>115764</v>
      </c>
      <c r="G8421" t="str">
        <v>VerticalCrs</v>
      </c>
      <c r="H8421" t="str">
        <v>&lt;undefined&gt;</v>
      </c>
      <c r="I8421" t="str">
        <v>Nepal_Nagarkot</v>
      </c>
      <c r="J8421" t="str">
        <v>Nepal.</v>
      </c>
      <c r="K8421" s="11">
        <v>0</v>
      </c>
    </row>
    <row r="8422" spans="5:11" x14ac:dyDescent="0.35">
      <c r="E8422" s="9" t="str">
        <v>ESRI</v>
      </c>
      <c r="F8422" s="7" t="str">
        <v>115765</v>
      </c>
      <c r="G8422" t="str">
        <v>VerticalCrs</v>
      </c>
      <c r="H8422" t="str">
        <v>&lt;undefined&gt;</v>
      </c>
      <c r="I8422" t="str">
        <v>NZGD_2000</v>
      </c>
      <c r="J8422" t="str">
        <v>New Zealand - onshore and offshore. Includes Antipodes Islands, Auckland Islands, Bounty Islands, Chatham Islands, Cambell Island, Kermadec Islands, Raoul Island and Snares Islands.</v>
      </c>
      <c r="K8422" s="11">
        <v>0</v>
      </c>
    </row>
    <row r="8423" spans="5:11" x14ac:dyDescent="0.35">
      <c r="E8423" s="9" t="str">
        <v>ESRI</v>
      </c>
      <c r="F8423" s="7" t="str">
        <v>115766</v>
      </c>
      <c r="G8423" t="str">
        <v>VerticalCrs</v>
      </c>
      <c r="H8423" t="str">
        <v>&lt;undefined&gt;</v>
      </c>
      <c r="I8423" t="str">
        <v>Peru96</v>
      </c>
      <c r="J8423" t="str">
        <v>Peru - onshore and offshore.</v>
      </c>
      <c r="K8423" s="11">
        <v>0</v>
      </c>
    </row>
    <row r="8424" spans="5:11" x14ac:dyDescent="0.35">
      <c r="E8424" s="9" t="str">
        <v>ESRI</v>
      </c>
      <c r="F8424" s="7" t="str">
        <v>115767</v>
      </c>
      <c r="G8424" t="str">
        <v>VerticalCrs</v>
      </c>
      <c r="H8424" t="str">
        <v>&lt;undefined&gt;</v>
      </c>
      <c r="I8424" t="str">
        <v>PNG94</v>
      </c>
      <c r="J8424" t="str">
        <v>Papua New Guinea - onshore and offshore. Includes Bismark archipelago, Louisade archipelago, Admiralty Islands, d'Entrecasteaux Islands, northern Solomon Islands, Trobriand Islands, New Britain, New Ireland, Woodlark, and associated islands.</v>
      </c>
      <c r="K8424" s="11">
        <v>0</v>
      </c>
    </row>
    <row r="8425" spans="5:11" x14ac:dyDescent="0.35">
      <c r="E8425" s="9" t="str">
        <v>ESRI</v>
      </c>
      <c r="F8425" s="7" t="str">
        <v>115768</v>
      </c>
      <c r="G8425" t="str">
        <v>VerticalCrs</v>
      </c>
      <c r="H8425" t="str">
        <v>&lt;undefined&gt;</v>
      </c>
      <c r="I8425" t="str">
        <v>POSGAR</v>
      </c>
      <c r="J8425" t="str">
        <v>Argentina - onshore and offshore.</v>
      </c>
      <c r="K8425" s="11">
        <v>0</v>
      </c>
    </row>
    <row r="8426" spans="5:11" x14ac:dyDescent="0.35">
      <c r="E8426" s="9" t="str">
        <v>ESRI</v>
      </c>
      <c r="F8426" s="7" t="str">
        <v>115769</v>
      </c>
      <c r="G8426" t="str">
        <v>VerticalCrs</v>
      </c>
      <c r="H8426" t="str">
        <v>&lt;undefined&gt;</v>
      </c>
      <c r="I8426" t="str">
        <v>POSGAR_1994</v>
      </c>
      <c r="J8426" t="str">
        <v>Argentina - onshore and offshore.</v>
      </c>
      <c r="K8426" s="11">
        <v>0</v>
      </c>
    </row>
    <row r="8427" spans="5:11" x14ac:dyDescent="0.35">
      <c r="E8427" s="9" t="str">
        <v>ESRI</v>
      </c>
      <c r="F8427" s="7" t="str">
        <v>115770</v>
      </c>
      <c r="G8427" t="str">
        <v>VerticalCrs</v>
      </c>
      <c r="H8427" t="str">
        <v>&lt;undefined&gt;</v>
      </c>
      <c r="I8427" t="str">
        <v>POSGAR_1998</v>
      </c>
      <c r="J8427" t="str">
        <v>Argentina - onshore and offshore.</v>
      </c>
      <c r="K8427" s="11">
        <v>0</v>
      </c>
    </row>
    <row r="8428" spans="5:11" x14ac:dyDescent="0.35">
      <c r="E8428" s="9" t="str">
        <v>ESRI</v>
      </c>
      <c r="F8428" s="7" t="str">
        <v>115771</v>
      </c>
      <c r="G8428" t="str">
        <v>VerticalCrs</v>
      </c>
      <c r="H8428" t="str">
        <v>&lt;undefined&gt;</v>
      </c>
      <c r="I8428" t="str">
        <v>PRS_1992</v>
      </c>
      <c r="J8428" t="str">
        <v>Philippines - onshore and offshore.</v>
      </c>
      <c r="K8428" s="11">
        <v>0</v>
      </c>
    </row>
    <row r="8429" spans="5:11" x14ac:dyDescent="0.35">
      <c r="E8429" s="9" t="str">
        <v>ESRI</v>
      </c>
      <c r="F8429" s="7" t="str">
        <v>115772</v>
      </c>
      <c r="G8429" t="str">
        <v>VerticalCrs</v>
      </c>
      <c r="H8429" t="str">
        <v>&lt;undefined&gt;</v>
      </c>
      <c r="I8429" t="str">
        <v>PTRA08</v>
      </c>
      <c r="J8429" t="str">
        <v>Portugal - Azores and Madeira island groups and surrounding EEZ - Flores, Corvo; Graciosa, Terceira, Sao Jorge, Pico, Faial; Sao Miguel, Santa Maria; Madeira, Porto Santo, Desertas; Selvagens.</v>
      </c>
      <c r="K8429" s="11">
        <v>0</v>
      </c>
    </row>
    <row r="8430" spans="5:11" x14ac:dyDescent="0.35">
      <c r="E8430" s="9" t="str">
        <v>ESRI</v>
      </c>
      <c r="F8430" s="7" t="str">
        <v>115773</v>
      </c>
      <c r="G8430" t="str">
        <v>VerticalCrs</v>
      </c>
      <c r="H8430" t="str">
        <v>&lt;undefined&gt;</v>
      </c>
      <c r="I8430" t="str">
        <v>PZ_1990</v>
      </c>
      <c r="J8430" t="str">
        <v>World.</v>
      </c>
      <c r="K8430" s="11">
        <v>0</v>
      </c>
    </row>
    <row r="8431" spans="5:11" x14ac:dyDescent="0.35">
      <c r="E8431" s="9" t="str">
        <v>ESRI</v>
      </c>
      <c r="F8431" s="7" t="str">
        <v>115774</v>
      </c>
      <c r="G8431" t="str">
        <v>VerticalCrs</v>
      </c>
      <c r="H8431" t="str">
        <v>&lt;undefined&gt;</v>
      </c>
      <c r="I8431" t="str">
        <v>RDN2008</v>
      </c>
      <c r="J8431" t="str">
        <v>Italy - onshore and offshore; San Marino, Vatican City State.</v>
      </c>
      <c r="K8431" s="11">
        <v>0</v>
      </c>
    </row>
    <row r="8432" spans="5:11" x14ac:dyDescent="0.35">
      <c r="E8432" s="9" t="str">
        <v>ESRI</v>
      </c>
      <c r="F8432" s="7" t="str">
        <v>115775</v>
      </c>
      <c r="G8432" t="str">
        <v>VerticalCrs</v>
      </c>
      <c r="H8432" t="str">
        <v>&lt;undefined&gt;</v>
      </c>
      <c r="I8432" t="str">
        <v>REGCAN95</v>
      </c>
      <c r="J8432" t="str">
        <v>Spain - Canary Islands onshore and offshore.</v>
      </c>
      <c r="K8432" s="11">
        <v>0</v>
      </c>
    </row>
    <row r="8433" spans="5:11" x14ac:dyDescent="0.35">
      <c r="E8433" s="9" t="str">
        <v>ESRI</v>
      </c>
      <c r="F8433" s="7" t="str">
        <v>115776</v>
      </c>
      <c r="G8433" t="str">
        <v>VerticalCrs</v>
      </c>
      <c r="H8433" t="str">
        <v>&lt;undefined&gt;</v>
      </c>
      <c r="I8433" t="str">
        <v>REGVEN</v>
      </c>
      <c r="J8433" t="str">
        <v>Venezuela - onshore and offshore.</v>
      </c>
      <c r="K8433" s="11">
        <v>0</v>
      </c>
    </row>
    <row r="8434" spans="5:11" x14ac:dyDescent="0.35">
      <c r="E8434" s="9" t="str">
        <v>ESRI</v>
      </c>
      <c r="F8434" s="7" t="str">
        <v>115777</v>
      </c>
      <c r="G8434" t="str">
        <v>VerticalCrs</v>
      </c>
      <c r="H8434" t="str">
        <v>&lt;undefined&gt;</v>
      </c>
      <c r="I8434" t="str">
        <v>RGAF09</v>
      </c>
      <c r="J8434" t="str">
        <v>French Antilles onshore and offshore - Guadeloupe (including Grande Terre, Basse Terre, Marie Galante, Les Saintes, Iles de la Petite Terre, La Desirade); Martinique; St Barthélemy; St Martin.</v>
      </c>
      <c r="K8434" s="11">
        <v>0</v>
      </c>
    </row>
    <row r="8435" spans="5:11" x14ac:dyDescent="0.35">
      <c r="E8435" s="9" t="str">
        <v>ESRI</v>
      </c>
      <c r="F8435" s="7" t="str">
        <v>115778</v>
      </c>
      <c r="G8435" t="str">
        <v>VerticalCrs</v>
      </c>
      <c r="H8435" t="str">
        <v>&lt;undefined&gt;</v>
      </c>
      <c r="I8435" t="str">
        <v>RGF_1993</v>
      </c>
      <c r="J8435" t="str">
        <v>France - onshore and offshore, mainland and Corsica (France métropolitaine including Corsica).</v>
      </c>
      <c r="K8435" s="11">
        <v>0</v>
      </c>
    </row>
    <row r="8436" spans="5:11" x14ac:dyDescent="0.35">
      <c r="E8436" s="9" t="str">
        <v>ESRI</v>
      </c>
      <c r="F8436" s="7" t="str">
        <v>115779</v>
      </c>
      <c r="G8436" t="str">
        <v>VerticalCrs</v>
      </c>
      <c r="H8436" t="str">
        <v>&lt;undefined&gt;</v>
      </c>
      <c r="I8436" t="str">
        <v>RGFG_1995</v>
      </c>
      <c r="J8436" t="str">
        <v>French Guiana - onshore and offshore.</v>
      </c>
      <c r="K8436" s="11">
        <v>0</v>
      </c>
    </row>
    <row r="8437" spans="5:11" x14ac:dyDescent="0.35">
      <c r="E8437" s="9" t="str">
        <v>ESRI</v>
      </c>
      <c r="F8437" s="7" t="str">
        <v>115780</v>
      </c>
      <c r="G8437" t="str">
        <v>VerticalCrs</v>
      </c>
      <c r="H8437" t="str">
        <v>&lt;undefined&gt;</v>
      </c>
      <c r="I8437" t="str">
        <v>RGM_2004</v>
      </c>
      <c r="J8437" t="str">
        <v>Mayotte - onshore and offshore.</v>
      </c>
      <c r="K8437" s="11">
        <v>0</v>
      </c>
    </row>
    <row r="8438" spans="5:11" x14ac:dyDescent="0.35">
      <c r="E8438" s="9" t="str">
        <v>ESRI</v>
      </c>
      <c r="F8438" s="7" t="str">
        <v>115781</v>
      </c>
      <c r="G8438" t="str">
        <v>VerticalCrs</v>
      </c>
      <c r="H8438" t="str">
        <v>&lt;undefined&gt;</v>
      </c>
      <c r="I8438" t="str">
        <v>RGNC_1991</v>
      </c>
      <c r="J8438" t="str">
        <v>New Caledonia - onshore and offshore. Isle de Pins, Loyalty Islands, Huon Islands, Belep archipelago, Chesterfield Islands, and Walpole.</v>
      </c>
      <c r="K8438" s="11">
        <v>0</v>
      </c>
    </row>
    <row r="8439" spans="5:11" x14ac:dyDescent="0.35">
      <c r="E8439" s="9" t="str">
        <v>ESRI</v>
      </c>
      <c r="F8439" s="7" t="str">
        <v>115782</v>
      </c>
      <c r="G8439" t="str">
        <v>VerticalCrs</v>
      </c>
      <c r="H8439" t="str">
        <v>&lt;undefined&gt;</v>
      </c>
      <c r="I8439" t="str">
        <v>RGNC_1991-93</v>
      </c>
      <c r="J8439" t="str">
        <v>New Caledonia - onshore and offshore. Isle de Pins, Loyalty Islands, Huon Islands, Belep archipelago, Chesterfield Islands, and Walpole.</v>
      </c>
      <c r="K8439" s="11">
        <v>0</v>
      </c>
    </row>
    <row r="8440" spans="5:11" x14ac:dyDescent="0.35">
      <c r="E8440" s="9" t="str">
        <v>ESRI</v>
      </c>
      <c r="F8440" s="7" t="str">
        <v>115783</v>
      </c>
      <c r="G8440" t="str">
        <v>VerticalCrs</v>
      </c>
      <c r="H8440" t="str">
        <v>&lt;undefined&gt;</v>
      </c>
      <c r="I8440" t="str">
        <v>RGPF</v>
      </c>
      <c r="J8440" t="str">
        <v>French Polynesia - onshore and offshore. Includes Society archipelago, Tuamotu archipelago, Marquesas Islands, Gambier Islands and Austral Islands.</v>
      </c>
      <c r="K8440" s="11">
        <v>0</v>
      </c>
    </row>
    <row r="8441" spans="5:11" x14ac:dyDescent="0.35">
      <c r="E8441" s="9" t="str">
        <v>ESRI</v>
      </c>
      <c r="F8441" s="7" t="str">
        <v>115784</v>
      </c>
      <c r="G8441" t="str">
        <v>VerticalCrs</v>
      </c>
      <c r="H8441" t="str">
        <v>&lt;undefined&gt;</v>
      </c>
      <c r="I8441" t="str">
        <v>RGR_1992</v>
      </c>
      <c r="J8441" t="str">
        <v>Reunion - onshore and offshore - Reunion island, Ile Europa, Bassas da India, Juan de Nova, Iles Glorieuses, and Ile Tromelin.</v>
      </c>
      <c r="K8441" s="11">
        <v>0</v>
      </c>
    </row>
    <row r="8442" spans="5:11" x14ac:dyDescent="0.35">
      <c r="E8442" s="9" t="str">
        <v>ESRI</v>
      </c>
      <c r="F8442" s="7" t="str">
        <v>115785</v>
      </c>
      <c r="G8442" t="str">
        <v>VerticalCrs</v>
      </c>
      <c r="H8442" t="str">
        <v>&lt;undefined&gt;</v>
      </c>
      <c r="I8442" t="str">
        <v>RGRDC_2005</v>
      </c>
      <c r="J8442" t="str">
        <v>The Democratic Republic of the Congo (Zaire) - south of a line through Bandundu, Seke and Pweto - onshore and offshore.</v>
      </c>
      <c r="K8442" s="11">
        <v>0</v>
      </c>
    </row>
    <row r="8443" spans="5:11" x14ac:dyDescent="0.35">
      <c r="E8443" s="9" t="str">
        <v>ESRI</v>
      </c>
      <c r="F8443" s="7" t="str">
        <v>115786</v>
      </c>
      <c r="G8443" t="str">
        <v>VerticalCrs</v>
      </c>
      <c r="H8443" t="str">
        <v>&lt;undefined&gt;</v>
      </c>
      <c r="I8443" t="str">
        <v>RGSPM_2006</v>
      </c>
      <c r="J8443" t="str">
        <v>St Pierre and Miquelon - onshore and offshore.</v>
      </c>
      <c r="K8443" s="11">
        <v>0</v>
      </c>
    </row>
    <row r="8444" spans="5:11" x14ac:dyDescent="0.35">
      <c r="E8444" s="9" t="str">
        <v>ESRI</v>
      </c>
      <c r="F8444" s="7" t="str">
        <v>115787</v>
      </c>
      <c r="G8444" t="str">
        <v>VerticalCrs</v>
      </c>
      <c r="H8444" t="str">
        <v>&lt;undefined&gt;</v>
      </c>
      <c r="I8444" t="str">
        <v>RRAF_1991</v>
      </c>
      <c r="J8444" t="str">
        <v>French Antilles onshore and offshore - Guadeloupe (including Grande Terre, Basse Terre, Marie Galante, Les Saintes, Iles de la Petite Terre, La Desirade); Martinique; St Barthélemy; St Martin.</v>
      </c>
      <c r="K8444" s="11">
        <v>0</v>
      </c>
    </row>
    <row r="8445" spans="5:11" x14ac:dyDescent="0.35">
      <c r="E8445" s="9" t="str">
        <v>ESRI</v>
      </c>
      <c r="F8445" s="7" t="str">
        <v>115788</v>
      </c>
      <c r="G8445" t="str">
        <v>VerticalCrs</v>
      </c>
      <c r="H8445" t="str">
        <v>&lt;undefined&gt;</v>
      </c>
      <c r="I8445" t="str">
        <v>RSRGD2000</v>
      </c>
      <c r="J8445" t="str">
        <v>Antarctica - Ross Sea Region - nominally between 160°E and 150°W but includes buffer on eastern hemisphere margin to include Transantarctic Mountains</v>
      </c>
      <c r="K8445" s="11">
        <v>0</v>
      </c>
    </row>
    <row r="8446" spans="5:11" x14ac:dyDescent="0.35">
      <c r="E8446" s="9" t="str">
        <v>ESRI</v>
      </c>
      <c r="F8446" s="7" t="str">
        <v>115789</v>
      </c>
      <c r="G8446" t="str">
        <v>VerticalCrs</v>
      </c>
      <c r="H8446" t="str">
        <v>&lt;undefined&gt;</v>
      </c>
      <c r="I8446" t="str">
        <v>SIRGAS_2000</v>
      </c>
      <c r="J8446" t="str">
        <v>Latin America - Central America and South America - onshore and offshore. Brazil - onshore and offshore.</v>
      </c>
      <c r="K8446" s="11">
        <v>0</v>
      </c>
    </row>
    <row r="8447" spans="5:11" x14ac:dyDescent="0.35">
      <c r="E8447" s="9" t="str">
        <v>ESRI</v>
      </c>
      <c r="F8447" s="7" t="str">
        <v>115790</v>
      </c>
      <c r="G8447" t="str">
        <v>VerticalCrs</v>
      </c>
      <c r="H8447" t="str">
        <v>&lt;undefined&gt;</v>
      </c>
      <c r="I8447" t="str">
        <v>SIRGAS-Chile_2002</v>
      </c>
      <c r="J8447" t="str">
        <v>Chile - onshore and offshore. Includes Easter Island, Juan Fernandez Islands, San Felix, and Sala y Gomez.</v>
      </c>
      <c r="K8447" s="11">
        <v>0</v>
      </c>
    </row>
    <row r="8448" spans="5:11" x14ac:dyDescent="0.35">
      <c r="E8448" s="9" t="str">
        <v>ESRI</v>
      </c>
      <c r="F8448" s="7" t="str">
        <v>115791</v>
      </c>
      <c r="G8448" t="str">
        <v>VerticalCrs</v>
      </c>
      <c r="H8448" t="str">
        <v>&lt;undefined&gt;</v>
      </c>
      <c r="I8448" t="str">
        <v>SIRGAS_ES2007.8</v>
      </c>
      <c r="J8448" t="str">
        <v>El Salvador - onshore and offshore.</v>
      </c>
      <c r="K8448" s="11">
        <v>0</v>
      </c>
    </row>
    <row r="8449" spans="5:11" x14ac:dyDescent="0.35">
      <c r="E8449" s="9" t="str">
        <v>ESRI</v>
      </c>
      <c r="F8449" s="7" t="str">
        <v>115792</v>
      </c>
      <c r="G8449" t="str">
        <v>VerticalCrs</v>
      </c>
      <c r="H8449" t="str">
        <v>&lt;undefined&gt;</v>
      </c>
      <c r="I8449" t="str">
        <v>SIRGAS-ROU98</v>
      </c>
      <c r="J8449" t="str">
        <v>Uruguay - onshore and offshore.</v>
      </c>
      <c r="K8449" s="11">
        <v>0</v>
      </c>
    </row>
    <row r="8450" spans="5:11" x14ac:dyDescent="0.35">
      <c r="E8450" s="9" t="str">
        <v>ESRI</v>
      </c>
      <c r="F8450" s="7" t="str">
        <v>115793</v>
      </c>
      <c r="G8450" t="str">
        <v>VerticalCrs</v>
      </c>
      <c r="H8450" t="str">
        <v>&lt;undefined&gt;</v>
      </c>
      <c r="I8450" t="str">
        <v>SLD99</v>
      </c>
      <c r="J8450" t="str">
        <v>Sri Lanka - onshore.</v>
      </c>
      <c r="K8450" s="11">
        <v>0</v>
      </c>
    </row>
    <row r="8451" spans="5:11" x14ac:dyDescent="0.35">
      <c r="E8451" s="9" t="str">
        <v>ESRI</v>
      </c>
      <c r="F8451" s="7" t="str">
        <v>115794</v>
      </c>
      <c r="G8451" t="str">
        <v>VerticalCrs</v>
      </c>
      <c r="H8451" t="str">
        <v>&lt;undefined&gt;</v>
      </c>
      <c r="I8451" t="str">
        <v>Slovenia_1996</v>
      </c>
      <c r="J8451" t="str">
        <v>Slovenia - onshore and offshore.</v>
      </c>
      <c r="K8451" s="11">
        <v>0</v>
      </c>
    </row>
    <row r="8452" spans="5:11" x14ac:dyDescent="0.35">
      <c r="E8452" s="9" t="str">
        <v>ESRI</v>
      </c>
      <c r="F8452" s="7" t="str">
        <v>115795</v>
      </c>
      <c r="G8452" t="str">
        <v>VerticalCrs</v>
      </c>
      <c r="H8452" t="str">
        <v>&lt;undefined&gt;</v>
      </c>
      <c r="I8452" t="str">
        <v>SREF98</v>
      </c>
      <c r="J8452" t="str">
        <v>Serbia including Vojvodina.</v>
      </c>
      <c r="K8452" s="11">
        <v>0</v>
      </c>
    </row>
    <row r="8453" spans="5:11" x14ac:dyDescent="0.35">
      <c r="E8453" s="9" t="str">
        <v>ESRI</v>
      </c>
      <c r="F8453" s="7" t="str">
        <v>115796</v>
      </c>
      <c r="G8453" t="str">
        <v>VerticalCrs</v>
      </c>
      <c r="H8453" t="str">
        <v>&lt;undefined&gt;</v>
      </c>
      <c r="I8453" t="str">
        <v>S_JTSK/05</v>
      </c>
      <c r="J8453" t="str">
        <v>Czechia.</v>
      </c>
      <c r="K8453" s="11">
        <v>0</v>
      </c>
    </row>
    <row r="8454" spans="5:11" x14ac:dyDescent="0.35">
      <c r="E8454" s="9" t="str">
        <v>ESRI</v>
      </c>
      <c r="F8454" s="7" t="str">
        <v>115797</v>
      </c>
      <c r="G8454" t="str">
        <v>VerticalCrs</v>
      </c>
      <c r="H8454" t="str">
        <v>&lt;undefined&gt;</v>
      </c>
      <c r="I8454" t="str">
        <v>S_JTSK/05_Ferro</v>
      </c>
      <c r="J8454" t="str">
        <v>Czechia.</v>
      </c>
      <c r="K8454" s="11">
        <v>0</v>
      </c>
    </row>
    <row r="8455" spans="5:11" x14ac:dyDescent="0.35">
      <c r="E8455" s="9" t="str">
        <v>ESRI</v>
      </c>
      <c r="F8455" s="7" t="str">
        <v>115798</v>
      </c>
      <c r="G8455" t="str">
        <v>VerticalCrs</v>
      </c>
      <c r="H8455" t="str">
        <v>&lt;undefined&gt;</v>
      </c>
      <c r="I8455" t="str">
        <v>SWEREF99</v>
      </c>
      <c r="J8455" t="str">
        <v>Sweden - onshore and offshore.</v>
      </c>
      <c r="K8455" s="11">
        <v>0</v>
      </c>
    </row>
    <row r="8456" spans="5:11" x14ac:dyDescent="0.35">
      <c r="E8456" s="9" t="str">
        <v>ESRI</v>
      </c>
      <c r="F8456" s="7" t="str">
        <v>115799</v>
      </c>
      <c r="G8456" t="str">
        <v>VerticalCrs</v>
      </c>
      <c r="H8456" t="str">
        <v>&lt;undefined&gt;</v>
      </c>
      <c r="I8456" t="str">
        <v>TGD2005</v>
      </c>
      <c r="J8456" t="str">
        <v>Tonga - onshore and offshore.</v>
      </c>
      <c r="K8456" s="11">
        <v>0</v>
      </c>
    </row>
    <row r="8457" spans="5:11" x14ac:dyDescent="0.35">
      <c r="E8457" s="9" t="str">
        <v>ESRI</v>
      </c>
      <c r="F8457" s="7" t="str">
        <v>115800</v>
      </c>
      <c r="G8457" t="str">
        <v>VerticalCrs</v>
      </c>
      <c r="H8457" t="str">
        <v>&lt;undefined&gt;</v>
      </c>
      <c r="I8457" t="str">
        <v>TWD_1997</v>
      </c>
      <c r="J8457" t="str">
        <v>Taiwan, Republic of China - onshore and offshore - Taiwan Island, Penghu (Pescadores) Islands.</v>
      </c>
      <c r="K8457" s="11">
        <v>0</v>
      </c>
    </row>
    <row r="8458" spans="5:11" x14ac:dyDescent="0.35">
      <c r="E8458" s="9" t="str">
        <v>ESRI</v>
      </c>
      <c r="F8458" s="7" t="str">
        <v>115801</v>
      </c>
      <c r="G8458" t="str">
        <v>VerticalCrs</v>
      </c>
      <c r="H8458" t="str">
        <v>&lt;undefined&gt;</v>
      </c>
      <c r="I8458" t="str">
        <v>Ukraine_2000</v>
      </c>
      <c r="J8458" t="str">
        <v>Ukraine - onshore and offshore.</v>
      </c>
      <c r="K8458" s="11">
        <v>0</v>
      </c>
    </row>
    <row r="8459" spans="5:11" x14ac:dyDescent="0.35">
      <c r="E8459" s="9" t="str">
        <v>ESRI</v>
      </c>
      <c r="F8459" s="7" t="str">
        <v>115802</v>
      </c>
      <c r="G8459" t="str">
        <v>VerticalCrs</v>
      </c>
      <c r="H8459" t="str">
        <v>&lt;undefined&gt;</v>
      </c>
      <c r="I8459" t="str">
        <v>Yemen_NGN_1996</v>
      </c>
      <c r="J8459" t="str">
        <v>Yemen - onshore and offshore.</v>
      </c>
      <c r="K8459" s="11">
        <v>0</v>
      </c>
    </row>
    <row r="8460" spans="5:11" x14ac:dyDescent="0.35">
      <c r="E8460" s="9" t="str">
        <v>ESRI</v>
      </c>
      <c r="F8460" s="7" t="str">
        <v>115803</v>
      </c>
      <c r="G8460" t="str">
        <v>VerticalCrs</v>
      </c>
      <c r="H8460" t="str">
        <v>&lt;undefined&gt;</v>
      </c>
      <c r="I8460" t="str">
        <v>ITRF_2008</v>
      </c>
      <c r="J8460" t="str">
        <v>World.</v>
      </c>
      <c r="K8460" s="11">
        <v>0</v>
      </c>
    </row>
    <row r="8461" spans="5:11" x14ac:dyDescent="0.35">
      <c r="E8461" s="9" t="str">
        <v>ESRI</v>
      </c>
      <c r="F8461" s="7" t="str">
        <v>115804</v>
      </c>
      <c r="G8461" t="str">
        <v>VerticalCrs</v>
      </c>
      <c r="H8461" t="str">
        <v>&lt;undefined&gt;</v>
      </c>
      <c r="I8461" t="str">
        <v>TUREF</v>
      </c>
      <c r="J8461" t="str">
        <v>Türkiye (Turkey) - onshore and offshore.</v>
      </c>
      <c r="K8461" s="11">
        <v>0</v>
      </c>
    </row>
    <row r="8462" spans="5:11" x14ac:dyDescent="0.35">
      <c r="E8462" s="9" t="str">
        <v>ESRI</v>
      </c>
      <c r="F8462" s="7" t="str">
        <v>115805</v>
      </c>
      <c r="G8462" t="str">
        <v>VerticalCrs</v>
      </c>
      <c r="H8462" t="str">
        <v>&lt;undefined&gt;</v>
      </c>
      <c r="I8462" t="str">
        <v>GDA2020</v>
      </c>
      <c r="J8462" t="str">
        <v>Australia including Lord Howe Island, Macquarie Island, Ashmore and Cartier Islands, Christmas Island, Cocos (Keeling) Islands, Norfolk Island. All onshore and offshore.</v>
      </c>
      <c r="K8462" s="11">
        <v>0</v>
      </c>
    </row>
    <row r="8463" spans="5:11" x14ac:dyDescent="0.35">
      <c r="E8463" s="9" t="str">
        <v>ESRI</v>
      </c>
      <c r="F8463" s="7" t="str">
        <v>115806</v>
      </c>
      <c r="G8463" t="str">
        <v>VerticalCrs</v>
      </c>
      <c r="H8463" t="str">
        <v>&lt;undefined&gt;</v>
      </c>
      <c r="I8463" t="str">
        <v>BGS2005</v>
      </c>
      <c r="J8463" t="str">
        <v>Bulgaria - onshore and offshore.</v>
      </c>
      <c r="K8463" s="11">
        <v>0</v>
      </c>
    </row>
    <row r="8464" spans="5:11" x14ac:dyDescent="0.35">
      <c r="E8464" s="9" t="str">
        <v>ESRI</v>
      </c>
      <c r="F8464" s="7" t="str">
        <v>115807</v>
      </c>
      <c r="G8464" t="str">
        <v>VerticalCrs</v>
      </c>
      <c r="H8464" t="str">
        <v>&lt;undefined&gt;</v>
      </c>
      <c r="I8464" t="str">
        <v>Unknown_height_system_(meters)</v>
      </c>
      <c r="J8464" t="str">
        <v>World.</v>
      </c>
      <c r="K8464" s="11">
        <v>0</v>
      </c>
    </row>
    <row r="8465" spans="5:11" x14ac:dyDescent="0.35">
      <c r="E8465" s="9" t="str">
        <v>ESRI</v>
      </c>
      <c r="F8465" s="7" t="str">
        <v>115808</v>
      </c>
      <c r="G8465" t="str">
        <v>VerticalCrs</v>
      </c>
      <c r="H8465" t="str">
        <v>&lt;undefined&gt;</v>
      </c>
      <c r="I8465" t="str">
        <v>Unknown_height_system_(US_survey_feet)</v>
      </c>
      <c r="J8465" t="str">
        <v>World.</v>
      </c>
      <c r="K8465" s="11">
        <v>0</v>
      </c>
    </row>
    <row r="8466" spans="5:11" x14ac:dyDescent="0.35">
      <c r="E8466" s="9" t="str">
        <v>ESRI</v>
      </c>
      <c r="F8466" s="7" t="str">
        <v>115809</v>
      </c>
      <c r="G8466" t="str">
        <v>VerticalCrs</v>
      </c>
      <c r="H8466" t="str">
        <v>&lt;undefined&gt;</v>
      </c>
      <c r="I8466" t="str">
        <v>Unknown_height_system_(Intl_Feet)</v>
      </c>
      <c r="J8466" t="str">
        <v>World.</v>
      </c>
      <c r="K8466" s="11">
        <v>0</v>
      </c>
    </row>
    <row r="8467" spans="5:11" x14ac:dyDescent="0.35">
      <c r="E8467" s="9" t="str">
        <v>ESRI</v>
      </c>
      <c r="F8467" s="7" t="str">
        <v>115810</v>
      </c>
      <c r="G8467" t="str">
        <v>VerticalCrs</v>
      </c>
      <c r="H8467" t="str">
        <v>&lt;undefined&gt;</v>
      </c>
      <c r="I8467" t="str">
        <v>ITRF2014</v>
      </c>
      <c r="J8467" t="str">
        <v>World.</v>
      </c>
      <c r="K8467" s="11">
        <v>0</v>
      </c>
    </row>
    <row r="8468" spans="5:11" x14ac:dyDescent="0.35">
      <c r="E8468" s="9" t="str">
        <v>ESRI</v>
      </c>
      <c r="F8468" s="7" t="str">
        <v>115811</v>
      </c>
      <c r="G8468" t="str">
        <v>VerticalCrs</v>
      </c>
      <c r="H8468" t="str">
        <v>&lt;undefined&gt;</v>
      </c>
      <c r="I8468" t="str">
        <v>SHGD2015</v>
      </c>
      <c r="J8468" t="str">
        <v>St Helena, Ascension and Tristan da Cunha - St Helena Island - onshore.</v>
      </c>
      <c r="K8468" s="11">
        <v>0</v>
      </c>
    </row>
    <row r="8469" spans="5:11" x14ac:dyDescent="0.35">
      <c r="E8469" s="9" t="str">
        <v>ESRI</v>
      </c>
      <c r="F8469" s="7" t="str">
        <v>115812</v>
      </c>
      <c r="G8469" t="str">
        <v>VerticalCrs</v>
      </c>
      <c r="H8469" t="str">
        <v>&lt;undefined&gt;</v>
      </c>
      <c r="I8469" t="str">
        <v>St_Helena_Tritan</v>
      </c>
      <c r="J8469" t="str">
        <v>St Helena, Ascension and Tristan da Cunha - St Helena Island - onshore.</v>
      </c>
      <c r="K8469" s="11">
        <v>0</v>
      </c>
    </row>
    <row r="8470" spans="5:11" x14ac:dyDescent="0.35">
      <c r="E8470" s="9" t="str">
        <v>ESRI</v>
      </c>
      <c r="F8470" s="7" t="str">
        <v>115813</v>
      </c>
      <c r="G8470" t="str">
        <v>VerticalCrs</v>
      </c>
      <c r="H8470" t="str">
        <v>&lt;undefined&gt;</v>
      </c>
      <c r="I8470" t="str">
        <v>GSK-2011</v>
      </c>
      <c r="J8470" t="str">
        <v>Russian Federation - onshore and offshore.</v>
      </c>
      <c r="K8470" s="11">
        <v>0</v>
      </c>
    </row>
    <row r="8471" spans="5:11" x14ac:dyDescent="0.35">
      <c r="E8471" s="9" t="str">
        <v>ESRI</v>
      </c>
      <c r="F8471" s="7" t="str">
        <v>115814</v>
      </c>
      <c r="G8471" t="str">
        <v>VerticalCrs</v>
      </c>
      <c r="H8471" t="str">
        <v>&lt;undefined&gt;</v>
      </c>
      <c r="I8471" t="str">
        <v>PZ-90.11</v>
      </c>
      <c r="J8471" t="str">
        <v>World.</v>
      </c>
      <c r="K8471" s="11">
        <v>0</v>
      </c>
    </row>
    <row r="8472" spans="5:11" x14ac:dyDescent="0.35">
      <c r="E8472" s="9" t="str">
        <v>ESRI</v>
      </c>
      <c r="F8472" s="7" t="str">
        <v>115815</v>
      </c>
      <c r="G8472" t="str">
        <v>VerticalCrs</v>
      </c>
      <c r="H8472" t="str">
        <v>&lt;undefined&gt;</v>
      </c>
      <c r="I8472" t="str">
        <v>PZ-90.02</v>
      </c>
      <c r="J8472" t="str">
        <v>World.</v>
      </c>
      <c r="K8472" s="11">
        <v>0</v>
      </c>
    </row>
    <row r="8473" spans="5:11" x14ac:dyDescent="0.35">
      <c r="E8473" s="9" t="str">
        <v>ESRI</v>
      </c>
      <c r="F8473" s="7" t="str">
        <v>115816</v>
      </c>
      <c r="G8473" t="str">
        <v>VerticalCrs</v>
      </c>
      <c r="H8473" t="str">
        <v>&lt;undefined&gt;</v>
      </c>
      <c r="I8473" t="str">
        <v>WGS_1984_(Transit)</v>
      </c>
      <c r="J8473" t="str">
        <v>World.</v>
      </c>
      <c r="K8473" s="11">
        <v>0</v>
      </c>
    </row>
    <row r="8474" spans="5:11" x14ac:dyDescent="0.35">
      <c r="E8474" s="9" t="str">
        <v>ESRI</v>
      </c>
      <c r="F8474" s="7" t="str">
        <v>115817</v>
      </c>
      <c r="G8474" t="str">
        <v>VerticalCrs</v>
      </c>
      <c r="H8474" t="str">
        <v>&lt;undefined&gt;</v>
      </c>
      <c r="I8474" t="str">
        <v>WGS_1984_(G1762)</v>
      </c>
      <c r="J8474" t="str">
        <v>World.</v>
      </c>
      <c r="K8474" s="11">
        <v>0</v>
      </c>
    </row>
    <row r="8475" spans="5:11" x14ac:dyDescent="0.35">
      <c r="E8475" s="9" t="str">
        <v>ESRI</v>
      </c>
      <c r="F8475" s="7" t="str">
        <v>115818</v>
      </c>
      <c r="G8475" t="str">
        <v>VerticalCrs</v>
      </c>
      <c r="H8475" t="str">
        <v>&lt;undefined&gt;</v>
      </c>
      <c r="I8475" t="str">
        <v>WGS_1984_(G1674)</v>
      </c>
      <c r="J8475" t="str">
        <v>World.</v>
      </c>
      <c r="K8475" s="11">
        <v>0</v>
      </c>
    </row>
    <row r="8476" spans="5:11" x14ac:dyDescent="0.35">
      <c r="E8476" s="9" t="str">
        <v>ESRI</v>
      </c>
      <c r="F8476" s="7" t="str">
        <v>115819</v>
      </c>
      <c r="G8476" t="str">
        <v>VerticalCrs</v>
      </c>
      <c r="H8476" t="str">
        <v>&lt;undefined&gt;</v>
      </c>
      <c r="I8476" t="str">
        <v>WGS_1984_(G1150)</v>
      </c>
      <c r="J8476" t="str">
        <v>World.</v>
      </c>
      <c r="K8476" s="11">
        <v>0</v>
      </c>
    </row>
    <row r="8477" spans="5:11" x14ac:dyDescent="0.35">
      <c r="E8477" s="9" t="str">
        <v>ESRI</v>
      </c>
      <c r="F8477" s="7" t="str">
        <v>115820</v>
      </c>
      <c r="G8477" t="str">
        <v>VerticalCrs</v>
      </c>
      <c r="H8477" t="str">
        <v>&lt;undefined&gt;</v>
      </c>
      <c r="I8477" t="str">
        <v>WGS_1984_(G873)</v>
      </c>
      <c r="J8477" t="str">
        <v>World.</v>
      </c>
      <c r="K8477" s="11">
        <v>0</v>
      </c>
    </row>
    <row r="8478" spans="5:11" x14ac:dyDescent="0.35">
      <c r="E8478" s="9" t="str">
        <v>ESRI</v>
      </c>
      <c r="F8478" s="7" t="str">
        <v>115821</v>
      </c>
      <c r="G8478" t="str">
        <v>VerticalCrs</v>
      </c>
      <c r="H8478" t="str">
        <v>&lt;undefined&gt;</v>
      </c>
      <c r="I8478" t="str">
        <v>WGS_1984_(G730)</v>
      </c>
      <c r="J8478" t="str">
        <v>World.</v>
      </c>
      <c r="K8478" s="11">
        <v>0</v>
      </c>
    </row>
    <row r="8479" spans="5:11" x14ac:dyDescent="0.35">
      <c r="E8479" s="9" t="str">
        <v>ESRI</v>
      </c>
      <c r="F8479" s="7" t="str">
        <v>115822</v>
      </c>
      <c r="G8479" t="str">
        <v>VerticalCrs</v>
      </c>
      <c r="H8479" t="str">
        <v>&lt;undefined&gt;</v>
      </c>
      <c r="I8479" t="str">
        <v>ETRF90</v>
      </c>
      <c r="J8479" t="str">
        <v>Europe - onshore and offshore - ETRF extent - approximately 16°W to 33°E and 33°N to 84°N.</v>
      </c>
      <c r="K8479" s="11">
        <v>0</v>
      </c>
    </row>
    <row r="8480" spans="5:11" x14ac:dyDescent="0.35">
      <c r="E8480" s="9" t="str">
        <v>ESRI</v>
      </c>
      <c r="F8480" s="7" t="str">
        <v>115823</v>
      </c>
      <c r="G8480" t="str">
        <v>VerticalCrs</v>
      </c>
      <c r="H8480" t="str">
        <v>&lt;undefined&gt;</v>
      </c>
      <c r="I8480" t="str">
        <v>ETRF91</v>
      </c>
      <c r="J8480" t="str">
        <v>Europe - onshore and offshore - ETRF extent - approximately 16°W to 33°E and 33°N to 84°N.</v>
      </c>
      <c r="K8480" s="11">
        <v>0</v>
      </c>
    </row>
    <row r="8481" spans="5:11" x14ac:dyDescent="0.35">
      <c r="E8481" s="9" t="str">
        <v>ESRI</v>
      </c>
      <c r="F8481" s="7" t="str">
        <v>115824</v>
      </c>
      <c r="G8481" t="str">
        <v>VerticalCrs</v>
      </c>
      <c r="H8481" t="str">
        <v>&lt;undefined&gt;</v>
      </c>
      <c r="I8481" t="str">
        <v>ETRF92</v>
      </c>
      <c r="J8481" t="str">
        <v>Europe - onshore and offshore - ETRF extent - approximately 16°W to 33°E and 33°N to 84°N.</v>
      </c>
      <c r="K8481" s="11">
        <v>0</v>
      </c>
    </row>
    <row r="8482" spans="5:11" x14ac:dyDescent="0.35">
      <c r="E8482" s="9" t="str">
        <v>ESRI</v>
      </c>
      <c r="F8482" s="7" t="str">
        <v>115825</v>
      </c>
      <c r="G8482" t="str">
        <v>VerticalCrs</v>
      </c>
      <c r="H8482" t="str">
        <v>&lt;undefined&gt;</v>
      </c>
      <c r="I8482" t="str">
        <v>ETRF93</v>
      </c>
      <c r="J8482" t="str">
        <v>Europe - onshore and offshore - ETRF extent - approximately 16°W to 33°E and 33°N to 84°N.</v>
      </c>
      <c r="K8482" s="11">
        <v>0</v>
      </c>
    </row>
    <row r="8483" spans="5:11" x14ac:dyDescent="0.35">
      <c r="E8483" s="9" t="str">
        <v>ESRI</v>
      </c>
      <c r="F8483" s="7" t="str">
        <v>115826</v>
      </c>
      <c r="G8483" t="str">
        <v>VerticalCrs</v>
      </c>
      <c r="H8483" t="str">
        <v>&lt;undefined&gt;</v>
      </c>
      <c r="I8483" t="str">
        <v>ETRF94</v>
      </c>
      <c r="J8483" t="str">
        <v>Europe - onshore and offshore - ETRF extent - approximately 16°W to 33°E and 33°N to 84°N.</v>
      </c>
      <c r="K8483" s="11">
        <v>0</v>
      </c>
    </row>
    <row r="8484" spans="5:11" x14ac:dyDescent="0.35">
      <c r="E8484" s="9" t="str">
        <v>ESRI</v>
      </c>
      <c r="F8484" s="7" t="str">
        <v>115827</v>
      </c>
      <c r="G8484" t="str">
        <v>VerticalCrs</v>
      </c>
      <c r="H8484" t="str">
        <v>&lt;undefined&gt;</v>
      </c>
      <c r="I8484" t="str">
        <v>ETRF96</v>
      </c>
      <c r="J8484" t="str">
        <v>Europe - onshore and offshore - ETRF extent - approximately 16°W to 33°E and 33°N to 84°N.</v>
      </c>
      <c r="K8484" s="11">
        <v>0</v>
      </c>
    </row>
    <row r="8485" spans="5:11" x14ac:dyDescent="0.35">
      <c r="E8485" s="9" t="str">
        <v>ESRI</v>
      </c>
      <c r="F8485" s="7" t="str">
        <v>115828</v>
      </c>
      <c r="G8485" t="str">
        <v>VerticalCrs</v>
      </c>
      <c r="H8485" t="str">
        <v>&lt;undefined&gt;</v>
      </c>
      <c r="I8485" t="str">
        <v>ETRF97</v>
      </c>
      <c r="J8485" t="str">
        <v>Europe - onshore and offshore - ETRF extent - approximately 16°W to 33°E and 33°N to 84°N.</v>
      </c>
      <c r="K8485" s="11">
        <v>0</v>
      </c>
    </row>
    <row r="8486" spans="5:11" x14ac:dyDescent="0.35">
      <c r="E8486" s="9" t="str">
        <v>ESRI</v>
      </c>
      <c r="F8486" s="7" t="str">
        <v>115829</v>
      </c>
      <c r="G8486" t="str">
        <v>VerticalCrs</v>
      </c>
      <c r="H8486" t="str">
        <v>&lt;undefined&gt;</v>
      </c>
      <c r="I8486" t="str">
        <v>ETRF2000</v>
      </c>
      <c r="J8486" t="str">
        <v>Europe - onshore and offshore - ETRF extent - approximately 16°W to 33°E and 33°N to 84°N.</v>
      </c>
      <c r="K8486" s="11">
        <v>0</v>
      </c>
    </row>
    <row r="8487" spans="5:11" x14ac:dyDescent="0.35">
      <c r="E8487" s="9" t="str">
        <v>ESRI</v>
      </c>
      <c r="F8487" s="7" t="str">
        <v>115830</v>
      </c>
      <c r="G8487" t="str">
        <v>VerticalCrs</v>
      </c>
      <c r="H8487" t="str">
        <v>&lt;undefined&gt;</v>
      </c>
      <c r="I8487" t="str">
        <v>NAD83(CSRS96)</v>
      </c>
      <c r="J8487" t="str">
        <v>Canada - onshore and offshore - Alberta; British Columbia; Manitoba; New Brunswick; Newfoundland and Labrador; Northwest Territories; Nova Scotia; Nunavut; Ontario; Prince Edward Island; Quebec; Saskatchewan; Yukon.</v>
      </c>
      <c r="K8487" s="11">
        <v>0</v>
      </c>
    </row>
    <row r="8488" spans="5:11" x14ac:dyDescent="0.35">
      <c r="E8488" s="9" t="str">
        <v>ESRI</v>
      </c>
      <c r="F8488" s="7" t="str">
        <v>115831</v>
      </c>
      <c r="G8488" t="str">
        <v>VerticalCrs</v>
      </c>
      <c r="H8488" t="str">
        <v>&lt;undefined&gt;</v>
      </c>
      <c r="I8488" t="str">
        <v>NAD83(CSRS)v2</v>
      </c>
      <c r="J8488" t="str">
        <v>Canada - onshore and offshore - Alberta; British Columbia; Manitoba; New Brunswick; Newfoundland and Labrador; Northwest Territories; Nova Scotia; Nunavut; Ontario; Prince Edward Island; Quebec; Saskatchewan; Yukon.</v>
      </c>
      <c r="K8488" s="11">
        <v>0</v>
      </c>
    </row>
    <row r="8489" spans="5:11" x14ac:dyDescent="0.35">
      <c r="E8489" s="9" t="str">
        <v>ESRI</v>
      </c>
      <c r="F8489" s="7" t="str">
        <v>115832</v>
      </c>
      <c r="G8489" t="str">
        <v>VerticalCrs</v>
      </c>
      <c r="H8489" t="str">
        <v>&lt;undefined&gt;</v>
      </c>
      <c r="I8489" t="str">
        <v>NAD83(CSRS)v3</v>
      </c>
      <c r="J8489" t="str">
        <v>Canada - onshore and offshore - Alberta; British Columbia; Manitoba; New Brunswick; Newfoundland and Labrador; Northwest Territories; Nova Scotia; Nunavut; Ontario; Prince Edward Island; Quebec; Saskatchewan; Yukon.</v>
      </c>
      <c r="K8489" s="11">
        <v>0</v>
      </c>
    </row>
    <row r="8490" spans="5:11" x14ac:dyDescent="0.35">
      <c r="E8490" s="9" t="str">
        <v>ESRI</v>
      </c>
      <c r="F8490" s="7" t="str">
        <v>115833</v>
      </c>
      <c r="G8490" t="str">
        <v>VerticalCrs</v>
      </c>
      <c r="H8490" t="str">
        <v>&lt;undefined&gt;</v>
      </c>
      <c r="I8490" t="str">
        <v>NAD83(CSRS)v4</v>
      </c>
      <c r="J8490" t="str">
        <v>Canada - onshore and offshore - Alberta; British Columbia; Manitoba; New Brunswick; Newfoundland and Labrador; Northwest Territories; Nova Scotia; Nunavut; Ontario; Prince Edward Island; Quebec; Saskatchewan; Yukon.</v>
      </c>
      <c r="K8490" s="11">
        <v>0</v>
      </c>
    </row>
    <row r="8491" spans="5:11" x14ac:dyDescent="0.35">
      <c r="E8491" s="9" t="str">
        <v>ESRI</v>
      </c>
      <c r="F8491" s="7" t="str">
        <v>115834</v>
      </c>
      <c r="G8491" t="str">
        <v>VerticalCrs</v>
      </c>
      <c r="H8491" t="str">
        <v>&lt;undefined&gt;</v>
      </c>
      <c r="I8491" t="str">
        <v>NAD83(CSRS)v5</v>
      </c>
      <c r="J8491" t="str">
        <v>Canada - onshore and offshore - Alberta; British Columbia; Manitoba; New Brunswick; Newfoundland and Labrador; Northwest Territories; Nova Scotia; Nunavut; Ontario; Prince Edward Island; Quebec; Saskatchewan; Yukon.</v>
      </c>
      <c r="K8491" s="11">
        <v>0</v>
      </c>
    </row>
    <row r="8492" spans="5:11" x14ac:dyDescent="0.35">
      <c r="E8492" s="9" t="str">
        <v>ESRI</v>
      </c>
      <c r="F8492" s="7" t="str">
        <v>115835</v>
      </c>
      <c r="G8492" t="str">
        <v>VerticalCrs</v>
      </c>
      <c r="H8492" t="str">
        <v>&lt;undefined&gt;</v>
      </c>
      <c r="I8492" t="str">
        <v>NAD83(CSRS)v6</v>
      </c>
      <c r="J8492" t="str">
        <v>Canada - onshore and offshore - Alberta; British Columbia; Manitoba; New Brunswick; Newfoundland and Labrador; Northwest Territories; Nova Scotia; Nunavut; Ontario; Prince Edward Island; Quebec; Saskatchewan; Yukon.</v>
      </c>
      <c r="K8492" s="11">
        <v>0</v>
      </c>
    </row>
    <row r="8493" spans="5:11" x14ac:dyDescent="0.35">
      <c r="E8493" s="9" t="str">
        <v>ESRI</v>
      </c>
      <c r="F8493" s="7" t="str">
        <v>115836</v>
      </c>
      <c r="G8493" t="str">
        <v>VerticalCrs</v>
      </c>
      <c r="H8493" t="str">
        <v>&lt;undefined&gt;</v>
      </c>
      <c r="I8493" t="str">
        <v>NAD83(CSRS)v7</v>
      </c>
      <c r="J8493" t="str">
        <v>Canada - onshore and offshore - Alberta; British Columbia; Manitoba; New Brunswick; Newfoundland and Labrador; Northwest Territories; Nova Scotia; Nunavut; Ontario; Prince Edward Island; Quebec; Saskatchewan; Yukon.</v>
      </c>
      <c r="K8493" s="11">
        <v>0</v>
      </c>
    </row>
    <row r="8494" spans="5:11" x14ac:dyDescent="0.35">
      <c r="E8494" s="9" t="str">
        <v>ESRI</v>
      </c>
      <c r="F8494" s="7" t="str">
        <v>115837</v>
      </c>
      <c r="G8494" t="str">
        <v>VerticalCrs</v>
      </c>
      <c r="H8494" t="str">
        <v>&lt;undefined&gt;</v>
      </c>
      <c r="I8494" t="str">
        <v>IGS14</v>
      </c>
      <c r="J8494" t="str">
        <v>World.</v>
      </c>
      <c r="K8494" s="11">
        <v>0</v>
      </c>
    </row>
    <row r="8495" spans="5:11" x14ac:dyDescent="0.35">
      <c r="E8495" s="9" t="str">
        <v>ESRI</v>
      </c>
      <c r="F8495" s="7" t="str">
        <v>115838</v>
      </c>
      <c r="G8495" t="str">
        <v>VerticalCrs</v>
      </c>
      <c r="H8495" t="str">
        <v>&lt;undefined&gt;</v>
      </c>
      <c r="I8495" t="str">
        <v>ISN2016</v>
      </c>
      <c r="J8495" t="str">
        <v>Iceland - onshore and offshore.</v>
      </c>
      <c r="K8495" s="11">
        <v>0</v>
      </c>
    </row>
    <row r="8496" spans="5:11" x14ac:dyDescent="0.35">
      <c r="E8496" s="9" t="str">
        <v>ESRI</v>
      </c>
      <c r="F8496" s="7" t="str">
        <v>115839</v>
      </c>
      <c r="G8496" t="str">
        <v>VerticalCrs</v>
      </c>
      <c r="H8496" t="str">
        <v>&lt;undefined&gt;</v>
      </c>
      <c r="I8496" t="str">
        <v>Hong_Kong_Geodetic_CS</v>
      </c>
      <c r="J8496" t="str">
        <v>China - Hong Kong - onshore and offshore.</v>
      </c>
      <c r="K8496" s="11">
        <v>0</v>
      </c>
    </row>
    <row r="8497" spans="5:11" x14ac:dyDescent="0.35">
      <c r="E8497" s="9" t="str">
        <v>ESRI</v>
      </c>
      <c r="F8497" s="7" t="str">
        <v>115840</v>
      </c>
      <c r="G8497" t="str">
        <v>VerticalCrs</v>
      </c>
      <c r="H8497" t="str">
        <v>&lt;undefined&gt;</v>
      </c>
      <c r="I8497" t="str">
        <v>NAD_1983_(FBN)</v>
      </c>
      <c r="J8497" t="str">
        <v>American Samoa - Tutuila, Aunu'u, Ofu, Olesega, Ta'u and Rose islands - onshore. Guam - onshore. Northern Mariana Islands - onshore. Puerto Rico - onshore. United States (USA) - CONUS - Alabama;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 onshore plus Gulf of Mexico offshore continental shelf (GoM OCS). US Virgin Islands - onshore.</v>
      </c>
      <c r="K8497" s="11">
        <v>0</v>
      </c>
    </row>
    <row r="8498" spans="5:11" x14ac:dyDescent="0.35">
      <c r="E8498" s="9" t="str">
        <v>ESRI</v>
      </c>
      <c r="F8498" s="7" t="str">
        <v>115841</v>
      </c>
      <c r="G8498" t="str">
        <v>VerticalCrs</v>
      </c>
      <c r="H8498" t="str">
        <v>&lt;undefined&gt;</v>
      </c>
      <c r="I8498" t="str">
        <v>NAD_1983_(HARN_Corrected)</v>
      </c>
      <c r="J8498" t="str">
        <v>Puerto Rico and US Virgin Islands - onshore.</v>
      </c>
      <c r="K8498" s="11">
        <v>0</v>
      </c>
    </row>
    <row r="8499" spans="5:11" x14ac:dyDescent="0.35">
      <c r="E8499" s="9" t="str">
        <v>ESRI</v>
      </c>
      <c r="F8499" s="7" t="str">
        <v>115842</v>
      </c>
      <c r="G8499" t="str">
        <v>VerticalCrs</v>
      </c>
      <c r="H8499" t="str">
        <v>&lt;undefined&gt;</v>
      </c>
      <c r="I8499" t="str">
        <v>SRB_ETRS89</v>
      </c>
      <c r="J8499" t="str">
        <v>Serbia including Vojvodina.</v>
      </c>
      <c r="K8499" s="11">
        <v>0</v>
      </c>
    </row>
    <row r="8500" spans="5:11" x14ac:dyDescent="0.35">
      <c r="E8500" s="9" t="str">
        <v>ESRI</v>
      </c>
      <c r="F8500" s="7" t="str">
        <v>115843</v>
      </c>
      <c r="G8500" t="str">
        <v>VerticalCrs</v>
      </c>
      <c r="H8500" t="str">
        <v>&lt;undefined&gt;</v>
      </c>
      <c r="I8500" t="str">
        <v>MTRF-2000</v>
      </c>
      <c r="J8500" t="str">
        <v>Saudi Arabia - onshore and offshore.</v>
      </c>
      <c r="K8500" s="11">
        <v>0</v>
      </c>
    </row>
    <row r="8501" spans="5:11" x14ac:dyDescent="0.35">
      <c r="E8501" s="9" t="str">
        <v>ESRI</v>
      </c>
      <c r="F8501" s="7" t="str">
        <v>115844</v>
      </c>
      <c r="G8501" t="str">
        <v>VerticalCrs</v>
      </c>
      <c r="H8501" t="str">
        <v>&lt;undefined&gt;</v>
      </c>
      <c r="I8501" t="str">
        <v>California_SRS_Epoch_2017.50_(NAD83)</v>
      </c>
      <c r="J8501" t="str">
        <v>USA - California and borders of NV, AZ, OR and MX</v>
      </c>
      <c r="K8501" s="11">
        <v>0</v>
      </c>
    </row>
    <row r="8502" spans="5:11" x14ac:dyDescent="0.35">
      <c r="E8502" s="9" t="str">
        <v>ESRI</v>
      </c>
      <c r="F8502" s="7" t="str">
        <v>115845</v>
      </c>
      <c r="G8502" t="str">
        <v>VerticalCrs</v>
      </c>
      <c r="H8502" t="str">
        <v>&lt;undefined&gt;</v>
      </c>
      <c r="I8502" t="str">
        <v>GGD</v>
      </c>
      <c r="J8502" t="str">
        <v>Georgia - onshore.</v>
      </c>
      <c r="K8502" s="11">
        <v>0</v>
      </c>
    </row>
    <row r="8503" spans="5:11" x14ac:dyDescent="0.35">
      <c r="E8503" s="9" t="str">
        <v>ESRI</v>
      </c>
      <c r="F8503" s="7" t="str">
        <v>115846</v>
      </c>
      <c r="G8503" t="str">
        <v>VerticalCrs</v>
      </c>
      <c r="H8503" t="str">
        <v>&lt;undefined&gt;</v>
      </c>
      <c r="I8503" t="str">
        <v>ONGD14</v>
      </c>
      <c r="J8503" t="str">
        <v>Oman - onshore and offshore.</v>
      </c>
      <c r="K8503" s="11">
        <v>0</v>
      </c>
    </row>
    <row r="8504" spans="5:11" x14ac:dyDescent="0.35">
      <c r="E8504" s="9" t="str">
        <v>ESRI</v>
      </c>
      <c r="F8504" s="7" t="str">
        <v>115847</v>
      </c>
      <c r="G8504" t="str">
        <v>VerticalCrs</v>
      </c>
      <c r="H8504" t="str">
        <v>&lt;undefined&gt;</v>
      </c>
      <c r="I8504" t="str">
        <v>ONGD17</v>
      </c>
      <c r="J8504" t="str">
        <v>Oman - onshore and offshore.</v>
      </c>
      <c r="K8504" s="11">
        <v>0</v>
      </c>
    </row>
    <row r="8505" spans="5:11" x14ac:dyDescent="0.35">
      <c r="E8505" s="9" t="str">
        <v>ESRI</v>
      </c>
      <c r="F8505" s="7" t="str">
        <v>115848</v>
      </c>
      <c r="G8505" t="str">
        <v>VerticalCrs</v>
      </c>
      <c r="H8505" t="str">
        <v>&lt;undefined&gt;</v>
      </c>
      <c r="I8505" t="str">
        <v>S-JTSK_[JTSK03]</v>
      </c>
      <c r="J8505" t="str">
        <v>Slovakia.</v>
      </c>
      <c r="K8505" s="11">
        <v>0</v>
      </c>
    </row>
    <row r="8506" spans="5:11" x14ac:dyDescent="0.35">
      <c r="E8506" s="9" t="str">
        <v>ESRI</v>
      </c>
      <c r="F8506" s="7" t="str">
        <v>115849</v>
      </c>
      <c r="G8506" t="str">
        <v>VerticalCrs</v>
      </c>
      <c r="H8506" t="str">
        <v>&lt;undefined&gt;</v>
      </c>
      <c r="I8506" t="str">
        <v>CR-SIRGAS</v>
      </c>
      <c r="J8506" t="str">
        <v>Costa Rica - onshore and offshore.</v>
      </c>
      <c r="K8506" s="11">
        <v>0</v>
      </c>
    </row>
    <row r="8507" spans="5:11" x14ac:dyDescent="0.35">
      <c r="E8507" s="9" t="str">
        <v>ESRI</v>
      </c>
      <c r="F8507" s="7" t="str">
        <v>115850</v>
      </c>
      <c r="G8507" t="str">
        <v>VerticalCrs</v>
      </c>
      <c r="H8507" t="str">
        <v>&lt;undefined&gt;</v>
      </c>
      <c r="I8507" t="str">
        <v>RGWF96</v>
      </c>
      <c r="J8507" t="str">
        <v>Wallis and Futuna - onshore and offshore - Uvea, Futuna, and Alofi.</v>
      </c>
      <c r="K8507" s="11">
        <v>0</v>
      </c>
    </row>
    <row r="8508" spans="5:11" x14ac:dyDescent="0.35">
      <c r="E8508" s="9" t="str">
        <v>ESRI</v>
      </c>
      <c r="F8508" s="7" t="str">
        <v>115851</v>
      </c>
      <c r="G8508" t="str">
        <v>VerticalCrs</v>
      </c>
      <c r="H8508" t="str">
        <v>&lt;undefined&gt;</v>
      </c>
      <c r="I8508" t="str">
        <v>SIRGAS-CON_DGF00P01</v>
      </c>
      <c r="J8508" t="str">
        <v>Latin America - Central America and South America, onshore and offshore.</v>
      </c>
      <c r="K8508" s="11">
        <v>0</v>
      </c>
    </row>
    <row r="8509" spans="5:11" x14ac:dyDescent="0.35">
      <c r="E8509" s="9" t="str">
        <v>ESRI</v>
      </c>
      <c r="F8509" s="7" t="str">
        <v>115852</v>
      </c>
      <c r="G8509" t="str">
        <v>VerticalCrs</v>
      </c>
      <c r="H8509" t="str">
        <v>&lt;undefined&gt;</v>
      </c>
      <c r="I8509" t="str">
        <v>SIRGAS-CON_DGF01P01</v>
      </c>
      <c r="J8509" t="str">
        <v>Latin America - Central America and South America, onshore and offshore.</v>
      </c>
      <c r="K8509" s="11">
        <v>0</v>
      </c>
    </row>
    <row r="8510" spans="5:11" x14ac:dyDescent="0.35">
      <c r="E8510" s="9" t="str">
        <v>ESRI</v>
      </c>
      <c r="F8510" s="7" t="str">
        <v>115853</v>
      </c>
      <c r="G8510" t="str">
        <v>VerticalCrs</v>
      </c>
      <c r="H8510" t="str">
        <v>&lt;undefined&gt;</v>
      </c>
      <c r="I8510" t="str">
        <v>SIRGAS-CON_DGF01P02</v>
      </c>
      <c r="J8510" t="str">
        <v>Latin America - Central America and South America, onshore and offshore.</v>
      </c>
      <c r="K8510" s="11">
        <v>0</v>
      </c>
    </row>
    <row r="8511" spans="5:11" x14ac:dyDescent="0.35">
      <c r="E8511" s="9" t="str">
        <v>ESRI</v>
      </c>
      <c r="F8511" s="7" t="str">
        <v>115854</v>
      </c>
      <c r="G8511" t="str">
        <v>VerticalCrs</v>
      </c>
      <c r="H8511" t="str">
        <v>&lt;undefined&gt;</v>
      </c>
      <c r="I8511" t="str">
        <v>SIRGAS-CON_DGF02P01</v>
      </c>
      <c r="J8511" t="str">
        <v>Latin America - Central America and South America, onshore and offshore.</v>
      </c>
      <c r="K8511" s="11">
        <v>0</v>
      </c>
    </row>
    <row r="8512" spans="5:11" x14ac:dyDescent="0.35">
      <c r="E8512" s="9" t="str">
        <v>ESRI</v>
      </c>
      <c r="F8512" s="7" t="str">
        <v>115855</v>
      </c>
      <c r="G8512" t="str">
        <v>VerticalCrs</v>
      </c>
      <c r="H8512" t="str">
        <v>&lt;undefined&gt;</v>
      </c>
      <c r="I8512" t="str">
        <v>SIRGAS-CON_DGF04P01</v>
      </c>
      <c r="J8512" t="str">
        <v>Latin America - Central America and South America, onshore and offshore.</v>
      </c>
      <c r="K8512" s="11">
        <v>0</v>
      </c>
    </row>
    <row r="8513" spans="5:11" x14ac:dyDescent="0.35">
      <c r="E8513" s="9" t="str">
        <v>ESRI</v>
      </c>
      <c r="F8513" s="7" t="str">
        <v>115856</v>
      </c>
      <c r="G8513" t="str">
        <v>VerticalCrs</v>
      </c>
      <c r="H8513" t="str">
        <v>&lt;undefined&gt;</v>
      </c>
      <c r="I8513" t="str">
        <v>SIRGAS-CON_DGF05P01</v>
      </c>
      <c r="J8513" t="str">
        <v>Latin America - Central America and South America, onshore and offshore.</v>
      </c>
      <c r="K8513" s="11">
        <v>0</v>
      </c>
    </row>
    <row r="8514" spans="5:11" x14ac:dyDescent="0.35">
      <c r="E8514" s="9" t="str">
        <v>ESRI</v>
      </c>
      <c r="F8514" s="7" t="str">
        <v>115857</v>
      </c>
      <c r="G8514" t="str">
        <v>VerticalCrs</v>
      </c>
      <c r="H8514" t="str">
        <v>&lt;undefined&gt;</v>
      </c>
      <c r="I8514" t="str">
        <v>SIRGAS-CON_DGF06P01</v>
      </c>
      <c r="J8514" t="str">
        <v>Latin America - Central America and South America, onshore and offshore.</v>
      </c>
      <c r="K8514" s="11">
        <v>0</v>
      </c>
    </row>
    <row r="8515" spans="5:11" x14ac:dyDescent="0.35">
      <c r="E8515" s="9" t="str">
        <v>ESRI</v>
      </c>
      <c r="F8515" s="7" t="str">
        <v>115858</v>
      </c>
      <c r="G8515" t="str">
        <v>VerticalCrs</v>
      </c>
      <c r="H8515" t="str">
        <v>&lt;undefined&gt;</v>
      </c>
      <c r="I8515" t="str">
        <v>SIRGAS-CON_DGF07P01</v>
      </c>
      <c r="J8515" t="str">
        <v>Latin America - Central America and South America, onshore and offshore.</v>
      </c>
      <c r="K8515" s="11">
        <v>0</v>
      </c>
    </row>
    <row r="8516" spans="5:11" x14ac:dyDescent="0.35">
      <c r="E8516" s="9" t="str">
        <v>ESRI</v>
      </c>
      <c r="F8516" s="7" t="str">
        <v>115859</v>
      </c>
      <c r="G8516" t="str">
        <v>VerticalCrs</v>
      </c>
      <c r="H8516" t="str">
        <v>&lt;undefined&gt;</v>
      </c>
      <c r="I8516" t="str">
        <v>SIRGAS-CON_DGF08P01</v>
      </c>
      <c r="J8516" t="str">
        <v>Latin America - Central America and South America, onshore and offshore.</v>
      </c>
      <c r="K8516" s="11">
        <v>0</v>
      </c>
    </row>
    <row r="8517" spans="5:11" x14ac:dyDescent="0.35">
      <c r="E8517" s="9" t="str">
        <v>ESRI</v>
      </c>
      <c r="F8517" s="7" t="str">
        <v>115860</v>
      </c>
      <c r="G8517" t="str">
        <v>VerticalCrs</v>
      </c>
      <c r="H8517" t="str">
        <v>&lt;undefined&gt;</v>
      </c>
      <c r="I8517" t="str">
        <v>SIRGAS-CON_SIR09P01</v>
      </c>
      <c r="J8517" t="str">
        <v>Latin America - Central America and South America, onshore and offshore.</v>
      </c>
      <c r="K8517" s="11">
        <v>0</v>
      </c>
    </row>
    <row r="8518" spans="5:11" x14ac:dyDescent="0.35">
      <c r="E8518" s="9" t="str">
        <v>ESRI</v>
      </c>
      <c r="F8518" s="7" t="str">
        <v>115861</v>
      </c>
      <c r="G8518" t="str">
        <v>VerticalCrs</v>
      </c>
      <c r="H8518" t="str">
        <v>&lt;undefined&gt;</v>
      </c>
      <c r="I8518" t="str">
        <v>SIRGAS-CON_SIR10P01</v>
      </c>
      <c r="J8518" t="str">
        <v>Latin America - Central America and South America, onshore and offshore.</v>
      </c>
      <c r="K8518" s="11">
        <v>0</v>
      </c>
    </row>
    <row r="8519" spans="5:11" x14ac:dyDescent="0.35">
      <c r="E8519" s="9" t="str">
        <v>ESRI</v>
      </c>
      <c r="F8519" s="7" t="str">
        <v>115862</v>
      </c>
      <c r="G8519" t="str">
        <v>VerticalCrs</v>
      </c>
      <c r="H8519" t="str">
        <v>&lt;undefined&gt;</v>
      </c>
      <c r="I8519" t="str">
        <v>SIRGAS-CON_SIR11P01</v>
      </c>
      <c r="J8519" t="str">
        <v>Latin America - Central America and South America, onshore and offshore.</v>
      </c>
      <c r="K8519" s="11">
        <v>0</v>
      </c>
    </row>
    <row r="8520" spans="5:11" x14ac:dyDescent="0.35">
      <c r="E8520" s="9" t="str">
        <v>ESRI</v>
      </c>
      <c r="F8520" s="7" t="str">
        <v>115863</v>
      </c>
      <c r="G8520" t="str">
        <v>VerticalCrs</v>
      </c>
      <c r="H8520" t="str">
        <v>&lt;undefined&gt;</v>
      </c>
      <c r="I8520" t="str">
        <v>SIRGAS-CON_SIR13P01</v>
      </c>
      <c r="J8520" t="str">
        <v>Latin America - Central America and South America, onshore and offshore.</v>
      </c>
      <c r="K8520" s="11">
        <v>0</v>
      </c>
    </row>
    <row r="8521" spans="5:11" x14ac:dyDescent="0.35">
      <c r="E8521" s="9" t="str">
        <v>ESRI</v>
      </c>
      <c r="F8521" s="7" t="str">
        <v>115864</v>
      </c>
      <c r="G8521" t="str">
        <v>VerticalCrs</v>
      </c>
      <c r="H8521" t="str">
        <v>&lt;undefined&gt;</v>
      </c>
      <c r="I8521" t="str">
        <v>SIRGAS-CON_SIR14P01</v>
      </c>
      <c r="J8521" t="str">
        <v>Latin America - Central America and South America, onshore and offshore.</v>
      </c>
      <c r="K8521" s="11">
        <v>0</v>
      </c>
    </row>
    <row r="8522" spans="5:11" x14ac:dyDescent="0.35">
      <c r="E8522" s="9" t="str">
        <v>ESRI</v>
      </c>
      <c r="F8522" s="7" t="str">
        <v>115865</v>
      </c>
      <c r="G8522" t="str">
        <v>VerticalCrs</v>
      </c>
      <c r="H8522" t="str">
        <v>&lt;undefined&gt;</v>
      </c>
      <c r="I8522" t="str">
        <v>SIRGAS-CON_SIR15P01</v>
      </c>
      <c r="J8522" t="str">
        <v>Latin America - Central America and South America, onshore and offshore.</v>
      </c>
      <c r="K8522" s="11">
        <v>0</v>
      </c>
    </row>
    <row r="8523" spans="5:11" x14ac:dyDescent="0.35">
      <c r="E8523" s="9" t="str">
        <v>ESRI</v>
      </c>
      <c r="F8523" s="7" t="str">
        <v>115866</v>
      </c>
      <c r="G8523" t="str">
        <v>VerticalCrs</v>
      </c>
      <c r="H8523" t="str">
        <v>&lt;undefined&gt;</v>
      </c>
      <c r="I8523" t="str">
        <v>SIRGAS-CON_SIR17P01</v>
      </c>
      <c r="J8523" t="str">
        <v>Latin America - Central America and South America, onshore and offshore.</v>
      </c>
      <c r="K8523" s="11">
        <v>0</v>
      </c>
    </row>
    <row r="8524" spans="5:11" x14ac:dyDescent="0.35">
      <c r="E8524" s="9" t="str">
        <v>ESRI</v>
      </c>
      <c r="F8524" s="7" t="str">
        <v>115867</v>
      </c>
      <c r="G8524" t="str">
        <v>VerticalCrs</v>
      </c>
      <c r="H8524" t="str">
        <v>&lt;undefined&gt;</v>
      </c>
      <c r="I8524" t="str">
        <v>IGS97</v>
      </c>
      <c r="J8524" t="str">
        <v>World.</v>
      </c>
      <c r="K8524" s="11">
        <v>0</v>
      </c>
    </row>
    <row r="8525" spans="5:11" x14ac:dyDescent="0.35">
      <c r="E8525" s="9" t="str">
        <v>ESRI</v>
      </c>
      <c r="F8525" s="7" t="str">
        <v>115868</v>
      </c>
      <c r="G8525" t="str">
        <v>VerticalCrs</v>
      </c>
      <c r="H8525" t="str">
        <v>&lt;undefined&gt;</v>
      </c>
      <c r="I8525" t="str">
        <v>IGS00</v>
      </c>
      <c r="J8525" t="str">
        <v>World.</v>
      </c>
      <c r="K8525" s="11">
        <v>0</v>
      </c>
    </row>
    <row r="8526" spans="5:11" x14ac:dyDescent="0.35">
      <c r="E8526" s="9" t="str">
        <v>ESRI</v>
      </c>
      <c r="F8526" s="7" t="str">
        <v>115869</v>
      </c>
      <c r="G8526" t="str">
        <v>VerticalCrs</v>
      </c>
      <c r="H8526" t="str">
        <v>&lt;undefined&gt;</v>
      </c>
      <c r="I8526" t="str">
        <v>IGb00</v>
      </c>
      <c r="J8526" t="str">
        <v>World.</v>
      </c>
      <c r="K8526" s="11">
        <v>0</v>
      </c>
    </row>
    <row r="8527" spans="5:11" x14ac:dyDescent="0.35">
      <c r="E8527" s="9" t="str">
        <v>ESRI</v>
      </c>
      <c r="F8527" s="7" t="str">
        <v>115870</v>
      </c>
      <c r="G8527" t="str">
        <v>VerticalCrs</v>
      </c>
      <c r="H8527" t="str">
        <v>&lt;undefined&gt;</v>
      </c>
      <c r="I8527" t="str">
        <v>IGS05</v>
      </c>
      <c r="J8527" t="str">
        <v>World.</v>
      </c>
      <c r="K8527" s="11">
        <v>0</v>
      </c>
    </row>
    <row r="8528" spans="5:11" x14ac:dyDescent="0.35">
      <c r="E8528" s="9" t="str">
        <v>ESRI</v>
      </c>
      <c r="F8528" s="7" t="str">
        <v>115871</v>
      </c>
      <c r="G8528" t="str">
        <v>VerticalCrs</v>
      </c>
      <c r="H8528" t="str">
        <v>&lt;undefined&gt;</v>
      </c>
      <c r="I8528" t="str">
        <v>IGb08</v>
      </c>
      <c r="J8528" t="str">
        <v>World.</v>
      </c>
      <c r="K8528" s="11">
        <v>0</v>
      </c>
    </row>
    <row r="8529" spans="5:11" x14ac:dyDescent="0.35">
      <c r="E8529" s="9" t="str">
        <v>ESRI</v>
      </c>
      <c r="F8529" s="7" t="str">
        <v>115872</v>
      </c>
      <c r="G8529" t="str">
        <v>VerticalCrs</v>
      </c>
      <c r="H8529" t="str">
        <v>&lt;undefined&gt;</v>
      </c>
      <c r="I8529" t="str">
        <v>KOSOVAREF01</v>
      </c>
      <c r="J8529" t="str">
        <v>Kosovo.</v>
      </c>
      <c r="K8529" s="11">
        <v>0</v>
      </c>
    </row>
    <row r="8530" spans="5:11" x14ac:dyDescent="0.35">
      <c r="E8530" s="9" t="str">
        <v>ESRI</v>
      </c>
      <c r="F8530" s="7" t="str">
        <v>115873</v>
      </c>
      <c r="G8530" t="str">
        <v>VerticalCrs</v>
      </c>
      <c r="H8530" t="str">
        <v>&lt;undefined&gt;</v>
      </c>
      <c r="I8530" t="str">
        <v>ETRF2005</v>
      </c>
      <c r="J8530" t="str">
        <v>Europe - onshore and offshore - ETRF extent - approximately 16°W to 33°E and 33°N to 84°N.</v>
      </c>
      <c r="K8530" s="11">
        <v>0</v>
      </c>
    </row>
    <row r="8531" spans="5:11" x14ac:dyDescent="0.35">
      <c r="E8531" s="9" t="str">
        <v>ESRI</v>
      </c>
      <c r="F8531" s="7" t="str">
        <v>115874</v>
      </c>
      <c r="G8531" t="str">
        <v>VerticalCrs</v>
      </c>
      <c r="H8531" t="str">
        <v>&lt;undefined&gt;</v>
      </c>
      <c r="I8531" t="str">
        <v>ETRF2014</v>
      </c>
      <c r="J8531" t="str">
        <v>Europe - onshore and offshore - ETRF extent - approximately 16°W to 33°E and 33°N to 84°N.</v>
      </c>
      <c r="K8531" s="11">
        <v>0</v>
      </c>
    </row>
    <row r="8532" spans="5:11" x14ac:dyDescent="0.35">
      <c r="E8532" s="9" t="str">
        <v>ESRI</v>
      </c>
      <c r="F8532" s="7" t="str">
        <v>115875</v>
      </c>
      <c r="G8532" t="str">
        <v>VerticalCrs</v>
      </c>
      <c r="H8532" t="str">
        <v>&lt;undefined&gt;</v>
      </c>
      <c r="I8532" t="str">
        <v>CH1903+</v>
      </c>
      <c r="J8532" t="str">
        <v>Liechtenstein; Switzerland.</v>
      </c>
      <c r="K8532" s="11">
        <v>0</v>
      </c>
    </row>
    <row r="8533" spans="5:11" x14ac:dyDescent="0.35">
      <c r="E8533" s="9" t="str">
        <v>ESRI</v>
      </c>
      <c r="F8533" s="7" t="str">
        <v>115876</v>
      </c>
      <c r="G8533" t="str">
        <v>VerticalCrs</v>
      </c>
      <c r="H8533" t="str">
        <v>&lt;undefined&gt;</v>
      </c>
      <c r="I8533" t="str">
        <v>ATRF2014</v>
      </c>
      <c r="J8533" t="str">
        <v>Australia including Lord Howe Island, Macquarie Island, Ashmore and Cartier Islands, Christmas Island, Cocos (Keeling) Islands, Norfolk Island. All onshore and offshore.</v>
      </c>
      <c r="K8533" s="11">
        <v>0</v>
      </c>
    </row>
    <row r="8534" spans="5:11" x14ac:dyDescent="0.35">
      <c r="E8534" s="9" t="str">
        <v>ESRI</v>
      </c>
      <c r="F8534" s="7" t="str">
        <v>115877</v>
      </c>
      <c r="G8534" t="str">
        <v>VerticalCrs</v>
      </c>
      <c r="H8534" t="str">
        <v>&lt;undefined&gt;</v>
      </c>
      <c r="I8534" t="str">
        <v>Australian_1984</v>
      </c>
      <c r="J8534" t="str">
        <v>Australia - Queensland, South Australia, Western Australia, federal areas offshore west of 129°E.</v>
      </c>
      <c r="K8534" s="11">
        <v>0</v>
      </c>
    </row>
    <row r="8535" spans="5:11" x14ac:dyDescent="0.35">
      <c r="E8535" s="9" t="str">
        <v>ESRI</v>
      </c>
      <c r="F8535" s="7" t="str">
        <v>115878</v>
      </c>
      <c r="G8535" t="str">
        <v>VerticalCrs</v>
      </c>
      <c r="H8535" t="str">
        <v>&lt;undefined&gt;</v>
      </c>
      <c r="I8535" t="str">
        <v>Australian_1966</v>
      </c>
      <c r="J8535" t="str">
        <v>Australia - onshore and offshore. Papua New Guinea - onshore.</v>
      </c>
      <c r="K8535" s="11">
        <v>0</v>
      </c>
    </row>
    <row r="8536" spans="5:11" x14ac:dyDescent="0.35">
      <c r="E8536" s="9" t="str">
        <v>ESRI</v>
      </c>
      <c r="F8536" s="7" t="str">
        <v>115879</v>
      </c>
      <c r="G8536" t="str">
        <v>VerticalCrs</v>
      </c>
      <c r="H8536" t="str">
        <v>&lt;undefined&gt;</v>
      </c>
      <c r="I8536" t="str">
        <v>ITRF_1994</v>
      </c>
      <c r="J8536" t="str">
        <v>World.</v>
      </c>
      <c r="K8536" s="11">
        <v>0</v>
      </c>
    </row>
    <row r="8537" spans="5:11" x14ac:dyDescent="0.35">
      <c r="E8537" s="9" t="str">
        <v>ESRI</v>
      </c>
      <c r="F8537" s="7" t="str">
        <v>115880</v>
      </c>
      <c r="G8537" t="str">
        <v>VerticalCrs</v>
      </c>
      <c r="H8537" t="str">
        <v>&lt;undefined&gt;</v>
      </c>
      <c r="I8537" t="str">
        <v>POSGAR_2007</v>
      </c>
      <c r="J8537" t="str">
        <v>Argentina - onshore and offshore.</v>
      </c>
      <c r="K8537" s="11">
        <v>0</v>
      </c>
    </row>
    <row r="8538" spans="5:11" x14ac:dyDescent="0.35">
      <c r="E8538" s="9" t="str">
        <v>ESRI</v>
      </c>
      <c r="F8538" s="7" t="str">
        <v>115881</v>
      </c>
      <c r="G8538" t="str">
        <v>VerticalCrs</v>
      </c>
      <c r="H8538" t="str">
        <v>&lt;undefined&gt;</v>
      </c>
      <c r="I8538" t="str">
        <v>RGF93_v2</v>
      </c>
      <c r="J8538" t="str">
        <v>France - onshore and offshore, mainland and Corsica (France métropolitaine including Corsica).</v>
      </c>
      <c r="K8538" s="11">
        <v>0</v>
      </c>
    </row>
    <row r="8539" spans="5:11" x14ac:dyDescent="0.35">
      <c r="E8539" s="9" t="str">
        <v>ESRI</v>
      </c>
      <c r="F8539" s="7" t="str">
        <v>115882</v>
      </c>
      <c r="G8539" t="str">
        <v>VerticalCrs</v>
      </c>
      <c r="H8539" t="str">
        <v>&lt;undefined&gt;</v>
      </c>
      <c r="I8539" t="str">
        <v>RGF93_v2b</v>
      </c>
      <c r="J8539" t="str">
        <v>France - onshore and offshore, mainland and Corsica (France métropolitaine including Corsica).</v>
      </c>
      <c r="K8539" s="11">
        <v>0</v>
      </c>
    </row>
    <row r="8540" spans="5:11" x14ac:dyDescent="0.35">
      <c r="E8540" s="9" t="str">
        <v>ESRI</v>
      </c>
      <c r="F8540" s="7" t="str">
        <v>115883</v>
      </c>
      <c r="G8540" t="str">
        <v>VerticalCrs</v>
      </c>
      <c r="H8540" t="str">
        <v>&lt;undefined&gt;</v>
      </c>
      <c r="I8540" t="str">
        <v>ITRF2020</v>
      </c>
      <c r="J8540" t="str">
        <v>World.</v>
      </c>
      <c r="K8540" s="11">
        <v>0</v>
      </c>
    </row>
    <row r="8541" spans="5:11" x14ac:dyDescent="0.35">
      <c r="E8541" s="9" t="str">
        <v>ESRI</v>
      </c>
      <c r="F8541" s="7" t="str">
        <v>115884</v>
      </c>
      <c r="G8541" t="str">
        <v>VerticalCrs</v>
      </c>
      <c r="H8541" t="str">
        <v>&lt;undefined&gt;</v>
      </c>
      <c r="I8541" t="str">
        <v>SIRGAS_Chile_2021_height</v>
      </c>
      <c r="J8541" t="str">
        <v>Chile - onshore and offshore. Includes Easter Island, Juan Fernandez Islands, San Felix, and Sala y Gomez.</v>
      </c>
      <c r="K8541" s="11">
        <v>0</v>
      </c>
    </row>
    <row r="8542" spans="5:11" x14ac:dyDescent="0.35">
      <c r="E8542" s="9" t="str">
        <v>ESRI</v>
      </c>
      <c r="F8542" s="7" t="str">
        <v>115885</v>
      </c>
      <c r="G8542" t="str">
        <v>VerticalCrs</v>
      </c>
      <c r="H8542" t="str">
        <v>&lt;undefined&gt;</v>
      </c>
      <c r="I8542" t="str">
        <v>WGS_1984_(G2139)_height</v>
      </c>
      <c r="J8542" t="str">
        <v>World.</v>
      </c>
      <c r="K8542" s="11">
        <v>0</v>
      </c>
    </row>
    <row r="8543" spans="5:11" x14ac:dyDescent="0.35">
      <c r="E8543" s="9" t="str">
        <v>ESRI</v>
      </c>
      <c r="F8543" s="7" t="str">
        <v>115886</v>
      </c>
      <c r="G8543" t="str">
        <v>VerticalCrs</v>
      </c>
      <c r="H8543" t="str">
        <v>&lt;undefined&gt;</v>
      </c>
      <c r="I8543" t="str">
        <v>LUREF</v>
      </c>
      <c r="J8543" t="str">
        <v>Luxembourg.</v>
      </c>
      <c r="K8543" s="11">
        <v>0</v>
      </c>
    </row>
    <row r="8544" spans="5:11" x14ac:dyDescent="0.35">
      <c r="E8544" s="9" t="str">
        <v>ESRI</v>
      </c>
      <c r="F8544" s="7" t="str">
        <v>115887</v>
      </c>
      <c r="G8544" t="str">
        <v>VerticalCrs</v>
      </c>
      <c r="H8544" t="str">
        <v>&lt;undefined&gt;</v>
      </c>
      <c r="I8544" t="str">
        <v>Bermuda_2000</v>
      </c>
      <c r="J8544" t="str">
        <v>Bermuda - onshore and offshore.</v>
      </c>
      <c r="K8544" s="11">
        <v>0</v>
      </c>
    </row>
    <row r="8545" spans="5:11" x14ac:dyDescent="0.35">
      <c r="E8545" s="9" t="str">
        <v>ESRI</v>
      </c>
      <c r="F8545" s="7" t="str">
        <v>115888</v>
      </c>
      <c r="G8545" t="str">
        <v>VerticalCrs</v>
      </c>
      <c r="H8545" t="str">
        <v>&lt;undefined&gt;</v>
      </c>
      <c r="I8545" t="str">
        <v>CGRS_1993</v>
      </c>
      <c r="J8545" t="str">
        <v>Cyprus - onshore.</v>
      </c>
      <c r="K8545" s="11">
        <v>0</v>
      </c>
    </row>
    <row r="8546" spans="5:11" x14ac:dyDescent="0.35">
      <c r="E8546" s="9" t="str">
        <v>ESRI</v>
      </c>
      <c r="F8546" s="7" t="str">
        <v>115889</v>
      </c>
      <c r="G8546" t="str">
        <v>VerticalCrs</v>
      </c>
      <c r="H8546" t="str">
        <v>&lt;undefined&gt;</v>
      </c>
      <c r="I8546" t="str">
        <v>ETRF_1989</v>
      </c>
      <c r="J8546" t="str">
        <v>Europe - onshore and offshore - ETRF extent - approximately 16°W to 33°E and 33°N to 84°N.</v>
      </c>
      <c r="K8546" s="11">
        <v>0</v>
      </c>
    </row>
    <row r="8547" spans="5:11" x14ac:dyDescent="0.35">
      <c r="E8547" s="9" t="str">
        <v>ESRI</v>
      </c>
      <c r="F8547" s="7" t="str">
        <v>115890</v>
      </c>
      <c r="G8547" t="str">
        <v>VerticalCrs</v>
      </c>
      <c r="H8547" t="str">
        <v>&lt;undefined&gt;</v>
      </c>
      <c r="I8547" t="str">
        <v>ETRF2000-PL</v>
      </c>
      <c r="J8547" t="str">
        <v>Poland - onshore and offshore.</v>
      </c>
      <c r="K8547" s="11">
        <v>0</v>
      </c>
    </row>
    <row r="8548" spans="5:11" x14ac:dyDescent="0.35">
      <c r="E8548" s="9" t="str">
        <v>ESRI</v>
      </c>
      <c r="F8548" s="7" t="str">
        <v>115891</v>
      </c>
      <c r="G8548" t="str">
        <v>VerticalCrs</v>
      </c>
      <c r="H8548" t="str">
        <v>&lt;undefined&gt;</v>
      </c>
      <c r="I8548" t="str">
        <v>HTRS96</v>
      </c>
      <c r="J8548" t="str">
        <v>Croatia - onshore and offshore.</v>
      </c>
      <c r="K8548" s="11">
        <v>0</v>
      </c>
    </row>
    <row r="8549" spans="5:11" x14ac:dyDescent="0.35">
      <c r="E8549" s="9" t="str">
        <v>ESRI</v>
      </c>
      <c r="F8549" s="7" t="str">
        <v>115892</v>
      </c>
      <c r="G8549" t="str">
        <v>VerticalCrs</v>
      </c>
      <c r="H8549" t="str">
        <v>&lt;undefined&gt;</v>
      </c>
      <c r="I8549" t="str">
        <v>IGb14</v>
      </c>
      <c r="J8549" t="str">
        <v>World.</v>
      </c>
      <c r="K8549" s="11">
        <v>0</v>
      </c>
    </row>
    <row r="8550" spans="5:11" x14ac:dyDescent="0.35">
      <c r="E8550" s="9" t="str">
        <v>ESRI</v>
      </c>
      <c r="F8550" s="7" t="str">
        <v>115893</v>
      </c>
      <c r="G8550" t="str">
        <v>VerticalCrs</v>
      </c>
      <c r="H8550" t="str">
        <v>&lt;undefined&gt;</v>
      </c>
      <c r="I8550" t="str">
        <v>IGS08</v>
      </c>
      <c r="J8550" t="str">
        <v>World.</v>
      </c>
      <c r="K8550" s="11">
        <v>0</v>
      </c>
    </row>
    <row r="8551" spans="5:11" x14ac:dyDescent="0.35">
      <c r="E8551" s="9" t="str">
        <v>ESRI</v>
      </c>
      <c r="F8551" s="7" t="str">
        <v>115894</v>
      </c>
      <c r="G8551" t="str">
        <v>VerticalCrs</v>
      </c>
      <c r="H8551" t="str">
        <v>&lt;undefined&gt;</v>
      </c>
      <c r="I8551" t="str">
        <v>KSA-GRF17</v>
      </c>
      <c r="J8551" t="str">
        <v>Saudi Arabia - onshore and offshore.</v>
      </c>
      <c r="K8551" s="11">
        <v>0</v>
      </c>
    </row>
    <row r="8552" spans="5:11" x14ac:dyDescent="0.35">
      <c r="E8552" s="9" t="str">
        <v>ESRI</v>
      </c>
      <c r="F8552" s="7" t="str">
        <v>115895</v>
      </c>
      <c r="G8552" t="str">
        <v>VerticalCrs</v>
      </c>
      <c r="H8552" t="str">
        <v>&lt;undefined&gt;</v>
      </c>
      <c r="I8552" t="str">
        <v>Kyrg-06</v>
      </c>
      <c r="J8552" t="str">
        <v>Kyrgyzstan.</v>
      </c>
      <c r="K8552" s="11">
        <v>0</v>
      </c>
    </row>
    <row r="8553" spans="5:11" x14ac:dyDescent="0.35">
      <c r="E8553" s="9" t="str">
        <v>ESRI</v>
      </c>
      <c r="F8553" s="7" t="str">
        <v>115896</v>
      </c>
      <c r="G8553" t="str">
        <v>VerticalCrs</v>
      </c>
      <c r="H8553" t="str">
        <v>&lt;undefined&gt;</v>
      </c>
      <c r="I8553" t="str">
        <v>Lao_1993</v>
      </c>
      <c r="J8553" t="str">
        <v>Laos.</v>
      </c>
      <c r="K8553" s="11">
        <v>0</v>
      </c>
    </row>
    <row r="8554" spans="5:11" x14ac:dyDescent="0.35">
      <c r="E8554" s="9" t="str">
        <v>ESRI</v>
      </c>
      <c r="F8554" s="7" t="str">
        <v>115897</v>
      </c>
      <c r="G8554" t="str">
        <v>VerticalCrs</v>
      </c>
      <c r="H8554" t="str">
        <v>&lt;undefined&gt;</v>
      </c>
      <c r="I8554" t="str">
        <v>LTF2004(G)</v>
      </c>
      <c r="J8554" t="str">
        <v>France and Italy - on or related to the rail route from Lyon to Turin.</v>
      </c>
      <c r="K8554" s="11">
        <v>0</v>
      </c>
    </row>
    <row r="8555" spans="5:11" x14ac:dyDescent="0.35">
      <c r="E8555" s="9" t="str">
        <v>ESRI</v>
      </c>
      <c r="F8555" s="7" t="str">
        <v>115898</v>
      </c>
      <c r="G8555" t="str">
        <v>VerticalCrs</v>
      </c>
      <c r="H8555" t="str">
        <v>&lt;undefined&gt;</v>
      </c>
      <c r="I8555" t="str">
        <v>Mauritania_1999</v>
      </c>
      <c r="J8555" t="str">
        <v>Mauritania - onshore and offshore.</v>
      </c>
      <c r="K8555" s="11">
        <v>0</v>
      </c>
    </row>
    <row r="8556" spans="5:11" x14ac:dyDescent="0.35">
      <c r="E8556" s="9" t="str">
        <v>ESRI</v>
      </c>
      <c r="F8556" s="7" t="str">
        <v>115899</v>
      </c>
      <c r="G8556" t="str">
        <v>VerticalCrs</v>
      </c>
      <c r="H8556" t="str">
        <v>&lt;undefined&gt;</v>
      </c>
      <c r="I8556" t="str">
        <v>REDGEOMIN</v>
      </c>
      <c r="J8556" t="str">
        <v>Chile - onshore and offshore. Includes Easter Island, Juan Fernandez Islands, San Felix, and Sala y Gomez.</v>
      </c>
      <c r="K8556" s="11">
        <v>0</v>
      </c>
    </row>
    <row r="8557" spans="5:11" x14ac:dyDescent="0.35">
      <c r="E8557" s="9" t="str">
        <v>ESRI</v>
      </c>
      <c r="F8557" s="7" t="str">
        <v>115900</v>
      </c>
      <c r="G8557" t="str">
        <v>VerticalCrs</v>
      </c>
      <c r="H8557" t="str">
        <v>&lt;undefined&gt;</v>
      </c>
      <c r="I8557" t="str">
        <v>RGTAAF07</v>
      </c>
      <c r="J8557" t="str">
        <v>French Southern Territories - onshore and offshore: Amsterdam and St Paul, Crozet, Europa and Kerguelen. Antarctica - Adelie Land coastal area.</v>
      </c>
      <c r="K8557" s="11">
        <v>0</v>
      </c>
    </row>
    <row r="8558" spans="5:11" x14ac:dyDescent="0.35">
      <c r="E8558" s="9" t="str">
        <v>ESRI</v>
      </c>
      <c r="F8558" s="7" t="str">
        <v>115901</v>
      </c>
      <c r="G8558" t="str">
        <v>VerticalCrs</v>
      </c>
      <c r="H8558" t="str">
        <v>&lt;undefined&gt;</v>
      </c>
      <c r="I8558" t="str">
        <v>RGTAAF07_(lon-lat)</v>
      </c>
      <c r="J8558" t="str">
        <v>French Southern Territories - onshore and offshore: Amsterdam and St Paul, Crozet, Europa and Kerguelen. Antarctica - Adelie Land coastal area.</v>
      </c>
      <c r="K8558" s="11">
        <v>0</v>
      </c>
    </row>
    <row r="8559" spans="5:11" x14ac:dyDescent="0.35">
      <c r="E8559" s="9" t="str">
        <v>ESRI</v>
      </c>
      <c r="F8559" s="7" t="str">
        <v>115902</v>
      </c>
      <c r="G8559" t="str">
        <v>VerticalCrs</v>
      </c>
      <c r="H8559" t="str">
        <v>&lt;undefined&gt;</v>
      </c>
      <c r="I8559" t="str">
        <v>RSAO13</v>
      </c>
      <c r="J8559" t="str">
        <v>Angola - onshore and offshore.</v>
      </c>
      <c r="K8559" s="11">
        <v>0</v>
      </c>
    </row>
    <row r="8560" spans="5:11" x14ac:dyDescent="0.35">
      <c r="E8560" s="9" t="str">
        <v>ESRI</v>
      </c>
      <c r="F8560" s="7" t="str">
        <v>115903</v>
      </c>
      <c r="G8560" t="str">
        <v>VerticalCrs</v>
      </c>
      <c r="H8560" t="str">
        <v>&lt;undefined&gt;</v>
      </c>
      <c r="I8560" t="str">
        <v>SIRGAS-Chile_2010</v>
      </c>
      <c r="J8560" t="str">
        <v>Chile - onshore and offshore. Includes Easter Island, Juan Fernandez Islands, San Felix, and Sala y Gomez.</v>
      </c>
      <c r="K8560" s="11">
        <v>0</v>
      </c>
    </row>
    <row r="8561" spans="5:11" x14ac:dyDescent="0.35">
      <c r="E8561" s="9" t="str">
        <v>ESRI</v>
      </c>
      <c r="F8561" s="7" t="str">
        <v>115904</v>
      </c>
      <c r="G8561" t="str">
        <v>VerticalCrs</v>
      </c>
      <c r="H8561" t="str">
        <v>&lt;undefined&gt;</v>
      </c>
      <c r="I8561" t="str">
        <v>SIRGAS-Chile_2013</v>
      </c>
      <c r="J8561" t="str">
        <v>Chile - onshore and offshore. Includes Easter Island, Juan Fernandez Islands, San Felix, and Sala y Gomez.</v>
      </c>
      <c r="K8561" s="11">
        <v>0</v>
      </c>
    </row>
    <row r="8562" spans="5:11" x14ac:dyDescent="0.35">
      <c r="E8562" s="9" t="str">
        <v>ESRI</v>
      </c>
      <c r="F8562" s="7" t="str">
        <v>115905</v>
      </c>
      <c r="G8562" t="str">
        <v>VerticalCrs</v>
      </c>
      <c r="H8562" t="str">
        <v>&lt;undefined&gt;</v>
      </c>
      <c r="I8562" t="str">
        <v>SIRGAS-Chile_2016</v>
      </c>
      <c r="J8562" t="str">
        <v>Chile - onshore and offshore. Includes Easter Island, Juan Fernandez Islands, San Felix, and Sala y Gomez.</v>
      </c>
      <c r="K8562" s="11">
        <v>0</v>
      </c>
    </row>
    <row r="8563" spans="5:11" x14ac:dyDescent="0.35">
      <c r="E8563" s="9" t="str">
        <v>ESRI</v>
      </c>
      <c r="F8563" s="7" t="str">
        <v>115906</v>
      </c>
      <c r="G8563" t="str">
        <v>VerticalCrs</v>
      </c>
      <c r="H8563" t="str">
        <v>&lt;undefined&gt;</v>
      </c>
      <c r="I8563" t="str">
        <v>SRGI2013</v>
      </c>
      <c r="J8563" t="str">
        <v>Indonesia - onshore and offshore.</v>
      </c>
      <c r="K8563" s="11">
        <v>0</v>
      </c>
    </row>
    <row r="8564" spans="5:11" x14ac:dyDescent="0.35">
      <c r="E8564" s="9" t="str">
        <v>ESRI</v>
      </c>
      <c r="F8564" s="7" t="str">
        <v>115907</v>
      </c>
      <c r="G8564" t="str">
        <v>VerticalCrs</v>
      </c>
      <c r="H8564" t="str">
        <v>&lt;undefined&gt;</v>
      </c>
      <c r="I8564" t="str">
        <v>WGS_1966</v>
      </c>
      <c r="J8564" t="str">
        <v>World.</v>
      </c>
      <c r="K8564" s="11">
        <v>0</v>
      </c>
    </row>
    <row r="8565" spans="5:11" x14ac:dyDescent="0.35">
      <c r="E8565" s="9" t="str">
        <v>ESRI</v>
      </c>
      <c r="F8565" s="7" t="str">
        <v>115908</v>
      </c>
      <c r="G8565" t="str">
        <v>VerticalCrs</v>
      </c>
      <c r="H8565" t="str">
        <v>&lt;undefined&gt;</v>
      </c>
      <c r="I8565" t="str">
        <v>WGS_1972</v>
      </c>
      <c r="J8565" t="str">
        <v>World.</v>
      </c>
      <c r="K8565" s="11">
        <v>0</v>
      </c>
    </row>
    <row r="8566" spans="5:11" x14ac:dyDescent="0.35">
      <c r="E8566" s="9" t="str">
        <v>ESRI</v>
      </c>
      <c r="F8566" s="7" t="str">
        <v>115909</v>
      </c>
      <c r="G8566" t="str">
        <v>VerticalCrs</v>
      </c>
      <c r="H8566" t="str">
        <v>&lt;undefined&gt;</v>
      </c>
      <c r="I8566" t="str">
        <v>WGS_1972_BE</v>
      </c>
      <c r="J8566" t="str">
        <v>World.</v>
      </c>
      <c r="K8566" s="11">
        <v>0</v>
      </c>
    </row>
    <row r="8567" spans="5:11" x14ac:dyDescent="0.35">
      <c r="E8567" s="9" t="str">
        <v>ESRI</v>
      </c>
      <c r="F8567" s="7" t="str">
        <v>115910</v>
      </c>
      <c r="G8567" t="str">
        <v>VerticalCrs</v>
      </c>
      <c r="H8567" t="str">
        <v>&lt;undefined&gt;</v>
      </c>
      <c r="I8567" t="str">
        <v>Mexican_Datum_of_1993</v>
      </c>
      <c r="J8567" t="str">
        <v>Mexico - onshore and offshore.</v>
      </c>
      <c r="K8567" s="11">
        <v>0</v>
      </c>
    </row>
    <row r="8568" spans="5:11" x14ac:dyDescent="0.35">
      <c r="E8568" s="9" t="str">
        <v>ESRI</v>
      </c>
      <c r="F8568" s="7" t="str">
        <v>115911</v>
      </c>
      <c r="G8568" t="str">
        <v>VerticalCrs</v>
      </c>
      <c r="H8568" t="str">
        <v>&lt;undefined&gt;</v>
      </c>
      <c r="I8568" t="str">
        <v>RGSPM06_(lon-lat)</v>
      </c>
      <c r="J8568" t="str">
        <v>St Pierre and Miquelon - onshore and offshore.</v>
      </c>
      <c r="K8568" s="11">
        <v>0</v>
      </c>
    </row>
    <row r="8569" spans="5:11" x14ac:dyDescent="0.35">
      <c r="E8569" s="9" t="str">
        <v>ESRI</v>
      </c>
      <c r="F8569" s="7" t="str">
        <v>115912</v>
      </c>
      <c r="G8569" t="str">
        <v>VerticalCrs</v>
      </c>
      <c r="H8569" t="str">
        <v>&lt;undefined&gt;</v>
      </c>
      <c r="I8569" t="str">
        <v>RGR92_(lon-lat)</v>
      </c>
      <c r="J8569" t="str">
        <v>Reunion - onshore and offshore - Reunion island, Ile Europa, Bassas da India, Juan de Nova, Iles Glorieuses, and Ile Tromelin.</v>
      </c>
      <c r="K8569" s="11">
        <v>0</v>
      </c>
    </row>
    <row r="8570" spans="5:11" x14ac:dyDescent="0.35">
      <c r="E8570" s="9" t="str">
        <v>ESRI</v>
      </c>
      <c r="F8570" s="7" t="str">
        <v>115913</v>
      </c>
      <c r="G8570" t="str">
        <v>VerticalCrs</v>
      </c>
      <c r="H8570" t="str">
        <v>&lt;undefined&gt;</v>
      </c>
      <c r="I8570" t="str">
        <v>RGM04_(lon-lat)</v>
      </c>
      <c r="J8570" t="str">
        <v>Mayotte - onshore and offshore.</v>
      </c>
      <c r="K8570" s="11">
        <v>0</v>
      </c>
    </row>
    <row r="8571" spans="5:11" x14ac:dyDescent="0.35">
      <c r="E8571" s="9" t="str">
        <v>ESRI</v>
      </c>
      <c r="F8571" s="7" t="str">
        <v>115914</v>
      </c>
      <c r="G8571" t="str">
        <v>VerticalCrs</v>
      </c>
      <c r="H8571" t="str">
        <v>&lt;undefined&gt;</v>
      </c>
      <c r="I8571" t="str">
        <v>RGFG95_(lon-lat)</v>
      </c>
      <c r="J8571" t="str">
        <v>French Guiana - onshore and offshore.</v>
      </c>
      <c r="K8571" s="11">
        <v>0</v>
      </c>
    </row>
    <row r="8572" spans="5:11" x14ac:dyDescent="0.35">
      <c r="E8572" s="9" t="str">
        <v>ESRI</v>
      </c>
      <c r="F8572" s="7" t="str">
        <v>115915</v>
      </c>
      <c r="G8572" t="str">
        <v>VerticalCrs</v>
      </c>
      <c r="H8572" t="str">
        <v>&lt;undefined&gt;</v>
      </c>
      <c r="I8572" t="str">
        <v>RGF93_(lon-lat)</v>
      </c>
      <c r="J8572" t="str">
        <v>France - onshore and offshore, mainland and Corsica (France métropolitaine including Corsica).</v>
      </c>
      <c r="K8572" s="11">
        <v>0</v>
      </c>
    </row>
    <row r="8573" spans="5:11" x14ac:dyDescent="0.35">
      <c r="E8573" s="9" t="str">
        <v>ESRI</v>
      </c>
      <c r="F8573" s="7" t="str">
        <v>115916</v>
      </c>
      <c r="G8573" t="str">
        <v>VerticalCrs</v>
      </c>
      <c r="H8573" t="str">
        <v>&lt;undefined&gt;</v>
      </c>
      <c r="I8573" t="str">
        <v>RGAF09_(lon-lat)</v>
      </c>
      <c r="J8573" t="str">
        <v>French Antilles onshore and offshore - Guadeloupe (including Grande Terre, Basse Terre, Marie Galante, Les Saintes, Iles de la Petite Terre, La Desirade); Martinique; St Barthélemy; St Martin.</v>
      </c>
      <c r="K8573" s="11">
        <v>0</v>
      </c>
    </row>
    <row r="8574" spans="5:11" x14ac:dyDescent="0.35">
      <c r="E8574" s="9" t="str">
        <v>ESRI</v>
      </c>
      <c r="F8574" s="7" t="str">
        <v>115917</v>
      </c>
      <c r="G8574" t="str">
        <v>VerticalCrs</v>
      </c>
      <c r="H8574" t="str">
        <v>&lt;undefined&gt;</v>
      </c>
      <c r="I8574" t="str">
        <v>RGWF96_(lon-lat)</v>
      </c>
      <c r="J8574" t="str">
        <v>Wallis and Futuna - onshore and offshore - Uvea, Futuna, and Alofi.</v>
      </c>
      <c r="K8574" s="11">
        <v>0</v>
      </c>
    </row>
    <row r="8575" spans="5:11" x14ac:dyDescent="0.35">
      <c r="E8575" s="9" t="str">
        <v>ESRI</v>
      </c>
      <c r="F8575" s="7" t="str">
        <v>115918</v>
      </c>
      <c r="G8575" t="str">
        <v>VerticalCrs</v>
      </c>
      <c r="H8575" t="str">
        <v>&lt;undefined&gt;</v>
      </c>
      <c r="I8575" t="str">
        <v>RGF93_v2_(lon-lat)</v>
      </c>
      <c r="J8575" t="str">
        <v>France - onshore and offshore, mainland and Corsica (France métropolitaine including Corsica).</v>
      </c>
      <c r="K8575" s="11">
        <v>0</v>
      </c>
    </row>
    <row r="8576" spans="5:11" x14ac:dyDescent="0.35">
      <c r="E8576" s="9" t="str">
        <v>ESRI</v>
      </c>
      <c r="F8576" s="7" t="str">
        <v>115919</v>
      </c>
      <c r="G8576" t="str">
        <v>VerticalCrs</v>
      </c>
      <c r="H8576" t="str">
        <v>&lt;undefined&gt;</v>
      </c>
      <c r="I8576" t="str">
        <v>RGF93_v2b_(lon-lat)</v>
      </c>
      <c r="J8576" t="str">
        <v>France - onshore and offshore, mainland and Corsica (France métropolitaine including Corsica).</v>
      </c>
      <c r="K8576" s="11">
        <v>0</v>
      </c>
    </row>
    <row r="8577" spans="5:11" x14ac:dyDescent="0.35">
      <c r="E8577" s="9" t="str">
        <v>ESRI</v>
      </c>
      <c r="F8577" s="7" t="str">
        <v>115920</v>
      </c>
      <c r="G8577" t="str">
        <v>VerticalCrs</v>
      </c>
      <c r="H8577" t="str">
        <v>&lt;undefined&gt;</v>
      </c>
      <c r="I8577" t="str">
        <v>SIRGAS</v>
      </c>
      <c r="J8577" t="str">
        <v>South America - onshore and offshore. Ecuador (mainland and Galapagos) - onshore and offshore.</v>
      </c>
      <c r="K8577" s="11">
        <v>0</v>
      </c>
    </row>
    <row r="8578" spans="5:11" x14ac:dyDescent="0.35">
      <c r="E8578" s="9" t="str">
        <v>ESRI</v>
      </c>
      <c r="F8578" s="7" t="str">
        <v>115921</v>
      </c>
      <c r="G8578" t="str">
        <v>VerticalCrs</v>
      </c>
      <c r="H8578" t="str">
        <v>&lt;undefined&gt;</v>
      </c>
      <c r="I8578" t="str">
        <v>MGI</v>
      </c>
      <c r="J8578" t="str">
        <v>Austria. Bosnia and Herzegovina. Croatia - onshore. Kosovo. Montenegro - onshore. North Macedonia. Serbia. Slovenia - onshore.</v>
      </c>
      <c r="K8578" s="11">
        <v>0</v>
      </c>
    </row>
    <row r="8579" spans="5:11" x14ac:dyDescent="0.35">
      <c r="E8579" s="9" t="str">
        <v>ESRI</v>
      </c>
      <c r="F8579" s="7" t="str">
        <v>115922</v>
      </c>
      <c r="G8579" t="str">
        <v>VerticalCrs</v>
      </c>
      <c r="H8579" t="str">
        <v>&lt;undefined&gt;</v>
      </c>
      <c r="I8579" t="str">
        <v>IGS20</v>
      </c>
      <c r="J8579" t="str">
        <v>World.</v>
      </c>
      <c r="K8579" s="11">
        <v>0</v>
      </c>
    </row>
    <row r="8580" spans="5:11" x14ac:dyDescent="0.35">
      <c r="E8580" s="9" t="str">
        <v>ESRI</v>
      </c>
      <c r="F8580" s="7" t="str">
        <v>115923</v>
      </c>
      <c r="G8580" t="str">
        <v>VerticalCrs</v>
      </c>
      <c r="H8580" t="str">
        <v>&lt;undefined&gt;</v>
      </c>
      <c r="I8580" t="str">
        <v>ETRS89_DREF91_2016</v>
      </c>
      <c r="J8580" t="str">
        <v>Germany - onshore and offshore.</v>
      </c>
      <c r="K8580" s="11">
        <v>0</v>
      </c>
    </row>
    <row r="8581" spans="5:11" x14ac:dyDescent="0.35">
      <c r="E8581" s="9" t="str">
        <v>ESRI</v>
      </c>
      <c r="F8581" s="7" t="str">
        <v>115924</v>
      </c>
      <c r="G8581" t="str">
        <v>VerticalCrs</v>
      </c>
      <c r="H8581" t="str">
        <v>&lt;undefined&gt;</v>
      </c>
      <c r="I8581" t="str">
        <v>RGSH2020</v>
      </c>
      <c r="J8581" t="str">
        <v>Algeria - onshore and offshore.</v>
      </c>
      <c r="K8581" s="11">
        <v>0</v>
      </c>
    </row>
    <row r="8582" spans="5:11" x14ac:dyDescent="0.35">
      <c r="E8582" s="9" t="str">
        <v>ESRI</v>
      </c>
      <c r="F8582" s="7" t="str">
        <v>115925</v>
      </c>
      <c r="G8582" t="str">
        <v>VerticalCrs</v>
      </c>
      <c r="H8582" t="str">
        <v>&lt;undefined&gt;</v>
      </c>
      <c r="I8582" t="str">
        <v>LKS-2020</v>
      </c>
      <c r="J8582" t="str">
        <v>Latvia - onshore and offshore.</v>
      </c>
      <c r="K8582" s="11">
        <v>0</v>
      </c>
    </row>
    <row r="8583" spans="5:11" x14ac:dyDescent="0.35">
      <c r="E8583" s="9" t="str">
        <v>ESRI</v>
      </c>
      <c r="F8583" s="7" t="str">
        <v>115926</v>
      </c>
      <c r="G8583" t="str">
        <v>VerticalCrs</v>
      </c>
      <c r="H8583" t="str">
        <v>&lt;undefined&gt;</v>
      </c>
      <c r="I8583" t="str">
        <v>RGNC_1991-93_(lon-lat)</v>
      </c>
      <c r="J8583" t="str">
        <v>New Caledonia - onshore and offshore. Isle de Pins, Loyalty Islands, Huon Islands, Belep archipelago, Chesterfield Islands, and Walpole.</v>
      </c>
      <c r="K8583" s="11">
        <v>0</v>
      </c>
    </row>
    <row r="8584" spans="5:11" x14ac:dyDescent="0.35">
      <c r="E8584" s="9" t="str">
        <v>ESRI</v>
      </c>
      <c r="F8584" s="7" t="str">
        <v>115927</v>
      </c>
      <c r="G8584" t="str">
        <v>VerticalCrs</v>
      </c>
      <c r="H8584" t="str">
        <v>&lt;undefined&gt;</v>
      </c>
      <c r="I8584" t="str">
        <v>RGNC15</v>
      </c>
      <c r="J8584" t="str">
        <v>New Caledonia - onshore and offshore. Isle de Pins, Loyalty Islands, Huon Islands, Belep archipelago, Chesterfield Islands, and Walpole.</v>
      </c>
      <c r="K8584" s="11">
        <v>0</v>
      </c>
    </row>
    <row r="8585" spans="5:11" x14ac:dyDescent="0.35">
      <c r="E8585" s="9" t="str">
        <v>ESRI</v>
      </c>
      <c r="F8585" s="7" t="str">
        <v>115928</v>
      </c>
      <c r="G8585" t="str">
        <v>VerticalCrs</v>
      </c>
      <c r="H8585" t="str">
        <v>&lt;undefined&gt;</v>
      </c>
      <c r="I8585" t="str">
        <v>RGNC15_(lon-lat)</v>
      </c>
      <c r="J8585" t="str">
        <v>New Caledonia - onshore and offshore. Isle de Pins, Loyalty Islands, Huon Islands, Belep archipelago, Chesterfield Islands, and Walpole.</v>
      </c>
      <c r="K8585" s="11">
        <v>0</v>
      </c>
    </row>
    <row r="8586" spans="5:11" x14ac:dyDescent="0.35">
      <c r="E8586" s="9" t="str">
        <v>ESRI</v>
      </c>
      <c r="F8586" s="7" t="str">
        <v>115929</v>
      </c>
      <c r="G8586" t="str">
        <v>VerticalCrs</v>
      </c>
      <c r="H8586" t="str">
        <v>&lt;undefined&gt;</v>
      </c>
      <c r="I8586" t="str">
        <v>BH_ETRS89</v>
      </c>
      <c r="J8586" t="str">
        <v>Bosnia and Herzegovina.</v>
      </c>
      <c r="K8586" s="11">
        <v>0</v>
      </c>
    </row>
    <row r="8587" spans="5:11" x14ac:dyDescent="0.35">
      <c r="E8587" s="9" t="str">
        <v>ESRI</v>
      </c>
      <c r="F8587" s="7" t="str">
        <v>115930</v>
      </c>
      <c r="G8587" t="str">
        <v>VerticalCrs</v>
      </c>
      <c r="H8587" t="str">
        <v>&lt;undefined&gt;</v>
      </c>
      <c r="I8587" t="str">
        <v>MAGNA-SIRGAS_2018</v>
      </c>
      <c r="J8587" t="str">
        <v>Colombia - onshore and offshore. Includes San Andres y Providencia, Malpelo Islands, Roncador Bank, Serrana Bank and Serranilla Bank.</v>
      </c>
      <c r="K8587" s="11">
        <v>0</v>
      </c>
    </row>
    <row r="8588" spans="5:11" x14ac:dyDescent="0.35">
      <c r="E8588" s="9" t="str">
        <v>ESRI</v>
      </c>
      <c r="F8588" s="7" t="str">
        <v>115931</v>
      </c>
      <c r="G8588" t="str">
        <v>VerticalCrs</v>
      </c>
      <c r="H8588" t="str">
        <v>&lt;undefined&gt;</v>
      </c>
      <c r="I8588" t="str">
        <v>NAD83(CSRS)v8</v>
      </c>
      <c r="J8588" t="str">
        <v>Canada - onshore and offshore - Alberta; British Columbia; Manitoba; New Brunswick; Newfoundland and Labrador; Northwest Territories; Nova Scotia; Nunavut; Ontario; Prince Edward Island; Quebec; Saskatchewan; Yukon.</v>
      </c>
      <c r="K8588" s="11">
        <v>0</v>
      </c>
    </row>
    <row r="8589" spans="5:11" x14ac:dyDescent="0.35">
      <c r="E8589" s="9" t="str">
        <v>ESRI</v>
      </c>
      <c r="F8589" s="7" t="str">
        <v>115932</v>
      </c>
      <c r="G8589" t="str">
        <v>VerticalCrs</v>
      </c>
      <c r="H8589" t="str">
        <v>&lt;undefined&gt;</v>
      </c>
      <c r="I8589" t="str">
        <v>ETRF2020</v>
      </c>
      <c r="J8589" t="str">
        <v>Europe - onshore and offshore - ETRF extent - approximately 16°W to 33°E and 33°N to 84°N.</v>
      </c>
      <c r="K8589" s="11">
        <v>0</v>
      </c>
    </row>
    <row r="8590" spans="5:11" x14ac:dyDescent="0.35">
      <c r="E8590" s="9" t="str">
        <v>ESRI</v>
      </c>
      <c r="F8590" s="7" t="str">
        <v>115933</v>
      </c>
      <c r="G8590" t="str">
        <v>VerticalCrs</v>
      </c>
      <c r="H8590" t="str">
        <v>&lt;undefined&gt;</v>
      </c>
      <c r="I8590" t="str">
        <v>WGS_1984_(G2296)</v>
      </c>
      <c r="J8590" t="str">
        <v>World.</v>
      </c>
      <c r="K8590" s="11">
        <v>0</v>
      </c>
    </row>
    <row r="8591" spans="5:11" x14ac:dyDescent="0.35">
      <c r="E8591" s="9" t="str">
        <v>IAU_2015</v>
      </c>
      <c r="F8591" s="7" t="str">
        <v>1000</v>
      </c>
      <c r="G8591" t="str">
        <v>Geographic2DCrs</v>
      </c>
      <c r="H8591" t="str">
        <v>&lt;undefined&gt;</v>
      </c>
      <c r="I8591" t="str">
        <v>Sun (2015) - Sphere / Ocentric</v>
      </c>
      <c r="J8591" t="str">
        <v>Not specified.</v>
      </c>
      <c r="K8591" s="11">
        <v>0</v>
      </c>
    </row>
    <row r="8592" spans="5:11" x14ac:dyDescent="0.35">
      <c r="E8592" s="9" t="str">
        <v>IAU_2015</v>
      </c>
      <c r="F8592" s="7" t="str">
        <v>1010</v>
      </c>
      <c r="G8592" t="str">
        <v>ProjectedCrs</v>
      </c>
      <c r="H8592" t="str">
        <v>Equidistant Cylindrical</v>
      </c>
      <c r="I8592" t="str">
        <v>Sun (2015) - Sphere / Ocentric / Equirectangular, clon = 0</v>
      </c>
      <c r="J8592" t="str">
        <v>Not specified.</v>
      </c>
      <c r="K8592" s="11">
        <v>0</v>
      </c>
    </row>
    <row r="8593" spans="5:11" x14ac:dyDescent="0.35">
      <c r="E8593" s="9" t="str">
        <v>IAU_2015</v>
      </c>
      <c r="F8593" s="7" t="str">
        <v>1015</v>
      </c>
      <c r="G8593" t="str">
        <v>ProjectedCrs</v>
      </c>
      <c r="H8593" t="str">
        <v>Equidistant Cylindrical</v>
      </c>
      <c r="I8593" t="str">
        <v>Sun (2015) - Sphere / Ocentric / Equirectangular, clon = 180</v>
      </c>
      <c r="J8593" t="str">
        <v>Not specified.</v>
      </c>
      <c r="K8593" s="11">
        <v>0</v>
      </c>
    </row>
    <row r="8594" spans="5:11" x14ac:dyDescent="0.35">
      <c r="E8594" s="9" t="str">
        <v>IAU_2015</v>
      </c>
      <c r="F8594" s="7" t="str">
        <v>1020</v>
      </c>
      <c r="G8594" t="str">
        <v>ProjectedCrs</v>
      </c>
      <c r="H8594" t="str">
        <v>Sinusoidal</v>
      </c>
      <c r="I8594" t="str">
        <v>Sun (2015) - Sphere / Ocentric / Sinusoidal, clon = 0</v>
      </c>
      <c r="J8594" t="str">
        <v>Not specified.</v>
      </c>
      <c r="K8594" s="11">
        <v>0</v>
      </c>
    </row>
    <row r="8595" spans="5:11" x14ac:dyDescent="0.35">
      <c r="E8595" s="9" t="str">
        <v>IAU_2015</v>
      </c>
      <c r="F8595" s="7" t="str">
        <v>1025</v>
      </c>
      <c r="G8595" t="str">
        <v>ProjectedCrs</v>
      </c>
      <c r="H8595" t="str">
        <v>Sinusoidal</v>
      </c>
      <c r="I8595" t="str">
        <v>Sun (2015) - Sphere / Ocentric / Sinusoidal, clon = 180</v>
      </c>
      <c r="J8595" t="str">
        <v>Not specified.</v>
      </c>
      <c r="K8595" s="11">
        <v>0</v>
      </c>
    </row>
    <row r="8596" spans="5:11" x14ac:dyDescent="0.35">
      <c r="E8596" s="9" t="str">
        <v>IAU_2015</v>
      </c>
      <c r="F8596" s="7" t="str">
        <v>1030</v>
      </c>
      <c r="G8596" t="str">
        <v>ProjectedCrs</v>
      </c>
      <c r="H8596" t="str">
        <v>Polar Stereographic (variant A)</v>
      </c>
      <c r="I8596" t="str">
        <v>Sun (2015) - Sphere / Ocentric / North Polar</v>
      </c>
      <c r="J8596" t="str">
        <v>Not specified.</v>
      </c>
      <c r="K8596" s="11">
        <v>0</v>
      </c>
    </row>
    <row r="8597" spans="5:11" x14ac:dyDescent="0.35">
      <c r="E8597" s="9" t="str">
        <v>IAU_2015</v>
      </c>
      <c r="F8597" s="7" t="str">
        <v>1035</v>
      </c>
      <c r="G8597" t="str">
        <v>ProjectedCrs</v>
      </c>
      <c r="H8597" t="str">
        <v>Polar Stereographic (variant A)</v>
      </c>
      <c r="I8597" t="str">
        <v>Sun (2015) - Sphere / Ocentric / South Polar</v>
      </c>
      <c r="J8597" t="str">
        <v>Not specified.</v>
      </c>
      <c r="K8597" s="11">
        <v>0</v>
      </c>
    </row>
    <row r="8598" spans="5:11" x14ac:dyDescent="0.35">
      <c r="E8598" s="9" t="str">
        <v>IAU_2015</v>
      </c>
      <c r="F8598" s="7" t="str">
        <v>1040</v>
      </c>
      <c r="G8598" t="str">
        <v>ProjectedCrs</v>
      </c>
      <c r="H8598" t="str">
        <v>Mollweide</v>
      </c>
      <c r="I8598" t="str">
        <v>Sun (2015) - Sphere / Ocentric / Mollweide, clon = 0</v>
      </c>
      <c r="J8598" t="str">
        <v>Not specified.</v>
      </c>
      <c r="K8598" s="11">
        <v>0</v>
      </c>
    </row>
    <row r="8599" spans="5:11" x14ac:dyDescent="0.35">
      <c r="E8599" s="9" t="str">
        <v>IAU_2015</v>
      </c>
      <c r="F8599" s="7" t="str">
        <v>1045</v>
      </c>
      <c r="G8599" t="str">
        <v>ProjectedCrs</v>
      </c>
      <c r="H8599" t="str">
        <v>Mollweide</v>
      </c>
      <c r="I8599" t="str">
        <v>Sun (2015) - Sphere / Ocentric / Mollweide, clon = 180</v>
      </c>
      <c r="J8599" t="str">
        <v>Not specified.</v>
      </c>
      <c r="K8599" s="11">
        <v>0</v>
      </c>
    </row>
    <row r="8600" spans="5:11" x14ac:dyDescent="0.35">
      <c r="E8600" s="9" t="str">
        <v>IAU_2015</v>
      </c>
      <c r="F8600" s="7" t="str">
        <v>1050</v>
      </c>
      <c r="G8600" t="str">
        <v>ProjectedCrs</v>
      </c>
      <c r="H8600" t="str">
        <v>Robinson</v>
      </c>
      <c r="I8600" t="str">
        <v>Sun (2015) - Sphere / Ocentric / Robinson, clon = 0</v>
      </c>
      <c r="J8600" t="str">
        <v>Not specified.</v>
      </c>
      <c r="K8600" s="11">
        <v>0</v>
      </c>
    </row>
    <row r="8601" spans="5:11" x14ac:dyDescent="0.35">
      <c r="E8601" s="9" t="str">
        <v>IAU_2015</v>
      </c>
      <c r="F8601" s="7" t="str">
        <v>1055</v>
      </c>
      <c r="G8601" t="str">
        <v>ProjectedCrs</v>
      </c>
      <c r="H8601" t="str">
        <v>Robinson</v>
      </c>
      <c r="I8601" t="str">
        <v>Sun (2015) - Sphere / Ocentric / Robinson, clon = 180</v>
      </c>
      <c r="J8601" t="str">
        <v>Not specified.</v>
      </c>
      <c r="K8601" s="11">
        <v>0</v>
      </c>
    </row>
    <row r="8602" spans="5:11" x14ac:dyDescent="0.35">
      <c r="E8602" s="9" t="str">
        <v>IAU_2015</v>
      </c>
      <c r="F8602" s="7" t="str">
        <v>1060</v>
      </c>
      <c r="G8602" t="str">
        <v>ProjectedCrs</v>
      </c>
      <c r="H8602" t="str">
        <v>Transverse Mercator</v>
      </c>
      <c r="I8602" t="str">
        <v>Sun (2015) - Sphere / Ocentric / Tranverse Mercator</v>
      </c>
      <c r="J8602" t="str">
        <v>Not specified.</v>
      </c>
      <c r="K8602" s="11">
        <v>0</v>
      </c>
    </row>
    <row r="8603" spans="5:11" x14ac:dyDescent="0.35">
      <c r="E8603" s="9" t="str">
        <v>IAU_2015</v>
      </c>
      <c r="F8603" s="7" t="str">
        <v>1065</v>
      </c>
      <c r="G8603" t="str">
        <v>ProjectedCrs</v>
      </c>
      <c r="H8603" t="str">
        <v>Orthographic</v>
      </c>
      <c r="I8603" t="str">
        <v>Sun (2015) - Sphere / Ocentric / Orthographic, clon = 0</v>
      </c>
      <c r="J8603" t="str">
        <v>Not specified.</v>
      </c>
      <c r="K8603" s="11">
        <v>0</v>
      </c>
    </row>
    <row r="8604" spans="5:11" x14ac:dyDescent="0.35">
      <c r="E8604" s="9" t="str">
        <v>IAU_2015</v>
      </c>
      <c r="F8604" s="7" t="str">
        <v>1070</v>
      </c>
      <c r="G8604" t="str">
        <v>ProjectedCrs</v>
      </c>
      <c r="H8604" t="str">
        <v>Orthographic</v>
      </c>
      <c r="I8604" t="str">
        <v>Sun (2015) - Sphere / Ocentric / Orthographic, clon = 180</v>
      </c>
      <c r="J8604" t="str">
        <v>Not specified.</v>
      </c>
      <c r="K8604" s="11">
        <v>0</v>
      </c>
    </row>
    <row r="8605" spans="5:11" x14ac:dyDescent="0.35">
      <c r="E8605" s="9" t="str">
        <v>IAU_2015</v>
      </c>
      <c r="F8605" s="7" t="str">
        <v>1075</v>
      </c>
      <c r="G8605" t="str">
        <v>ProjectedCrs</v>
      </c>
      <c r="H8605" t="str">
        <v>Lambert Conic Conformal (2SP)</v>
      </c>
      <c r="I8605" t="str">
        <v>Sun (2015) - Sphere / Ocentric / Lambert Conic Conformal</v>
      </c>
      <c r="J8605" t="str">
        <v>Not specified.</v>
      </c>
      <c r="K8605" s="11">
        <v>0</v>
      </c>
    </row>
    <row r="8606" spans="5:11" x14ac:dyDescent="0.35">
      <c r="E8606" s="9" t="str">
        <v>IAU_2015</v>
      </c>
      <c r="F8606" s="7" t="str">
        <v>1080</v>
      </c>
      <c r="G8606" t="str">
        <v>ProjectedCrs</v>
      </c>
      <c r="H8606" t="str">
        <v>Lambert Azimuthal Equal Area</v>
      </c>
      <c r="I8606" t="str">
        <v>Sun (2015) - Sphere / Ocentric / Lambert Azimuthal Equal Area</v>
      </c>
      <c r="J8606" t="str">
        <v>Not specified.</v>
      </c>
      <c r="K8606" s="11">
        <v>0</v>
      </c>
    </row>
    <row r="8607" spans="5:11" x14ac:dyDescent="0.35">
      <c r="E8607" s="9" t="str">
        <v>IAU_2015</v>
      </c>
      <c r="F8607" s="7" t="str">
        <v>1085</v>
      </c>
      <c r="G8607" t="str">
        <v>ProjectedCrs</v>
      </c>
      <c r="H8607" t="str">
        <v>Albers Equal Area</v>
      </c>
      <c r="I8607" t="str">
        <v>Sun (2015) - Sphere / Ocentric / Albers Equal Area</v>
      </c>
      <c r="J8607" t="str">
        <v>Not specified.</v>
      </c>
      <c r="K8607" s="11">
        <v>0</v>
      </c>
    </row>
    <row r="8608" spans="5:11" x14ac:dyDescent="0.35">
      <c r="E8608" s="9" t="str">
        <v>IAU_2015</v>
      </c>
      <c r="F8608" s="7" t="str">
        <v>1090</v>
      </c>
      <c r="G8608" t="str">
        <v>ProjectedCrs</v>
      </c>
      <c r="H8608" t="str">
        <v>Mercator (Spherical)</v>
      </c>
      <c r="I8608" t="str">
        <v>Sun (2015) - Sphere / Ocentric / Mercator</v>
      </c>
      <c r="J8608" t="str">
        <v>Not specified.</v>
      </c>
      <c r="K8608" s="11">
        <v>0</v>
      </c>
    </row>
    <row r="8609" spans="5:11" x14ac:dyDescent="0.35">
      <c r="E8609" s="9" t="str">
        <v>IAU_2015</v>
      </c>
      <c r="F8609" s="7" t="str">
        <v>19900</v>
      </c>
      <c r="G8609" t="str">
        <v>Geographic2DCrs</v>
      </c>
      <c r="H8609" t="str">
        <v>&lt;undefined&gt;</v>
      </c>
      <c r="I8609" t="str">
        <v>Mercury (2015) - Sphere / Ocentric</v>
      </c>
      <c r="J8609" t="str">
        <v>Not specified.</v>
      </c>
      <c r="K8609" s="11">
        <v>0</v>
      </c>
    </row>
    <row r="8610" spans="5:11" x14ac:dyDescent="0.35">
      <c r="E8610" s="9" t="str">
        <v>IAU_2015</v>
      </c>
      <c r="F8610" s="7" t="str">
        <v>19901</v>
      </c>
      <c r="G8610" t="str">
        <v>Geographic2DCrs</v>
      </c>
      <c r="H8610" t="str">
        <v>&lt;undefined&gt;</v>
      </c>
      <c r="I8610" t="str">
        <v>Mercury (2015) / Ographic</v>
      </c>
      <c r="J8610" t="str">
        <v>Not specified.</v>
      </c>
      <c r="K8610" s="11">
        <v>0</v>
      </c>
    </row>
    <row r="8611" spans="5:11" x14ac:dyDescent="0.35">
      <c r="E8611" s="9" t="str">
        <v>IAU_2015</v>
      </c>
      <c r="F8611" s="7" t="str">
        <v>19902</v>
      </c>
      <c r="G8611" t="str">
        <v>GeodeticCrs</v>
      </c>
      <c r="H8611" t="str">
        <v>&lt;undefined&gt;</v>
      </c>
      <c r="I8611" t="str">
        <v>Mercury (2015) / Ocentric</v>
      </c>
      <c r="J8611" t="str">
        <v>Not specified.</v>
      </c>
      <c r="K8611" s="11">
        <v>0</v>
      </c>
    </row>
    <row r="8612" spans="5:11" x14ac:dyDescent="0.35">
      <c r="E8612" s="9" t="str">
        <v>IAU_2015</v>
      </c>
      <c r="F8612" s="7" t="str">
        <v>19910</v>
      </c>
      <c r="G8612" t="str">
        <v>ProjectedCrs</v>
      </c>
      <c r="H8612" t="str">
        <v>Equidistant Cylindrical</v>
      </c>
      <c r="I8612" t="str">
        <v>Mercury (2015) - Sphere / Ocentric / Equirectangular, clon = 0</v>
      </c>
      <c r="J8612" t="str">
        <v>Not specified.</v>
      </c>
      <c r="K8612" s="11">
        <v>0</v>
      </c>
    </row>
    <row r="8613" spans="5:11" x14ac:dyDescent="0.35">
      <c r="E8613" s="9" t="str">
        <v>IAU_2015</v>
      </c>
      <c r="F8613" s="7" t="str">
        <v>19911</v>
      </c>
      <c r="G8613" t="str">
        <v>ProjectedCrs</v>
      </c>
      <c r="H8613" t="str">
        <v>Equidistant Cylindrical</v>
      </c>
      <c r="I8613" t="str">
        <v>Mercury (2015) / Ographic / Equirectangular, clon = 0</v>
      </c>
      <c r="J8613" t="str">
        <v>Not specified.</v>
      </c>
      <c r="K8613" s="11">
        <v>0</v>
      </c>
    </row>
    <row r="8614" spans="5:11" x14ac:dyDescent="0.35">
      <c r="E8614" s="9" t="str">
        <v>IAU_2015</v>
      </c>
      <c r="F8614" s="7" t="str">
        <v>19912</v>
      </c>
      <c r="G8614" t="str">
        <v>ProjectedCrs</v>
      </c>
      <c r="H8614" t="str">
        <v>Equidistant Cylindrical</v>
      </c>
      <c r="I8614" t="str">
        <v>Mercury (2015) / Ocentric / Equirectangular, clon = 0</v>
      </c>
      <c r="J8614" t="str">
        <v>Not specified.</v>
      </c>
      <c r="K8614" s="11">
        <v>0</v>
      </c>
    </row>
    <row r="8615" spans="5:11" x14ac:dyDescent="0.35">
      <c r="E8615" s="9" t="str">
        <v>IAU_2015</v>
      </c>
      <c r="F8615" s="7" t="str">
        <v>19915</v>
      </c>
      <c r="G8615" t="str">
        <v>ProjectedCrs</v>
      </c>
      <c r="H8615" t="str">
        <v>Equidistant Cylindrical</v>
      </c>
      <c r="I8615" t="str">
        <v>Mercury (2015) - Sphere / Ocentric / Equirectangular, clon = 180</v>
      </c>
      <c r="J8615" t="str">
        <v>Not specified.</v>
      </c>
      <c r="K8615" s="11">
        <v>0</v>
      </c>
    </row>
    <row r="8616" spans="5:11" x14ac:dyDescent="0.35">
      <c r="E8616" s="9" t="str">
        <v>IAU_2015</v>
      </c>
      <c r="F8616" s="7" t="str">
        <v>19916</v>
      </c>
      <c r="G8616" t="str">
        <v>ProjectedCrs</v>
      </c>
      <c r="H8616" t="str">
        <v>Equidistant Cylindrical</v>
      </c>
      <c r="I8616" t="str">
        <v>Mercury (2015) / Ographic / Equirectangular, clon = 180</v>
      </c>
      <c r="J8616" t="str">
        <v>Not specified.</v>
      </c>
      <c r="K8616" s="11">
        <v>0</v>
      </c>
    </row>
    <row r="8617" spans="5:11" x14ac:dyDescent="0.35">
      <c r="E8617" s="9" t="str">
        <v>IAU_2015</v>
      </c>
      <c r="F8617" s="7" t="str">
        <v>19917</v>
      </c>
      <c r="G8617" t="str">
        <v>ProjectedCrs</v>
      </c>
      <c r="H8617" t="str">
        <v>Equidistant Cylindrical</v>
      </c>
      <c r="I8617" t="str">
        <v>Mercury (2015) / Ocentric / Equirectangular, clon = 180</v>
      </c>
      <c r="J8617" t="str">
        <v>Not specified.</v>
      </c>
      <c r="K8617" s="11">
        <v>0</v>
      </c>
    </row>
    <row r="8618" spans="5:11" x14ac:dyDescent="0.35">
      <c r="E8618" s="9" t="str">
        <v>IAU_2015</v>
      </c>
      <c r="F8618" s="7" t="str">
        <v>19920</v>
      </c>
      <c r="G8618" t="str">
        <v>ProjectedCrs</v>
      </c>
      <c r="H8618" t="str">
        <v>Sinusoidal</v>
      </c>
      <c r="I8618" t="str">
        <v>Mercury (2015) - Sphere / Ocentric / Sinusoidal, clon = 0</v>
      </c>
      <c r="J8618" t="str">
        <v>Not specified.</v>
      </c>
      <c r="K8618" s="11">
        <v>0</v>
      </c>
    </row>
    <row r="8619" spans="5:11" x14ac:dyDescent="0.35">
      <c r="E8619" s="9" t="str">
        <v>IAU_2015</v>
      </c>
      <c r="F8619" s="7" t="str">
        <v>19921</v>
      </c>
      <c r="G8619" t="str">
        <v>ProjectedCrs</v>
      </c>
      <c r="H8619" t="str">
        <v>Sinusoidal</v>
      </c>
      <c r="I8619" t="str">
        <v>Mercury (2015) / Ographic / Sinusoidal, clon = 0</v>
      </c>
      <c r="J8619" t="str">
        <v>Not specified.</v>
      </c>
      <c r="K8619" s="11">
        <v>0</v>
      </c>
    </row>
    <row r="8620" spans="5:11" x14ac:dyDescent="0.35">
      <c r="E8620" s="9" t="str">
        <v>IAU_2015</v>
      </c>
      <c r="F8620" s="7" t="str">
        <v>19922</v>
      </c>
      <c r="G8620" t="str">
        <v>ProjectedCrs</v>
      </c>
      <c r="H8620" t="str">
        <v>Sinusoidal</v>
      </c>
      <c r="I8620" t="str">
        <v>Mercury (2015) / Ocentric / Sinusoidal, clon = 0</v>
      </c>
      <c r="J8620" t="str">
        <v>Not specified.</v>
      </c>
      <c r="K8620" s="11">
        <v>0</v>
      </c>
    </row>
    <row r="8621" spans="5:11" x14ac:dyDescent="0.35">
      <c r="E8621" s="9" t="str">
        <v>IAU_2015</v>
      </c>
      <c r="F8621" s="7" t="str">
        <v>19925</v>
      </c>
      <c r="G8621" t="str">
        <v>ProjectedCrs</v>
      </c>
      <c r="H8621" t="str">
        <v>Sinusoidal</v>
      </c>
      <c r="I8621" t="str">
        <v>Mercury (2015) - Sphere / Ocentric / Sinusoidal, clon = 180</v>
      </c>
      <c r="J8621" t="str">
        <v>Not specified.</v>
      </c>
      <c r="K8621" s="11">
        <v>0</v>
      </c>
    </row>
    <row r="8622" spans="5:11" x14ac:dyDescent="0.35">
      <c r="E8622" s="9" t="str">
        <v>IAU_2015</v>
      </c>
      <c r="F8622" s="7" t="str">
        <v>19926</v>
      </c>
      <c r="G8622" t="str">
        <v>ProjectedCrs</v>
      </c>
      <c r="H8622" t="str">
        <v>Sinusoidal</v>
      </c>
      <c r="I8622" t="str">
        <v>Mercury (2015) / Ographic / Sinusoidal, clon = 180</v>
      </c>
      <c r="J8622" t="str">
        <v>Not specified.</v>
      </c>
      <c r="K8622" s="11">
        <v>0</v>
      </c>
    </row>
    <row r="8623" spans="5:11" x14ac:dyDescent="0.35">
      <c r="E8623" s="9" t="str">
        <v>IAU_2015</v>
      </c>
      <c r="F8623" s="7" t="str">
        <v>19927</v>
      </c>
      <c r="G8623" t="str">
        <v>ProjectedCrs</v>
      </c>
      <c r="H8623" t="str">
        <v>Sinusoidal</v>
      </c>
      <c r="I8623" t="str">
        <v>Mercury (2015) / Ocentric / Sinusoidal, clon = 180</v>
      </c>
      <c r="J8623" t="str">
        <v>Not specified.</v>
      </c>
      <c r="K8623" s="11">
        <v>0</v>
      </c>
    </row>
    <row r="8624" spans="5:11" x14ac:dyDescent="0.35">
      <c r="E8624" s="9" t="str">
        <v>IAU_2015</v>
      </c>
      <c r="F8624" s="7" t="str">
        <v>19930</v>
      </c>
      <c r="G8624" t="str">
        <v>ProjectedCrs</v>
      </c>
      <c r="H8624" t="str">
        <v>Polar Stereographic (variant A)</v>
      </c>
      <c r="I8624" t="str">
        <v>Mercury (2015) - Sphere / Ocentric / North Polar</v>
      </c>
      <c r="J8624" t="str">
        <v>Not specified.</v>
      </c>
      <c r="K8624" s="11">
        <v>0</v>
      </c>
    </row>
    <row r="8625" spans="5:11" x14ac:dyDescent="0.35">
      <c r="E8625" s="9" t="str">
        <v>IAU_2015</v>
      </c>
      <c r="F8625" s="7" t="str">
        <v>19931</v>
      </c>
      <c r="G8625" t="str">
        <v>ProjectedCrs</v>
      </c>
      <c r="H8625" t="str">
        <v>Polar Stereographic (variant A)</v>
      </c>
      <c r="I8625" t="str">
        <v>Mercury (2015) / Ographic / North Polar</v>
      </c>
      <c r="J8625" t="str">
        <v>Not specified.</v>
      </c>
      <c r="K8625" s="11">
        <v>0</v>
      </c>
    </row>
    <row r="8626" spans="5:11" x14ac:dyDescent="0.35">
      <c r="E8626" s="9" t="str">
        <v>IAU_2015</v>
      </c>
      <c r="F8626" s="7" t="str">
        <v>19932</v>
      </c>
      <c r="G8626" t="str">
        <v>ProjectedCrs</v>
      </c>
      <c r="H8626" t="str">
        <v>Polar Stereographic (variant A)</v>
      </c>
      <c r="I8626" t="str">
        <v>Mercury (2015) / Ocentric / North Polar</v>
      </c>
      <c r="J8626" t="str">
        <v>Not specified.</v>
      </c>
      <c r="K8626" s="11">
        <v>0</v>
      </c>
    </row>
    <row r="8627" spans="5:11" x14ac:dyDescent="0.35">
      <c r="E8627" s="9" t="str">
        <v>IAU_2015</v>
      </c>
      <c r="F8627" s="7" t="str">
        <v>19935</v>
      </c>
      <c r="G8627" t="str">
        <v>ProjectedCrs</v>
      </c>
      <c r="H8627" t="str">
        <v>Polar Stereographic (variant A)</v>
      </c>
      <c r="I8627" t="str">
        <v>Mercury (2015) - Sphere / Ocentric / South Polar</v>
      </c>
      <c r="J8627" t="str">
        <v>Not specified.</v>
      </c>
      <c r="K8627" s="11">
        <v>0</v>
      </c>
    </row>
    <row r="8628" spans="5:11" x14ac:dyDescent="0.35">
      <c r="E8628" s="9" t="str">
        <v>IAU_2015</v>
      </c>
      <c r="F8628" s="7" t="str">
        <v>19936</v>
      </c>
      <c r="G8628" t="str">
        <v>ProjectedCrs</v>
      </c>
      <c r="H8628" t="str">
        <v>Polar Stereographic (variant A)</v>
      </c>
      <c r="I8628" t="str">
        <v>Mercury (2015) / Ographic / South Polar</v>
      </c>
      <c r="J8628" t="str">
        <v>Not specified.</v>
      </c>
      <c r="K8628" s="11">
        <v>0</v>
      </c>
    </row>
    <row r="8629" spans="5:11" x14ac:dyDescent="0.35">
      <c r="E8629" s="9" t="str">
        <v>IAU_2015</v>
      </c>
      <c r="F8629" s="7" t="str">
        <v>19937</v>
      </c>
      <c r="G8629" t="str">
        <v>ProjectedCrs</v>
      </c>
      <c r="H8629" t="str">
        <v>Polar Stereographic (variant A)</v>
      </c>
      <c r="I8629" t="str">
        <v>Mercury (2015) / Ocentric / South Polar</v>
      </c>
      <c r="J8629" t="str">
        <v>Not specified.</v>
      </c>
      <c r="K8629" s="11">
        <v>0</v>
      </c>
    </row>
    <row r="8630" spans="5:11" x14ac:dyDescent="0.35">
      <c r="E8630" s="9" t="str">
        <v>IAU_2015</v>
      </c>
      <c r="F8630" s="7" t="str">
        <v>19940</v>
      </c>
      <c r="G8630" t="str">
        <v>ProjectedCrs</v>
      </c>
      <c r="H8630" t="str">
        <v>Mollweide</v>
      </c>
      <c r="I8630" t="str">
        <v>Mercury (2015) - Sphere / Ocentric / Mollweide, clon = 0</v>
      </c>
      <c r="J8630" t="str">
        <v>Not specified.</v>
      </c>
      <c r="K8630" s="11">
        <v>0</v>
      </c>
    </row>
    <row r="8631" spans="5:11" x14ac:dyDescent="0.35">
      <c r="E8631" s="9" t="str">
        <v>IAU_2015</v>
      </c>
      <c r="F8631" s="7" t="str">
        <v>19941</v>
      </c>
      <c r="G8631" t="str">
        <v>ProjectedCrs</v>
      </c>
      <c r="H8631" t="str">
        <v>Mollweide</v>
      </c>
      <c r="I8631" t="str">
        <v>Mercury (2015) / Ographic / Mollweide, clon = 0</v>
      </c>
      <c r="J8631" t="str">
        <v>Not specified.</v>
      </c>
      <c r="K8631" s="11">
        <v>0</v>
      </c>
    </row>
    <row r="8632" spans="5:11" x14ac:dyDescent="0.35">
      <c r="E8632" s="9" t="str">
        <v>IAU_2015</v>
      </c>
      <c r="F8632" s="7" t="str">
        <v>19942</v>
      </c>
      <c r="G8632" t="str">
        <v>ProjectedCrs</v>
      </c>
      <c r="H8632" t="str">
        <v>Mollweide</v>
      </c>
      <c r="I8632" t="str">
        <v>Mercury (2015) / Ocentric / Mollweide, clon = 0</v>
      </c>
      <c r="J8632" t="str">
        <v>Not specified.</v>
      </c>
      <c r="K8632" s="11">
        <v>0</v>
      </c>
    </row>
    <row r="8633" spans="5:11" x14ac:dyDescent="0.35">
      <c r="E8633" s="9" t="str">
        <v>IAU_2015</v>
      </c>
      <c r="F8633" s="7" t="str">
        <v>19945</v>
      </c>
      <c r="G8633" t="str">
        <v>ProjectedCrs</v>
      </c>
      <c r="H8633" t="str">
        <v>Mollweide</v>
      </c>
      <c r="I8633" t="str">
        <v>Mercury (2015) - Sphere / Ocentric / Mollweide, clon = 180</v>
      </c>
      <c r="J8633" t="str">
        <v>Not specified.</v>
      </c>
      <c r="K8633" s="11">
        <v>0</v>
      </c>
    </row>
    <row r="8634" spans="5:11" x14ac:dyDescent="0.35">
      <c r="E8634" s="9" t="str">
        <v>IAU_2015</v>
      </c>
      <c r="F8634" s="7" t="str">
        <v>19946</v>
      </c>
      <c r="G8634" t="str">
        <v>ProjectedCrs</v>
      </c>
      <c r="H8634" t="str">
        <v>Mollweide</v>
      </c>
      <c r="I8634" t="str">
        <v>Mercury (2015) / Ographic / Mollweide, clon = 180</v>
      </c>
      <c r="J8634" t="str">
        <v>Not specified.</v>
      </c>
      <c r="K8634" s="11">
        <v>0</v>
      </c>
    </row>
    <row r="8635" spans="5:11" x14ac:dyDescent="0.35">
      <c r="E8635" s="9" t="str">
        <v>IAU_2015</v>
      </c>
      <c r="F8635" s="7" t="str">
        <v>19947</v>
      </c>
      <c r="G8635" t="str">
        <v>ProjectedCrs</v>
      </c>
      <c r="H8635" t="str">
        <v>Mollweide</v>
      </c>
      <c r="I8635" t="str">
        <v>Mercury (2015) / Ocentric / Mollweide, clon = 180</v>
      </c>
      <c r="J8635" t="str">
        <v>Not specified.</v>
      </c>
      <c r="K8635" s="11">
        <v>0</v>
      </c>
    </row>
    <row r="8636" spans="5:11" x14ac:dyDescent="0.35">
      <c r="E8636" s="9" t="str">
        <v>IAU_2015</v>
      </c>
      <c r="F8636" s="7" t="str">
        <v>19950</v>
      </c>
      <c r="G8636" t="str">
        <v>ProjectedCrs</v>
      </c>
      <c r="H8636" t="str">
        <v>Robinson</v>
      </c>
      <c r="I8636" t="str">
        <v>Mercury (2015) - Sphere / Ocentric / Robinson, clon = 0</v>
      </c>
      <c r="J8636" t="str">
        <v>Not specified.</v>
      </c>
      <c r="K8636" s="11">
        <v>0</v>
      </c>
    </row>
    <row r="8637" spans="5:11" x14ac:dyDescent="0.35">
      <c r="E8637" s="9" t="str">
        <v>IAU_2015</v>
      </c>
      <c r="F8637" s="7" t="str">
        <v>19951</v>
      </c>
      <c r="G8637" t="str">
        <v>ProjectedCrs</v>
      </c>
      <c r="H8637" t="str">
        <v>Robinson</v>
      </c>
      <c r="I8637" t="str">
        <v>Mercury (2015) / Ographic / Robinson, clon = 0</v>
      </c>
      <c r="J8637" t="str">
        <v>Not specified.</v>
      </c>
      <c r="K8637" s="11">
        <v>0</v>
      </c>
    </row>
    <row r="8638" spans="5:11" x14ac:dyDescent="0.35">
      <c r="E8638" s="9" t="str">
        <v>IAU_2015</v>
      </c>
      <c r="F8638" s="7" t="str">
        <v>19952</v>
      </c>
      <c r="G8638" t="str">
        <v>ProjectedCrs</v>
      </c>
      <c r="H8638" t="str">
        <v>Robinson</v>
      </c>
      <c r="I8638" t="str">
        <v>Mercury (2015) / Ocentric / Robinson, clon = 0</v>
      </c>
      <c r="J8638" t="str">
        <v>Not specified.</v>
      </c>
      <c r="K8638" s="11">
        <v>0</v>
      </c>
    </row>
    <row r="8639" spans="5:11" x14ac:dyDescent="0.35">
      <c r="E8639" s="9" t="str">
        <v>IAU_2015</v>
      </c>
      <c r="F8639" s="7" t="str">
        <v>19955</v>
      </c>
      <c r="G8639" t="str">
        <v>ProjectedCrs</v>
      </c>
      <c r="H8639" t="str">
        <v>Robinson</v>
      </c>
      <c r="I8639" t="str">
        <v>Mercury (2015) - Sphere / Ocentric / Robinson, clon = 180</v>
      </c>
      <c r="J8639" t="str">
        <v>Not specified.</v>
      </c>
      <c r="K8639" s="11">
        <v>0</v>
      </c>
    </row>
    <row r="8640" spans="5:11" x14ac:dyDescent="0.35">
      <c r="E8640" s="9" t="str">
        <v>IAU_2015</v>
      </c>
      <c r="F8640" s="7" t="str">
        <v>19956</v>
      </c>
      <c r="G8640" t="str">
        <v>ProjectedCrs</v>
      </c>
      <c r="H8640" t="str">
        <v>Robinson</v>
      </c>
      <c r="I8640" t="str">
        <v>Mercury (2015) / Ographic / Robinson, clon = 180</v>
      </c>
      <c r="J8640" t="str">
        <v>Not specified.</v>
      </c>
      <c r="K8640" s="11">
        <v>0</v>
      </c>
    </row>
    <row r="8641" spans="5:11" x14ac:dyDescent="0.35">
      <c r="E8641" s="9" t="str">
        <v>IAU_2015</v>
      </c>
      <c r="F8641" s="7" t="str">
        <v>19957</v>
      </c>
      <c r="G8641" t="str">
        <v>ProjectedCrs</v>
      </c>
      <c r="H8641" t="str">
        <v>Robinson</v>
      </c>
      <c r="I8641" t="str">
        <v>Mercury (2015) / Ocentric / Robinson, clon = 180</v>
      </c>
      <c r="J8641" t="str">
        <v>Not specified.</v>
      </c>
      <c r="K8641" s="11">
        <v>0</v>
      </c>
    </row>
    <row r="8642" spans="5:11" x14ac:dyDescent="0.35">
      <c r="E8642" s="9" t="str">
        <v>IAU_2015</v>
      </c>
      <c r="F8642" s="7" t="str">
        <v>19960</v>
      </c>
      <c r="G8642" t="str">
        <v>ProjectedCrs</v>
      </c>
      <c r="H8642" t="str">
        <v>Transverse Mercator</v>
      </c>
      <c r="I8642" t="str">
        <v>Mercury (2015) - Sphere / Ocentric / Tranverse Mercator</v>
      </c>
      <c r="J8642" t="str">
        <v>Not specified.</v>
      </c>
      <c r="K8642" s="11">
        <v>0</v>
      </c>
    </row>
    <row r="8643" spans="5:11" x14ac:dyDescent="0.35">
      <c r="E8643" s="9" t="str">
        <v>IAU_2015</v>
      </c>
      <c r="F8643" s="7" t="str">
        <v>19961</v>
      </c>
      <c r="G8643" t="str">
        <v>ProjectedCrs</v>
      </c>
      <c r="H8643" t="str">
        <v>Transverse Mercator</v>
      </c>
      <c r="I8643" t="str">
        <v>Mercury (2015) / Ographic / Tranverse Mercator</v>
      </c>
      <c r="J8643" t="str">
        <v>Not specified.</v>
      </c>
      <c r="K8643" s="11">
        <v>0</v>
      </c>
    </row>
    <row r="8644" spans="5:11" x14ac:dyDescent="0.35">
      <c r="E8644" s="9" t="str">
        <v>IAU_2015</v>
      </c>
      <c r="F8644" s="7" t="str">
        <v>19962</v>
      </c>
      <c r="G8644" t="str">
        <v>ProjectedCrs</v>
      </c>
      <c r="H8644" t="str">
        <v>Transverse Mercator</v>
      </c>
      <c r="I8644" t="str">
        <v>Mercury (2015) / Ocentric / Tranverse Mercator</v>
      </c>
      <c r="J8644" t="str">
        <v>Not specified.</v>
      </c>
      <c r="K8644" s="11">
        <v>0</v>
      </c>
    </row>
    <row r="8645" spans="5:11" x14ac:dyDescent="0.35">
      <c r="E8645" s="9" t="str">
        <v>IAU_2015</v>
      </c>
      <c r="F8645" s="7" t="str">
        <v>19965</v>
      </c>
      <c r="G8645" t="str">
        <v>ProjectedCrs</v>
      </c>
      <c r="H8645" t="str">
        <v>Orthographic</v>
      </c>
      <c r="I8645" t="str">
        <v>Mercury (2015) - Sphere / Ocentric / Orthographic, clon = 0</v>
      </c>
      <c r="J8645" t="str">
        <v>Not specified.</v>
      </c>
      <c r="K8645" s="11">
        <v>0</v>
      </c>
    </row>
    <row r="8646" spans="5:11" x14ac:dyDescent="0.35">
      <c r="E8646" s="9" t="str">
        <v>IAU_2015</v>
      </c>
      <c r="F8646" s="7" t="str">
        <v>19966</v>
      </c>
      <c r="G8646" t="str">
        <v>ProjectedCrs</v>
      </c>
      <c r="H8646" t="str">
        <v>Orthographic</v>
      </c>
      <c r="I8646" t="str">
        <v>Mercury (2015) / Ographic / Orthographic, clon = 0</v>
      </c>
      <c r="J8646" t="str">
        <v>Not specified.</v>
      </c>
      <c r="K8646" s="11">
        <v>0</v>
      </c>
    </row>
    <row r="8647" spans="5:11" x14ac:dyDescent="0.35">
      <c r="E8647" s="9" t="str">
        <v>IAU_2015</v>
      </c>
      <c r="F8647" s="7" t="str">
        <v>19967</v>
      </c>
      <c r="G8647" t="str">
        <v>ProjectedCrs</v>
      </c>
      <c r="H8647" t="str">
        <v>Orthographic</v>
      </c>
      <c r="I8647" t="str">
        <v>Mercury (2015) / Ocentric / Orthographic, clon = 0</v>
      </c>
      <c r="J8647" t="str">
        <v>Not specified.</v>
      </c>
      <c r="K8647" s="11">
        <v>0</v>
      </c>
    </row>
    <row r="8648" spans="5:11" x14ac:dyDescent="0.35">
      <c r="E8648" s="9" t="str">
        <v>IAU_2015</v>
      </c>
      <c r="F8648" s="7" t="str">
        <v>19970</v>
      </c>
      <c r="G8648" t="str">
        <v>ProjectedCrs</v>
      </c>
      <c r="H8648" t="str">
        <v>Orthographic</v>
      </c>
      <c r="I8648" t="str">
        <v>Mercury (2015) - Sphere / Ocentric / Orthographic, clon = 180</v>
      </c>
      <c r="J8648" t="str">
        <v>Not specified.</v>
      </c>
      <c r="K8648" s="11">
        <v>0</v>
      </c>
    </row>
    <row r="8649" spans="5:11" x14ac:dyDescent="0.35">
      <c r="E8649" s="9" t="str">
        <v>IAU_2015</v>
      </c>
      <c r="F8649" s="7" t="str">
        <v>19971</v>
      </c>
      <c r="G8649" t="str">
        <v>ProjectedCrs</v>
      </c>
      <c r="H8649" t="str">
        <v>Orthographic</v>
      </c>
      <c r="I8649" t="str">
        <v>Mercury (2015) / Ographic / Orthographic, clon = 180</v>
      </c>
      <c r="J8649" t="str">
        <v>Not specified.</v>
      </c>
      <c r="K8649" s="11">
        <v>0</v>
      </c>
    </row>
    <row r="8650" spans="5:11" x14ac:dyDescent="0.35">
      <c r="E8650" s="9" t="str">
        <v>IAU_2015</v>
      </c>
      <c r="F8650" s="7" t="str">
        <v>19972</v>
      </c>
      <c r="G8650" t="str">
        <v>ProjectedCrs</v>
      </c>
      <c r="H8650" t="str">
        <v>Orthographic</v>
      </c>
      <c r="I8650" t="str">
        <v>Mercury (2015) / Ocentric / Orthographic, clon = 180</v>
      </c>
      <c r="J8650" t="str">
        <v>Not specified.</v>
      </c>
      <c r="K8650" s="11">
        <v>0</v>
      </c>
    </row>
    <row r="8651" spans="5:11" x14ac:dyDescent="0.35">
      <c r="E8651" s="9" t="str">
        <v>IAU_2015</v>
      </c>
      <c r="F8651" s="7" t="str">
        <v>19975</v>
      </c>
      <c r="G8651" t="str">
        <v>ProjectedCrs</v>
      </c>
      <c r="H8651" t="str">
        <v>Lambert Conic Conformal (2SP)</v>
      </c>
      <c r="I8651" t="str">
        <v>Mercury (2015) - Sphere / Ocentric / Lambert Conic Conformal</v>
      </c>
      <c r="J8651" t="str">
        <v>Not specified.</v>
      </c>
      <c r="K8651" s="11">
        <v>0</v>
      </c>
    </row>
    <row r="8652" spans="5:11" x14ac:dyDescent="0.35">
      <c r="E8652" s="9" t="str">
        <v>IAU_2015</v>
      </c>
      <c r="F8652" s="7" t="str">
        <v>19976</v>
      </c>
      <c r="G8652" t="str">
        <v>ProjectedCrs</v>
      </c>
      <c r="H8652" t="str">
        <v>Lambert Conic Conformal (2SP)</v>
      </c>
      <c r="I8652" t="str">
        <v>Mercury (2015) / Ographic / Lambert Conic Conformal</v>
      </c>
      <c r="J8652" t="str">
        <v>Not specified.</v>
      </c>
      <c r="K8652" s="11">
        <v>0</v>
      </c>
    </row>
    <row r="8653" spans="5:11" x14ac:dyDescent="0.35">
      <c r="E8653" s="9" t="str">
        <v>IAU_2015</v>
      </c>
      <c r="F8653" s="7" t="str">
        <v>19977</v>
      </c>
      <c r="G8653" t="str">
        <v>ProjectedCrs</v>
      </c>
      <c r="H8653" t="str">
        <v>Lambert Conic Conformal (2SP)</v>
      </c>
      <c r="I8653" t="str">
        <v>Mercury (2015) / Ocentric / Lambert Conic Conformal</v>
      </c>
      <c r="J8653" t="str">
        <v>Not specified.</v>
      </c>
      <c r="K8653" s="11">
        <v>0</v>
      </c>
    </row>
    <row r="8654" spans="5:11" x14ac:dyDescent="0.35">
      <c r="E8654" s="9" t="str">
        <v>IAU_2015</v>
      </c>
      <c r="F8654" s="7" t="str">
        <v>19980</v>
      </c>
      <c r="G8654" t="str">
        <v>ProjectedCrs</v>
      </c>
      <c r="H8654" t="str">
        <v>Lambert Azimuthal Equal Area</v>
      </c>
      <c r="I8654" t="str">
        <v>Mercury (2015) - Sphere / Ocentric / Lambert Azimuthal Equal Area</v>
      </c>
      <c r="J8654" t="str">
        <v>Not specified.</v>
      </c>
      <c r="K8654" s="11">
        <v>0</v>
      </c>
    </row>
    <row r="8655" spans="5:11" x14ac:dyDescent="0.35">
      <c r="E8655" s="9" t="str">
        <v>IAU_2015</v>
      </c>
      <c r="F8655" s="7" t="str">
        <v>19981</v>
      </c>
      <c r="G8655" t="str">
        <v>ProjectedCrs</v>
      </c>
      <c r="H8655" t="str">
        <v>Lambert Azimuthal Equal Area</v>
      </c>
      <c r="I8655" t="str">
        <v>Mercury (2015) / Ographic / Lambert Azimuthal Equal Area</v>
      </c>
      <c r="J8655" t="str">
        <v>Not specified.</v>
      </c>
      <c r="K8655" s="11">
        <v>0</v>
      </c>
    </row>
    <row r="8656" spans="5:11" x14ac:dyDescent="0.35">
      <c r="E8656" s="9" t="str">
        <v>IAU_2015</v>
      </c>
      <c r="F8656" s="7" t="str">
        <v>19982</v>
      </c>
      <c r="G8656" t="str">
        <v>ProjectedCrs</v>
      </c>
      <c r="H8656" t="str">
        <v>Lambert Azimuthal Equal Area</v>
      </c>
      <c r="I8656" t="str">
        <v>Mercury (2015) / Ocentric / Lambert Azimuthal Equal Area</v>
      </c>
      <c r="J8656" t="str">
        <v>Not specified.</v>
      </c>
      <c r="K8656" s="11">
        <v>0</v>
      </c>
    </row>
    <row r="8657" spans="5:11" x14ac:dyDescent="0.35">
      <c r="E8657" s="9" t="str">
        <v>IAU_2015</v>
      </c>
      <c r="F8657" s="7" t="str">
        <v>19985</v>
      </c>
      <c r="G8657" t="str">
        <v>ProjectedCrs</v>
      </c>
      <c r="H8657" t="str">
        <v>Albers Equal Area</v>
      </c>
      <c r="I8657" t="str">
        <v>Mercury (2015) - Sphere / Ocentric / Albers Equal Area</v>
      </c>
      <c r="J8657" t="str">
        <v>Not specified.</v>
      </c>
      <c r="K8657" s="11">
        <v>0</v>
      </c>
    </row>
    <row r="8658" spans="5:11" x14ac:dyDescent="0.35">
      <c r="E8658" s="9" t="str">
        <v>IAU_2015</v>
      </c>
      <c r="F8658" s="7" t="str">
        <v>19986</v>
      </c>
      <c r="G8658" t="str">
        <v>ProjectedCrs</v>
      </c>
      <c r="H8658" t="str">
        <v>Albers Equal Area</v>
      </c>
      <c r="I8658" t="str">
        <v>Mercury (2015) / Ographic / Albers Equal Area</v>
      </c>
      <c r="J8658" t="str">
        <v>Not specified.</v>
      </c>
      <c r="K8658" s="11">
        <v>0</v>
      </c>
    </row>
    <row r="8659" spans="5:11" x14ac:dyDescent="0.35">
      <c r="E8659" s="9" t="str">
        <v>IAU_2015</v>
      </c>
      <c r="F8659" s="7" t="str">
        <v>19987</v>
      </c>
      <c r="G8659" t="str">
        <v>ProjectedCrs</v>
      </c>
      <c r="H8659" t="str">
        <v>Albers Equal Area</v>
      </c>
      <c r="I8659" t="str">
        <v>Mercury (2015) / Ocentric / Albers Equal Area</v>
      </c>
      <c r="J8659" t="str">
        <v>Not specified.</v>
      </c>
      <c r="K8659" s="11">
        <v>0</v>
      </c>
    </row>
    <row r="8660" spans="5:11" x14ac:dyDescent="0.35">
      <c r="E8660" s="9" t="str">
        <v>IAU_2015</v>
      </c>
      <c r="F8660" s="7" t="str">
        <v>19990</v>
      </c>
      <c r="G8660" t="str">
        <v>ProjectedCrs</v>
      </c>
      <c r="H8660" t="str">
        <v>Mercator (Spherical)</v>
      </c>
      <c r="I8660" t="str">
        <v>Mercury (2015) - Sphere / Ocentric / Mercator</v>
      </c>
      <c r="J8660" t="str">
        <v>Not specified.</v>
      </c>
      <c r="K8660" s="11">
        <v>0</v>
      </c>
    </row>
    <row r="8661" spans="5:11" x14ac:dyDescent="0.35">
      <c r="E8661" s="9" t="str">
        <v>IAU_2015</v>
      </c>
      <c r="F8661" s="7" t="str">
        <v>19991</v>
      </c>
      <c r="G8661" t="str">
        <v>ProjectedCrs</v>
      </c>
      <c r="H8661" t="str">
        <v>Mercator (Spherical)</v>
      </c>
      <c r="I8661" t="str">
        <v>Mercury (2015) / Ographic / Mercator</v>
      </c>
      <c r="J8661" t="str">
        <v>Not specified.</v>
      </c>
      <c r="K8661" s="11">
        <v>0</v>
      </c>
    </row>
    <row r="8662" spans="5:11" x14ac:dyDescent="0.35">
      <c r="E8662" s="9" t="str">
        <v>IAU_2015</v>
      </c>
      <c r="F8662" s="7" t="str">
        <v>19992</v>
      </c>
      <c r="G8662" t="str">
        <v>ProjectedCrs</v>
      </c>
      <c r="H8662" t="str">
        <v>Mercator (Spherical)</v>
      </c>
      <c r="I8662" t="str">
        <v>Mercury (2015) / Ocentric / Mercator</v>
      </c>
      <c r="J8662" t="str">
        <v>Not specified.</v>
      </c>
      <c r="K8662" s="11">
        <v>0</v>
      </c>
    </row>
    <row r="8663" spans="5:11" x14ac:dyDescent="0.35">
      <c r="E8663" s="9" t="str">
        <v>IAU_2015</v>
      </c>
      <c r="F8663" s="7" t="str">
        <v>29900</v>
      </c>
      <c r="G8663" t="str">
        <v>Geographic2DCrs</v>
      </c>
      <c r="H8663" t="str">
        <v>&lt;undefined&gt;</v>
      </c>
      <c r="I8663" t="str">
        <v>Venus (2015) - Sphere / Ocentric</v>
      </c>
      <c r="J8663" t="str">
        <v>Not specified.</v>
      </c>
      <c r="K8663" s="11">
        <v>0</v>
      </c>
    </row>
    <row r="8664" spans="5:11" x14ac:dyDescent="0.35">
      <c r="E8664" s="9" t="str">
        <v>IAU_2015</v>
      </c>
      <c r="F8664" s="7" t="str">
        <v>29910</v>
      </c>
      <c r="G8664" t="str">
        <v>ProjectedCrs</v>
      </c>
      <c r="H8664" t="str">
        <v>Equidistant Cylindrical</v>
      </c>
      <c r="I8664" t="str">
        <v>Venus (2015) - Sphere / Ocentric / Equirectangular, clon = 0</v>
      </c>
      <c r="J8664" t="str">
        <v>Not specified.</v>
      </c>
      <c r="K8664" s="11">
        <v>0</v>
      </c>
    </row>
    <row r="8665" spans="5:11" x14ac:dyDescent="0.35">
      <c r="E8665" s="9" t="str">
        <v>IAU_2015</v>
      </c>
      <c r="F8665" s="7" t="str">
        <v>29915</v>
      </c>
      <c r="G8665" t="str">
        <v>ProjectedCrs</v>
      </c>
      <c r="H8665" t="str">
        <v>Equidistant Cylindrical</v>
      </c>
      <c r="I8665" t="str">
        <v>Venus (2015) - Sphere / Ocentric / Equirectangular, clon = 180</v>
      </c>
      <c r="J8665" t="str">
        <v>Not specified.</v>
      </c>
      <c r="K8665" s="11">
        <v>0</v>
      </c>
    </row>
    <row r="8666" spans="5:11" x14ac:dyDescent="0.35">
      <c r="E8666" s="9" t="str">
        <v>IAU_2015</v>
      </c>
      <c r="F8666" s="7" t="str">
        <v>29920</v>
      </c>
      <c r="G8666" t="str">
        <v>ProjectedCrs</v>
      </c>
      <c r="H8666" t="str">
        <v>Sinusoidal</v>
      </c>
      <c r="I8666" t="str">
        <v>Venus (2015) - Sphere / Ocentric / Sinusoidal, clon = 0</v>
      </c>
      <c r="J8666" t="str">
        <v>Not specified.</v>
      </c>
      <c r="K8666" s="11">
        <v>0</v>
      </c>
    </row>
    <row r="8667" spans="5:11" x14ac:dyDescent="0.35">
      <c r="E8667" s="9" t="str">
        <v>IAU_2015</v>
      </c>
      <c r="F8667" s="7" t="str">
        <v>29925</v>
      </c>
      <c r="G8667" t="str">
        <v>ProjectedCrs</v>
      </c>
      <c r="H8667" t="str">
        <v>Sinusoidal</v>
      </c>
      <c r="I8667" t="str">
        <v>Venus (2015) - Sphere / Ocentric / Sinusoidal, clon = 180</v>
      </c>
      <c r="J8667" t="str">
        <v>Not specified.</v>
      </c>
      <c r="K8667" s="11">
        <v>0</v>
      </c>
    </row>
    <row r="8668" spans="5:11" x14ac:dyDescent="0.35">
      <c r="E8668" s="9" t="str">
        <v>IAU_2015</v>
      </c>
      <c r="F8668" s="7" t="str">
        <v>29930</v>
      </c>
      <c r="G8668" t="str">
        <v>ProjectedCrs</v>
      </c>
      <c r="H8668" t="str">
        <v>Polar Stereographic (variant A)</v>
      </c>
      <c r="I8668" t="str">
        <v>Venus (2015) - Sphere / Ocentric / North Polar</v>
      </c>
      <c r="J8668" t="str">
        <v>Not specified.</v>
      </c>
      <c r="K8668" s="11">
        <v>0</v>
      </c>
    </row>
    <row r="8669" spans="5:11" x14ac:dyDescent="0.35">
      <c r="E8669" s="9" t="str">
        <v>IAU_2015</v>
      </c>
      <c r="F8669" s="7" t="str">
        <v>29935</v>
      </c>
      <c r="G8669" t="str">
        <v>ProjectedCrs</v>
      </c>
      <c r="H8669" t="str">
        <v>Polar Stereographic (variant A)</v>
      </c>
      <c r="I8669" t="str">
        <v>Venus (2015) - Sphere / Ocentric / South Polar</v>
      </c>
      <c r="J8669" t="str">
        <v>Not specified.</v>
      </c>
      <c r="K8669" s="11">
        <v>0</v>
      </c>
    </row>
    <row r="8670" spans="5:11" x14ac:dyDescent="0.35">
      <c r="E8670" s="9" t="str">
        <v>IAU_2015</v>
      </c>
      <c r="F8670" s="7" t="str">
        <v>29940</v>
      </c>
      <c r="G8670" t="str">
        <v>ProjectedCrs</v>
      </c>
      <c r="H8670" t="str">
        <v>Mollweide</v>
      </c>
      <c r="I8670" t="str">
        <v>Venus (2015) - Sphere / Ocentric / Mollweide, clon = 0</v>
      </c>
      <c r="J8670" t="str">
        <v>Not specified.</v>
      </c>
      <c r="K8670" s="11">
        <v>0</v>
      </c>
    </row>
    <row r="8671" spans="5:11" x14ac:dyDescent="0.35">
      <c r="E8671" s="9" t="str">
        <v>IAU_2015</v>
      </c>
      <c r="F8671" s="7" t="str">
        <v>29945</v>
      </c>
      <c r="G8671" t="str">
        <v>ProjectedCrs</v>
      </c>
      <c r="H8671" t="str">
        <v>Mollweide</v>
      </c>
      <c r="I8671" t="str">
        <v>Venus (2015) - Sphere / Ocentric / Mollweide, clon = 180</v>
      </c>
      <c r="J8671" t="str">
        <v>Not specified.</v>
      </c>
      <c r="K8671" s="11">
        <v>0</v>
      </c>
    </row>
    <row r="8672" spans="5:11" x14ac:dyDescent="0.35">
      <c r="E8672" s="9" t="str">
        <v>IAU_2015</v>
      </c>
      <c r="F8672" s="7" t="str">
        <v>29950</v>
      </c>
      <c r="G8672" t="str">
        <v>ProjectedCrs</v>
      </c>
      <c r="H8672" t="str">
        <v>Robinson</v>
      </c>
      <c r="I8672" t="str">
        <v>Venus (2015) - Sphere / Ocentric / Robinson, clon = 0</v>
      </c>
      <c r="J8672" t="str">
        <v>Not specified.</v>
      </c>
      <c r="K8672" s="11">
        <v>0</v>
      </c>
    </row>
    <row r="8673" spans="5:11" x14ac:dyDescent="0.35">
      <c r="E8673" s="9" t="str">
        <v>IAU_2015</v>
      </c>
      <c r="F8673" s="7" t="str">
        <v>29955</v>
      </c>
      <c r="G8673" t="str">
        <v>ProjectedCrs</v>
      </c>
      <c r="H8673" t="str">
        <v>Robinson</v>
      </c>
      <c r="I8673" t="str">
        <v>Venus (2015) - Sphere / Ocentric / Robinson, clon = 180</v>
      </c>
      <c r="J8673" t="str">
        <v>Not specified.</v>
      </c>
      <c r="K8673" s="11">
        <v>0</v>
      </c>
    </row>
    <row r="8674" spans="5:11" x14ac:dyDescent="0.35">
      <c r="E8674" s="9" t="str">
        <v>IAU_2015</v>
      </c>
      <c r="F8674" s="7" t="str">
        <v>29960</v>
      </c>
      <c r="G8674" t="str">
        <v>ProjectedCrs</v>
      </c>
      <c r="H8674" t="str">
        <v>Transverse Mercator</v>
      </c>
      <c r="I8674" t="str">
        <v>Venus (2015) - Sphere / Ocentric / Tranverse Mercator</v>
      </c>
      <c r="J8674" t="str">
        <v>Not specified.</v>
      </c>
      <c r="K8674" s="11">
        <v>0</v>
      </c>
    </row>
    <row r="8675" spans="5:11" x14ac:dyDescent="0.35">
      <c r="E8675" s="9" t="str">
        <v>IAU_2015</v>
      </c>
      <c r="F8675" s="7" t="str">
        <v>29965</v>
      </c>
      <c r="G8675" t="str">
        <v>ProjectedCrs</v>
      </c>
      <c r="H8675" t="str">
        <v>Orthographic</v>
      </c>
      <c r="I8675" t="str">
        <v>Venus (2015) - Sphere / Ocentric / Orthographic, clon = 0</v>
      </c>
      <c r="J8675" t="str">
        <v>Not specified.</v>
      </c>
      <c r="K8675" s="11">
        <v>0</v>
      </c>
    </row>
    <row r="8676" spans="5:11" x14ac:dyDescent="0.35">
      <c r="E8676" s="9" t="str">
        <v>IAU_2015</v>
      </c>
      <c r="F8676" s="7" t="str">
        <v>29970</v>
      </c>
      <c r="G8676" t="str">
        <v>ProjectedCrs</v>
      </c>
      <c r="H8676" t="str">
        <v>Orthographic</v>
      </c>
      <c r="I8676" t="str">
        <v>Venus (2015) - Sphere / Ocentric / Orthographic, clon = 180</v>
      </c>
      <c r="J8676" t="str">
        <v>Not specified.</v>
      </c>
      <c r="K8676" s="11">
        <v>0</v>
      </c>
    </row>
    <row r="8677" spans="5:11" x14ac:dyDescent="0.35">
      <c r="E8677" s="9" t="str">
        <v>IAU_2015</v>
      </c>
      <c r="F8677" s="7" t="str">
        <v>29975</v>
      </c>
      <c r="G8677" t="str">
        <v>ProjectedCrs</v>
      </c>
      <c r="H8677" t="str">
        <v>Lambert Conic Conformal (2SP)</v>
      </c>
      <c r="I8677" t="str">
        <v>Venus (2015) - Sphere / Ocentric / Lambert Conic Conformal</v>
      </c>
      <c r="J8677" t="str">
        <v>Not specified.</v>
      </c>
      <c r="K8677" s="11">
        <v>0</v>
      </c>
    </row>
    <row r="8678" spans="5:11" x14ac:dyDescent="0.35">
      <c r="E8678" s="9" t="str">
        <v>IAU_2015</v>
      </c>
      <c r="F8678" s="7" t="str">
        <v>29980</v>
      </c>
      <c r="G8678" t="str">
        <v>ProjectedCrs</v>
      </c>
      <c r="H8678" t="str">
        <v>Lambert Azimuthal Equal Area</v>
      </c>
      <c r="I8678" t="str">
        <v>Venus (2015) - Sphere / Ocentric / Lambert Azimuthal Equal Area</v>
      </c>
      <c r="J8678" t="str">
        <v>Not specified.</v>
      </c>
      <c r="K8678" s="11">
        <v>0</v>
      </c>
    </row>
    <row r="8679" spans="5:11" x14ac:dyDescent="0.35">
      <c r="E8679" s="9" t="str">
        <v>IAU_2015</v>
      </c>
      <c r="F8679" s="7" t="str">
        <v>29985</v>
      </c>
      <c r="G8679" t="str">
        <v>ProjectedCrs</v>
      </c>
      <c r="H8679" t="str">
        <v>Albers Equal Area</v>
      </c>
      <c r="I8679" t="str">
        <v>Venus (2015) - Sphere / Ocentric / Albers Equal Area</v>
      </c>
      <c r="J8679" t="str">
        <v>Not specified.</v>
      </c>
      <c r="K8679" s="11">
        <v>0</v>
      </c>
    </row>
    <row r="8680" spans="5:11" x14ac:dyDescent="0.35">
      <c r="E8680" s="9" t="str">
        <v>IAU_2015</v>
      </c>
      <c r="F8680" s="7" t="str">
        <v>29990</v>
      </c>
      <c r="G8680" t="str">
        <v>ProjectedCrs</v>
      </c>
      <c r="H8680" t="str">
        <v>Mercator (Spherical)</v>
      </c>
      <c r="I8680" t="str">
        <v>Venus (2015) - Sphere / Ocentric / Mercator</v>
      </c>
      <c r="J8680" t="str">
        <v>Not specified.</v>
      </c>
      <c r="K8680" s="11">
        <v>0</v>
      </c>
    </row>
    <row r="8681" spans="5:11" x14ac:dyDescent="0.35">
      <c r="E8681" s="9" t="str">
        <v>IAU_2015</v>
      </c>
      <c r="F8681" s="7" t="str">
        <v>30100</v>
      </c>
      <c r="G8681" t="str">
        <v>Geographic2DCrs</v>
      </c>
      <c r="H8681" t="str">
        <v>&lt;undefined&gt;</v>
      </c>
      <c r="I8681" t="str">
        <v>Moon (2015) - Sphere / Ocentric</v>
      </c>
      <c r="J8681" t="str">
        <v>Not specified.</v>
      </c>
      <c r="K8681" s="11">
        <v>0</v>
      </c>
    </row>
    <row r="8682" spans="5:11" x14ac:dyDescent="0.35">
      <c r="E8682" s="9" t="str">
        <v>IAU_2015</v>
      </c>
      <c r="F8682" s="7" t="str">
        <v>30110</v>
      </c>
      <c r="G8682" t="str">
        <v>ProjectedCrs</v>
      </c>
      <c r="H8682" t="str">
        <v>Equidistant Cylindrical</v>
      </c>
      <c r="I8682" t="str">
        <v>Moon (2015) - Sphere / Ocentric / Equirectangular, clon = 0</v>
      </c>
      <c r="J8682" t="str">
        <v>Not specified.</v>
      </c>
      <c r="K8682" s="11">
        <v>0</v>
      </c>
    </row>
    <row r="8683" spans="5:11" x14ac:dyDescent="0.35">
      <c r="E8683" s="9" t="str">
        <v>IAU_2015</v>
      </c>
      <c r="F8683" s="7" t="str">
        <v>30115</v>
      </c>
      <c r="G8683" t="str">
        <v>ProjectedCrs</v>
      </c>
      <c r="H8683" t="str">
        <v>Equidistant Cylindrical</v>
      </c>
      <c r="I8683" t="str">
        <v>Moon (2015) - Sphere / Ocentric / Equirectangular, clon = 180</v>
      </c>
      <c r="J8683" t="str">
        <v>Not specified.</v>
      </c>
      <c r="K8683" s="11">
        <v>0</v>
      </c>
    </row>
    <row r="8684" spans="5:11" x14ac:dyDescent="0.35">
      <c r="E8684" s="9" t="str">
        <v>IAU_2015</v>
      </c>
      <c r="F8684" s="7" t="str">
        <v>30120</v>
      </c>
      <c r="G8684" t="str">
        <v>ProjectedCrs</v>
      </c>
      <c r="H8684" t="str">
        <v>Sinusoidal</v>
      </c>
      <c r="I8684" t="str">
        <v>Moon (2015) - Sphere / Ocentric / Sinusoidal, clon = 0</v>
      </c>
      <c r="J8684" t="str">
        <v>Not specified.</v>
      </c>
      <c r="K8684" s="11">
        <v>0</v>
      </c>
    </row>
    <row r="8685" spans="5:11" x14ac:dyDescent="0.35">
      <c r="E8685" s="9" t="str">
        <v>IAU_2015</v>
      </c>
      <c r="F8685" s="7" t="str">
        <v>30125</v>
      </c>
      <c r="G8685" t="str">
        <v>ProjectedCrs</v>
      </c>
      <c r="H8685" t="str">
        <v>Sinusoidal</v>
      </c>
      <c r="I8685" t="str">
        <v>Moon (2015) - Sphere / Ocentric / Sinusoidal, clon = 180</v>
      </c>
      <c r="J8685" t="str">
        <v>Not specified.</v>
      </c>
      <c r="K8685" s="11">
        <v>0</v>
      </c>
    </row>
    <row r="8686" spans="5:11" x14ac:dyDescent="0.35">
      <c r="E8686" s="9" t="str">
        <v>IAU_2015</v>
      </c>
      <c r="F8686" s="7" t="str">
        <v>30130</v>
      </c>
      <c r="G8686" t="str">
        <v>ProjectedCrs</v>
      </c>
      <c r="H8686" t="str">
        <v>Polar Stereographic (variant A)</v>
      </c>
      <c r="I8686" t="str">
        <v>Moon (2015) - Sphere / Ocentric / North Polar</v>
      </c>
      <c r="J8686" t="str">
        <v>Not specified.</v>
      </c>
      <c r="K8686" s="11">
        <v>0</v>
      </c>
    </row>
    <row r="8687" spans="5:11" x14ac:dyDescent="0.35">
      <c r="E8687" s="9" t="str">
        <v>IAU_2015</v>
      </c>
      <c r="F8687" s="7" t="str">
        <v>30135</v>
      </c>
      <c r="G8687" t="str">
        <v>ProjectedCrs</v>
      </c>
      <c r="H8687" t="str">
        <v>Polar Stereographic (variant A)</v>
      </c>
      <c r="I8687" t="str">
        <v>Moon (2015) - Sphere / Ocentric / South Polar</v>
      </c>
      <c r="J8687" t="str">
        <v>Not specified.</v>
      </c>
      <c r="K8687" s="11">
        <v>0</v>
      </c>
    </row>
    <row r="8688" spans="5:11" x14ac:dyDescent="0.35">
      <c r="E8688" s="9" t="str">
        <v>IAU_2015</v>
      </c>
      <c r="F8688" s="7" t="str">
        <v>30140</v>
      </c>
      <c r="G8688" t="str">
        <v>ProjectedCrs</v>
      </c>
      <c r="H8688" t="str">
        <v>Mollweide</v>
      </c>
      <c r="I8688" t="str">
        <v>Moon (2015) - Sphere / Ocentric / Mollweide, clon = 0</v>
      </c>
      <c r="J8688" t="str">
        <v>Not specified.</v>
      </c>
      <c r="K8688" s="11">
        <v>0</v>
      </c>
    </row>
    <row r="8689" spans="5:11" x14ac:dyDescent="0.35">
      <c r="E8689" s="9" t="str">
        <v>IAU_2015</v>
      </c>
      <c r="F8689" s="7" t="str">
        <v>30145</v>
      </c>
      <c r="G8689" t="str">
        <v>ProjectedCrs</v>
      </c>
      <c r="H8689" t="str">
        <v>Mollweide</v>
      </c>
      <c r="I8689" t="str">
        <v>Moon (2015) - Sphere / Ocentric / Mollweide, clon = 180</v>
      </c>
      <c r="J8689" t="str">
        <v>Not specified.</v>
      </c>
      <c r="K8689" s="11">
        <v>0</v>
      </c>
    </row>
    <row r="8690" spans="5:11" x14ac:dyDescent="0.35">
      <c r="E8690" s="9" t="str">
        <v>IAU_2015</v>
      </c>
      <c r="F8690" s="7" t="str">
        <v>30150</v>
      </c>
      <c r="G8690" t="str">
        <v>ProjectedCrs</v>
      </c>
      <c r="H8690" t="str">
        <v>Robinson</v>
      </c>
      <c r="I8690" t="str">
        <v>Moon (2015) - Sphere / Ocentric / Robinson, clon = 0</v>
      </c>
      <c r="J8690" t="str">
        <v>Not specified.</v>
      </c>
      <c r="K8690" s="11">
        <v>0</v>
      </c>
    </row>
    <row r="8691" spans="5:11" x14ac:dyDescent="0.35">
      <c r="E8691" s="9" t="str">
        <v>IAU_2015</v>
      </c>
      <c r="F8691" s="7" t="str">
        <v>30155</v>
      </c>
      <c r="G8691" t="str">
        <v>ProjectedCrs</v>
      </c>
      <c r="H8691" t="str">
        <v>Robinson</v>
      </c>
      <c r="I8691" t="str">
        <v>Moon (2015) - Sphere / Ocentric / Robinson, clon = 180</v>
      </c>
      <c r="J8691" t="str">
        <v>Not specified.</v>
      </c>
      <c r="K8691" s="11">
        <v>0</v>
      </c>
    </row>
    <row r="8692" spans="5:11" x14ac:dyDescent="0.35">
      <c r="E8692" s="9" t="str">
        <v>IAU_2015</v>
      </c>
      <c r="F8692" s="7" t="str">
        <v>30160</v>
      </c>
      <c r="G8692" t="str">
        <v>ProjectedCrs</v>
      </c>
      <c r="H8692" t="str">
        <v>Transverse Mercator</v>
      </c>
      <c r="I8692" t="str">
        <v>Moon (2015) - Sphere / Ocentric / Tranverse Mercator</v>
      </c>
      <c r="J8692" t="str">
        <v>Not specified.</v>
      </c>
      <c r="K8692" s="11">
        <v>0</v>
      </c>
    </row>
    <row r="8693" spans="5:11" x14ac:dyDescent="0.35">
      <c r="E8693" s="9" t="str">
        <v>IAU_2015</v>
      </c>
      <c r="F8693" s="7" t="str">
        <v>30165</v>
      </c>
      <c r="G8693" t="str">
        <v>ProjectedCrs</v>
      </c>
      <c r="H8693" t="str">
        <v>Orthographic</v>
      </c>
      <c r="I8693" t="str">
        <v>Moon (2015) - Sphere / Ocentric / Orthographic, clon = 0</v>
      </c>
      <c r="J8693" t="str">
        <v>Not specified.</v>
      </c>
      <c r="K8693" s="11">
        <v>0</v>
      </c>
    </row>
    <row r="8694" spans="5:11" x14ac:dyDescent="0.35">
      <c r="E8694" s="9" t="str">
        <v>IAU_2015</v>
      </c>
      <c r="F8694" s="7" t="str">
        <v>30170</v>
      </c>
      <c r="G8694" t="str">
        <v>ProjectedCrs</v>
      </c>
      <c r="H8694" t="str">
        <v>Orthographic</v>
      </c>
      <c r="I8694" t="str">
        <v>Moon (2015) - Sphere / Ocentric / Orthographic, clon = 180</v>
      </c>
      <c r="J8694" t="str">
        <v>Not specified.</v>
      </c>
      <c r="K8694" s="11">
        <v>0</v>
      </c>
    </row>
    <row r="8695" spans="5:11" x14ac:dyDescent="0.35">
      <c r="E8695" s="9" t="str">
        <v>IAU_2015</v>
      </c>
      <c r="F8695" s="7" t="str">
        <v>30175</v>
      </c>
      <c r="G8695" t="str">
        <v>ProjectedCrs</v>
      </c>
      <c r="H8695" t="str">
        <v>Lambert Conic Conformal (2SP)</v>
      </c>
      <c r="I8695" t="str">
        <v>Moon (2015) - Sphere / Ocentric / Lambert Conic Conformal</v>
      </c>
      <c r="J8695" t="str">
        <v>Not specified.</v>
      </c>
      <c r="K8695" s="11">
        <v>0</v>
      </c>
    </row>
    <row r="8696" spans="5:11" x14ac:dyDescent="0.35">
      <c r="E8696" s="9" t="str">
        <v>IAU_2015</v>
      </c>
      <c r="F8696" s="7" t="str">
        <v>30180</v>
      </c>
      <c r="G8696" t="str">
        <v>ProjectedCrs</v>
      </c>
      <c r="H8696" t="str">
        <v>Lambert Azimuthal Equal Area</v>
      </c>
      <c r="I8696" t="str">
        <v>Moon (2015) - Sphere / Ocentric / Lambert Azimuthal Equal Area</v>
      </c>
      <c r="J8696" t="str">
        <v>Not specified.</v>
      </c>
      <c r="K8696" s="11">
        <v>0</v>
      </c>
    </row>
    <row r="8697" spans="5:11" x14ac:dyDescent="0.35">
      <c r="E8697" s="9" t="str">
        <v>IAU_2015</v>
      </c>
      <c r="F8697" s="7" t="str">
        <v>30185</v>
      </c>
      <c r="G8697" t="str">
        <v>ProjectedCrs</v>
      </c>
      <c r="H8697" t="str">
        <v>Albers Equal Area</v>
      </c>
      <c r="I8697" t="str">
        <v>Moon (2015) - Sphere / Ocentric / Albers Equal Area</v>
      </c>
      <c r="J8697" t="str">
        <v>Not specified.</v>
      </c>
      <c r="K8697" s="11">
        <v>0</v>
      </c>
    </row>
    <row r="8698" spans="5:11" x14ac:dyDescent="0.35">
      <c r="E8698" s="9" t="str">
        <v>IAU_2015</v>
      </c>
      <c r="F8698" s="7" t="str">
        <v>30190</v>
      </c>
      <c r="G8698" t="str">
        <v>ProjectedCrs</v>
      </c>
      <c r="H8698" t="str">
        <v>Mercator (Spherical)</v>
      </c>
      <c r="I8698" t="str">
        <v>Moon (2015) - Sphere / Ocentric / Mercator</v>
      </c>
      <c r="J8698" t="str">
        <v>Not specified.</v>
      </c>
      <c r="K8698" s="11">
        <v>0</v>
      </c>
    </row>
    <row r="8699" spans="5:11" x14ac:dyDescent="0.35">
      <c r="E8699" s="9" t="str">
        <v>IAU_2015</v>
      </c>
      <c r="F8699" s="7" t="str">
        <v>39900</v>
      </c>
      <c r="G8699" t="str">
        <v>Geographic2DCrs</v>
      </c>
      <c r="H8699" t="str">
        <v>&lt;undefined&gt;</v>
      </c>
      <c r="I8699" t="str">
        <v>Earth (2015) - Sphere / Ocentric</v>
      </c>
      <c r="J8699" t="str">
        <v>Not specified.</v>
      </c>
      <c r="K8699" s="11">
        <v>0</v>
      </c>
    </row>
    <row r="8700" spans="5:11" x14ac:dyDescent="0.35">
      <c r="E8700" s="9" t="str">
        <v>IAU_2015</v>
      </c>
      <c r="F8700" s="7" t="str">
        <v>39901</v>
      </c>
      <c r="G8700" t="str">
        <v>Geographic2DCrs</v>
      </c>
      <c r="H8700" t="str">
        <v>&lt;undefined&gt;</v>
      </c>
      <c r="I8700" t="str">
        <v>Earth (2015) / Ographic</v>
      </c>
      <c r="J8700" t="str">
        <v>Not specified.</v>
      </c>
      <c r="K8700" s="11">
        <v>0</v>
      </c>
    </row>
    <row r="8701" spans="5:11" x14ac:dyDescent="0.35">
      <c r="E8701" s="9" t="str">
        <v>IAU_2015</v>
      </c>
      <c r="F8701" s="7" t="str">
        <v>39902</v>
      </c>
      <c r="G8701" t="str">
        <v>GeodeticCrs</v>
      </c>
      <c r="H8701" t="str">
        <v>&lt;undefined&gt;</v>
      </c>
      <c r="I8701" t="str">
        <v>Earth (2015) / Ocentric</v>
      </c>
      <c r="J8701" t="str">
        <v>Not specified.</v>
      </c>
      <c r="K8701" s="11">
        <v>0</v>
      </c>
    </row>
    <row r="8702" spans="5:11" x14ac:dyDescent="0.35">
      <c r="E8702" s="9" t="str">
        <v>IAU_2015</v>
      </c>
      <c r="F8702" s="7" t="str">
        <v>39910</v>
      </c>
      <c r="G8702" t="str">
        <v>ProjectedCrs</v>
      </c>
      <c r="H8702" t="str">
        <v>Equidistant Cylindrical</v>
      </c>
      <c r="I8702" t="str">
        <v>Earth (2015) - Sphere / Ocentric / Equirectangular, clon = 0</v>
      </c>
      <c r="J8702" t="str">
        <v>Not specified.</v>
      </c>
      <c r="K8702" s="11">
        <v>0</v>
      </c>
    </row>
    <row r="8703" spans="5:11" x14ac:dyDescent="0.35">
      <c r="E8703" s="9" t="str">
        <v>IAU_2015</v>
      </c>
      <c r="F8703" s="7" t="str">
        <v>39911</v>
      </c>
      <c r="G8703" t="str">
        <v>ProjectedCrs</v>
      </c>
      <c r="H8703" t="str">
        <v>Equidistant Cylindrical</v>
      </c>
      <c r="I8703" t="str">
        <v>Earth (2015) / Ographic / Equirectangular, clon = 0</v>
      </c>
      <c r="J8703" t="str">
        <v>Not specified.</v>
      </c>
      <c r="K8703" s="11">
        <v>0</v>
      </c>
    </row>
    <row r="8704" spans="5:11" x14ac:dyDescent="0.35">
      <c r="E8704" s="9" t="str">
        <v>IAU_2015</v>
      </c>
      <c r="F8704" s="7" t="str">
        <v>39915</v>
      </c>
      <c r="G8704" t="str">
        <v>ProjectedCrs</v>
      </c>
      <c r="H8704" t="str">
        <v>Equidistant Cylindrical</v>
      </c>
      <c r="I8704" t="str">
        <v>Earth (2015) - Sphere / Ocentric / Equirectangular, clon = 180</v>
      </c>
      <c r="J8704" t="str">
        <v>Not specified.</v>
      </c>
      <c r="K8704" s="11">
        <v>0</v>
      </c>
    </row>
    <row r="8705" spans="5:11" x14ac:dyDescent="0.35">
      <c r="E8705" s="9" t="str">
        <v>IAU_2015</v>
      </c>
      <c r="F8705" s="7" t="str">
        <v>39916</v>
      </c>
      <c r="G8705" t="str">
        <v>ProjectedCrs</v>
      </c>
      <c r="H8705" t="str">
        <v>Equidistant Cylindrical</v>
      </c>
      <c r="I8705" t="str">
        <v>Earth (2015) / Ographic / Equirectangular, clon = 180</v>
      </c>
      <c r="J8705" t="str">
        <v>Not specified.</v>
      </c>
      <c r="K8705" s="11">
        <v>0</v>
      </c>
    </row>
    <row r="8706" spans="5:11" x14ac:dyDescent="0.35">
      <c r="E8706" s="9" t="str">
        <v>IAU_2015</v>
      </c>
      <c r="F8706" s="7" t="str">
        <v>39920</v>
      </c>
      <c r="G8706" t="str">
        <v>ProjectedCrs</v>
      </c>
      <c r="H8706" t="str">
        <v>Sinusoidal</v>
      </c>
      <c r="I8706" t="str">
        <v>Earth (2015) - Sphere / Ocentric / Sinusoidal, clon = 0</v>
      </c>
      <c r="J8706" t="str">
        <v>Not specified.</v>
      </c>
      <c r="K8706" s="11">
        <v>0</v>
      </c>
    </row>
    <row r="8707" spans="5:11" x14ac:dyDescent="0.35">
      <c r="E8707" s="9" t="str">
        <v>IAU_2015</v>
      </c>
      <c r="F8707" s="7" t="str">
        <v>39921</v>
      </c>
      <c r="G8707" t="str">
        <v>ProjectedCrs</v>
      </c>
      <c r="H8707" t="str">
        <v>Sinusoidal</v>
      </c>
      <c r="I8707" t="str">
        <v>Earth (2015) / Ographic / Sinusoidal, clon = 0</v>
      </c>
      <c r="J8707" t="str">
        <v>Not specified.</v>
      </c>
      <c r="K8707" s="11">
        <v>0</v>
      </c>
    </row>
    <row r="8708" spans="5:11" x14ac:dyDescent="0.35">
      <c r="E8708" s="9" t="str">
        <v>IAU_2015</v>
      </c>
      <c r="F8708" s="7" t="str">
        <v>39925</v>
      </c>
      <c r="G8708" t="str">
        <v>ProjectedCrs</v>
      </c>
      <c r="H8708" t="str">
        <v>Sinusoidal</v>
      </c>
      <c r="I8708" t="str">
        <v>Earth (2015) - Sphere / Ocentric / Sinusoidal, clon = 180</v>
      </c>
      <c r="J8708" t="str">
        <v>Not specified.</v>
      </c>
      <c r="K8708" s="11">
        <v>0</v>
      </c>
    </row>
    <row r="8709" spans="5:11" x14ac:dyDescent="0.35">
      <c r="E8709" s="9" t="str">
        <v>IAU_2015</v>
      </c>
      <c r="F8709" s="7" t="str">
        <v>39926</v>
      </c>
      <c r="G8709" t="str">
        <v>ProjectedCrs</v>
      </c>
      <c r="H8709" t="str">
        <v>Sinusoidal</v>
      </c>
      <c r="I8709" t="str">
        <v>Earth (2015) / Ographic / Sinusoidal, clon = 180</v>
      </c>
      <c r="J8709" t="str">
        <v>Not specified.</v>
      </c>
      <c r="K8709" s="11">
        <v>0</v>
      </c>
    </row>
    <row r="8710" spans="5:11" x14ac:dyDescent="0.35">
      <c r="E8710" s="9" t="str">
        <v>IAU_2015</v>
      </c>
      <c r="F8710" s="7" t="str">
        <v>39930</v>
      </c>
      <c r="G8710" t="str">
        <v>ProjectedCrs</v>
      </c>
      <c r="H8710" t="str">
        <v>Polar Stereographic (variant A)</v>
      </c>
      <c r="I8710" t="str">
        <v>Earth (2015) - Sphere / Ocentric / North Polar</v>
      </c>
      <c r="J8710" t="str">
        <v>Not specified.</v>
      </c>
      <c r="K8710" s="11">
        <v>0</v>
      </c>
    </row>
    <row r="8711" spans="5:11" x14ac:dyDescent="0.35">
      <c r="E8711" s="9" t="str">
        <v>IAU_2015</v>
      </c>
      <c r="F8711" s="7" t="str">
        <v>39931</v>
      </c>
      <c r="G8711" t="str">
        <v>ProjectedCrs</v>
      </c>
      <c r="H8711" t="str">
        <v>Polar Stereographic (variant A)</v>
      </c>
      <c r="I8711" t="str">
        <v>Earth (2015) / Ographic / North Polar</v>
      </c>
      <c r="J8711" t="str">
        <v>Not specified.</v>
      </c>
      <c r="K8711" s="11">
        <v>0</v>
      </c>
    </row>
    <row r="8712" spans="5:11" x14ac:dyDescent="0.35">
      <c r="E8712" s="9" t="str">
        <v>IAU_2015</v>
      </c>
      <c r="F8712" s="7" t="str">
        <v>39935</v>
      </c>
      <c r="G8712" t="str">
        <v>ProjectedCrs</v>
      </c>
      <c r="H8712" t="str">
        <v>Polar Stereographic (variant A)</v>
      </c>
      <c r="I8712" t="str">
        <v>Earth (2015) - Sphere / Ocentric / South Polar</v>
      </c>
      <c r="J8712" t="str">
        <v>Not specified.</v>
      </c>
      <c r="K8712" s="11">
        <v>0</v>
      </c>
    </row>
    <row r="8713" spans="5:11" x14ac:dyDescent="0.35">
      <c r="E8713" s="9" t="str">
        <v>IAU_2015</v>
      </c>
      <c r="F8713" s="7" t="str">
        <v>39936</v>
      </c>
      <c r="G8713" t="str">
        <v>ProjectedCrs</v>
      </c>
      <c r="H8713" t="str">
        <v>Polar Stereographic (variant A)</v>
      </c>
      <c r="I8713" t="str">
        <v>Earth (2015) / Ographic / South Polar</v>
      </c>
      <c r="J8713" t="str">
        <v>Not specified.</v>
      </c>
      <c r="K8713" s="11">
        <v>0</v>
      </c>
    </row>
    <row r="8714" spans="5:11" x14ac:dyDescent="0.35">
      <c r="E8714" s="9" t="str">
        <v>IAU_2015</v>
      </c>
      <c r="F8714" s="7" t="str">
        <v>39940</v>
      </c>
      <c r="G8714" t="str">
        <v>ProjectedCrs</v>
      </c>
      <c r="H8714" t="str">
        <v>Mollweide</v>
      </c>
      <c r="I8714" t="str">
        <v>Earth (2015) - Sphere / Ocentric / Mollweide, clon = 0</v>
      </c>
      <c r="J8714" t="str">
        <v>Not specified.</v>
      </c>
      <c r="K8714" s="11">
        <v>0</v>
      </c>
    </row>
    <row r="8715" spans="5:11" x14ac:dyDescent="0.35">
      <c r="E8715" s="9" t="str">
        <v>IAU_2015</v>
      </c>
      <c r="F8715" s="7" t="str">
        <v>39941</v>
      </c>
      <c r="G8715" t="str">
        <v>ProjectedCrs</v>
      </c>
      <c r="H8715" t="str">
        <v>Mollweide</v>
      </c>
      <c r="I8715" t="str">
        <v>Earth (2015) / Ographic / Mollweide, clon = 0</v>
      </c>
      <c r="J8715" t="str">
        <v>Not specified.</v>
      </c>
      <c r="K8715" s="11">
        <v>0</v>
      </c>
    </row>
    <row r="8716" spans="5:11" x14ac:dyDescent="0.35">
      <c r="E8716" s="9" t="str">
        <v>IAU_2015</v>
      </c>
      <c r="F8716" s="7" t="str">
        <v>39945</v>
      </c>
      <c r="G8716" t="str">
        <v>ProjectedCrs</v>
      </c>
      <c r="H8716" t="str">
        <v>Mollweide</v>
      </c>
      <c r="I8716" t="str">
        <v>Earth (2015) - Sphere / Ocentric / Mollweide, clon = 180</v>
      </c>
      <c r="J8716" t="str">
        <v>Not specified.</v>
      </c>
      <c r="K8716" s="11">
        <v>0</v>
      </c>
    </row>
    <row r="8717" spans="5:11" x14ac:dyDescent="0.35">
      <c r="E8717" s="9" t="str">
        <v>IAU_2015</v>
      </c>
      <c r="F8717" s="7" t="str">
        <v>39946</v>
      </c>
      <c r="G8717" t="str">
        <v>ProjectedCrs</v>
      </c>
      <c r="H8717" t="str">
        <v>Mollweide</v>
      </c>
      <c r="I8717" t="str">
        <v>Earth (2015) / Ographic / Mollweide, clon = 180</v>
      </c>
      <c r="J8717" t="str">
        <v>Not specified.</v>
      </c>
      <c r="K8717" s="11">
        <v>0</v>
      </c>
    </row>
    <row r="8718" spans="5:11" x14ac:dyDescent="0.35">
      <c r="E8718" s="9" t="str">
        <v>IAU_2015</v>
      </c>
      <c r="F8718" s="7" t="str">
        <v>39950</v>
      </c>
      <c r="G8718" t="str">
        <v>ProjectedCrs</v>
      </c>
      <c r="H8718" t="str">
        <v>Robinson</v>
      </c>
      <c r="I8718" t="str">
        <v>Earth (2015) - Sphere / Ocentric / Robinson, clon = 0</v>
      </c>
      <c r="J8718" t="str">
        <v>Not specified.</v>
      </c>
      <c r="K8718" s="11">
        <v>0</v>
      </c>
    </row>
    <row r="8719" spans="5:11" x14ac:dyDescent="0.35">
      <c r="E8719" s="9" t="str">
        <v>IAU_2015</v>
      </c>
      <c r="F8719" s="7" t="str">
        <v>39951</v>
      </c>
      <c r="G8719" t="str">
        <v>ProjectedCrs</v>
      </c>
      <c r="H8719" t="str">
        <v>Robinson</v>
      </c>
      <c r="I8719" t="str">
        <v>Earth (2015) / Ographic / Robinson, clon = 0</v>
      </c>
      <c r="J8719" t="str">
        <v>Not specified.</v>
      </c>
      <c r="K8719" s="11">
        <v>0</v>
      </c>
    </row>
    <row r="8720" spans="5:11" x14ac:dyDescent="0.35">
      <c r="E8720" s="9" t="str">
        <v>IAU_2015</v>
      </c>
      <c r="F8720" s="7" t="str">
        <v>39955</v>
      </c>
      <c r="G8720" t="str">
        <v>ProjectedCrs</v>
      </c>
      <c r="H8720" t="str">
        <v>Robinson</v>
      </c>
      <c r="I8720" t="str">
        <v>Earth (2015) - Sphere / Ocentric / Robinson, clon = 180</v>
      </c>
      <c r="J8720" t="str">
        <v>Not specified.</v>
      </c>
      <c r="K8720" s="11">
        <v>0</v>
      </c>
    </row>
    <row r="8721" spans="5:11" x14ac:dyDescent="0.35">
      <c r="E8721" s="9" t="str">
        <v>IAU_2015</v>
      </c>
      <c r="F8721" s="7" t="str">
        <v>39956</v>
      </c>
      <c r="G8721" t="str">
        <v>ProjectedCrs</v>
      </c>
      <c r="H8721" t="str">
        <v>Robinson</v>
      </c>
      <c r="I8721" t="str">
        <v>Earth (2015) / Ographic / Robinson, clon = 180</v>
      </c>
      <c r="J8721" t="str">
        <v>Not specified.</v>
      </c>
      <c r="K8721" s="11">
        <v>0</v>
      </c>
    </row>
    <row r="8722" spans="5:11" x14ac:dyDescent="0.35">
      <c r="E8722" s="9" t="str">
        <v>IAU_2015</v>
      </c>
      <c r="F8722" s="7" t="str">
        <v>39960</v>
      </c>
      <c r="G8722" t="str">
        <v>ProjectedCrs</v>
      </c>
      <c r="H8722" t="str">
        <v>Transverse Mercator</v>
      </c>
      <c r="I8722" t="str">
        <v>Earth (2015) - Sphere / Ocentric / Tranverse Mercator</v>
      </c>
      <c r="J8722" t="str">
        <v>Not specified.</v>
      </c>
      <c r="K8722" s="11">
        <v>0</v>
      </c>
    </row>
    <row r="8723" spans="5:11" x14ac:dyDescent="0.35">
      <c r="E8723" s="9" t="str">
        <v>IAU_2015</v>
      </c>
      <c r="F8723" s="7" t="str">
        <v>39961</v>
      </c>
      <c r="G8723" t="str">
        <v>ProjectedCrs</v>
      </c>
      <c r="H8723" t="str">
        <v>Transverse Mercator</v>
      </c>
      <c r="I8723" t="str">
        <v>Earth (2015) / Ographic / Tranverse Mercator</v>
      </c>
      <c r="J8723" t="str">
        <v>Not specified.</v>
      </c>
      <c r="K8723" s="11">
        <v>0</v>
      </c>
    </row>
    <row r="8724" spans="5:11" x14ac:dyDescent="0.35">
      <c r="E8724" s="9" t="str">
        <v>IAU_2015</v>
      </c>
      <c r="F8724" s="7" t="str">
        <v>39965</v>
      </c>
      <c r="G8724" t="str">
        <v>ProjectedCrs</v>
      </c>
      <c r="H8724" t="str">
        <v>Orthographic</v>
      </c>
      <c r="I8724" t="str">
        <v>Earth (2015) - Sphere / Ocentric / Orthographic, clon = 0</v>
      </c>
      <c r="J8724" t="str">
        <v>Not specified.</v>
      </c>
      <c r="K8724" s="11">
        <v>0</v>
      </c>
    </row>
    <row r="8725" spans="5:11" x14ac:dyDescent="0.35">
      <c r="E8725" s="9" t="str">
        <v>IAU_2015</v>
      </c>
      <c r="F8725" s="7" t="str">
        <v>39966</v>
      </c>
      <c r="G8725" t="str">
        <v>ProjectedCrs</v>
      </c>
      <c r="H8725" t="str">
        <v>Orthographic</v>
      </c>
      <c r="I8725" t="str">
        <v>Earth (2015) / Ographic / Orthographic, clon = 0</v>
      </c>
      <c r="J8725" t="str">
        <v>Not specified.</v>
      </c>
      <c r="K8725" s="11">
        <v>0</v>
      </c>
    </row>
    <row r="8726" spans="5:11" x14ac:dyDescent="0.35">
      <c r="E8726" s="9" t="str">
        <v>IAU_2015</v>
      </c>
      <c r="F8726" s="7" t="str">
        <v>39970</v>
      </c>
      <c r="G8726" t="str">
        <v>ProjectedCrs</v>
      </c>
      <c r="H8726" t="str">
        <v>Orthographic</v>
      </c>
      <c r="I8726" t="str">
        <v>Earth (2015) - Sphere / Ocentric / Orthographic, clon = 180</v>
      </c>
      <c r="J8726" t="str">
        <v>Not specified.</v>
      </c>
      <c r="K8726" s="11">
        <v>0</v>
      </c>
    </row>
    <row r="8727" spans="5:11" x14ac:dyDescent="0.35">
      <c r="E8727" s="9" t="str">
        <v>IAU_2015</v>
      </c>
      <c r="F8727" s="7" t="str">
        <v>39971</v>
      </c>
      <c r="G8727" t="str">
        <v>ProjectedCrs</v>
      </c>
      <c r="H8727" t="str">
        <v>Orthographic</v>
      </c>
      <c r="I8727" t="str">
        <v>Earth (2015) / Ographic / Orthographic, clon = 180</v>
      </c>
      <c r="J8727" t="str">
        <v>Not specified.</v>
      </c>
      <c r="K8727" s="11">
        <v>0</v>
      </c>
    </row>
    <row r="8728" spans="5:11" x14ac:dyDescent="0.35">
      <c r="E8728" s="9" t="str">
        <v>IAU_2015</v>
      </c>
      <c r="F8728" s="7" t="str">
        <v>39975</v>
      </c>
      <c r="G8728" t="str">
        <v>ProjectedCrs</v>
      </c>
      <c r="H8728" t="str">
        <v>Lambert Conic Conformal (2SP)</v>
      </c>
      <c r="I8728" t="str">
        <v>Earth (2015) - Sphere / Ocentric / Lambert Conic Conformal</v>
      </c>
      <c r="J8728" t="str">
        <v>Not specified.</v>
      </c>
      <c r="K8728" s="11">
        <v>0</v>
      </c>
    </row>
    <row r="8729" spans="5:11" x14ac:dyDescent="0.35">
      <c r="E8729" s="9" t="str">
        <v>IAU_2015</v>
      </c>
      <c r="F8729" s="7" t="str">
        <v>39976</v>
      </c>
      <c r="G8729" t="str">
        <v>ProjectedCrs</v>
      </c>
      <c r="H8729" t="str">
        <v>Lambert Conic Conformal (2SP)</v>
      </c>
      <c r="I8729" t="str">
        <v>Earth (2015) / Ographic / Lambert Conic Conformal</v>
      </c>
      <c r="J8729" t="str">
        <v>Not specified.</v>
      </c>
      <c r="K8729" s="11">
        <v>0</v>
      </c>
    </row>
    <row r="8730" spans="5:11" x14ac:dyDescent="0.35">
      <c r="E8730" s="9" t="str">
        <v>IAU_2015</v>
      </c>
      <c r="F8730" s="7" t="str">
        <v>39980</v>
      </c>
      <c r="G8730" t="str">
        <v>ProjectedCrs</v>
      </c>
      <c r="H8730" t="str">
        <v>Lambert Azimuthal Equal Area</v>
      </c>
      <c r="I8730" t="str">
        <v>Earth (2015) - Sphere / Ocentric / Lambert Azimuthal Equal Area</v>
      </c>
      <c r="J8730" t="str">
        <v>Not specified.</v>
      </c>
      <c r="K8730" s="11">
        <v>0</v>
      </c>
    </row>
    <row r="8731" spans="5:11" x14ac:dyDescent="0.35">
      <c r="E8731" s="9" t="str">
        <v>IAU_2015</v>
      </c>
      <c r="F8731" s="7" t="str">
        <v>39981</v>
      </c>
      <c r="G8731" t="str">
        <v>ProjectedCrs</v>
      </c>
      <c r="H8731" t="str">
        <v>Lambert Azimuthal Equal Area</v>
      </c>
      <c r="I8731" t="str">
        <v>Earth (2015) / Ographic / Lambert Azimuthal Equal Area</v>
      </c>
      <c r="J8731" t="str">
        <v>Not specified.</v>
      </c>
      <c r="K8731" s="11">
        <v>0</v>
      </c>
    </row>
    <row r="8732" spans="5:11" x14ac:dyDescent="0.35">
      <c r="E8732" s="9" t="str">
        <v>IAU_2015</v>
      </c>
      <c r="F8732" s="7" t="str">
        <v>39985</v>
      </c>
      <c r="G8732" t="str">
        <v>ProjectedCrs</v>
      </c>
      <c r="H8732" t="str">
        <v>Albers Equal Area</v>
      </c>
      <c r="I8732" t="str">
        <v>Earth (2015) - Sphere / Ocentric / Albers Equal Area</v>
      </c>
      <c r="J8732" t="str">
        <v>Not specified.</v>
      </c>
      <c r="K8732" s="11">
        <v>0</v>
      </c>
    </row>
    <row r="8733" spans="5:11" x14ac:dyDescent="0.35">
      <c r="E8733" s="9" t="str">
        <v>IAU_2015</v>
      </c>
      <c r="F8733" s="7" t="str">
        <v>39986</v>
      </c>
      <c r="G8733" t="str">
        <v>ProjectedCrs</v>
      </c>
      <c r="H8733" t="str">
        <v>Albers Equal Area</v>
      </c>
      <c r="I8733" t="str">
        <v>Earth (2015) / Ographic / Albers Equal Area</v>
      </c>
      <c r="J8733" t="str">
        <v>Not specified.</v>
      </c>
      <c r="K8733" s="11">
        <v>0</v>
      </c>
    </row>
    <row r="8734" spans="5:11" x14ac:dyDescent="0.35">
      <c r="E8734" s="9" t="str">
        <v>IAU_2015</v>
      </c>
      <c r="F8734" s="7" t="str">
        <v>39990</v>
      </c>
      <c r="G8734" t="str">
        <v>ProjectedCrs</v>
      </c>
      <c r="H8734" t="str">
        <v>Mercator (Spherical)</v>
      </c>
      <c r="I8734" t="str">
        <v>Earth (2015) - Sphere / Ocentric / Mercator</v>
      </c>
      <c r="J8734" t="str">
        <v>Not specified.</v>
      </c>
      <c r="K8734" s="11">
        <v>0</v>
      </c>
    </row>
    <row r="8735" spans="5:11" x14ac:dyDescent="0.35">
      <c r="E8735" s="9" t="str">
        <v>IAU_2015</v>
      </c>
      <c r="F8735" s="7" t="str">
        <v>39991</v>
      </c>
      <c r="G8735" t="str">
        <v>ProjectedCrs</v>
      </c>
      <c r="H8735" t="str">
        <v>Mercator (Spherical)</v>
      </c>
      <c r="I8735" t="str">
        <v>Earth (2015) / Ographic / Mercator</v>
      </c>
      <c r="J8735" t="str">
        <v>Not specified.</v>
      </c>
      <c r="K8735" s="11">
        <v>0</v>
      </c>
    </row>
    <row r="8736" spans="5:11" x14ac:dyDescent="0.35">
      <c r="E8736" s="9" t="str">
        <v>IAU_2015</v>
      </c>
      <c r="F8736" s="7" t="str">
        <v>40100</v>
      </c>
      <c r="G8736" t="str">
        <v>Geographic2DCrs</v>
      </c>
      <c r="H8736" t="str">
        <v>&lt;undefined&gt;</v>
      </c>
      <c r="I8736" t="str">
        <v>Phobos (2015) - Sphere / Ocentric</v>
      </c>
      <c r="J8736" t="str">
        <v>Not specified.</v>
      </c>
      <c r="K8736" s="11">
        <v>0</v>
      </c>
    </row>
    <row r="8737" spans="5:11" x14ac:dyDescent="0.35">
      <c r="E8737" s="9" t="str">
        <v>IAU_2015</v>
      </c>
      <c r="F8737" s="7" t="str">
        <v>40110</v>
      </c>
      <c r="G8737" t="str">
        <v>ProjectedCrs</v>
      </c>
      <c r="H8737" t="str">
        <v>Equidistant Cylindrical</v>
      </c>
      <c r="I8737" t="str">
        <v>Phobos (2015) - Sphere / Ocentric / Equirectangular, clon = 0</v>
      </c>
      <c r="J8737" t="str">
        <v>Not specified.</v>
      </c>
      <c r="K8737" s="11">
        <v>0</v>
      </c>
    </row>
    <row r="8738" spans="5:11" x14ac:dyDescent="0.35">
      <c r="E8738" s="9" t="str">
        <v>IAU_2015</v>
      </c>
      <c r="F8738" s="7" t="str">
        <v>40115</v>
      </c>
      <c r="G8738" t="str">
        <v>ProjectedCrs</v>
      </c>
      <c r="H8738" t="str">
        <v>Equidistant Cylindrical</v>
      </c>
      <c r="I8738" t="str">
        <v>Phobos (2015) - Sphere / Ocentric / Equirectangular, clon = 180</v>
      </c>
      <c r="J8738" t="str">
        <v>Not specified.</v>
      </c>
      <c r="K8738" s="11">
        <v>0</v>
      </c>
    </row>
    <row r="8739" spans="5:11" x14ac:dyDescent="0.35">
      <c r="E8739" s="9" t="str">
        <v>IAU_2015</v>
      </c>
      <c r="F8739" s="7" t="str">
        <v>40120</v>
      </c>
      <c r="G8739" t="str">
        <v>ProjectedCrs</v>
      </c>
      <c r="H8739" t="str">
        <v>Sinusoidal</v>
      </c>
      <c r="I8739" t="str">
        <v>Phobos (2015) - Sphere / Ocentric / Sinusoidal, clon = 0</v>
      </c>
      <c r="J8739" t="str">
        <v>Not specified.</v>
      </c>
      <c r="K8739" s="11">
        <v>0</v>
      </c>
    </row>
    <row r="8740" spans="5:11" x14ac:dyDescent="0.35">
      <c r="E8740" s="9" t="str">
        <v>IAU_2015</v>
      </c>
      <c r="F8740" s="7" t="str">
        <v>40125</v>
      </c>
      <c r="G8740" t="str">
        <v>ProjectedCrs</v>
      </c>
      <c r="H8740" t="str">
        <v>Sinusoidal</v>
      </c>
      <c r="I8740" t="str">
        <v>Phobos (2015) - Sphere / Ocentric / Sinusoidal, clon = 180</v>
      </c>
      <c r="J8740" t="str">
        <v>Not specified.</v>
      </c>
      <c r="K8740" s="11">
        <v>0</v>
      </c>
    </row>
    <row r="8741" spans="5:11" x14ac:dyDescent="0.35">
      <c r="E8741" s="9" t="str">
        <v>IAU_2015</v>
      </c>
      <c r="F8741" s="7" t="str">
        <v>40130</v>
      </c>
      <c r="G8741" t="str">
        <v>ProjectedCrs</v>
      </c>
      <c r="H8741" t="str">
        <v>Polar Stereographic (variant A)</v>
      </c>
      <c r="I8741" t="str">
        <v>Phobos (2015) - Sphere / Ocentric / North Polar</v>
      </c>
      <c r="J8741" t="str">
        <v>Not specified.</v>
      </c>
      <c r="K8741" s="11">
        <v>0</v>
      </c>
    </row>
    <row r="8742" spans="5:11" x14ac:dyDescent="0.35">
      <c r="E8742" s="9" t="str">
        <v>IAU_2015</v>
      </c>
      <c r="F8742" s="7" t="str">
        <v>40135</v>
      </c>
      <c r="G8742" t="str">
        <v>ProjectedCrs</v>
      </c>
      <c r="H8742" t="str">
        <v>Polar Stereographic (variant A)</v>
      </c>
      <c r="I8742" t="str">
        <v>Phobos (2015) - Sphere / Ocentric / South Polar</v>
      </c>
      <c r="J8742" t="str">
        <v>Not specified.</v>
      </c>
      <c r="K8742" s="11">
        <v>0</v>
      </c>
    </row>
    <row r="8743" spans="5:11" x14ac:dyDescent="0.35">
      <c r="E8743" s="9" t="str">
        <v>IAU_2015</v>
      </c>
      <c r="F8743" s="7" t="str">
        <v>40140</v>
      </c>
      <c r="G8743" t="str">
        <v>ProjectedCrs</v>
      </c>
      <c r="H8743" t="str">
        <v>Mollweide</v>
      </c>
      <c r="I8743" t="str">
        <v>Phobos (2015) - Sphere / Ocentric / Mollweide, clon = 0</v>
      </c>
      <c r="J8743" t="str">
        <v>Not specified.</v>
      </c>
      <c r="K8743" s="11">
        <v>0</v>
      </c>
    </row>
    <row r="8744" spans="5:11" x14ac:dyDescent="0.35">
      <c r="E8744" s="9" t="str">
        <v>IAU_2015</v>
      </c>
      <c r="F8744" s="7" t="str">
        <v>40145</v>
      </c>
      <c r="G8744" t="str">
        <v>ProjectedCrs</v>
      </c>
      <c r="H8744" t="str">
        <v>Mollweide</v>
      </c>
      <c r="I8744" t="str">
        <v>Phobos (2015) - Sphere / Ocentric / Mollweide, clon = 180</v>
      </c>
      <c r="J8744" t="str">
        <v>Not specified.</v>
      </c>
      <c r="K8744" s="11">
        <v>0</v>
      </c>
    </row>
    <row r="8745" spans="5:11" x14ac:dyDescent="0.35">
      <c r="E8745" s="9" t="str">
        <v>IAU_2015</v>
      </c>
      <c r="F8745" s="7" t="str">
        <v>40150</v>
      </c>
      <c r="G8745" t="str">
        <v>ProjectedCrs</v>
      </c>
      <c r="H8745" t="str">
        <v>Robinson</v>
      </c>
      <c r="I8745" t="str">
        <v>Phobos (2015) - Sphere / Ocentric / Robinson, clon = 0</v>
      </c>
      <c r="J8745" t="str">
        <v>Not specified.</v>
      </c>
      <c r="K8745" s="11">
        <v>0</v>
      </c>
    </row>
    <row r="8746" spans="5:11" x14ac:dyDescent="0.35">
      <c r="E8746" s="9" t="str">
        <v>IAU_2015</v>
      </c>
      <c r="F8746" s="7" t="str">
        <v>40155</v>
      </c>
      <c r="G8746" t="str">
        <v>ProjectedCrs</v>
      </c>
      <c r="H8746" t="str">
        <v>Robinson</v>
      </c>
      <c r="I8746" t="str">
        <v>Phobos (2015) - Sphere / Ocentric / Robinson, clon = 180</v>
      </c>
      <c r="J8746" t="str">
        <v>Not specified.</v>
      </c>
      <c r="K8746" s="11">
        <v>0</v>
      </c>
    </row>
    <row r="8747" spans="5:11" x14ac:dyDescent="0.35">
      <c r="E8747" s="9" t="str">
        <v>IAU_2015</v>
      </c>
      <c r="F8747" s="7" t="str">
        <v>40160</v>
      </c>
      <c r="G8747" t="str">
        <v>ProjectedCrs</v>
      </c>
      <c r="H8747" t="str">
        <v>Transverse Mercator</v>
      </c>
      <c r="I8747" t="str">
        <v>Phobos (2015) - Sphere / Ocentric / Tranverse Mercator</v>
      </c>
      <c r="J8747" t="str">
        <v>Not specified.</v>
      </c>
      <c r="K8747" s="11">
        <v>0</v>
      </c>
    </row>
    <row r="8748" spans="5:11" x14ac:dyDescent="0.35">
      <c r="E8748" s="9" t="str">
        <v>IAU_2015</v>
      </c>
      <c r="F8748" s="7" t="str">
        <v>40165</v>
      </c>
      <c r="G8748" t="str">
        <v>ProjectedCrs</v>
      </c>
      <c r="H8748" t="str">
        <v>Orthographic</v>
      </c>
      <c r="I8748" t="str">
        <v>Phobos (2015) - Sphere / Ocentric / Orthographic, clon = 0</v>
      </c>
      <c r="J8748" t="str">
        <v>Not specified.</v>
      </c>
      <c r="K8748" s="11">
        <v>0</v>
      </c>
    </row>
    <row r="8749" spans="5:11" x14ac:dyDescent="0.35">
      <c r="E8749" s="9" t="str">
        <v>IAU_2015</v>
      </c>
      <c r="F8749" s="7" t="str">
        <v>40170</v>
      </c>
      <c r="G8749" t="str">
        <v>ProjectedCrs</v>
      </c>
      <c r="H8749" t="str">
        <v>Orthographic</v>
      </c>
      <c r="I8749" t="str">
        <v>Phobos (2015) - Sphere / Ocentric / Orthographic, clon = 180</v>
      </c>
      <c r="J8749" t="str">
        <v>Not specified.</v>
      </c>
      <c r="K8749" s="11">
        <v>0</v>
      </c>
    </row>
    <row r="8750" spans="5:11" x14ac:dyDescent="0.35">
      <c r="E8750" s="9" t="str">
        <v>IAU_2015</v>
      </c>
      <c r="F8750" s="7" t="str">
        <v>40175</v>
      </c>
      <c r="G8750" t="str">
        <v>ProjectedCrs</v>
      </c>
      <c r="H8750" t="str">
        <v>Lambert Conic Conformal (2SP)</v>
      </c>
      <c r="I8750" t="str">
        <v>Phobos (2015) - Sphere / Ocentric / Lambert Conic Conformal</v>
      </c>
      <c r="J8750" t="str">
        <v>Not specified.</v>
      </c>
      <c r="K8750" s="11">
        <v>0</v>
      </c>
    </row>
    <row r="8751" spans="5:11" x14ac:dyDescent="0.35">
      <c r="E8751" s="9" t="str">
        <v>IAU_2015</v>
      </c>
      <c r="F8751" s="7" t="str">
        <v>40180</v>
      </c>
      <c r="G8751" t="str">
        <v>ProjectedCrs</v>
      </c>
      <c r="H8751" t="str">
        <v>Lambert Azimuthal Equal Area</v>
      </c>
      <c r="I8751" t="str">
        <v>Phobos (2015) - Sphere / Ocentric / Lambert Azimuthal Equal Area</v>
      </c>
      <c r="J8751" t="str">
        <v>Not specified.</v>
      </c>
      <c r="K8751" s="11">
        <v>0</v>
      </c>
    </row>
    <row r="8752" spans="5:11" x14ac:dyDescent="0.35">
      <c r="E8752" s="9" t="str">
        <v>IAU_2015</v>
      </c>
      <c r="F8752" s="7" t="str">
        <v>40185</v>
      </c>
      <c r="G8752" t="str">
        <v>ProjectedCrs</v>
      </c>
      <c r="H8752" t="str">
        <v>Albers Equal Area</v>
      </c>
      <c r="I8752" t="str">
        <v>Phobos (2015) - Sphere / Ocentric / Albers Equal Area</v>
      </c>
      <c r="J8752" t="str">
        <v>Not specified.</v>
      </c>
      <c r="K8752" s="11">
        <v>0</v>
      </c>
    </row>
    <row r="8753" spans="5:11" x14ac:dyDescent="0.35">
      <c r="E8753" s="9" t="str">
        <v>IAU_2015</v>
      </c>
      <c r="F8753" s="7" t="str">
        <v>40190</v>
      </c>
      <c r="G8753" t="str">
        <v>ProjectedCrs</v>
      </c>
      <c r="H8753" t="str">
        <v>Mercator (Spherical)</v>
      </c>
      <c r="I8753" t="str">
        <v>Phobos (2015) - Sphere / Ocentric / Mercator</v>
      </c>
      <c r="J8753" t="str">
        <v>Not specified.</v>
      </c>
      <c r="K8753" s="11">
        <v>0</v>
      </c>
    </row>
    <row r="8754" spans="5:11" x14ac:dyDescent="0.35">
      <c r="E8754" s="9" t="str">
        <v>IAU_2015</v>
      </c>
      <c r="F8754" s="7" t="str">
        <v>40200</v>
      </c>
      <c r="G8754" t="str">
        <v>Geographic2DCrs</v>
      </c>
      <c r="H8754" t="str">
        <v>&lt;undefined&gt;</v>
      </c>
      <c r="I8754" t="str">
        <v>Deimos (2015) - Sphere / Ocentric</v>
      </c>
      <c r="J8754" t="str">
        <v>Not specified.</v>
      </c>
      <c r="K8754" s="11">
        <v>0</v>
      </c>
    </row>
    <row r="8755" spans="5:11" x14ac:dyDescent="0.35">
      <c r="E8755" s="9" t="str">
        <v>IAU_2015</v>
      </c>
      <c r="F8755" s="7" t="str">
        <v>40210</v>
      </c>
      <c r="G8755" t="str">
        <v>ProjectedCrs</v>
      </c>
      <c r="H8755" t="str">
        <v>Equidistant Cylindrical</v>
      </c>
      <c r="I8755" t="str">
        <v>Deimos (2015) - Sphere / Ocentric / Equirectangular, clon = 0</v>
      </c>
      <c r="J8755" t="str">
        <v>Not specified.</v>
      </c>
      <c r="K8755" s="11">
        <v>0</v>
      </c>
    </row>
    <row r="8756" spans="5:11" x14ac:dyDescent="0.35">
      <c r="E8756" s="9" t="str">
        <v>IAU_2015</v>
      </c>
      <c r="F8756" s="7" t="str">
        <v>40215</v>
      </c>
      <c r="G8756" t="str">
        <v>ProjectedCrs</v>
      </c>
      <c r="H8756" t="str">
        <v>Equidistant Cylindrical</v>
      </c>
      <c r="I8756" t="str">
        <v>Deimos (2015) - Sphere / Ocentric / Equirectangular, clon = 180</v>
      </c>
      <c r="J8756" t="str">
        <v>Not specified.</v>
      </c>
      <c r="K8756" s="11">
        <v>0</v>
      </c>
    </row>
    <row r="8757" spans="5:11" x14ac:dyDescent="0.35">
      <c r="E8757" s="9" t="str">
        <v>IAU_2015</v>
      </c>
      <c r="F8757" s="7" t="str">
        <v>40220</v>
      </c>
      <c r="G8757" t="str">
        <v>ProjectedCrs</v>
      </c>
      <c r="H8757" t="str">
        <v>Sinusoidal</v>
      </c>
      <c r="I8757" t="str">
        <v>Deimos (2015) - Sphere / Ocentric / Sinusoidal, clon = 0</v>
      </c>
      <c r="J8757" t="str">
        <v>Not specified.</v>
      </c>
      <c r="K8757" s="11">
        <v>0</v>
      </c>
    </row>
    <row r="8758" spans="5:11" x14ac:dyDescent="0.35">
      <c r="E8758" s="9" t="str">
        <v>IAU_2015</v>
      </c>
      <c r="F8758" s="7" t="str">
        <v>40225</v>
      </c>
      <c r="G8758" t="str">
        <v>ProjectedCrs</v>
      </c>
      <c r="H8758" t="str">
        <v>Sinusoidal</v>
      </c>
      <c r="I8758" t="str">
        <v>Deimos (2015) - Sphere / Ocentric / Sinusoidal, clon = 180</v>
      </c>
      <c r="J8758" t="str">
        <v>Not specified.</v>
      </c>
      <c r="K8758" s="11">
        <v>0</v>
      </c>
    </row>
    <row r="8759" spans="5:11" x14ac:dyDescent="0.35">
      <c r="E8759" s="9" t="str">
        <v>IAU_2015</v>
      </c>
      <c r="F8759" s="7" t="str">
        <v>40230</v>
      </c>
      <c r="G8759" t="str">
        <v>ProjectedCrs</v>
      </c>
      <c r="H8759" t="str">
        <v>Polar Stereographic (variant A)</v>
      </c>
      <c r="I8759" t="str">
        <v>Deimos (2015) - Sphere / Ocentric / North Polar</v>
      </c>
      <c r="J8759" t="str">
        <v>Not specified.</v>
      </c>
      <c r="K8759" s="11">
        <v>0</v>
      </c>
    </row>
    <row r="8760" spans="5:11" x14ac:dyDescent="0.35">
      <c r="E8760" s="9" t="str">
        <v>IAU_2015</v>
      </c>
      <c r="F8760" s="7" t="str">
        <v>40235</v>
      </c>
      <c r="G8760" t="str">
        <v>ProjectedCrs</v>
      </c>
      <c r="H8760" t="str">
        <v>Polar Stereographic (variant A)</v>
      </c>
      <c r="I8760" t="str">
        <v>Deimos (2015) - Sphere / Ocentric / South Polar</v>
      </c>
      <c r="J8760" t="str">
        <v>Not specified.</v>
      </c>
      <c r="K8760" s="11">
        <v>0</v>
      </c>
    </row>
    <row r="8761" spans="5:11" x14ac:dyDescent="0.35">
      <c r="E8761" s="9" t="str">
        <v>IAU_2015</v>
      </c>
      <c r="F8761" s="7" t="str">
        <v>40240</v>
      </c>
      <c r="G8761" t="str">
        <v>ProjectedCrs</v>
      </c>
      <c r="H8761" t="str">
        <v>Mollweide</v>
      </c>
      <c r="I8761" t="str">
        <v>Deimos (2015) - Sphere / Ocentric / Mollweide, clon = 0</v>
      </c>
      <c r="J8761" t="str">
        <v>Not specified.</v>
      </c>
      <c r="K8761" s="11">
        <v>0</v>
      </c>
    </row>
    <row r="8762" spans="5:11" x14ac:dyDescent="0.35">
      <c r="E8762" s="9" t="str">
        <v>IAU_2015</v>
      </c>
      <c r="F8762" s="7" t="str">
        <v>40245</v>
      </c>
      <c r="G8762" t="str">
        <v>ProjectedCrs</v>
      </c>
      <c r="H8762" t="str">
        <v>Mollweide</v>
      </c>
      <c r="I8762" t="str">
        <v>Deimos (2015) - Sphere / Ocentric / Mollweide, clon = 180</v>
      </c>
      <c r="J8762" t="str">
        <v>Not specified.</v>
      </c>
      <c r="K8762" s="11">
        <v>0</v>
      </c>
    </row>
    <row r="8763" spans="5:11" x14ac:dyDescent="0.35">
      <c r="E8763" s="9" t="str">
        <v>IAU_2015</v>
      </c>
      <c r="F8763" s="7" t="str">
        <v>40250</v>
      </c>
      <c r="G8763" t="str">
        <v>ProjectedCrs</v>
      </c>
      <c r="H8763" t="str">
        <v>Robinson</v>
      </c>
      <c r="I8763" t="str">
        <v>Deimos (2015) - Sphere / Ocentric / Robinson, clon = 0</v>
      </c>
      <c r="J8763" t="str">
        <v>Not specified.</v>
      </c>
      <c r="K8763" s="11">
        <v>0</v>
      </c>
    </row>
    <row r="8764" spans="5:11" x14ac:dyDescent="0.35">
      <c r="E8764" s="9" t="str">
        <v>IAU_2015</v>
      </c>
      <c r="F8764" s="7" t="str">
        <v>40255</v>
      </c>
      <c r="G8764" t="str">
        <v>ProjectedCrs</v>
      </c>
      <c r="H8764" t="str">
        <v>Robinson</v>
      </c>
      <c r="I8764" t="str">
        <v>Deimos (2015) - Sphere / Ocentric / Robinson, clon = 180</v>
      </c>
      <c r="J8764" t="str">
        <v>Not specified.</v>
      </c>
      <c r="K8764" s="11">
        <v>0</v>
      </c>
    </row>
    <row r="8765" spans="5:11" x14ac:dyDescent="0.35">
      <c r="E8765" s="9" t="str">
        <v>IAU_2015</v>
      </c>
      <c r="F8765" s="7" t="str">
        <v>40260</v>
      </c>
      <c r="G8765" t="str">
        <v>ProjectedCrs</v>
      </c>
      <c r="H8765" t="str">
        <v>Transverse Mercator</v>
      </c>
      <c r="I8765" t="str">
        <v>Deimos (2015) - Sphere / Ocentric / Tranverse Mercator</v>
      </c>
      <c r="J8765" t="str">
        <v>Not specified.</v>
      </c>
      <c r="K8765" s="11">
        <v>0</v>
      </c>
    </row>
    <row r="8766" spans="5:11" x14ac:dyDescent="0.35">
      <c r="E8766" s="9" t="str">
        <v>IAU_2015</v>
      </c>
      <c r="F8766" s="7" t="str">
        <v>40265</v>
      </c>
      <c r="G8766" t="str">
        <v>ProjectedCrs</v>
      </c>
      <c r="H8766" t="str">
        <v>Orthographic</v>
      </c>
      <c r="I8766" t="str">
        <v>Deimos (2015) - Sphere / Ocentric / Orthographic, clon = 0</v>
      </c>
      <c r="J8766" t="str">
        <v>Not specified.</v>
      </c>
      <c r="K8766" s="11">
        <v>0</v>
      </c>
    </row>
    <row r="8767" spans="5:11" x14ac:dyDescent="0.35">
      <c r="E8767" s="9" t="str">
        <v>IAU_2015</v>
      </c>
      <c r="F8767" s="7" t="str">
        <v>40270</v>
      </c>
      <c r="G8767" t="str">
        <v>ProjectedCrs</v>
      </c>
      <c r="H8767" t="str">
        <v>Orthographic</v>
      </c>
      <c r="I8767" t="str">
        <v>Deimos (2015) - Sphere / Ocentric / Orthographic, clon = 180</v>
      </c>
      <c r="J8767" t="str">
        <v>Not specified.</v>
      </c>
      <c r="K8767" s="11">
        <v>0</v>
      </c>
    </row>
    <row r="8768" spans="5:11" x14ac:dyDescent="0.35">
      <c r="E8768" s="9" t="str">
        <v>IAU_2015</v>
      </c>
      <c r="F8768" s="7" t="str">
        <v>40275</v>
      </c>
      <c r="G8768" t="str">
        <v>ProjectedCrs</v>
      </c>
      <c r="H8768" t="str">
        <v>Lambert Conic Conformal (2SP)</v>
      </c>
      <c r="I8768" t="str">
        <v>Deimos (2015) - Sphere / Ocentric / Lambert Conic Conformal</v>
      </c>
      <c r="J8768" t="str">
        <v>Not specified.</v>
      </c>
      <c r="K8768" s="11">
        <v>0</v>
      </c>
    </row>
    <row r="8769" spans="5:11" x14ac:dyDescent="0.35">
      <c r="E8769" s="9" t="str">
        <v>IAU_2015</v>
      </c>
      <c r="F8769" s="7" t="str">
        <v>40280</v>
      </c>
      <c r="G8769" t="str">
        <v>ProjectedCrs</v>
      </c>
      <c r="H8769" t="str">
        <v>Lambert Azimuthal Equal Area</v>
      </c>
      <c r="I8769" t="str">
        <v>Deimos (2015) - Sphere / Ocentric / Lambert Azimuthal Equal Area</v>
      </c>
      <c r="J8769" t="str">
        <v>Not specified.</v>
      </c>
      <c r="K8769" s="11">
        <v>0</v>
      </c>
    </row>
    <row r="8770" spans="5:11" x14ac:dyDescent="0.35">
      <c r="E8770" s="9" t="str">
        <v>IAU_2015</v>
      </c>
      <c r="F8770" s="7" t="str">
        <v>40285</v>
      </c>
      <c r="G8770" t="str">
        <v>ProjectedCrs</v>
      </c>
      <c r="H8770" t="str">
        <v>Albers Equal Area</v>
      </c>
      <c r="I8770" t="str">
        <v>Deimos (2015) - Sphere / Ocentric / Albers Equal Area</v>
      </c>
      <c r="J8770" t="str">
        <v>Not specified.</v>
      </c>
      <c r="K8770" s="11">
        <v>0</v>
      </c>
    </row>
    <row r="8771" spans="5:11" x14ac:dyDescent="0.35">
      <c r="E8771" s="9" t="str">
        <v>IAU_2015</v>
      </c>
      <c r="F8771" s="7" t="str">
        <v>40290</v>
      </c>
      <c r="G8771" t="str">
        <v>ProjectedCrs</v>
      </c>
      <c r="H8771" t="str">
        <v>Mercator (Spherical)</v>
      </c>
      <c r="I8771" t="str">
        <v>Deimos (2015) - Sphere / Ocentric / Mercator</v>
      </c>
      <c r="J8771" t="str">
        <v>Not specified.</v>
      </c>
      <c r="K8771" s="11">
        <v>0</v>
      </c>
    </row>
    <row r="8772" spans="5:11" x14ac:dyDescent="0.35">
      <c r="E8772" s="9" t="str">
        <v>IAU_2015</v>
      </c>
      <c r="F8772" s="7" t="str">
        <v>49900</v>
      </c>
      <c r="G8772" t="str">
        <v>Geographic2DCrs</v>
      </c>
      <c r="H8772" t="str">
        <v>&lt;undefined&gt;</v>
      </c>
      <c r="I8772" t="str">
        <v>Mars (2015) - Sphere / Ocentric</v>
      </c>
      <c r="J8772" t="str">
        <v>Not specified.</v>
      </c>
      <c r="K8772" s="11">
        <v>0</v>
      </c>
    </row>
    <row r="8773" spans="5:11" x14ac:dyDescent="0.35">
      <c r="E8773" s="9" t="str">
        <v>IAU_2015</v>
      </c>
      <c r="F8773" s="7" t="str">
        <v>49901</v>
      </c>
      <c r="G8773" t="str">
        <v>Geographic2DCrs</v>
      </c>
      <c r="H8773" t="str">
        <v>&lt;undefined&gt;</v>
      </c>
      <c r="I8773" t="str">
        <v>Mars (2015) / Ographic</v>
      </c>
      <c r="J8773" t="str">
        <v>Not specified.</v>
      </c>
      <c r="K8773" s="11">
        <v>0</v>
      </c>
    </row>
    <row r="8774" spans="5:11" x14ac:dyDescent="0.35">
      <c r="E8774" s="9" t="str">
        <v>IAU_2015</v>
      </c>
      <c r="F8774" s="7" t="str">
        <v>49902</v>
      </c>
      <c r="G8774" t="str">
        <v>GeodeticCrs</v>
      </c>
      <c r="H8774" t="str">
        <v>&lt;undefined&gt;</v>
      </c>
      <c r="I8774" t="str">
        <v>Mars (2015) / Ocentric</v>
      </c>
      <c r="J8774" t="str">
        <v>Not specified.</v>
      </c>
      <c r="K8774" s="11">
        <v>0</v>
      </c>
    </row>
    <row r="8775" spans="5:11" x14ac:dyDescent="0.35">
      <c r="E8775" s="9" t="str">
        <v>IAU_2015</v>
      </c>
      <c r="F8775" s="7" t="str">
        <v>49910</v>
      </c>
      <c r="G8775" t="str">
        <v>ProjectedCrs</v>
      </c>
      <c r="H8775" t="str">
        <v>Equidistant Cylindrical</v>
      </c>
      <c r="I8775" t="str">
        <v>Mars (2015) - Sphere / Ocentric / Equirectangular, clon = 0</v>
      </c>
      <c r="J8775" t="str">
        <v>Not specified.</v>
      </c>
      <c r="K8775" s="11">
        <v>0</v>
      </c>
    </row>
    <row r="8776" spans="5:11" x14ac:dyDescent="0.35">
      <c r="E8776" s="9" t="str">
        <v>IAU_2015</v>
      </c>
      <c r="F8776" s="7" t="str">
        <v>49911</v>
      </c>
      <c r="G8776" t="str">
        <v>ProjectedCrs</v>
      </c>
      <c r="H8776" t="str">
        <v>Equidistant Cylindrical</v>
      </c>
      <c r="I8776" t="str">
        <v>Mars (2015) / Ographic / Equirectangular, clon = 0</v>
      </c>
      <c r="J8776" t="str">
        <v>Not specified.</v>
      </c>
      <c r="K8776" s="11">
        <v>0</v>
      </c>
    </row>
    <row r="8777" spans="5:11" x14ac:dyDescent="0.35">
      <c r="E8777" s="9" t="str">
        <v>IAU_2015</v>
      </c>
      <c r="F8777" s="7" t="str">
        <v>49912</v>
      </c>
      <c r="G8777" t="str">
        <v>ProjectedCrs</v>
      </c>
      <c r="H8777" t="str">
        <v>Equidistant Cylindrical</v>
      </c>
      <c r="I8777" t="str">
        <v>Mars (2015) / Ocentric / Equirectangular, clon = 0</v>
      </c>
      <c r="J8777" t="str">
        <v>Not specified.</v>
      </c>
      <c r="K8777" s="11">
        <v>0</v>
      </c>
    </row>
    <row r="8778" spans="5:11" x14ac:dyDescent="0.35">
      <c r="E8778" s="9" t="str">
        <v>IAU_2015</v>
      </c>
      <c r="F8778" s="7" t="str">
        <v>49915</v>
      </c>
      <c r="G8778" t="str">
        <v>ProjectedCrs</v>
      </c>
      <c r="H8778" t="str">
        <v>Equidistant Cylindrical</v>
      </c>
      <c r="I8778" t="str">
        <v>Mars (2015) - Sphere / Ocentric / Equirectangular, clon = 180</v>
      </c>
      <c r="J8778" t="str">
        <v>Not specified.</v>
      </c>
      <c r="K8778" s="11">
        <v>0</v>
      </c>
    </row>
    <row r="8779" spans="5:11" x14ac:dyDescent="0.35">
      <c r="E8779" s="9" t="str">
        <v>IAU_2015</v>
      </c>
      <c r="F8779" s="7" t="str">
        <v>49916</v>
      </c>
      <c r="G8779" t="str">
        <v>ProjectedCrs</v>
      </c>
      <c r="H8779" t="str">
        <v>Equidistant Cylindrical</v>
      </c>
      <c r="I8779" t="str">
        <v>Mars (2015) / Ographic / Equirectangular, clon = 180</v>
      </c>
      <c r="J8779" t="str">
        <v>Not specified.</v>
      </c>
      <c r="K8779" s="11">
        <v>0</v>
      </c>
    </row>
    <row r="8780" spans="5:11" x14ac:dyDescent="0.35">
      <c r="E8780" s="9" t="str">
        <v>IAU_2015</v>
      </c>
      <c r="F8780" s="7" t="str">
        <v>49917</v>
      </c>
      <c r="G8780" t="str">
        <v>ProjectedCrs</v>
      </c>
      <c r="H8780" t="str">
        <v>Equidistant Cylindrical</v>
      </c>
      <c r="I8780" t="str">
        <v>Mars (2015) / Ocentric / Equirectangular, clon = 180</v>
      </c>
      <c r="J8780" t="str">
        <v>Not specified.</v>
      </c>
      <c r="K8780" s="11">
        <v>0</v>
      </c>
    </row>
    <row r="8781" spans="5:11" x14ac:dyDescent="0.35">
      <c r="E8781" s="9" t="str">
        <v>IAU_2015</v>
      </c>
      <c r="F8781" s="7" t="str">
        <v>49920</v>
      </c>
      <c r="G8781" t="str">
        <v>ProjectedCrs</v>
      </c>
      <c r="H8781" t="str">
        <v>Sinusoidal</v>
      </c>
      <c r="I8781" t="str">
        <v>Mars (2015) - Sphere / Ocentric / Sinusoidal, clon = 0</v>
      </c>
      <c r="J8781" t="str">
        <v>Not specified.</v>
      </c>
      <c r="K8781" s="11">
        <v>0</v>
      </c>
    </row>
    <row r="8782" spans="5:11" x14ac:dyDescent="0.35">
      <c r="E8782" s="9" t="str">
        <v>IAU_2015</v>
      </c>
      <c r="F8782" s="7" t="str">
        <v>49921</v>
      </c>
      <c r="G8782" t="str">
        <v>ProjectedCrs</v>
      </c>
      <c r="H8782" t="str">
        <v>Sinusoidal</v>
      </c>
      <c r="I8782" t="str">
        <v>Mars (2015) / Ographic / Sinusoidal, clon = 0</v>
      </c>
      <c r="J8782" t="str">
        <v>Not specified.</v>
      </c>
      <c r="K8782" s="11">
        <v>0</v>
      </c>
    </row>
    <row r="8783" spans="5:11" x14ac:dyDescent="0.35">
      <c r="E8783" s="9" t="str">
        <v>IAU_2015</v>
      </c>
      <c r="F8783" s="7" t="str">
        <v>49922</v>
      </c>
      <c r="G8783" t="str">
        <v>ProjectedCrs</v>
      </c>
      <c r="H8783" t="str">
        <v>Sinusoidal</v>
      </c>
      <c r="I8783" t="str">
        <v>Mars (2015) / Ocentric / Sinusoidal, clon = 0</v>
      </c>
      <c r="J8783" t="str">
        <v>Not specified.</v>
      </c>
      <c r="K8783" s="11">
        <v>0</v>
      </c>
    </row>
    <row r="8784" spans="5:11" x14ac:dyDescent="0.35">
      <c r="E8784" s="9" t="str">
        <v>IAU_2015</v>
      </c>
      <c r="F8784" s="7" t="str">
        <v>49925</v>
      </c>
      <c r="G8784" t="str">
        <v>ProjectedCrs</v>
      </c>
      <c r="H8784" t="str">
        <v>Sinusoidal</v>
      </c>
      <c r="I8784" t="str">
        <v>Mars (2015) - Sphere / Ocentric / Sinusoidal, clon = 180</v>
      </c>
      <c r="J8784" t="str">
        <v>Not specified.</v>
      </c>
      <c r="K8784" s="11">
        <v>0</v>
      </c>
    </row>
    <row r="8785" spans="5:11" x14ac:dyDescent="0.35">
      <c r="E8785" s="9" t="str">
        <v>IAU_2015</v>
      </c>
      <c r="F8785" s="7" t="str">
        <v>49926</v>
      </c>
      <c r="G8785" t="str">
        <v>ProjectedCrs</v>
      </c>
      <c r="H8785" t="str">
        <v>Sinusoidal</v>
      </c>
      <c r="I8785" t="str">
        <v>Mars (2015) / Ographic / Sinusoidal, clon = 180</v>
      </c>
      <c r="J8785" t="str">
        <v>Not specified.</v>
      </c>
      <c r="K8785" s="11">
        <v>0</v>
      </c>
    </row>
    <row r="8786" spans="5:11" x14ac:dyDescent="0.35">
      <c r="E8786" s="9" t="str">
        <v>IAU_2015</v>
      </c>
      <c r="F8786" s="7" t="str">
        <v>49927</v>
      </c>
      <c r="G8786" t="str">
        <v>ProjectedCrs</v>
      </c>
      <c r="H8786" t="str">
        <v>Sinusoidal</v>
      </c>
      <c r="I8786" t="str">
        <v>Mars (2015) / Ocentric / Sinusoidal, clon = 180</v>
      </c>
      <c r="J8786" t="str">
        <v>Not specified.</v>
      </c>
      <c r="K8786" s="11">
        <v>0</v>
      </c>
    </row>
    <row r="8787" spans="5:11" x14ac:dyDescent="0.35">
      <c r="E8787" s="9" t="str">
        <v>IAU_2015</v>
      </c>
      <c r="F8787" s="7" t="str">
        <v>49930</v>
      </c>
      <c r="G8787" t="str">
        <v>ProjectedCrs</v>
      </c>
      <c r="H8787" t="str">
        <v>Polar Stereographic (variant A)</v>
      </c>
      <c r="I8787" t="str">
        <v>Mars (2015) - Sphere / Ocentric / North Polar</v>
      </c>
      <c r="J8787" t="str">
        <v>Not specified.</v>
      </c>
      <c r="K8787" s="11">
        <v>0</v>
      </c>
    </row>
    <row r="8788" spans="5:11" x14ac:dyDescent="0.35">
      <c r="E8788" s="9" t="str">
        <v>IAU_2015</v>
      </c>
      <c r="F8788" s="7" t="str">
        <v>49931</v>
      </c>
      <c r="G8788" t="str">
        <v>ProjectedCrs</v>
      </c>
      <c r="H8788" t="str">
        <v>Polar Stereographic (variant A)</v>
      </c>
      <c r="I8788" t="str">
        <v>Mars (2015) / Ographic / North Polar</v>
      </c>
      <c r="J8788" t="str">
        <v>Not specified.</v>
      </c>
      <c r="K8788" s="11">
        <v>0</v>
      </c>
    </row>
    <row r="8789" spans="5:11" x14ac:dyDescent="0.35">
      <c r="E8789" s="9" t="str">
        <v>IAU_2015</v>
      </c>
      <c r="F8789" s="7" t="str">
        <v>49932</v>
      </c>
      <c r="G8789" t="str">
        <v>ProjectedCrs</v>
      </c>
      <c r="H8789" t="str">
        <v>Polar Stereographic (variant A)</v>
      </c>
      <c r="I8789" t="str">
        <v>Mars (2015) / Ocentric / North Polar</v>
      </c>
      <c r="J8789" t="str">
        <v>Not specified.</v>
      </c>
      <c r="K8789" s="11">
        <v>0</v>
      </c>
    </row>
    <row r="8790" spans="5:11" x14ac:dyDescent="0.35">
      <c r="E8790" s="9" t="str">
        <v>IAU_2015</v>
      </c>
      <c r="F8790" s="7" t="str">
        <v>49935</v>
      </c>
      <c r="G8790" t="str">
        <v>ProjectedCrs</v>
      </c>
      <c r="H8790" t="str">
        <v>Polar Stereographic (variant A)</v>
      </c>
      <c r="I8790" t="str">
        <v>Mars (2015) - Sphere / Ocentric / South Polar</v>
      </c>
      <c r="J8790" t="str">
        <v>Not specified.</v>
      </c>
      <c r="K8790" s="11">
        <v>0</v>
      </c>
    </row>
    <row r="8791" spans="5:11" x14ac:dyDescent="0.35">
      <c r="E8791" s="9" t="str">
        <v>IAU_2015</v>
      </c>
      <c r="F8791" s="7" t="str">
        <v>49936</v>
      </c>
      <c r="G8791" t="str">
        <v>ProjectedCrs</v>
      </c>
      <c r="H8791" t="str">
        <v>Polar Stereographic (variant A)</v>
      </c>
      <c r="I8791" t="str">
        <v>Mars (2015) / Ographic / South Polar</v>
      </c>
      <c r="J8791" t="str">
        <v>Not specified.</v>
      </c>
      <c r="K8791" s="11">
        <v>0</v>
      </c>
    </row>
    <row r="8792" spans="5:11" x14ac:dyDescent="0.35">
      <c r="E8792" s="9" t="str">
        <v>IAU_2015</v>
      </c>
      <c r="F8792" s="7" t="str">
        <v>49937</v>
      </c>
      <c r="G8792" t="str">
        <v>ProjectedCrs</v>
      </c>
      <c r="H8792" t="str">
        <v>Polar Stereographic (variant A)</v>
      </c>
      <c r="I8792" t="str">
        <v>Mars (2015) / Ocentric / South Polar</v>
      </c>
      <c r="J8792" t="str">
        <v>Not specified.</v>
      </c>
      <c r="K8792" s="11">
        <v>0</v>
      </c>
    </row>
    <row r="8793" spans="5:11" x14ac:dyDescent="0.35">
      <c r="E8793" s="9" t="str">
        <v>IAU_2015</v>
      </c>
      <c r="F8793" s="7" t="str">
        <v>49940</v>
      </c>
      <c r="G8793" t="str">
        <v>ProjectedCrs</v>
      </c>
      <c r="H8793" t="str">
        <v>Mollweide</v>
      </c>
      <c r="I8793" t="str">
        <v>Mars (2015) - Sphere / Ocentric / Mollweide, clon = 0</v>
      </c>
      <c r="J8793" t="str">
        <v>Not specified.</v>
      </c>
      <c r="K8793" s="11">
        <v>0</v>
      </c>
    </row>
    <row r="8794" spans="5:11" x14ac:dyDescent="0.35">
      <c r="E8794" s="9" t="str">
        <v>IAU_2015</v>
      </c>
      <c r="F8794" s="7" t="str">
        <v>49941</v>
      </c>
      <c r="G8794" t="str">
        <v>ProjectedCrs</v>
      </c>
      <c r="H8794" t="str">
        <v>Mollweide</v>
      </c>
      <c r="I8794" t="str">
        <v>Mars (2015) / Ographic / Mollweide, clon = 0</v>
      </c>
      <c r="J8794" t="str">
        <v>Not specified.</v>
      </c>
      <c r="K8794" s="11">
        <v>0</v>
      </c>
    </row>
    <row r="8795" spans="5:11" x14ac:dyDescent="0.35">
      <c r="E8795" s="9" t="str">
        <v>IAU_2015</v>
      </c>
      <c r="F8795" s="7" t="str">
        <v>49942</v>
      </c>
      <c r="G8795" t="str">
        <v>ProjectedCrs</v>
      </c>
      <c r="H8795" t="str">
        <v>Mollweide</v>
      </c>
      <c r="I8795" t="str">
        <v>Mars (2015) / Ocentric / Mollweide, clon = 0</v>
      </c>
      <c r="J8795" t="str">
        <v>Not specified.</v>
      </c>
      <c r="K8795" s="11">
        <v>0</v>
      </c>
    </row>
    <row r="8796" spans="5:11" x14ac:dyDescent="0.35">
      <c r="E8796" s="9" t="str">
        <v>IAU_2015</v>
      </c>
      <c r="F8796" s="7" t="str">
        <v>49945</v>
      </c>
      <c r="G8796" t="str">
        <v>ProjectedCrs</v>
      </c>
      <c r="H8796" t="str">
        <v>Mollweide</v>
      </c>
      <c r="I8796" t="str">
        <v>Mars (2015) - Sphere / Ocentric / Mollweide, clon = 180</v>
      </c>
      <c r="J8796" t="str">
        <v>Not specified.</v>
      </c>
      <c r="K8796" s="11">
        <v>0</v>
      </c>
    </row>
    <row r="8797" spans="5:11" x14ac:dyDescent="0.35">
      <c r="E8797" s="9" t="str">
        <v>IAU_2015</v>
      </c>
      <c r="F8797" s="7" t="str">
        <v>49946</v>
      </c>
      <c r="G8797" t="str">
        <v>ProjectedCrs</v>
      </c>
      <c r="H8797" t="str">
        <v>Mollweide</v>
      </c>
      <c r="I8797" t="str">
        <v>Mars (2015) / Ographic / Mollweide, clon = 180</v>
      </c>
      <c r="J8797" t="str">
        <v>Not specified.</v>
      </c>
      <c r="K8797" s="11">
        <v>0</v>
      </c>
    </row>
    <row r="8798" spans="5:11" x14ac:dyDescent="0.35">
      <c r="E8798" s="9" t="str">
        <v>IAU_2015</v>
      </c>
      <c r="F8798" s="7" t="str">
        <v>49947</v>
      </c>
      <c r="G8798" t="str">
        <v>ProjectedCrs</v>
      </c>
      <c r="H8798" t="str">
        <v>Mollweide</v>
      </c>
      <c r="I8798" t="str">
        <v>Mars (2015) / Ocentric / Mollweide, clon = 180</v>
      </c>
      <c r="J8798" t="str">
        <v>Not specified.</v>
      </c>
      <c r="K8798" s="11">
        <v>0</v>
      </c>
    </row>
    <row r="8799" spans="5:11" x14ac:dyDescent="0.35">
      <c r="E8799" s="9" t="str">
        <v>IAU_2015</v>
      </c>
      <c r="F8799" s="7" t="str">
        <v>49950</v>
      </c>
      <c r="G8799" t="str">
        <v>ProjectedCrs</v>
      </c>
      <c r="H8799" t="str">
        <v>Robinson</v>
      </c>
      <c r="I8799" t="str">
        <v>Mars (2015) - Sphere / Ocentric / Robinson, clon = 0</v>
      </c>
      <c r="J8799" t="str">
        <v>Not specified.</v>
      </c>
      <c r="K8799" s="11">
        <v>0</v>
      </c>
    </row>
    <row r="8800" spans="5:11" x14ac:dyDescent="0.35">
      <c r="E8800" s="9" t="str">
        <v>IAU_2015</v>
      </c>
      <c r="F8800" s="7" t="str">
        <v>49951</v>
      </c>
      <c r="G8800" t="str">
        <v>ProjectedCrs</v>
      </c>
      <c r="H8800" t="str">
        <v>Robinson</v>
      </c>
      <c r="I8800" t="str">
        <v>Mars (2015) / Ographic / Robinson, clon = 0</v>
      </c>
      <c r="J8800" t="str">
        <v>Not specified.</v>
      </c>
      <c r="K8800" s="11">
        <v>0</v>
      </c>
    </row>
    <row r="8801" spans="5:11" x14ac:dyDescent="0.35">
      <c r="E8801" s="9" t="str">
        <v>IAU_2015</v>
      </c>
      <c r="F8801" s="7" t="str">
        <v>49952</v>
      </c>
      <c r="G8801" t="str">
        <v>ProjectedCrs</v>
      </c>
      <c r="H8801" t="str">
        <v>Robinson</v>
      </c>
      <c r="I8801" t="str">
        <v>Mars (2015) / Ocentric / Robinson, clon = 0</v>
      </c>
      <c r="J8801" t="str">
        <v>Not specified.</v>
      </c>
      <c r="K8801" s="11">
        <v>0</v>
      </c>
    </row>
    <row r="8802" spans="5:11" x14ac:dyDescent="0.35">
      <c r="E8802" s="9" t="str">
        <v>IAU_2015</v>
      </c>
      <c r="F8802" s="7" t="str">
        <v>49955</v>
      </c>
      <c r="G8802" t="str">
        <v>ProjectedCrs</v>
      </c>
      <c r="H8802" t="str">
        <v>Robinson</v>
      </c>
      <c r="I8802" t="str">
        <v>Mars (2015) - Sphere / Ocentric / Robinson, clon = 180</v>
      </c>
      <c r="J8802" t="str">
        <v>Not specified.</v>
      </c>
      <c r="K8802" s="11">
        <v>0</v>
      </c>
    </row>
    <row r="8803" spans="5:11" x14ac:dyDescent="0.35">
      <c r="E8803" s="9" t="str">
        <v>IAU_2015</v>
      </c>
      <c r="F8803" s="7" t="str">
        <v>49956</v>
      </c>
      <c r="G8803" t="str">
        <v>ProjectedCrs</v>
      </c>
      <c r="H8803" t="str">
        <v>Robinson</v>
      </c>
      <c r="I8803" t="str">
        <v>Mars (2015) / Ographic / Robinson, clon = 180</v>
      </c>
      <c r="J8803" t="str">
        <v>Not specified.</v>
      </c>
      <c r="K8803" s="11">
        <v>0</v>
      </c>
    </row>
    <row r="8804" spans="5:11" x14ac:dyDescent="0.35">
      <c r="E8804" s="9" t="str">
        <v>IAU_2015</v>
      </c>
      <c r="F8804" s="7" t="str">
        <v>49957</v>
      </c>
      <c r="G8804" t="str">
        <v>ProjectedCrs</v>
      </c>
      <c r="H8804" t="str">
        <v>Robinson</v>
      </c>
      <c r="I8804" t="str">
        <v>Mars (2015) / Ocentric / Robinson, clon = 180</v>
      </c>
      <c r="J8804" t="str">
        <v>Not specified.</v>
      </c>
      <c r="K8804" s="11">
        <v>0</v>
      </c>
    </row>
    <row r="8805" spans="5:11" x14ac:dyDescent="0.35">
      <c r="E8805" s="9" t="str">
        <v>IAU_2015</v>
      </c>
      <c r="F8805" s="7" t="str">
        <v>49960</v>
      </c>
      <c r="G8805" t="str">
        <v>ProjectedCrs</v>
      </c>
      <c r="H8805" t="str">
        <v>Transverse Mercator</v>
      </c>
      <c r="I8805" t="str">
        <v>Mars (2015) - Sphere / Ocentric / Tranverse Mercator</v>
      </c>
      <c r="J8805" t="str">
        <v>Not specified.</v>
      </c>
      <c r="K8805" s="11">
        <v>0</v>
      </c>
    </row>
    <row r="8806" spans="5:11" x14ac:dyDescent="0.35">
      <c r="E8806" s="9" t="str">
        <v>IAU_2015</v>
      </c>
      <c r="F8806" s="7" t="str">
        <v>49961</v>
      </c>
      <c r="G8806" t="str">
        <v>ProjectedCrs</v>
      </c>
      <c r="H8806" t="str">
        <v>Transverse Mercator</v>
      </c>
      <c r="I8806" t="str">
        <v>Mars (2015) / Ographic / Tranverse Mercator</v>
      </c>
      <c r="J8806" t="str">
        <v>Not specified.</v>
      </c>
      <c r="K8806" s="11">
        <v>0</v>
      </c>
    </row>
    <row r="8807" spans="5:11" x14ac:dyDescent="0.35">
      <c r="E8807" s="9" t="str">
        <v>IAU_2015</v>
      </c>
      <c r="F8807" s="7" t="str">
        <v>49962</v>
      </c>
      <c r="G8807" t="str">
        <v>ProjectedCrs</v>
      </c>
      <c r="H8807" t="str">
        <v>Transverse Mercator</v>
      </c>
      <c r="I8807" t="str">
        <v>Mars (2015) / Ocentric / Tranverse Mercator</v>
      </c>
      <c r="J8807" t="str">
        <v>Not specified.</v>
      </c>
      <c r="K8807" s="11">
        <v>0</v>
      </c>
    </row>
    <row r="8808" spans="5:11" x14ac:dyDescent="0.35">
      <c r="E8808" s="9" t="str">
        <v>IAU_2015</v>
      </c>
      <c r="F8808" s="7" t="str">
        <v>49965</v>
      </c>
      <c r="G8808" t="str">
        <v>ProjectedCrs</v>
      </c>
      <c r="H8808" t="str">
        <v>Orthographic</v>
      </c>
      <c r="I8808" t="str">
        <v>Mars (2015) - Sphere / Ocentric / Orthographic, clon = 0</v>
      </c>
      <c r="J8808" t="str">
        <v>Not specified.</v>
      </c>
      <c r="K8808" s="11">
        <v>0</v>
      </c>
    </row>
    <row r="8809" spans="5:11" x14ac:dyDescent="0.35">
      <c r="E8809" s="9" t="str">
        <v>IAU_2015</v>
      </c>
      <c r="F8809" s="7" t="str">
        <v>49966</v>
      </c>
      <c r="G8809" t="str">
        <v>ProjectedCrs</v>
      </c>
      <c r="H8809" t="str">
        <v>Orthographic</v>
      </c>
      <c r="I8809" t="str">
        <v>Mars (2015) / Ographic / Orthographic, clon = 0</v>
      </c>
      <c r="J8809" t="str">
        <v>Not specified.</v>
      </c>
      <c r="K8809" s="11">
        <v>0</v>
      </c>
    </row>
    <row r="8810" spans="5:11" x14ac:dyDescent="0.35">
      <c r="E8810" s="9" t="str">
        <v>IAU_2015</v>
      </c>
      <c r="F8810" s="7" t="str">
        <v>49967</v>
      </c>
      <c r="G8810" t="str">
        <v>ProjectedCrs</v>
      </c>
      <c r="H8810" t="str">
        <v>Orthographic</v>
      </c>
      <c r="I8810" t="str">
        <v>Mars (2015) / Ocentric / Orthographic, clon = 0</v>
      </c>
      <c r="J8810" t="str">
        <v>Not specified.</v>
      </c>
      <c r="K8810" s="11">
        <v>0</v>
      </c>
    </row>
    <row r="8811" spans="5:11" x14ac:dyDescent="0.35">
      <c r="E8811" s="9" t="str">
        <v>IAU_2015</v>
      </c>
      <c r="F8811" s="7" t="str">
        <v>49970</v>
      </c>
      <c r="G8811" t="str">
        <v>ProjectedCrs</v>
      </c>
      <c r="H8811" t="str">
        <v>Orthographic</v>
      </c>
      <c r="I8811" t="str">
        <v>Mars (2015) - Sphere / Ocentric / Orthographic, clon = 180</v>
      </c>
      <c r="J8811" t="str">
        <v>Not specified.</v>
      </c>
      <c r="K8811" s="11">
        <v>0</v>
      </c>
    </row>
    <row r="8812" spans="5:11" x14ac:dyDescent="0.35">
      <c r="E8812" s="9" t="str">
        <v>IAU_2015</v>
      </c>
      <c r="F8812" s="7" t="str">
        <v>49971</v>
      </c>
      <c r="G8812" t="str">
        <v>ProjectedCrs</v>
      </c>
      <c r="H8812" t="str">
        <v>Orthographic</v>
      </c>
      <c r="I8812" t="str">
        <v>Mars (2015) / Ographic / Orthographic, clon = 180</v>
      </c>
      <c r="J8812" t="str">
        <v>Not specified.</v>
      </c>
      <c r="K8812" s="11">
        <v>0</v>
      </c>
    </row>
    <row r="8813" spans="5:11" x14ac:dyDescent="0.35">
      <c r="E8813" s="9" t="str">
        <v>IAU_2015</v>
      </c>
      <c r="F8813" s="7" t="str">
        <v>49972</v>
      </c>
      <c r="G8813" t="str">
        <v>ProjectedCrs</v>
      </c>
      <c r="H8813" t="str">
        <v>Orthographic</v>
      </c>
      <c r="I8813" t="str">
        <v>Mars (2015) / Ocentric / Orthographic, clon = 180</v>
      </c>
      <c r="J8813" t="str">
        <v>Not specified.</v>
      </c>
      <c r="K8813" s="11">
        <v>0</v>
      </c>
    </row>
    <row r="8814" spans="5:11" x14ac:dyDescent="0.35">
      <c r="E8814" s="9" t="str">
        <v>IAU_2015</v>
      </c>
      <c r="F8814" s="7" t="str">
        <v>49975</v>
      </c>
      <c r="G8814" t="str">
        <v>ProjectedCrs</v>
      </c>
      <c r="H8814" t="str">
        <v>Lambert Conic Conformal (2SP)</v>
      </c>
      <c r="I8814" t="str">
        <v>Mars (2015) - Sphere / Ocentric / Lambert Conic Conformal</v>
      </c>
      <c r="J8814" t="str">
        <v>Not specified.</v>
      </c>
      <c r="K8814" s="11">
        <v>0</v>
      </c>
    </row>
    <row r="8815" spans="5:11" x14ac:dyDescent="0.35">
      <c r="E8815" s="9" t="str">
        <v>IAU_2015</v>
      </c>
      <c r="F8815" s="7" t="str">
        <v>49976</v>
      </c>
      <c r="G8815" t="str">
        <v>ProjectedCrs</v>
      </c>
      <c r="H8815" t="str">
        <v>Lambert Conic Conformal (2SP)</v>
      </c>
      <c r="I8815" t="str">
        <v>Mars (2015) / Ographic / Lambert Conic Conformal</v>
      </c>
      <c r="J8815" t="str">
        <v>Not specified.</v>
      </c>
      <c r="K8815" s="11">
        <v>0</v>
      </c>
    </row>
    <row r="8816" spans="5:11" x14ac:dyDescent="0.35">
      <c r="E8816" s="9" t="str">
        <v>IAU_2015</v>
      </c>
      <c r="F8816" s="7" t="str">
        <v>49977</v>
      </c>
      <c r="G8816" t="str">
        <v>ProjectedCrs</v>
      </c>
      <c r="H8816" t="str">
        <v>Lambert Conic Conformal (2SP)</v>
      </c>
      <c r="I8816" t="str">
        <v>Mars (2015) / Ocentric / Lambert Conic Conformal</v>
      </c>
      <c r="J8816" t="str">
        <v>Not specified.</v>
      </c>
      <c r="K8816" s="11">
        <v>0</v>
      </c>
    </row>
    <row r="8817" spans="5:11" x14ac:dyDescent="0.35">
      <c r="E8817" s="9" t="str">
        <v>IAU_2015</v>
      </c>
      <c r="F8817" s="7" t="str">
        <v>49980</v>
      </c>
      <c r="G8817" t="str">
        <v>ProjectedCrs</v>
      </c>
      <c r="H8817" t="str">
        <v>Lambert Azimuthal Equal Area</v>
      </c>
      <c r="I8817" t="str">
        <v>Mars (2015) - Sphere / Ocentric / Lambert Azimuthal Equal Area</v>
      </c>
      <c r="J8817" t="str">
        <v>Not specified.</v>
      </c>
      <c r="K8817" s="11">
        <v>0</v>
      </c>
    </row>
    <row r="8818" spans="5:11" x14ac:dyDescent="0.35">
      <c r="E8818" s="9" t="str">
        <v>IAU_2015</v>
      </c>
      <c r="F8818" s="7" t="str">
        <v>49981</v>
      </c>
      <c r="G8818" t="str">
        <v>ProjectedCrs</v>
      </c>
      <c r="H8818" t="str">
        <v>Lambert Azimuthal Equal Area</v>
      </c>
      <c r="I8818" t="str">
        <v>Mars (2015) / Ographic / Lambert Azimuthal Equal Area</v>
      </c>
      <c r="J8818" t="str">
        <v>Not specified.</v>
      </c>
      <c r="K8818" s="11">
        <v>0</v>
      </c>
    </row>
    <row r="8819" spans="5:11" x14ac:dyDescent="0.35">
      <c r="E8819" s="9" t="str">
        <v>IAU_2015</v>
      </c>
      <c r="F8819" s="7" t="str">
        <v>49982</v>
      </c>
      <c r="G8819" t="str">
        <v>ProjectedCrs</v>
      </c>
      <c r="H8819" t="str">
        <v>Lambert Azimuthal Equal Area</v>
      </c>
      <c r="I8819" t="str">
        <v>Mars (2015) / Ocentric / Lambert Azimuthal Equal Area</v>
      </c>
      <c r="J8819" t="str">
        <v>Not specified.</v>
      </c>
      <c r="K8819" s="11">
        <v>0</v>
      </c>
    </row>
    <row r="8820" spans="5:11" x14ac:dyDescent="0.35">
      <c r="E8820" s="9" t="str">
        <v>IAU_2015</v>
      </c>
      <c r="F8820" s="7" t="str">
        <v>49985</v>
      </c>
      <c r="G8820" t="str">
        <v>ProjectedCrs</v>
      </c>
      <c r="H8820" t="str">
        <v>Albers Equal Area</v>
      </c>
      <c r="I8820" t="str">
        <v>Mars (2015) - Sphere / Ocentric / Albers Equal Area</v>
      </c>
      <c r="J8820" t="str">
        <v>Not specified.</v>
      </c>
      <c r="K8820" s="11">
        <v>0</v>
      </c>
    </row>
    <row r="8821" spans="5:11" x14ac:dyDescent="0.35">
      <c r="E8821" s="9" t="str">
        <v>IAU_2015</v>
      </c>
      <c r="F8821" s="7" t="str">
        <v>49986</v>
      </c>
      <c r="G8821" t="str">
        <v>ProjectedCrs</v>
      </c>
      <c r="H8821" t="str">
        <v>Albers Equal Area</v>
      </c>
      <c r="I8821" t="str">
        <v>Mars (2015) / Ographic / Albers Equal Area</v>
      </c>
      <c r="J8821" t="str">
        <v>Not specified.</v>
      </c>
      <c r="K8821" s="11">
        <v>0</v>
      </c>
    </row>
    <row r="8822" spans="5:11" x14ac:dyDescent="0.35">
      <c r="E8822" s="9" t="str">
        <v>IAU_2015</v>
      </c>
      <c r="F8822" s="7" t="str">
        <v>49987</v>
      </c>
      <c r="G8822" t="str">
        <v>ProjectedCrs</v>
      </c>
      <c r="H8822" t="str">
        <v>Albers Equal Area</v>
      </c>
      <c r="I8822" t="str">
        <v>Mars (2015) / Ocentric / Albers Equal Area</v>
      </c>
      <c r="J8822" t="str">
        <v>Not specified.</v>
      </c>
      <c r="K8822" s="11">
        <v>0</v>
      </c>
    </row>
    <row r="8823" spans="5:11" x14ac:dyDescent="0.35">
      <c r="E8823" s="9" t="str">
        <v>IAU_2015</v>
      </c>
      <c r="F8823" s="7" t="str">
        <v>49990</v>
      </c>
      <c r="G8823" t="str">
        <v>ProjectedCrs</v>
      </c>
      <c r="H8823" t="str">
        <v>Mercator (Spherical)</v>
      </c>
      <c r="I8823" t="str">
        <v>Mars (2015) - Sphere / Ocentric / Mercator</v>
      </c>
      <c r="J8823" t="str">
        <v>Not specified.</v>
      </c>
      <c r="K8823" s="11">
        <v>0</v>
      </c>
    </row>
    <row r="8824" spans="5:11" x14ac:dyDescent="0.35">
      <c r="E8824" s="9" t="str">
        <v>IAU_2015</v>
      </c>
      <c r="F8824" s="7" t="str">
        <v>49991</v>
      </c>
      <c r="G8824" t="str">
        <v>ProjectedCrs</v>
      </c>
      <c r="H8824" t="str">
        <v>Mercator (Spherical)</v>
      </c>
      <c r="I8824" t="str">
        <v>Mars (2015) / Ographic / Mercator</v>
      </c>
      <c r="J8824" t="str">
        <v>Not specified.</v>
      </c>
      <c r="K8824" s="11">
        <v>0</v>
      </c>
    </row>
    <row r="8825" spans="5:11" x14ac:dyDescent="0.35">
      <c r="E8825" s="9" t="str">
        <v>IAU_2015</v>
      </c>
      <c r="F8825" s="7" t="str">
        <v>49992</v>
      </c>
      <c r="G8825" t="str">
        <v>ProjectedCrs</v>
      </c>
      <c r="H8825" t="str">
        <v>Mercator (Spherical)</v>
      </c>
      <c r="I8825" t="str">
        <v>Mars (2015) / Ocentric / Mercator</v>
      </c>
      <c r="J8825" t="str">
        <v>Not specified.</v>
      </c>
      <c r="K8825" s="11">
        <v>0</v>
      </c>
    </row>
    <row r="8826" spans="5:11" x14ac:dyDescent="0.35">
      <c r="E8826" s="9" t="str">
        <v>IAU_2015</v>
      </c>
      <c r="F8826" s="7" t="str">
        <v>50100</v>
      </c>
      <c r="G8826" t="str">
        <v>Geographic2DCrs</v>
      </c>
      <c r="H8826" t="str">
        <v>&lt;undefined&gt;</v>
      </c>
      <c r="I8826" t="str">
        <v>Io (2015) - Sphere / Ocentric</v>
      </c>
      <c r="J8826" t="str">
        <v>Not specified.</v>
      </c>
      <c r="K8826" s="11">
        <v>0</v>
      </c>
    </row>
    <row r="8827" spans="5:11" x14ac:dyDescent="0.35">
      <c r="E8827" s="9" t="str">
        <v>IAU_2015</v>
      </c>
      <c r="F8827" s="7" t="str">
        <v>50110</v>
      </c>
      <c r="G8827" t="str">
        <v>ProjectedCrs</v>
      </c>
      <c r="H8827" t="str">
        <v>Equidistant Cylindrical</v>
      </c>
      <c r="I8827" t="str">
        <v>Io (2015) - Sphere / Ocentric / Equirectangular, clon = 0</v>
      </c>
      <c r="J8827" t="str">
        <v>Not specified.</v>
      </c>
      <c r="K8827" s="11">
        <v>0</v>
      </c>
    </row>
    <row r="8828" spans="5:11" x14ac:dyDescent="0.35">
      <c r="E8828" s="9" t="str">
        <v>IAU_2015</v>
      </c>
      <c r="F8828" s="7" t="str">
        <v>50115</v>
      </c>
      <c r="G8828" t="str">
        <v>ProjectedCrs</v>
      </c>
      <c r="H8828" t="str">
        <v>Equidistant Cylindrical</v>
      </c>
      <c r="I8828" t="str">
        <v>Io (2015) - Sphere / Ocentric / Equirectangular, clon = 180</v>
      </c>
      <c r="J8828" t="str">
        <v>Not specified.</v>
      </c>
      <c r="K8828" s="11">
        <v>0</v>
      </c>
    </row>
    <row r="8829" spans="5:11" x14ac:dyDescent="0.35">
      <c r="E8829" s="9" t="str">
        <v>IAU_2015</v>
      </c>
      <c r="F8829" s="7" t="str">
        <v>50120</v>
      </c>
      <c r="G8829" t="str">
        <v>ProjectedCrs</v>
      </c>
      <c r="H8829" t="str">
        <v>Sinusoidal</v>
      </c>
      <c r="I8829" t="str">
        <v>Io (2015) - Sphere / Ocentric / Sinusoidal, clon = 0</v>
      </c>
      <c r="J8829" t="str">
        <v>Not specified.</v>
      </c>
      <c r="K8829" s="11">
        <v>0</v>
      </c>
    </row>
    <row r="8830" spans="5:11" x14ac:dyDescent="0.35">
      <c r="E8830" s="9" t="str">
        <v>IAU_2015</v>
      </c>
      <c r="F8830" s="7" t="str">
        <v>50125</v>
      </c>
      <c r="G8830" t="str">
        <v>ProjectedCrs</v>
      </c>
      <c r="H8830" t="str">
        <v>Sinusoidal</v>
      </c>
      <c r="I8830" t="str">
        <v>Io (2015) - Sphere / Ocentric / Sinusoidal, clon = 180</v>
      </c>
      <c r="J8830" t="str">
        <v>Not specified.</v>
      </c>
      <c r="K8830" s="11">
        <v>0</v>
      </c>
    </row>
    <row r="8831" spans="5:11" x14ac:dyDescent="0.35">
      <c r="E8831" s="9" t="str">
        <v>IAU_2015</v>
      </c>
      <c r="F8831" s="7" t="str">
        <v>50130</v>
      </c>
      <c r="G8831" t="str">
        <v>ProjectedCrs</v>
      </c>
      <c r="H8831" t="str">
        <v>Polar Stereographic (variant A)</v>
      </c>
      <c r="I8831" t="str">
        <v>Io (2015) - Sphere / Ocentric / North Polar</v>
      </c>
      <c r="J8831" t="str">
        <v>Not specified.</v>
      </c>
      <c r="K8831" s="11">
        <v>0</v>
      </c>
    </row>
    <row r="8832" spans="5:11" x14ac:dyDescent="0.35">
      <c r="E8832" s="9" t="str">
        <v>IAU_2015</v>
      </c>
      <c r="F8832" s="7" t="str">
        <v>50135</v>
      </c>
      <c r="G8832" t="str">
        <v>ProjectedCrs</v>
      </c>
      <c r="H8832" t="str">
        <v>Polar Stereographic (variant A)</v>
      </c>
      <c r="I8832" t="str">
        <v>Io (2015) - Sphere / Ocentric / South Polar</v>
      </c>
      <c r="J8832" t="str">
        <v>Not specified.</v>
      </c>
      <c r="K8832" s="11">
        <v>0</v>
      </c>
    </row>
    <row r="8833" spans="5:11" x14ac:dyDescent="0.35">
      <c r="E8833" s="9" t="str">
        <v>IAU_2015</v>
      </c>
      <c r="F8833" s="7" t="str">
        <v>50140</v>
      </c>
      <c r="G8833" t="str">
        <v>ProjectedCrs</v>
      </c>
      <c r="H8833" t="str">
        <v>Mollweide</v>
      </c>
      <c r="I8833" t="str">
        <v>Io (2015) - Sphere / Ocentric / Mollweide, clon = 0</v>
      </c>
      <c r="J8833" t="str">
        <v>Not specified.</v>
      </c>
      <c r="K8833" s="11">
        <v>0</v>
      </c>
    </row>
    <row r="8834" spans="5:11" x14ac:dyDescent="0.35">
      <c r="E8834" s="9" t="str">
        <v>IAU_2015</v>
      </c>
      <c r="F8834" s="7" t="str">
        <v>50145</v>
      </c>
      <c r="G8834" t="str">
        <v>ProjectedCrs</v>
      </c>
      <c r="H8834" t="str">
        <v>Mollweide</v>
      </c>
      <c r="I8834" t="str">
        <v>Io (2015) - Sphere / Ocentric / Mollweide, clon = 180</v>
      </c>
      <c r="J8834" t="str">
        <v>Not specified.</v>
      </c>
      <c r="K8834" s="11">
        <v>0</v>
      </c>
    </row>
    <row r="8835" spans="5:11" x14ac:dyDescent="0.35">
      <c r="E8835" s="9" t="str">
        <v>IAU_2015</v>
      </c>
      <c r="F8835" s="7" t="str">
        <v>50150</v>
      </c>
      <c r="G8835" t="str">
        <v>ProjectedCrs</v>
      </c>
      <c r="H8835" t="str">
        <v>Robinson</v>
      </c>
      <c r="I8835" t="str">
        <v>Io (2015) - Sphere / Ocentric / Robinson, clon = 0</v>
      </c>
      <c r="J8835" t="str">
        <v>Not specified.</v>
      </c>
      <c r="K8835" s="11">
        <v>0</v>
      </c>
    </row>
    <row r="8836" spans="5:11" x14ac:dyDescent="0.35">
      <c r="E8836" s="9" t="str">
        <v>IAU_2015</v>
      </c>
      <c r="F8836" s="7" t="str">
        <v>50155</v>
      </c>
      <c r="G8836" t="str">
        <v>ProjectedCrs</v>
      </c>
      <c r="H8836" t="str">
        <v>Robinson</v>
      </c>
      <c r="I8836" t="str">
        <v>Io (2015) - Sphere / Ocentric / Robinson, clon = 180</v>
      </c>
      <c r="J8836" t="str">
        <v>Not specified.</v>
      </c>
      <c r="K8836" s="11">
        <v>0</v>
      </c>
    </row>
    <row r="8837" spans="5:11" x14ac:dyDescent="0.35">
      <c r="E8837" s="9" t="str">
        <v>IAU_2015</v>
      </c>
      <c r="F8837" s="7" t="str">
        <v>50160</v>
      </c>
      <c r="G8837" t="str">
        <v>ProjectedCrs</v>
      </c>
      <c r="H8837" t="str">
        <v>Transverse Mercator</v>
      </c>
      <c r="I8837" t="str">
        <v>Io (2015) - Sphere / Ocentric / Tranverse Mercator</v>
      </c>
      <c r="J8837" t="str">
        <v>Not specified.</v>
      </c>
      <c r="K8837" s="11">
        <v>0</v>
      </c>
    </row>
    <row r="8838" spans="5:11" x14ac:dyDescent="0.35">
      <c r="E8838" s="9" t="str">
        <v>IAU_2015</v>
      </c>
      <c r="F8838" s="7" t="str">
        <v>50165</v>
      </c>
      <c r="G8838" t="str">
        <v>ProjectedCrs</v>
      </c>
      <c r="H8838" t="str">
        <v>Orthographic</v>
      </c>
      <c r="I8838" t="str">
        <v>Io (2015) - Sphere / Ocentric / Orthographic, clon = 0</v>
      </c>
      <c r="J8838" t="str">
        <v>Not specified.</v>
      </c>
      <c r="K8838" s="11">
        <v>0</v>
      </c>
    </row>
    <row r="8839" spans="5:11" x14ac:dyDescent="0.35">
      <c r="E8839" s="9" t="str">
        <v>IAU_2015</v>
      </c>
      <c r="F8839" s="7" t="str">
        <v>50170</v>
      </c>
      <c r="G8839" t="str">
        <v>ProjectedCrs</v>
      </c>
      <c r="H8839" t="str">
        <v>Orthographic</v>
      </c>
      <c r="I8839" t="str">
        <v>Io (2015) - Sphere / Ocentric / Orthographic, clon = 180</v>
      </c>
      <c r="J8839" t="str">
        <v>Not specified.</v>
      </c>
      <c r="K8839" s="11">
        <v>0</v>
      </c>
    </row>
    <row r="8840" spans="5:11" x14ac:dyDescent="0.35">
      <c r="E8840" s="9" t="str">
        <v>IAU_2015</v>
      </c>
      <c r="F8840" s="7" t="str">
        <v>50175</v>
      </c>
      <c r="G8840" t="str">
        <v>ProjectedCrs</v>
      </c>
      <c r="H8840" t="str">
        <v>Lambert Conic Conformal (2SP)</v>
      </c>
      <c r="I8840" t="str">
        <v>Io (2015) - Sphere / Ocentric / Lambert Conic Conformal</v>
      </c>
      <c r="J8840" t="str">
        <v>Not specified.</v>
      </c>
      <c r="K8840" s="11">
        <v>0</v>
      </c>
    </row>
    <row r="8841" spans="5:11" x14ac:dyDescent="0.35">
      <c r="E8841" s="9" t="str">
        <v>IAU_2015</v>
      </c>
      <c r="F8841" s="7" t="str">
        <v>50180</v>
      </c>
      <c r="G8841" t="str">
        <v>ProjectedCrs</v>
      </c>
      <c r="H8841" t="str">
        <v>Lambert Azimuthal Equal Area</v>
      </c>
      <c r="I8841" t="str">
        <v>Io (2015) - Sphere / Ocentric / Lambert Azimuthal Equal Area</v>
      </c>
      <c r="J8841" t="str">
        <v>Not specified.</v>
      </c>
      <c r="K8841" s="11">
        <v>0</v>
      </c>
    </row>
    <row r="8842" spans="5:11" x14ac:dyDescent="0.35">
      <c r="E8842" s="9" t="str">
        <v>IAU_2015</v>
      </c>
      <c r="F8842" s="7" t="str">
        <v>50185</v>
      </c>
      <c r="G8842" t="str">
        <v>ProjectedCrs</v>
      </c>
      <c r="H8842" t="str">
        <v>Albers Equal Area</v>
      </c>
      <c r="I8842" t="str">
        <v>Io (2015) - Sphere / Ocentric / Albers Equal Area</v>
      </c>
      <c r="J8842" t="str">
        <v>Not specified.</v>
      </c>
      <c r="K8842" s="11">
        <v>0</v>
      </c>
    </row>
    <row r="8843" spans="5:11" x14ac:dyDescent="0.35">
      <c r="E8843" s="9" t="str">
        <v>IAU_2015</v>
      </c>
      <c r="F8843" s="7" t="str">
        <v>50190</v>
      </c>
      <c r="G8843" t="str">
        <v>ProjectedCrs</v>
      </c>
      <c r="H8843" t="str">
        <v>Mercator (Spherical)</v>
      </c>
      <c r="I8843" t="str">
        <v>Io (2015) - Sphere / Ocentric / Mercator</v>
      </c>
      <c r="J8843" t="str">
        <v>Not specified.</v>
      </c>
      <c r="K8843" s="11">
        <v>0</v>
      </c>
    </row>
    <row r="8844" spans="5:11" x14ac:dyDescent="0.35">
      <c r="E8844" s="9" t="str">
        <v>IAU_2015</v>
      </c>
      <c r="F8844" s="7" t="str">
        <v>50200</v>
      </c>
      <c r="G8844" t="str">
        <v>Geographic2DCrs</v>
      </c>
      <c r="H8844" t="str">
        <v>&lt;undefined&gt;</v>
      </c>
      <c r="I8844" t="str">
        <v>Europa (2015) - Sphere / Ocentric</v>
      </c>
      <c r="J8844" t="str">
        <v>Not specified.</v>
      </c>
      <c r="K8844" s="11">
        <v>0</v>
      </c>
    </row>
    <row r="8845" spans="5:11" x14ac:dyDescent="0.35">
      <c r="E8845" s="9" t="str">
        <v>IAU_2015</v>
      </c>
      <c r="F8845" s="7" t="str">
        <v>50210</v>
      </c>
      <c r="G8845" t="str">
        <v>ProjectedCrs</v>
      </c>
      <c r="H8845" t="str">
        <v>Equidistant Cylindrical</v>
      </c>
      <c r="I8845" t="str">
        <v>Europa (2015) - Sphere / Ocentric / Equirectangular, clon = 0</v>
      </c>
      <c r="J8845" t="str">
        <v>Not specified.</v>
      </c>
      <c r="K8845" s="11">
        <v>0</v>
      </c>
    </row>
    <row r="8846" spans="5:11" x14ac:dyDescent="0.35">
      <c r="E8846" s="9" t="str">
        <v>IAU_2015</v>
      </c>
      <c r="F8846" s="7" t="str">
        <v>50215</v>
      </c>
      <c r="G8846" t="str">
        <v>ProjectedCrs</v>
      </c>
      <c r="H8846" t="str">
        <v>Equidistant Cylindrical</v>
      </c>
      <c r="I8846" t="str">
        <v>Europa (2015) - Sphere / Ocentric / Equirectangular, clon = 180</v>
      </c>
      <c r="J8846" t="str">
        <v>Not specified.</v>
      </c>
      <c r="K8846" s="11">
        <v>0</v>
      </c>
    </row>
    <row r="8847" spans="5:11" x14ac:dyDescent="0.35">
      <c r="E8847" s="9" t="str">
        <v>IAU_2015</v>
      </c>
      <c r="F8847" s="7" t="str">
        <v>50220</v>
      </c>
      <c r="G8847" t="str">
        <v>ProjectedCrs</v>
      </c>
      <c r="H8847" t="str">
        <v>Sinusoidal</v>
      </c>
      <c r="I8847" t="str">
        <v>Europa (2015) - Sphere / Ocentric / Sinusoidal, clon = 0</v>
      </c>
      <c r="J8847" t="str">
        <v>Not specified.</v>
      </c>
      <c r="K8847" s="11">
        <v>0</v>
      </c>
    </row>
    <row r="8848" spans="5:11" x14ac:dyDescent="0.35">
      <c r="E8848" s="9" t="str">
        <v>IAU_2015</v>
      </c>
      <c r="F8848" s="7" t="str">
        <v>50225</v>
      </c>
      <c r="G8848" t="str">
        <v>ProjectedCrs</v>
      </c>
      <c r="H8848" t="str">
        <v>Sinusoidal</v>
      </c>
      <c r="I8848" t="str">
        <v>Europa (2015) - Sphere / Ocentric / Sinusoidal, clon = 180</v>
      </c>
      <c r="J8848" t="str">
        <v>Not specified.</v>
      </c>
      <c r="K8848" s="11">
        <v>0</v>
      </c>
    </row>
    <row r="8849" spans="5:11" x14ac:dyDescent="0.35">
      <c r="E8849" s="9" t="str">
        <v>IAU_2015</v>
      </c>
      <c r="F8849" s="7" t="str">
        <v>50230</v>
      </c>
      <c r="G8849" t="str">
        <v>ProjectedCrs</v>
      </c>
      <c r="H8849" t="str">
        <v>Polar Stereographic (variant A)</v>
      </c>
      <c r="I8849" t="str">
        <v>Europa (2015) - Sphere / Ocentric / North Polar</v>
      </c>
      <c r="J8849" t="str">
        <v>Not specified.</v>
      </c>
      <c r="K8849" s="11">
        <v>0</v>
      </c>
    </row>
    <row r="8850" spans="5:11" x14ac:dyDescent="0.35">
      <c r="E8850" s="9" t="str">
        <v>IAU_2015</v>
      </c>
      <c r="F8850" s="7" t="str">
        <v>50235</v>
      </c>
      <c r="G8850" t="str">
        <v>ProjectedCrs</v>
      </c>
      <c r="H8850" t="str">
        <v>Polar Stereographic (variant A)</v>
      </c>
      <c r="I8850" t="str">
        <v>Europa (2015) - Sphere / Ocentric / South Polar</v>
      </c>
      <c r="J8850" t="str">
        <v>Not specified.</v>
      </c>
      <c r="K8850" s="11">
        <v>0</v>
      </c>
    </row>
    <row r="8851" spans="5:11" x14ac:dyDescent="0.35">
      <c r="E8851" s="9" t="str">
        <v>IAU_2015</v>
      </c>
      <c r="F8851" s="7" t="str">
        <v>50240</v>
      </c>
      <c r="G8851" t="str">
        <v>ProjectedCrs</v>
      </c>
      <c r="H8851" t="str">
        <v>Mollweide</v>
      </c>
      <c r="I8851" t="str">
        <v>Europa (2015) - Sphere / Ocentric / Mollweide, clon = 0</v>
      </c>
      <c r="J8851" t="str">
        <v>Not specified.</v>
      </c>
      <c r="K8851" s="11">
        <v>0</v>
      </c>
    </row>
    <row r="8852" spans="5:11" x14ac:dyDescent="0.35">
      <c r="E8852" s="9" t="str">
        <v>IAU_2015</v>
      </c>
      <c r="F8852" s="7" t="str">
        <v>50245</v>
      </c>
      <c r="G8852" t="str">
        <v>ProjectedCrs</v>
      </c>
      <c r="H8852" t="str">
        <v>Mollweide</v>
      </c>
      <c r="I8852" t="str">
        <v>Europa (2015) - Sphere / Ocentric / Mollweide, clon = 180</v>
      </c>
      <c r="J8852" t="str">
        <v>Not specified.</v>
      </c>
      <c r="K8852" s="11">
        <v>0</v>
      </c>
    </row>
    <row r="8853" spans="5:11" x14ac:dyDescent="0.35">
      <c r="E8853" s="9" t="str">
        <v>IAU_2015</v>
      </c>
      <c r="F8853" s="7" t="str">
        <v>50250</v>
      </c>
      <c r="G8853" t="str">
        <v>ProjectedCrs</v>
      </c>
      <c r="H8853" t="str">
        <v>Robinson</v>
      </c>
      <c r="I8853" t="str">
        <v>Europa (2015) - Sphere / Ocentric / Robinson, clon = 0</v>
      </c>
      <c r="J8853" t="str">
        <v>Not specified.</v>
      </c>
      <c r="K8853" s="11">
        <v>0</v>
      </c>
    </row>
    <row r="8854" spans="5:11" x14ac:dyDescent="0.35">
      <c r="E8854" s="9" t="str">
        <v>IAU_2015</v>
      </c>
      <c r="F8854" s="7" t="str">
        <v>50255</v>
      </c>
      <c r="G8854" t="str">
        <v>ProjectedCrs</v>
      </c>
      <c r="H8854" t="str">
        <v>Robinson</v>
      </c>
      <c r="I8854" t="str">
        <v>Europa (2015) - Sphere / Ocentric / Robinson, clon = 180</v>
      </c>
      <c r="J8854" t="str">
        <v>Not specified.</v>
      </c>
      <c r="K8854" s="11">
        <v>0</v>
      </c>
    </row>
    <row r="8855" spans="5:11" x14ac:dyDescent="0.35">
      <c r="E8855" s="9" t="str">
        <v>IAU_2015</v>
      </c>
      <c r="F8855" s="7" t="str">
        <v>50260</v>
      </c>
      <c r="G8855" t="str">
        <v>ProjectedCrs</v>
      </c>
      <c r="H8855" t="str">
        <v>Transverse Mercator</v>
      </c>
      <c r="I8855" t="str">
        <v>Europa (2015) - Sphere / Ocentric / Tranverse Mercator</v>
      </c>
      <c r="J8855" t="str">
        <v>Not specified.</v>
      </c>
      <c r="K8855" s="11">
        <v>0</v>
      </c>
    </row>
    <row r="8856" spans="5:11" x14ac:dyDescent="0.35">
      <c r="E8856" s="9" t="str">
        <v>IAU_2015</v>
      </c>
      <c r="F8856" s="7" t="str">
        <v>50265</v>
      </c>
      <c r="G8856" t="str">
        <v>ProjectedCrs</v>
      </c>
      <c r="H8856" t="str">
        <v>Orthographic</v>
      </c>
      <c r="I8856" t="str">
        <v>Europa (2015) - Sphere / Ocentric / Orthographic, clon = 0</v>
      </c>
      <c r="J8856" t="str">
        <v>Not specified.</v>
      </c>
      <c r="K8856" s="11">
        <v>0</v>
      </c>
    </row>
    <row r="8857" spans="5:11" x14ac:dyDescent="0.35">
      <c r="E8857" s="9" t="str">
        <v>IAU_2015</v>
      </c>
      <c r="F8857" s="7" t="str">
        <v>50270</v>
      </c>
      <c r="G8857" t="str">
        <v>ProjectedCrs</v>
      </c>
      <c r="H8857" t="str">
        <v>Orthographic</v>
      </c>
      <c r="I8857" t="str">
        <v>Europa (2015) - Sphere / Ocentric / Orthographic, clon = 180</v>
      </c>
      <c r="J8857" t="str">
        <v>Not specified.</v>
      </c>
      <c r="K8857" s="11">
        <v>0</v>
      </c>
    </row>
    <row r="8858" spans="5:11" x14ac:dyDescent="0.35">
      <c r="E8858" s="9" t="str">
        <v>IAU_2015</v>
      </c>
      <c r="F8858" s="7" t="str">
        <v>50275</v>
      </c>
      <c r="G8858" t="str">
        <v>ProjectedCrs</v>
      </c>
      <c r="H8858" t="str">
        <v>Lambert Conic Conformal (2SP)</v>
      </c>
      <c r="I8858" t="str">
        <v>Europa (2015) - Sphere / Ocentric / Lambert Conic Conformal</v>
      </c>
      <c r="J8858" t="str">
        <v>Not specified.</v>
      </c>
      <c r="K8858" s="11">
        <v>0</v>
      </c>
    </row>
    <row r="8859" spans="5:11" x14ac:dyDescent="0.35">
      <c r="E8859" s="9" t="str">
        <v>IAU_2015</v>
      </c>
      <c r="F8859" s="7" t="str">
        <v>50280</v>
      </c>
      <c r="G8859" t="str">
        <v>ProjectedCrs</v>
      </c>
      <c r="H8859" t="str">
        <v>Lambert Azimuthal Equal Area</v>
      </c>
      <c r="I8859" t="str">
        <v>Europa (2015) - Sphere / Ocentric / Lambert Azimuthal Equal Area</v>
      </c>
      <c r="J8859" t="str">
        <v>Not specified.</v>
      </c>
      <c r="K8859" s="11">
        <v>0</v>
      </c>
    </row>
    <row r="8860" spans="5:11" x14ac:dyDescent="0.35">
      <c r="E8860" s="9" t="str">
        <v>IAU_2015</v>
      </c>
      <c r="F8860" s="7" t="str">
        <v>50285</v>
      </c>
      <c r="G8860" t="str">
        <v>ProjectedCrs</v>
      </c>
      <c r="H8860" t="str">
        <v>Albers Equal Area</v>
      </c>
      <c r="I8860" t="str">
        <v>Europa (2015) - Sphere / Ocentric / Albers Equal Area</v>
      </c>
      <c r="J8860" t="str">
        <v>Not specified.</v>
      </c>
      <c r="K8860" s="11">
        <v>0</v>
      </c>
    </row>
    <row r="8861" spans="5:11" x14ac:dyDescent="0.35">
      <c r="E8861" s="9" t="str">
        <v>IAU_2015</v>
      </c>
      <c r="F8861" s="7" t="str">
        <v>50290</v>
      </c>
      <c r="G8861" t="str">
        <v>ProjectedCrs</v>
      </c>
      <c r="H8861" t="str">
        <v>Mercator (Spherical)</v>
      </c>
      <c r="I8861" t="str">
        <v>Europa (2015) - Sphere / Ocentric / Mercator</v>
      </c>
      <c r="J8861" t="str">
        <v>Not specified.</v>
      </c>
      <c r="K8861" s="11">
        <v>0</v>
      </c>
    </row>
    <row r="8862" spans="5:11" x14ac:dyDescent="0.35">
      <c r="E8862" s="9" t="str">
        <v>IAU_2015</v>
      </c>
      <c r="F8862" s="7" t="str">
        <v>50300</v>
      </c>
      <c r="G8862" t="str">
        <v>Geographic2DCrs</v>
      </c>
      <c r="H8862" t="str">
        <v>&lt;undefined&gt;</v>
      </c>
      <c r="I8862" t="str">
        <v>Ganymede (2015) - Sphere / Ocentric</v>
      </c>
      <c r="J8862" t="str">
        <v>Not specified.</v>
      </c>
      <c r="K8862" s="11">
        <v>0</v>
      </c>
    </row>
    <row r="8863" spans="5:11" x14ac:dyDescent="0.35">
      <c r="E8863" s="9" t="str">
        <v>IAU_2015</v>
      </c>
      <c r="F8863" s="7" t="str">
        <v>50301</v>
      </c>
      <c r="G8863" t="str">
        <v>Geographic2DCrs</v>
      </c>
      <c r="H8863" t="str">
        <v>&lt;undefined&gt;</v>
      </c>
      <c r="I8863" t="str">
        <v>Ganymede (2015) / Ographic</v>
      </c>
      <c r="J8863" t="str">
        <v>Not specified.</v>
      </c>
      <c r="K8863" s="11">
        <v>0</v>
      </c>
    </row>
    <row r="8864" spans="5:11" x14ac:dyDescent="0.35">
      <c r="E8864" s="9" t="str">
        <v>IAU_2015</v>
      </c>
      <c r="F8864" s="7" t="str">
        <v>50310</v>
      </c>
      <c r="G8864" t="str">
        <v>ProjectedCrs</v>
      </c>
      <c r="H8864" t="str">
        <v>Equidistant Cylindrical</v>
      </c>
      <c r="I8864" t="str">
        <v>Ganymede (2015) - Sphere / Ocentric / Equirectangular, clon = 0</v>
      </c>
      <c r="J8864" t="str">
        <v>Not specified.</v>
      </c>
      <c r="K8864" s="11">
        <v>0</v>
      </c>
    </row>
    <row r="8865" spans="5:11" x14ac:dyDescent="0.35">
      <c r="E8865" s="9" t="str">
        <v>IAU_2015</v>
      </c>
      <c r="F8865" s="7" t="str">
        <v>50311</v>
      </c>
      <c r="G8865" t="str">
        <v>ProjectedCrs</v>
      </c>
      <c r="H8865" t="str">
        <v>Equidistant Cylindrical</v>
      </c>
      <c r="I8865" t="str">
        <v>Ganymede (2015) / Ographic / Equirectangular, clon = 0</v>
      </c>
      <c r="J8865" t="str">
        <v>Not specified.</v>
      </c>
      <c r="K8865" s="11">
        <v>0</v>
      </c>
    </row>
    <row r="8866" spans="5:11" x14ac:dyDescent="0.35">
      <c r="E8866" s="9" t="str">
        <v>IAU_2015</v>
      </c>
      <c r="F8866" s="7" t="str">
        <v>50315</v>
      </c>
      <c r="G8866" t="str">
        <v>ProjectedCrs</v>
      </c>
      <c r="H8866" t="str">
        <v>Equidistant Cylindrical</v>
      </c>
      <c r="I8866" t="str">
        <v>Ganymede (2015) - Sphere / Ocentric / Equirectangular, clon = 180</v>
      </c>
      <c r="J8866" t="str">
        <v>Not specified.</v>
      </c>
      <c r="K8866" s="11">
        <v>0</v>
      </c>
    </row>
    <row r="8867" spans="5:11" x14ac:dyDescent="0.35">
      <c r="E8867" s="9" t="str">
        <v>IAU_2015</v>
      </c>
      <c r="F8867" s="7" t="str">
        <v>50316</v>
      </c>
      <c r="G8867" t="str">
        <v>ProjectedCrs</v>
      </c>
      <c r="H8867" t="str">
        <v>Equidistant Cylindrical</v>
      </c>
      <c r="I8867" t="str">
        <v>Ganymede (2015) / Ographic / Equirectangular, clon = 180</v>
      </c>
      <c r="J8867" t="str">
        <v>Not specified.</v>
      </c>
      <c r="K8867" s="11">
        <v>0</v>
      </c>
    </row>
    <row r="8868" spans="5:11" x14ac:dyDescent="0.35">
      <c r="E8868" s="9" t="str">
        <v>IAU_2015</v>
      </c>
      <c r="F8868" s="7" t="str">
        <v>50320</v>
      </c>
      <c r="G8868" t="str">
        <v>ProjectedCrs</v>
      </c>
      <c r="H8868" t="str">
        <v>Sinusoidal</v>
      </c>
      <c r="I8868" t="str">
        <v>Ganymede (2015) - Sphere / Ocentric / Sinusoidal, clon = 0</v>
      </c>
      <c r="J8868" t="str">
        <v>Not specified.</v>
      </c>
      <c r="K8868" s="11">
        <v>0</v>
      </c>
    </row>
    <row r="8869" spans="5:11" x14ac:dyDescent="0.35">
      <c r="E8869" s="9" t="str">
        <v>IAU_2015</v>
      </c>
      <c r="F8869" s="7" t="str">
        <v>50321</v>
      </c>
      <c r="G8869" t="str">
        <v>ProjectedCrs</v>
      </c>
      <c r="H8869" t="str">
        <v>Sinusoidal</v>
      </c>
      <c r="I8869" t="str">
        <v>Ganymede (2015) / Ographic / Sinusoidal, clon = 0</v>
      </c>
      <c r="J8869" t="str">
        <v>Not specified.</v>
      </c>
      <c r="K8869" s="11">
        <v>0</v>
      </c>
    </row>
    <row r="8870" spans="5:11" x14ac:dyDescent="0.35">
      <c r="E8870" s="9" t="str">
        <v>IAU_2015</v>
      </c>
      <c r="F8870" s="7" t="str">
        <v>50325</v>
      </c>
      <c r="G8870" t="str">
        <v>ProjectedCrs</v>
      </c>
      <c r="H8870" t="str">
        <v>Sinusoidal</v>
      </c>
      <c r="I8870" t="str">
        <v>Ganymede (2015) - Sphere / Ocentric / Sinusoidal, clon = 180</v>
      </c>
      <c r="J8870" t="str">
        <v>Not specified.</v>
      </c>
      <c r="K8870" s="11">
        <v>0</v>
      </c>
    </row>
    <row r="8871" spans="5:11" x14ac:dyDescent="0.35">
      <c r="E8871" s="9" t="str">
        <v>IAU_2015</v>
      </c>
      <c r="F8871" s="7" t="str">
        <v>50326</v>
      </c>
      <c r="G8871" t="str">
        <v>ProjectedCrs</v>
      </c>
      <c r="H8871" t="str">
        <v>Sinusoidal</v>
      </c>
      <c r="I8871" t="str">
        <v>Ganymede (2015) / Ographic / Sinusoidal, clon = 180</v>
      </c>
      <c r="J8871" t="str">
        <v>Not specified.</v>
      </c>
      <c r="K8871" s="11">
        <v>0</v>
      </c>
    </row>
    <row r="8872" spans="5:11" x14ac:dyDescent="0.35">
      <c r="E8872" s="9" t="str">
        <v>IAU_2015</v>
      </c>
      <c r="F8872" s="7" t="str">
        <v>50330</v>
      </c>
      <c r="G8872" t="str">
        <v>ProjectedCrs</v>
      </c>
      <c r="H8872" t="str">
        <v>Polar Stereographic (variant A)</v>
      </c>
      <c r="I8872" t="str">
        <v>Ganymede (2015) - Sphere / Ocentric / North Polar</v>
      </c>
      <c r="J8872" t="str">
        <v>Not specified.</v>
      </c>
      <c r="K8872" s="11">
        <v>0</v>
      </c>
    </row>
    <row r="8873" spans="5:11" x14ac:dyDescent="0.35">
      <c r="E8873" s="9" t="str">
        <v>IAU_2015</v>
      </c>
      <c r="F8873" s="7" t="str">
        <v>50331</v>
      </c>
      <c r="G8873" t="str">
        <v>ProjectedCrs</v>
      </c>
      <c r="H8873" t="str">
        <v>Polar Stereographic (variant A)</v>
      </c>
      <c r="I8873" t="str">
        <v>Ganymede (2015) / Ographic / North Polar</v>
      </c>
      <c r="J8873" t="str">
        <v>Not specified.</v>
      </c>
      <c r="K8873" s="11">
        <v>0</v>
      </c>
    </row>
    <row r="8874" spans="5:11" x14ac:dyDescent="0.35">
      <c r="E8874" s="9" t="str">
        <v>IAU_2015</v>
      </c>
      <c r="F8874" s="7" t="str">
        <v>50335</v>
      </c>
      <c r="G8874" t="str">
        <v>ProjectedCrs</v>
      </c>
      <c r="H8874" t="str">
        <v>Polar Stereographic (variant A)</v>
      </c>
      <c r="I8874" t="str">
        <v>Ganymede (2015) - Sphere / Ocentric / South Polar</v>
      </c>
      <c r="J8874" t="str">
        <v>Not specified.</v>
      </c>
      <c r="K8874" s="11">
        <v>0</v>
      </c>
    </row>
    <row r="8875" spans="5:11" x14ac:dyDescent="0.35">
      <c r="E8875" s="9" t="str">
        <v>IAU_2015</v>
      </c>
      <c r="F8875" s="7" t="str">
        <v>50336</v>
      </c>
      <c r="G8875" t="str">
        <v>ProjectedCrs</v>
      </c>
      <c r="H8875" t="str">
        <v>Polar Stereographic (variant A)</v>
      </c>
      <c r="I8875" t="str">
        <v>Ganymede (2015) / Ographic / South Polar</v>
      </c>
      <c r="J8875" t="str">
        <v>Not specified.</v>
      </c>
      <c r="K8875" s="11">
        <v>0</v>
      </c>
    </row>
    <row r="8876" spans="5:11" x14ac:dyDescent="0.35">
      <c r="E8876" s="9" t="str">
        <v>IAU_2015</v>
      </c>
      <c r="F8876" s="7" t="str">
        <v>50340</v>
      </c>
      <c r="G8876" t="str">
        <v>ProjectedCrs</v>
      </c>
      <c r="H8876" t="str">
        <v>Mollweide</v>
      </c>
      <c r="I8876" t="str">
        <v>Ganymede (2015) - Sphere / Ocentric / Mollweide, clon = 0</v>
      </c>
      <c r="J8876" t="str">
        <v>Not specified.</v>
      </c>
      <c r="K8876" s="11">
        <v>0</v>
      </c>
    </row>
    <row r="8877" spans="5:11" x14ac:dyDescent="0.35">
      <c r="E8877" s="9" t="str">
        <v>IAU_2015</v>
      </c>
      <c r="F8877" s="7" t="str">
        <v>50341</v>
      </c>
      <c r="G8877" t="str">
        <v>ProjectedCrs</v>
      </c>
      <c r="H8877" t="str">
        <v>Mollweide</v>
      </c>
      <c r="I8877" t="str">
        <v>Ganymede (2015) / Ographic / Mollweide, clon = 0</v>
      </c>
      <c r="J8877" t="str">
        <v>Not specified.</v>
      </c>
      <c r="K8877" s="11">
        <v>0</v>
      </c>
    </row>
    <row r="8878" spans="5:11" x14ac:dyDescent="0.35">
      <c r="E8878" s="9" t="str">
        <v>IAU_2015</v>
      </c>
      <c r="F8878" s="7" t="str">
        <v>50345</v>
      </c>
      <c r="G8878" t="str">
        <v>ProjectedCrs</v>
      </c>
      <c r="H8878" t="str">
        <v>Mollweide</v>
      </c>
      <c r="I8878" t="str">
        <v>Ganymede (2015) - Sphere / Ocentric / Mollweide, clon = 180</v>
      </c>
      <c r="J8878" t="str">
        <v>Not specified.</v>
      </c>
      <c r="K8878" s="11">
        <v>0</v>
      </c>
    </row>
    <row r="8879" spans="5:11" x14ac:dyDescent="0.35">
      <c r="E8879" s="9" t="str">
        <v>IAU_2015</v>
      </c>
      <c r="F8879" s="7" t="str">
        <v>50346</v>
      </c>
      <c r="G8879" t="str">
        <v>ProjectedCrs</v>
      </c>
      <c r="H8879" t="str">
        <v>Mollweide</v>
      </c>
      <c r="I8879" t="str">
        <v>Ganymede (2015) / Ographic / Mollweide, clon = 180</v>
      </c>
      <c r="J8879" t="str">
        <v>Not specified.</v>
      </c>
      <c r="K8879" s="11">
        <v>0</v>
      </c>
    </row>
    <row r="8880" spans="5:11" x14ac:dyDescent="0.35">
      <c r="E8880" s="9" t="str">
        <v>IAU_2015</v>
      </c>
      <c r="F8880" s="7" t="str">
        <v>50350</v>
      </c>
      <c r="G8880" t="str">
        <v>ProjectedCrs</v>
      </c>
      <c r="H8880" t="str">
        <v>Robinson</v>
      </c>
      <c r="I8880" t="str">
        <v>Ganymede (2015) - Sphere / Ocentric / Robinson, clon = 0</v>
      </c>
      <c r="J8880" t="str">
        <v>Not specified.</v>
      </c>
      <c r="K8880" s="11">
        <v>0</v>
      </c>
    </row>
    <row r="8881" spans="5:11" x14ac:dyDescent="0.35">
      <c r="E8881" s="9" t="str">
        <v>IAU_2015</v>
      </c>
      <c r="F8881" s="7" t="str">
        <v>50351</v>
      </c>
      <c r="G8881" t="str">
        <v>ProjectedCrs</v>
      </c>
      <c r="H8881" t="str">
        <v>Robinson</v>
      </c>
      <c r="I8881" t="str">
        <v>Ganymede (2015) / Ographic / Robinson, clon = 0</v>
      </c>
      <c r="J8881" t="str">
        <v>Not specified.</v>
      </c>
      <c r="K8881" s="11">
        <v>0</v>
      </c>
    </row>
    <row r="8882" spans="5:11" x14ac:dyDescent="0.35">
      <c r="E8882" s="9" t="str">
        <v>IAU_2015</v>
      </c>
      <c r="F8882" s="7" t="str">
        <v>50355</v>
      </c>
      <c r="G8882" t="str">
        <v>ProjectedCrs</v>
      </c>
      <c r="H8882" t="str">
        <v>Robinson</v>
      </c>
      <c r="I8882" t="str">
        <v>Ganymede (2015) - Sphere / Ocentric / Robinson, clon = 180</v>
      </c>
      <c r="J8882" t="str">
        <v>Not specified.</v>
      </c>
      <c r="K8882" s="11">
        <v>0</v>
      </c>
    </row>
    <row r="8883" spans="5:11" x14ac:dyDescent="0.35">
      <c r="E8883" s="9" t="str">
        <v>IAU_2015</v>
      </c>
      <c r="F8883" s="7" t="str">
        <v>50356</v>
      </c>
      <c r="G8883" t="str">
        <v>ProjectedCrs</v>
      </c>
      <c r="H8883" t="str">
        <v>Robinson</v>
      </c>
      <c r="I8883" t="str">
        <v>Ganymede (2015) / Ographic / Robinson, clon = 180</v>
      </c>
      <c r="J8883" t="str">
        <v>Not specified.</v>
      </c>
      <c r="K8883" s="11">
        <v>0</v>
      </c>
    </row>
    <row r="8884" spans="5:11" x14ac:dyDescent="0.35">
      <c r="E8884" s="9" t="str">
        <v>IAU_2015</v>
      </c>
      <c r="F8884" s="7" t="str">
        <v>50360</v>
      </c>
      <c r="G8884" t="str">
        <v>ProjectedCrs</v>
      </c>
      <c r="H8884" t="str">
        <v>Transverse Mercator</v>
      </c>
      <c r="I8884" t="str">
        <v>Ganymede (2015) - Sphere / Ocentric / Tranverse Mercator</v>
      </c>
      <c r="J8884" t="str">
        <v>Not specified.</v>
      </c>
      <c r="K8884" s="11">
        <v>0</v>
      </c>
    </row>
    <row r="8885" spans="5:11" x14ac:dyDescent="0.35">
      <c r="E8885" s="9" t="str">
        <v>IAU_2015</v>
      </c>
      <c r="F8885" s="7" t="str">
        <v>50361</v>
      </c>
      <c r="G8885" t="str">
        <v>ProjectedCrs</v>
      </c>
      <c r="H8885" t="str">
        <v>Transverse Mercator</v>
      </c>
      <c r="I8885" t="str">
        <v>Ganymede (2015) / Ographic / Tranverse Mercator</v>
      </c>
      <c r="J8885" t="str">
        <v>Not specified.</v>
      </c>
      <c r="K8885" s="11">
        <v>0</v>
      </c>
    </row>
    <row r="8886" spans="5:11" x14ac:dyDescent="0.35">
      <c r="E8886" s="9" t="str">
        <v>IAU_2015</v>
      </c>
      <c r="F8886" s="7" t="str">
        <v>50365</v>
      </c>
      <c r="G8886" t="str">
        <v>ProjectedCrs</v>
      </c>
      <c r="H8886" t="str">
        <v>Orthographic</v>
      </c>
      <c r="I8886" t="str">
        <v>Ganymede (2015) - Sphere / Ocentric / Orthographic, clon = 0</v>
      </c>
      <c r="J8886" t="str">
        <v>Not specified.</v>
      </c>
      <c r="K8886" s="11">
        <v>0</v>
      </c>
    </row>
    <row r="8887" spans="5:11" x14ac:dyDescent="0.35">
      <c r="E8887" s="9" t="str">
        <v>IAU_2015</v>
      </c>
      <c r="F8887" s="7" t="str">
        <v>50366</v>
      </c>
      <c r="G8887" t="str">
        <v>ProjectedCrs</v>
      </c>
      <c r="H8887" t="str">
        <v>Orthographic</v>
      </c>
      <c r="I8887" t="str">
        <v>Ganymede (2015) / Ographic / Orthographic, clon = 0</v>
      </c>
      <c r="J8887" t="str">
        <v>Not specified.</v>
      </c>
      <c r="K8887" s="11">
        <v>0</v>
      </c>
    </row>
    <row r="8888" spans="5:11" x14ac:dyDescent="0.35">
      <c r="E8888" s="9" t="str">
        <v>IAU_2015</v>
      </c>
      <c r="F8888" s="7" t="str">
        <v>50370</v>
      </c>
      <c r="G8888" t="str">
        <v>ProjectedCrs</v>
      </c>
      <c r="H8888" t="str">
        <v>Orthographic</v>
      </c>
      <c r="I8888" t="str">
        <v>Ganymede (2015) - Sphere / Ocentric / Orthographic, clon = 180</v>
      </c>
      <c r="J8888" t="str">
        <v>Not specified.</v>
      </c>
      <c r="K8888" s="11">
        <v>0</v>
      </c>
    </row>
    <row r="8889" spans="5:11" x14ac:dyDescent="0.35">
      <c r="E8889" s="9" t="str">
        <v>IAU_2015</v>
      </c>
      <c r="F8889" s="7" t="str">
        <v>50371</v>
      </c>
      <c r="G8889" t="str">
        <v>ProjectedCrs</v>
      </c>
      <c r="H8889" t="str">
        <v>Orthographic</v>
      </c>
      <c r="I8889" t="str">
        <v>Ganymede (2015) / Ographic / Orthographic, clon = 180</v>
      </c>
      <c r="J8889" t="str">
        <v>Not specified.</v>
      </c>
      <c r="K8889" s="11">
        <v>0</v>
      </c>
    </row>
    <row r="8890" spans="5:11" x14ac:dyDescent="0.35">
      <c r="E8890" s="9" t="str">
        <v>IAU_2015</v>
      </c>
      <c r="F8890" s="7" t="str">
        <v>50375</v>
      </c>
      <c r="G8890" t="str">
        <v>ProjectedCrs</v>
      </c>
      <c r="H8890" t="str">
        <v>Lambert Conic Conformal (2SP)</v>
      </c>
      <c r="I8890" t="str">
        <v>Ganymede (2015) - Sphere / Ocentric / Lambert Conic Conformal</v>
      </c>
      <c r="J8890" t="str">
        <v>Not specified.</v>
      </c>
      <c r="K8890" s="11">
        <v>0</v>
      </c>
    </row>
    <row r="8891" spans="5:11" x14ac:dyDescent="0.35">
      <c r="E8891" s="9" t="str">
        <v>IAU_2015</v>
      </c>
      <c r="F8891" s="7" t="str">
        <v>50376</v>
      </c>
      <c r="G8891" t="str">
        <v>ProjectedCrs</v>
      </c>
      <c r="H8891" t="str">
        <v>Lambert Conic Conformal (2SP)</v>
      </c>
      <c r="I8891" t="str">
        <v>Ganymede (2015) / Ographic / Lambert Conic Conformal</v>
      </c>
      <c r="J8891" t="str">
        <v>Not specified.</v>
      </c>
      <c r="K8891" s="11">
        <v>0</v>
      </c>
    </row>
    <row r="8892" spans="5:11" x14ac:dyDescent="0.35">
      <c r="E8892" s="9" t="str">
        <v>IAU_2015</v>
      </c>
      <c r="F8892" s="7" t="str">
        <v>50380</v>
      </c>
      <c r="G8892" t="str">
        <v>ProjectedCrs</v>
      </c>
      <c r="H8892" t="str">
        <v>Lambert Azimuthal Equal Area</v>
      </c>
      <c r="I8892" t="str">
        <v>Ganymede (2015) - Sphere / Ocentric / Lambert Azimuthal Equal Area</v>
      </c>
      <c r="J8892" t="str">
        <v>Not specified.</v>
      </c>
      <c r="K8892" s="11">
        <v>0</v>
      </c>
    </row>
    <row r="8893" spans="5:11" x14ac:dyDescent="0.35">
      <c r="E8893" s="9" t="str">
        <v>IAU_2015</v>
      </c>
      <c r="F8893" s="7" t="str">
        <v>50381</v>
      </c>
      <c r="G8893" t="str">
        <v>ProjectedCrs</v>
      </c>
      <c r="H8893" t="str">
        <v>Lambert Azimuthal Equal Area</v>
      </c>
      <c r="I8893" t="str">
        <v>Ganymede (2015) / Ographic / Lambert Azimuthal Equal Area</v>
      </c>
      <c r="J8893" t="str">
        <v>Not specified.</v>
      </c>
      <c r="K8893" s="11">
        <v>0</v>
      </c>
    </row>
    <row r="8894" spans="5:11" x14ac:dyDescent="0.35">
      <c r="E8894" s="9" t="str">
        <v>IAU_2015</v>
      </c>
      <c r="F8894" s="7" t="str">
        <v>50385</v>
      </c>
      <c r="G8894" t="str">
        <v>ProjectedCrs</v>
      </c>
      <c r="H8894" t="str">
        <v>Albers Equal Area</v>
      </c>
      <c r="I8894" t="str">
        <v>Ganymede (2015) - Sphere / Ocentric / Albers Equal Area</v>
      </c>
      <c r="J8894" t="str">
        <v>Not specified.</v>
      </c>
      <c r="K8894" s="11">
        <v>0</v>
      </c>
    </row>
    <row r="8895" spans="5:11" x14ac:dyDescent="0.35">
      <c r="E8895" s="9" t="str">
        <v>IAU_2015</v>
      </c>
      <c r="F8895" s="7" t="str">
        <v>50386</v>
      </c>
      <c r="G8895" t="str">
        <v>ProjectedCrs</v>
      </c>
      <c r="H8895" t="str">
        <v>Albers Equal Area</v>
      </c>
      <c r="I8895" t="str">
        <v>Ganymede (2015) / Ographic / Albers Equal Area</v>
      </c>
      <c r="J8895" t="str">
        <v>Not specified.</v>
      </c>
      <c r="K8895" s="11">
        <v>0</v>
      </c>
    </row>
    <row r="8896" spans="5:11" x14ac:dyDescent="0.35">
      <c r="E8896" s="9" t="str">
        <v>IAU_2015</v>
      </c>
      <c r="F8896" s="7" t="str">
        <v>50390</v>
      </c>
      <c r="G8896" t="str">
        <v>ProjectedCrs</v>
      </c>
      <c r="H8896" t="str">
        <v>Mercator (Spherical)</v>
      </c>
      <c r="I8896" t="str">
        <v>Ganymede (2015) - Sphere / Ocentric / Mercator</v>
      </c>
      <c r="J8896" t="str">
        <v>Not specified.</v>
      </c>
      <c r="K8896" s="11">
        <v>0</v>
      </c>
    </row>
    <row r="8897" spans="5:11" x14ac:dyDescent="0.35">
      <c r="E8897" s="9" t="str">
        <v>IAU_2015</v>
      </c>
      <c r="F8897" s="7" t="str">
        <v>50391</v>
      </c>
      <c r="G8897" t="str">
        <v>ProjectedCrs</v>
      </c>
      <c r="H8897" t="str">
        <v>Mercator (Spherical)</v>
      </c>
      <c r="I8897" t="str">
        <v>Ganymede (2015) / Ographic / Mercator</v>
      </c>
      <c r="J8897" t="str">
        <v>Not specified.</v>
      </c>
      <c r="K8897" s="11">
        <v>0</v>
      </c>
    </row>
    <row r="8898" spans="5:11" x14ac:dyDescent="0.35">
      <c r="E8898" s="9" t="str">
        <v>IAU_2015</v>
      </c>
      <c r="F8898" s="7" t="str">
        <v>50400</v>
      </c>
      <c r="G8898" t="str">
        <v>Geographic2DCrs</v>
      </c>
      <c r="H8898" t="str">
        <v>&lt;undefined&gt;</v>
      </c>
      <c r="I8898" t="str">
        <v>Callisto (2015) - Sphere / Ocentric</v>
      </c>
      <c r="J8898" t="str">
        <v>Not specified.</v>
      </c>
      <c r="K8898" s="11">
        <v>0</v>
      </c>
    </row>
    <row r="8899" spans="5:11" x14ac:dyDescent="0.35">
      <c r="E8899" s="9" t="str">
        <v>IAU_2015</v>
      </c>
      <c r="F8899" s="7" t="str">
        <v>50401</v>
      </c>
      <c r="G8899" t="str">
        <v>Geographic2DCrs</v>
      </c>
      <c r="H8899" t="str">
        <v>&lt;undefined&gt;</v>
      </c>
      <c r="I8899" t="str">
        <v>Callisto (2015) / Ographic</v>
      </c>
      <c r="J8899" t="str">
        <v>Not specified.</v>
      </c>
      <c r="K8899" s="11">
        <v>0</v>
      </c>
    </row>
    <row r="8900" spans="5:11" x14ac:dyDescent="0.35">
      <c r="E8900" s="9" t="str">
        <v>IAU_2015</v>
      </c>
      <c r="F8900" s="7" t="str">
        <v>50410</v>
      </c>
      <c r="G8900" t="str">
        <v>ProjectedCrs</v>
      </c>
      <c r="H8900" t="str">
        <v>Equidistant Cylindrical</v>
      </c>
      <c r="I8900" t="str">
        <v>Callisto (2015) - Sphere / Ocentric / Equirectangular, clon = 0</v>
      </c>
      <c r="J8900" t="str">
        <v>Not specified.</v>
      </c>
      <c r="K8900" s="11">
        <v>0</v>
      </c>
    </row>
    <row r="8901" spans="5:11" x14ac:dyDescent="0.35">
      <c r="E8901" s="9" t="str">
        <v>IAU_2015</v>
      </c>
      <c r="F8901" s="7" t="str">
        <v>50411</v>
      </c>
      <c r="G8901" t="str">
        <v>ProjectedCrs</v>
      </c>
      <c r="H8901" t="str">
        <v>Equidistant Cylindrical</v>
      </c>
      <c r="I8901" t="str">
        <v>Callisto (2015) / Ographic / Equirectangular, clon = 0</v>
      </c>
      <c r="J8901" t="str">
        <v>Not specified.</v>
      </c>
      <c r="K8901" s="11">
        <v>0</v>
      </c>
    </row>
    <row r="8902" spans="5:11" x14ac:dyDescent="0.35">
      <c r="E8902" s="9" t="str">
        <v>IAU_2015</v>
      </c>
      <c r="F8902" s="7" t="str">
        <v>50415</v>
      </c>
      <c r="G8902" t="str">
        <v>ProjectedCrs</v>
      </c>
      <c r="H8902" t="str">
        <v>Equidistant Cylindrical</v>
      </c>
      <c r="I8902" t="str">
        <v>Callisto (2015) - Sphere / Ocentric / Equirectangular, clon = 180</v>
      </c>
      <c r="J8902" t="str">
        <v>Not specified.</v>
      </c>
      <c r="K8902" s="11">
        <v>0</v>
      </c>
    </row>
    <row r="8903" spans="5:11" x14ac:dyDescent="0.35">
      <c r="E8903" s="9" t="str">
        <v>IAU_2015</v>
      </c>
      <c r="F8903" s="7" t="str">
        <v>50416</v>
      </c>
      <c r="G8903" t="str">
        <v>ProjectedCrs</v>
      </c>
      <c r="H8903" t="str">
        <v>Equidistant Cylindrical</v>
      </c>
      <c r="I8903" t="str">
        <v>Callisto (2015) / Ographic / Equirectangular, clon = 180</v>
      </c>
      <c r="J8903" t="str">
        <v>Not specified.</v>
      </c>
      <c r="K8903" s="11">
        <v>0</v>
      </c>
    </row>
    <row r="8904" spans="5:11" x14ac:dyDescent="0.35">
      <c r="E8904" s="9" t="str">
        <v>IAU_2015</v>
      </c>
      <c r="F8904" s="7" t="str">
        <v>50420</v>
      </c>
      <c r="G8904" t="str">
        <v>ProjectedCrs</v>
      </c>
      <c r="H8904" t="str">
        <v>Sinusoidal</v>
      </c>
      <c r="I8904" t="str">
        <v>Callisto (2015) - Sphere / Ocentric / Sinusoidal, clon = 0</v>
      </c>
      <c r="J8904" t="str">
        <v>Not specified.</v>
      </c>
      <c r="K8904" s="11">
        <v>0</v>
      </c>
    </row>
    <row r="8905" spans="5:11" x14ac:dyDescent="0.35">
      <c r="E8905" s="9" t="str">
        <v>IAU_2015</v>
      </c>
      <c r="F8905" s="7" t="str">
        <v>50421</v>
      </c>
      <c r="G8905" t="str">
        <v>ProjectedCrs</v>
      </c>
      <c r="H8905" t="str">
        <v>Sinusoidal</v>
      </c>
      <c r="I8905" t="str">
        <v>Callisto (2015) / Ographic / Sinusoidal, clon = 0</v>
      </c>
      <c r="J8905" t="str">
        <v>Not specified.</v>
      </c>
      <c r="K8905" s="11">
        <v>0</v>
      </c>
    </row>
    <row r="8906" spans="5:11" x14ac:dyDescent="0.35">
      <c r="E8906" s="9" t="str">
        <v>IAU_2015</v>
      </c>
      <c r="F8906" s="7" t="str">
        <v>50425</v>
      </c>
      <c r="G8906" t="str">
        <v>ProjectedCrs</v>
      </c>
      <c r="H8906" t="str">
        <v>Sinusoidal</v>
      </c>
      <c r="I8906" t="str">
        <v>Callisto (2015) - Sphere / Ocentric / Sinusoidal, clon = 180</v>
      </c>
      <c r="J8906" t="str">
        <v>Not specified.</v>
      </c>
      <c r="K8906" s="11">
        <v>0</v>
      </c>
    </row>
    <row r="8907" spans="5:11" x14ac:dyDescent="0.35">
      <c r="E8907" s="9" t="str">
        <v>IAU_2015</v>
      </c>
      <c r="F8907" s="7" t="str">
        <v>50426</v>
      </c>
      <c r="G8907" t="str">
        <v>ProjectedCrs</v>
      </c>
      <c r="H8907" t="str">
        <v>Sinusoidal</v>
      </c>
      <c r="I8907" t="str">
        <v>Callisto (2015) / Ographic / Sinusoidal, clon = 180</v>
      </c>
      <c r="J8907" t="str">
        <v>Not specified.</v>
      </c>
      <c r="K8907" s="11">
        <v>0</v>
      </c>
    </row>
    <row r="8908" spans="5:11" x14ac:dyDescent="0.35">
      <c r="E8908" s="9" t="str">
        <v>IAU_2015</v>
      </c>
      <c r="F8908" s="7" t="str">
        <v>50430</v>
      </c>
      <c r="G8908" t="str">
        <v>ProjectedCrs</v>
      </c>
      <c r="H8908" t="str">
        <v>Polar Stereographic (variant A)</v>
      </c>
      <c r="I8908" t="str">
        <v>Callisto (2015) - Sphere / Ocentric / North Polar</v>
      </c>
      <c r="J8908" t="str">
        <v>Not specified.</v>
      </c>
      <c r="K8908" s="11">
        <v>0</v>
      </c>
    </row>
    <row r="8909" spans="5:11" x14ac:dyDescent="0.35">
      <c r="E8909" s="9" t="str">
        <v>IAU_2015</v>
      </c>
      <c r="F8909" s="7" t="str">
        <v>50431</v>
      </c>
      <c r="G8909" t="str">
        <v>ProjectedCrs</v>
      </c>
      <c r="H8909" t="str">
        <v>Polar Stereographic (variant A)</v>
      </c>
      <c r="I8909" t="str">
        <v>Callisto (2015) / Ographic / North Polar</v>
      </c>
      <c r="J8909" t="str">
        <v>Not specified.</v>
      </c>
      <c r="K8909" s="11">
        <v>0</v>
      </c>
    </row>
    <row r="8910" spans="5:11" x14ac:dyDescent="0.35">
      <c r="E8910" s="9" t="str">
        <v>IAU_2015</v>
      </c>
      <c r="F8910" s="7" t="str">
        <v>50435</v>
      </c>
      <c r="G8910" t="str">
        <v>ProjectedCrs</v>
      </c>
      <c r="H8910" t="str">
        <v>Polar Stereographic (variant A)</v>
      </c>
      <c r="I8910" t="str">
        <v>Callisto (2015) - Sphere / Ocentric / South Polar</v>
      </c>
      <c r="J8910" t="str">
        <v>Not specified.</v>
      </c>
      <c r="K8910" s="11">
        <v>0</v>
      </c>
    </row>
    <row r="8911" spans="5:11" x14ac:dyDescent="0.35">
      <c r="E8911" s="9" t="str">
        <v>IAU_2015</v>
      </c>
      <c r="F8911" s="7" t="str">
        <v>50436</v>
      </c>
      <c r="G8911" t="str">
        <v>ProjectedCrs</v>
      </c>
      <c r="H8911" t="str">
        <v>Polar Stereographic (variant A)</v>
      </c>
      <c r="I8911" t="str">
        <v>Callisto (2015) / Ographic / South Polar</v>
      </c>
      <c r="J8911" t="str">
        <v>Not specified.</v>
      </c>
      <c r="K8911" s="11">
        <v>0</v>
      </c>
    </row>
    <row r="8912" spans="5:11" x14ac:dyDescent="0.35">
      <c r="E8912" s="9" t="str">
        <v>IAU_2015</v>
      </c>
      <c r="F8912" s="7" t="str">
        <v>50440</v>
      </c>
      <c r="G8912" t="str">
        <v>ProjectedCrs</v>
      </c>
      <c r="H8912" t="str">
        <v>Mollweide</v>
      </c>
      <c r="I8912" t="str">
        <v>Callisto (2015) - Sphere / Ocentric / Mollweide, clon = 0</v>
      </c>
      <c r="J8912" t="str">
        <v>Not specified.</v>
      </c>
      <c r="K8912" s="11">
        <v>0</v>
      </c>
    </row>
    <row r="8913" spans="5:11" x14ac:dyDescent="0.35">
      <c r="E8913" s="9" t="str">
        <v>IAU_2015</v>
      </c>
      <c r="F8913" s="7" t="str">
        <v>50441</v>
      </c>
      <c r="G8913" t="str">
        <v>ProjectedCrs</v>
      </c>
      <c r="H8913" t="str">
        <v>Mollweide</v>
      </c>
      <c r="I8913" t="str">
        <v>Callisto (2015) / Ographic / Mollweide, clon = 0</v>
      </c>
      <c r="J8913" t="str">
        <v>Not specified.</v>
      </c>
      <c r="K8913" s="11">
        <v>0</v>
      </c>
    </row>
    <row r="8914" spans="5:11" x14ac:dyDescent="0.35">
      <c r="E8914" s="9" t="str">
        <v>IAU_2015</v>
      </c>
      <c r="F8914" s="7" t="str">
        <v>50445</v>
      </c>
      <c r="G8914" t="str">
        <v>ProjectedCrs</v>
      </c>
      <c r="H8914" t="str">
        <v>Mollweide</v>
      </c>
      <c r="I8914" t="str">
        <v>Callisto (2015) - Sphere / Ocentric / Mollweide, clon = 180</v>
      </c>
      <c r="J8914" t="str">
        <v>Not specified.</v>
      </c>
      <c r="K8914" s="11">
        <v>0</v>
      </c>
    </row>
    <row r="8915" spans="5:11" x14ac:dyDescent="0.35">
      <c r="E8915" s="9" t="str">
        <v>IAU_2015</v>
      </c>
      <c r="F8915" s="7" t="str">
        <v>50446</v>
      </c>
      <c r="G8915" t="str">
        <v>ProjectedCrs</v>
      </c>
      <c r="H8915" t="str">
        <v>Mollweide</v>
      </c>
      <c r="I8915" t="str">
        <v>Callisto (2015) / Ographic / Mollweide, clon = 180</v>
      </c>
      <c r="J8915" t="str">
        <v>Not specified.</v>
      </c>
      <c r="K8915" s="11">
        <v>0</v>
      </c>
    </row>
    <row r="8916" spans="5:11" x14ac:dyDescent="0.35">
      <c r="E8916" s="9" t="str">
        <v>IAU_2015</v>
      </c>
      <c r="F8916" s="7" t="str">
        <v>50450</v>
      </c>
      <c r="G8916" t="str">
        <v>ProjectedCrs</v>
      </c>
      <c r="H8916" t="str">
        <v>Robinson</v>
      </c>
      <c r="I8916" t="str">
        <v>Callisto (2015) - Sphere / Ocentric / Robinson, clon = 0</v>
      </c>
      <c r="J8916" t="str">
        <v>Not specified.</v>
      </c>
      <c r="K8916" s="11">
        <v>0</v>
      </c>
    </row>
    <row r="8917" spans="5:11" x14ac:dyDescent="0.35">
      <c r="E8917" s="9" t="str">
        <v>IAU_2015</v>
      </c>
      <c r="F8917" s="7" t="str">
        <v>50451</v>
      </c>
      <c r="G8917" t="str">
        <v>ProjectedCrs</v>
      </c>
      <c r="H8917" t="str">
        <v>Robinson</v>
      </c>
      <c r="I8917" t="str">
        <v>Callisto (2015) / Ographic / Robinson, clon = 0</v>
      </c>
      <c r="J8917" t="str">
        <v>Not specified.</v>
      </c>
      <c r="K8917" s="11">
        <v>0</v>
      </c>
    </row>
    <row r="8918" spans="5:11" x14ac:dyDescent="0.35">
      <c r="E8918" s="9" t="str">
        <v>IAU_2015</v>
      </c>
      <c r="F8918" s="7" t="str">
        <v>50455</v>
      </c>
      <c r="G8918" t="str">
        <v>ProjectedCrs</v>
      </c>
      <c r="H8918" t="str">
        <v>Robinson</v>
      </c>
      <c r="I8918" t="str">
        <v>Callisto (2015) - Sphere / Ocentric / Robinson, clon = 180</v>
      </c>
      <c r="J8918" t="str">
        <v>Not specified.</v>
      </c>
      <c r="K8918" s="11">
        <v>0</v>
      </c>
    </row>
    <row r="8919" spans="5:11" x14ac:dyDescent="0.35">
      <c r="E8919" s="9" t="str">
        <v>IAU_2015</v>
      </c>
      <c r="F8919" s="7" t="str">
        <v>50456</v>
      </c>
      <c r="G8919" t="str">
        <v>ProjectedCrs</v>
      </c>
      <c r="H8919" t="str">
        <v>Robinson</v>
      </c>
      <c r="I8919" t="str">
        <v>Callisto (2015) / Ographic / Robinson, clon = 180</v>
      </c>
      <c r="J8919" t="str">
        <v>Not specified.</v>
      </c>
      <c r="K8919" s="11">
        <v>0</v>
      </c>
    </row>
    <row r="8920" spans="5:11" x14ac:dyDescent="0.35">
      <c r="E8920" s="9" t="str">
        <v>IAU_2015</v>
      </c>
      <c r="F8920" s="7" t="str">
        <v>50460</v>
      </c>
      <c r="G8920" t="str">
        <v>ProjectedCrs</v>
      </c>
      <c r="H8920" t="str">
        <v>Transverse Mercator</v>
      </c>
      <c r="I8920" t="str">
        <v>Callisto (2015) - Sphere / Ocentric / Tranverse Mercator</v>
      </c>
      <c r="J8920" t="str">
        <v>Not specified.</v>
      </c>
      <c r="K8920" s="11">
        <v>0</v>
      </c>
    </row>
    <row r="8921" spans="5:11" x14ac:dyDescent="0.35">
      <c r="E8921" s="9" t="str">
        <v>IAU_2015</v>
      </c>
      <c r="F8921" s="7" t="str">
        <v>50461</v>
      </c>
      <c r="G8921" t="str">
        <v>ProjectedCrs</v>
      </c>
      <c r="H8921" t="str">
        <v>Transverse Mercator</v>
      </c>
      <c r="I8921" t="str">
        <v>Callisto (2015) / Ographic / Tranverse Mercator</v>
      </c>
      <c r="J8921" t="str">
        <v>Not specified.</v>
      </c>
      <c r="K8921" s="11">
        <v>0</v>
      </c>
    </row>
    <row r="8922" spans="5:11" x14ac:dyDescent="0.35">
      <c r="E8922" s="9" t="str">
        <v>IAU_2015</v>
      </c>
      <c r="F8922" s="7" t="str">
        <v>50465</v>
      </c>
      <c r="G8922" t="str">
        <v>ProjectedCrs</v>
      </c>
      <c r="H8922" t="str">
        <v>Orthographic</v>
      </c>
      <c r="I8922" t="str">
        <v>Callisto (2015) - Sphere / Ocentric / Orthographic, clon = 0</v>
      </c>
      <c r="J8922" t="str">
        <v>Not specified.</v>
      </c>
      <c r="K8922" s="11">
        <v>0</v>
      </c>
    </row>
    <row r="8923" spans="5:11" x14ac:dyDescent="0.35">
      <c r="E8923" s="9" t="str">
        <v>IAU_2015</v>
      </c>
      <c r="F8923" s="7" t="str">
        <v>50466</v>
      </c>
      <c r="G8923" t="str">
        <v>ProjectedCrs</v>
      </c>
      <c r="H8923" t="str">
        <v>Orthographic</v>
      </c>
      <c r="I8923" t="str">
        <v>Callisto (2015) / Ographic / Orthographic, clon = 0</v>
      </c>
      <c r="J8923" t="str">
        <v>Not specified.</v>
      </c>
      <c r="K8923" s="11">
        <v>0</v>
      </c>
    </row>
    <row r="8924" spans="5:11" x14ac:dyDescent="0.35">
      <c r="E8924" s="9" t="str">
        <v>IAU_2015</v>
      </c>
      <c r="F8924" s="7" t="str">
        <v>50470</v>
      </c>
      <c r="G8924" t="str">
        <v>ProjectedCrs</v>
      </c>
      <c r="H8924" t="str">
        <v>Orthographic</v>
      </c>
      <c r="I8924" t="str">
        <v>Callisto (2015) - Sphere / Ocentric / Orthographic, clon = 180</v>
      </c>
      <c r="J8924" t="str">
        <v>Not specified.</v>
      </c>
      <c r="K8924" s="11">
        <v>0</v>
      </c>
    </row>
    <row r="8925" spans="5:11" x14ac:dyDescent="0.35">
      <c r="E8925" s="9" t="str">
        <v>IAU_2015</v>
      </c>
      <c r="F8925" s="7" t="str">
        <v>50471</v>
      </c>
      <c r="G8925" t="str">
        <v>ProjectedCrs</v>
      </c>
      <c r="H8925" t="str">
        <v>Orthographic</v>
      </c>
      <c r="I8925" t="str">
        <v>Callisto (2015) / Ographic / Orthographic, clon = 180</v>
      </c>
      <c r="J8925" t="str">
        <v>Not specified.</v>
      </c>
      <c r="K8925" s="11">
        <v>0</v>
      </c>
    </row>
    <row r="8926" spans="5:11" x14ac:dyDescent="0.35">
      <c r="E8926" s="9" t="str">
        <v>IAU_2015</v>
      </c>
      <c r="F8926" s="7" t="str">
        <v>50475</v>
      </c>
      <c r="G8926" t="str">
        <v>ProjectedCrs</v>
      </c>
      <c r="H8926" t="str">
        <v>Lambert Conic Conformal (2SP)</v>
      </c>
      <c r="I8926" t="str">
        <v>Callisto (2015) - Sphere / Ocentric / Lambert Conic Conformal</v>
      </c>
      <c r="J8926" t="str">
        <v>Not specified.</v>
      </c>
      <c r="K8926" s="11">
        <v>0</v>
      </c>
    </row>
    <row r="8927" spans="5:11" x14ac:dyDescent="0.35">
      <c r="E8927" s="9" t="str">
        <v>IAU_2015</v>
      </c>
      <c r="F8927" s="7" t="str">
        <v>50476</v>
      </c>
      <c r="G8927" t="str">
        <v>ProjectedCrs</v>
      </c>
      <c r="H8927" t="str">
        <v>Lambert Conic Conformal (2SP)</v>
      </c>
      <c r="I8927" t="str">
        <v>Callisto (2015) / Ographic / Lambert Conic Conformal</v>
      </c>
      <c r="J8927" t="str">
        <v>Not specified.</v>
      </c>
      <c r="K8927" s="11">
        <v>0</v>
      </c>
    </row>
    <row r="8928" spans="5:11" x14ac:dyDescent="0.35">
      <c r="E8928" s="9" t="str">
        <v>IAU_2015</v>
      </c>
      <c r="F8928" s="7" t="str">
        <v>50480</v>
      </c>
      <c r="G8928" t="str">
        <v>ProjectedCrs</v>
      </c>
      <c r="H8928" t="str">
        <v>Lambert Azimuthal Equal Area</v>
      </c>
      <c r="I8928" t="str">
        <v>Callisto (2015) - Sphere / Ocentric / Lambert Azimuthal Equal Area</v>
      </c>
      <c r="J8928" t="str">
        <v>Not specified.</v>
      </c>
      <c r="K8928" s="11">
        <v>0</v>
      </c>
    </row>
    <row r="8929" spans="5:11" x14ac:dyDescent="0.35">
      <c r="E8929" s="9" t="str">
        <v>IAU_2015</v>
      </c>
      <c r="F8929" s="7" t="str">
        <v>50481</v>
      </c>
      <c r="G8929" t="str">
        <v>ProjectedCrs</v>
      </c>
      <c r="H8929" t="str">
        <v>Lambert Azimuthal Equal Area</v>
      </c>
      <c r="I8929" t="str">
        <v>Callisto (2015) / Ographic / Lambert Azimuthal Equal Area</v>
      </c>
      <c r="J8929" t="str">
        <v>Not specified.</v>
      </c>
      <c r="K8929" s="11">
        <v>0</v>
      </c>
    </row>
    <row r="8930" spans="5:11" x14ac:dyDescent="0.35">
      <c r="E8930" s="9" t="str">
        <v>IAU_2015</v>
      </c>
      <c r="F8930" s="7" t="str">
        <v>50485</v>
      </c>
      <c r="G8930" t="str">
        <v>ProjectedCrs</v>
      </c>
      <c r="H8930" t="str">
        <v>Albers Equal Area</v>
      </c>
      <c r="I8930" t="str">
        <v>Callisto (2015) - Sphere / Ocentric / Albers Equal Area</v>
      </c>
      <c r="J8930" t="str">
        <v>Not specified.</v>
      </c>
      <c r="K8930" s="11">
        <v>0</v>
      </c>
    </row>
    <row r="8931" spans="5:11" x14ac:dyDescent="0.35">
      <c r="E8931" s="9" t="str">
        <v>IAU_2015</v>
      </c>
      <c r="F8931" s="7" t="str">
        <v>50486</v>
      </c>
      <c r="G8931" t="str">
        <v>ProjectedCrs</v>
      </c>
      <c r="H8931" t="str">
        <v>Albers Equal Area</v>
      </c>
      <c r="I8931" t="str">
        <v>Callisto (2015) / Ographic / Albers Equal Area</v>
      </c>
      <c r="J8931" t="str">
        <v>Not specified.</v>
      </c>
      <c r="K8931" s="11">
        <v>0</v>
      </c>
    </row>
    <row r="8932" spans="5:11" x14ac:dyDescent="0.35">
      <c r="E8932" s="9" t="str">
        <v>IAU_2015</v>
      </c>
      <c r="F8932" s="7" t="str">
        <v>50490</v>
      </c>
      <c r="G8932" t="str">
        <v>ProjectedCrs</v>
      </c>
      <c r="H8932" t="str">
        <v>Mercator (Spherical)</v>
      </c>
      <c r="I8932" t="str">
        <v>Callisto (2015) - Sphere / Ocentric / Mercator</v>
      </c>
      <c r="J8932" t="str">
        <v>Not specified.</v>
      </c>
      <c r="K8932" s="11">
        <v>0</v>
      </c>
    </row>
    <row r="8933" spans="5:11" x14ac:dyDescent="0.35">
      <c r="E8933" s="9" t="str">
        <v>IAU_2015</v>
      </c>
      <c r="F8933" s="7" t="str">
        <v>50491</v>
      </c>
      <c r="G8933" t="str">
        <v>ProjectedCrs</v>
      </c>
      <c r="H8933" t="str">
        <v>Mercator (Spherical)</v>
      </c>
      <c r="I8933" t="str">
        <v>Callisto (2015) / Ographic / Mercator</v>
      </c>
      <c r="J8933" t="str">
        <v>Not specified.</v>
      </c>
      <c r="K8933" s="11">
        <v>0</v>
      </c>
    </row>
    <row r="8934" spans="5:11" x14ac:dyDescent="0.35">
      <c r="E8934" s="9" t="str">
        <v>IAU_2015</v>
      </c>
      <c r="F8934" s="7" t="str">
        <v>50500</v>
      </c>
      <c r="G8934" t="str">
        <v>Geographic2DCrs</v>
      </c>
      <c r="H8934" t="str">
        <v>&lt;undefined&gt;</v>
      </c>
      <c r="I8934" t="str">
        <v>Amalthea (2015) - Sphere / Ocentric</v>
      </c>
      <c r="J8934" t="str">
        <v>Not specified.</v>
      </c>
      <c r="K8934" s="11">
        <v>0</v>
      </c>
    </row>
    <row r="8935" spans="5:11" x14ac:dyDescent="0.35">
      <c r="E8935" s="9" t="str">
        <v>IAU_2015</v>
      </c>
      <c r="F8935" s="7" t="str">
        <v>50510</v>
      </c>
      <c r="G8935" t="str">
        <v>ProjectedCrs</v>
      </c>
      <c r="H8935" t="str">
        <v>Equidistant Cylindrical</v>
      </c>
      <c r="I8935" t="str">
        <v>Amalthea (2015) - Sphere / Ocentric / Equirectangular, clon = 0</v>
      </c>
      <c r="J8935" t="str">
        <v>Not specified.</v>
      </c>
      <c r="K8935" s="11">
        <v>0</v>
      </c>
    </row>
    <row r="8936" spans="5:11" x14ac:dyDescent="0.35">
      <c r="E8936" s="9" t="str">
        <v>IAU_2015</v>
      </c>
      <c r="F8936" s="7" t="str">
        <v>50515</v>
      </c>
      <c r="G8936" t="str">
        <v>ProjectedCrs</v>
      </c>
      <c r="H8936" t="str">
        <v>Equidistant Cylindrical</v>
      </c>
      <c r="I8936" t="str">
        <v>Amalthea (2015) - Sphere / Ocentric / Equirectangular, clon = 180</v>
      </c>
      <c r="J8936" t="str">
        <v>Not specified.</v>
      </c>
      <c r="K8936" s="11">
        <v>0</v>
      </c>
    </row>
    <row r="8937" spans="5:11" x14ac:dyDescent="0.35">
      <c r="E8937" s="9" t="str">
        <v>IAU_2015</v>
      </c>
      <c r="F8937" s="7" t="str">
        <v>50520</v>
      </c>
      <c r="G8937" t="str">
        <v>ProjectedCrs</v>
      </c>
      <c r="H8937" t="str">
        <v>Sinusoidal</v>
      </c>
      <c r="I8937" t="str">
        <v>Amalthea (2015) - Sphere / Ocentric / Sinusoidal, clon = 0</v>
      </c>
      <c r="J8937" t="str">
        <v>Not specified.</v>
      </c>
      <c r="K8937" s="11">
        <v>0</v>
      </c>
    </row>
    <row r="8938" spans="5:11" x14ac:dyDescent="0.35">
      <c r="E8938" s="9" t="str">
        <v>IAU_2015</v>
      </c>
      <c r="F8938" s="7" t="str">
        <v>50525</v>
      </c>
      <c r="G8938" t="str">
        <v>ProjectedCrs</v>
      </c>
      <c r="H8938" t="str">
        <v>Sinusoidal</v>
      </c>
      <c r="I8938" t="str">
        <v>Amalthea (2015) - Sphere / Ocentric / Sinusoidal, clon = 180</v>
      </c>
      <c r="J8938" t="str">
        <v>Not specified.</v>
      </c>
      <c r="K8938" s="11">
        <v>0</v>
      </c>
    </row>
    <row r="8939" spans="5:11" x14ac:dyDescent="0.35">
      <c r="E8939" s="9" t="str">
        <v>IAU_2015</v>
      </c>
      <c r="F8939" s="7" t="str">
        <v>50530</v>
      </c>
      <c r="G8939" t="str">
        <v>ProjectedCrs</v>
      </c>
      <c r="H8939" t="str">
        <v>Polar Stereographic (variant A)</v>
      </c>
      <c r="I8939" t="str">
        <v>Amalthea (2015) - Sphere / Ocentric / North Polar</v>
      </c>
      <c r="J8939" t="str">
        <v>Not specified.</v>
      </c>
      <c r="K8939" s="11">
        <v>0</v>
      </c>
    </row>
    <row r="8940" spans="5:11" x14ac:dyDescent="0.35">
      <c r="E8940" s="9" t="str">
        <v>IAU_2015</v>
      </c>
      <c r="F8940" s="7" t="str">
        <v>50535</v>
      </c>
      <c r="G8940" t="str">
        <v>ProjectedCrs</v>
      </c>
      <c r="H8940" t="str">
        <v>Polar Stereographic (variant A)</v>
      </c>
      <c r="I8940" t="str">
        <v>Amalthea (2015) - Sphere / Ocentric / South Polar</v>
      </c>
      <c r="J8940" t="str">
        <v>Not specified.</v>
      </c>
      <c r="K8940" s="11">
        <v>0</v>
      </c>
    </row>
    <row r="8941" spans="5:11" x14ac:dyDescent="0.35">
      <c r="E8941" s="9" t="str">
        <v>IAU_2015</v>
      </c>
      <c r="F8941" s="7" t="str">
        <v>50540</v>
      </c>
      <c r="G8941" t="str">
        <v>ProjectedCrs</v>
      </c>
      <c r="H8941" t="str">
        <v>Mollweide</v>
      </c>
      <c r="I8941" t="str">
        <v>Amalthea (2015) - Sphere / Ocentric / Mollweide, clon = 0</v>
      </c>
      <c r="J8941" t="str">
        <v>Not specified.</v>
      </c>
      <c r="K8941" s="11">
        <v>0</v>
      </c>
    </row>
    <row r="8942" spans="5:11" x14ac:dyDescent="0.35">
      <c r="E8942" s="9" t="str">
        <v>IAU_2015</v>
      </c>
      <c r="F8942" s="7" t="str">
        <v>50545</v>
      </c>
      <c r="G8942" t="str">
        <v>ProjectedCrs</v>
      </c>
      <c r="H8942" t="str">
        <v>Mollweide</v>
      </c>
      <c r="I8942" t="str">
        <v>Amalthea (2015) - Sphere / Ocentric / Mollweide, clon = 180</v>
      </c>
      <c r="J8942" t="str">
        <v>Not specified.</v>
      </c>
      <c r="K8942" s="11">
        <v>0</v>
      </c>
    </row>
    <row r="8943" spans="5:11" x14ac:dyDescent="0.35">
      <c r="E8943" s="9" t="str">
        <v>IAU_2015</v>
      </c>
      <c r="F8943" s="7" t="str">
        <v>50550</v>
      </c>
      <c r="G8943" t="str">
        <v>ProjectedCrs</v>
      </c>
      <c r="H8943" t="str">
        <v>Robinson</v>
      </c>
      <c r="I8943" t="str">
        <v>Amalthea (2015) - Sphere / Ocentric / Robinson, clon = 0</v>
      </c>
      <c r="J8943" t="str">
        <v>Not specified.</v>
      </c>
      <c r="K8943" s="11">
        <v>0</v>
      </c>
    </row>
    <row r="8944" spans="5:11" x14ac:dyDescent="0.35">
      <c r="E8944" s="9" t="str">
        <v>IAU_2015</v>
      </c>
      <c r="F8944" s="7" t="str">
        <v>50555</v>
      </c>
      <c r="G8944" t="str">
        <v>ProjectedCrs</v>
      </c>
      <c r="H8944" t="str">
        <v>Robinson</v>
      </c>
      <c r="I8944" t="str">
        <v>Amalthea (2015) - Sphere / Ocentric / Robinson, clon = 180</v>
      </c>
      <c r="J8944" t="str">
        <v>Not specified.</v>
      </c>
      <c r="K8944" s="11">
        <v>0</v>
      </c>
    </row>
    <row r="8945" spans="5:11" x14ac:dyDescent="0.35">
      <c r="E8945" s="9" t="str">
        <v>IAU_2015</v>
      </c>
      <c r="F8945" s="7" t="str">
        <v>50560</v>
      </c>
      <c r="G8945" t="str">
        <v>ProjectedCrs</v>
      </c>
      <c r="H8945" t="str">
        <v>Transverse Mercator</v>
      </c>
      <c r="I8945" t="str">
        <v>Amalthea (2015) - Sphere / Ocentric / Tranverse Mercator</v>
      </c>
      <c r="J8945" t="str">
        <v>Not specified.</v>
      </c>
      <c r="K8945" s="11">
        <v>0</v>
      </c>
    </row>
    <row r="8946" spans="5:11" x14ac:dyDescent="0.35">
      <c r="E8946" s="9" t="str">
        <v>IAU_2015</v>
      </c>
      <c r="F8946" s="7" t="str">
        <v>50565</v>
      </c>
      <c r="G8946" t="str">
        <v>ProjectedCrs</v>
      </c>
      <c r="H8946" t="str">
        <v>Orthographic</v>
      </c>
      <c r="I8946" t="str">
        <v>Amalthea (2015) - Sphere / Ocentric / Orthographic, clon = 0</v>
      </c>
      <c r="J8946" t="str">
        <v>Not specified.</v>
      </c>
      <c r="K8946" s="11">
        <v>0</v>
      </c>
    </row>
    <row r="8947" spans="5:11" x14ac:dyDescent="0.35">
      <c r="E8947" s="9" t="str">
        <v>IAU_2015</v>
      </c>
      <c r="F8947" s="7" t="str">
        <v>50570</v>
      </c>
      <c r="G8947" t="str">
        <v>ProjectedCrs</v>
      </c>
      <c r="H8947" t="str">
        <v>Orthographic</v>
      </c>
      <c r="I8947" t="str">
        <v>Amalthea (2015) - Sphere / Ocentric / Orthographic, clon = 180</v>
      </c>
      <c r="J8947" t="str">
        <v>Not specified.</v>
      </c>
      <c r="K8947" s="11">
        <v>0</v>
      </c>
    </row>
    <row r="8948" spans="5:11" x14ac:dyDescent="0.35">
      <c r="E8948" s="9" t="str">
        <v>IAU_2015</v>
      </c>
      <c r="F8948" s="7" t="str">
        <v>50575</v>
      </c>
      <c r="G8948" t="str">
        <v>ProjectedCrs</v>
      </c>
      <c r="H8948" t="str">
        <v>Lambert Conic Conformal (2SP)</v>
      </c>
      <c r="I8948" t="str">
        <v>Amalthea (2015) - Sphere / Ocentric / Lambert Conic Conformal</v>
      </c>
      <c r="J8948" t="str">
        <v>Not specified.</v>
      </c>
      <c r="K8948" s="11">
        <v>0</v>
      </c>
    </row>
    <row r="8949" spans="5:11" x14ac:dyDescent="0.35">
      <c r="E8949" s="9" t="str">
        <v>IAU_2015</v>
      </c>
      <c r="F8949" s="7" t="str">
        <v>50580</v>
      </c>
      <c r="G8949" t="str">
        <v>ProjectedCrs</v>
      </c>
      <c r="H8949" t="str">
        <v>Lambert Azimuthal Equal Area</v>
      </c>
      <c r="I8949" t="str">
        <v>Amalthea (2015) - Sphere / Ocentric / Lambert Azimuthal Equal Area</v>
      </c>
      <c r="J8949" t="str">
        <v>Not specified.</v>
      </c>
      <c r="K8949" s="11">
        <v>0</v>
      </c>
    </row>
    <row r="8950" spans="5:11" x14ac:dyDescent="0.35">
      <c r="E8950" s="9" t="str">
        <v>IAU_2015</v>
      </c>
      <c r="F8950" s="7" t="str">
        <v>50585</v>
      </c>
      <c r="G8950" t="str">
        <v>ProjectedCrs</v>
      </c>
      <c r="H8950" t="str">
        <v>Albers Equal Area</v>
      </c>
      <c r="I8950" t="str">
        <v>Amalthea (2015) - Sphere / Ocentric / Albers Equal Area</v>
      </c>
      <c r="J8950" t="str">
        <v>Not specified.</v>
      </c>
      <c r="K8950" s="11">
        <v>0</v>
      </c>
    </row>
    <row r="8951" spans="5:11" x14ac:dyDescent="0.35">
      <c r="E8951" s="9" t="str">
        <v>IAU_2015</v>
      </c>
      <c r="F8951" s="7" t="str">
        <v>50590</v>
      </c>
      <c r="G8951" t="str">
        <v>ProjectedCrs</v>
      </c>
      <c r="H8951" t="str">
        <v>Mercator (Spherical)</v>
      </c>
      <c r="I8951" t="str">
        <v>Amalthea (2015) - Sphere / Ocentric / Mercator</v>
      </c>
      <c r="J8951" t="str">
        <v>Not specified.</v>
      </c>
      <c r="K8951" s="11">
        <v>0</v>
      </c>
    </row>
    <row r="8952" spans="5:11" x14ac:dyDescent="0.35">
      <c r="E8952" s="9" t="str">
        <v>IAU_2015</v>
      </c>
      <c r="F8952" s="7" t="str">
        <v>50600</v>
      </c>
      <c r="G8952" t="str">
        <v>Geographic2DCrs</v>
      </c>
      <c r="H8952" t="str">
        <v>&lt;undefined&gt;</v>
      </c>
      <c r="I8952" t="str">
        <v>Himalia (2015) - Sphere / Ocentric</v>
      </c>
      <c r="J8952" t="str">
        <v>Not specified.</v>
      </c>
      <c r="K8952" s="11">
        <v>0</v>
      </c>
    </row>
    <row r="8953" spans="5:11" x14ac:dyDescent="0.35">
      <c r="E8953" s="9" t="str">
        <v>IAU_2015</v>
      </c>
      <c r="F8953" s="7" t="str">
        <v>50610</v>
      </c>
      <c r="G8953" t="str">
        <v>ProjectedCrs</v>
      </c>
      <c r="H8953" t="str">
        <v>Equidistant Cylindrical</v>
      </c>
      <c r="I8953" t="str">
        <v>Himalia (2015) - Sphere / Ocentric / Equirectangular, clon = 0</v>
      </c>
      <c r="J8953" t="str">
        <v>Not specified.</v>
      </c>
      <c r="K8953" s="11">
        <v>0</v>
      </c>
    </row>
    <row r="8954" spans="5:11" x14ac:dyDescent="0.35">
      <c r="E8954" s="9" t="str">
        <v>IAU_2015</v>
      </c>
      <c r="F8954" s="7" t="str">
        <v>50615</v>
      </c>
      <c r="G8954" t="str">
        <v>ProjectedCrs</v>
      </c>
      <c r="H8954" t="str">
        <v>Equidistant Cylindrical</v>
      </c>
      <c r="I8954" t="str">
        <v>Himalia (2015) - Sphere / Ocentric / Equirectangular, clon = 180</v>
      </c>
      <c r="J8954" t="str">
        <v>Not specified.</v>
      </c>
      <c r="K8954" s="11">
        <v>0</v>
      </c>
    </row>
    <row r="8955" spans="5:11" x14ac:dyDescent="0.35">
      <c r="E8955" s="9" t="str">
        <v>IAU_2015</v>
      </c>
      <c r="F8955" s="7" t="str">
        <v>50620</v>
      </c>
      <c r="G8955" t="str">
        <v>ProjectedCrs</v>
      </c>
      <c r="H8955" t="str">
        <v>Sinusoidal</v>
      </c>
      <c r="I8955" t="str">
        <v>Himalia (2015) - Sphere / Ocentric / Sinusoidal, clon = 0</v>
      </c>
      <c r="J8955" t="str">
        <v>Not specified.</v>
      </c>
      <c r="K8955" s="11">
        <v>0</v>
      </c>
    </row>
    <row r="8956" spans="5:11" x14ac:dyDescent="0.35">
      <c r="E8956" s="9" t="str">
        <v>IAU_2015</v>
      </c>
      <c r="F8956" s="7" t="str">
        <v>50625</v>
      </c>
      <c r="G8956" t="str">
        <v>ProjectedCrs</v>
      </c>
      <c r="H8956" t="str">
        <v>Sinusoidal</v>
      </c>
      <c r="I8956" t="str">
        <v>Himalia (2015) - Sphere / Ocentric / Sinusoidal, clon = 180</v>
      </c>
      <c r="J8956" t="str">
        <v>Not specified.</v>
      </c>
      <c r="K8956" s="11">
        <v>0</v>
      </c>
    </row>
    <row r="8957" spans="5:11" x14ac:dyDescent="0.35">
      <c r="E8957" s="9" t="str">
        <v>IAU_2015</v>
      </c>
      <c r="F8957" s="7" t="str">
        <v>50630</v>
      </c>
      <c r="G8957" t="str">
        <v>ProjectedCrs</v>
      </c>
      <c r="H8957" t="str">
        <v>Polar Stereographic (variant A)</v>
      </c>
      <c r="I8957" t="str">
        <v>Himalia (2015) - Sphere / Ocentric / North Polar</v>
      </c>
      <c r="J8957" t="str">
        <v>Not specified.</v>
      </c>
      <c r="K8957" s="11">
        <v>0</v>
      </c>
    </row>
    <row r="8958" spans="5:11" x14ac:dyDescent="0.35">
      <c r="E8958" s="9" t="str">
        <v>IAU_2015</v>
      </c>
      <c r="F8958" s="7" t="str">
        <v>50635</v>
      </c>
      <c r="G8958" t="str">
        <v>ProjectedCrs</v>
      </c>
      <c r="H8958" t="str">
        <v>Polar Stereographic (variant A)</v>
      </c>
      <c r="I8958" t="str">
        <v>Himalia (2015) - Sphere / Ocentric / South Polar</v>
      </c>
      <c r="J8958" t="str">
        <v>Not specified.</v>
      </c>
      <c r="K8958" s="11">
        <v>0</v>
      </c>
    </row>
    <row r="8959" spans="5:11" x14ac:dyDescent="0.35">
      <c r="E8959" s="9" t="str">
        <v>IAU_2015</v>
      </c>
      <c r="F8959" s="7" t="str">
        <v>50640</v>
      </c>
      <c r="G8959" t="str">
        <v>ProjectedCrs</v>
      </c>
      <c r="H8959" t="str">
        <v>Mollweide</v>
      </c>
      <c r="I8959" t="str">
        <v>Himalia (2015) - Sphere / Ocentric / Mollweide, clon = 0</v>
      </c>
      <c r="J8959" t="str">
        <v>Not specified.</v>
      </c>
      <c r="K8959" s="11">
        <v>0</v>
      </c>
    </row>
    <row r="8960" spans="5:11" x14ac:dyDescent="0.35">
      <c r="E8960" s="9" t="str">
        <v>IAU_2015</v>
      </c>
      <c r="F8960" s="7" t="str">
        <v>50645</v>
      </c>
      <c r="G8960" t="str">
        <v>ProjectedCrs</v>
      </c>
      <c r="H8960" t="str">
        <v>Mollweide</v>
      </c>
      <c r="I8960" t="str">
        <v>Himalia (2015) - Sphere / Ocentric / Mollweide, clon = 180</v>
      </c>
      <c r="J8960" t="str">
        <v>Not specified.</v>
      </c>
      <c r="K8960" s="11">
        <v>0</v>
      </c>
    </row>
    <row r="8961" spans="5:11" x14ac:dyDescent="0.35">
      <c r="E8961" s="9" t="str">
        <v>IAU_2015</v>
      </c>
      <c r="F8961" s="7" t="str">
        <v>50650</v>
      </c>
      <c r="G8961" t="str">
        <v>ProjectedCrs</v>
      </c>
      <c r="H8961" t="str">
        <v>Robinson</v>
      </c>
      <c r="I8961" t="str">
        <v>Himalia (2015) - Sphere / Ocentric / Robinson, clon = 0</v>
      </c>
      <c r="J8961" t="str">
        <v>Not specified.</v>
      </c>
      <c r="K8961" s="11">
        <v>0</v>
      </c>
    </row>
    <row r="8962" spans="5:11" x14ac:dyDescent="0.35">
      <c r="E8962" s="9" t="str">
        <v>IAU_2015</v>
      </c>
      <c r="F8962" s="7" t="str">
        <v>50655</v>
      </c>
      <c r="G8962" t="str">
        <v>ProjectedCrs</v>
      </c>
      <c r="H8962" t="str">
        <v>Robinson</v>
      </c>
      <c r="I8962" t="str">
        <v>Himalia (2015) - Sphere / Ocentric / Robinson, clon = 180</v>
      </c>
      <c r="J8962" t="str">
        <v>Not specified.</v>
      </c>
      <c r="K8962" s="11">
        <v>0</v>
      </c>
    </row>
    <row r="8963" spans="5:11" x14ac:dyDescent="0.35">
      <c r="E8963" s="9" t="str">
        <v>IAU_2015</v>
      </c>
      <c r="F8963" s="7" t="str">
        <v>50660</v>
      </c>
      <c r="G8963" t="str">
        <v>ProjectedCrs</v>
      </c>
      <c r="H8963" t="str">
        <v>Transverse Mercator</v>
      </c>
      <c r="I8963" t="str">
        <v>Himalia (2015) - Sphere / Ocentric / Tranverse Mercator</v>
      </c>
      <c r="J8963" t="str">
        <v>Not specified.</v>
      </c>
      <c r="K8963" s="11">
        <v>0</v>
      </c>
    </row>
    <row r="8964" spans="5:11" x14ac:dyDescent="0.35">
      <c r="E8964" s="9" t="str">
        <v>IAU_2015</v>
      </c>
      <c r="F8964" s="7" t="str">
        <v>50665</v>
      </c>
      <c r="G8964" t="str">
        <v>ProjectedCrs</v>
      </c>
      <c r="H8964" t="str">
        <v>Orthographic</v>
      </c>
      <c r="I8964" t="str">
        <v>Himalia (2015) - Sphere / Ocentric / Orthographic, clon = 0</v>
      </c>
      <c r="J8964" t="str">
        <v>Not specified.</v>
      </c>
      <c r="K8964" s="11">
        <v>0</v>
      </c>
    </row>
    <row r="8965" spans="5:11" x14ac:dyDescent="0.35">
      <c r="E8965" s="9" t="str">
        <v>IAU_2015</v>
      </c>
      <c r="F8965" s="7" t="str">
        <v>50670</v>
      </c>
      <c r="G8965" t="str">
        <v>ProjectedCrs</v>
      </c>
      <c r="H8965" t="str">
        <v>Orthographic</v>
      </c>
      <c r="I8965" t="str">
        <v>Himalia (2015) - Sphere / Ocentric / Orthographic, clon = 180</v>
      </c>
      <c r="J8965" t="str">
        <v>Not specified.</v>
      </c>
      <c r="K8965" s="11">
        <v>0</v>
      </c>
    </row>
    <row r="8966" spans="5:11" x14ac:dyDescent="0.35">
      <c r="E8966" s="9" t="str">
        <v>IAU_2015</v>
      </c>
      <c r="F8966" s="7" t="str">
        <v>50675</v>
      </c>
      <c r="G8966" t="str">
        <v>ProjectedCrs</v>
      </c>
      <c r="H8966" t="str">
        <v>Lambert Conic Conformal (2SP)</v>
      </c>
      <c r="I8966" t="str">
        <v>Himalia (2015) - Sphere / Ocentric / Lambert Conic Conformal</v>
      </c>
      <c r="J8966" t="str">
        <v>Not specified.</v>
      </c>
      <c r="K8966" s="11">
        <v>0</v>
      </c>
    </row>
    <row r="8967" spans="5:11" x14ac:dyDescent="0.35">
      <c r="E8967" s="9" t="str">
        <v>IAU_2015</v>
      </c>
      <c r="F8967" s="7" t="str">
        <v>50680</v>
      </c>
      <c r="G8967" t="str">
        <v>ProjectedCrs</v>
      </c>
      <c r="H8967" t="str">
        <v>Lambert Azimuthal Equal Area</v>
      </c>
      <c r="I8967" t="str">
        <v>Himalia (2015) - Sphere / Ocentric / Lambert Azimuthal Equal Area</v>
      </c>
      <c r="J8967" t="str">
        <v>Not specified.</v>
      </c>
      <c r="K8967" s="11">
        <v>0</v>
      </c>
    </row>
    <row r="8968" spans="5:11" x14ac:dyDescent="0.35">
      <c r="E8968" s="9" t="str">
        <v>IAU_2015</v>
      </c>
      <c r="F8968" s="7" t="str">
        <v>50685</v>
      </c>
      <c r="G8968" t="str">
        <v>ProjectedCrs</v>
      </c>
      <c r="H8968" t="str">
        <v>Albers Equal Area</v>
      </c>
      <c r="I8968" t="str">
        <v>Himalia (2015) - Sphere / Ocentric / Albers Equal Area</v>
      </c>
      <c r="J8968" t="str">
        <v>Not specified.</v>
      </c>
      <c r="K8968" s="11">
        <v>0</v>
      </c>
    </row>
    <row r="8969" spans="5:11" x14ac:dyDescent="0.35">
      <c r="E8969" s="9" t="str">
        <v>IAU_2015</v>
      </c>
      <c r="F8969" s="7" t="str">
        <v>50690</v>
      </c>
      <c r="G8969" t="str">
        <v>ProjectedCrs</v>
      </c>
      <c r="H8969" t="str">
        <v>Mercator (Spherical)</v>
      </c>
      <c r="I8969" t="str">
        <v>Himalia (2015) - Sphere / Ocentric / Mercator</v>
      </c>
      <c r="J8969" t="str">
        <v>Not specified.</v>
      </c>
      <c r="K8969" s="11">
        <v>0</v>
      </c>
    </row>
    <row r="8970" spans="5:11" x14ac:dyDescent="0.35">
      <c r="E8970" s="9" t="str">
        <v>IAU_2015</v>
      </c>
      <c r="F8970" s="7" t="str">
        <v>50700</v>
      </c>
      <c r="G8970" t="str">
        <v>Geographic2DCrs</v>
      </c>
      <c r="H8970" t="str">
        <v>&lt;undefined&gt;</v>
      </c>
      <c r="I8970" t="str">
        <v>Elara (2015) - Sphere / Ocentric</v>
      </c>
      <c r="J8970" t="str">
        <v>Not specified.</v>
      </c>
      <c r="K8970" s="11">
        <v>0</v>
      </c>
    </row>
    <row r="8971" spans="5:11" x14ac:dyDescent="0.35">
      <c r="E8971" s="9" t="str">
        <v>IAU_2015</v>
      </c>
      <c r="F8971" s="7" t="str">
        <v>50710</v>
      </c>
      <c r="G8971" t="str">
        <v>ProjectedCrs</v>
      </c>
      <c r="H8971" t="str">
        <v>Equidistant Cylindrical</v>
      </c>
      <c r="I8971" t="str">
        <v>Elara (2015) - Sphere / Ocentric / Equirectangular, clon = 0</v>
      </c>
      <c r="J8971" t="str">
        <v>Not specified.</v>
      </c>
      <c r="K8971" s="11">
        <v>0</v>
      </c>
    </row>
    <row r="8972" spans="5:11" x14ac:dyDescent="0.35">
      <c r="E8972" s="9" t="str">
        <v>IAU_2015</v>
      </c>
      <c r="F8972" s="7" t="str">
        <v>50715</v>
      </c>
      <c r="G8972" t="str">
        <v>ProjectedCrs</v>
      </c>
      <c r="H8972" t="str">
        <v>Equidistant Cylindrical</v>
      </c>
      <c r="I8972" t="str">
        <v>Elara (2015) - Sphere / Ocentric / Equirectangular, clon = 180</v>
      </c>
      <c r="J8972" t="str">
        <v>Not specified.</v>
      </c>
      <c r="K8972" s="11">
        <v>0</v>
      </c>
    </row>
    <row r="8973" spans="5:11" x14ac:dyDescent="0.35">
      <c r="E8973" s="9" t="str">
        <v>IAU_2015</v>
      </c>
      <c r="F8973" s="7" t="str">
        <v>50720</v>
      </c>
      <c r="G8973" t="str">
        <v>ProjectedCrs</v>
      </c>
      <c r="H8973" t="str">
        <v>Sinusoidal</v>
      </c>
      <c r="I8973" t="str">
        <v>Elara (2015) - Sphere / Ocentric / Sinusoidal, clon = 0</v>
      </c>
      <c r="J8973" t="str">
        <v>Not specified.</v>
      </c>
      <c r="K8973" s="11">
        <v>0</v>
      </c>
    </row>
    <row r="8974" spans="5:11" x14ac:dyDescent="0.35">
      <c r="E8974" s="9" t="str">
        <v>IAU_2015</v>
      </c>
      <c r="F8974" s="7" t="str">
        <v>50725</v>
      </c>
      <c r="G8974" t="str">
        <v>ProjectedCrs</v>
      </c>
      <c r="H8974" t="str">
        <v>Sinusoidal</v>
      </c>
      <c r="I8974" t="str">
        <v>Elara (2015) - Sphere / Ocentric / Sinusoidal, clon = 180</v>
      </c>
      <c r="J8974" t="str">
        <v>Not specified.</v>
      </c>
      <c r="K8974" s="11">
        <v>0</v>
      </c>
    </row>
    <row r="8975" spans="5:11" x14ac:dyDescent="0.35">
      <c r="E8975" s="9" t="str">
        <v>IAU_2015</v>
      </c>
      <c r="F8975" s="7" t="str">
        <v>50730</v>
      </c>
      <c r="G8975" t="str">
        <v>ProjectedCrs</v>
      </c>
      <c r="H8975" t="str">
        <v>Polar Stereographic (variant A)</v>
      </c>
      <c r="I8975" t="str">
        <v>Elara (2015) - Sphere / Ocentric / North Polar</v>
      </c>
      <c r="J8975" t="str">
        <v>Not specified.</v>
      </c>
      <c r="K8975" s="11">
        <v>0</v>
      </c>
    </row>
    <row r="8976" spans="5:11" x14ac:dyDescent="0.35">
      <c r="E8976" s="9" t="str">
        <v>IAU_2015</v>
      </c>
      <c r="F8976" s="7" t="str">
        <v>50735</v>
      </c>
      <c r="G8976" t="str">
        <v>ProjectedCrs</v>
      </c>
      <c r="H8976" t="str">
        <v>Polar Stereographic (variant A)</v>
      </c>
      <c r="I8976" t="str">
        <v>Elara (2015) - Sphere / Ocentric / South Polar</v>
      </c>
      <c r="J8976" t="str">
        <v>Not specified.</v>
      </c>
      <c r="K8976" s="11">
        <v>0</v>
      </c>
    </row>
    <row r="8977" spans="5:11" x14ac:dyDescent="0.35">
      <c r="E8977" s="9" t="str">
        <v>IAU_2015</v>
      </c>
      <c r="F8977" s="7" t="str">
        <v>50740</v>
      </c>
      <c r="G8977" t="str">
        <v>ProjectedCrs</v>
      </c>
      <c r="H8977" t="str">
        <v>Mollweide</v>
      </c>
      <c r="I8977" t="str">
        <v>Elara (2015) - Sphere / Ocentric / Mollweide, clon = 0</v>
      </c>
      <c r="J8977" t="str">
        <v>Not specified.</v>
      </c>
      <c r="K8977" s="11">
        <v>0</v>
      </c>
    </row>
    <row r="8978" spans="5:11" x14ac:dyDescent="0.35">
      <c r="E8978" s="9" t="str">
        <v>IAU_2015</v>
      </c>
      <c r="F8978" s="7" t="str">
        <v>50745</v>
      </c>
      <c r="G8978" t="str">
        <v>ProjectedCrs</v>
      </c>
      <c r="H8978" t="str">
        <v>Mollweide</v>
      </c>
      <c r="I8978" t="str">
        <v>Elara (2015) - Sphere / Ocentric / Mollweide, clon = 180</v>
      </c>
      <c r="J8978" t="str">
        <v>Not specified.</v>
      </c>
      <c r="K8978" s="11">
        <v>0</v>
      </c>
    </row>
    <row r="8979" spans="5:11" x14ac:dyDescent="0.35">
      <c r="E8979" s="9" t="str">
        <v>IAU_2015</v>
      </c>
      <c r="F8979" s="7" t="str">
        <v>50750</v>
      </c>
      <c r="G8979" t="str">
        <v>ProjectedCrs</v>
      </c>
      <c r="H8979" t="str">
        <v>Robinson</v>
      </c>
      <c r="I8979" t="str">
        <v>Elara (2015) - Sphere / Ocentric / Robinson, clon = 0</v>
      </c>
      <c r="J8979" t="str">
        <v>Not specified.</v>
      </c>
      <c r="K8979" s="11">
        <v>0</v>
      </c>
    </row>
    <row r="8980" spans="5:11" x14ac:dyDescent="0.35">
      <c r="E8980" s="9" t="str">
        <v>IAU_2015</v>
      </c>
      <c r="F8980" s="7" t="str">
        <v>50755</v>
      </c>
      <c r="G8980" t="str">
        <v>ProjectedCrs</v>
      </c>
      <c r="H8980" t="str">
        <v>Robinson</v>
      </c>
      <c r="I8980" t="str">
        <v>Elara (2015) - Sphere / Ocentric / Robinson, clon = 180</v>
      </c>
      <c r="J8980" t="str">
        <v>Not specified.</v>
      </c>
      <c r="K8980" s="11">
        <v>0</v>
      </c>
    </row>
    <row r="8981" spans="5:11" x14ac:dyDescent="0.35">
      <c r="E8981" s="9" t="str">
        <v>IAU_2015</v>
      </c>
      <c r="F8981" s="7" t="str">
        <v>50760</v>
      </c>
      <c r="G8981" t="str">
        <v>ProjectedCrs</v>
      </c>
      <c r="H8981" t="str">
        <v>Transverse Mercator</v>
      </c>
      <c r="I8981" t="str">
        <v>Elara (2015) - Sphere / Ocentric / Tranverse Mercator</v>
      </c>
      <c r="J8981" t="str">
        <v>Not specified.</v>
      </c>
      <c r="K8981" s="11">
        <v>0</v>
      </c>
    </row>
    <row r="8982" spans="5:11" x14ac:dyDescent="0.35">
      <c r="E8982" s="9" t="str">
        <v>IAU_2015</v>
      </c>
      <c r="F8982" s="7" t="str">
        <v>50765</v>
      </c>
      <c r="G8982" t="str">
        <v>ProjectedCrs</v>
      </c>
      <c r="H8982" t="str">
        <v>Orthographic</v>
      </c>
      <c r="I8982" t="str">
        <v>Elara (2015) - Sphere / Ocentric / Orthographic, clon = 0</v>
      </c>
      <c r="J8982" t="str">
        <v>Not specified.</v>
      </c>
      <c r="K8982" s="11">
        <v>0</v>
      </c>
    </row>
    <row r="8983" spans="5:11" x14ac:dyDescent="0.35">
      <c r="E8983" s="9" t="str">
        <v>IAU_2015</v>
      </c>
      <c r="F8983" s="7" t="str">
        <v>50770</v>
      </c>
      <c r="G8983" t="str">
        <v>ProjectedCrs</v>
      </c>
      <c r="H8983" t="str">
        <v>Orthographic</v>
      </c>
      <c r="I8983" t="str">
        <v>Elara (2015) - Sphere / Ocentric / Orthographic, clon = 180</v>
      </c>
      <c r="J8983" t="str">
        <v>Not specified.</v>
      </c>
      <c r="K8983" s="11">
        <v>0</v>
      </c>
    </row>
    <row r="8984" spans="5:11" x14ac:dyDescent="0.35">
      <c r="E8984" s="9" t="str">
        <v>IAU_2015</v>
      </c>
      <c r="F8984" s="7" t="str">
        <v>50775</v>
      </c>
      <c r="G8984" t="str">
        <v>ProjectedCrs</v>
      </c>
      <c r="H8984" t="str">
        <v>Lambert Conic Conformal (2SP)</v>
      </c>
      <c r="I8984" t="str">
        <v>Elara (2015) - Sphere / Ocentric / Lambert Conic Conformal</v>
      </c>
      <c r="J8984" t="str">
        <v>Not specified.</v>
      </c>
      <c r="K8984" s="11">
        <v>0</v>
      </c>
    </row>
    <row r="8985" spans="5:11" x14ac:dyDescent="0.35">
      <c r="E8985" s="9" t="str">
        <v>IAU_2015</v>
      </c>
      <c r="F8985" s="7" t="str">
        <v>50780</v>
      </c>
      <c r="G8985" t="str">
        <v>ProjectedCrs</v>
      </c>
      <c r="H8985" t="str">
        <v>Lambert Azimuthal Equal Area</v>
      </c>
      <c r="I8985" t="str">
        <v>Elara (2015) - Sphere / Ocentric / Lambert Azimuthal Equal Area</v>
      </c>
      <c r="J8985" t="str">
        <v>Not specified.</v>
      </c>
      <c r="K8985" s="11">
        <v>0</v>
      </c>
    </row>
    <row r="8986" spans="5:11" x14ac:dyDescent="0.35">
      <c r="E8986" s="9" t="str">
        <v>IAU_2015</v>
      </c>
      <c r="F8986" s="7" t="str">
        <v>50785</v>
      </c>
      <c r="G8986" t="str">
        <v>ProjectedCrs</v>
      </c>
      <c r="H8986" t="str">
        <v>Albers Equal Area</v>
      </c>
      <c r="I8986" t="str">
        <v>Elara (2015) - Sphere / Ocentric / Albers Equal Area</v>
      </c>
      <c r="J8986" t="str">
        <v>Not specified.</v>
      </c>
      <c r="K8986" s="11">
        <v>0</v>
      </c>
    </row>
    <row r="8987" spans="5:11" x14ac:dyDescent="0.35">
      <c r="E8987" s="9" t="str">
        <v>IAU_2015</v>
      </c>
      <c r="F8987" s="7" t="str">
        <v>50790</v>
      </c>
      <c r="G8987" t="str">
        <v>ProjectedCrs</v>
      </c>
      <c r="H8987" t="str">
        <v>Mercator (Spherical)</v>
      </c>
      <c r="I8987" t="str">
        <v>Elara (2015) - Sphere / Ocentric / Mercator</v>
      </c>
      <c r="J8987" t="str">
        <v>Not specified.</v>
      </c>
      <c r="K8987" s="11">
        <v>0</v>
      </c>
    </row>
    <row r="8988" spans="5:11" x14ac:dyDescent="0.35">
      <c r="E8988" s="9" t="str">
        <v>IAU_2015</v>
      </c>
      <c r="F8988" s="7" t="str">
        <v>50800</v>
      </c>
      <c r="G8988" t="str">
        <v>Geographic2DCrs</v>
      </c>
      <c r="H8988" t="str">
        <v>&lt;undefined&gt;</v>
      </c>
      <c r="I8988" t="str">
        <v>Pasiphae (2015) - Sphere / Ocentric</v>
      </c>
      <c r="J8988" t="str">
        <v>Not specified.</v>
      </c>
      <c r="K8988" s="11">
        <v>0</v>
      </c>
    </row>
    <row r="8989" spans="5:11" x14ac:dyDescent="0.35">
      <c r="E8989" s="9" t="str">
        <v>IAU_2015</v>
      </c>
      <c r="F8989" s="7" t="str">
        <v>50810</v>
      </c>
      <c r="G8989" t="str">
        <v>ProjectedCrs</v>
      </c>
      <c r="H8989" t="str">
        <v>Equidistant Cylindrical</v>
      </c>
      <c r="I8989" t="str">
        <v>Pasiphae (2015) - Sphere / Ocentric / Equirectangular, clon = 0</v>
      </c>
      <c r="J8989" t="str">
        <v>Not specified.</v>
      </c>
      <c r="K8989" s="11">
        <v>0</v>
      </c>
    </row>
    <row r="8990" spans="5:11" x14ac:dyDescent="0.35">
      <c r="E8990" s="9" t="str">
        <v>IAU_2015</v>
      </c>
      <c r="F8990" s="7" t="str">
        <v>50815</v>
      </c>
      <c r="G8990" t="str">
        <v>ProjectedCrs</v>
      </c>
      <c r="H8990" t="str">
        <v>Equidistant Cylindrical</v>
      </c>
      <c r="I8990" t="str">
        <v>Pasiphae (2015) - Sphere / Ocentric / Equirectangular, clon = 180</v>
      </c>
      <c r="J8990" t="str">
        <v>Not specified.</v>
      </c>
      <c r="K8990" s="11">
        <v>0</v>
      </c>
    </row>
    <row r="8991" spans="5:11" x14ac:dyDescent="0.35">
      <c r="E8991" s="9" t="str">
        <v>IAU_2015</v>
      </c>
      <c r="F8991" s="7" t="str">
        <v>50820</v>
      </c>
      <c r="G8991" t="str">
        <v>ProjectedCrs</v>
      </c>
      <c r="H8991" t="str">
        <v>Sinusoidal</v>
      </c>
      <c r="I8991" t="str">
        <v>Pasiphae (2015) - Sphere / Ocentric / Sinusoidal, clon = 0</v>
      </c>
      <c r="J8991" t="str">
        <v>Not specified.</v>
      </c>
      <c r="K8991" s="11">
        <v>0</v>
      </c>
    </row>
    <row r="8992" spans="5:11" x14ac:dyDescent="0.35">
      <c r="E8992" s="9" t="str">
        <v>IAU_2015</v>
      </c>
      <c r="F8992" s="7" t="str">
        <v>50825</v>
      </c>
      <c r="G8992" t="str">
        <v>ProjectedCrs</v>
      </c>
      <c r="H8992" t="str">
        <v>Sinusoidal</v>
      </c>
      <c r="I8992" t="str">
        <v>Pasiphae (2015) - Sphere / Ocentric / Sinusoidal, clon = 180</v>
      </c>
      <c r="J8992" t="str">
        <v>Not specified.</v>
      </c>
      <c r="K8992" s="11">
        <v>0</v>
      </c>
    </row>
    <row r="8993" spans="5:11" x14ac:dyDescent="0.35">
      <c r="E8993" s="9" t="str">
        <v>IAU_2015</v>
      </c>
      <c r="F8993" s="7" t="str">
        <v>50830</v>
      </c>
      <c r="G8993" t="str">
        <v>ProjectedCrs</v>
      </c>
      <c r="H8993" t="str">
        <v>Polar Stereographic (variant A)</v>
      </c>
      <c r="I8993" t="str">
        <v>Pasiphae (2015) - Sphere / Ocentric / North Polar</v>
      </c>
      <c r="J8993" t="str">
        <v>Not specified.</v>
      </c>
      <c r="K8993" s="11">
        <v>0</v>
      </c>
    </row>
    <row r="8994" spans="5:11" x14ac:dyDescent="0.35">
      <c r="E8994" s="9" t="str">
        <v>IAU_2015</v>
      </c>
      <c r="F8994" s="7" t="str">
        <v>50835</v>
      </c>
      <c r="G8994" t="str">
        <v>ProjectedCrs</v>
      </c>
      <c r="H8994" t="str">
        <v>Polar Stereographic (variant A)</v>
      </c>
      <c r="I8994" t="str">
        <v>Pasiphae (2015) - Sphere / Ocentric / South Polar</v>
      </c>
      <c r="J8994" t="str">
        <v>Not specified.</v>
      </c>
      <c r="K8994" s="11">
        <v>0</v>
      </c>
    </row>
    <row r="8995" spans="5:11" x14ac:dyDescent="0.35">
      <c r="E8995" s="9" t="str">
        <v>IAU_2015</v>
      </c>
      <c r="F8995" s="7" t="str">
        <v>50840</v>
      </c>
      <c r="G8995" t="str">
        <v>ProjectedCrs</v>
      </c>
      <c r="H8995" t="str">
        <v>Mollweide</v>
      </c>
      <c r="I8995" t="str">
        <v>Pasiphae (2015) - Sphere / Ocentric / Mollweide, clon = 0</v>
      </c>
      <c r="J8995" t="str">
        <v>Not specified.</v>
      </c>
      <c r="K8995" s="11">
        <v>0</v>
      </c>
    </row>
    <row r="8996" spans="5:11" x14ac:dyDescent="0.35">
      <c r="E8996" s="9" t="str">
        <v>IAU_2015</v>
      </c>
      <c r="F8996" s="7" t="str">
        <v>50845</v>
      </c>
      <c r="G8996" t="str">
        <v>ProjectedCrs</v>
      </c>
      <c r="H8996" t="str">
        <v>Mollweide</v>
      </c>
      <c r="I8996" t="str">
        <v>Pasiphae (2015) - Sphere / Ocentric / Mollweide, clon = 180</v>
      </c>
      <c r="J8996" t="str">
        <v>Not specified.</v>
      </c>
      <c r="K8996" s="11">
        <v>0</v>
      </c>
    </row>
    <row r="8997" spans="5:11" x14ac:dyDescent="0.35">
      <c r="E8997" s="9" t="str">
        <v>IAU_2015</v>
      </c>
      <c r="F8997" s="7" t="str">
        <v>50850</v>
      </c>
      <c r="G8997" t="str">
        <v>ProjectedCrs</v>
      </c>
      <c r="H8997" t="str">
        <v>Robinson</v>
      </c>
      <c r="I8997" t="str">
        <v>Pasiphae (2015) - Sphere / Ocentric / Robinson, clon = 0</v>
      </c>
      <c r="J8997" t="str">
        <v>Not specified.</v>
      </c>
      <c r="K8997" s="11">
        <v>0</v>
      </c>
    </row>
    <row r="8998" spans="5:11" x14ac:dyDescent="0.35">
      <c r="E8998" s="9" t="str">
        <v>IAU_2015</v>
      </c>
      <c r="F8998" s="7" t="str">
        <v>50855</v>
      </c>
      <c r="G8998" t="str">
        <v>ProjectedCrs</v>
      </c>
      <c r="H8998" t="str">
        <v>Robinson</v>
      </c>
      <c r="I8998" t="str">
        <v>Pasiphae (2015) - Sphere / Ocentric / Robinson, clon = 180</v>
      </c>
      <c r="J8998" t="str">
        <v>Not specified.</v>
      </c>
      <c r="K8998" s="11">
        <v>0</v>
      </c>
    </row>
    <row r="8999" spans="5:11" x14ac:dyDescent="0.35">
      <c r="E8999" s="9" t="str">
        <v>IAU_2015</v>
      </c>
      <c r="F8999" s="7" t="str">
        <v>50860</v>
      </c>
      <c r="G8999" t="str">
        <v>ProjectedCrs</v>
      </c>
      <c r="H8999" t="str">
        <v>Transverse Mercator</v>
      </c>
      <c r="I8999" t="str">
        <v>Pasiphae (2015) - Sphere / Ocentric / Tranverse Mercator</v>
      </c>
      <c r="J8999" t="str">
        <v>Not specified.</v>
      </c>
      <c r="K8999" s="11">
        <v>0</v>
      </c>
    </row>
    <row r="9000" spans="5:11" x14ac:dyDescent="0.35">
      <c r="E9000" s="9" t="str">
        <v>IAU_2015</v>
      </c>
      <c r="F9000" s="7" t="str">
        <v>50865</v>
      </c>
      <c r="G9000" t="str">
        <v>ProjectedCrs</v>
      </c>
      <c r="H9000" t="str">
        <v>Orthographic</v>
      </c>
      <c r="I9000" t="str">
        <v>Pasiphae (2015) - Sphere / Ocentric / Orthographic, clon = 0</v>
      </c>
      <c r="J9000" t="str">
        <v>Not specified.</v>
      </c>
      <c r="K9000" s="11">
        <v>0</v>
      </c>
    </row>
    <row r="9001" spans="5:11" x14ac:dyDescent="0.35">
      <c r="E9001" s="9" t="str">
        <v>IAU_2015</v>
      </c>
      <c r="F9001" s="7" t="str">
        <v>50870</v>
      </c>
      <c r="G9001" t="str">
        <v>ProjectedCrs</v>
      </c>
      <c r="H9001" t="str">
        <v>Orthographic</v>
      </c>
      <c r="I9001" t="str">
        <v>Pasiphae (2015) - Sphere / Ocentric / Orthographic, clon = 180</v>
      </c>
      <c r="J9001" t="str">
        <v>Not specified.</v>
      </c>
      <c r="K9001" s="11">
        <v>0</v>
      </c>
    </row>
    <row r="9002" spans="5:11" x14ac:dyDescent="0.35">
      <c r="E9002" s="9" t="str">
        <v>IAU_2015</v>
      </c>
      <c r="F9002" s="7" t="str">
        <v>50875</v>
      </c>
      <c r="G9002" t="str">
        <v>ProjectedCrs</v>
      </c>
      <c r="H9002" t="str">
        <v>Lambert Conic Conformal (2SP)</v>
      </c>
      <c r="I9002" t="str">
        <v>Pasiphae (2015) - Sphere / Ocentric / Lambert Conic Conformal</v>
      </c>
      <c r="J9002" t="str">
        <v>Not specified.</v>
      </c>
      <c r="K9002" s="11">
        <v>0</v>
      </c>
    </row>
    <row r="9003" spans="5:11" x14ac:dyDescent="0.35">
      <c r="E9003" s="9" t="str">
        <v>IAU_2015</v>
      </c>
      <c r="F9003" s="7" t="str">
        <v>50880</v>
      </c>
      <c r="G9003" t="str">
        <v>ProjectedCrs</v>
      </c>
      <c r="H9003" t="str">
        <v>Lambert Azimuthal Equal Area</v>
      </c>
      <c r="I9003" t="str">
        <v>Pasiphae (2015) - Sphere / Ocentric / Lambert Azimuthal Equal Area</v>
      </c>
      <c r="J9003" t="str">
        <v>Not specified.</v>
      </c>
      <c r="K9003" s="11">
        <v>0</v>
      </c>
    </row>
    <row r="9004" spans="5:11" x14ac:dyDescent="0.35">
      <c r="E9004" s="9" t="str">
        <v>IAU_2015</v>
      </c>
      <c r="F9004" s="7" t="str">
        <v>50885</v>
      </c>
      <c r="G9004" t="str">
        <v>ProjectedCrs</v>
      </c>
      <c r="H9004" t="str">
        <v>Albers Equal Area</v>
      </c>
      <c r="I9004" t="str">
        <v>Pasiphae (2015) - Sphere / Ocentric / Albers Equal Area</v>
      </c>
      <c r="J9004" t="str">
        <v>Not specified.</v>
      </c>
      <c r="K9004" s="11">
        <v>0</v>
      </c>
    </row>
    <row r="9005" spans="5:11" x14ac:dyDescent="0.35">
      <c r="E9005" s="9" t="str">
        <v>IAU_2015</v>
      </c>
      <c r="F9005" s="7" t="str">
        <v>50890</v>
      </c>
      <c r="G9005" t="str">
        <v>ProjectedCrs</v>
      </c>
      <c r="H9005" t="str">
        <v>Mercator (Spherical)</v>
      </c>
      <c r="I9005" t="str">
        <v>Pasiphae (2015) - Sphere / Ocentric / Mercator</v>
      </c>
      <c r="J9005" t="str">
        <v>Not specified.</v>
      </c>
      <c r="K9005" s="11">
        <v>0</v>
      </c>
    </row>
    <row r="9006" spans="5:11" x14ac:dyDescent="0.35">
      <c r="E9006" s="9" t="str">
        <v>IAU_2015</v>
      </c>
      <c r="F9006" s="7" t="str">
        <v>50900</v>
      </c>
      <c r="G9006" t="str">
        <v>Geographic2DCrs</v>
      </c>
      <c r="H9006" t="str">
        <v>&lt;undefined&gt;</v>
      </c>
      <c r="I9006" t="str">
        <v>Sinope (2015) - Sphere / Ocentric</v>
      </c>
      <c r="J9006" t="str">
        <v>Not specified.</v>
      </c>
      <c r="K9006" s="11">
        <v>0</v>
      </c>
    </row>
    <row r="9007" spans="5:11" x14ac:dyDescent="0.35">
      <c r="E9007" s="9" t="str">
        <v>IAU_2015</v>
      </c>
      <c r="F9007" s="7" t="str">
        <v>50910</v>
      </c>
      <c r="G9007" t="str">
        <v>ProjectedCrs</v>
      </c>
      <c r="H9007" t="str">
        <v>Equidistant Cylindrical</v>
      </c>
      <c r="I9007" t="str">
        <v>Sinope (2015) - Sphere / Ocentric / Equirectangular, clon = 0</v>
      </c>
      <c r="J9007" t="str">
        <v>Not specified.</v>
      </c>
      <c r="K9007" s="11">
        <v>0</v>
      </c>
    </row>
    <row r="9008" spans="5:11" x14ac:dyDescent="0.35">
      <c r="E9008" s="9" t="str">
        <v>IAU_2015</v>
      </c>
      <c r="F9008" s="7" t="str">
        <v>50915</v>
      </c>
      <c r="G9008" t="str">
        <v>ProjectedCrs</v>
      </c>
      <c r="H9008" t="str">
        <v>Equidistant Cylindrical</v>
      </c>
      <c r="I9008" t="str">
        <v>Sinope (2015) - Sphere / Ocentric / Equirectangular, clon = 180</v>
      </c>
      <c r="J9008" t="str">
        <v>Not specified.</v>
      </c>
      <c r="K9008" s="11">
        <v>0</v>
      </c>
    </row>
    <row r="9009" spans="5:11" x14ac:dyDescent="0.35">
      <c r="E9009" s="9" t="str">
        <v>IAU_2015</v>
      </c>
      <c r="F9009" s="7" t="str">
        <v>50920</v>
      </c>
      <c r="G9009" t="str">
        <v>ProjectedCrs</v>
      </c>
      <c r="H9009" t="str">
        <v>Sinusoidal</v>
      </c>
      <c r="I9009" t="str">
        <v>Sinope (2015) - Sphere / Ocentric / Sinusoidal, clon = 0</v>
      </c>
      <c r="J9009" t="str">
        <v>Not specified.</v>
      </c>
      <c r="K9009" s="11">
        <v>0</v>
      </c>
    </row>
    <row r="9010" spans="5:11" x14ac:dyDescent="0.35">
      <c r="E9010" s="9" t="str">
        <v>IAU_2015</v>
      </c>
      <c r="F9010" s="7" t="str">
        <v>50925</v>
      </c>
      <c r="G9010" t="str">
        <v>ProjectedCrs</v>
      </c>
      <c r="H9010" t="str">
        <v>Sinusoidal</v>
      </c>
      <c r="I9010" t="str">
        <v>Sinope (2015) - Sphere / Ocentric / Sinusoidal, clon = 180</v>
      </c>
      <c r="J9010" t="str">
        <v>Not specified.</v>
      </c>
      <c r="K9010" s="11">
        <v>0</v>
      </c>
    </row>
    <row r="9011" spans="5:11" x14ac:dyDescent="0.35">
      <c r="E9011" s="9" t="str">
        <v>IAU_2015</v>
      </c>
      <c r="F9011" s="7" t="str">
        <v>50930</v>
      </c>
      <c r="G9011" t="str">
        <v>ProjectedCrs</v>
      </c>
      <c r="H9011" t="str">
        <v>Polar Stereographic (variant A)</v>
      </c>
      <c r="I9011" t="str">
        <v>Sinope (2015) - Sphere / Ocentric / North Polar</v>
      </c>
      <c r="J9011" t="str">
        <v>Not specified.</v>
      </c>
      <c r="K9011" s="11">
        <v>0</v>
      </c>
    </row>
    <row r="9012" spans="5:11" x14ac:dyDescent="0.35">
      <c r="E9012" s="9" t="str">
        <v>IAU_2015</v>
      </c>
      <c r="F9012" s="7" t="str">
        <v>50935</v>
      </c>
      <c r="G9012" t="str">
        <v>ProjectedCrs</v>
      </c>
      <c r="H9012" t="str">
        <v>Polar Stereographic (variant A)</v>
      </c>
      <c r="I9012" t="str">
        <v>Sinope (2015) - Sphere / Ocentric / South Polar</v>
      </c>
      <c r="J9012" t="str">
        <v>Not specified.</v>
      </c>
      <c r="K9012" s="11">
        <v>0</v>
      </c>
    </row>
    <row r="9013" spans="5:11" x14ac:dyDescent="0.35">
      <c r="E9013" s="9" t="str">
        <v>IAU_2015</v>
      </c>
      <c r="F9013" s="7" t="str">
        <v>50940</v>
      </c>
      <c r="G9013" t="str">
        <v>ProjectedCrs</v>
      </c>
      <c r="H9013" t="str">
        <v>Mollweide</v>
      </c>
      <c r="I9013" t="str">
        <v>Sinope (2015) - Sphere / Ocentric / Mollweide, clon = 0</v>
      </c>
      <c r="J9013" t="str">
        <v>Not specified.</v>
      </c>
      <c r="K9013" s="11">
        <v>0</v>
      </c>
    </row>
    <row r="9014" spans="5:11" x14ac:dyDescent="0.35">
      <c r="E9014" s="9" t="str">
        <v>IAU_2015</v>
      </c>
      <c r="F9014" s="7" t="str">
        <v>50945</v>
      </c>
      <c r="G9014" t="str">
        <v>ProjectedCrs</v>
      </c>
      <c r="H9014" t="str">
        <v>Mollweide</v>
      </c>
      <c r="I9014" t="str">
        <v>Sinope (2015) - Sphere / Ocentric / Mollweide, clon = 180</v>
      </c>
      <c r="J9014" t="str">
        <v>Not specified.</v>
      </c>
      <c r="K9014" s="11">
        <v>0</v>
      </c>
    </row>
    <row r="9015" spans="5:11" x14ac:dyDescent="0.35">
      <c r="E9015" s="9" t="str">
        <v>IAU_2015</v>
      </c>
      <c r="F9015" s="7" t="str">
        <v>50950</v>
      </c>
      <c r="G9015" t="str">
        <v>ProjectedCrs</v>
      </c>
      <c r="H9015" t="str">
        <v>Robinson</v>
      </c>
      <c r="I9015" t="str">
        <v>Sinope (2015) - Sphere / Ocentric / Robinson, clon = 0</v>
      </c>
      <c r="J9015" t="str">
        <v>Not specified.</v>
      </c>
      <c r="K9015" s="11">
        <v>0</v>
      </c>
    </row>
    <row r="9016" spans="5:11" x14ac:dyDescent="0.35">
      <c r="E9016" s="9" t="str">
        <v>IAU_2015</v>
      </c>
      <c r="F9016" s="7" t="str">
        <v>50955</v>
      </c>
      <c r="G9016" t="str">
        <v>ProjectedCrs</v>
      </c>
      <c r="H9016" t="str">
        <v>Robinson</v>
      </c>
      <c r="I9016" t="str">
        <v>Sinope (2015) - Sphere / Ocentric / Robinson, clon = 180</v>
      </c>
      <c r="J9016" t="str">
        <v>Not specified.</v>
      </c>
      <c r="K9016" s="11">
        <v>0</v>
      </c>
    </row>
    <row r="9017" spans="5:11" x14ac:dyDescent="0.35">
      <c r="E9017" s="9" t="str">
        <v>IAU_2015</v>
      </c>
      <c r="F9017" s="7" t="str">
        <v>50960</v>
      </c>
      <c r="G9017" t="str">
        <v>ProjectedCrs</v>
      </c>
      <c r="H9017" t="str">
        <v>Transverse Mercator</v>
      </c>
      <c r="I9017" t="str">
        <v>Sinope (2015) - Sphere / Ocentric / Tranverse Mercator</v>
      </c>
      <c r="J9017" t="str">
        <v>Not specified.</v>
      </c>
      <c r="K9017" s="11">
        <v>0</v>
      </c>
    </row>
    <row r="9018" spans="5:11" x14ac:dyDescent="0.35">
      <c r="E9018" s="9" t="str">
        <v>IAU_2015</v>
      </c>
      <c r="F9018" s="7" t="str">
        <v>50965</v>
      </c>
      <c r="G9018" t="str">
        <v>ProjectedCrs</v>
      </c>
      <c r="H9018" t="str">
        <v>Orthographic</v>
      </c>
      <c r="I9018" t="str">
        <v>Sinope (2015) - Sphere / Ocentric / Orthographic, clon = 0</v>
      </c>
      <c r="J9018" t="str">
        <v>Not specified.</v>
      </c>
      <c r="K9018" s="11">
        <v>0</v>
      </c>
    </row>
    <row r="9019" spans="5:11" x14ac:dyDescent="0.35">
      <c r="E9019" s="9" t="str">
        <v>IAU_2015</v>
      </c>
      <c r="F9019" s="7" t="str">
        <v>50970</v>
      </c>
      <c r="G9019" t="str">
        <v>ProjectedCrs</v>
      </c>
      <c r="H9019" t="str">
        <v>Orthographic</v>
      </c>
      <c r="I9019" t="str">
        <v>Sinope (2015) - Sphere / Ocentric / Orthographic, clon = 180</v>
      </c>
      <c r="J9019" t="str">
        <v>Not specified.</v>
      </c>
      <c r="K9019" s="11">
        <v>0</v>
      </c>
    </row>
    <row r="9020" spans="5:11" x14ac:dyDescent="0.35">
      <c r="E9020" s="9" t="str">
        <v>IAU_2015</v>
      </c>
      <c r="F9020" s="7" t="str">
        <v>50975</v>
      </c>
      <c r="G9020" t="str">
        <v>ProjectedCrs</v>
      </c>
      <c r="H9020" t="str">
        <v>Lambert Conic Conformal (2SP)</v>
      </c>
      <c r="I9020" t="str">
        <v>Sinope (2015) - Sphere / Ocentric / Lambert Conic Conformal</v>
      </c>
      <c r="J9020" t="str">
        <v>Not specified.</v>
      </c>
      <c r="K9020" s="11">
        <v>0</v>
      </c>
    </row>
    <row r="9021" spans="5:11" x14ac:dyDescent="0.35">
      <c r="E9021" s="9" t="str">
        <v>IAU_2015</v>
      </c>
      <c r="F9021" s="7" t="str">
        <v>50980</v>
      </c>
      <c r="G9021" t="str">
        <v>ProjectedCrs</v>
      </c>
      <c r="H9021" t="str">
        <v>Lambert Azimuthal Equal Area</v>
      </c>
      <c r="I9021" t="str">
        <v>Sinope (2015) - Sphere / Ocentric / Lambert Azimuthal Equal Area</v>
      </c>
      <c r="J9021" t="str">
        <v>Not specified.</v>
      </c>
      <c r="K9021" s="11">
        <v>0</v>
      </c>
    </row>
    <row r="9022" spans="5:11" x14ac:dyDescent="0.35">
      <c r="E9022" s="9" t="str">
        <v>IAU_2015</v>
      </c>
      <c r="F9022" s="7" t="str">
        <v>50985</v>
      </c>
      <c r="G9022" t="str">
        <v>ProjectedCrs</v>
      </c>
      <c r="H9022" t="str">
        <v>Albers Equal Area</v>
      </c>
      <c r="I9022" t="str">
        <v>Sinope (2015) - Sphere / Ocentric / Albers Equal Area</v>
      </c>
      <c r="J9022" t="str">
        <v>Not specified.</v>
      </c>
      <c r="K9022" s="11">
        <v>0</v>
      </c>
    </row>
    <row r="9023" spans="5:11" x14ac:dyDescent="0.35">
      <c r="E9023" s="9" t="str">
        <v>IAU_2015</v>
      </c>
      <c r="F9023" s="7" t="str">
        <v>50990</v>
      </c>
      <c r="G9023" t="str">
        <v>ProjectedCrs</v>
      </c>
      <c r="H9023" t="str">
        <v>Mercator (Spherical)</v>
      </c>
      <c r="I9023" t="str">
        <v>Sinope (2015) - Sphere / Ocentric / Mercator</v>
      </c>
      <c r="J9023" t="str">
        <v>Not specified.</v>
      </c>
      <c r="K9023" s="11">
        <v>0</v>
      </c>
    </row>
    <row r="9024" spans="5:11" x14ac:dyDescent="0.35">
      <c r="E9024" s="9" t="str">
        <v>IAU_2015</v>
      </c>
      <c r="F9024" s="7" t="str">
        <v>51000</v>
      </c>
      <c r="G9024" t="str">
        <v>Geographic2DCrs</v>
      </c>
      <c r="H9024" t="str">
        <v>&lt;undefined&gt;</v>
      </c>
      <c r="I9024" t="str">
        <v>Lysithea (2015) - Sphere / Ocentric</v>
      </c>
      <c r="J9024" t="str">
        <v>Not specified.</v>
      </c>
      <c r="K9024" s="11">
        <v>0</v>
      </c>
    </row>
    <row r="9025" spans="5:11" x14ac:dyDescent="0.35">
      <c r="E9025" s="9" t="str">
        <v>IAU_2015</v>
      </c>
      <c r="F9025" s="7" t="str">
        <v>51010</v>
      </c>
      <c r="G9025" t="str">
        <v>ProjectedCrs</v>
      </c>
      <c r="H9025" t="str">
        <v>Equidistant Cylindrical</v>
      </c>
      <c r="I9025" t="str">
        <v>Lysithea (2015) - Sphere / Ocentric / Equirectangular, clon = 0</v>
      </c>
      <c r="J9025" t="str">
        <v>Not specified.</v>
      </c>
      <c r="K9025" s="11">
        <v>0</v>
      </c>
    </row>
    <row r="9026" spans="5:11" x14ac:dyDescent="0.35">
      <c r="E9026" s="9" t="str">
        <v>IAU_2015</v>
      </c>
      <c r="F9026" s="7" t="str">
        <v>51015</v>
      </c>
      <c r="G9026" t="str">
        <v>ProjectedCrs</v>
      </c>
      <c r="H9026" t="str">
        <v>Equidistant Cylindrical</v>
      </c>
      <c r="I9026" t="str">
        <v>Lysithea (2015) - Sphere / Ocentric / Equirectangular, clon = 180</v>
      </c>
      <c r="J9026" t="str">
        <v>Not specified.</v>
      </c>
      <c r="K9026" s="11">
        <v>0</v>
      </c>
    </row>
    <row r="9027" spans="5:11" x14ac:dyDescent="0.35">
      <c r="E9027" s="9" t="str">
        <v>IAU_2015</v>
      </c>
      <c r="F9027" s="7" t="str">
        <v>51020</v>
      </c>
      <c r="G9027" t="str">
        <v>ProjectedCrs</v>
      </c>
      <c r="H9027" t="str">
        <v>Sinusoidal</v>
      </c>
      <c r="I9027" t="str">
        <v>Lysithea (2015) - Sphere / Ocentric / Sinusoidal, clon = 0</v>
      </c>
      <c r="J9027" t="str">
        <v>Not specified.</v>
      </c>
      <c r="K9027" s="11">
        <v>0</v>
      </c>
    </row>
    <row r="9028" spans="5:11" x14ac:dyDescent="0.35">
      <c r="E9028" s="9" t="str">
        <v>IAU_2015</v>
      </c>
      <c r="F9028" s="7" t="str">
        <v>51025</v>
      </c>
      <c r="G9028" t="str">
        <v>ProjectedCrs</v>
      </c>
      <c r="H9028" t="str">
        <v>Sinusoidal</v>
      </c>
      <c r="I9028" t="str">
        <v>Lysithea (2015) - Sphere / Ocentric / Sinusoidal, clon = 180</v>
      </c>
      <c r="J9028" t="str">
        <v>Not specified.</v>
      </c>
      <c r="K9028" s="11">
        <v>0</v>
      </c>
    </row>
    <row r="9029" spans="5:11" x14ac:dyDescent="0.35">
      <c r="E9029" s="9" t="str">
        <v>IAU_2015</v>
      </c>
      <c r="F9029" s="7" t="str">
        <v>51030</v>
      </c>
      <c r="G9029" t="str">
        <v>ProjectedCrs</v>
      </c>
      <c r="H9029" t="str">
        <v>Polar Stereographic (variant A)</v>
      </c>
      <c r="I9029" t="str">
        <v>Lysithea (2015) - Sphere / Ocentric / North Polar</v>
      </c>
      <c r="J9029" t="str">
        <v>Not specified.</v>
      </c>
      <c r="K9029" s="11">
        <v>0</v>
      </c>
    </row>
    <row r="9030" spans="5:11" x14ac:dyDescent="0.35">
      <c r="E9030" s="9" t="str">
        <v>IAU_2015</v>
      </c>
      <c r="F9030" s="7" t="str">
        <v>51035</v>
      </c>
      <c r="G9030" t="str">
        <v>ProjectedCrs</v>
      </c>
      <c r="H9030" t="str">
        <v>Polar Stereographic (variant A)</v>
      </c>
      <c r="I9030" t="str">
        <v>Lysithea (2015) - Sphere / Ocentric / South Polar</v>
      </c>
      <c r="J9030" t="str">
        <v>Not specified.</v>
      </c>
      <c r="K9030" s="11">
        <v>0</v>
      </c>
    </row>
    <row r="9031" spans="5:11" x14ac:dyDescent="0.35">
      <c r="E9031" s="9" t="str">
        <v>IAU_2015</v>
      </c>
      <c r="F9031" s="7" t="str">
        <v>51040</v>
      </c>
      <c r="G9031" t="str">
        <v>ProjectedCrs</v>
      </c>
      <c r="H9031" t="str">
        <v>Mollweide</v>
      </c>
      <c r="I9031" t="str">
        <v>Lysithea (2015) - Sphere / Ocentric / Mollweide, clon = 0</v>
      </c>
      <c r="J9031" t="str">
        <v>Not specified.</v>
      </c>
      <c r="K9031" s="11">
        <v>0</v>
      </c>
    </row>
    <row r="9032" spans="5:11" x14ac:dyDescent="0.35">
      <c r="E9032" s="9" t="str">
        <v>IAU_2015</v>
      </c>
      <c r="F9032" s="7" t="str">
        <v>51045</v>
      </c>
      <c r="G9032" t="str">
        <v>ProjectedCrs</v>
      </c>
      <c r="H9032" t="str">
        <v>Mollweide</v>
      </c>
      <c r="I9032" t="str">
        <v>Lysithea (2015) - Sphere / Ocentric / Mollweide, clon = 180</v>
      </c>
      <c r="J9032" t="str">
        <v>Not specified.</v>
      </c>
      <c r="K9032" s="11">
        <v>0</v>
      </c>
    </row>
    <row r="9033" spans="5:11" x14ac:dyDescent="0.35">
      <c r="E9033" s="9" t="str">
        <v>IAU_2015</v>
      </c>
      <c r="F9033" s="7" t="str">
        <v>51050</v>
      </c>
      <c r="G9033" t="str">
        <v>ProjectedCrs</v>
      </c>
      <c r="H9033" t="str">
        <v>Robinson</v>
      </c>
      <c r="I9033" t="str">
        <v>Lysithea (2015) - Sphere / Ocentric / Robinson, clon = 0</v>
      </c>
      <c r="J9033" t="str">
        <v>Not specified.</v>
      </c>
      <c r="K9033" s="11">
        <v>0</v>
      </c>
    </row>
    <row r="9034" spans="5:11" x14ac:dyDescent="0.35">
      <c r="E9034" s="9" t="str">
        <v>IAU_2015</v>
      </c>
      <c r="F9034" s="7" t="str">
        <v>51055</v>
      </c>
      <c r="G9034" t="str">
        <v>ProjectedCrs</v>
      </c>
      <c r="H9034" t="str">
        <v>Robinson</v>
      </c>
      <c r="I9034" t="str">
        <v>Lysithea (2015) - Sphere / Ocentric / Robinson, clon = 180</v>
      </c>
      <c r="J9034" t="str">
        <v>Not specified.</v>
      </c>
      <c r="K9034" s="11">
        <v>0</v>
      </c>
    </row>
    <row r="9035" spans="5:11" x14ac:dyDescent="0.35">
      <c r="E9035" s="9" t="str">
        <v>IAU_2015</v>
      </c>
      <c r="F9035" s="7" t="str">
        <v>51060</v>
      </c>
      <c r="G9035" t="str">
        <v>ProjectedCrs</v>
      </c>
      <c r="H9035" t="str">
        <v>Transverse Mercator</v>
      </c>
      <c r="I9035" t="str">
        <v>Lysithea (2015) - Sphere / Ocentric / Tranverse Mercator</v>
      </c>
      <c r="J9035" t="str">
        <v>Not specified.</v>
      </c>
      <c r="K9035" s="11">
        <v>0</v>
      </c>
    </row>
    <row r="9036" spans="5:11" x14ac:dyDescent="0.35">
      <c r="E9036" s="9" t="str">
        <v>IAU_2015</v>
      </c>
      <c r="F9036" s="7" t="str">
        <v>51065</v>
      </c>
      <c r="G9036" t="str">
        <v>ProjectedCrs</v>
      </c>
      <c r="H9036" t="str">
        <v>Orthographic</v>
      </c>
      <c r="I9036" t="str">
        <v>Lysithea (2015) - Sphere / Ocentric / Orthographic, clon = 0</v>
      </c>
      <c r="J9036" t="str">
        <v>Not specified.</v>
      </c>
      <c r="K9036" s="11">
        <v>0</v>
      </c>
    </row>
    <row r="9037" spans="5:11" x14ac:dyDescent="0.35">
      <c r="E9037" s="9" t="str">
        <v>IAU_2015</v>
      </c>
      <c r="F9037" s="7" t="str">
        <v>51070</v>
      </c>
      <c r="G9037" t="str">
        <v>ProjectedCrs</v>
      </c>
      <c r="H9037" t="str">
        <v>Orthographic</v>
      </c>
      <c r="I9037" t="str">
        <v>Lysithea (2015) - Sphere / Ocentric / Orthographic, clon = 180</v>
      </c>
      <c r="J9037" t="str">
        <v>Not specified.</v>
      </c>
      <c r="K9037" s="11">
        <v>0</v>
      </c>
    </row>
    <row r="9038" spans="5:11" x14ac:dyDescent="0.35">
      <c r="E9038" s="9" t="str">
        <v>IAU_2015</v>
      </c>
      <c r="F9038" s="7" t="str">
        <v>51075</v>
      </c>
      <c r="G9038" t="str">
        <v>ProjectedCrs</v>
      </c>
      <c r="H9038" t="str">
        <v>Lambert Conic Conformal (2SP)</v>
      </c>
      <c r="I9038" t="str">
        <v>Lysithea (2015) - Sphere / Ocentric / Lambert Conic Conformal</v>
      </c>
      <c r="J9038" t="str">
        <v>Not specified.</v>
      </c>
      <c r="K9038" s="11">
        <v>0</v>
      </c>
    </row>
    <row r="9039" spans="5:11" x14ac:dyDescent="0.35">
      <c r="E9039" s="9" t="str">
        <v>IAU_2015</v>
      </c>
      <c r="F9039" s="7" t="str">
        <v>51080</v>
      </c>
      <c r="G9039" t="str">
        <v>ProjectedCrs</v>
      </c>
      <c r="H9039" t="str">
        <v>Lambert Azimuthal Equal Area</v>
      </c>
      <c r="I9039" t="str">
        <v>Lysithea (2015) - Sphere / Ocentric / Lambert Azimuthal Equal Area</v>
      </c>
      <c r="J9039" t="str">
        <v>Not specified.</v>
      </c>
      <c r="K9039" s="11">
        <v>0</v>
      </c>
    </row>
    <row r="9040" spans="5:11" x14ac:dyDescent="0.35">
      <c r="E9040" s="9" t="str">
        <v>IAU_2015</v>
      </c>
      <c r="F9040" s="7" t="str">
        <v>51085</v>
      </c>
      <c r="G9040" t="str">
        <v>ProjectedCrs</v>
      </c>
      <c r="H9040" t="str">
        <v>Albers Equal Area</v>
      </c>
      <c r="I9040" t="str">
        <v>Lysithea (2015) - Sphere / Ocentric / Albers Equal Area</v>
      </c>
      <c r="J9040" t="str">
        <v>Not specified.</v>
      </c>
      <c r="K9040" s="11">
        <v>0</v>
      </c>
    </row>
    <row r="9041" spans="5:11" x14ac:dyDescent="0.35">
      <c r="E9041" s="9" t="str">
        <v>IAU_2015</v>
      </c>
      <c r="F9041" s="7" t="str">
        <v>51090</v>
      </c>
      <c r="G9041" t="str">
        <v>ProjectedCrs</v>
      </c>
      <c r="H9041" t="str">
        <v>Mercator (Spherical)</v>
      </c>
      <c r="I9041" t="str">
        <v>Lysithea (2015) - Sphere / Ocentric / Mercator</v>
      </c>
      <c r="J9041" t="str">
        <v>Not specified.</v>
      </c>
      <c r="K9041" s="11">
        <v>0</v>
      </c>
    </row>
    <row r="9042" spans="5:11" x14ac:dyDescent="0.35">
      <c r="E9042" s="9" t="str">
        <v>IAU_2015</v>
      </c>
      <c r="F9042" s="7" t="str">
        <v>51100</v>
      </c>
      <c r="G9042" t="str">
        <v>Geographic2DCrs</v>
      </c>
      <c r="H9042" t="str">
        <v>&lt;undefined&gt;</v>
      </c>
      <c r="I9042" t="str">
        <v>Carme (2015) - Sphere / Ocentric</v>
      </c>
      <c r="J9042" t="str">
        <v>Not specified.</v>
      </c>
      <c r="K9042" s="11">
        <v>0</v>
      </c>
    </row>
    <row r="9043" spans="5:11" x14ac:dyDescent="0.35">
      <c r="E9043" s="9" t="str">
        <v>IAU_2015</v>
      </c>
      <c r="F9043" s="7" t="str">
        <v>51110</v>
      </c>
      <c r="G9043" t="str">
        <v>ProjectedCrs</v>
      </c>
      <c r="H9043" t="str">
        <v>Equidistant Cylindrical</v>
      </c>
      <c r="I9043" t="str">
        <v>Carme (2015) - Sphere / Ocentric / Equirectangular, clon = 0</v>
      </c>
      <c r="J9043" t="str">
        <v>Not specified.</v>
      </c>
      <c r="K9043" s="11">
        <v>0</v>
      </c>
    </row>
    <row r="9044" spans="5:11" x14ac:dyDescent="0.35">
      <c r="E9044" s="9" t="str">
        <v>IAU_2015</v>
      </c>
      <c r="F9044" s="7" t="str">
        <v>51115</v>
      </c>
      <c r="G9044" t="str">
        <v>ProjectedCrs</v>
      </c>
      <c r="H9044" t="str">
        <v>Equidistant Cylindrical</v>
      </c>
      <c r="I9044" t="str">
        <v>Carme (2015) - Sphere / Ocentric / Equirectangular, clon = 180</v>
      </c>
      <c r="J9044" t="str">
        <v>Not specified.</v>
      </c>
      <c r="K9044" s="11">
        <v>0</v>
      </c>
    </row>
    <row r="9045" spans="5:11" x14ac:dyDescent="0.35">
      <c r="E9045" s="9" t="str">
        <v>IAU_2015</v>
      </c>
      <c r="F9045" s="7" t="str">
        <v>51120</v>
      </c>
      <c r="G9045" t="str">
        <v>ProjectedCrs</v>
      </c>
      <c r="H9045" t="str">
        <v>Sinusoidal</v>
      </c>
      <c r="I9045" t="str">
        <v>Carme (2015) - Sphere / Ocentric / Sinusoidal, clon = 0</v>
      </c>
      <c r="J9045" t="str">
        <v>Not specified.</v>
      </c>
      <c r="K9045" s="11">
        <v>0</v>
      </c>
    </row>
    <row r="9046" spans="5:11" x14ac:dyDescent="0.35">
      <c r="E9046" s="9" t="str">
        <v>IAU_2015</v>
      </c>
      <c r="F9046" s="7" t="str">
        <v>51125</v>
      </c>
      <c r="G9046" t="str">
        <v>ProjectedCrs</v>
      </c>
      <c r="H9046" t="str">
        <v>Sinusoidal</v>
      </c>
      <c r="I9046" t="str">
        <v>Carme (2015) - Sphere / Ocentric / Sinusoidal, clon = 180</v>
      </c>
      <c r="J9046" t="str">
        <v>Not specified.</v>
      </c>
      <c r="K9046" s="11">
        <v>0</v>
      </c>
    </row>
    <row r="9047" spans="5:11" x14ac:dyDescent="0.35">
      <c r="E9047" s="9" t="str">
        <v>IAU_2015</v>
      </c>
      <c r="F9047" s="7" t="str">
        <v>51130</v>
      </c>
      <c r="G9047" t="str">
        <v>ProjectedCrs</v>
      </c>
      <c r="H9047" t="str">
        <v>Polar Stereographic (variant A)</v>
      </c>
      <c r="I9047" t="str">
        <v>Carme (2015) - Sphere / Ocentric / North Polar</v>
      </c>
      <c r="J9047" t="str">
        <v>Not specified.</v>
      </c>
      <c r="K9047" s="11">
        <v>0</v>
      </c>
    </row>
    <row r="9048" spans="5:11" x14ac:dyDescent="0.35">
      <c r="E9048" s="9" t="str">
        <v>IAU_2015</v>
      </c>
      <c r="F9048" s="7" t="str">
        <v>51135</v>
      </c>
      <c r="G9048" t="str">
        <v>ProjectedCrs</v>
      </c>
      <c r="H9048" t="str">
        <v>Polar Stereographic (variant A)</v>
      </c>
      <c r="I9048" t="str">
        <v>Carme (2015) - Sphere / Ocentric / South Polar</v>
      </c>
      <c r="J9048" t="str">
        <v>Not specified.</v>
      </c>
      <c r="K9048" s="11">
        <v>0</v>
      </c>
    </row>
    <row r="9049" spans="5:11" x14ac:dyDescent="0.35">
      <c r="E9049" s="9" t="str">
        <v>IAU_2015</v>
      </c>
      <c r="F9049" s="7" t="str">
        <v>51140</v>
      </c>
      <c r="G9049" t="str">
        <v>ProjectedCrs</v>
      </c>
      <c r="H9049" t="str">
        <v>Mollweide</v>
      </c>
      <c r="I9049" t="str">
        <v>Carme (2015) - Sphere / Ocentric / Mollweide, clon = 0</v>
      </c>
      <c r="J9049" t="str">
        <v>Not specified.</v>
      </c>
      <c r="K9049" s="11">
        <v>0</v>
      </c>
    </row>
    <row r="9050" spans="5:11" x14ac:dyDescent="0.35">
      <c r="E9050" s="9" t="str">
        <v>IAU_2015</v>
      </c>
      <c r="F9050" s="7" t="str">
        <v>51145</v>
      </c>
      <c r="G9050" t="str">
        <v>ProjectedCrs</v>
      </c>
      <c r="H9050" t="str">
        <v>Mollweide</v>
      </c>
      <c r="I9050" t="str">
        <v>Carme (2015) - Sphere / Ocentric / Mollweide, clon = 180</v>
      </c>
      <c r="J9050" t="str">
        <v>Not specified.</v>
      </c>
      <c r="K9050" s="11">
        <v>0</v>
      </c>
    </row>
    <row r="9051" spans="5:11" x14ac:dyDescent="0.35">
      <c r="E9051" s="9" t="str">
        <v>IAU_2015</v>
      </c>
      <c r="F9051" s="7" t="str">
        <v>51150</v>
      </c>
      <c r="G9051" t="str">
        <v>ProjectedCrs</v>
      </c>
      <c r="H9051" t="str">
        <v>Robinson</v>
      </c>
      <c r="I9051" t="str">
        <v>Carme (2015) - Sphere / Ocentric / Robinson, clon = 0</v>
      </c>
      <c r="J9051" t="str">
        <v>Not specified.</v>
      </c>
      <c r="K9051" s="11">
        <v>0</v>
      </c>
    </row>
    <row r="9052" spans="5:11" x14ac:dyDescent="0.35">
      <c r="E9052" s="9" t="str">
        <v>IAU_2015</v>
      </c>
      <c r="F9052" s="7" t="str">
        <v>51155</v>
      </c>
      <c r="G9052" t="str">
        <v>ProjectedCrs</v>
      </c>
      <c r="H9052" t="str">
        <v>Robinson</v>
      </c>
      <c r="I9052" t="str">
        <v>Carme (2015) - Sphere / Ocentric / Robinson, clon = 180</v>
      </c>
      <c r="J9052" t="str">
        <v>Not specified.</v>
      </c>
      <c r="K9052" s="11">
        <v>0</v>
      </c>
    </row>
    <row r="9053" spans="5:11" x14ac:dyDescent="0.35">
      <c r="E9053" s="9" t="str">
        <v>IAU_2015</v>
      </c>
      <c r="F9053" s="7" t="str">
        <v>51160</v>
      </c>
      <c r="G9053" t="str">
        <v>ProjectedCrs</v>
      </c>
      <c r="H9053" t="str">
        <v>Transverse Mercator</v>
      </c>
      <c r="I9053" t="str">
        <v>Carme (2015) - Sphere / Ocentric / Tranverse Mercator</v>
      </c>
      <c r="J9053" t="str">
        <v>Not specified.</v>
      </c>
      <c r="K9053" s="11">
        <v>0</v>
      </c>
    </row>
    <row r="9054" spans="5:11" x14ac:dyDescent="0.35">
      <c r="E9054" s="9" t="str">
        <v>IAU_2015</v>
      </c>
      <c r="F9054" s="7" t="str">
        <v>51165</v>
      </c>
      <c r="G9054" t="str">
        <v>ProjectedCrs</v>
      </c>
      <c r="H9054" t="str">
        <v>Orthographic</v>
      </c>
      <c r="I9054" t="str">
        <v>Carme (2015) - Sphere / Ocentric / Orthographic, clon = 0</v>
      </c>
      <c r="J9054" t="str">
        <v>Not specified.</v>
      </c>
      <c r="K9054" s="11">
        <v>0</v>
      </c>
    </row>
    <row r="9055" spans="5:11" x14ac:dyDescent="0.35">
      <c r="E9055" s="9" t="str">
        <v>IAU_2015</v>
      </c>
      <c r="F9055" s="7" t="str">
        <v>51170</v>
      </c>
      <c r="G9055" t="str">
        <v>ProjectedCrs</v>
      </c>
      <c r="H9055" t="str">
        <v>Orthographic</v>
      </c>
      <c r="I9055" t="str">
        <v>Carme (2015) - Sphere / Ocentric / Orthographic, clon = 180</v>
      </c>
      <c r="J9055" t="str">
        <v>Not specified.</v>
      </c>
      <c r="K9055" s="11">
        <v>0</v>
      </c>
    </row>
    <row r="9056" spans="5:11" x14ac:dyDescent="0.35">
      <c r="E9056" s="9" t="str">
        <v>IAU_2015</v>
      </c>
      <c r="F9056" s="7" t="str">
        <v>51175</v>
      </c>
      <c r="G9056" t="str">
        <v>ProjectedCrs</v>
      </c>
      <c r="H9056" t="str">
        <v>Lambert Conic Conformal (2SP)</v>
      </c>
      <c r="I9056" t="str">
        <v>Carme (2015) - Sphere / Ocentric / Lambert Conic Conformal</v>
      </c>
      <c r="J9056" t="str">
        <v>Not specified.</v>
      </c>
      <c r="K9056" s="11">
        <v>0</v>
      </c>
    </row>
    <row r="9057" spans="5:11" x14ac:dyDescent="0.35">
      <c r="E9057" s="9" t="str">
        <v>IAU_2015</v>
      </c>
      <c r="F9057" s="7" t="str">
        <v>51180</v>
      </c>
      <c r="G9057" t="str">
        <v>ProjectedCrs</v>
      </c>
      <c r="H9057" t="str">
        <v>Lambert Azimuthal Equal Area</v>
      </c>
      <c r="I9057" t="str">
        <v>Carme (2015) - Sphere / Ocentric / Lambert Azimuthal Equal Area</v>
      </c>
      <c r="J9057" t="str">
        <v>Not specified.</v>
      </c>
      <c r="K9057" s="11">
        <v>0</v>
      </c>
    </row>
    <row r="9058" spans="5:11" x14ac:dyDescent="0.35">
      <c r="E9058" s="9" t="str">
        <v>IAU_2015</v>
      </c>
      <c r="F9058" s="7" t="str">
        <v>51185</v>
      </c>
      <c r="G9058" t="str">
        <v>ProjectedCrs</v>
      </c>
      <c r="H9058" t="str">
        <v>Albers Equal Area</v>
      </c>
      <c r="I9058" t="str">
        <v>Carme (2015) - Sphere / Ocentric / Albers Equal Area</v>
      </c>
      <c r="J9058" t="str">
        <v>Not specified.</v>
      </c>
      <c r="K9058" s="11">
        <v>0</v>
      </c>
    </row>
    <row r="9059" spans="5:11" x14ac:dyDescent="0.35">
      <c r="E9059" s="9" t="str">
        <v>IAU_2015</v>
      </c>
      <c r="F9059" s="7" t="str">
        <v>51190</v>
      </c>
      <c r="G9059" t="str">
        <v>ProjectedCrs</v>
      </c>
      <c r="H9059" t="str">
        <v>Mercator (Spherical)</v>
      </c>
      <c r="I9059" t="str">
        <v>Carme (2015) - Sphere / Ocentric / Mercator</v>
      </c>
      <c r="J9059" t="str">
        <v>Not specified.</v>
      </c>
      <c r="K9059" s="11">
        <v>0</v>
      </c>
    </row>
    <row r="9060" spans="5:11" x14ac:dyDescent="0.35">
      <c r="E9060" s="9" t="str">
        <v>IAU_2015</v>
      </c>
      <c r="F9060" s="7" t="str">
        <v>51200</v>
      </c>
      <c r="G9060" t="str">
        <v>Geographic2DCrs</v>
      </c>
      <c r="H9060" t="str">
        <v>&lt;undefined&gt;</v>
      </c>
      <c r="I9060" t="str">
        <v>Ananke (2015) - Sphere / Ocentric</v>
      </c>
      <c r="J9060" t="str">
        <v>Not specified.</v>
      </c>
      <c r="K9060" s="11">
        <v>0</v>
      </c>
    </row>
    <row r="9061" spans="5:11" x14ac:dyDescent="0.35">
      <c r="E9061" s="9" t="str">
        <v>IAU_2015</v>
      </c>
      <c r="F9061" s="7" t="str">
        <v>51210</v>
      </c>
      <c r="G9061" t="str">
        <v>ProjectedCrs</v>
      </c>
      <c r="H9061" t="str">
        <v>Equidistant Cylindrical</v>
      </c>
      <c r="I9061" t="str">
        <v>Ananke (2015) - Sphere / Ocentric / Equirectangular, clon = 0</v>
      </c>
      <c r="J9061" t="str">
        <v>Not specified.</v>
      </c>
      <c r="K9061" s="11">
        <v>0</v>
      </c>
    </row>
    <row r="9062" spans="5:11" x14ac:dyDescent="0.35">
      <c r="E9062" s="9" t="str">
        <v>IAU_2015</v>
      </c>
      <c r="F9062" s="7" t="str">
        <v>51215</v>
      </c>
      <c r="G9062" t="str">
        <v>ProjectedCrs</v>
      </c>
      <c r="H9062" t="str">
        <v>Equidistant Cylindrical</v>
      </c>
      <c r="I9062" t="str">
        <v>Ananke (2015) - Sphere / Ocentric / Equirectangular, clon = 180</v>
      </c>
      <c r="J9062" t="str">
        <v>Not specified.</v>
      </c>
      <c r="K9062" s="11">
        <v>0</v>
      </c>
    </row>
    <row r="9063" spans="5:11" x14ac:dyDescent="0.35">
      <c r="E9063" s="9" t="str">
        <v>IAU_2015</v>
      </c>
      <c r="F9063" s="7" t="str">
        <v>51220</v>
      </c>
      <c r="G9063" t="str">
        <v>ProjectedCrs</v>
      </c>
      <c r="H9063" t="str">
        <v>Sinusoidal</v>
      </c>
      <c r="I9063" t="str">
        <v>Ananke (2015) - Sphere / Ocentric / Sinusoidal, clon = 0</v>
      </c>
      <c r="J9063" t="str">
        <v>Not specified.</v>
      </c>
      <c r="K9063" s="11">
        <v>0</v>
      </c>
    </row>
    <row r="9064" spans="5:11" x14ac:dyDescent="0.35">
      <c r="E9064" s="9" t="str">
        <v>IAU_2015</v>
      </c>
      <c r="F9064" s="7" t="str">
        <v>51225</v>
      </c>
      <c r="G9064" t="str">
        <v>ProjectedCrs</v>
      </c>
      <c r="H9064" t="str">
        <v>Sinusoidal</v>
      </c>
      <c r="I9064" t="str">
        <v>Ananke (2015) - Sphere / Ocentric / Sinusoidal, clon = 180</v>
      </c>
      <c r="J9064" t="str">
        <v>Not specified.</v>
      </c>
      <c r="K9064" s="11">
        <v>0</v>
      </c>
    </row>
    <row r="9065" spans="5:11" x14ac:dyDescent="0.35">
      <c r="E9065" s="9" t="str">
        <v>IAU_2015</v>
      </c>
      <c r="F9065" s="7" t="str">
        <v>51230</v>
      </c>
      <c r="G9065" t="str">
        <v>ProjectedCrs</v>
      </c>
      <c r="H9065" t="str">
        <v>Polar Stereographic (variant A)</v>
      </c>
      <c r="I9065" t="str">
        <v>Ananke (2015) - Sphere / Ocentric / North Polar</v>
      </c>
      <c r="J9065" t="str">
        <v>Not specified.</v>
      </c>
      <c r="K9065" s="11">
        <v>0</v>
      </c>
    </row>
    <row r="9066" spans="5:11" x14ac:dyDescent="0.35">
      <c r="E9066" s="9" t="str">
        <v>IAU_2015</v>
      </c>
      <c r="F9066" s="7" t="str">
        <v>51235</v>
      </c>
      <c r="G9066" t="str">
        <v>ProjectedCrs</v>
      </c>
      <c r="H9066" t="str">
        <v>Polar Stereographic (variant A)</v>
      </c>
      <c r="I9066" t="str">
        <v>Ananke (2015) - Sphere / Ocentric / South Polar</v>
      </c>
      <c r="J9066" t="str">
        <v>Not specified.</v>
      </c>
      <c r="K9066" s="11">
        <v>0</v>
      </c>
    </row>
    <row r="9067" spans="5:11" x14ac:dyDescent="0.35">
      <c r="E9067" s="9" t="str">
        <v>IAU_2015</v>
      </c>
      <c r="F9067" s="7" t="str">
        <v>51240</v>
      </c>
      <c r="G9067" t="str">
        <v>ProjectedCrs</v>
      </c>
      <c r="H9067" t="str">
        <v>Mollweide</v>
      </c>
      <c r="I9067" t="str">
        <v>Ananke (2015) - Sphere / Ocentric / Mollweide, clon = 0</v>
      </c>
      <c r="J9067" t="str">
        <v>Not specified.</v>
      </c>
      <c r="K9067" s="11">
        <v>0</v>
      </c>
    </row>
    <row r="9068" spans="5:11" x14ac:dyDescent="0.35">
      <c r="E9068" s="9" t="str">
        <v>IAU_2015</v>
      </c>
      <c r="F9068" s="7" t="str">
        <v>51245</v>
      </c>
      <c r="G9068" t="str">
        <v>ProjectedCrs</v>
      </c>
      <c r="H9068" t="str">
        <v>Mollweide</v>
      </c>
      <c r="I9068" t="str">
        <v>Ananke (2015) - Sphere / Ocentric / Mollweide, clon = 180</v>
      </c>
      <c r="J9068" t="str">
        <v>Not specified.</v>
      </c>
      <c r="K9068" s="11">
        <v>0</v>
      </c>
    </row>
    <row r="9069" spans="5:11" x14ac:dyDescent="0.35">
      <c r="E9069" s="9" t="str">
        <v>IAU_2015</v>
      </c>
      <c r="F9069" s="7" t="str">
        <v>51250</v>
      </c>
      <c r="G9069" t="str">
        <v>ProjectedCrs</v>
      </c>
      <c r="H9069" t="str">
        <v>Robinson</v>
      </c>
      <c r="I9069" t="str">
        <v>Ananke (2015) - Sphere / Ocentric / Robinson, clon = 0</v>
      </c>
      <c r="J9069" t="str">
        <v>Not specified.</v>
      </c>
      <c r="K9069" s="11">
        <v>0</v>
      </c>
    </row>
    <row r="9070" spans="5:11" x14ac:dyDescent="0.35">
      <c r="E9070" s="9" t="str">
        <v>IAU_2015</v>
      </c>
      <c r="F9070" s="7" t="str">
        <v>51255</v>
      </c>
      <c r="G9070" t="str">
        <v>ProjectedCrs</v>
      </c>
      <c r="H9070" t="str">
        <v>Robinson</v>
      </c>
      <c r="I9070" t="str">
        <v>Ananke (2015) - Sphere / Ocentric / Robinson, clon = 180</v>
      </c>
      <c r="J9070" t="str">
        <v>Not specified.</v>
      </c>
      <c r="K9070" s="11">
        <v>0</v>
      </c>
    </row>
    <row r="9071" spans="5:11" x14ac:dyDescent="0.35">
      <c r="E9071" s="9" t="str">
        <v>IAU_2015</v>
      </c>
      <c r="F9071" s="7" t="str">
        <v>51260</v>
      </c>
      <c r="G9071" t="str">
        <v>ProjectedCrs</v>
      </c>
      <c r="H9071" t="str">
        <v>Transverse Mercator</v>
      </c>
      <c r="I9071" t="str">
        <v>Ananke (2015) - Sphere / Ocentric / Tranverse Mercator</v>
      </c>
      <c r="J9071" t="str">
        <v>Not specified.</v>
      </c>
      <c r="K9071" s="11">
        <v>0</v>
      </c>
    </row>
    <row r="9072" spans="5:11" x14ac:dyDescent="0.35">
      <c r="E9072" s="9" t="str">
        <v>IAU_2015</v>
      </c>
      <c r="F9072" s="7" t="str">
        <v>51265</v>
      </c>
      <c r="G9072" t="str">
        <v>ProjectedCrs</v>
      </c>
      <c r="H9072" t="str">
        <v>Orthographic</v>
      </c>
      <c r="I9072" t="str">
        <v>Ananke (2015) - Sphere / Ocentric / Orthographic, clon = 0</v>
      </c>
      <c r="J9072" t="str">
        <v>Not specified.</v>
      </c>
      <c r="K9072" s="11">
        <v>0</v>
      </c>
    </row>
    <row r="9073" spans="5:11" x14ac:dyDescent="0.35">
      <c r="E9073" s="9" t="str">
        <v>IAU_2015</v>
      </c>
      <c r="F9073" s="7" t="str">
        <v>51270</v>
      </c>
      <c r="G9073" t="str">
        <v>ProjectedCrs</v>
      </c>
      <c r="H9073" t="str">
        <v>Orthographic</v>
      </c>
      <c r="I9073" t="str">
        <v>Ananke (2015) - Sphere / Ocentric / Orthographic, clon = 180</v>
      </c>
      <c r="J9073" t="str">
        <v>Not specified.</v>
      </c>
      <c r="K9073" s="11">
        <v>0</v>
      </c>
    </row>
    <row r="9074" spans="5:11" x14ac:dyDescent="0.35">
      <c r="E9074" s="9" t="str">
        <v>IAU_2015</v>
      </c>
      <c r="F9074" s="7" t="str">
        <v>51275</v>
      </c>
      <c r="G9074" t="str">
        <v>ProjectedCrs</v>
      </c>
      <c r="H9074" t="str">
        <v>Lambert Conic Conformal (2SP)</v>
      </c>
      <c r="I9074" t="str">
        <v>Ananke (2015) - Sphere / Ocentric / Lambert Conic Conformal</v>
      </c>
      <c r="J9074" t="str">
        <v>Not specified.</v>
      </c>
      <c r="K9074" s="11">
        <v>0</v>
      </c>
    </row>
    <row r="9075" spans="5:11" x14ac:dyDescent="0.35">
      <c r="E9075" s="9" t="str">
        <v>IAU_2015</v>
      </c>
      <c r="F9075" s="7" t="str">
        <v>51280</v>
      </c>
      <c r="G9075" t="str">
        <v>ProjectedCrs</v>
      </c>
      <c r="H9075" t="str">
        <v>Lambert Azimuthal Equal Area</v>
      </c>
      <c r="I9075" t="str">
        <v>Ananke (2015) - Sphere / Ocentric / Lambert Azimuthal Equal Area</v>
      </c>
      <c r="J9075" t="str">
        <v>Not specified.</v>
      </c>
      <c r="K9075" s="11">
        <v>0</v>
      </c>
    </row>
    <row r="9076" spans="5:11" x14ac:dyDescent="0.35">
      <c r="E9076" s="9" t="str">
        <v>IAU_2015</v>
      </c>
      <c r="F9076" s="7" t="str">
        <v>51285</v>
      </c>
      <c r="G9076" t="str">
        <v>ProjectedCrs</v>
      </c>
      <c r="H9076" t="str">
        <v>Albers Equal Area</v>
      </c>
      <c r="I9076" t="str">
        <v>Ananke (2015) - Sphere / Ocentric / Albers Equal Area</v>
      </c>
      <c r="J9076" t="str">
        <v>Not specified.</v>
      </c>
      <c r="K9076" s="11">
        <v>0</v>
      </c>
    </row>
    <row r="9077" spans="5:11" x14ac:dyDescent="0.35">
      <c r="E9077" s="9" t="str">
        <v>IAU_2015</v>
      </c>
      <c r="F9077" s="7" t="str">
        <v>51290</v>
      </c>
      <c r="G9077" t="str">
        <v>ProjectedCrs</v>
      </c>
      <c r="H9077" t="str">
        <v>Mercator (Spherical)</v>
      </c>
      <c r="I9077" t="str">
        <v>Ananke (2015) - Sphere / Ocentric / Mercator</v>
      </c>
      <c r="J9077" t="str">
        <v>Not specified.</v>
      </c>
      <c r="K9077" s="11">
        <v>0</v>
      </c>
    </row>
    <row r="9078" spans="5:11" x14ac:dyDescent="0.35">
      <c r="E9078" s="9" t="str">
        <v>IAU_2015</v>
      </c>
      <c r="F9078" s="7" t="str">
        <v>51300</v>
      </c>
      <c r="G9078" t="str">
        <v>Geographic2DCrs</v>
      </c>
      <c r="H9078" t="str">
        <v>&lt;undefined&gt;</v>
      </c>
      <c r="I9078" t="str">
        <v>Leda (2015) - Sphere / Ocentric</v>
      </c>
      <c r="J9078" t="str">
        <v>Not specified.</v>
      </c>
      <c r="K9078" s="11">
        <v>0</v>
      </c>
    </row>
    <row r="9079" spans="5:11" x14ac:dyDescent="0.35">
      <c r="E9079" s="9" t="str">
        <v>IAU_2015</v>
      </c>
      <c r="F9079" s="7" t="str">
        <v>51310</v>
      </c>
      <c r="G9079" t="str">
        <v>ProjectedCrs</v>
      </c>
      <c r="H9079" t="str">
        <v>Equidistant Cylindrical</v>
      </c>
      <c r="I9079" t="str">
        <v>Leda (2015) - Sphere / Ocentric / Equirectangular, clon = 0</v>
      </c>
      <c r="J9079" t="str">
        <v>Not specified.</v>
      </c>
      <c r="K9079" s="11">
        <v>0</v>
      </c>
    </row>
    <row r="9080" spans="5:11" x14ac:dyDescent="0.35">
      <c r="E9080" s="9" t="str">
        <v>IAU_2015</v>
      </c>
      <c r="F9080" s="7" t="str">
        <v>51315</v>
      </c>
      <c r="G9080" t="str">
        <v>ProjectedCrs</v>
      </c>
      <c r="H9080" t="str">
        <v>Equidistant Cylindrical</v>
      </c>
      <c r="I9080" t="str">
        <v>Leda (2015) - Sphere / Ocentric / Equirectangular, clon = 180</v>
      </c>
      <c r="J9080" t="str">
        <v>Not specified.</v>
      </c>
      <c r="K9080" s="11">
        <v>0</v>
      </c>
    </row>
    <row r="9081" spans="5:11" x14ac:dyDescent="0.35">
      <c r="E9081" s="9" t="str">
        <v>IAU_2015</v>
      </c>
      <c r="F9081" s="7" t="str">
        <v>51320</v>
      </c>
      <c r="G9081" t="str">
        <v>ProjectedCrs</v>
      </c>
      <c r="H9081" t="str">
        <v>Sinusoidal</v>
      </c>
      <c r="I9081" t="str">
        <v>Leda (2015) - Sphere / Ocentric / Sinusoidal, clon = 0</v>
      </c>
      <c r="J9081" t="str">
        <v>Not specified.</v>
      </c>
      <c r="K9081" s="11">
        <v>0</v>
      </c>
    </row>
    <row r="9082" spans="5:11" x14ac:dyDescent="0.35">
      <c r="E9082" s="9" t="str">
        <v>IAU_2015</v>
      </c>
      <c r="F9082" s="7" t="str">
        <v>51325</v>
      </c>
      <c r="G9082" t="str">
        <v>ProjectedCrs</v>
      </c>
      <c r="H9082" t="str">
        <v>Sinusoidal</v>
      </c>
      <c r="I9082" t="str">
        <v>Leda (2015) - Sphere / Ocentric / Sinusoidal, clon = 180</v>
      </c>
      <c r="J9082" t="str">
        <v>Not specified.</v>
      </c>
      <c r="K9082" s="11">
        <v>0</v>
      </c>
    </row>
    <row r="9083" spans="5:11" x14ac:dyDescent="0.35">
      <c r="E9083" s="9" t="str">
        <v>IAU_2015</v>
      </c>
      <c r="F9083" s="7" t="str">
        <v>51330</v>
      </c>
      <c r="G9083" t="str">
        <v>ProjectedCrs</v>
      </c>
      <c r="H9083" t="str">
        <v>Polar Stereographic (variant A)</v>
      </c>
      <c r="I9083" t="str">
        <v>Leda (2015) - Sphere / Ocentric / North Polar</v>
      </c>
      <c r="J9083" t="str">
        <v>Not specified.</v>
      </c>
      <c r="K9083" s="11">
        <v>0</v>
      </c>
    </row>
    <row r="9084" spans="5:11" x14ac:dyDescent="0.35">
      <c r="E9084" s="9" t="str">
        <v>IAU_2015</v>
      </c>
      <c r="F9084" s="7" t="str">
        <v>51335</v>
      </c>
      <c r="G9084" t="str">
        <v>ProjectedCrs</v>
      </c>
      <c r="H9084" t="str">
        <v>Polar Stereographic (variant A)</v>
      </c>
      <c r="I9084" t="str">
        <v>Leda (2015) - Sphere / Ocentric / South Polar</v>
      </c>
      <c r="J9084" t="str">
        <v>Not specified.</v>
      </c>
      <c r="K9084" s="11">
        <v>0</v>
      </c>
    </row>
    <row r="9085" spans="5:11" x14ac:dyDescent="0.35">
      <c r="E9085" s="9" t="str">
        <v>IAU_2015</v>
      </c>
      <c r="F9085" s="7" t="str">
        <v>51340</v>
      </c>
      <c r="G9085" t="str">
        <v>ProjectedCrs</v>
      </c>
      <c r="H9085" t="str">
        <v>Mollweide</v>
      </c>
      <c r="I9085" t="str">
        <v>Leda (2015) - Sphere / Ocentric / Mollweide, clon = 0</v>
      </c>
      <c r="J9085" t="str">
        <v>Not specified.</v>
      </c>
      <c r="K9085" s="11">
        <v>0</v>
      </c>
    </row>
    <row r="9086" spans="5:11" x14ac:dyDescent="0.35">
      <c r="E9086" s="9" t="str">
        <v>IAU_2015</v>
      </c>
      <c r="F9086" s="7" t="str">
        <v>51345</v>
      </c>
      <c r="G9086" t="str">
        <v>ProjectedCrs</v>
      </c>
      <c r="H9086" t="str">
        <v>Mollweide</v>
      </c>
      <c r="I9086" t="str">
        <v>Leda (2015) - Sphere / Ocentric / Mollweide, clon = 180</v>
      </c>
      <c r="J9086" t="str">
        <v>Not specified.</v>
      </c>
      <c r="K9086" s="11">
        <v>0</v>
      </c>
    </row>
    <row r="9087" spans="5:11" x14ac:dyDescent="0.35">
      <c r="E9087" s="9" t="str">
        <v>IAU_2015</v>
      </c>
      <c r="F9087" s="7" t="str">
        <v>51350</v>
      </c>
      <c r="G9087" t="str">
        <v>ProjectedCrs</v>
      </c>
      <c r="H9087" t="str">
        <v>Robinson</v>
      </c>
      <c r="I9087" t="str">
        <v>Leda (2015) - Sphere / Ocentric / Robinson, clon = 0</v>
      </c>
      <c r="J9087" t="str">
        <v>Not specified.</v>
      </c>
      <c r="K9087" s="11">
        <v>0</v>
      </c>
    </row>
    <row r="9088" spans="5:11" x14ac:dyDescent="0.35">
      <c r="E9088" s="9" t="str">
        <v>IAU_2015</v>
      </c>
      <c r="F9088" s="7" t="str">
        <v>51355</v>
      </c>
      <c r="G9088" t="str">
        <v>ProjectedCrs</v>
      </c>
      <c r="H9088" t="str">
        <v>Robinson</v>
      </c>
      <c r="I9088" t="str">
        <v>Leda (2015) - Sphere / Ocentric / Robinson, clon = 180</v>
      </c>
      <c r="J9088" t="str">
        <v>Not specified.</v>
      </c>
      <c r="K9088" s="11">
        <v>0</v>
      </c>
    </row>
    <row r="9089" spans="5:11" x14ac:dyDescent="0.35">
      <c r="E9089" s="9" t="str">
        <v>IAU_2015</v>
      </c>
      <c r="F9089" s="7" t="str">
        <v>51360</v>
      </c>
      <c r="G9089" t="str">
        <v>ProjectedCrs</v>
      </c>
      <c r="H9089" t="str">
        <v>Transverse Mercator</v>
      </c>
      <c r="I9089" t="str">
        <v>Leda (2015) - Sphere / Ocentric / Tranverse Mercator</v>
      </c>
      <c r="J9089" t="str">
        <v>Not specified.</v>
      </c>
      <c r="K9089" s="11">
        <v>0</v>
      </c>
    </row>
    <row r="9090" spans="5:11" x14ac:dyDescent="0.35">
      <c r="E9090" s="9" t="str">
        <v>IAU_2015</v>
      </c>
      <c r="F9090" s="7" t="str">
        <v>51365</v>
      </c>
      <c r="G9090" t="str">
        <v>ProjectedCrs</v>
      </c>
      <c r="H9090" t="str">
        <v>Orthographic</v>
      </c>
      <c r="I9090" t="str">
        <v>Leda (2015) - Sphere / Ocentric / Orthographic, clon = 0</v>
      </c>
      <c r="J9090" t="str">
        <v>Not specified.</v>
      </c>
      <c r="K9090" s="11">
        <v>0</v>
      </c>
    </row>
    <row r="9091" spans="5:11" x14ac:dyDescent="0.35">
      <c r="E9091" s="9" t="str">
        <v>IAU_2015</v>
      </c>
      <c r="F9091" s="7" t="str">
        <v>51370</v>
      </c>
      <c r="G9091" t="str">
        <v>ProjectedCrs</v>
      </c>
      <c r="H9091" t="str">
        <v>Orthographic</v>
      </c>
      <c r="I9091" t="str">
        <v>Leda (2015) - Sphere / Ocentric / Orthographic, clon = 180</v>
      </c>
      <c r="J9091" t="str">
        <v>Not specified.</v>
      </c>
      <c r="K9091" s="11">
        <v>0</v>
      </c>
    </row>
    <row r="9092" spans="5:11" x14ac:dyDescent="0.35">
      <c r="E9092" s="9" t="str">
        <v>IAU_2015</v>
      </c>
      <c r="F9092" s="7" t="str">
        <v>51375</v>
      </c>
      <c r="G9092" t="str">
        <v>ProjectedCrs</v>
      </c>
      <c r="H9092" t="str">
        <v>Lambert Conic Conformal (2SP)</v>
      </c>
      <c r="I9092" t="str">
        <v>Leda (2015) - Sphere / Ocentric / Lambert Conic Conformal</v>
      </c>
      <c r="J9092" t="str">
        <v>Not specified.</v>
      </c>
      <c r="K9092" s="11">
        <v>0</v>
      </c>
    </row>
    <row r="9093" spans="5:11" x14ac:dyDescent="0.35">
      <c r="E9093" s="9" t="str">
        <v>IAU_2015</v>
      </c>
      <c r="F9093" s="7" t="str">
        <v>51380</v>
      </c>
      <c r="G9093" t="str">
        <v>ProjectedCrs</v>
      </c>
      <c r="H9093" t="str">
        <v>Lambert Azimuthal Equal Area</v>
      </c>
      <c r="I9093" t="str">
        <v>Leda (2015) - Sphere / Ocentric / Lambert Azimuthal Equal Area</v>
      </c>
      <c r="J9093" t="str">
        <v>Not specified.</v>
      </c>
      <c r="K9093" s="11">
        <v>0</v>
      </c>
    </row>
    <row r="9094" spans="5:11" x14ac:dyDescent="0.35">
      <c r="E9094" s="9" t="str">
        <v>IAU_2015</v>
      </c>
      <c r="F9094" s="7" t="str">
        <v>51385</v>
      </c>
      <c r="G9094" t="str">
        <v>ProjectedCrs</v>
      </c>
      <c r="H9094" t="str">
        <v>Albers Equal Area</v>
      </c>
      <c r="I9094" t="str">
        <v>Leda (2015) - Sphere / Ocentric / Albers Equal Area</v>
      </c>
      <c r="J9094" t="str">
        <v>Not specified.</v>
      </c>
      <c r="K9094" s="11">
        <v>0</v>
      </c>
    </row>
    <row r="9095" spans="5:11" x14ac:dyDescent="0.35">
      <c r="E9095" s="9" t="str">
        <v>IAU_2015</v>
      </c>
      <c r="F9095" s="7" t="str">
        <v>51390</v>
      </c>
      <c r="G9095" t="str">
        <v>ProjectedCrs</v>
      </c>
      <c r="H9095" t="str">
        <v>Mercator (Spherical)</v>
      </c>
      <c r="I9095" t="str">
        <v>Leda (2015) - Sphere / Ocentric / Mercator</v>
      </c>
      <c r="J9095" t="str">
        <v>Not specified.</v>
      </c>
      <c r="K9095" s="11">
        <v>0</v>
      </c>
    </row>
    <row r="9096" spans="5:11" x14ac:dyDescent="0.35">
      <c r="E9096" s="9" t="str">
        <v>IAU_2015</v>
      </c>
      <c r="F9096" s="7" t="str">
        <v>51400</v>
      </c>
      <c r="G9096" t="str">
        <v>Geographic2DCrs</v>
      </c>
      <c r="H9096" t="str">
        <v>&lt;undefined&gt;</v>
      </c>
      <c r="I9096" t="str">
        <v>Thebe (2015) - Sphere / Ocentric</v>
      </c>
      <c r="J9096" t="str">
        <v>Not specified.</v>
      </c>
      <c r="K9096" s="11">
        <v>0</v>
      </c>
    </row>
    <row r="9097" spans="5:11" x14ac:dyDescent="0.35">
      <c r="E9097" s="9" t="str">
        <v>IAU_2015</v>
      </c>
      <c r="F9097" s="7" t="str">
        <v>51410</v>
      </c>
      <c r="G9097" t="str">
        <v>ProjectedCrs</v>
      </c>
      <c r="H9097" t="str">
        <v>Equidistant Cylindrical</v>
      </c>
      <c r="I9097" t="str">
        <v>Thebe (2015) - Sphere / Ocentric / Equirectangular, clon = 0</v>
      </c>
      <c r="J9097" t="str">
        <v>Not specified.</v>
      </c>
      <c r="K9097" s="11">
        <v>0</v>
      </c>
    </row>
    <row r="9098" spans="5:11" x14ac:dyDescent="0.35">
      <c r="E9098" s="9" t="str">
        <v>IAU_2015</v>
      </c>
      <c r="F9098" s="7" t="str">
        <v>51415</v>
      </c>
      <c r="G9098" t="str">
        <v>ProjectedCrs</v>
      </c>
      <c r="H9098" t="str">
        <v>Equidistant Cylindrical</v>
      </c>
      <c r="I9098" t="str">
        <v>Thebe (2015) - Sphere / Ocentric / Equirectangular, clon = 180</v>
      </c>
      <c r="J9098" t="str">
        <v>Not specified.</v>
      </c>
      <c r="K9098" s="11">
        <v>0</v>
      </c>
    </row>
    <row r="9099" spans="5:11" x14ac:dyDescent="0.35">
      <c r="E9099" s="9" t="str">
        <v>IAU_2015</v>
      </c>
      <c r="F9099" s="7" t="str">
        <v>51420</v>
      </c>
      <c r="G9099" t="str">
        <v>ProjectedCrs</v>
      </c>
      <c r="H9099" t="str">
        <v>Sinusoidal</v>
      </c>
      <c r="I9099" t="str">
        <v>Thebe (2015) - Sphere / Ocentric / Sinusoidal, clon = 0</v>
      </c>
      <c r="J9099" t="str">
        <v>Not specified.</v>
      </c>
      <c r="K9099" s="11">
        <v>0</v>
      </c>
    </row>
    <row r="9100" spans="5:11" x14ac:dyDescent="0.35">
      <c r="E9100" s="9" t="str">
        <v>IAU_2015</v>
      </c>
      <c r="F9100" s="7" t="str">
        <v>51425</v>
      </c>
      <c r="G9100" t="str">
        <v>ProjectedCrs</v>
      </c>
      <c r="H9100" t="str">
        <v>Sinusoidal</v>
      </c>
      <c r="I9100" t="str">
        <v>Thebe (2015) - Sphere / Ocentric / Sinusoidal, clon = 180</v>
      </c>
      <c r="J9100" t="str">
        <v>Not specified.</v>
      </c>
      <c r="K9100" s="11">
        <v>0</v>
      </c>
    </row>
    <row r="9101" spans="5:11" x14ac:dyDescent="0.35">
      <c r="E9101" s="9" t="str">
        <v>IAU_2015</v>
      </c>
      <c r="F9101" s="7" t="str">
        <v>51430</v>
      </c>
      <c r="G9101" t="str">
        <v>ProjectedCrs</v>
      </c>
      <c r="H9101" t="str">
        <v>Polar Stereographic (variant A)</v>
      </c>
      <c r="I9101" t="str">
        <v>Thebe (2015) - Sphere / Ocentric / North Polar</v>
      </c>
      <c r="J9101" t="str">
        <v>Not specified.</v>
      </c>
      <c r="K9101" s="11">
        <v>0</v>
      </c>
    </row>
    <row r="9102" spans="5:11" x14ac:dyDescent="0.35">
      <c r="E9102" s="9" t="str">
        <v>IAU_2015</v>
      </c>
      <c r="F9102" s="7" t="str">
        <v>51435</v>
      </c>
      <c r="G9102" t="str">
        <v>ProjectedCrs</v>
      </c>
      <c r="H9102" t="str">
        <v>Polar Stereographic (variant A)</v>
      </c>
      <c r="I9102" t="str">
        <v>Thebe (2015) - Sphere / Ocentric / South Polar</v>
      </c>
      <c r="J9102" t="str">
        <v>Not specified.</v>
      </c>
      <c r="K9102" s="11">
        <v>0</v>
      </c>
    </row>
    <row r="9103" spans="5:11" x14ac:dyDescent="0.35">
      <c r="E9103" s="9" t="str">
        <v>IAU_2015</v>
      </c>
      <c r="F9103" s="7" t="str">
        <v>51440</v>
      </c>
      <c r="G9103" t="str">
        <v>ProjectedCrs</v>
      </c>
      <c r="H9103" t="str">
        <v>Mollweide</v>
      </c>
      <c r="I9103" t="str">
        <v>Thebe (2015) - Sphere / Ocentric / Mollweide, clon = 0</v>
      </c>
      <c r="J9103" t="str">
        <v>Not specified.</v>
      </c>
      <c r="K9103" s="11">
        <v>0</v>
      </c>
    </row>
    <row r="9104" spans="5:11" x14ac:dyDescent="0.35">
      <c r="E9104" s="9" t="str">
        <v>IAU_2015</v>
      </c>
      <c r="F9104" s="7" t="str">
        <v>51445</v>
      </c>
      <c r="G9104" t="str">
        <v>ProjectedCrs</v>
      </c>
      <c r="H9104" t="str">
        <v>Mollweide</v>
      </c>
      <c r="I9104" t="str">
        <v>Thebe (2015) - Sphere / Ocentric / Mollweide, clon = 180</v>
      </c>
      <c r="J9104" t="str">
        <v>Not specified.</v>
      </c>
      <c r="K9104" s="11">
        <v>0</v>
      </c>
    </row>
    <row r="9105" spans="5:11" x14ac:dyDescent="0.35">
      <c r="E9105" s="9" t="str">
        <v>IAU_2015</v>
      </c>
      <c r="F9105" s="7" t="str">
        <v>51450</v>
      </c>
      <c r="G9105" t="str">
        <v>ProjectedCrs</v>
      </c>
      <c r="H9105" t="str">
        <v>Robinson</v>
      </c>
      <c r="I9105" t="str">
        <v>Thebe (2015) - Sphere / Ocentric / Robinson, clon = 0</v>
      </c>
      <c r="J9105" t="str">
        <v>Not specified.</v>
      </c>
      <c r="K9105" s="11">
        <v>0</v>
      </c>
    </row>
    <row r="9106" spans="5:11" x14ac:dyDescent="0.35">
      <c r="E9106" s="9" t="str">
        <v>IAU_2015</v>
      </c>
      <c r="F9106" s="7" t="str">
        <v>51455</v>
      </c>
      <c r="G9106" t="str">
        <v>ProjectedCrs</v>
      </c>
      <c r="H9106" t="str">
        <v>Robinson</v>
      </c>
      <c r="I9106" t="str">
        <v>Thebe (2015) - Sphere / Ocentric / Robinson, clon = 180</v>
      </c>
      <c r="J9106" t="str">
        <v>Not specified.</v>
      </c>
      <c r="K9106" s="11">
        <v>0</v>
      </c>
    </row>
    <row r="9107" spans="5:11" x14ac:dyDescent="0.35">
      <c r="E9107" s="9" t="str">
        <v>IAU_2015</v>
      </c>
      <c r="F9107" s="7" t="str">
        <v>51460</v>
      </c>
      <c r="G9107" t="str">
        <v>ProjectedCrs</v>
      </c>
      <c r="H9107" t="str">
        <v>Transverse Mercator</v>
      </c>
      <c r="I9107" t="str">
        <v>Thebe (2015) - Sphere / Ocentric / Tranverse Mercator</v>
      </c>
      <c r="J9107" t="str">
        <v>Not specified.</v>
      </c>
      <c r="K9107" s="11">
        <v>0</v>
      </c>
    </row>
    <row r="9108" spans="5:11" x14ac:dyDescent="0.35">
      <c r="E9108" s="9" t="str">
        <v>IAU_2015</v>
      </c>
      <c r="F9108" s="7" t="str">
        <v>51465</v>
      </c>
      <c r="G9108" t="str">
        <v>ProjectedCrs</v>
      </c>
      <c r="H9108" t="str">
        <v>Orthographic</v>
      </c>
      <c r="I9108" t="str">
        <v>Thebe (2015) - Sphere / Ocentric / Orthographic, clon = 0</v>
      </c>
      <c r="J9108" t="str">
        <v>Not specified.</v>
      </c>
      <c r="K9108" s="11">
        <v>0</v>
      </c>
    </row>
    <row r="9109" spans="5:11" x14ac:dyDescent="0.35">
      <c r="E9109" s="9" t="str">
        <v>IAU_2015</v>
      </c>
      <c r="F9109" s="7" t="str">
        <v>51470</v>
      </c>
      <c r="G9109" t="str">
        <v>ProjectedCrs</v>
      </c>
      <c r="H9109" t="str">
        <v>Orthographic</v>
      </c>
      <c r="I9109" t="str">
        <v>Thebe (2015) - Sphere / Ocentric / Orthographic, clon = 180</v>
      </c>
      <c r="J9109" t="str">
        <v>Not specified.</v>
      </c>
      <c r="K9109" s="11">
        <v>0</v>
      </c>
    </row>
    <row r="9110" spans="5:11" x14ac:dyDescent="0.35">
      <c r="E9110" s="9" t="str">
        <v>IAU_2015</v>
      </c>
      <c r="F9110" s="7" t="str">
        <v>51475</v>
      </c>
      <c r="G9110" t="str">
        <v>ProjectedCrs</v>
      </c>
      <c r="H9110" t="str">
        <v>Lambert Conic Conformal (2SP)</v>
      </c>
      <c r="I9110" t="str">
        <v>Thebe (2015) - Sphere / Ocentric / Lambert Conic Conformal</v>
      </c>
      <c r="J9110" t="str">
        <v>Not specified.</v>
      </c>
      <c r="K9110" s="11">
        <v>0</v>
      </c>
    </row>
    <row r="9111" spans="5:11" x14ac:dyDescent="0.35">
      <c r="E9111" s="9" t="str">
        <v>IAU_2015</v>
      </c>
      <c r="F9111" s="7" t="str">
        <v>51480</v>
      </c>
      <c r="G9111" t="str">
        <v>ProjectedCrs</v>
      </c>
      <c r="H9111" t="str">
        <v>Lambert Azimuthal Equal Area</v>
      </c>
      <c r="I9111" t="str">
        <v>Thebe (2015) - Sphere / Ocentric / Lambert Azimuthal Equal Area</v>
      </c>
      <c r="J9111" t="str">
        <v>Not specified.</v>
      </c>
      <c r="K9111" s="11">
        <v>0</v>
      </c>
    </row>
    <row r="9112" spans="5:11" x14ac:dyDescent="0.35">
      <c r="E9112" s="9" t="str">
        <v>IAU_2015</v>
      </c>
      <c r="F9112" s="7" t="str">
        <v>51485</v>
      </c>
      <c r="G9112" t="str">
        <v>ProjectedCrs</v>
      </c>
      <c r="H9112" t="str">
        <v>Albers Equal Area</v>
      </c>
      <c r="I9112" t="str">
        <v>Thebe (2015) - Sphere / Ocentric / Albers Equal Area</v>
      </c>
      <c r="J9112" t="str">
        <v>Not specified.</v>
      </c>
      <c r="K9112" s="11">
        <v>0</v>
      </c>
    </row>
    <row r="9113" spans="5:11" x14ac:dyDescent="0.35">
      <c r="E9113" s="9" t="str">
        <v>IAU_2015</v>
      </c>
      <c r="F9113" s="7" t="str">
        <v>51490</v>
      </c>
      <c r="G9113" t="str">
        <v>ProjectedCrs</v>
      </c>
      <c r="H9113" t="str">
        <v>Mercator (Spherical)</v>
      </c>
      <c r="I9113" t="str">
        <v>Thebe (2015) - Sphere / Ocentric / Mercator</v>
      </c>
      <c r="J9113" t="str">
        <v>Not specified.</v>
      </c>
      <c r="K9113" s="11">
        <v>0</v>
      </c>
    </row>
    <row r="9114" spans="5:11" x14ac:dyDescent="0.35">
      <c r="E9114" s="9" t="str">
        <v>IAU_2015</v>
      </c>
      <c r="F9114" s="7" t="str">
        <v>51500</v>
      </c>
      <c r="G9114" t="str">
        <v>Geographic2DCrs</v>
      </c>
      <c r="H9114" t="str">
        <v>&lt;undefined&gt;</v>
      </c>
      <c r="I9114" t="str">
        <v>Adrastea (2015) - Sphere / Ocentric</v>
      </c>
      <c r="J9114" t="str">
        <v>Not specified.</v>
      </c>
      <c r="K9114" s="11">
        <v>0</v>
      </c>
    </row>
    <row r="9115" spans="5:11" x14ac:dyDescent="0.35">
      <c r="E9115" s="9" t="str">
        <v>IAU_2015</v>
      </c>
      <c r="F9115" s="7" t="str">
        <v>51510</v>
      </c>
      <c r="G9115" t="str">
        <v>ProjectedCrs</v>
      </c>
      <c r="H9115" t="str">
        <v>Equidistant Cylindrical</v>
      </c>
      <c r="I9115" t="str">
        <v>Adrastea (2015) - Sphere / Ocentric / Equirectangular, clon = 0</v>
      </c>
      <c r="J9115" t="str">
        <v>Not specified.</v>
      </c>
      <c r="K9115" s="11">
        <v>0</v>
      </c>
    </row>
    <row r="9116" spans="5:11" x14ac:dyDescent="0.35">
      <c r="E9116" s="9" t="str">
        <v>IAU_2015</v>
      </c>
      <c r="F9116" s="7" t="str">
        <v>51515</v>
      </c>
      <c r="G9116" t="str">
        <v>ProjectedCrs</v>
      </c>
      <c r="H9116" t="str">
        <v>Equidistant Cylindrical</v>
      </c>
      <c r="I9116" t="str">
        <v>Adrastea (2015) - Sphere / Ocentric / Equirectangular, clon = 180</v>
      </c>
      <c r="J9116" t="str">
        <v>Not specified.</v>
      </c>
      <c r="K9116" s="11">
        <v>0</v>
      </c>
    </row>
    <row r="9117" spans="5:11" x14ac:dyDescent="0.35">
      <c r="E9117" s="9" t="str">
        <v>IAU_2015</v>
      </c>
      <c r="F9117" s="7" t="str">
        <v>51520</v>
      </c>
      <c r="G9117" t="str">
        <v>ProjectedCrs</v>
      </c>
      <c r="H9117" t="str">
        <v>Sinusoidal</v>
      </c>
      <c r="I9117" t="str">
        <v>Adrastea (2015) - Sphere / Ocentric / Sinusoidal, clon = 0</v>
      </c>
      <c r="J9117" t="str">
        <v>Not specified.</v>
      </c>
      <c r="K9117" s="11">
        <v>0</v>
      </c>
    </row>
    <row r="9118" spans="5:11" x14ac:dyDescent="0.35">
      <c r="E9118" s="9" t="str">
        <v>IAU_2015</v>
      </c>
      <c r="F9118" s="7" t="str">
        <v>51525</v>
      </c>
      <c r="G9118" t="str">
        <v>ProjectedCrs</v>
      </c>
      <c r="H9118" t="str">
        <v>Sinusoidal</v>
      </c>
      <c r="I9118" t="str">
        <v>Adrastea (2015) - Sphere / Ocentric / Sinusoidal, clon = 180</v>
      </c>
      <c r="J9118" t="str">
        <v>Not specified.</v>
      </c>
      <c r="K9118" s="11">
        <v>0</v>
      </c>
    </row>
    <row r="9119" spans="5:11" x14ac:dyDescent="0.35">
      <c r="E9119" s="9" t="str">
        <v>IAU_2015</v>
      </c>
      <c r="F9119" s="7" t="str">
        <v>51530</v>
      </c>
      <c r="G9119" t="str">
        <v>ProjectedCrs</v>
      </c>
      <c r="H9119" t="str">
        <v>Polar Stereographic (variant A)</v>
      </c>
      <c r="I9119" t="str">
        <v>Adrastea (2015) - Sphere / Ocentric / North Polar</v>
      </c>
      <c r="J9119" t="str">
        <v>Not specified.</v>
      </c>
      <c r="K9119" s="11">
        <v>0</v>
      </c>
    </row>
    <row r="9120" spans="5:11" x14ac:dyDescent="0.35">
      <c r="E9120" s="9" t="str">
        <v>IAU_2015</v>
      </c>
      <c r="F9120" s="7" t="str">
        <v>51535</v>
      </c>
      <c r="G9120" t="str">
        <v>ProjectedCrs</v>
      </c>
      <c r="H9120" t="str">
        <v>Polar Stereographic (variant A)</v>
      </c>
      <c r="I9120" t="str">
        <v>Adrastea (2015) - Sphere / Ocentric / South Polar</v>
      </c>
      <c r="J9120" t="str">
        <v>Not specified.</v>
      </c>
      <c r="K9120" s="11">
        <v>0</v>
      </c>
    </row>
    <row r="9121" spans="5:11" x14ac:dyDescent="0.35">
      <c r="E9121" s="9" t="str">
        <v>IAU_2015</v>
      </c>
      <c r="F9121" s="7" t="str">
        <v>51540</v>
      </c>
      <c r="G9121" t="str">
        <v>ProjectedCrs</v>
      </c>
      <c r="H9121" t="str">
        <v>Mollweide</v>
      </c>
      <c r="I9121" t="str">
        <v>Adrastea (2015) - Sphere / Ocentric / Mollweide, clon = 0</v>
      </c>
      <c r="J9121" t="str">
        <v>Not specified.</v>
      </c>
      <c r="K9121" s="11">
        <v>0</v>
      </c>
    </row>
    <row r="9122" spans="5:11" x14ac:dyDescent="0.35">
      <c r="E9122" s="9" t="str">
        <v>IAU_2015</v>
      </c>
      <c r="F9122" s="7" t="str">
        <v>51545</v>
      </c>
      <c r="G9122" t="str">
        <v>ProjectedCrs</v>
      </c>
      <c r="H9122" t="str">
        <v>Mollweide</v>
      </c>
      <c r="I9122" t="str">
        <v>Adrastea (2015) - Sphere / Ocentric / Mollweide, clon = 180</v>
      </c>
      <c r="J9122" t="str">
        <v>Not specified.</v>
      </c>
      <c r="K9122" s="11">
        <v>0</v>
      </c>
    </row>
    <row r="9123" spans="5:11" x14ac:dyDescent="0.35">
      <c r="E9123" s="9" t="str">
        <v>IAU_2015</v>
      </c>
      <c r="F9123" s="7" t="str">
        <v>51550</v>
      </c>
      <c r="G9123" t="str">
        <v>ProjectedCrs</v>
      </c>
      <c r="H9123" t="str">
        <v>Robinson</v>
      </c>
      <c r="I9123" t="str">
        <v>Adrastea (2015) - Sphere / Ocentric / Robinson, clon = 0</v>
      </c>
      <c r="J9123" t="str">
        <v>Not specified.</v>
      </c>
      <c r="K9123" s="11">
        <v>0</v>
      </c>
    </row>
    <row r="9124" spans="5:11" x14ac:dyDescent="0.35">
      <c r="E9124" s="9" t="str">
        <v>IAU_2015</v>
      </c>
      <c r="F9124" s="7" t="str">
        <v>51555</v>
      </c>
      <c r="G9124" t="str">
        <v>ProjectedCrs</v>
      </c>
      <c r="H9124" t="str">
        <v>Robinson</v>
      </c>
      <c r="I9124" t="str">
        <v>Adrastea (2015) - Sphere / Ocentric / Robinson, clon = 180</v>
      </c>
      <c r="J9124" t="str">
        <v>Not specified.</v>
      </c>
      <c r="K9124" s="11">
        <v>0</v>
      </c>
    </row>
    <row r="9125" spans="5:11" x14ac:dyDescent="0.35">
      <c r="E9125" s="9" t="str">
        <v>IAU_2015</v>
      </c>
      <c r="F9125" s="7" t="str">
        <v>51560</v>
      </c>
      <c r="G9125" t="str">
        <v>ProjectedCrs</v>
      </c>
      <c r="H9125" t="str">
        <v>Transverse Mercator</v>
      </c>
      <c r="I9125" t="str">
        <v>Adrastea (2015) - Sphere / Ocentric / Tranverse Mercator</v>
      </c>
      <c r="J9125" t="str">
        <v>Not specified.</v>
      </c>
      <c r="K9125" s="11">
        <v>0</v>
      </c>
    </row>
    <row r="9126" spans="5:11" x14ac:dyDescent="0.35">
      <c r="E9126" s="9" t="str">
        <v>IAU_2015</v>
      </c>
      <c r="F9126" s="7" t="str">
        <v>51565</v>
      </c>
      <c r="G9126" t="str">
        <v>ProjectedCrs</v>
      </c>
      <c r="H9126" t="str">
        <v>Orthographic</v>
      </c>
      <c r="I9126" t="str">
        <v>Adrastea (2015) - Sphere / Ocentric / Orthographic, clon = 0</v>
      </c>
      <c r="J9126" t="str">
        <v>Not specified.</v>
      </c>
      <c r="K9126" s="11">
        <v>0</v>
      </c>
    </row>
    <row r="9127" spans="5:11" x14ac:dyDescent="0.35">
      <c r="E9127" s="9" t="str">
        <v>IAU_2015</v>
      </c>
      <c r="F9127" s="7" t="str">
        <v>51570</v>
      </c>
      <c r="G9127" t="str">
        <v>ProjectedCrs</v>
      </c>
      <c r="H9127" t="str">
        <v>Orthographic</v>
      </c>
      <c r="I9127" t="str">
        <v>Adrastea (2015) - Sphere / Ocentric / Orthographic, clon = 180</v>
      </c>
      <c r="J9127" t="str">
        <v>Not specified.</v>
      </c>
      <c r="K9127" s="11">
        <v>0</v>
      </c>
    </row>
    <row r="9128" spans="5:11" x14ac:dyDescent="0.35">
      <c r="E9128" s="9" t="str">
        <v>IAU_2015</v>
      </c>
      <c r="F9128" s="7" t="str">
        <v>51575</v>
      </c>
      <c r="G9128" t="str">
        <v>ProjectedCrs</v>
      </c>
      <c r="H9128" t="str">
        <v>Lambert Conic Conformal (2SP)</v>
      </c>
      <c r="I9128" t="str">
        <v>Adrastea (2015) - Sphere / Ocentric / Lambert Conic Conformal</v>
      </c>
      <c r="J9128" t="str">
        <v>Not specified.</v>
      </c>
      <c r="K9128" s="11">
        <v>0</v>
      </c>
    </row>
    <row r="9129" spans="5:11" x14ac:dyDescent="0.35">
      <c r="E9129" s="9" t="str">
        <v>IAU_2015</v>
      </c>
      <c r="F9129" s="7" t="str">
        <v>51580</v>
      </c>
      <c r="G9129" t="str">
        <v>ProjectedCrs</v>
      </c>
      <c r="H9129" t="str">
        <v>Lambert Azimuthal Equal Area</v>
      </c>
      <c r="I9129" t="str">
        <v>Adrastea (2015) - Sphere / Ocentric / Lambert Azimuthal Equal Area</v>
      </c>
      <c r="J9129" t="str">
        <v>Not specified.</v>
      </c>
      <c r="K9129" s="11">
        <v>0</v>
      </c>
    </row>
    <row r="9130" spans="5:11" x14ac:dyDescent="0.35">
      <c r="E9130" s="9" t="str">
        <v>IAU_2015</v>
      </c>
      <c r="F9130" s="7" t="str">
        <v>51585</v>
      </c>
      <c r="G9130" t="str">
        <v>ProjectedCrs</v>
      </c>
      <c r="H9130" t="str">
        <v>Albers Equal Area</v>
      </c>
      <c r="I9130" t="str">
        <v>Adrastea (2015) - Sphere / Ocentric / Albers Equal Area</v>
      </c>
      <c r="J9130" t="str">
        <v>Not specified.</v>
      </c>
      <c r="K9130" s="11">
        <v>0</v>
      </c>
    </row>
    <row r="9131" spans="5:11" x14ac:dyDescent="0.35">
      <c r="E9131" s="9" t="str">
        <v>IAU_2015</v>
      </c>
      <c r="F9131" s="7" t="str">
        <v>51590</v>
      </c>
      <c r="G9131" t="str">
        <v>ProjectedCrs</v>
      </c>
      <c r="H9131" t="str">
        <v>Mercator (Spherical)</v>
      </c>
      <c r="I9131" t="str">
        <v>Adrastea (2015) - Sphere / Ocentric / Mercator</v>
      </c>
      <c r="J9131" t="str">
        <v>Not specified.</v>
      </c>
      <c r="K9131" s="11">
        <v>0</v>
      </c>
    </row>
    <row r="9132" spans="5:11" x14ac:dyDescent="0.35">
      <c r="E9132" s="9" t="str">
        <v>IAU_2015</v>
      </c>
      <c r="F9132" s="7" t="str">
        <v>51600</v>
      </c>
      <c r="G9132" t="str">
        <v>Geographic2DCrs</v>
      </c>
      <c r="H9132" t="str">
        <v>&lt;undefined&gt;</v>
      </c>
      <c r="I9132" t="str">
        <v>Metis (2015) - Sphere / Ocentric</v>
      </c>
      <c r="J9132" t="str">
        <v>Not specified.</v>
      </c>
      <c r="K9132" s="11">
        <v>0</v>
      </c>
    </row>
    <row r="9133" spans="5:11" x14ac:dyDescent="0.35">
      <c r="E9133" s="9" t="str">
        <v>IAU_2015</v>
      </c>
      <c r="F9133" s="7" t="str">
        <v>51610</v>
      </c>
      <c r="G9133" t="str">
        <v>ProjectedCrs</v>
      </c>
      <c r="H9133" t="str">
        <v>Equidistant Cylindrical</v>
      </c>
      <c r="I9133" t="str">
        <v>Metis (2015) - Sphere / Ocentric / Equirectangular, clon = 0</v>
      </c>
      <c r="J9133" t="str">
        <v>Not specified.</v>
      </c>
      <c r="K9133" s="11">
        <v>0</v>
      </c>
    </row>
    <row r="9134" spans="5:11" x14ac:dyDescent="0.35">
      <c r="E9134" s="9" t="str">
        <v>IAU_2015</v>
      </c>
      <c r="F9134" s="7" t="str">
        <v>51615</v>
      </c>
      <c r="G9134" t="str">
        <v>ProjectedCrs</v>
      </c>
      <c r="H9134" t="str">
        <v>Equidistant Cylindrical</v>
      </c>
      <c r="I9134" t="str">
        <v>Metis (2015) - Sphere / Ocentric / Equirectangular, clon = 180</v>
      </c>
      <c r="J9134" t="str">
        <v>Not specified.</v>
      </c>
      <c r="K9134" s="11">
        <v>0</v>
      </c>
    </row>
    <row r="9135" spans="5:11" x14ac:dyDescent="0.35">
      <c r="E9135" s="9" t="str">
        <v>IAU_2015</v>
      </c>
      <c r="F9135" s="7" t="str">
        <v>51620</v>
      </c>
      <c r="G9135" t="str">
        <v>ProjectedCrs</v>
      </c>
      <c r="H9135" t="str">
        <v>Sinusoidal</v>
      </c>
      <c r="I9135" t="str">
        <v>Metis (2015) - Sphere / Ocentric / Sinusoidal, clon = 0</v>
      </c>
      <c r="J9135" t="str">
        <v>Not specified.</v>
      </c>
      <c r="K9135" s="11">
        <v>0</v>
      </c>
    </row>
    <row r="9136" spans="5:11" x14ac:dyDescent="0.35">
      <c r="E9136" s="9" t="str">
        <v>IAU_2015</v>
      </c>
      <c r="F9136" s="7" t="str">
        <v>51625</v>
      </c>
      <c r="G9136" t="str">
        <v>ProjectedCrs</v>
      </c>
      <c r="H9136" t="str">
        <v>Sinusoidal</v>
      </c>
      <c r="I9136" t="str">
        <v>Metis (2015) - Sphere / Ocentric / Sinusoidal, clon = 180</v>
      </c>
      <c r="J9136" t="str">
        <v>Not specified.</v>
      </c>
      <c r="K9136" s="11">
        <v>0</v>
      </c>
    </row>
    <row r="9137" spans="5:11" x14ac:dyDescent="0.35">
      <c r="E9137" s="9" t="str">
        <v>IAU_2015</v>
      </c>
      <c r="F9137" s="7" t="str">
        <v>51630</v>
      </c>
      <c r="G9137" t="str">
        <v>ProjectedCrs</v>
      </c>
      <c r="H9137" t="str">
        <v>Polar Stereographic (variant A)</v>
      </c>
      <c r="I9137" t="str">
        <v>Metis (2015) - Sphere / Ocentric / North Polar</v>
      </c>
      <c r="J9137" t="str">
        <v>Not specified.</v>
      </c>
      <c r="K9137" s="11">
        <v>0</v>
      </c>
    </row>
    <row r="9138" spans="5:11" x14ac:dyDescent="0.35">
      <c r="E9138" s="9" t="str">
        <v>IAU_2015</v>
      </c>
      <c r="F9138" s="7" t="str">
        <v>51635</v>
      </c>
      <c r="G9138" t="str">
        <v>ProjectedCrs</v>
      </c>
      <c r="H9138" t="str">
        <v>Polar Stereographic (variant A)</v>
      </c>
      <c r="I9138" t="str">
        <v>Metis (2015) - Sphere / Ocentric / South Polar</v>
      </c>
      <c r="J9138" t="str">
        <v>Not specified.</v>
      </c>
      <c r="K9138" s="11">
        <v>0</v>
      </c>
    </row>
    <row r="9139" spans="5:11" x14ac:dyDescent="0.35">
      <c r="E9139" s="9" t="str">
        <v>IAU_2015</v>
      </c>
      <c r="F9139" s="7" t="str">
        <v>51640</v>
      </c>
      <c r="G9139" t="str">
        <v>ProjectedCrs</v>
      </c>
      <c r="H9139" t="str">
        <v>Mollweide</v>
      </c>
      <c r="I9139" t="str">
        <v>Metis (2015) - Sphere / Ocentric / Mollweide, clon = 0</v>
      </c>
      <c r="J9139" t="str">
        <v>Not specified.</v>
      </c>
      <c r="K9139" s="11">
        <v>0</v>
      </c>
    </row>
    <row r="9140" spans="5:11" x14ac:dyDescent="0.35">
      <c r="E9140" s="9" t="str">
        <v>IAU_2015</v>
      </c>
      <c r="F9140" s="7" t="str">
        <v>51645</v>
      </c>
      <c r="G9140" t="str">
        <v>ProjectedCrs</v>
      </c>
      <c r="H9140" t="str">
        <v>Mollweide</v>
      </c>
      <c r="I9140" t="str">
        <v>Metis (2015) - Sphere / Ocentric / Mollweide, clon = 180</v>
      </c>
      <c r="J9140" t="str">
        <v>Not specified.</v>
      </c>
      <c r="K9140" s="11">
        <v>0</v>
      </c>
    </row>
    <row r="9141" spans="5:11" x14ac:dyDescent="0.35">
      <c r="E9141" s="9" t="str">
        <v>IAU_2015</v>
      </c>
      <c r="F9141" s="7" t="str">
        <v>51650</v>
      </c>
      <c r="G9141" t="str">
        <v>ProjectedCrs</v>
      </c>
      <c r="H9141" t="str">
        <v>Robinson</v>
      </c>
      <c r="I9141" t="str">
        <v>Metis (2015) - Sphere / Ocentric / Robinson, clon = 0</v>
      </c>
      <c r="J9141" t="str">
        <v>Not specified.</v>
      </c>
      <c r="K9141" s="11">
        <v>0</v>
      </c>
    </row>
    <row r="9142" spans="5:11" x14ac:dyDescent="0.35">
      <c r="E9142" s="9" t="str">
        <v>IAU_2015</v>
      </c>
      <c r="F9142" s="7" t="str">
        <v>51655</v>
      </c>
      <c r="G9142" t="str">
        <v>ProjectedCrs</v>
      </c>
      <c r="H9142" t="str">
        <v>Robinson</v>
      </c>
      <c r="I9142" t="str">
        <v>Metis (2015) - Sphere / Ocentric / Robinson, clon = 180</v>
      </c>
      <c r="J9142" t="str">
        <v>Not specified.</v>
      </c>
      <c r="K9142" s="11">
        <v>0</v>
      </c>
    </row>
    <row r="9143" spans="5:11" x14ac:dyDescent="0.35">
      <c r="E9143" s="9" t="str">
        <v>IAU_2015</v>
      </c>
      <c r="F9143" s="7" t="str">
        <v>51660</v>
      </c>
      <c r="G9143" t="str">
        <v>ProjectedCrs</v>
      </c>
      <c r="H9143" t="str">
        <v>Transverse Mercator</v>
      </c>
      <c r="I9143" t="str">
        <v>Metis (2015) - Sphere / Ocentric / Tranverse Mercator</v>
      </c>
      <c r="J9143" t="str">
        <v>Not specified.</v>
      </c>
      <c r="K9143" s="11">
        <v>0</v>
      </c>
    </row>
    <row r="9144" spans="5:11" x14ac:dyDescent="0.35">
      <c r="E9144" s="9" t="str">
        <v>IAU_2015</v>
      </c>
      <c r="F9144" s="7" t="str">
        <v>51665</v>
      </c>
      <c r="G9144" t="str">
        <v>ProjectedCrs</v>
      </c>
      <c r="H9144" t="str">
        <v>Orthographic</v>
      </c>
      <c r="I9144" t="str">
        <v>Metis (2015) - Sphere / Ocentric / Orthographic, clon = 0</v>
      </c>
      <c r="J9144" t="str">
        <v>Not specified.</v>
      </c>
      <c r="K9144" s="11">
        <v>0</v>
      </c>
    </row>
    <row r="9145" spans="5:11" x14ac:dyDescent="0.35">
      <c r="E9145" s="9" t="str">
        <v>IAU_2015</v>
      </c>
      <c r="F9145" s="7" t="str">
        <v>51670</v>
      </c>
      <c r="G9145" t="str">
        <v>ProjectedCrs</v>
      </c>
      <c r="H9145" t="str">
        <v>Orthographic</v>
      </c>
      <c r="I9145" t="str">
        <v>Metis (2015) - Sphere / Ocentric / Orthographic, clon = 180</v>
      </c>
      <c r="J9145" t="str">
        <v>Not specified.</v>
      </c>
      <c r="K9145" s="11">
        <v>0</v>
      </c>
    </row>
    <row r="9146" spans="5:11" x14ac:dyDescent="0.35">
      <c r="E9146" s="9" t="str">
        <v>IAU_2015</v>
      </c>
      <c r="F9146" s="7" t="str">
        <v>51675</v>
      </c>
      <c r="G9146" t="str">
        <v>ProjectedCrs</v>
      </c>
      <c r="H9146" t="str">
        <v>Lambert Conic Conformal (2SP)</v>
      </c>
      <c r="I9146" t="str">
        <v>Metis (2015) - Sphere / Ocentric / Lambert Conic Conformal</v>
      </c>
      <c r="J9146" t="str">
        <v>Not specified.</v>
      </c>
      <c r="K9146" s="11">
        <v>0</v>
      </c>
    </row>
    <row r="9147" spans="5:11" x14ac:dyDescent="0.35">
      <c r="E9147" s="9" t="str">
        <v>IAU_2015</v>
      </c>
      <c r="F9147" s="7" t="str">
        <v>51680</v>
      </c>
      <c r="G9147" t="str">
        <v>ProjectedCrs</v>
      </c>
      <c r="H9147" t="str">
        <v>Lambert Azimuthal Equal Area</v>
      </c>
      <c r="I9147" t="str">
        <v>Metis (2015) - Sphere / Ocentric / Lambert Azimuthal Equal Area</v>
      </c>
      <c r="J9147" t="str">
        <v>Not specified.</v>
      </c>
      <c r="K9147" s="11">
        <v>0</v>
      </c>
    </row>
    <row r="9148" spans="5:11" x14ac:dyDescent="0.35">
      <c r="E9148" s="9" t="str">
        <v>IAU_2015</v>
      </c>
      <c r="F9148" s="7" t="str">
        <v>51685</v>
      </c>
      <c r="G9148" t="str">
        <v>ProjectedCrs</v>
      </c>
      <c r="H9148" t="str">
        <v>Albers Equal Area</v>
      </c>
      <c r="I9148" t="str">
        <v>Metis (2015) - Sphere / Ocentric / Albers Equal Area</v>
      </c>
      <c r="J9148" t="str">
        <v>Not specified.</v>
      </c>
      <c r="K9148" s="11">
        <v>0</v>
      </c>
    </row>
    <row r="9149" spans="5:11" x14ac:dyDescent="0.35">
      <c r="E9149" s="9" t="str">
        <v>IAU_2015</v>
      </c>
      <c r="F9149" s="7" t="str">
        <v>51690</v>
      </c>
      <c r="G9149" t="str">
        <v>ProjectedCrs</v>
      </c>
      <c r="H9149" t="str">
        <v>Mercator (Spherical)</v>
      </c>
      <c r="I9149" t="str">
        <v>Metis (2015) - Sphere / Ocentric / Mercator</v>
      </c>
      <c r="J9149" t="str">
        <v>Not specified.</v>
      </c>
      <c r="K9149" s="11">
        <v>0</v>
      </c>
    </row>
    <row r="9150" spans="5:11" x14ac:dyDescent="0.35">
      <c r="E9150" s="9" t="str">
        <v>IAU_2015</v>
      </c>
      <c r="F9150" s="7" t="str">
        <v>59900</v>
      </c>
      <c r="G9150" t="str">
        <v>Geographic2DCrs</v>
      </c>
      <c r="H9150" t="str">
        <v>&lt;undefined&gt;</v>
      </c>
      <c r="I9150" t="str">
        <v>Jupiter (2015) - Sphere / Ocentric</v>
      </c>
      <c r="J9150" t="str">
        <v>Not specified.</v>
      </c>
      <c r="K9150" s="11">
        <v>0</v>
      </c>
    </row>
    <row r="9151" spans="5:11" x14ac:dyDescent="0.35">
      <c r="E9151" s="9" t="str">
        <v>IAU_2015</v>
      </c>
      <c r="F9151" s="7" t="str">
        <v>59901</v>
      </c>
      <c r="G9151" t="str">
        <v>Geographic2DCrs</v>
      </c>
      <c r="H9151" t="str">
        <v>&lt;undefined&gt;</v>
      </c>
      <c r="I9151" t="str">
        <v>Jupiter (2015) / Ographic</v>
      </c>
      <c r="J9151" t="str">
        <v>Not specified.</v>
      </c>
      <c r="K9151" s="11">
        <v>0</v>
      </c>
    </row>
    <row r="9152" spans="5:11" x14ac:dyDescent="0.35">
      <c r="E9152" s="9" t="str">
        <v>IAU_2015</v>
      </c>
      <c r="F9152" s="7" t="str">
        <v>59902</v>
      </c>
      <c r="G9152" t="str">
        <v>GeodeticCrs</v>
      </c>
      <c r="H9152" t="str">
        <v>&lt;undefined&gt;</v>
      </c>
      <c r="I9152" t="str">
        <v>Jupiter (2015) / Ocentric</v>
      </c>
      <c r="J9152" t="str">
        <v>Not specified.</v>
      </c>
      <c r="K9152" s="11">
        <v>0</v>
      </c>
    </row>
    <row r="9153" spans="5:11" x14ac:dyDescent="0.35">
      <c r="E9153" s="9" t="str">
        <v>IAU_2015</v>
      </c>
      <c r="F9153" s="7" t="str">
        <v>59910</v>
      </c>
      <c r="G9153" t="str">
        <v>ProjectedCrs</v>
      </c>
      <c r="H9153" t="str">
        <v>Equidistant Cylindrical</v>
      </c>
      <c r="I9153" t="str">
        <v>Jupiter (2015) - Sphere / Ocentric / Equirectangular, clon = 0</v>
      </c>
      <c r="J9153" t="str">
        <v>Not specified.</v>
      </c>
      <c r="K9153" s="11">
        <v>0</v>
      </c>
    </row>
    <row r="9154" spans="5:11" x14ac:dyDescent="0.35">
      <c r="E9154" s="9" t="str">
        <v>IAU_2015</v>
      </c>
      <c r="F9154" s="7" t="str">
        <v>59911</v>
      </c>
      <c r="G9154" t="str">
        <v>ProjectedCrs</v>
      </c>
      <c r="H9154" t="str">
        <v>Equidistant Cylindrical</v>
      </c>
      <c r="I9154" t="str">
        <v>Jupiter (2015) / Ographic / Equirectangular, clon = 0</v>
      </c>
      <c r="J9154" t="str">
        <v>Not specified.</v>
      </c>
      <c r="K9154" s="11">
        <v>0</v>
      </c>
    </row>
    <row r="9155" spans="5:11" x14ac:dyDescent="0.35">
      <c r="E9155" s="9" t="str">
        <v>IAU_2015</v>
      </c>
      <c r="F9155" s="7" t="str">
        <v>59912</v>
      </c>
      <c r="G9155" t="str">
        <v>ProjectedCrs</v>
      </c>
      <c r="H9155" t="str">
        <v>Equidistant Cylindrical</v>
      </c>
      <c r="I9155" t="str">
        <v>Jupiter (2015) / Ocentric / Equirectangular, clon = 0</v>
      </c>
      <c r="J9155" t="str">
        <v>Not specified.</v>
      </c>
      <c r="K9155" s="11">
        <v>0</v>
      </c>
    </row>
    <row r="9156" spans="5:11" x14ac:dyDescent="0.35">
      <c r="E9156" s="9" t="str">
        <v>IAU_2015</v>
      </c>
      <c r="F9156" s="7" t="str">
        <v>59915</v>
      </c>
      <c r="G9156" t="str">
        <v>ProjectedCrs</v>
      </c>
      <c r="H9156" t="str">
        <v>Equidistant Cylindrical</v>
      </c>
      <c r="I9156" t="str">
        <v>Jupiter (2015) - Sphere / Ocentric / Equirectangular, clon = 180</v>
      </c>
      <c r="J9156" t="str">
        <v>Not specified.</v>
      </c>
      <c r="K9156" s="11">
        <v>0</v>
      </c>
    </row>
    <row r="9157" spans="5:11" x14ac:dyDescent="0.35">
      <c r="E9157" s="9" t="str">
        <v>IAU_2015</v>
      </c>
      <c r="F9157" s="7" t="str">
        <v>59916</v>
      </c>
      <c r="G9157" t="str">
        <v>ProjectedCrs</v>
      </c>
      <c r="H9157" t="str">
        <v>Equidistant Cylindrical</v>
      </c>
      <c r="I9157" t="str">
        <v>Jupiter (2015) / Ographic / Equirectangular, clon = 180</v>
      </c>
      <c r="J9157" t="str">
        <v>Not specified.</v>
      </c>
      <c r="K9157" s="11">
        <v>0</v>
      </c>
    </row>
    <row r="9158" spans="5:11" x14ac:dyDescent="0.35">
      <c r="E9158" s="9" t="str">
        <v>IAU_2015</v>
      </c>
      <c r="F9158" s="7" t="str">
        <v>59917</v>
      </c>
      <c r="G9158" t="str">
        <v>ProjectedCrs</v>
      </c>
      <c r="H9158" t="str">
        <v>Equidistant Cylindrical</v>
      </c>
      <c r="I9158" t="str">
        <v>Jupiter (2015) / Ocentric / Equirectangular, clon = 180</v>
      </c>
      <c r="J9158" t="str">
        <v>Not specified.</v>
      </c>
      <c r="K9158" s="11">
        <v>0</v>
      </c>
    </row>
    <row r="9159" spans="5:11" x14ac:dyDescent="0.35">
      <c r="E9159" s="9" t="str">
        <v>IAU_2015</v>
      </c>
      <c r="F9159" s="7" t="str">
        <v>59920</v>
      </c>
      <c r="G9159" t="str">
        <v>ProjectedCrs</v>
      </c>
      <c r="H9159" t="str">
        <v>Sinusoidal</v>
      </c>
      <c r="I9159" t="str">
        <v>Jupiter (2015) - Sphere / Ocentric / Sinusoidal, clon = 0</v>
      </c>
      <c r="J9159" t="str">
        <v>Not specified.</v>
      </c>
      <c r="K9159" s="11">
        <v>0</v>
      </c>
    </row>
    <row r="9160" spans="5:11" x14ac:dyDescent="0.35">
      <c r="E9160" s="9" t="str">
        <v>IAU_2015</v>
      </c>
      <c r="F9160" s="7" t="str">
        <v>59921</v>
      </c>
      <c r="G9160" t="str">
        <v>ProjectedCrs</v>
      </c>
      <c r="H9160" t="str">
        <v>Sinusoidal</v>
      </c>
      <c r="I9160" t="str">
        <v>Jupiter (2015) / Ographic / Sinusoidal, clon = 0</v>
      </c>
      <c r="J9160" t="str">
        <v>Not specified.</v>
      </c>
      <c r="K9160" s="11">
        <v>0</v>
      </c>
    </row>
    <row r="9161" spans="5:11" x14ac:dyDescent="0.35">
      <c r="E9161" s="9" t="str">
        <v>IAU_2015</v>
      </c>
      <c r="F9161" s="7" t="str">
        <v>59922</v>
      </c>
      <c r="G9161" t="str">
        <v>ProjectedCrs</v>
      </c>
      <c r="H9161" t="str">
        <v>Sinusoidal</v>
      </c>
      <c r="I9161" t="str">
        <v>Jupiter (2015) / Ocentric / Sinusoidal, clon = 0</v>
      </c>
      <c r="J9161" t="str">
        <v>Not specified.</v>
      </c>
      <c r="K9161" s="11">
        <v>0</v>
      </c>
    </row>
    <row r="9162" spans="5:11" x14ac:dyDescent="0.35">
      <c r="E9162" s="9" t="str">
        <v>IAU_2015</v>
      </c>
      <c r="F9162" s="7" t="str">
        <v>59925</v>
      </c>
      <c r="G9162" t="str">
        <v>ProjectedCrs</v>
      </c>
      <c r="H9162" t="str">
        <v>Sinusoidal</v>
      </c>
      <c r="I9162" t="str">
        <v>Jupiter (2015) - Sphere / Ocentric / Sinusoidal, clon = 180</v>
      </c>
      <c r="J9162" t="str">
        <v>Not specified.</v>
      </c>
      <c r="K9162" s="11">
        <v>0</v>
      </c>
    </row>
    <row r="9163" spans="5:11" x14ac:dyDescent="0.35">
      <c r="E9163" s="9" t="str">
        <v>IAU_2015</v>
      </c>
      <c r="F9163" s="7" t="str">
        <v>59926</v>
      </c>
      <c r="G9163" t="str">
        <v>ProjectedCrs</v>
      </c>
      <c r="H9163" t="str">
        <v>Sinusoidal</v>
      </c>
      <c r="I9163" t="str">
        <v>Jupiter (2015) / Ographic / Sinusoidal, clon = 180</v>
      </c>
      <c r="J9163" t="str">
        <v>Not specified.</v>
      </c>
      <c r="K9163" s="11">
        <v>0</v>
      </c>
    </row>
    <row r="9164" spans="5:11" x14ac:dyDescent="0.35">
      <c r="E9164" s="9" t="str">
        <v>IAU_2015</v>
      </c>
      <c r="F9164" s="7" t="str">
        <v>59927</v>
      </c>
      <c r="G9164" t="str">
        <v>ProjectedCrs</v>
      </c>
      <c r="H9164" t="str">
        <v>Sinusoidal</v>
      </c>
      <c r="I9164" t="str">
        <v>Jupiter (2015) / Ocentric / Sinusoidal, clon = 180</v>
      </c>
      <c r="J9164" t="str">
        <v>Not specified.</v>
      </c>
      <c r="K9164" s="11">
        <v>0</v>
      </c>
    </row>
    <row r="9165" spans="5:11" x14ac:dyDescent="0.35">
      <c r="E9165" s="9" t="str">
        <v>IAU_2015</v>
      </c>
      <c r="F9165" s="7" t="str">
        <v>59930</v>
      </c>
      <c r="G9165" t="str">
        <v>ProjectedCrs</v>
      </c>
      <c r="H9165" t="str">
        <v>Polar Stereographic (variant A)</v>
      </c>
      <c r="I9165" t="str">
        <v>Jupiter (2015) - Sphere / Ocentric / North Polar</v>
      </c>
      <c r="J9165" t="str">
        <v>Not specified.</v>
      </c>
      <c r="K9165" s="11">
        <v>0</v>
      </c>
    </row>
    <row r="9166" spans="5:11" x14ac:dyDescent="0.35">
      <c r="E9166" s="9" t="str">
        <v>IAU_2015</v>
      </c>
      <c r="F9166" s="7" t="str">
        <v>59931</v>
      </c>
      <c r="G9166" t="str">
        <v>ProjectedCrs</v>
      </c>
      <c r="H9166" t="str">
        <v>Polar Stereographic (variant A)</v>
      </c>
      <c r="I9166" t="str">
        <v>Jupiter (2015) / Ographic / North Polar</v>
      </c>
      <c r="J9166" t="str">
        <v>Not specified.</v>
      </c>
      <c r="K9166" s="11">
        <v>0</v>
      </c>
    </row>
    <row r="9167" spans="5:11" x14ac:dyDescent="0.35">
      <c r="E9167" s="9" t="str">
        <v>IAU_2015</v>
      </c>
      <c r="F9167" s="7" t="str">
        <v>59932</v>
      </c>
      <c r="G9167" t="str">
        <v>ProjectedCrs</v>
      </c>
      <c r="H9167" t="str">
        <v>Polar Stereographic (variant A)</v>
      </c>
      <c r="I9167" t="str">
        <v>Jupiter (2015) / Ocentric / North Polar</v>
      </c>
      <c r="J9167" t="str">
        <v>Not specified.</v>
      </c>
      <c r="K9167" s="11">
        <v>0</v>
      </c>
    </row>
    <row r="9168" spans="5:11" x14ac:dyDescent="0.35">
      <c r="E9168" s="9" t="str">
        <v>IAU_2015</v>
      </c>
      <c r="F9168" s="7" t="str">
        <v>59935</v>
      </c>
      <c r="G9168" t="str">
        <v>ProjectedCrs</v>
      </c>
      <c r="H9168" t="str">
        <v>Polar Stereographic (variant A)</v>
      </c>
      <c r="I9168" t="str">
        <v>Jupiter (2015) - Sphere / Ocentric / South Polar</v>
      </c>
      <c r="J9168" t="str">
        <v>Not specified.</v>
      </c>
      <c r="K9168" s="11">
        <v>0</v>
      </c>
    </row>
    <row r="9169" spans="5:11" x14ac:dyDescent="0.35">
      <c r="E9169" s="9" t="str">
        <v>IAU_2015</v>
      </c>
      <c r="F9169" s="7" t="str">
        <v>59936</v>
      </c>
      <c r="G9169" t="str">
        <v>ProjectedCrs</v>
      </c>
      <c r="H9169" t="str">
        <v>Polar Stereographic (variant A)</v>
      </c>
      <c r="I9169" t="str">
        <v>Jupiter (2015) / Ographic / South Polar</v>
      </c>
      <c r="J9169" t="str">
        <v>Not specified.</v>
      </c>
      <c r="K9169" s="11">
        <v>0</v>
      </c>
    </row>
    <row r="9170" spans="5:11" x14ac:dyDescent="0.35">
      <c r="E9170" s="9" t="str">
        <v>IAU_2015</v>
      </c>
      <c r="F9170" s="7" t="str">
        <v>59937</v>
      </c>
      <c r="G9170" t="str">
        <v>ProjectedCrs</v>
      </c>
      <c r="H9170" t="str">
        <v>Polar Stereographic (variant A)</v>
      </c>
      <c r="I9170" t="str">
        <v>Jupiter (2015) / Ocentric / South Polar</v>
      </c>
      <c r="J9170" t="str">
        <v>Not specified.</v>
      </c>
      <c r="K9170" s="11">
        <v>0</v>
      </c>
    </row>
    <row r="9171" spans="5:11" x14ac:dyDescent="0.35">
      <c r="E9171" s="9" t="str">
        <v>IAU_2015</v>
      </c>
      <c r="F9171" s="7" t="str">
        <v>59940</v>
      </c>
      <c r="G9171" t="str">
        <v>ProjectedCrs</v>
      </c>
      <c r="H9171" t="str">
        <v>Mollweide</v>
      </c>
      <c r="I9171" t="str">
        <v>Jupiter (2015) - Sphere / Ocentric / Mollweide, clon = 0</v>
      </c>
      <c r="J9171" t="str">
        <v>Not specified.</v>
      </c>
      <c r="K9171" s="11">
        <v>0</v>
      </c>
    </row>
    <row r="9172" spans="5:11" x14ac:dyDescent="0.35">
      <c r="E9172" s="9" t="str">
        <v>IAU_2015</v>
      </c>
      <c r="F9172" s="7" t="str">
        <v>59941</v>
      </c>
      <c r="G9172" t="str">
        <v>ProjectedCrs</v>
      </c>
      <c r="H9172" t="str">
        <v>Mollweide</v>
      </c>
      <c r="I9172" t="str">
        <v>Jupiter (2015) / Ographic / Mollweide, clon = 0</v>
      </c>
      <c r="J9172" t="str">
        <v>Not specified.</v>
      </c>
      <c r="K9172" s="11">
        <v>0</v>
      </c>
    </row>
    <row r="9173" spans="5:11" x14ac:dyDescent="0.35">
      <c r="E9173" s="9" t="str">
        <v>IAU_2015</v>
      </c>
      <c r="F9173" s="7" t="str">
        <v>59942</v>
      </c>
      <c r="G9173" t="str">
        <v>ProjectedCrs</v>
      </c>
      <c r="H9173" t="str">
        <v>Mollweide</v>
      </c>
      <c r="I9173" t="str">
        <v>Jupiter (2015) / Ocentric / Mollweide, clon = 0</v>
      </c>
      <c r="J9173" t="str">
        <v>Not specified.</v>
      </c>
      <c r="K9173" s="11">
        <v>0</v>
      </c>
    </row>
    <row r="9174" spans="5:11" x14ac:dyDescent="0.35">
      <c r="E9174" s="9" t="str">
        <v>IAU_2015</v>
      </c>
      <c r="F9174" s="7" t="str">
        <v>59945</v>
      </c>
      <c r="G9174" t="str">
        <v>ProjectedCrs</v>
      </c>
      <c r="H9174" t="str">
        <v>Mollweide</v>
      </c>
      <c r="I9174" t="str">
        <v>Jupiter (2015) - Sphere / Ocentric / Mollweide, clon = 180</v>
      </c>
      <c r="J9174" t="str">
        <v>Not specified.</v>
      </c>
      <c r="K9174" s="11">
        <v>0</v>
      </c>
    </row>
    <row r="9175" spans="5:11" x14ac:dyDescent="0.35">
      <c r="E9175" s="9" t="str">
        <v>IAU_2015</v>
      </c>
      <c r="F9175" s="7" t="str">
        <v>59946</v>
      </c>
      <c r="G9175" t="str">
        <v>ProjectedCrs</v>
      </c>
      <c r="H9175" t="str">
        <v>Mollweide</v>
      </c>
      <c r="I9175" t="str">
        <v>Jupiter (2015) / Ographic / Mollweide, clon = 180</v>
      </c>
      <c r="J9175" t="str">
        <v>Not specified.</v>
      </c>
      <c r="K9175" s="11">
        <v>0</v>
      </c>
    </row>
    <row r="9176" spans="5:11" x14ac:dyDescent="0.35">
      <c r="E9176" s="9" t="str">
        <v>IAU_2015</v>
      </c>
      <c r="F9176" s="7" t="str">
        <v>59947</v>
      </c>
      <c r="G9176" t="str">
        <v>ProjectedCrs</v>
      </c>
      <c r="H9176" t="str">
        <v>Mollweide</v>
      </c>
      <c r="I9176" t="str">
        <v>Jupiter (2015) / Ocentric / Mollweide, clon = 180</v>
      </c>
      <c r="J9176" t="str">
        <v>Not specified.</v>
      </c>
      <c r="K9176" s="11">
        <v>0</v>
      </c>
    </row>
    <row r="9177" spans="5:11" x14ac:dyDescent="0.35">
      <c r="E9177" s="9" t="str">
        <v>IAU_2015</v>
      </c>
      <c r="F9177" s="7" t="str">
        <v>59950</v>
      </c>
      <c r="G9177" t="str">
        <v>ProjectedCrs</v>
      </c>
      <c r="H9177" t="str">
        <v>Robinson</v>
      </c>
      <c r="I9177" t="str">
        <v>Jupiter (2015) - Sphere / Ocentric / Robinson, clon = 0</v>
      </c>
      <c r="J9177" t="str">
        <v>Not specified.</v>
      </c>
      <c r="K9177" s="11">
        <v>0</v>
      </c>
    </row>
    <row r="9178" spans="5:11" x14ac:dyDescent="0.35">
      <c r="E9178" s="9" t="str">
        <v>IAU_2015</v>
      </c>
      <c r="F9178" s="7" t="str">
        <v>59951</v>
      </c>
      <c r="G9178" t="str">
        <v>ProjectedCrs</v>
      </c>
      <c r="H9178" t="str">
        <v>Robinson</v>
      </c>
      <c r="I9178" t="str">
        <v>Jupiter (2015) / Ographic / Robinson, clon = 0</v>
      </c>
      <c r="J9178" t="str">
        <v>Not specified.</v>
      </c>
      <c r="K9178" s="11">
        <v>0</v>
      </c>
    </row>
    <row r="9179" spans="5:11" x14ac:dyDescent="0.35">
      <c r="E9179" s="9" t="str">
        <v>IAU_2015</v>
      </c>
      <c r="F9179" s="7" t="str">
        <v>59952</v>
      </c>
      <c r="G9179" t="str">
        <v>ProjectedCrs</v>
      </c>
      <c r="H9179" t="str">
        <v>Robinson</v>
      </c>
      <c r="I9179" t="str">
        <v>Jupiter (2015) / Ocentric / Robinson, clon = 0</v>
      </c>
      <c r="J9179" t="str">
        <v>Not specified.</v>
      </c>
      <c r="K9179" s="11">
        <v>0</v>
      </c>
    </row>
    <row r="9180" spans="5:11" x14ac:dyDescent="0.35">
      <c r="E9180" s="9" t="str">
        <v>IAU_2015</v>
      </c>
      <c r="F9180" s="7" t="str">
        <v>59955</v>
      </c>
      <c r="G9180" t="str">
        <v>ProjectedCrs</v>
      </c>
      <c r="H9180" t="str">
        <v>Robinson</v>
      </c>
      <c r="I9180" t="str">
        <v>Jupiter (2015) - Sphere / Ocentric / Robinson, clon = 180</v>
      </c>
      <c r="J9180" t="str">
        <v>Not specified.</v>
      </c>
      <c r="K9180" s="11">
        <v>0</v>
      </c>
    </row>
    <row r="9181" spans="5:11" x14ac:dyDescent="0.35">
      <c r="E9181" s="9" t="str">
        <v>IAU_2015</v>
      </c>
      <c r="F9181" s="7" t="str">
        <v>59956</v>
      </c>
      <c r="G9181" t="str">
        <v>ProjectedCrs</v>
      </c>
      <c r="H9181" t="str">
        <v>Robinson</v>
      </c>
      <c r="I9181" t="str">
        <v>Jupiter (2015) / Ographic / Robinson, clon = 180</v>
      </c>
      <c r="J9181" t="str">
        <v>Not specified.</v>
      </c>
      <c r="K9181" s="11">
        <v>0</v>
      </c>
    </row>
    <row r="9182" spans="5:11" x14ac:dyDescent="0.35">
      <c r="E9182" s="9" t="str">
        <v>IAU_2015</v>
      </c>
      <c r="F9182" s="7" t="str">
        <v>59957</v>
      </c>
      <c r="G9182" t="str">
        <v>ProjectedCrs</v>
      </c>
      <c r="H9182" t="str">
        <v>Robinson</v>
      </c>
      <c r="I9182" t="str">
        <v>Jupiter (2015) / Ocentric / Robinson, clon = 180</v>
      </c>
      <c r="J9182" t="str">
        <v>Not specified.</v>
      </c>
      <c r="K9182" s="11">
        <v>0</v>
      </c>
    </row>
    <row r="9183" spans="5:11" x14ac:dyDescent="0.35">
      <c r="E9183" s="9" t="str">
        <v>IAU_2015</v>
      </c>
      <c r="F9183" s="7" t="str">
        <v>59960</v>
      </c>
      <c r="G9183" t="str">
        <v>ProjectedCrs</v>
      </c>
      <c r="H9183" t="str">
        <v>Transverse Mercator</v>
      </c>
      <c r="I9183" t="str">
        <v>Jupiter (2015) - Sphere / Ocentric / Tranverse Mercator</v>
      </c>
      <c r="J9183" t="str">
        <v>Not specified.</v>
      </c>
      <c r="K9183" s="11">
        <v>0</v>
      </c>
    </row>
    <row r="9184" spans="5:11" x14ac:dyDescent="0.35">
      <c r="E9184" s="9" t="str">
        <v>IAU_2015</v>
      </c>
      <c r="F9184" s="7" t="str">
        <v>59961</v>
      </c>
      <c r="G9184" t="str">
        <v>ProjectedCrs</v>
      </c>
      <c r="H9184" t="str">
        <v>Transverse Mercator</v>
      </c>
      <c r="I9184" t="str">
        <v>Jupiter (2015) / Ographic / Tranverse Mercator</v>
      </c>
      <c r="J9184" t="str">
        <v>Not specified.</v>
      </c>
      <c r="K9184" s="11">
        <v>0</v>
      </c>
    </row>
    <row r="9185" spans="5:11" x14ac:dyDescent="0.35">
      <c r="E9185" s="9" t="str">
        <v>IAU_2015</v>
      </c>
      <c r="F9185" s="7" t="str">
        <v>59962</v>
      </c>
      <c r="G9185" t="str">
        <v>ProjectedCrs</v>
      </c>
      <c r="H9185" t="str">
        <v>Transverse Mercator</v>
      </c>
      <c r="I9185" t="str">
        <v>Jupiter (2015) / Ocentric / Tranverse Mercator</v>
      </c>
      <c r="J9185" t="str">
        <v>Not specified.</v>
      </c>
      <c r="K9185" s="11">
        <v>0</v>
      </c>
    </row>
    <row r="9186" spans="5:11" x14ac:dyDescent="0.35">
      <c r="E9186" s="9" t="str">
        <v>IAU_2015</v>
      </c>
      <c r="F9186" s="7" t="str">
        <v>59965</v>
      </c>
      <c r="G9186" t="str">
        <v>ProjectedCrs</v>
      </c>
      <c r="H9186" t="str">
        <v>Orthographic</v>
      </c>
      <c r="I9186" t="str">
        <v>Jupiter (2015) - Sphere / Ocentric / Orthographic, clon = 0</v>
      </c>
      <c r="J9186" t="str">
        <v>Not specified.</v>
      </c>
      <c r="K9186" s="11">
        <v>0</v>
      </c>
    </row>
    <row r="9187" spans="5:11" x14ac:dyDescent="0.35">
      <c r="E9187" s="9" t="str">
        <v>IAU_2015</v>
      </c>
      <c r="F9187" s="7" t="str">
        <v>59966</v>
      </c>
      <c r="G9187" t="str">
        <v>ProjectedCrs</v>
      </c>
      <c r="H9187" t="str">
        <v>Orthographic</v>
      </c>
      <c r="I9187" t="str">
        <v>Jupiter (2015) / Ographic / Orthographic, clon = 0</v>
      </c>
      <c r="J9187" t="str">
        <v>Not specified.</v>
      </c>
      <c r="K9187" s="11">
        <v>0</v>
      </c>
    </row>
    <row r="9188" spans="5:11" x14ac:dyDescent="0.35">
      <c r="E9188" s="9" t="str">
        <v>IAU_2015</v>
      </c>
      <c r="F9188" s="7" t="str">
        <v>59967</v>
      </c>
      <c r="G9188" t="str">
        <v>ProjectedCrs</v>
      </c>
      <c r="H9188" t="str">
        <v>Orthographic</v>
      </c>
      <c r="I9188" t="str">
        <v>Jupiter (2015) / Ocentric / Orthographic, clon = 0</v>
      </c>
      <c r="J9188" t="str">
        <v>Not specified.</v>
      </c>
      <c r="K9188" s="11">
        <v>0</v>
      </c>
    </row>
    <row r="9189" spans="5:11" x14ac:dyDescent="0.35">
      <c r="E9189" s="9" t="str">
        <v>IAU_2015</v>
      </c>
      <c r="F9189" s="7" t="str">
        <v>59970</v>
      </c>
      <c r="G9189" t="str">
        <v>ProjectedCrs</v>
      </c>
      <c r="H9189" t="str">
        <v>Orthographic</v>
      </c>
      <c r="I9189" t="str">
        <v>Jupiter (2015) - Sphere / Ocentric / Orthographic, clon = 180</v>
      </c>
      <c r="J9189" t="str">
        <v>Not specified.</v>
      </c>
      <c r="K9189" s="11">
        <v>0</v>
      </c>
    </row>
    <row r="9190" spans="5:11" x14ac:dyDescent="0.35">
      <c r="E9190" s="9" t="str">
        <v>IAU_2015</v>
      </c>
      <c r="F9190" s="7" t="str">
        <v>59971</v>
      </c>
      <c r="G9190" t="str">
        <v>ProjectedCrs</v>
      </c>
      <c r="H9190" t="str">
        <v>Orthographic</v>
      </c>
      <c r="I9190" t="str">
        <v>Jupiter (2015) / Ographic / Orthographic, clon = 180</v>
      </c>
      <c r="J9190" t="str">
        <v>Not specified.</v>
      </c>
      <c r="K9190" s="11">
        <v>0</v>
      </c>
    </row>
    <row r="9191" spans="5:11" x14ac:dyDescent="0.35">
      <c r="E9191" s="9" t="str">
        <v>IAU_2015</v>
      </c>
      <c r="F9191" s="7" t="str">
        <v>59972</v>
      </c>
      <c r="G9191" t="str">
        <v>ProjectedCrs</v>
      </c>
      <c r="H9191" t="str">
        <v>Orthographic</v>
      </c>
      <c r="I9191" t="str">
        <v>Jupiter (2015) / Ocentric / Orthographic, clon = 180</v>
      </c>
      <c r="J9191" t="str">
        <v>Not specified.</v>
      </c>
      <c r="K9191" s="11">
        <v>0</v>
      </c>
    </row>
    <row r="9192" spans="5:11" x14ac:dyDescent="0.35">
      <c r="E9192" s="9" t="str">
        <v>IAU_2015</v>
      </c>
      <c r="F9192" s="7" t="str">
        <v>59975</v>
      </c>
      <c r="G9192" t="str">
        <v>ProjectedCrs</v>
      </c>
      <c r="H9192" t="str">
        <v>Lambert Conic Conformal (2SP)</v>
      </c>
      <c r="I9192" t="str">
        <v>Jupiter (2015) - Sphere / Ocentric / Lambert Conic Conformal</v>
      </c>
      <c r="J9192" t="str">
        <v>Not specified.</v>
      </c>
      <c r="K9192" s="11">
        <v>0</v>
      </c>
    </row>
    <row r="9193" spans="5:11" x14ac:dyDescent="0.35">
      <c r="E9193" s="9" t="str">
        <v>IAU_2015</v>
      </c>
      <c r="F9193" s="7" t="str">
        <v>59976</v>
      </c>
      <c r="G9193" t="str">
        <v>ProjectedCrs</v>
      </c>
      <c r="H9193" t="str">
        <v>Lambert Conic Conformal (2SP)</v>
      </c>
      <c r="I9193" t="str">
        <v>Jupiter (2015) / Ographic / Lambert Conic Conformal</v>
      </c>
      <c r="J9193" t="str">
        <v>Not specified.</v>
      </c>
      <c r="K9193" s="11">
        <v>0</v>
      </c>
    </row>
    <row r="9194" spans="5:11" x14ac:dyDescent="0.35">
      <c r="E9194" s="9" t="str">
        <v>IAU_2015</v>
      </c>
      <c r="F9194" s="7" t="str">
        <v>59977</v>
      </c>
      <c r="G9194" t="str">
        <v>ProjectedCrs</v>
      </c>
      <c r="H9194" t="str">
        <v>Lambert Conic Conformal (2SP)</v>
      </c>
      <c r="I9194" t="str">
        <v>Jupiter (2015) / Ocentric / Lambert Conic Conformal</v>
      </c>
      <c r="J9194" t="str">
        <v>Not specified.</v>
      </c>
      <c r="K9194" s="11">
        <v>0</v>
      </c>
    </row>
    <row r="9195" spans="5:11" x14ac:dyDescent="0.35">
      <c r="E9195" s="9" t="str">
        <v>IAU_2015</v>
      </c>
      <c r="F9195" s="7" t="str">
        <v>59980</v>
      </c>
      <c r="G9195" t="str">
        <v>ProjectedCrs</v>
      </c>
      <c r="H9195" t="str">
        <v>Lambert Azimuthal Equal Area</v>
      </c>
      <c r="I9195" t="str">
        <v>Jupiter (2015) - Sphere / Ocentric / Lambert Azimuthal Equal Area</v>
      </c>
      <c r="J9195" t="str">
        <v>Not specified.</v>
      </c>
      <c r="K9195" s="11">
        <v>0</v>
      </c>
    </row>
    <row r="9196" spans="5:11" x14ac:dyDescent="0.35">
      <c r="E9196" s="9" t="str">
        <v>IAU_2015</v>
      </c>
      <c r="F9196" s="7" t="str">
        <v>59981</v>
      </c>
      <c r="G9196" t="str">
        <v>ProjectedCrs</v>
      </c>
      <c r="H9196" t="str">
        <v>Lambert Azimuthal Equal Area</v>
      </c>
      <c r="I9196" t="str">
        <v>Jupiter (2015) / Ographic / Lambert Azimuthal Equal Area</v>
      </c>
      <c r="J9196" t="str">
        <v>Not specified.</v>
      </c>
      <c r="K9196" s="11">
        <v>0</v>
      </c>
    </row>
    <row r="9197" spans="5:11" x14ac:dyDescent="0.35">
      <c r="E9197" s="9" t="str">
        <v>IAU_2015</v>
      </c>
      <c r="F9197" s="7" t="str">
        <v>59982</v>
      </c>
      <c r="G9197" t="str">
        <v>ProjectedCrs</v>
      </c>
      <c r="H9197" t="str">
        <v>Lambert Azimuthal Equal Area</v>
      </c>
      <c r="I9197" t="str">
        <v>Jupiter (2015) / Ocentric / Lambert Azimuthal Equal Area</v>
      </c>
      <c r="J9197" t="str">
        <v>Not specified.</v>
      </c>
      <c r="K9197" s="11">
        <v>0</v>
      </c>
    </row>
    <row r="9198" spans="5:11" x14ac:dyDescent="0.35">
      <c r="E9198" s="9" t="str">
        <v>IAU_2015</v>
      </c>
      <c r="F9198" s="7" t="str">
        <v>59985</v>
      </c>
      <c r="G9198" t="str">
        <v>ProjectedCrs</v>
      </c>
      <c r="H9198" t="str">
        <v>Albers Equal Area</v>
      </c>
      <c r="I9198" t="str">
        <v>Jupiter (2015) - Sphere / Ocentric / Albers Equal Area</v>
      </c>
      <c r="J9198" t="str">
        <v>Not specified.</v>
      </c>
      <c r="K9198" s="11">
        <v>0</v>
      </c>
    </row>
    <row r="9199" spans="5:11" x14ac:dyDescent="0.35">
      <c r="E9199" s="9" t="str">
        <v>IAU_2015</v>
      </c>
      <c r="F9199" s="7" t="str">
        <v>59986</v>
      </c>
      <c r="G9199" t="str">
        <v>ProjectedCrs</v>
      </c>
      <c r="H9199" t="str">
        <v>Albers Equal Area</v>
      </c>
      <c r="I9199" t="str">
        <v>Jupiter (2015) / Ographic / Albers Equal Area</v>
      </c>
      <c r="J9199" t="str">
        <v>Not specified.</v>
      </c>
      <c r="K9199" s="11">
        <v>0</v>
      </c>
    </row>
    <row r="9200" spans="5:11" x14ac:dyDescent="0.35">
      <c r="E9200" s="9" t="str">
        <v>IAU_2015</v>
      </c>
      <c r="F9200" s="7" t="str">
        <v>59987</v>
      </c>
      <c r="G9200" t="str">
        <v>ProjectedCrs</v>
      </c>
      <c r="H9200" t="str">
        <v>Albers Equal Area</v>
      </c>
      <c r="I9200" t="str">
        <v>Jupiter (2015) / Ocentric / Albers Equal Area</v>
      </c>
      <c r="J9200" t="str">
        <v>Not specified.</v>
      </c>
      <c r="K9200" s="11">
        <v>0</v>
      </c>
    </row>
    <row r="9201" spans="5:11" x14ac:dyDescent="0.35">
      <c r="E9201" s="9" t="str">
        <v>IAU_2015</v>
      </c>
      <c r="F9201" s="7" t="str">
        <v>59990</v>
      </c>
      <c r="G9201" t="str">
        <v>ProjectedCrs</v>
      </c>
      <c r="H9201" t="str">
        <v>Mercator (Spherical)</v>
      </c>
      <c r="I9201" t="str">
        <v>Jupiter (2015) - Sphere / Ocentric / Mercator</v>
      </c>
      <c r="J9201" t="str">
        <v>Not specified.</v>
      </c>
      <c r="K9201" s="11">
        <v>0</v>
      </c>
    </row>
    <row r="9202" spans="5:11" x14ac:dyDescent="0.35">
      <c r="E9202" s="9" t="str">
        <v>IAU_2015</v>
      </c>
      <c r="F9202" s="7" t="str">
        <v>59991</v>
      </c>
      <c r="G9202" t="str">
        <v>ProjectedCrs</v>
      </c>
      <c r="H9202" t="str">
        <v>Mercator (Spherical)</v>
      </c>
      <c r="I9202" t="str">
        <v>Jupiter (2015) / Ographic / Mercator</v>
      </c>
      <c r="J9202" t="str">
        <v>Not specified.</v>
      </c>
      <c r="K9202" s="11">
        <v>0</v>
      </c>
    </row>
    <row r="9203" spans="5:11" x14ac:dyDescent="0.35">
      <c r="E9203" s="9" t="str">
        <v>IAU_2015</v>
      </c>
      <c r="F9203" s="7" t="str">
        <v>59992</v>
      </c>
      <c r="G9203" t="str">
        <v>ProjectedCrs</v>
      </c>
      <c r="H9203" t="str">
        <v>Mercator (Spherical)</v>
      </c>
      <c r="I9203" t="str">
        <v>Jupiter (2015) / Ocentric / Mercator</v>
      </c>
      <c r="J9203" t="str">
        <v>Not specified.</v>
      </c>
      <c r="K9203" s="11">
        <v>0</v>
      </c>
    </row>
    <row r="9204" spans="5:11" x14ac:dyDescent="0.35">
      <c r="E9204" s="9" t="str">
        <v>IAU_2015</v>
      </c>
      <c r="F9204" s="7" t="str">
        <v>60100</v>
      </c>
      <c r="G9204" t="str">
        <v>Geographic2DCrs</v>
      </c>
      <c r="H9204" t="str">
        <v>&lt;undefined&gt;</v>
      </c>
      <c r="I9204" t="str">
        <v>Mimas (2015) - Sphere / Ocentric</v>
      </c>
      <c r="J9204" t="str">
        <v>Not specified.</v>
      </c>
      <c r="K9204" s="11">
        <v>0</v>
      </c>
    </row>
    <row r="9205" spans="5:11" x14ac:dyDescent="0.35">
      <c r="E9205" s="9" t="str">
        <v>IAU_2015</v>
      </c>
      <c r="F9205" s="7" t="str">
        <v>60110</v>
      </c>
      <c r="G9205" t="str">
        <v>ProjectedCrs</v>
      </c>
      <c r="H9205" t="str">
        <v>Equidistant Cylindrical</v>
      </c>
      <c r="I9205" t="str">
        <v>Mimas (2015) - Sphere / Ocentric / Equirectangular, clon = 0</v>
      </c>
      <c r="J9205" t="str">
        <v>Not specified.</v>
      </c>
      <c r="K9205" s="11">
        <v>0</v>
      </c>
    </row>
    <row r="9206" spans="5:11" x14ac:dyDescent="0.35">
      <c r="E9206" s="9" t="str">
        <v>IAU_2015</v>
      </c>
      <c r="F9206" s="7" t="str">
        <v>60115</v>
      </c>
      <c r="G9206" t="str">
        <v>ProjectedCrs</v>
      </c>
      <c r="H9206" t="str">
        <v>Equidistant Cylindrical</v>
      </c>
      <c r="I9206" t="str">
        <v>Mimas (2015) - Sphere / Ocentric / Equirectangular, clon = 180</v>
      </c>
      <c r="J9206" t="str">
        <v>Not specified.</v>
      </c>
      <c r="K9206" s="11">
        <v>0</v>
      </c>
    </row>
    <row r="9207" spans="5:11" x14ac:dyDescent="0.35">
      <c r="E9207" s="9" t="str">
        <v>IAU_2015</v>
      </c>
      <c r="F9207" s="7" t="str">
        <v>60120</v>
      </c>
      <c r="G9207" t="str">
        <v>ProjectedCrs</v>
      </c>
      <c r="H9207" t="str">
        <v>Sinusoidal</v>
      </c>
      <c r="I9207" t="str">
        <v>Mimas (2015) - Sphere / Ocentric / Sinusoidal, clon = 0</v>
      </c>
      <c r="J9207" t="str">
        <v>Not specified.</v>
      </c>
      <c r="K9207" s="11">
        <v>0</v>
      </c>
    </row>
    <row r="9208" spans="5:11" x14ac:dyDescent="0.35">
      <c r="E9208" s="9" t="str">
        <v>IAU_2015</v>
      </c>
      <c r="F9208" s="7" t="str">
        <v>60125</v>
      </c>
      <c r="G9208" t="str">
        <v>ProjectedCrs</v>
      </c>
      <c r="H9208" t="str">
        <v>Sinusoidal</v>
      </c>
      <c r="I9208" t="str">
        <v>Mimas (2015) - Sphere / Ocentric / Sinusoidal, clon = 180</v>
      </c>
      <c r="J9208" t="str">
        <v>Not specified.</v>
      </c>
      <c r="K9208" s="11">
        <v>0</v>
      </c>
    </row>
    <row r="9209" spans="5:11" x14ac:dyDescent="0.35">
      <c r="E9209" s="9" t="str">
        <v>IAU_2015</v>
      </c>
      <c r="F9209" s="7" t="str">
        <v>60130</v>
      </c>
      <c r="G9209" t="str">
        <v>ProjectedCrs</v>
      </c>
      <c r="H9209" t="str">
        <v>Polar Stereographic (variant A)</v>
      </c>
      <c r="I9209" t="str">
        <v>Mimas (2015) - Sphere / Ocentric / North Polar</v>
      </c>
      <c r="J9209" t="str">
        <v>Not specified.</v>
      </c>
      <c r="K9209" s="11">
        <v>0</v>
      </c>
    </row>
    <row r="9210" spans="5:11" x14ac:dyDescent="0.35">
      <c r="E9210" s="9" t="str">
        <v>IAU_2015</v>
      </c>
      <c r="F9210" s="7" t="str">
        <v>60135</v>
      </c>
      <c r="G9210" t="str">
        <v>ProjectedCrs</v>
      </c>
      <c r="H9210" t="str">
        <v>Polar Stereographic (variant A)</v>
      </c>
      <c r="I9210" t="str">
        <v>Mimas (2015) - Sphere / Ocentric / South Polar</v>
      </c>
      <c r="J9210" t="str">
        <v>Not specified.</v>
      </c>
      <c r="K9210" s="11">
        <v>0</v>
      </c>
    </row>
    <row r="9211" spans="5:11" x14ac:dyDescent="0.35">
      <c r="E9211" s="9" t="str">
        <v>IAU_2015</v>
      </c>
      <c r="F9211" s="7" t="str">
        <v>60140</v>
      </c>
      <c r="G9211" t="str">
        <v>ProjectedCrs</v>
      </c>
      <c r="H9211" t="str">
        <v>Mollweide</v>
      </c>
      <c r="I9211" t="str">
        <v>Mimas (2015) - Sphere / Ocentric / Mollweide, clon = 0</v>
      </c>
      <c r="J9211" t="str">
        <v>Not specified.</v>
      </c>
      <c r="K9211" s="11">
        <v>0</v>
      </c>
    </row>
    <row r="9212" spans="5:11" x14ac:dyDescent="0.35">
      <c r="E9212" s="9" t="str">
        <v>IAU_2015</v>
      </c>
      <c r="F9212" s="7" t="str">
        <v>60145</v>
      </c>
      <c r="G9212" t="str">
        <v>ProjectedCrs</v>
      </c>
      <c r="H9212" t="str">
        <v>Mollweide</v>
      </c>
      <c r="I9212" t="str">
        <v>Mimas (2015) - Sphere / Ocentric / Mollweide, clon = 180</v>
      </c>
      <c r="J9212" t="str">
        <v>Not specified.</v>
      </c>
      <c r="K9212" s="11">
        <v>0</v>
      </c>
    </row>
    <row r="9213" spans="5:11" x14ac:dyDescent="0.35">
      <c r="E9213" s="9" t="str">
        <v>IAU_2015</v>
      </c>
      <c r="F9213" s="7" t="str">
        <v>60150</v>
      </c>
      <c r="G9213" t="str">
        <v>ProjectedCrs</v>
      </c>
      <c r="H9213" t="str">
        <v>Robinson</v>
      </c>
      <c r="I9213" t="str">
        <v>Mimas (2015) - Sphere / Ocentric / Robinson, clon = 0</v>
      </c>
      <c r="J9213" t="str">
        <v>Not specified.</v>
      </c>
      <c r="K9213" s="11">
        <v>0</v>
      </c>
    </row>
    <row r="9214" spans="5:11" x14ac:dyDescent="0.35">
      <c r="E9214" s="9" t="str">
        <v>IAU_2015</v>
      </c>
      <c r="F9214" s="7" t="str">
        <v>60155</v>
      </c>
      <c r="G9214" t="str">
        <v>ProjectedCrs</v>
      </c>
      <c r="H9214" t="str">
        <v>Robinson</v>
      </c>
      <c r="I9214" t="str">
        <v>Mimas (2015) - Sphere / Ocentric / Robinson, clon = 180</v>
      </c>
      <c r="J9214" t="str">
        <v>Not specified.</v>
      </c>
      <c r="K9214" s="11">
        <v>0</v>
      </c>
    </row>
    <row r="9215" spans="5:11" x14ac:dyDescent="0.35">
      <c r="E9215" s="9" t="str">
        <v>IAU_2015</v>
      </c>
      <c r="F9215" s="7" t="str">
        <v>60160</v>
      </c>
      <c r="G9215" t="str">
        <v>ProjectedCrs</v>
      </c>
      <c r="H9215" t="str">
        <v>Transverse Mercator</v>
      </c>
      <c r="I9215" t="str">
        <v>Mimas (2015) - Sphere / Ocentric / Tranverse Mercator</v>
      </c>
      <c r="J9215" t="str">
        <v>Not specified.</v>
      </c>
      <c r="K9215" s="11">
        <v>0</v>
      </c>
    </row>
    <row r="9216" spans="5:11" x14ac:dyDescent="0.35">
      <c r="E9216" s="9" t="str">
        <v>IAU_2015</v>
      </c>
      <c r="F9216" s="7" t="str">
        <v>60165</v>
      </c>
      <c r="G9216" t="str">
        <v>ProjectedCrs</v>
      </c>
      <c r="H9216" t="str">
        <v>Orthographic</v>
      </c>
      <c r="I9216" t="str">
        <v>Mimas (2015) - Sphere / Ocentric / Orthographic, clon = 0</v>
      </c>
      <c r="J9216" t="str">
        <v>Not specified.</v>
      </c>
      <c r="K9216" s="11">
        <v>0</v>
      </c>
    </row>
    <row r="9217" spans="5:11" x14ac:dyDescent="0.35">
      <c r="E9217" s="9" t="str">
        <v>IAU_2015</v>
      </c>
      <c r="F9217" s="7" t="str">
        <v>60170</v>
      </c>
      <c r="G9217" t="str">
        <v>ProjectedCrs</v>
      </c>
      <c r="H9217" t="str">
        <v>Orthographic</v>
      </c>
      <c r="I9217" t="str">
        <v>Mimas (2015) - Sphere / Ocentric / Orthographic, clon = 180</v>
      </c>
      <c r="J9217" t="str">
        <v>Not specified.</v>
      </c>
      <c r="K9217" s="11">
        <v>0</v>
      </c>
    </row>
    <row r="9218" spans="5:11" x14ac:dyDescent="0.35">
      <c r="E9218" s="9" t="str">
        <v>IAU_2015</v>
      </c>
      <c r="F9218" s="7" t="str">
        <v>60175</v>
      </c>
      <c r="G9218" t="str">
        <v>ProjectedCrs</v>
      </c>
      <c r="H9218" t="str">
        <v>Lambert Conic Conformal (2SP)</v>
      </c>
      <c r="I9218" t="str">
        <v>Mimas (2015) - Sphere / Ocentric / Lambert Conic Conformal</v>
      </c>
      <c r="J9218" t="str">
        <v>Not specified.</v>
      </c>
      <c r="K9218" s="11">
        <v>0</v>
      </c>
    </row>
    <row r="9219" spans="5:11" x14ac:dyDescent="0.35">
      <c r="E9219" s="9" t="str">
        <v>IAU_2015</v>
      </c>
      <c r="F9219" s="7" t="str">
        <v>60180</v>
      </c>
      <c r="G9219" t="str">
        <v>ProjectedCrs</v>
      </c>
      <c r="H9219" t="str">
        <v>Lambert Azimuthal Equal Area</v>
      </c>
      <c r="I9219" t="str">
        <v>Mimas (2015) - Sphere / Ocentric / Lambert Azimuthal Equal Area</v>
      </c>
      <c r="J9219" t="str">
        <v>Not specified.</v>
      </c>
      <c r="K9219" s="11">
        <v>0</v>
      </c>
    </row>
    <row r="9220" spans="5:11" x14ac:dyDescent="0.35">
      <c r="E9220" s="9" t="str">
        <v>IAU_2015</v>
      </c>
      <c r="F9220" s="7" t="str">
        <v>60185</v>
      </c>
      <c r="G9220" t="str">
        <v>ProjectedCrs</v>
      </c>
      <c r="H9220" t="str">
        <v>Albers Equal Area</v>
      </c>
      <c r="I9220" t="str">
        <v>Mimas (2015) - Sphere / Ocentric / Albers Equal Area</v>
      </c>
      <c r="J9220" t="str">
        <v>Not specified.</v>
      </c>
      <c r="K9220" s="11">
        <v>0</v>
      </c>
    </row>
    <row r="9221" spans="5:11" x14ac:dyDescent="0.35">
      <c r="E9221" s="9" t="str">
        <v>IAU_2015</v>
      </c>
      <c r="F9221" s="7" t="str">
        <v>60190</v>
      </c>
      <c r="G9221" t="str">
        <v>ProjectedCrs</v>
      </c>
      <c r="H9221" t="str">
        <v>Mercator (Spherical)</v>
      </c>
      <c r="I9221" t="str">
        <v>Mimas (2015) - Sphere / Ocentric / Mercator</v>
      </c>
      <c r="J9221" t="str">
        <v>Not specified.</v>
      </c>
      <c r="K9221" s="11">
        <v>0</v>
      </c>
    </row>
    <row r="9222" spans="5:11" x14ac:dyDescent="0.35">
      <c r="E9222" s="9" t="str">
        <v>IAU_2015</v>
      </c>
      <c r="F9222" s="7" t="str">
        <v>60200</v>
      </c>
      <c r="G9222" t="str">
        <v>Geographic2DCrs</v>
      </c>
      <c r="H9222" t="str">
        <v>&lt;undefined&gt;</v>
      </c>
      <c r="I9222" t="str">
        <v>Enceladus (2015) - Sphere / Ocentric</v>
      </c>
      <c r="J9222" t="str">
        <v>Not specified.</v>
      </c>
      <c r="K9222" s="11">
        <v>0</v>
      </c>
    </row>
    <row r="9223" spans="5:11" x14ac:dyDescent="0.35">
      <c r="E9223" s="9" t="str">
        <v>IAU_2015</v>
      </c>
      <c r="F9223" s="7" t="str">
        <v>60210</v>
      </c>
      <c r="G9223" t="str">
        <v>ProjectedCrs</v>
      </c>
      <c r="H9223" t="str">
        <v>Equidistant Cylindrical</v>
      </c>
      <c r="I9223" t="str">
        <v>Enceladus (2015) - Sphere / Ocentric / Equirectangular, clon = 0</v>
      </c>
      <c r="J9223" t="str">
        <v>Not specified.</v>
      </c>
      <c r="K9223" s="11">
        <v>0</v>
      </c>
    </row>
    <row r="9224" spans="5:11" x14ac:dyDescent="0.35">
      <c r="E9224" s="9" t="str">
        <v>IAU_2015</v>
      </c>
      <c r="F9224" s="7" t="str">
        <v>60215</v>
      </c>
      <c r="G9224" t="str">
        <v>ProjectedCrs</v>
      </c>
      <c r="H9224" t="str">
        <v>Equidistant Cylindrical</v>
      </c>
      <c r="I9224" t="str">
        <v>Enceladus (2015) - Sphere / Ocentric / Equirectangular, clon = 180</v>
      </c>
      <c r="J9224" t="str">
        <v>Not specified.</v>
      </c>
      <c r="K9224" s="11">
        <v>0</v>
      </c>
    </row>
    <row r="9225" spans="5:11" x14ac:dyDescent="0.35">
      <c r="E9225" s="9" t="str">
        <v>IAU_2015</v>
      </c>
      <c r="F9225" s="7" t="str">
        <v>60220</v>
      </c>
      <c r="G9225" t="str">
        <v>ProjectedCrs</v>
      </c>
      <c r="H9225" t="str">
        <v>Sinusoidal</v>
      </c>
      <c r="I9225" t="str">
        <v>Enceladus (2015) - Sphere / Ocentric / Sinusoidal, clon = 0</v>
      </c>
      <c r="J9225" t="str">
        <v>Not specified.</v>
      </c>
      <c r="K9225" s="11">
        <v>0</v>
      </c>
    </row>
    <row r="9226" spans="5:11" x14ac:dyDescent="0.35">
      <c r="E9226" s="9" t="str">
        <v>IAU_2015</v>
      </c>
      <c r="F9226" s="7" t="str">
        <v>60225</v>
      </c>
      <c r="G9226" t="str">
        <v>ProjectedCrs</v>
      </c>
      <c r="H9226" t="str">
        <v>Sinusoidal</v>
      </c>
      <c r="I9226" t="str">
        <v>Enceladus (2015) - Sphere / Ocentric / Sinusoidal, clon = 180</v>
      </c>
      <c r="J9226" t="str">
        <v>Not specified.</v>
      </c>
      <c r="K9226" s="11">
        <v>0</v>
      </c>
    </row>
    <row r="9227" spans="5:11" x14ac:dyDescent="0.35">
      <c r="E9227" s="9" t="str">
        <v>IAU_2015</v>
      </c>
      <c r="F9227" s="7" t="str">
        <v>60230</v>
      </c>
      <c r="G9227" t="str">
        <v>ProjectedCrs</v>
      </c>
      <c r="H9227" t="str">
        <v>Polar Stereographic (variant A)</v>
      </c>
      <c r="I9227" t="str">
        <v>Enceladus (2015) - Sphere / Ocentric / North Polar</v>
      </c>
      <c r="J9227" t="str">
        <v>Not specified.</v>
      </c>
      <c r="K9227" s="11">
        <v>0</v>
      </c>
    </row>
    <row r="9228" spans="5:11" x14ac:dyDescent="0.35">
      <c r="E9228" s="9" t="str">
        <v>IAU_2015</v>
      </c>
      <c r="F9228" s="7" t="str">
        <v>60235</v>
      </c>
      <c r="G9228" t="str">
        <v>ProjectedCrs</v>
      </c>
      <c r="H9228" t="str">
        <v>Polar Stereographic (variant A)</v>
      </c>
      <c r="I9228" t="str">
        <v>Enceladus (2015) - Sphere / Ocentric / South Polar</v>
      </c>
      <c r="J9228" t="str">
        <v>Not specified.</v>
      </c>
      <c r="K9228" s="11">
        <v>0</v>
      </c>
    </row>
    <row r="9229" spans="5:11" x14ac:dyDescent="0.35">
      <c r="E9229" s="9" t="str">
        <v>IAU_2015</v>
      </c>
      <c r="F9229" s="7" t="str">
        <v>60240</v>
      </c>
      <c r="G9229" t="str">
        <v>ProjectedCrs</v>
      </c>
      <c r="H9229" t="str">
        <v>Mollweide</v>
      </c>
      <c r="I9229" t="str">
        <v>Enceladus (2015) - Sphere / Ocentric / Mollweide, clon = 0</v>
      </c>
      <c r="J9229" t="str">
        <v>Not specified.</v>
      </c>
      <c r="K9229" s="11">
        <v>0</v>
      </c>
    </row>
    <row r="9230" spans="5:11" x14ac:dyDescent="0.35">
      <c r="E9230" s="9" t="str">
        <v>IAU_2015</v>
      </c>
      <c r="F9230" s="7" t="str">
        <v>60245</v>
      </c>
      <c r="G9230" t="str">
        <v>ProjectedCrs</v>
      </c>
      <c r="H9230" t="str">
        <v>Mollweide</v>
      </c>
      <c r="I9230" t="str">
        <v>Enceladus (2015) - Sphere / Ocentric / Mollweide, clon = 180</v>
      </c>
      <c r="J9230" t="str">
        <v>Not specified.</v>
      </c>
      <c r="K9230" s="11">
        <v>0</v>
      </c>
    </row>
    <row r="9231" spans="5:11" x14ac:dyDescent="0.35">
      <c r="E9231" s="9" t="str">
        <v>IAU_2015</v>
      </c>
      <c r="F9231" s="7" t="str">
        <v>60250</v>
      </c>
      <c r="G9231" t="str">
        <v>ProjectedCrs</v>
      </c>
      <c r="H9231" t="str">
        <v>Robinson</v>
      </c>
      <c r="I9231" t="str">
        <v>Enceladus (2015) - Sphere / Ocentric / Robinson, clon = 0</v>
      </c>
      <c r="J9231" t="str">
        <v>Not specified.</v>
      </c>
      <c r="K9231" s="11">
        <v>0</v>
      </c>
    </row>
    <row r="9232" spans="5:11" x14ac:dyDescent="0.35">
      <c r="E9232" s="9" t="str">
        <v>IAU_2015</v>
      </c>
      <c r="F9232" s="7" t="str">
        <v>60255</v>
      </c>
      <c r="G9232" t="str">
        <v>ProjectedCrs</v>
      </c>
      <c r="H9232" t="str">
        <v>Robinson</v>
      </c>
      <c r="I9232" t="str">
        <v>Enceladus (2015) - Sphere / Ocentric / Robinson, clon = 180</v>
      </c>
      <c r="J9232" t="str">
        <v>Not specified.</v>
      </c>
      <c r="K9232" s="11">
        <v>0</v>
      </c>
    </row>
    <row r="9233" spans="5:11" x14ac:dyDescent="0.35">
      <c r="E9233" s="9" t="str">
        <v>IAU_2015</v>
      </c>
      <c r="F9233" s="7" t="str">
        <v>60260</v>
      </c>
      <c r="G9233" t="str">
        <v>ProjectedCrs</v>
      </c>
      <c r="H9233" t="str">
        <v>Transverse Mercator</v>
      </c>
      <c r="I9233" t="str">
        <v>Enceladus (2015) - Sphere / Ocentric / Tranverse Mercator</v>
      </c>
      <c r="J9233" t="str">
        <v>Not specified.</v>
      </c>
      <c r="K9233" s="11">
        <v>0</v>
      </c>
    </row>
    <row r="9234" spans="5:11" x14ac:dyDescent="0.35">
      <c r="E9234" s="9" t="str">
        <v>IAU_2015</v>
      </c>
      <c r="F9234" s="7" t="str">
        <v>60265</v>
      </c>
      <c r="G9234" t="str">
        <v>ProjectedCrs</v>
      </c>
      <c r="H9234" t="str">
        <v>Orthographic</v>
      </c>
      <c r="I9234" t="str">
        <v>Enceladus (2015) - Sphere / Ocentric / Orthographic, clon = 0</v>
      </c>
      <c r="J9234" t="str">
        <v>Not specified.</v>
      </c>
      <c r="K9234" s="11">
        <v>0</v>
      </c>
    </row>
    <row r="9235" spans="5:11" x14ac:dyDescent="0.35">
      <c r="E9235" s="9" t="str">
        <v>IAU_2015</v>
      </c>
      <c r="F9235" s="7" t="str">
        <v>60270</v>
      </c>
      <c r="G9235" t="str">
        <v>ProjectedCrs</v>
      </c>
      <c r="H9235" t="str">
        <v>Orthographic</v>
      </c>
      <c r="I9235" t="str">
        <v>Enceladus (2015) - Sphere / Ocentric / Orthographic, clon = 180</v>
      </c>
      <c r="J9235" t="str">
        <v>Not specified.</v>
      </c>
      <c r="K9235" s="11">
        <v>0</v>
      </c>
    </row>
    <row r="9236" spans="5:11" x14ac:dyDescent="0.35">
      <c r="E9236" s="9" t="str">
        <v>IAU_2015</v>
      </c>
      <c r="F9236" s="7" t="str">
        <v>60275</v>
      </c>
      <c r="G9236" t="str">
        <v>ProjectedCrs</v>
      </c>
      <c r="H9236" t="str">
        <v>Lambert Conic Conformal (2SP)</v>
      </c>
      <c r="I9236" t="str">
        <v>Enceladus (2015) - Sphere / Ocentric / Lambert Conic Conformal</v>
      </c>
      <c r="J9236" t="str">
        <v>Not specified.</v>
      </c>
      <c r="K9236" s="11">
        <v>0</v>
      </c>
    </row>
    <row r="9237" spans="5:11" x14ac:dyDescent="0.35">
      <c r="E9237" s="9" t="str">
        <v>IAU_2015</v>
      </c>
      <c r="F9237" s="7" t="str">
        <v>60280</v>
      </c>
      <c r="G9237" t="str">
        <v>ProjectedCrs</v>
      </c>
      <c r="H9237" t="str">
        <v>Lambert Azimuthal Equal Area</v>
      </c>
      <c r="I9237" t="str">
        <v>Enceladus (2015) - Sphere / Ocentric / Lambert Azimuthal Equal Area</v>
      </c>
      <c r="J9237" t="str">
        <v>Not specified.</v>
      </c>
      <c r="K9237" s="11">
        <v>0</v>
      </c>
    </row>
    <row r="9238" spans="5:11" x14ac:dyDescent="0.35">
      <c r="E9238" s="9" t="str">
        <v>IAU_2015</v>
      </c>
      <c r="F9238" s="7" t="str">
        <v>60285</v>
      </c>
      <c r="G9238" t="str">
        <v>ProjectedCrs</v>
      </c>
      <c r="H9238" t="str">
        <v>Albers Equal Area</v>
      </c>
      <c r="I9238" t="str">
        <v>Enceladus (2015) - Sphere / Ocentric / Albers Equal Area</v>
      </c>
      <c r="J9238" t="str">
        <v>Not specified.</v>
      </c>
      <c r="K9238" s="11">
        <v>0</v>
      </c>
    </row>
    <row r="9239" spans="5:11" x14ac:dyDescent="0.35">
      <c r="E9239" s="9" t="str">
        <v>IAU_2015</v>
      </c>
      <c r="F9239" s="7" t="str">
        <v>60290</v>
      </c>
      <c r="G9239" t="str">
        <v>ProjectedCrs</v>
      </c>
      <c r="H9239" t="str">
        <v>Mercator (Spherical)</v>
      </c>
      <c r="I9239" t="str">
        <v>Enceladus (2015) - Sphere / Ocentric / Mercator</v>
      </c>
      <c r="J9239" t="str">
        <v>Not specified.</v>
      </c>
      <c r="K9239" s="11">
        <v>0</v>
      </c>
    </row>
    <row r="9240" spans="5:11" x14ac:dyDescent="0.35">
      <c r="E9240" s="9" t="str">
        <v>IAU_2015</v>
      </c>
      <c r="F9240" s="7" t="str">
        <v>60300</v>
      </c>
      <c r="G9240" t="str">
        <v>Geographic2DCrs</v>
      </c>
      <c r="H9240" t="str">
        <v>&lt;undefined&gt;</v>
      </c>
      <c r="I9240" t="str">
        <v>Tethys (2015) - Sphere / Ocentric</v>
      </c>
      <c r="J9240" t="str">
        <v>Not specified.</v>
      </c>
      <c r="K9240" s="11">
        <v>0</v>
      </c>
    </row>
    <row r="9241" spans="5:11" x14ac:dyDescent="0.35">
      <c r="E9241" s="9" t="str">
        <v>IAU_2015</v>
      </c>
      <c r="F9241" s="7" t="str">
        <v>60310</v>
      </c>
      <c r="G9241" t="str">
        <v>ProjectedCrs</v>
      </c>
      <c r="H9241" t="str">
        <v>Equidistant Cylindrical</v>
      </c>
      <c r="I9241" t="str">
        <v>Tethys (2015) - Sphere / Ocentric / Equirectangular, clon = 0</v>
      </c>
      <c r="J9241" t="str">
        <v>Not specified.</v>
      </c>
      <c r="K9241" s="11">
        <v>0</v>
      </c>
    </row>
    <row r="9242" spans="5:11" x14ac:dyDescent="0.35">
      <c r="E9242" s="9" t="str">
        <v>IAU_2015</v>
      </c>
      <c r="F9242" s="7" t="str">
        <v>60315</v>
      </c>
      <c r="G9242" t="str">
        <v>ProjectedCrs</v>
      </c>
      <c r="H9242" t="str">
        <v>Equidistant Cylindrical</v>
      </c>
      <c r="I9242" t="str">
        <v>Tethys (2015) - Sphere / Ocentric / Equirectangular, clon = 180</v>
      </c>
      <c r="J9242" t="str">
        <v>Not specified.</v>
      </c>
      <c r="K9242" s="11">
        <v>0</v>
      </c>
    </row>
    <row r="9243" spans="5:11" x14ac:dyDescent="0.35">
      <c r="E9243" s="9" t="str">
        <v>IAU_2015</v>
      </c>
      <c r="F9243" s="7" t="str">
        <v>60320</v>
      </c>
      <c r="G9243" t="str">
        <v>ProjectedCrs</v>
      </c>
      <c r="H9243" t="str">
        <v>Sinusoidal</v>
      </c>
      <c r="I9243" t="str">
        <v>Tethys (2015) - Sphere / Ocentric / Sinusoidal, clon = 0</v>
      </c>
      <c r="J9243" t="str">
        <v>Not specified.</v>
      </c>
      <c r="K9243" s="11">
        <v>0</v>
      </c>
    </row>
    <row r="9244" spans="5:11" x14ac:dyDescent="0.35">
      <c r="E9244" s="9" t="str">
        <v>IAU_2015</v>
      </c>
      <c r="F9244" s="7" t="str">
        <v>60325</v>
      </c>
      <c r="G9244" t="str">
        <v>ProjectedCrs</v>
      </c>
      <c r="H9244" t="str">
        <v>Sinusoidal</v>
      </c>
      <c r="I9244" t="str">
        <v>Tethys (2015) - Sphere / Ocentric / Sinusoidal, clon = 180</v>
      </c>
      <c r="J9244" t="str">
        <v>Not specified.</v>
      </c>
      <c r="K9244" s="11">
        <v>0</v>
      </c>
    </row>
    <row r="9245" spans="5:11" x14ac:dyDescent="0.35">
      <c r="E9245" s="9" t="str">
        <v>IAU_2015</v>
      </c>
      <c r="F9245" s="7" t="str">
        <v>60330</v>
      </c>
      <c r="G9245" t="str">
        <v>ProjectedCrs</v>
      </c>
      <c r="H9245" t="str">
        <v>Polar Stereographic (variant A)</v>
      </c>
      <c r="I9245" t="str">
        <v>Tethys (2015) - Sphere / Ocentric / North Polar</v>
      </c>
      <c r="J9245" t="str">
        <v>Not specified.</v>
      </c>
      <c r="K9245" s="11">
        <v>0</v>
      </c>
    </row>
    <row r="9246" spans="5:11" x14ac:dyDescent="0.35">
      <c r="E9246" s="9" t="str">
        <v>IAU_2015</v>
      </c>
      <c r="F9246" s="7" t="str">
        <v>60335</v>
      </c>
      <c r="G9246" t="str">
        <v>ProjectedCrs</v>
      </c>
      <c r="H9246" t="str">
        <v>Polar Stereographic (variant A)</v>
      </c>
      <c r="I9246" t="str">
        <v>Tethys (2015) - Sphere / Ocentric / South Polar</v>
      </c>
      <c r="J9246" t="str">
        <v>Not specified.</v>
      </c>
      <c r="K9246" s="11">
        <v>0</v>
      </c>
    </row>
    <row r="9247" spans="5:11" x14ac:dyDescent="0.35">
      <c r="E9247" s="9" t="str">
        <v>IAU_2015</v>
      </c>
      <c r="F9247" s="7" t="str">
        <v>60340</v>
      </c>
      <c r="G9247" t="str">
        <v>ProjectedCrs</v>
      </c>
      <c r="H9247" t="str">
        <v>Mollweide</v>
      </c>
      <c r="I9247" t="str">
        <v>Tethys (2015) - Sphere / Ocentric / Mollweide, clon = 0</v>
      </c>
      <c r="J9247" t="str">
        <v>Not specified.</v>
      </c>
      <c r="K9247" s="11">
        <v>0</v>
      </c>
    </row>
    <row r="9248" spans="5:11" x14ac:dyDescent="0.35">
      <c r="E9248" s="9" t="str">
        <v>IAU_2015</v>
      </c>
      <c r="F9248" s="7" t="str">
        <v>60345</v>
      </c>
      <c r="G9248" t="str">
        <v>ProjectedCrs</v>
      </c>
      <c r="H9248" t="str">
        <v>Mollweide</v>
      </c>
      <c r="I9248" t="str">
        <v>Tethys (2015) - Sphere / Ocentric / Mollweide, clon = 180</v>
      </c>
      <c r="J9248" t="str">
        <v>Not specified.</v>
      </c>
      <c r="K9248" s="11">
        <v>0</v>
      </c>
    </row>
    <row r="9249" spans="5:11" x14ac:dyDescent="0.35">
      <c r="E9249" s="9" t="str">
        <v>IAU_2015</v>
      </c>
      <c r="F9249" s="7" t="str">
        <v>60350</v>
      </c>
      <c r="G9249" t="str">
        <v>ProjectedCrs</v>
      </c>
      <c r="H9249" t="str">
        <v>Robinson</v>
      </c>
      <c r="I9249" t="str">
        <v>Tethys (2015) - Sphere / Ocentric / Robinson, clon = 0</v>
      </c>
      <c r="J9249" t="str">
        <v>Not specified.</v>
      </c>
      <c r="K9249" s="11">
        <v>0</v>
      </c>
    </row>
    <row r="9250" spans="5:11" x14ac:dyDescent="0.35">
      <c r="E9250" s="9" t="str">
        <v>IAU_2015</v>
      </c>
      <c r="F9250" s="7" t="str">
        <v>60355</v>
      </c>
      <c r="G9250" t="str">
        <v>ProjectedCrs</v>
      </c>
      <c r="H9250" t="str">
        <v>Robinson</v>
      </c>
      <c r="I9250" t="str">
        <v>Tethys (2015) - Sphere / Ocentric / Robinson, clon = 180</v>
      </c>
      <c r="J9250" t="str">
        <v>Not specified.</v>
      </c>
      <c r="K9250" s="11">
        <v>0</v>
      </c>
    </row>
    <row r="9251" spans="5:11" x14ac:dyDescent="0.35">
      <c r="E9251" s="9" t="str">
        <v>IAU_2015</v>
      </c>
      <c r="F9251" s="7" t="str">
        <v>60360</v>
      </c>
      <c r="G9251" t="str">
        <v>ProjectedCrs</v>
      </c>
      <c r="H9251" t="str">
        <v>Transverse Mercator</v>
      </c>
      <c r="I9251" t="str">
        <v>Tethys (2015) - Sphere / Ocentric / Tranverse Mercator</v>
      </c>
      <c r="J9251" t="str">
        <v>Not specified.</v>
      </c>
      <c r="K9251" s="11">
        <v>0</v>
      </c>
    </row>
    <row r="9252" spans="5:11" x14ac:dyDescent="0.35">
      <c r="E9252" s="9" t="str">
        <v>IAU_2015</v>
      </c>
      <c r="F9252" s="7" t="str">
        <v>60365</v>
      </c>
      <c r="G9252" t="str">
        <v>ProjectedCrs</v>
      </c>
      <c r="H9252" t="str">
        <v>Orthographic</v>
      </c>
      <c r="I9252" t="str">
        <v>Tethys (2015) - Sphere / Ocentric / Orthographic, clon = 0</v>
      </c>
      <c r="J9252" t="str">
        <v>Not specified.</v>
      </c>
      <c r="K9252" s="11">
        <v>0</v>
      </c>
    </row>
    <row r="9253" spans="5:11" x14ac:dyDescent="0.35">
      <c r="E9253" s="9" t="str">
        <v>IAU_2015</v>
      </c>
      <c r="F9253" s="7" t="str">
        <v>60370</v>
      </c>
      <c r="G9253" t="str">
        <v>ProjectedCrs</v>
      </c>
      <c r="H9253" t="str">
        <v>Orthographic</v>
      </c>
      <c r="I9253" t="str">
        <v>Tethys (2015) - Sphere / Ocentric / Orthographic, clon = 180</v>
      </c>
      <c r="J9253" t="str">
        <v>Not specified.</v>
      </c>
      <c r="K9253" s="11">
        <v>0</v>
      </c>
    </row>
    <row r="9254" spans="5:11" x14ac:dyDescent="0.35">
      <c r="E9254" s="9" t="str">
        <v>IAU_2015</v>
      </c>
      <c r="F9254" s="7" t="str">
        <v>60375</v>
      </c>
      <c r="G9254" t="str">
        <v>ProjectedCrs</v>
      </c>
      <c r="H9254" t="str">
        <v>Lambert Conic Conformal (2SP)</v>
      </c>
      <c r="I9254" t="str">
        <v>Tethys (2015) - Sphere / Ocentric / Lambert Conic Conformal</v>
      </c>
      <c r="J9254" t="str">
        <v>Not specified.</v>
      </c>
      <c r="K9254" s="11">
        <v>0</v>
      </c>
    </row>
    <row r="9255" spans="5:11" x14ac:dyDescent="0.35">
      <c r="E9255" s="9" t="str">
        <v>IAU_2015</v>
      </c>
      <c r="F9255" s="7" t="str">
        <v>60380</v>
      </c>
      <c r="G9255" t="str">
        <v>ProjectedCrs</v>
      </c>
      <c r="H9255" t="str">
        <v>Lambert Azimuthal Equal Area</v>
      </c>
      <c r="I9255" t="str">
        <v>Tethys (2015) - Sphere / Ocentric / Lambert Azimuthal Equal Area</v>
      </c>
      <c r="J9255" t="str">
        <v>Not specified.</v>
      </c>
      <c r="K9255" s="11">
        <v>0</v>
      </c>
    </row>
    <row r="9256" spans="5:11" x14ac:dyDescent="0.35">
      <c r="E9256" s="9" t="str">
        <v>IAU_2015</v>
      </c>
      <c r="F9256" s="7" t="str">
        <v>60385</v>
      </c>
      <c r="G9256" t="str">
        <v>ProjectedCrs</v>
      </c>
      <c r="H9256" t="str">
        <v>Albers Equal Area</v>
      </c>
      <c r="I9256" t="str">
        <v>Tethys (2015) - Sphere / Ocentric / Albers Equal Area</v>
      </c>
      <c r="J9256" t="str">
        <v>Not specified.</v>
      </c>
      <c r="K9256" s="11">
        <v>0</v>
      </c>
    </row>
    <row r="9257" spans="5:11" x14ac:dyDescent="0.35">
      <c r="E9257" s="9" t="str">
        <v>IAU_2015</v>
      </c>
      <c r="F9257" s="7" t="str">
        <v>60390</v>
      </c>
      <c r="G9257" t="str">
        <v>ProjectedCrs</v>
      </c>
      <c r="H9257" t="str">
        <v>Mercator (Spherical)</v>
      </c>
      <c r="I9257" t="str">
        <v>Tethys (2015) - Sphere / Ocentric / Mercator</v>
      </c>
      <c r="J9257" t="str">
        <v>Not specified.</v>
      </c>
      <c r="K9257" s="11">
        <v>0</v>
      </c>
    </row>
    <row r="9258" spans="5:11" x14ac:dyDescent="0.35">
      <c r="E9258" s="9" t="str">
        <v>IAU_2015</v>
      </c>
      <c r="F9258" s="7" t="str">
        <v>60400</v>
      </c>
      <c r="G9258" t="str">
        <v>Geographic2DCrs</v>
      </c>
      <c r="H9258" t="str">
        <v>&lt;undefined&gt;</v>
      </c>
      <c r="I9258" t="str">
        <v>Dione (2015) - Sphere / Ocentric</v>
      </c>
      <c r="J9258" t="str">
        <v>Not specified.</v>
      </c>
      <c r="K9258" s="11">
        <v>0</v>
      </c>
    </row>
    <row r="9259" spans="5:11" x14ac:dyDescent="0.35">
      <c r="E9259" s="9" t="str">
        <v>IAU_2015</v>
      </c>
      <c r="F9259" s="7" t="str">
        <v>60410</v>
      </c>
      <c r="G9259" t="str">
        <v>ProjectedCrs</v>
      </c>
      <c r="H9259" t="str">
        <v>Equidistant Cylindrical</v>
      </c>
      <c r="I9259" t="str">
        <v>Dione (2015) - Sphere / Ocentric / Equirectangular, clon = 0</v>
      </c>
      <c r="J9259" t="str">
        <v>Not specified.</v>
      </c>
      <c r="K9259" s="11">
        <v>0</v>
      </c>
    </row>
    <row r="9260" spans="5:11" x14ac:dyDescent="0.35">
      <c r="E9260" s="9" t="str">
        <v>IAU_2015</v>
      </c>
      <c r="F9260" s="7" t="str">
        <v>60415</v>
      </c>
      <c r="G9260" t="str">
        <v>ProjectedCrs</v>
      </c>
      <c r="H9260" t="str">
        <v>Equidistant Cylindrical</v>
      </c>
      <c r="I9260" t="str">
        <v>Dione (2015) - Sphere / Ocentric / Equirectangular, clon = 180</v>
      </c>
      <c r="J9260" t="str">
        <v>Not specified.</v>
      </c>
      <c r="K9260" s="11">
        <v>0</v>
      </c>
    </row>
    <row r="9261" spans="5:11" x14ac:dyDescent="0.35">
      <c r="E9261" s="9" t="str">
        <v>IAU_2015</v>
      </c>
      <c r="F9261" s="7" t="str">
        <v>60420</v>
      </c>
      <c r="G9261" t="str">
        <v>ProjectedCrs</v>
      </c>
      <c r="H9261" t="str">
        <v>Sinusoidal</v>
      </c>
      <c r="I9261" t="str">
        <v>Dione (2015) - Sphere / Ocentric / Sinusoidal, clon = 0</v>
      </c>
      <c r="J9261" t="str">
        <v>Not specified.</v>
      </c>
      <c r="K9261" s="11">
        <v>0</v>
      </c>
    </row>
    <row r="9262" spans="5:11" x14ac:dyDescent="0.35">
      <c r="E9262" s="9" t="str">
        <v>IAU_2015</v>
      </c>
      <c r="F9262" s="7" t="str">
        <v>60425</v>
      </c>
      <c r="G9262" t="str">
        <v>ProjectedCrs</v>
      </c>
      <c r="H9262" t="str">
        <v>Sinusoidal</v>
      </c>
      <c r="I9262" t="str">
        <v>Dione (2015) - Sphere / Ocentric / Sinusoidal, clon = 180</v>
      </c>
      <c r="J9262" t="str">
        <v>Not specified.</v>
      </c>
      <c r="K9262" s="11">
        <v>0</v>
      </c>
    </row>
    <row r="9263" spans="5:11" x14ac:dyDescent="0.35">
      <c r="E9263" s="9" t="str">
        <v>IAU_2015</v>
      </c>
      <c r="F9263" s="7" t="str">
        <v>60430</v>
      </c>
      <c r="G9263" t="str">
        <v>ProjectedCrs</v>
      </c>
      <c r="H9263" t="str">
        <v>Polar Stereographic (variant A)</v>
      </c>
      <c r="I9263" t="str">
        <v>Dione (2015) - Sphere / Ocentric / North Polar</v>
      </c>
      <c r="J9263" t="str">
        <v>Not specified.</v>
      </c>
      <c r="K9263" s="11">
        <v>0</v>
      </c>
    </row>
    <row r="9264" spans="5:11" x14ac:dyDescent="0.35">
      <c r="E9264" s="9" t="str">
        <v>IAU_2015</v>
      </c>
      <c r="F9264" s="7" t="str">
        <v>60435</v>
      </c>
      <c r="G9264" t="str">
        <v>ProjectedCrs</v>
      </c>
      <c r="H9264" t="str">
        <v>Polar Stereographic (variant A)</v>
      </c>
      <c r="I9264" t="str">
        <v>Dione (2015) - Sphere / Ocentric / South Polar</v>
      </c>
      <c r="J9264" t="str">
        <v>Not specified.</v>
      </c>
      <c r="K9264" s="11">
        <v>0</v>
      </c>
    </row>
    <row r="9265" spans="5:11" x14ac:dyDescent="0.35">
      <c r="E9265" s="9" t="str">
        <v>IAU_2015</v>
      </c>
      <c r="F9265" s="7" t="str">
        <v>60440</v>
      </c>
      <c r="G9265" t="str">
        <v>ProjectedCrs</v>
      </c>
      <c r="H9265" t="str">
        <v>Mollweide</v>
      </c>
      <c r="I9265" t="str">
        <v>Dione (2015) - Sphere / Ocentric / Mollweide, clon = 0</v>
      </c>
      <c r="J9265" t="str">
        <v>Not specified.</v>
      </c>
      <c r="K9265" s="11">
        <v>0</v>
      </c>
    </row>
    <row r="9266" spans="5:11" x14ac:dyDescent="0.35">
      <c r="E9266" s="9" t="str">
        <v>IAU_2015</v>
      </c>
      <c r="F9266" s="7" t="str">
        <v>60445</v>
      </c>
      <c r="G9266" t="str">
        <v>ProjectedCrs</v>
      </c>
      <c r="H9266" t="str">
        <v>Mollweide</v>
      </c>
      <c r="I9266" t="str">
        <v>Dione (2015) - Sphere / Ocentric / Mollweide, clon = 180</v>
      </c>
      <c r="J9266" t="str">
        <v>Not specified.</v>
      </c>
      <c r="K9266" s="11">
        <v>0</v>
      </c>
    </row>
    <row r="9267" spans="5:11" x14ac:dyDescent="0.35">
      <c r="E9267" s="9" t="str">
        <v>IAU_2015</v>
      </c>
      <c r="F9267" s="7" t="str">
        <v>60450</v>
      </c>
      <c r="G9267" t="str">
        <v>ProjectedCrs</v>
      </c>
      <c r="H9267" t="str">
        <v>Robinson</v>
      </c>
      <c r="I9267" t="str">
        <v>Dione (2015) - Sphere / Ocentric / Robinson, clon = 0</v>
      </c>
      <c r="J9267" t="str">
        <v>Not specified.</v>
      </c>
      <c r="K9267" s="11">
        <v>0</v>
      </c>
    </row>
    <row r="9268" spans="5:11" x14ac:dyDescent="0.35">
      <c r="E9268" s="9" t="str">
        <v>IAU_2015</v>
      </c>
      <c r="F9268" s="7" t="str">
        <v>60455</v>
      </c>
      <c r="G9268" t="str">
        <v>ProjectedCrs</v>
      </c>
      <c r="H9268" t="str">
        <v>Robinson</v>
      </c>
      <c r="I9268" t="str">
        <v>Dione (2015) - Sphere / Ocentric / Robinson, clon = 180</v>
      </c>
      <c r="J9268" t="str">
        <v>Not specified.</v>
      </c>
      <c r="K9268" s="11">
        <v>0</v>
      </c>
    </row>
    <row r="9269" spans="5:11" x14ac:dyDescent="0.35">
      <c r="E9269" s="9" t="str">
        <v>IAU_2015</v>
      </c>
      <c r="F9269" s="7" t="str">
        <v>60460</v>
      </c>
      <c r="G9269" t="str">
        <v>ProjectedCrs</v>
      </c>
      <c r="H9269" t="str">
        <v>Transverse Mercator</v>
      </c>
      <c r="I9269" t="str">
        <v>Dione (2015) - Sphere / Ocentric / Tranverse Mercator</v>
      </c>
      <c r="J9269" t="str">
        <v>Not specified.</v>
      </c>
      <c r="K9269" s="11">
        <v>0</v>
      </c>
    </row>
    <row r="9270" spans="5:11" x14ac:dyDescent="0.35">
      <c r="E9270" s="9" t="str">
        <v>IAU_2015</v>
      </c>
      <c r="F9270" s="7" t="str">
        <v>60465</v>
      </c>
      <c r="G9270" t="str">
        <v>ProjectedCrs</v>
      </c>
      <c r="H9270" t="str">
        <v>Orthographic</v>
      </c>
      <c r="I9270" t="str">
        <v>Dione (2015) - Sphere / Ocentric / Orthographic, clon = 0</v>
      </c>
      <c r="J9270" t="str">
        <v>Not specified.</v>
      </c>
      <c r="K9270" s="11">
        <v>0</v>
      </c>
    </row>
    <row r="9271" spans="5:11" x14ac:dyDescent="0.35">
      <c r="E9271" s="9" t="str">
        <v>IAU_2015</v>
      </c>
      <c r="F9271" s="7" t="str">
        <v>60470</v>
      </c>
      <c r="G9271" t="str">
        <v>ProjectedCrs</v>
      </c>
      <c r="H9271" t="str">
        <v>Orthographic</v>
      </c>
      <c r="I9271" t="str">
        <v>Dione (2015) - Sphere / Ocentric / Orthographic, clon = 180</v>
      </c>
      <c r="J9271" t="str">
        <v>Not specified.</v>
      </c>
      <c r="K9271" s="11">
        <v>0</v>
      </c>
    </row>
    <row r="9272" spans="5:11" x14ac:dyDescent="0.35">
      <c r="E9272" s="9" t="str">
        <v>IAU_2015</v>
      </c>
      <c r="F9272" s="7" t="str">
        <v>60475</v>
      </c>
      <c r="G9272" t="str">
        <v>ProjectedCrs</v>
      </c>
      <c r="H9272" t="str">
        <v>Lambert Conic Conformal (2SP)</v>
      </c>
      <c r="I9272" t="str">
        <v>Dione (2015) - Sphere / Ocentric / Lambert Conic Conformal</v>
      </c>
      <c r="J9272" t="str">
        <v>Not specified.</v>
      </c>
      <c r="K9272" s="11">
        <v>0</v>
      </c>
    </row>
    <row r="9273" spans="5:11" x14ac:dyDescent="0.35">
      <c r="E9273" s="9" t="str">
        <v>IAU_2015</v>
      </c>
      <c r="F9273" s="7" t="str">
        <v>60480</v>
      </c>
      <c r="G9273" t="str">
        <v>ProjectedCrs</v>
      </c>
      <c r="H9273" t="str">
        <v>Lambert Azimuthal Equal Area</v>
      </c>
      <c r="I9273" t="str">
        <v>Dione (2015) - Sphere / Ocentric / Lambert Azimuthal Equal Area</v>
      </c>
      <c r="J9273" t="str">
        <v>Not specified.</v>
      </c>
      <c r="K9273" s="11">
        <v>0</v>
      </c>
    </row>
    <row r="9274" spans="5:11" x14ac:dyDescent="0.35">
      <c r="E9274" s="9" t="str">
        <v>IAU_2015</v>
      </c>
      <c r="F9274" s="7" t="str">
        <v>60485</v>
      </c>
      <c r="G9274" t="str">
        <v>ProjectedCrs</v>
      </c>
      <c r="H9274" t="str">
        <v>Albers Equal Area</v>
      </c>
      <c r="I9274" t="str">
        <v>Dione (2015) - Sphere / Ocentric / Albers Equal Area</v>
      </c>
      <c r="J9274" t="str">
        <v>Not specified.</v>
      </c>
      <c r="K9274" s="11">
        <v>0</v>
      </c>
    </row>
    <row r="9275" spans="5:11" x14ac:dyDescent="0.35">
      <c r="E9275" s="9" t="str">
        <v>IAU_2015</v>
      </c>
      <c r="F9275" s="7" t="str">
        <v>60490</v>
      </c>
      <c r="G9275" t="str">
        <v>ProjectedCrs</v>
      </c>
      <c r="H9275" t="str">
        <v>Mercator (Spherical)</v>
      </c>
      <c r="I9275" t="str">
        <v>Dione (2015) - Sphere / Ocentric / Mercator</v>
      </c>
      <c r="J9275" t="str">
        <v>Not specified.</v>
      </c>
      <c r="K9275" s="11">
        <v>0</v>
      </c>
    </row>
    <row r="9276" spans="5:11" x14ac:dyDescent="0.35">
      <c r="E9276" s="9" t="str">
        <v>IAU_2015</v>
      </c>
      <c r="F9276" s="7" t="str">
        <v>60500</v>
      </c>
      <c r="G9276" t="str">
        <v>Geographic2DCrs</v>
      </c>
      <c r="H9276" t="str">
        <v>&lt;undefined&gt;</v>
      </c>
      <c r="I9276" t="str">
        <v>Rhea (2015) - Sphere / Ocentric</v>
      </c>
      <c r="J9276" t="str">
        <v>Not specified.</v>
      </c>
      <c r="K9276" s="11">
        <v>0</v>
      </c>
    </row>
    <row r="9277" spans="5:11" x14ac:dyDescent="0.35">
      <c r="E9277" s="9" t="str">
        <v>IAU_2015</v>
      </c>
      <c r="F9277" s="7" t="str">
        <v>60510</v>
      </c>
      <c r="G9277" t="str">
        <v>ProjectedCrs</v>
      </c>
      <c r="H9277" t="str">
        <v>Equidistant Cylindrical</v>
      </c>
      <c r="I9277" t="str">
        <v>Rhea (2015) - Sphere / Ocentric / Equirectangular, clon = 0</v>
      </c>
      <c r="J9277" t="str">
        <v>Not specified.</v>
      </c>
      <c r="K9277" s="11">
        <v>0</v>
      </c>
    </row>
    <row r="9278" spans="5:11" x14ac:dyDescent="0.35">
      <c r="E9278" s="9" t="str">
        <v>IAU_2015</v>
      </c>
      <c r="F9278" s="7" t="str">
        <v>60515</v>
      </c>
      <c r="G9278" t="str">
        <v>ProjectedCrs</v>
      </c>
      <c r="H9278" t="str">
        <v>Equidistant Cylindrical</v>
      </c>
      <c r="I9278" t="str">
        <v>Rhea (2015) - Sphere / Ocentric / Equirectangular, clon = 180</v>
      </c>
      <c r="J9278" t="str">
        <v>Not specified.</v>
      </c>
      <c r="K9278" s="11">
        <v>0</v>
      </c>
    </row>
    <row r="9279" spans="5:11" x14ac:dyDescent="0.35">
      <c r="E9279" s="9" t="str">
        <v>IAU_2015</v>
      </c>
      <c r="F9279" s="7" t="str">
        <v>60520</v>
      </c>
      <c r="G9279" t="str">
        <v>ProjectedCrs</v>
      </c>
      <c r="H9279" t="str">
        <v>Sinusoidal</v>
      </c>
      <c r="I9279" t="str">
        <v>Rhea (2015) - Sphere / Ocentric / Sinusoidal, clon = 0</v>
      </c>
      <c r="J9279" t="str">
        <v>Not specified.</v>
      </c>
      <c r="K9279" s="11">
        <v>0</v>
      </c>
    </row>
    <row r="9280" spans="5:11" x14ac:dyDescent="0.35">
      <c r="E9280" s="9" t="str">
        <v>IAU_2015</v>
      </c>
      <c r="F9280" s="7" t="str">
        <v>60525</v>
      </c>
      <c r="G9280" t="str">
        <v>ProjectedCrs</v>
      </c>
      <c r="H9280" t="str">
        <v>Sinusoidal</v>
      </c>
      <c r="I9280" t="str">
        <v>Rhea (2015) - Sphere / Ocentric / Sinusoidal, clon = 180</v>
      </c>
      <c r="J9280" t="str">
        <v>Not specified.</v>
      </c>
      <c r="K9280" s="11">
        <v>0</v>
      </c>
    </row>
    <row r="9281" spans="5:11" x14ac:dyDescent="0.35">
      <c r="E9281" s="9" t="str">
        <v>IAU_2015</v>
      </c>
      <c r="F9281" s="7" t="str">
        <v>60530</v>
      </c>
      <c r="G9281" t="str">
        <v>ProjectedCrs</v>
      </c>
      <c r="H9281" t="str">
        <v>Polar Stereographic (variant A)</v>
      </c>
      <c r="I9281" t="str">
        <v>Rhea (2015) - Sphere / Ocentric / North Polar</v>
      </c>
      <c r="J9281" t="str">
        <v>Not specified.</v>
      </c>
      <c r="K9281" s="11">
        <v>0</v>
      </c>
    </row>
    <row r="9282" spans="5:11" x14ac:dyDescent="0.35">
      <c r="E9282" s="9" t="str">
        <v>IAU_2015</v>
      </c>
      <c r="F9282" s="7" t="str">
        <v>60535</v>
      </c>
      <c r="G9282" t="str">
        <v>ProjectedCrs</v>
      </c>
      <c r="H9282" t="str">
        <v>Polar Stereographic (variant A)</v>
      </c>
      <c r="I9282" t="str">
        <v>Rhea (2015) - Sphere / Ocentric / South Polar</v>
      </c>
      <c r="J9282" t="str">
        <v>Not specified.</v>
      </c>
      <c r="K9282" s="11">
        <v>0</v>
      </c>
    </row>
    <row r="9283" spans="5:11" x14ac:dyDescent="0.35">
      <c r="E9283" s="9" t="str">
        <v>IAU_2015</v>
      </c>
      <c r="F9283" s="7" t="str">
        <v>60540</v>
      </c>
      <c r="G9283" t="str">
        <v>ProjectedCrs</v>
      </c>
      <c r="H9283" t="str">
        <v>Mollweide</v>
      </c>
      <c r="I9283" t="str">
        <v>Rhea (2015) - Sphere / Ocentric / Mollweide, clon = 0</v>
      </c>
      <c r="J9283" t="str">
        <v>Not specified.</v>
      </c>
      <c r="K9283" s="11">
        <v>0</v>
      </c>
    </row>
    <row r="9284" spans="5:11" x14ac:dyDescent="0.35">
      <c r="E9284" s="9" t="str">
        <v>IAU_2015</v>
      </c>
      <c r="F9284" s="7" t="str">
        <v>60545</v>
      </c>
      <c r="G9284" t="str">
        <v>ProjectedCrs</v>
      </c>
      <c r="H9284" t="str">
        <v>Mollweide</v>
      </c>
      <c r="I9284" t="str">
        <v>Rhea (2015) - Sphere / Ocentric / Mollweide, clon = 180</v>
      </c>
      <c r="J9284" t="str">
        <v>Not specified.</v>
      </c>
      <c r="K9284" s="11">
        <v>0</v>
      </c>
    </row>
    <row r="9285" spans="5:11" x14ac:dyDescent="0.35">
      <c r="E9285" s="9" t="str">
        <v>IAU_2015</v>
      </c>
      <c r="F9285" s="7" t="str">
        <v>60550</v>
      </c>
      <c r="G9285" t="str">
        <v>ProjectedCrs</v>
      </c>
      <c r="H9285" t="str">
        <v>Robinson</v>
      </c>
      <c r="I9285" t="str">
        <v>Rhea (2015) - Sphere / Ocentric / Robinson, clon = 0</v>
      </c>
      <c r="J9285" t="str">
        <v>Not specified.</v>
      </c>
      <c r="K9285" s="11">
        <v>0</v>
      </c>
    </row>
    <row r="9286" spans="5:11" x14ac:dyDescent="0.35">
      <c r="E9286" s="9" t="str">
        <v>IAU_2015</v>
      </c>
      <c r="F9286" s="7" t="str">
        <v>60555</v>
      </c>
      <c r="G9286" t="str">
        <v>ProjectedCrs</v>
      </c>
      <c r="H9286" t="str">
        <v>Robinson</v>
      </c>
      <c r="I9286" t="str">
        <v>Rhea (2015) - Sphere / Ocentric / Robinson, clon = 180</v>
      </c>
      <c r="J9286" t="str">
        <v>Not specified.</v>
      </c>
      <c r="K9286" s="11">
        <v>0</v>
      </c>
    </row>
    <row r="9287" spans="5:11" x14ac:dyDescent="0.35">
      <c r="E9287" s="9" t="str">
        <v>IAU_2015</v>
      </c>
      <c r="F9287" s="7" t="str">
        <v>60560</v>
      </c>
      <c r="G9287" t="str">
        <v>ProjectedCrs</v>
      </c>
      <c r="H9287" t="str">
        <v>Transverse Mercator</v>
      </c>
      <c r="I9287" t="str">
        <v>Rhea (2015) - Sphere / Ocentric / Tranverse Mercator</v>
      </c>
      <c r="J9287" t="str">
        <v>Not specified.</v>
      </c>
      <c r="K9287" s="11">
        <v>0</v>
      </c>
    </row>
    <row r="9288" spans="5:11" x14ac:dyDescent="0.35">
      <c r="E9288" s="9" t="str">
        <v>IAU_2015</v>
      </c>
      <c r="F9288" s="7" t="str">
        <v>60565</v>
      </c>
      <c r="G9288" t="str">
        <v>ProjectedCrs</v>
      </c>
      <c r="H9288" t="str">
        <v>Orthographic</v>
      </c>
      <c r="I9288" t="str">
        <v>Rhea (2015) - Sphere / Ocentric / Orthographic, clon = 0</v>
      </c>
      <c r="J9288" t="str">
        <v>Not specified.</v>
      </c>
      <c r="K9288" s="11">
        <v>0</v>
      </c>
    </row>
    <row r="9289" spans="5:11" x14ac:dyDescent="0.35">
      <c r="E9289" s="9" t="str">
        <v>IAU_2015</v>
      </c>
      <c r="F9289" s="7" t="str">
        <v>60570</v>
      </c>
      <c r="G9289" t="str">
        <v>ProjectedCrs</v>
      </c>
      <c r="H9289" t="str">
        <v>Orthographic</v>
      </c>
      <c r="I9289" t="str">
        <v>Rhea (2015) - Sphere / Ocentric / Orthographic, clon = 180</v>
      </c>
      <c r="J9289" t="str">
        <v>Not specified.</v>
      </c>
      <c r="K9289" s="11">
        <v>0</v>
      </c>
    </row>
    <row r="9290" spans="5:11" x14ac:dyDescent="0.35">
      <c r="E9290" s="9" t="str">
        <v>IAU_2015</v>
      </c>
      <c r="F9290" s="7" t="str">
        <v>60575</v>
      </c>
      <c r="G9290" t="str">
        <v>ProjectedCrs</v>
      </c>
      <c r="H9290" t="str">
        <v>Lambert Conic Conformal (2SP)</v>
      </c>
      <c r="I9290" t="str">
        <v>Rhea (2015) - Sphere / Ocentric / Lambert Conic Conformal</v>
      </c>
      <c r="J9290" t="str">
        <v>Not specified.</v>
      </c>
      <c r="K9290" s="11">
        <v>0</v>
      </c>
    </row>
    <row r="9291" spans="5:11" x14ac:dyDescent="0.35">
      <c r="E9291" s="9" t="str">
        <v>IAU_2015</v>
      </c>
      <c r="F9291" s="7" t="str">
        <v>60580</v>
      </c>
      <c r="G9291" t="str">
        <v>ProjectedCrs</v>
      </c>
      <c r="H9291" t="str">
        <v>Lambert Azimuthal Equal Area</v>
      </c>
      <c r="I9291" t="str">
        <v>Rhea (2015) - Sphere / Ocentric / Lambert Azimuthal Equal Area</v>
      </c>
      <c r="J9291" t="str">
        <v>Not specified.</v>
      </c>
      <c r="K9291" s="11">
        <v>0</v>
      </c>
    </row>
    <row r="9292" spans="5:11" x14ac:dyDescent="0.35">
      <c r="E9292" s="9" t="str">
        <v>IAU_2015</v>
      </c>
      <c r="F9292" s="7" t="str">
        <v>60585</v>
      </c>
      <c r="G9292" t="str">
        <v>ProjectedCrs</v>
      </c>
      <c r="H9292" t="str">
        <v>Albers Equal Area</v>
      </c>
      <c r="I9292" t="str">
        <v>Rhea (2015) - Sphere / Ocentric / Albers Equal Area</v>
      </c>
      <c r="J9292" t="str">
        <v>Not specified.</v>
      </c>
      <c r="K9292" s="11">
        <v>0</v>
      </c>
    </row>
    <row r="9293" spans="5:11" x14ac:dyDescent="0.35">
      <c r="E9293" s="9" t="str">
        <v>IAU_2015</v>
      </c>
      <c r="F9293" s="7" t="str">
        <v>60590</v>
      </c>
      <c r="G9293" t="str">
        <v>ProjectedCrs</v>
      </c>
      <c r="H9293" t="str">
        <v>Mercator (Spherical)</v>
      </c>
      <c r="I9293" t="str">
        <v>Rhea (2015) - Sphere / Ocentric / Mercator</v>
      </c>
      <c r="J9293" t="str">
        <v>Not specified.</v>
      </c>
      <c r="K9293" s="11">
        <v>0</v>
      </c>
    </row>
    <row r="9294" spans="5:11" x14ac:dyDescent="0.35">
      <c r="E9294" s="9" t="str">
        <v>IAU_2015</v>
      </c>
      <c r="F9294" s="7" t="str">
        <v>60600</v>
      </c>
      <c r="G9294" t="str">
        <v>Geographic2DCrs</v>
      </c>
      <c r="H9294" t="str">
        <v>&lt;undefined&gt;</v>
      </c>
      <c r="I9294" t="str">
        <v>Titan (2015) - Sphere / Ocentric</v>
      </c>
      <c r="J9294" t="str">
        <v>Not specified.</v>
      </c>
      <c r="K9294" s="11">
        <v>0</v>
      </c>
    </row>
    <row r="9295" spans="5:11" x14ac:dyDescent="0.35">
      <c r="E9295" s="9" t="str">
        <v>IAU_2015</v>
      </c>
      <c r="F9295" s="7" t="str">
        <v>60610</v>
      </c>
      <c r="G9295" t="str">
        <v>ProjectedCrs</v>
      </c>
      <c r="H9295" t="str">
        <v>Equidistant Cylindrical</v>
      </c>
      <c r="I9295" t="str">
        <v>Titan (2015) - Sphere / Ocentric / Equirectangular, clon = 0</v>
      </c>
      <c r="J9295" t="str">
        <v>Not specified.</v>
      </c>
      <c r="K9295" s="11">
        <v>0</v>
      </c>
    </row>
    <row r="9296" spans="5:11" x14ac:dyDescent="0.35">
      <c r="E9296" s="9" t="str">
        <v>IAU_2015</v>
      </c>
      <c r="F9296" s="7" t="str">
        <v>60615</v>
      </c>
      <c r="G9296" t="str">
        <v>ProjectedCrs</v>
      </c>
      <c r="H9296" t="str">
        <v>Equidistant Cylindrical</v>
      </c>
      <c r="I9296" t="str">
        <v>Titan (2015) - Sphere / Ocentric / Equirectangular, clon = 180</v>
      </c>
      <c r="J9296" t="str">
        <v>Not specified.</v>
      </c>
      <c r="K9296" s="11">
        <v>0</v>
      </c>
    </row>
    <row r="9297" spans="5:11" x14ac:dyDescent="0.35">
      <c r="E9297" s="9" t="str">
        <v>IAU_2015</v>
      </c>
      <c r="F9297" s="7" t="str">
        <v>60620</v>
      </c>
      <c r="G9297" t="str">
        <v>ProjectedCrs</v>
      </c>
      <c r="H9297" t="str">
        <v>Sinusoidal</v>
      </c>
      <c r="I9297" t="str">
        <v>Titan (2015) - Sphere / Ocentric / Sinusoidal, clon = 0</v>
      </c>
      <c r="J9297" t="str">
        <v>Not specified.</v>
      </c>
      <c r="K9297" s="11">
        <v>0</v>
      </c>
    </row>
    <row r="9298" spans="5:11" x14ac:dyDescent="0.35">
      <c r="E9298" s="9" t="str">
        <v>IAU_2015</v>
      </c>
      <c r="F9298" s="7" t="str">
        <v>60625</v>
      </c>
      <c r="G9298" t="str">
        <v>ProjectedCrs</v>
      </c>
      <c r="H9298" t="str">
        <v>Sinusoidal</v>
      </c>
      <c r="I9298" t="str">
        <v>Titan (2015) - Sphere / Ocentric / Sinusoidal, clon = 180</v>
      </c>
      <c r="J9298" t="str">
        <v>Not specified.</v>
      </c>
      <c r="K9298" s="11">
        <v>0</v>
      </c>
    </row>
    <row r="9299" spans="5:11" x14ac:dyDescent="0.35">
      <c r="E9299" s="9" t="str">
        <v>IAU_2015</v>
      </c>
      <c r="F9299" s="7" t="str">
        <v>60630</v>
      </c>
      <c r="G9299" t="str">
        <v>ProjectedCrs</v>
      </c>
      <c r="H9299" t="str">
        <v>Polar Stereographic (variant A)</v>
      </c>
      <c r="I9299" t="str">
        <v>Titan (2015) - Sphere / Ocentric / North Polar</v>
      </c>
      <c r="J9299" t="str">
        <v>Not specified.</v>
      </c>
      <c r="K9299" s="11">
        <v>0</v>
      </c>
    </row>
    <row r="9300" spans="5:11" x14ac:dyDescent="0.35">
      <c r="E9300" s="9" t="str">
        <v>IAU_2015</v>
      </c>
      <c r="F9300" s="7" t="str">
        <v>60635</v>
      </c>
      <c r="G9300" t="str">
        <v>ProjectedCrs</v>
      </c>
      <c r="H9300" t="str">
        <v>Polar Stereographic (variant A)</v>
      </c>
      <c r="I9300" t="str">
        <v>Titan (2015) - Sphere / Ocentric / South Polar</v>
      </c>
      <c r="J9300" t="str">
        <v>Not specified.</v>
      </c>
      <c r="K9300" s="11">
        <v>0</v>
      </c>
    </row>
    <row r="9301" spans="5:11" x14ac:dyDescent="0.35">
      <c r="E9301" s="9" t="str">
        <v>IAU_2015</v>
      </c>
      <c r="F9301" s="7" t="str">
        <v>60640</v>
      </c>
      <c r="G9301" t="str">
        <v>ProjectedCrs</v>
      </c>
      <c r="H9301" t="str">
        <v>Mollweide</v>
      </c>
      <c r="I9301" t="str">
        <v>Titan (2015) - Sphere / Ocentric / Mollweide, clon = 0</v>
      </c>
      <c r="J9301" t="str">
        <v>Not specified.</v>
      </c>
      <c r="K9301" s="11">
        <v>0</v>
      </c>
    </row>
    <row r="9302" spans="5:11" x14ac:dyDescent="0.35">
      <c r="E9302" s="9" t="str">
        <v>IAU_2015</v>
      </c>
      <c r="F9302" s="7" t="str">
        <v>60645</v>
      </c>
      <c r="G9302" t="str">
        <v>ProjectedCrs</v>
      </c>
      <c r="H9302" t="str">
        <v>Mollweide</v>
      </c>
      <c r="I9302" t="str">
        <v>Titan (2015) - Sphere / Ocentric / Mollweide, clon = 180</v>
      </c>
      <c r="J9302" t="str">
        <v>Not specified.</v>
      </c>
      <c r="K9302" s="11">
        <v>0</v>
      </c>
    </row>
    <row r="9303" spans="5:11" x14ac:dyDescent="0.35">
      <c r="E9303" s="9" t="str">
        <v>IAU_2015</v>
      </c>
      <c r="F9303" s="7" t="str">
        <v>60650</v>
      </c>
      <c r="G9303" t="str">
        <v>ProjectedCrs</v>
      </c>
      <c r="H9303" t="str">
        <v>Robinson</v>
      </c>
      <c r="I9303" t="str">
        <v>Titan (2015) - Sphere / Ocentric / Robinson, clon = 0</v>
      </c>
      <c r="J9303" t="str">
        <v>Not specified.</v>
      </c>
      <c r="K9303" s="11">
        <v>0</v>
      </c>
    </row>
    <row r="9304" spans="5:11" x14ac:dyDescent="0.35">
      <c r="E9304" s="9" t="str">
        <v>IAU_2015</v>
      </c>
      <c r="F9304" s="7" t="str">
        <v>60655</v>
      </c>
      <c r="G9304" t="str">
        <v>ProjectedCrs</v>
      </c>
      <c r="H9304" t="str">
        <v>Robinson</v>
      </c>
      <c r="I9304" t="str">
        <v>Titan (2015) - Sphere / Ocentric / Robinson, clon = 180</v>
      </c>
      <c r="J9304" t="str">
        <v>Not specified.</v>
      </c>
      <c r="K9304" s="11">
        <v>0</v>
      </c>
    </row>
    <row r="9305" spans="5:11" x14ac:dyDescent="0.35">
      <c r="E9305" s="9" t="str">
        <v>IAU_2015</v>
      </c>
      <c r="F9305" s="7" t="str">
        <v>60660</v>
      </c>
      <c r="G9305" t="str">
        <v>ProjectedCrs</v>
      </c>
      <c r="H9305" t="str">
        <v>Transverse Mercator</v>
      </c>
      <c r="I9305" t="str">
        <v>Titan (2015) - Sphere / Ocentric / Tranverse Mercator</v>
      </c>
      <c r="J9305" t="str">
        <v>Not specified.</v>
      </c>
      <c r="K9305" s="11">
        <v>0</v>
      </c>
    </row>
    <row r="9306" spans="5:11" x14ac:dyDescent="0.35">
      <c r="E9306" s="9" t="str">
        <v>IAU_2015</v>
      </c>
      <c r="F9306" s="7" t="str">
        <v>60665</v>
      </c>
      <c r="G9306" t="str">
        <v>ProjectedCrs</v>
      </c>
      <c r="H9306" t="str">
        <v>Orthographic</v>
      </c>
      <c r="I9306" t="str">
        <v>Titan (2015) - Sphere / Ocentric / Orthographic, clon = 0</v>
      </c>
      <c r="J9306" t="str">
        <v>Not specified.</v>
      </c>
      <c r="K9306" s="11">
        <v>0</v>
      </c>
    </row>
    <row r="9307" spans="5:11" x14ac:dyDescent="0.35">
      <c r="E9307" s="9" t="str">
        <v>IAU_2015</v>
      </c>
      <c r="F9307" s="7" t="str">
        <v>60670</v>
      </c>
      <c r="G9307" t="str">
        <v>ProjectedCrs</v>
      </c>
      <c r="H9307" t="str">
        <v>Orthographic</v>
      </c>
      <c r="I9307" t="str">
        <v>Titan (2015) - Sphere / Ocentric / Orthographic, clon = 180</v>
      </c>
      <c r="J9307" t="str">
        <v>Not specified.</v>
      </c>
      <c r="K9307" s="11">
        <v>0</v>
      </c>
    </row>
    <row r="9308" spans="5:11" x14ac:dyDescent="0.35">
      <c r="E9308" s="9" t="str">
        <v>IAU_2015</v>
      </c>
      <c r="F9308" s="7" t="str">
        <v>60675</v>
      </c>
      <c r="G9308" t="str">
        <v>ProjectedCrs</v>
      </c>
      <c r="H9308" t="str">
        <v>Lambert Conic Conformal (2SP)</v>
      </c>
      <c r="I9308" t="str">
        <v>Titan (2015) - Sphere / Ocentric / Lambert Conic Conformal</v>
      </c>
      <c r="J9308" t="str">
        <v>Not specified.</v>
      </c>
      <c r="K9308" s="11">
        <v>0</v>
      </c>
    </row>
    <row r="9309" spans="5:11" x14ac:dyDescent="0.35">
      <c r="E9309" s="9" t="str">
        <v>IAU_2015</v>
      </c>
      <c r="F9309" s="7" t="str">
        <v>60680</v>
      </c>
      <c r="G9309" t="str">
        <v>ProjectedCrs</v>
      </c>
      <c r="H9309" t="str">
        <v>Lambert Azimuthal Equal Area</v>
      </c>
      <c r="I9309" t="str">
        <v>Titan (2015) - Sphere / Ocentric / Lambert Azimuthal Equal Area</v>
      </c>
      <c r="J9309" t="str">
        <v>Not specified.</v>
      </c>
      <c r="K9309" s="11">
        <v>0</v>
      </c>
    </row>
    <row r="9310" spans="5:11" x14ac:dyDescent="0.35">
      <c r="E9310" s="9" t="str">
        <v>IAU_2015</v>
      </c>
      <c r="F9310" s="7" t="str">
        <v>60685</v>
      </c>
      <c r="G9310" t="str">
        <v>ProjectedCrs</v>
      </c>
      <c r="H9310" t="str">
        <v>Albers Equal Area</v>
      </c>
      <c r="I9310" t="str">
        <v>Titan (2015) - Sphere / Ocentric / Albers Equal Area</v>
      </c>
      <c r="J9310" t="str">
        <v>Not specified.</v>
      </c>
      <c r="K9310" s="11">
        <v>0</v>
      </c>
    </row>
    <row r="9311" spans="5:11" x14ac:dyDescent="0.35">
      <c r="E9311" s="9" t="str">
        <v>IAU_2015</v>
      </c>
      <c r="F9311" s="7" t="str">
        <v>60690</v>
      </c>
      <c r="G9311" t="str">
        <v>ProjectedCrs</v>
      </c>
      <c r="H9311" t="str">
        <v>Mercator (Spherical)</v>
      </c>
      <c r="I9311" t="str">
        <v>Titan (2015) - Sphere / Ocentric / Mercator</v>
      </c>
      <c r="J9311" t="str">
        <v>Not specified.</v>
      </c>
      <c r="K9311" s="11">
        <v>0</v>
      </c>
    </row>
    <row r="9312" spans="5:11" x14ac:dyDescent="0.35">
      <c r="E9312" s="9" t="str">
        <v>IAU_2015</v>
      </c>
      <c r="F9312" s="7" t="str">
        <v>60700</v>
      </c>
      <c r="G9312" t="str">
        <v>Geographic2DCrs</v>
      </c>
      <c r="H9312" t="str">
        <v>&lt;undefined&gt;</v>
      </c>
      <c r="I9312" t="str">
        <v>Hyperion (2015) - Sphere / Ocentric</v>
      </c>
      <c r="J9312" t="str">
        <v>Not specified.</v>
      </c>
      <c r="K9312" s="11">
        <v>0</v>
      </c>
    </row>
    <row r="9313" spans="5:11" x14ac:dyDescent="0.35">
      <c r="E9313" s="9" t="str">
        <v>IAU_2015</v>
      </c>
      <c r="F9313" s="7" t="str">
        <v>60710</v>
      </c>
      <c r="G9313" t="str">
        <v>ProjectedCrs</v>
      </c>
      <c r="H9313" t="str">
        <v>Equidistant Cylindrical</v>
      </c>
      <c r="I9313" t="str">
        <v>Hyperion (2015) - Sphere / Ocentric / Equirectangular, clon = 0</v>
      </c>
      <c r="J9313" t="str">
        <v>Not specified.</v>
      </c>
      <c r="K9313" s="11">
        <v>0</v>
      </c>
    </row>
    <row r="9314" spans="5:11" x14ac:dyDescent="0.35">
      <c r="E9314" s="9" t="str">
        <v>IAU_2015</v>
      </c>
      <c r="F9314" s="7" t="str">
        <v>60715</v>
      </c>
      <c r="G9314" t="str">
        <v>ProjectedCrs</v>
      </c>
      <c r="H9314" t="str">
        <v>Equidistant Cylindrical</v>
      </c>
      <c r="I9314" t="str">
        <v>Hyperion (2015) - Sphere / Ocentric / Equirectangular, clon = 180</v>
      </c>
      <c r="J9314" t="str">
        <v>Not specified.</v>
      </c>
      <c r="K9314" s="11">
        <v>0</v>
      </c>
    </row>
    <row r="9315" spans="5:11" x14ac:dyDescent="0.35">
      <c r="E9315" s="9" t="str">
        <v>IAU_2015</v>
      </c>
      <c r="F9315" s="7" t="str">
        <v>60720</v>
      </c>
      <c r="G9315" t="str">
        <v>ProjectedCrs</v>
      </c>
      <c r="H9315" t="str">
        <v>Sinusoidal</v>
      </c>
      <c r="I9315" t="str">
        <v>Hyperion (2015) - Sphere / Ocentric / Sinusoidal, clon = 0</v>
      </c>
      <c r="J9315" t="str">
        <v>Not specified.</v>
      </c>
      <c r="K9315" s="11">
        <v>0</v>
      </c>
    </row>
    <row r="9316" spans="5:11" x14ac:dyDescent="0.35">
      <c r="E9316" s="9" t="str">
        <v>IAU_2015</v>
      </c>
      <c r="F9316" s="7" t="str">
        <v>60725</v>
      </c>
      <c r="G9316" t="str">
        <v>ProjectedCrs</v>
      </c>
      <c r="H9316" t="str">
        <v>Sinusoidal</v>
      </c>
      <c r="I9316" t="str">
        <v>Hyperion (2015) - Sphere / Ocentric / Sinusoidal, clon = 180</v>
      </c>
      <c r="J9316" t="str">
        <v>Not specified.</v>
      </c>
      <c r="K9316" s="11">
        <v>0</v>
      </c>
    </row>
    <row r="9317" spans="5:11" x14ac:dyDescent="0.35">
      <c r="E9317" s="9" t="str">
        <v>IAU_2015</v>
      </c>
      <c r="F9317" s="7" t="str">
        <v>60730</v>
      </c>
      <c r="G9317" t="str">
        <v>ProjectedCrs</v>
      </c>
      <c r="H9317" t="str">
        <v>Polar Stereographic (variant A)</v>
      </c>
      <c r="I9317" t="str">
        <v>Hyperion (2015) - Sphere / Ocentric / North Polar</v>
      </c>
      <c r="J9317" t="str">
        <v>Not specified.</v>
      </c>
      <c r="K9317" s="11">
        <v>0</v>
      </c>
    </row>
    <row r="9318" spans="5:11" x14ac:dyDescent="0.35">
      <c r="E9318" s="9" t="str">
        <v>IAU_2015</v>
      </c>
      <c r="F9318" s="7" t="str">
        <v>60735</v>
      </c>
      <c r="G9318" t="str">
        <v>ProjectedCrs</v>
      </c>
      <c r="H9318" t="str">
        <v>Polar Stereographic (variant A)</v>
      </c>
      <c r="I9318" t="str">
        <v>Hyperion (2015) - Sphere / Ocentric / South Polar</v>
      </c>
      <c r="J9318" t="str">
        <v>Not specified.</v>
      </c>
      <c r="K9318" s="11">
        <v>0</v>
      </c>
    </row>
    <row r="9319" spans="5:11" x14ac:dyDescent="0.35">
      <c r="E9319" s="9" t="str">
        <v>IAU_2015</v>
      </c>
      <c r="F9319" s="7" t="str">
        <v>60740</v>
      </c>
      <c r="G9319" t="str">
        <v>ProjectedCrs</v>
      </c>
      <c r="H9319" t="str">
        <v>Mollweide</v>
      </c>
      <c r="I9319" t="str">
        <v>Hyperion (2015) - Sphere / Ocentric / Mollweide, clon = 0</v>
      </c>
      <c r="J9319" t="str">
        <v>Not specified.</v>
      </c>
      <c r="K9319" s="11">
        <v>0</v>
      </c>
    </row>
    <row r="9320" spans="5:11" x14ac:dyDescent="0.35">
      <c r="E9320" s="9" t="str">
        <v>IAU_2015</v>
      </c>
      <c r="F9320" s="7" t="str">
        <v>60745</v>
      </c>
      <c r="G9320" t="str">
        <v>ProjectedCrs</v>
      </c>
      <c r="H9320" t="str">
        <v>Mollweide</v>
      </c>
      <c r="I9320" t="str">
        <v>Hyperion (2015) - Sphere / Ocentric / Mollweide, clon = 180</v>
      </c>
      <c r="J9320" t="str">
        <v>Not specified.</v>
      </c>
      <c r="K9320" s="11">
        <v>0</v>
      </c>
    </row>
    <row r="9321" spans="5:11" x14ac:dyDescent="0.35">
      <c r="E9321" s="9" t="str">
        <v>IAU_2015</v>
      </c>
      <c r="F9321" s="7" t="str">
        <v>60750</v>
      </c>
      <c r="G9321" t="str">
        <v>ProjectedCrs</v>
      </c>
      <c r="H9321" t="str">
        <v>Robinson</v>
      </c>
      <c r="I9321" t="str">
        <v>Hyperion (2015) - Sphere / Ocentric / Robinson, clon = 0</v>
      </c>
      <c r="J9321" t="str">
        <v>Not specified.</v>
      </c>
      <c r="K9321" s="11">
        <v>0</v>
      </c>
    </row>
    <row r="9322" spans="5:11" x14ac:dyDescent="0.35">
      <c r="E9322" s="9" t="str">
        <v>IAU_2015</v>
      </c>
      <c r="F9322" s="7" t="str">
        <v>60755</v>
      </c>
      <c r="G9322" t="str">
        <v>ProjectedCrs</v>
      </c>
      <c r="H9322" t="str">
        <v>Robinson</v>
      </c>
      <c r="I9322" t="str">
        <v>Hyperion (2015) - Sphere / Ocentric / Robinson, clon = 180</v>
      </c>
      <c r="J9322" t="str">
        <v>Not specified.</v>
      </c>
      <c r="K9322" s="11">
        <v>0</v>
      </c>
    </row>
    <row r="9323" spans="5:11" x14ac:dyDescent="0.35">
      <c r="E9323" s="9" t="str">
        <v>IAU_2015</v>
      </c>
      <c r="F9323" s="7" t="str">
        <v>60760</v>
      </c>
      <c r="G9323" t="str">
        <v>ProjectedCrs</v>
      </c>
      <c r="H9323" t="str">
        <v>Transverse Mercator</v>
      </c>
      <c r="I9323" t="str">
        <v>Hyperion (2015) - Sphere / Ocentric / Tranverse Mercator</v>
      </c>
      <c r="J9323" t="str">
        <v>Not specified.</v>
      </c>
      <c r="K9323" s="11">
        <v>0</v>
      </c>
    </row>
    <row r="9324" spans="5:11" x14ac:dyDescent="0.35">
      <c r="E9324" s="9" t="str">
        <v>IAU_2015</v>
      </c>
      <c r="F9324" s="7" t="str">
        <v>60765</v>
      </c>
      <c r="G9324" t="str">
        <v>ProjectedCrs</v>
      </c>
      <c r="H9324" t="str">
        <v>Orthographic</v>
      </c>
      <c r="I9324" t="str">
        <v>Hyperion (2015) - Sphere / Ocentric / Orthographic, clon = 0</v>
      </c>
      <c r="J9324" t="str">
        <v>Not specified.</v>
      </c>
      <c r="K9324" s="11">
        <v>0</v>
      </c>
    </row>
    <row r="9325" spans="5:11" x14ac:dyDescent="0.35">
      <c r="E9325" s="9" t="str">
        <v>IAU_2015</v>
      </c>
      <c r="F9325" s="7" t="str">
        <v>60770</v>
      </c>
      <c r="G9325" t="str">
        <v>ProjectedCrs</v>
      </c>
      <c r="H9325" t="str">
        <v>Orthographic</v>
      </c>
      <c r="I9325" t="str">
        <v>Hyperion (2015) - Sphere / Ocentric / Orthographic, clon = 180</v>
      </c>
      <c r="J9325" t="str">
        <v>Not specified.</v>
      </c>
      <c r="K9325" s="11">
        <v>0</v>
      </c>
    </row>
    <row r="9326" spans="5:11" x14ac:dyDescent="0.35">
      <c r="E9326" s="9" t="str">
        <v>IAU_2015</v>
      </c>
      <c r="F9326" s="7" t="str">
        <v>60775</v>
      </c>
      <c r="G9326" t="str">
        <v>ProjectedCrs</v>
      </c>
      <c r="H9326" t="str">
        <v>Lambert Conic Conformal (2SP)</v>
      </c>
      <c r="I9326" t="str">
        <v>Hyperion (2015) - Sphere / Ocentric / Lambert Conic Conformal</v>
      </c>
      <c r="J9326" t="str">
        <v>Not specified.</v>
      </c>
      <c r="K9326" s="11">
        <v>0</v>
      </c>
    </row>
    <row r="9327" spans="5:11" x14ac:dyDescent="0.35">
      <c r="E9327" s="9" t="str">
        <v>IAU_2015</v>
      </c>
      <c r="F9327" s="7" t="str">
        <v>60780</v>
      </c>
      <c r="G9327" t="str">
        <v>ProjectedCrs</v>
      </c>
      <c r="H9327" t="str">
        <v>Lambert Azimuthal Equal Area</v>
      </c>
      <c r="I9327" t="str">
        <v>Hyperion (2015) - Sphere / Ocentric / Lambert Azimuthal Equal Area</v>
      </c>
      <c r="J9327" t="str">
        <v>Not specified.</v>
      </c>
      <c r="K9327" s="11">
        <v>0</v>
      </c>
    </row>
    <row r="9328" spans="5:11" x14ac:dyDescent="0.35">
      <c r="E9328" s="9" t="str">
        <v>IAU_2015</v>
      </c>
      <c r="F9328" s="7" t="str">
        <v>60785</v>
      </c>
      <c r="G9328" t="str">
        <v>ProjectedCrs</v>
      </c>
      <c r="H9328" t="str">
        <v>Albers Equal Area</v>
      </c>
      <c r="I9328" t="str">
        <v>Hyperion (2015) - Sphere / Ocentric / Albers Equal Area</v>
      </c>
      <c r="J9328" t="str">
        <v>Not specified.</v>
      </c>
      <c r="K9328" s="11">
        <v>0</v>
      </c>
    </row>
    <row r="9329" spans="5:11" x14ac:dyDescent="0.35">
      <c r="E9329" s="9" t="str">
        <v>IAU_2015</v>
      </c>
      <c r="F9329" s="7" t="str">
        <v>60790</v>
      </c>
      <c r="G9329" t="str">
        <v>ProjectedCrs</v>
      </c>
      <c r="H9329" t="str">
        <v>Mercator (Spherical)</v>
      </c>
      <c r="I9329" t="str">
        <v>Hyperion (2015) - Sphere / Ocentric / Mercator</v>
      </c>
      <c r="J9329" t="str">
        <v>Not specified.</v>
      </c>
      <c r="K9329" s="11">
        <v>0</v>
      </c>
    </row>
    <row r="9330" spans="5:11" x14ac:dyDescent="0.35">
      <c r="E9330" s="9" t="str">
        <v>IAU_2015</v>
      </c>
      <c r="F9330" s="7" t="str">
        <v>60800</v>
      </c>
      <c r="G9330" t="str">
        <v>Geographic2DCrs</v>
      </c>
      <c r="H9330" t="str">
        <v>&lt;undefined&gt;</v>
      </c>
      <c r="I9330" t="str">
        <v>Iapetus (2015) - Sphere / Ocentric</v>
      </c>
      <c r="J9330" t="str">
        <v>Not specified.</v>
      </c>
      <c r="K9330" s="11">
        <v>0</v>
      </c>
    </row>
    <row r="9331" spans="5:11" x14ac:dyDescent="0.35">
      <c r="E9331" s="9" t="str">
        <v>IAU_2015</v>
      </c>
      <c r="F9331" s="7" t="str">
        <v>60801</v>
      </c>
      <c r="G9331" t="str">
        <v>Geographic2DCrs</v>
      </c>
      <c r="H9331" t="str">
        <v>&lt;undefined&gt;</v>
      </c>
      <c r="I9331" t="str">
        <v>Iapetus (2015) / Ographic</v>
      </c>
      <c r="J9331" t="str">
        <v>Not specified.</v>
      </c>
      <c r="K9331" s="11">
        <v>0</v>
      </c>
    </row>
    <row r="9332" spans="5:11" x14ac:dyDescent="0.35">
      <c r="E9332" s="9" t="str">
        <v>IAU_2015</v>
      </c>
      <c r="F9332" s="7" t="str">
        <v>60802</v>
      </c>
      <c r="G9332" t="str">
        <v>GeodeticCrs</v>
      </c>
      <c r="H9332" t="str">
        <v>&lt;undefined&gt;</v>
      </c>
      <c r="I9332" t="str">
        <v>Iapetus (2015) / Ocentric</v>
      </c>
      <c r="J9332" t="str">
        <v>Not specified.</v>
      </c>
      <c r="K9332" s="11">
        <v>0</v>
      </c>
    </row>
    <row r="9333" spans="5:11" x14ac:dyDescent="0.35">
      <c r="E9333" s="9" t="str">
        <v>IAU_2015</v>
      </c>
      <c r="F9333" s="7" t="str">
        <v>60810</v>
      </c>
      <c r="G9333" t="str">
        <v>ProjectedCrs</v>
      </c>
      <c r="H9333" t="str">
        <v>Equidistant Cylindrical</v>
      </c>
      <c r="I9333" t="str">
        <v>Iapetus (2015) - Sphere / Ocentric / Equirectangular, clon = 0</v>
      </c>
      <c r="J9333" t="str">
        <v>Not specified.</v>
      </c>
      <c r="K9333" s="11">
        <v>0</v>
      </c>
    </row>
    <row r="9334" spans="5:11" x14ac:dyDescent="0.35">
      <c r="E9334" s="9" t="str">
        <v>IAU_2015</v>
      </c>
      <c r="F9334" s="7" t="str">
        <v>60811</v>
      </c>
      <c r="G9334" t="str">
        <v>ProjectedCrs</v>
      </c>
      <c r="H9334" t="str">
        <v>Equidistant Cylindrical</v>
      </c>
      <c r="I9334" t="str">
        <v>Iapetus (2015) / Ographic / Equirectangular, clon = 0</v>
      </c>
      <c r="J9334" t="str">
        <v>Not specified.</v>
      </c>
      <c r="K9334" s="11">
        <v>0</v>
      </c>
    </row>
    <row r="9335" spans="5:11" x14ac:dyDescent="0.35">
      <c r="E9335" s="9" t="str">
        <v>IAU_2015</v>
      </c>
      <c r="F9335" s="7" t="str">
        <v>60812</v>
      </c>
      <c r="G9335" t="str">
        <v>ProjectedCrs</v>
      </c>
      <c r="H9335" t="str">
        <v>Equidistant Cylindrical</v>
      </c>
      <c r="I9335" t="str">
        <v>Iapetus (2015) / Ocentric / Equirectangular, clon = 0</v>
      </c>
      <c r="J9335" t="str">
        <v>Not specified.</v>
      </c>
      <c r="K9335" s="11">
        <v>0</v>
      </c>
    </row>
    <row r="9336" spans="5:11" x14ac:dyDescent="0.35">
      <c r="E9336" s="9" t="str">
        <v>IAU_2015</v>
      </c>
      <c r="F9336" s="7" t="str">
        <v>60815</v>
      </c>
      <c r="G9336" t="str">
        <v>ProjectedCrs</v>
      </c>
      <c r="H9336" t="str">
        <v>Equidistant Cylindrical</v>
      </c>
      <c r="I9336" t="str">
        <v>Iapetus (2015) - Sphere / Ocentric / Equirectangular, clon = 180</v>
      </c>
      <c r="J9336" t="str">
        <v>Not specified.</v>
      </c>
      <c r="K9336" s="11">
        <v>0</v>
      </c>
    </row>
    <row r="9337" spans="5:11" x14ac:dyDescent="0.35">
      <c r="E9337" s="9" t="str">
        <v>IAU_2015</v>
      </c>
      <c r="F9337" s="7" t="str">
        <v>60816</v>
      </c>
      <c r="G9337" t="str">
        <v>ProjectedCrs</v>
      </c>
      <c r="H9337" t="str">
        <v>Equidistant Cylindrical</v>
      </c>
      <c r="I9337" t="str">
        <v>Iapetus (2015) / Ographic / Equirectangular, clon = 180</v>
      </c>
      <c r="J9337" t="str">
        <v>Not specified.</v>
      </c>
      <c r="K9337" s="11">
        <v>0</v>
      </c>
    </row>
    <row r="9338" spans="5:11" x14ac:dyDescent="0.35">
      <c r="E9338" s="9" t="str">
        <v>IAU_2015</v>
      </c>
      <c r="F9338" s="7" t="str">
        <v>60817</v>
      </c>
      <c r="G9338" t="str">
        <v>ProjectedCrs</v>
      </c>
      <c r="H9338" t="str">
        <v>Equidistant Cylindrical</v>
      </c>
      <c r="I9338" t="str">
        <v>Iapetus (2015) / Ocentric / Equirectangular, clon = 180</v>
      </c>
      <c r="J9338" t="str">
        <v>Not specified.</v>
      </c>
      <c r="K9338" s="11">
        <v>0</v>
      </c>
    </row>
    <row r="9339" spans="5:11" x14ac:dyDescent="0.35">
      <c r="E9339" s="9" t="str">
        <v>IAU_2015</v>
      </c>
      <c r="F9339" s="7" t="str">
        <v>60820</v>
      </c>
      <c r="G9339" t="str">
        <v>ProjectedCrs</v>
      </c>
      <c r="H9339" t="str">
        <v>Sinusoidal</v>
      </c>
      <c r="I9339" t="str">
        <v>Iapetus (2015) - Sphere / Ocentric / Sinusoidal, clon = 0</v>
      </c>
      <c r="J9339" t="str">
        <v>Not specified.</v>
      </c>
      <c r="K9339" s="11">
        <v>0</v>
      </c>
    </row>
    <row r="9340" spans="5:11" x14ac:dyDescent="0.35">
      <c r="E9340" s="9" t="str">
        <v>IAU_2015</v>
      </c>
      <c r="F9340" s="7" t="str">
        <v>60821</v>
      </c>
      <c r="G9340" t="str">
        <v>ProjectedCrs</v>
      </c>
      <c r="H9340" t="str">
        <v>Sinusoidal</v>
      </c>
      <c r="I9340" t="str">
        <v>Iapetus (2015) / Ographic / Sinusoidal, clon = 0</v>
      </c>
      <c r="J9340" t="str">
        <v>Not specified.</v>
      </c>
      <c r="K9340" s="11">
        <v>0</v>
      </c>
    </row>
    <row r="9341" spans="5:11" x14ac:dyDescent="0.35">
      <c r="E9341" s="9" t="str">
        <v>IAU_2015</v>
      </c>
      <c r="F9341" s="7" t="str">
        <v>60822</v>
      </c>
      <c r="G9341" t="str">
        <v>ProjectedCrs</v>
      </c>
      <c r="H9341" t="str">
        <v>Sinusoidal</v>
      </c>
      <c r="I9341" t="str">
        <v>Iapetus (2015) / Ocentric / Sinusoidal, clon = 0</v>
      </c>
      <c r="J9341" t="str">
        <v>Not specified.</v>
      </c>
      <c r="K9341" s="11">
        <v>0</v>
      </c>
    </row>
    <row r="9342" spans="5:11" x14ac:dyDescent="0.35">
      <c r="E9342" s="9" t="str">
        <v>IAU_2015</v>
      </c>
      <c r="F9342" s="7" t="str">
        <v>60825</v>
      </c>
      <c r="G9342" t="str">
        <v>ProjectedCrs</v>
      </c>
      <c r="H9342" t="str">
        <v>Sinusoidal</v>
      </c>
      <c r="I9342" t="str">
        <v>Iapetus (2015) - Sphere / Ocentric / Sinusoidal, clon = 180</v>
      </c>
      <c r="J9342" t="str">
        <v>Not specified.</v>
      </c>
      <c r="K9342" s="11">
        <v>0</v>
      </c>
    </row>
    <row r="9343" spans="5:11" x14ac:dyDescent="0.35">
      <c r="E9343" s="9" t="str">
        <v>IAU_2015</v>
      </c>
      <c r="F9343" s="7" t="str">
        <v>60826</v>
      </c>
      <c r="G9343" t="str">
        <v>ProjectedCrs</v>
      </c>
      <c r="H9343" t="str">
        <v>Sinusoidal</v>
      </c>
      <c r="I9343" t="str">
        <v>Iapetus (2015) / Ographic / Sinusoidal, clon = 180</v>
      </c>
      <c r="J9343" t="str">
        <v>Not specified.</v>
      </c>
      <c r="K9343" s="11">
        <v>0</v>
      </c>
    </row>
    <row r="9344" spans="5:11" x14ac:dyDescent="0.35">
      <c r="E9344" s="9" t="str">
        <v>IAU_2015</v>
      </c>
      <c r="F9344" s="7" t="str">
        <v>60827</v>
      </c>
      <c r="G9344" t="str">
        <v>ProjectedCrs</v>
      </c>
      <c r="H9344" t="str">
        <v>Sinusoidal</v>
      </c>
      <c r="I9344" t="str">
        <v>Iapetus (2015) / Ocentric / Sinusoidal, clon = 180</v>
      </c>
      <c r="J9344" t="str">
        <v>Not specified.</v>
      </c>
      <c r="K9344" s="11">
        <v>0</v>
      </c>
    </row>
    <row r="9345" spans="5:11" x14ac:dyDescent="0.35">
      <c r="E9345" s="9" t="str">
        <v>IAU_2015</v>
      </c>
      <c r="F9345" s="7" t="str">
        <v>60830</v>
      </c>
      <c r="G9345" t="str">
        <v>ProjectedCrs</v>
      </c>
      <c r="H9345" t="str">
        <v>Polar Stereographic (variant A)</v>
      </c>
      <c r="I9345" t="str">
        <v>Iapetus (2015) - Sphere / Ocentric / North Polar</v>
      </c>
      <c r="J9345" t="str">
        <v>Not specified.</v>
      </c>
      <c r="K9345" s="11">
        <v>0</v>
      </c>
    </row>
    <row r="9346" spans="5:11" x14ac:dyDescent="0.35">
      <c r="E9346" s="9" t="str">
        <v>IAU_2015</v>
      </c>
      <c r="F9346" s="7" t="str">
        <v>60831</v>
      </c>
      <c r="G9346" t="str">
        <v>ProjectedCrs</v>
      </c>
      <c r="H9346" t="str">
        <v>Polar Stereographic (variant A)</v>
      </c>
      <c r="I9346" t="str">
        <v>Iapetus (2015) / Ographic / North Polar</v>
      </c>
      <c r="J9346" t="str">
        <v>Not specified.</v>
      </c>
      <c r="K9346" s="11">
        <v>0</v>
      </c>
    </row>
    <row r="9347" spans="5:11" x14ac:dyDescent="0.35">
      <c r="E9347" s="9" t="str">
        <v>IAU_2015</v>
      </c>
      <c r="F9347" s="7" t="str">
        <v>60832</v>
      </c>
      <c r="G9347" t="str">
        <v>ProjectedCrs</v>
      </c>
      <c r="H9347" t="str">
        <v>Polar Stereographic (variant A)</v>
      </c>
      <c r="I9347" t="str">
        <v>Iapetus (2015) / Ocentric / North Polar</v>
      </c>
      <c r="J9347" t="str">
        <v>Not specified.</v>
      </c>
      <c r="K9347" s="11">
        <v>0</v>
      </c>
    </row>
    <row r="9348" spans="5:11" x14ac:dyDescent="0.35">
      <c r="E9348" s="9" t="str">
        <v>IAU_2015</v>
      </c>
      <c r="F9348" s="7" t="str">
        <v>60835</v>
      </c>
      <c r="G9348" t="str">
        <v>ProjectedCrs</v>
      </c>
      <c r="H9348" t="str">
        <v>Polar Stereographic (variant A)</v>
      </c>
      <c r="I9348" t="str">
        <v>Iapetus (2015) - Sphere / Ocentric / South Polar</v>
      </c>
      <c r="J9348" t="str">
        <v>Not specified.</v>
      </c>
      <c r="K9348" s="11">
        <v>0</v>
      </c>
    </row>
    <row r="9349" spans="5:11" x14ac:dyDescent="0.35">
      <c r="E9349" s="9" t="str">
        <v>IAU_2015</v>
      </c>
      <c r="F9349" s="7" t="str">
        <v>60836</v>
      </c>
      <c r="G9349" t="str">
        <v>ProjectedCrs</v>
      </c>
      <c r="H9349" t="str">
        <v>Polar Stereographic (variant A)</v>
      </c>
      <c r="I9349" t="str">
        <v>Iapetus (2015) / Ographic / South Polar</v>
      </c>
      <c r="J9349" t="str">
        <v>Not specified.</v>
      </c>
      <c r="K9349" s="11">
        <v>0</v>
      </c>
    </row>
    <row r="9350" spans="5:11" x14ac:dyDescent="0.35">
      <c r="E9350" s="9" t="str">
        <v>IAU_2015</v>
      </c>
      <c r="F9350" s="7" t="str">
        <v>60837</v>
      </c>
      <c r="G9350" t="str">
        <v>ProjectedCrs</v>
      </c>
      <c r="H9350" t="str">
        <v>Polar Stereographic (variant A)</v>
      </c>
      <c r="I9350" t="str">
        <v>Iapetus (2015) / Ocentric / South Polar</v>
      </c>
      <c r="J9350" t="str">
        <v>Not specified.</v>
      </c>
      <c r="K9350" s="11">
        <v>0</v>
      </c>
    </row>
    <row r="9351" spans="5:11" x14ac:dyDescent="0.35">
      <c r="E9351" s="9" t="str">
        <v>IAU_2015</v>
      </c>
      <c r="F9351" s="7" t="str">
        <v>60840</v>
      </c>
      <c r="G9351" t="str">
        <v>ProjectedCrs</v>
      </c>
      <c r="H9351" t="str">
        <v>Mollweide</v>
      </c>
      <c r="I9351" t="str">
        <v>Iapetus (2015) - Sphere / Ocentric / Mollweide, clon = 0</v>
      </c>
      <c r="J9351" t="str">
        <v>Not specified.</v>
      </c>
      <c r="K9351" s="11">
        <v>0</v>
      </c>
    </row>
    <row r="9352" spans="5:11" x14ac:dyDescent="0.35">
      <c r="E9352" s="9" t="str">
        <v>IAU_2015</v>
      </c>
      <c r="F9352" s="7" t="str">
        <v>60841</v>
      </c>
      <c r="G9352" t="str">
        <v>ProjectedCrs</v>
      </c>
      <c r="H9352" t="str">
        <v>Mollweide</v>
      </c>
      <c r="I9352" t="str">
        <v>Iapetus (2015) / Ographic / Mollweide, clon = 0</v>
      </c>
      <c r="J9352" t="str">
        <v>Not specified.</v>
      </c>
      <c r="K9352" s="11">
        <v>0</v>
      </c>
    </row>
    <row r="9353" spans="5:11" x14ac:dyDescent="0.35">
      <c r="E9353" s="9" t="str">
        <v>IAU_2015</v>
      </c>
      <c r="F9353" s="7" t="str">
        <v>60842</v>
      </c>
      <c r="G9353" t="str">
        <v>ProjectedCrs</v>
      </c>
      <c r="H9353" t="str">
        <v>Mollweide</v>
      </c>
      <c r="I9353" t="str">
        <v>Iapetus (2015) / Ocentric / Mollweide, clon = 0</v>
      </c>
      <c r="J9353" t="str">
        <v>Not specified.</v>
      </c>
      <c r="K9353" s="11">
        <v>0</v>
      </c>
    </row>
    <row r="9354" spans="5:11" x14ac:dyDescent="0.35">
      <c r="E9354" s="9" t="str">
        <v>IAU_2015</v>
      </c>
      <c r="F9354" s="7" t="str">
        <v>60845</v>
      </c>
      <c r="G9354" t="str">
        <v>ProjectedCrs</v>
      </c>
      <c r="H9354" t="str">
        <v>Mollweide</v>
      </c>
      <c r="I9354" t="str">
        <v>Iapetus (2015) - Sphere / Ocentric / Mollweide, clon = 180</v>
      </c>
      <c r="J9354" t="str">
        <v>Not specified.</v>
      </c>
      <c r="K9354" s="11">
        <v>0</v>
      </c>
    </row>
    <row r="9355" spans="5:11" x14ac:dyDescent="0.35">
      <c r="E9355" s="9" t="str">
        <v>IAU_2015</v>
      </c>
      <c r="F9355" s="7" t="str">
        <v>60846</v>
      </c>
      <c r="G9355" t="str">
        <v>ProjectedCrs</v>
      </c>
      <c r="H9355" t="str">
        <v>Mollweide</v>
      </c>
      <c r="I9355" t="str">
        <v>Iapetus (2015) / Ographic / Mollweide, clon = 180</v>
      </c>
      <c r="J9355" t="str">
        <v>Not specified.</v>
      </c>
      <c r="K9355" s="11">
        <v>0</v>
      </c>
    </row>
    <row r="9356" spans="5:11" x14ac:dyDescent="0.35">
      <c r="E9356" s="9" t="str">
        <v>IAU_2015</v>
      </c>
      <c r="F9356" s="7" t="str">
        <v>60847</v>
      </c>
      <c r="G9356" t="str">
        <v>ProjectedCrs</v>
      </c>
      <c r="H9356" t="str">
        <v>Mollweide</v>
      </c>
      <c r="I9356" t="str">
        <v>Iapetus (2015) / Ocentric / Mollweide, clon = 180</v>
      </c>
      <c r="J9356" t="str">
        <v>Not specified.</v>
      </c>
      <c r="K9356" s="11">
        <v>0</v>
      </c>
    </row>
    <row r="9357" spans="5:11" x14ac:dyDescent="0.35">
      <c r="E9357" s="9" t="str">
        <v>IAU_2015</v>
      </c>
      <c r="F9357" s="7" t="str">
        <v>60850</v>
      </c>
      <c r="G9357" t="str">
        <v>ProjectedCrs</v>
      </c>
      <c r="H9357" t="str">
        <v>Robinson</v>
      </c>
      <c r="I9357" t="str">
        <v>Iapetus (2015) - Sphere / Ocentric / Robinson, clon = 0</v>
      </c>
      <c r="J9357" t="str">
        <v>Not specified.</v>
      </c>
      <c r="K9357" s="11">
        <v>0</v>
      </c>
    </row>
    <row r="9358" spans="5:11" x14ac:dyDescent="0.35">
      <c r="E9358" s="9" t="str">
        <v>IAU_2015</v>
      </c>
      <c r="F9358" s="7" t="str">
        <v>60851</v>
      </c>
      <c r="G9358" t="str">
        <v>ProjectedCrs</v>
      </c>
      <c r="H9358" t="str">
        <v>Robinson</v>
      </c>
      <c r="I9358" t="str">
        <v>Iapetus (2015) / Ographic / Robinson, clon = 0</v>
      </c>
      <c r="J9358" t="str">
        <v>Not specified.</v>
      </c>
      <c r="K9358" s="11">
        <v>0</v>
      </c>
    </row>
    <row r="9359" spans="5:11" x14ac:dyDescent="0.35">
      <c r="E9359" s="9" t="str">
        <v>IAU_2015</v>
      </c>
      <c r="F9359" s="7" t="str">
        <v>60852</v>
      </c>
      <c r="G9359" t="str">
        <v>ProjectedCrs</v>
      </c>
      <c r="H9359" t="str">
        <v>Robinson</v>
      </c>
      <c r="I9359" t="str">
        <v>Iapetus (2015) / Ocentric / Robinson, clon = 0</v>
      </c>
      <c r="J9359" t="str">
        <v>Not specified.</v>
      </c>
      <c r="K9359" s="11">
        <v>0</v>
      </c>
    </row>
    <row r="9360" spans="5:11" x14ac:dyDescent="0.35">
      <c r="E9360" s="9" t="str">
        <v>IAU_2015</v>
      </c>
      <c r="F9360" s="7" t="str">
        <v>60855</v>
      </c>
      <c r="G9360" t="str">
        <v>ProjectedCrs</v>
      </c>
      <c r="H9360" t="str">
        <v>Robinson</v>
      </c>
      <c r="I9360" t="str">
        <v>Iapetus (2015) - Sphere / Ocentric / Robinson, clon = 180</v>
      </c>
      <c r="J9360" t="str">
        <v>Not specified.</v>
      </c>
      <c r="K9360" s="11">
        <v>0</v>
      </c>
    </row>
    <row r="9361" spans="5:11" x14ac:dyDescent="0.35">
      <c r="E9361" s="9" t="str">
        <v>IAU_2015</v>
      </c>
      <c r="F9361" s="7" t="str">
        <v>60856</v>
      </c>
      <c r="G9361" t="str">
        <v>ProjectedCrs</v>
      </c>
      <c r="H9361" t="str">
        <v>Robinson</v>
      </c>
      <c r="I9361" t="str">
        <v>Iapetus (2015) / Ographic / Robinson, clon = 180</v>
      </c>
      <c r="J9361" t="str">
        <v>Not specified.</v>
      </c>
      <c r="K9361" s="11">
        <v>0</v>
      </c>
    </row>
    <row r="9362" spans="5:11" x14ac:dyDescent="0.35">
      <c r="E9362" s="9" t="str">
        <v>IAU_2015</v>
      </c>
      <c r="F9362" s="7" t="str">
        <v>60857</v>
      </c>
      <c r="G9362" t="str">
        <v>ProjectedCrs</v>
      </c>
      <c r="H9362" t="str">
        <v>Robinson</v>
      </c>
      <c r="I9362" t="str">
        <v>Iapetus (2015) / Ocentric / Robinson, clon = 180</v>
      </c>
      <c r="J9362" t="str">
        <v>Not specified.</v>
      </c>
      <c r="K9362" s="11">
        <v>0</v>
      </c>
    </row>
    <row r="9363" spans="5:11" x14ac:dyDescent="0.35">
      <c r="E9363" s="9" t="str">
        <v>IAU_2015</v>
      </c>
      <c r="F9363" s="7" t="str">
        <v>60860</v>
      </c>
      <c r="G9363" t="str">
        <v>ProjectedCrs</v>
      </c>
      <c r="H9363" t="str">
        <v>Transverse Mercator</v>
      </c>
      <c r="I9363" t="str">
        <v>Iapetus (2015) - Sphere / Ocentric / Tranverse Mercator</v>
      </c>
      <c r="J9363" t="str">
        <v>Not specified.</v>
      </c>
      <c r="K9363" s="11">
        <v>0</v>
      </c>
    </row>
    <row r="9364" spans="5:11" x14ac:dyDescent="0.35">
      <c r="E9364" s="9" t="str">
        <v>IAU_2015</v>
      </c>
      <c r="F9364" s="7" t="str">
        <v>60861</v>
      </c>
      <c r="G9364" t="str">
        <v>ProjectedCrs</v>
      </c>
      <c r="H9364" t="str">
        <v>Transverse Mercator</v>
      </c>
      <c r="I9364" t="str">
        <v>Iapetus (2015) / Ographic / Tranverse Mercator</v>
      </c>
      <c r="J9364" t="str">
        <v>Not specified.</v>
      </c>
      <c r="K9364" s="11">
        <v>0</v>
      </c>
    </row>
    <row r="9365" spans="5:11" x14ac:dyDescent="0.35">
      <c r="E9365" s="9" t="str">
        <v>IAU_2015</v>
      </c>
      <c r="F9365" s="7" t="str">
        <v>60862</v>
      </c>
      <c r="G9365" t="str">
        <v>ProjectedCrs</v>
      </c>
      <c r="H9365" t="str">
        <v>Transverse Mercator</v>
      </c>
      <c r="I9365" t="str">
        <v>Iapetus (2015) / Ocentric / Tranverse Mercator</v>
      </c>
      <c r="J9365" t="str">
        <v>Not specified.</v>
      </c>
      <c r="K9365" s="11">
        <v>0</v>
      </c>
    </row>
    <row r="9366" spans="5:11" x14ac:dyDescent="0.35">
      <c r="E9366" s="9" t="str">
        <v>IAU_2015</v>
      </c>
      <c r="F9366" s="7" t="str">
        <v>60865</v>
      </c>
      <c r="G9366" t="str">
        <v>ProjectedCrs</v>
      </c>
      <c r="H9366" t="str">
        <v>Orthographic</v>
      </c>
      <c r="I9366" t="str">
        <v>Iapetus (2015) - Sphere / Ocentric / Orthographic, clon = 0</v>
      </c>
      <c r="J9366" t="str">
        <v>Not specified.</v>
      </c>
      <c r="K9366" s="11">
        <v>0</v>
      </c>
    </row>
    <row r="9367" spans="5:11" x14ac:dyDescent="0.35">
      <c r="E9367" s="9" t="str">
        <v>IAU_2015</v>
      </c>
      <c r="F9367" s="7" t="str">
        <v>60866</v>
      </c>
      <c r="G9367" t="str">
        <v>ProjectedCrs</v>
      </c>
      <c r="H9367" t="str">
        <v>Orthographic</v>
      </c>
      <c r="I9367" t="str">
        <v>Iapetus (2015) / Ographic / Orthographic, clon = 0</v>
      </c>
      <c r="J9367" t="str">
        <v>Not specified.</v>
      </c>
      <c r="K9367" s="11">
        <v>0</v>
      </c>
    </row>
    <row r="9368" spans="5:11" x14ac:dyDescent="0.35">
      <c r="E9368" s="9" t="str">
        <v>IAU_2015</v>
      </c>
      <c r="F9368" s="7" t="str">
        <v>60867</v>
      </c>
      <c r="G9368" t="str">
        <v>ProjectedCrs</v>
      </c>
      <c r="H9368" t="str">
        <v>Orthographic</v>
      </c>
      <c r="I9368" t="str">
        <v>Iapetus (2015) / Ocentric / Orthographic, clon = 0</v>
      </c>
      <c r="J9368" t="str">
        <v>Not specified.</v>
      </c>
      <c r="K9368" s="11">
        <v>0</v>
      </c>
    </row>
    <row r="9369" spans="5:11" x14ac:dyDescent="0.35">
      <c r="E9369" s="9" t="str">
        <v>IAU_2015</v>
      </c>
      <c r="F9369" s="7" t="str">
        <v>60870</v>
      </c>
      <c r="G9369" t="str">
        <v>ProjectedCrs</v>
      </c>
      <c r="H9369" t="str">
        <v>Orthographic</v>
      </c>
      <c r="I9369" t="str">
        <v>Iapetus (2015) - Sphere / Ocentric / Orthographic, clon = 180</v>
      </c>
      <c r="J9369" t="str">
        <v>Not specified.</v>
      </c>
      <c r="K9369" s="11">
        <v>0</v>
      </c>
    </row>
    <row r="9370" spans="5:11" x14ac:dyDescent="0.35">
      <c r="E9370" s="9" t="str">
        <v>IAU_2015</v>
      </c>
      <c r="F9370" s="7" t="str">
        <v>60871</v>
      </c>
      <c r="G9370" t="str">
        <v>ProjectedCrs</v>
      </c>
      <c r="H9370" t="str">
        <v>Orthographic</v>
      </c>
      <c r="I9370" t="str">
        <v>Iapetus (2015) / Ographic / Orthographic, clon = 180</v>
      </c>
      <c r="J9370" t="str">
        <v>Not specified.</v>
      </c>
      <c r="K9370" s="11">
        <v>0</v>
      </c>
    </row>
    <row r="9371" spans="5:11" x14ac:dyDescent="0.35">
      <c r="E9371" s="9" t="str">
        <v>IAU_2015</v>
      </c>
      <c r="F9371" s="7" t="str">
        <v>60872</v>
      </c>
      <c r="G9371" t="str">
        <v>ProjectedCrs</v>
      </c>
      <c r="H9371" t="str">
        <v>Orthographic</v>
      </c>
      <c r="I9371" t="str">
        <v>Iapetus (2015) / Ocentric / Orthographic, clon = 180</v>
      </c>
      <c r="J9371" t="str">
        <v>Not specified.</v>
      </c>
      <c r="K9371" s="11">
        <v>0</v>
      </c>
    </row>
    <row r="9372" spans="5:11" x14ac:dyDescent="0.35">
      <c r="E9372" s="9" t="str">
        <v>IAU_2015</v>
      </c>
      <c r="F9372" s="7" t="str">
        <v>60875</v>
      </c>
      <c r="G9372" t="str">
        <v>ProjectedCrs</v>
      </c>
      <c r="H9372" t="str">
        <v>Lambert Conic Conformal (2SP)</v>
      </c>
      <c r="I9372" t="str">
        <v>Iapetus (2015) - Sphere / Ocentric / Lambert Conic Conformal</v>
      </c>
      <c r="J9372" t="str">
        <v>Not specified.</v>
      </c>
      <c r="K9372" s="11">
        <v>0</v>
      </c>
    </row>
    <row r="9373" spans="5:11" x14ac:dyDescent="0.35">
      <c r="E9373" s="9" t="str">
        <v>IAU_2015</v>
      </c>
      <c r="F9373" s="7" t="str">
        <v>60876</v>
      </c>
      <c r="G9373" t="str">
        <v>ProjectedCrs</v>
      </c>
      <c r="H9373" t="str">
        <v>Lambert Conic Conformal (2SP)</v>
      </c>
      <c r="I9373" t="str">
        <v>Iapetus (2015) / Ographic / Lambert Conic Conformal</v>
      </c>
      <c r="J9373" t="str">
        <v>Not specified.</v>
      </c>
      <c r="K9373" s="11">
        <v>0</v>
      </c>
    </row>
    <row r="9374" spans="5:11" x14ac:dyDescent="0.35">
      <c r="E9374" s="9" t="str">
        <v>IAU_2015</v>
      </c>
      <c r="F9374" s="7" t="str">
        <v>60877</v>
      </c>
      <c r="G9374" t="str">
        <v>ProjectedCrs</v>
      </c>
      <c r="H9374" t="str">
        <v>Lambert Conic Conformal (2SP)</v>
      </c>
      <c r="I9374" t="str">
        <v>Iapetus (2015) / Ocentric / Lambert Conic Conformal</v>
      </c>
      <c r="J9374" t="str">
        <v>Not specified.</v>
      </c>
      <c r="K9374" s="11">
        <v>0</v>
      </c>
    </row>
    <row r="9375" spans="5:11" x14ac:dyDescent="0.35">
      <c r="E9375" s="9" t="str">
        <v>IAU_2015</v>
      </c>
      <c r="F9375" s="7" t="str">
        <v>60880</v>
      </c>
      <c r="G9375" t="str">
        <v>ProjectedCrs</v>
      </c>
      <c r="H9375" t="str">
        <v>Lambert Azimuthal Equal Area</v>
      </c>
      <c r="I9375" t="str">
        <v>Iapetus (2015) - Sphere / Ocentric / Lambert Azimuthal Equal Area</v>
      </c>
      <c r="J9375" t="str">
        <v>Not specified.</v>
      </c>
      <c r="K9375" s="11">
        <v>0</v>
      </c>
    </row>
    <row r="9376" spans="5:11" x14ac:dyDescent="0.35">
      <c r="E9376" s="9" t="str">
        <v>IAU_2015</v>
      </c>
      <c r="F9376" s="7" t="str">
        <v>60881</v>
      </c>
      <c r="G9376" t="str">
        <v>ProjectedCrs</v>
      </c>
      <c r="H9376" t="str">
        <v>Lambert Azimuthal Equal Area</v>
      </c>
      <c r="I9376" t="str">
        <v>Iapetus (2015) / Ographic / Lambert Azimuthal Equal Area</v>
      </c>
      <c r="J9376" t="str">
        <v>Not specified.</v>
      </c>
      <c r="K9376" s="11">
        <v>0</v>
      </c>
    </row>
    <row r="9377" spans="5:11" x14ac:dyDescent="0.35">
      <c r="E9377" s="9" t="str">
        <v>IAU_2015</v>
      </c>
      <c r="F9377" s="7" t="str">
        <v>60882</v>
      </c>
      <c r="G9377" t="str">
        <v>ProjectedCrs</v>
      </c>
      <c r="H9377" t="str">
        <v>Lambert Azimuthal Equal Area</v>
      </c>
      <c r="I9377" t="str">
        <v>Iapetus (2015) / Ocentric / Lambert Azimuthal Equal Area</v>
      </c>
      <c r="J9377" t="str">
        <v>Not specified.</v>
      </c>
      <c r="K9377" s="11">
        <v>0</v>
      </c>
    </row>
    <row r="9378" spans="5:11" x14ac:dyDescent="0.35">
      <c r="E9378" s="9" t="str">
        <v>IAU_2015</v>
      </c>
      <c r="F9378" s="7" t="str">
        <v>60885</v>
      </c>
      <c r="G9378" t="str">
        <v>ProjectedCrs</v>
      </c>
      <c r="H9378" t="str">
        <v>Albers Equal Area</v>
      </c>
      <c r="I9378" t="str">
        <v>Iapetus (2015) - Sphere / Ocentric / Albers Equal Area</v>
      </c>
      <c r="J9378" t="str">
        <v>Not specified.</v>
      </c>
      <c r="K9378" s="11">
        <v>0</v>
      </c>
    </row>
    <row r="9379" spans="5:11" x14ac:dyDescent="0.35">
      <c r="E9379" s="9" t="str">
        <v>IAU_2015</v>
      </c>
      <c r="F9379" s="7" t="str">
        <v>60886</v>
      </c>
      <c r="G9379" t="str">
        <v>ProjectedCrs</v>
      </c>
      <c r="H9379" t="str">
        <v>Albers Equal Area</v>
      </c>
      <c r="I9379" t="str">
        <v>Iapetus (2015) / Ographic / Albers Equal Area</v>
      </c>
      <c r="J9379" t="str">
        <v>Not specified.</v>
      </c>
      <c r="K9379" s="11">
        <v>0</v>
      </c>
    </row>
    <row r="9380" spans="5:11" x14ac:dyDescent="0.35">
      <c r="E9380" s="9" t="str">
        <v>IAU_2015</v>
      </c>
      <c r="F9380" s="7" t="str">
        <v>60887</v>
      </c>
      <c r="G9380" t="str">
        <v>ProjectedCrs</v>
      </c>
      <c r="H9380" t="str">
        <v>Albers Equal Area</v>
      </c>
      <c r="I9380" t="str">
        <v>Iapetus (2015) / Ocentric / Albers Equal Area</v>
      </c>
      <c r="J9380" t="str">
        <v>Not specified.</v>
      </c>
      <c r="K9380" s="11">
        <v>0</v>
      </c>
    </row>
    <row r="9381" spans="5:11" x14ac:dyDescent="0.35">
      <c r="E9381" s="9" t="str">
        <v>IAU_2015</v>
      </c>
      <c r="F9381" s="7" t="str">
        <v>60890</v>
      </c>
      <c r="G9381" t="str">
        <v>ProjectedCrs</v>
      </c>
      <c r="H9381" t="str">
        <v>Mercator (Spherical)</v>
      </c>
      <c r="I9381" t="str">
        <v>Iapetus (2015) - Sphere / Ocentric / Mercator</v>
      </c>
      <c r="J9381" t="str">
        <v>Not specified.</v>
      </c>
      <c r="K9381" s="11">
        <v>0</v>
      </c>
    </row>
    <row r="9382" spans="5:11" x14ac:dyDescent="0.35">
      <c r="E9382" s="9" t="str">
        <v>IAU_2015</v>
      </c>
      <c r="F9382" s="7" t="str">
        <v>60891</v>
      </c>
      <c r="G9382" t="str">
        <v>ProjectedCrs</v>
      </c>
      <c r="H9382" t="str">
        <v>Mercator (Spherical)</v>
      </c>
      <c r="I9382" t="str">
        <v>Iapetus (2015) / Ographic / Mercator</v>
      </c>
      <c r="J9382" t="str">
        <v>Not specified.</v>
      </c>
      <c r="K9382" s="11">
        <v>0</v>
      </c>
    </row>
    <row r="9383" spans="5:11" x14ac:dyDescent="0.35">
      <c r="E9383" s="9" t="str">
        <v>IAU_2015</v>
      </c>
      <c r="F9383" s="7" t="str">
        <v>60892</v>
      </c>
      <c r="G9383" t="str">
        <v>ProjectedCrs</v>
      </c>
      <c r="H9383" t="str">
        <v>Mercator (Spherical)</v>
      </c>
      <c r="I9383" t="str">
        <v>Iapetus (2015) / Ocentric / Mercator</v>
      </c>
      <c r="J9383" t="str">
        <v>Not specified.</v>
      </c>
      <c r="K9383" s="11">
        <v>0</v>
      </c>
    </row>
    <row r="9384" spans="5:11" x14ac:dyDescent="0.35">
      <c r="E9384" s="9" t="str">
        <v>IAU_2015</v>
      </c>
      <c r="F9384" s="7" t="str">
        <v>60900</v>
      </c>
      <c r="G9384" t="str">
        <v>Geographic2DCrs</v>
      </c>
      <c r="H9384" t="str">
        <v>&lt;undefined&gt;</v>
      </c>
      <c r="I9384" t="str">
        <v>Phoebe (2015) - Sphere / Ocentric</v>
      </c>
      <c r="J9384" t="str">
        <v>Not specified.</v>
      </c>
      <c r="K9384" s="11">
        <v>0</v>
      </c>
    </row>
    <row r="9385" spans="5:11" x14ac:dyDescent="0.35">
      <c r="E9385" s="9" t="str">
        <v>IAU_2015</v>
      </c>
      <c r="F9385" s="7" t="str">
        <v>60910</v>
      </c>
      <c r="G9385" t="str">
        <v>ProjectedCrs</v>
      </c>
      <c r="H9385" t="str">
        <v>Equidistant Cylindrical</v>
      </c>
      <c r="I9385" t="str">
        <v>Phoebe (2015) - Sphere / Ocentric / Equirectangular, clon = 0</v>
      </c>
      <c r="J9385" t="str">
        <v>Not specified.</v>
      </c>
      <c r="K9385" s="11">
        <v>0</v>
      </c>
    </row>
    <row r="9386" spans="5:11" x14ac:dyDescent="0.35">
      <c r="E9386" s="9" t="str">
        <v>IAU_2015</v>
      </c>
      <c r="F9386" s="7" t="str">
        <v>60915</v>
      </c>
      <c r="G9386" t="str">
        <v>ProjectedCrs</v>
      </c>
      <c r="H9386" t="str">
        <v>Equidistant Cylindrical</v>
      </c>
      <c r="I9386" t="str">
        <v>Phoebe (2015) - Sphere / Ocentric / Equirectangular, clon = 180</v>
      </c>
      <c r="J9386" t="str">
        <v>Not specified.</v>
      </c>
      <c r="K9386" s="11">
        <v>0</v>
      </c>
    </row>
    <row r="9387" spans="5:11" x14ac:dyDescent="0.35">
      <c r="E9387" s="9" t="str">
        <v>IAU_2015</v>
      </c>
      <c r="F9387" s="7" t="str">
        <v>60920</v>
      </c>
      <c r="G9387" t="str">
        <v>ProjectedCrs</v>
      </c>
      <c r="H9387" t="str">
        <v>Sinusoidal</v>
      </c>
      <c r="I9387" t="str">
        <v>Phoebe (2015) - Sphere / Ocentric / Sinusoidal, clon = 0</v>
      </c>
      <c r="J9387" t="str">
        <v>Not specified.</v>
      </c>
      <c r="K9387" s="11">
        <v>0</v>
      </c>
    </row>
    <row r="9388" spans="5:11" x14ac:dyDescent="0.35">
      <c r="E9388" s="9" t="str">
        <v>IAU_2015</v>
      </c>
      <c r="F9388" s="7" t="str">
        <v>60925</v>
      </c>
      <c r="G9388" t="str">
        <v>ProjectedCrs</v>
      </c>
      <c r="H9388" t="str">
        <v>Sinusoidal</v>
      </c>
      <c r="I9388" t="str">
        <v>Phoebe (2015) - Sphere / Ocentric / Sinusoidal, clon = 180</v>
      </c>
      <c r="J9388" t="str">
        <v>Not specified.</v>
      </c>
      <c r="K9388" s="11">
        <v>0</v>
      </c>
    </row>
    <row r="9389" spans="5:11" x14ac:dyDescent="0.35">
      <c r="E9389" s="9" t="str">
        <v>IAU_2015</v>
      </c>
      <c r="F9389" s="7" t="str">
        <v>60930</v>
      </c>
      <c r="G9389" t="str">
        <v>ProjectedCrs</v>
      </c>
      <c r="H9389" t="str">
        <v>Polar Stereographic (variant A)</v>
      </c>
      <c r="I9389" t="str">
        <v>Phoebe (2015) - Sphere / Ocentric / North Polar</v>
      </c>
      <c r="J9389" t="str">
        <v>Not specified.</v>
      </c>
      <c r="K9389" s="11">
        <v>0</v>
      </c>
    </row>
    <row r="9390" spans="5:11" x14ac:dyDescent="0.35">
      <c r="E9390" s="9" t="str">
        <v>IAU_2015</v>
      </c>
      <c r="F9390" s="7" t="str">
        <v>60935</v>
      </c>
      <c r="G9390" t="str">
        <v>ProjectedCrs</v>
      </c>
      <c r="H9390" t="str">
        <v>Polar Stereographic (variant A)</v>
      </c>
      <c r="I9390" t="str">
        <v>Phoebe (2015) - Sphere / Ocentric / South Polar</v>
      </c>
      <c r="J9390" t="str">
        <v>Not specified.</v>
      </c>
      <c r="K9390" s="11">
        <v>0</v>
      </c>
    </row>
    <row r="9391" spans="5:11" x14ac:dyDescent="0.35">
      <c r="E9391" s="9" t="str">
        <v>IAU_2015</v>
      </c>
      <c r="F9391" s="7" t="str">
        <v>60940</v>
      </c>
      <c r="G9391" t="str">
        <v>ProjectedCrs</v>
      </c>
      <c r="H9391" t="str">
        <v>Mollweide</v>
      </c>
      <c r="I9391" t="str">
        <v>Phoebe (2015) - Sphere / Ocentric / Mollweide, clon = 0</v>
      </c>
      <c r="J9391" t="str">
        <v>Not specified.</v>
      </c>
      <c r="K9391" s="11">
        <v>0</v>
      </c>
    </row>
    <row r="9392" spans="5:11" x14ac:dyDescent="0.35">
      <c r="E9392" s="9" t="str">
        <v>IAU_2015</v>
      </c>
      <c r="F9392" s="7" t="str">
        <v>60945</v>
      </c>
      <c r="G9392" t="str">
        <v>ProjectedCrs</v>
      </c>
      <c r="H9392" t="str">
        <v>Mollweide</v>
      </c>
      <c r="I9392" t="str">
        <v>Phoebe (2015) - Sphere / Ocentric / Mollweide, clon = 180</v>
      </c>
      <c r="J9392" t="str">
        <v>Not specified.</v>
      </c>
      <c r="K9392" s="11">
        <v>0</v>
      </c>
    </row>
    <row r="9393" spans="5:11" x14ac:dyDescent="0.35">
      <c r="E9393" s="9" t="str">
        <v>IAU_2015</v>
      </c>
      <c r="F9393" s="7" t="str">
        <v>60950</v>
      </c>
      <c r="G9393" t="str">
        <v>ProjectedCrs</v>
      </c>
      <c r="H9393" t="str">
        <v>Robinson</v>
      </c>
      <c r="I9393" t="str">
        <v>Phoebe (2015) - Sphere / Ocentric / Robinson, clon = 0</v>
      </c>
      <c r="J9393" t="str">
        <v>Not specified.</v>
      </c>
      <c r="K9393" s="11">
        <v>0</v>
      </c>
    </row>
    <row r="9394" spans="5:11" x14ac:dyDescent="0.35">
      <c r="E9394" s="9" t="str">
        <v>IAU_2015</v>
      </c>
      <c r="F9394" s="7" t="str">
        <v>60955</v>
      </c>
      <c r="G9394" t="str">
        <v>ProjectedCrs</v>
      </c>
      <c r="H9394" t="str">
        <v>Robinson</v>
      </c>
      <c r="I9394" t="str">
        <v>Phoebe (2015) - Sphere / Ocentric / Robinson, clon = 180</v>
      </c>
      <c r="J9394" t="str">
        <v>Not specified.</v>
      </c>
      <c r="K9394" s="11">
        <v>0</v>
      </c>
    </row>
    <row r="9395" spans="5:11" x14ac:dyDescent="0.35">
      <c r="E9395" s="9" t="str">
        <v>IAU_2015</v>
      </c>
      <c r="F9395" s="7" t="str">
        <v>60960</v>
      </c>
      <c r="G9395" t="str">
        <v>ProjectedCrs</v>
      </c>
      <c r="H9395" t="str">
        <v>Transverse Mercator</v>
      </c>
      <c r="I9395" t="str">
        <v>Phoebe (2015) - Sphere / Ocentric / Tranverse Mercator</v>
      </c>
      <c r="J9395" t="str">
        <v>Not specified.</v>
      </c>
      <c r="K9395" s="11">
        <v>0</v>
      </c>
    </row>
    <row r="9396" spans="5:11" x14ac:dyDescent="0.35">
      <c r="E9396" s="9" t="str">
        <v>IAU_2015</v>
      </c>
      <c r="F9396" s="7" t="str">
        <v>60965</v>
      </c>
      <c r="G9396" t="str">
        <v>ProjectedCrs</v>
      </c>
      <c r="H9396" t="str">
        <v>Orthographic</v>
      </c>
      <c r="I9396" t="str">
        <v>Phoebe (2015) - Sphere / Ocentric / Orthographic, clon = 0</v>
      </c>
      <c r="J9396" t="str">
        <v>Not specified.</v>
      </c>
      <c r="K9396" s="11">
        <v>0</v>
      </c>
    </row>
    <row r="9397" spans="5:11" x14ac:dyDescent="0.35">
      <c r="E9397" s="9" t="str">
        <v>IAU_2015</v>
      </c>
      <c r="F9397" s="7" t="str">
        <v>60970</v>
      </c>
      <c r="G9397" t="str">
        <v>ProjectedCrs</v>
      </c>
      <c r="H9397" t="str">
        <v>Orthographic</v>
      </c>
      <c r="I9397" t="str">
        <v>Phoebe (2015) - Sphere / Ocentric / Orthographic, clon = 180</v>
      </c>
      <c r="J9397" t="str">
        <v>Not specified.</v>
      </c>
      <c r="K9397" s="11">
        <v>0</v>
      </c>
    </row>
    <row r="9398" spans="5:11" x14ac:dyDescent="0.35">
      <c r="E9398" s="9" t="str">
        <v>IAU_2015</v>
      </c>
      <c r="F9398" s="7" t="str">
        <v>60975</v>
      </c>
      <c r="G9398" t="str">
        <v>ProjectedCrs</v>
      </c>
      <c r="H9398" t="str">
        <v>Lambert Conic Conformal (2SP)</v>
      </c>
      <c r="I9398" t="str">
        <v>Phoebe (2015) - Sphere / Ocentric / Lambert Conic Conformal</v>
      </c>
      <c r="J9398" t="str">
        <v>Not specified.</v>
      </c>
      <c r="K9398" s="11">
        <v>0</v>
      </c>
    </row>
    <row r="9399" spans="5:11" x14ac:dyDescent="0.35">
      <c r="E9399" s="9" t="str">
        <v>IAU_2015</v>
      </c>
      <c r="F9399" s="7" t="str">
        <v>60980</v>
      </c>
      <c r="G9399" t="str">
        <v>ProjectedCrs</v>
      </c>
      <c r="H9399" t="str">
        <v>Lambert Azimuthal Equal Area</v>
      </c>
      <c r="I9399" t="str">
        <v>Phoebe (2015) - Sphere / Ocentric / Lambert Azimuthal Equal Area</v>
      </c>
      <c r="J9399" t="str">
        <v>Not specified.</v>
      </c>
      <c r="K9399" s="11">
        <v>0</v>
      </c>
    </row>
    <row r="9400" spans="5:11" x14ac:dyDescent="0.35">
      <c r="E9400" s="9" t="str">
        <v>IAU_2015</v>
      </c>
      <c r="F9400" s="7" t="str">
        <v>60985</v>
      </c>
      <c r="G9400" t="str">
        <v>ProjectedCrs</v>
      </c>
      <c r="H9400" t="str">
        <v>Albers Equal Area</v>
      </c>
      <c r="I9400" t="str">
        <v>Phoebe (2015) - Sphere / Ocentric / Albers Equal Area</v>
      </c>
      <c r="J9400" t="str">
        <v>Not specified.</v>
      </c>
      <c r="K9400" s="11">
        <v>0</v>
      </c>
    </row>
    <row r="9401" spans="5:11" x14ac:dyDescent="0.35">
      <c r="E9401" s="9" t="str">
        <v>IAU_2015</v>
      </c>
      <c r="F9401" s="7" t="str">
        <v>60990</v>
      </c>
      <c r="G9401" t="str">
        <v>ProjectedCrs</v>
      </c>
      <c r="H9401" t="str">
        <v>Mercator (Spherical)</v>
      </c>
      <c r="I9401" t="str">
        <v>Phoebe (2015) - Sphere / Ocentric / Mercator</v>
      </c>
      <c r="J9401" t="str">
        <v>Not specified.</v>
      </c>
      <c r="K9401" s="11">
        <v>0</v>
      </c>
    </row>
    <row r="9402" spans="5:11" x14ac:dyDescent="0.35">
      <c r="E9402" s="9" t="str">
        <v>IAU_2015</v>
      </c>
      <c r="F9402" s="7" t="str">
        <v>61000</v>
      </c>
      <c r="G9402" t="str">
        <v>Geographic2DCrs</v>
      </c>
      <c r="H9402" t="str">
        <v>&lt;undefined&gt;</v>
      </c>
      <c r="I9402" t="str">
        <v>Janus (2015) - Sphere / Ocentric</v>
      </c>
      <c r="J9402" t="str">
        <v>Not specified.</v>
      </c>
      <c r="K9402" s="11">
        <v>0</v>
      </c>
    </row>
    <row r="9403" spans="5:11" x14ac:dyDescent="0.35">
      <c r="E9403" s="9" t="str">
        <v>IAU_2015</v>
      </c>
      <c r="F9403" s="7" t="str">
        <v>61010</v>
      </c>
      <c r="G9403" t="str">
        <v>ProjectedCrs</v>
      </c>
      <c r="H9403" t="str">
        <v>Equidistant Cylindrical</v>
      </c>
      <c r="I9403" t="str">
        <v>Janus (2015) - Sphere / Ocentric / Equirectangular, clon = 0</v>
      </c>
      <c r="J9403" t="str">
        <v>Not specified.</v>
      </c>
      <c r="K9403" s="11">
        <v>0</v>
      </c>
    </row>
    <row r="9404" spans="5:11" x14ac:dyDescent="0.35">
      <c r="E9404" s="9" t="str">
        <v>IAU_2015</v>
      </c>
      <c r="F9404" s="7" t="str">
        <v>61015</v>
      </c>
      <c r="G9404" t="str">
        <v>ProjectedCrs</v>
      </c>
      <c r="H9404" t="str">
        <v>Equidistant Cylindrical</v>
      </c>
      <c r="I9404" t="str">
        <v>Janus (2015) - Sphere / Ocentric / Equirectangular, clon = 180</v>
      </c>
      <c r="J9404" t="str">
        <v>Not specified.</v>
      </c>
      <c r="K9404" s="11">
        <v>0</v>
      </c>
    </row>
    <row r="9405" spans="5:11" x14ac:dyDescent="0.35">
      <c r="E9405" s="9" t="str">
        <v>IAU_2015</v>
      </c>
      <c r="F9405" s="7" t="str">
        <v>61020</v>
      </c>
      <c r="G9405" t="str">
        <v>ProjectedCrs</v>
      </c>
      <c r="H9405" t="str">
        <v>Sinusoidal</v>
      </c>
      <c r="I9405" t="str">
        <v>Janus (2015) - Sphere / Ocentric / Sinusoidal, clon = 0</v>
      </c>
      <c r="J9405" t="str">
        <v>Not specified.</v>
      </c>
      <c r="K9405" s="11">
        <v>0</v>
      </c>
    </row>
    <row r="9406" spans="5:11" x14ac:dyDescent="0.35">
      <c r="E9406" s="9" t="str">
        <v>IAU_2015</v>
      </c>
      <c r="F9406" s="7" t="str">
        <v>61025</v>
      </c>
      <c r="G9406" t="str">
        <v>ProjectedCrs</v>
      </c>
      <c r="H9406" t="str">
        <v>Sinusoidal</v>
      </c>
      <c r="I9406" t="str">
        <v>Janus (2015) - Sphere / Ocentric / Sinusoidal, clon = 180</v>
      </c>
      <c r="J9406" t="str">
        <v>Not specified.</v>
      </c>
      <c r="K9406" s="11">
        <v>0</v>
      </c>
    </row>
    <row r="9407" spans="5:11" x14ac:dyDescent="0.35">
      <c r="E9407" s="9" t="str">
        <v>IAU_2015</v>
      </c>
      <c r="F9407" s="7" t="str">
        <v>61030</v>
      </c>
      <c r="G9407" t="str">
        <v>ProjectedCrs</v>
      </c>
      <c r="H9407" t="str">
        <v>Polar Stereographic (variant A)</v>
      </c>
      <c r="I9407" t="str">
        <v>Janus (2015) - Sphere / Ocentric / North Polar</v>
      </c>
      <c r="J9407" t="str">
        <v>Not specified.</v>
      </c>
      <c r="K9407" s="11">
        <v>0</v>
      </c>
    </row>
    <row r="9408" spans="5:11" x14ac:dyDescent="0.35">
      <c r="E9408" s="9" t="str">
        <v>IAU_2015</v>
      </c>
      <c r="F9408" s="7" t="str">
        <v>61035</v>
      </c>
      <c r="G9408" t="str">
        <v>ProjectedCrs</v>
      </c>
      <c r="H9408" t="str">
        <v>Polar Stereographic (variant A)</v>
      </c>
      <c r="I9408" t="str">
        <v>Janus (2015) - Sphere / Ocentric / South Polar</v>
      </c>
      <c r="J9408" t="str">
        <v>Not specified.</v>
      </c>
      <c r="K9408" s="11">
        <v>0</v>
      </c>
    </row>
    <row r="9409" spans="5:11" x14ac:dyDescent="0.35">
      <c r="E9409" s="9" t="str">
        <v>IAU_2015</v>
      </c>
      <c r="F9409" s="7" t="str">
        <v>61040</v>
      </c>
      <c r="G9409" t="str">
        <v>ProjectedCrs</v>
      </c>
      <c r="H9409" t="str">
        <v>Mollweide</v>
      </c>
      <c r="I9409" t="str">
        <v>Janus (2015) - Sphere / Ocentric / Mollweide, clon = 0</v>
      </c>
      <c r="J9409" t="str">
        <v>Not specified.</v>
      </c>
      <c r="K9409" s="11">
        <v>0</v>
      </c>
    </row>
    <row r="9410" spans="5:11" x14ac:dyDescent="0.35">
      <c r="E9410" s="9" t="str">
        <v>IAU_2015</v>
      </c>
      <c r="F9410" s="7" t="str">
        <v>61045</v>
      </c>
      <c r="G9410" t="str">
        <v>ProjectedCrs</v>
      </c>
      <c r="H9410" t="str">
        <v>Mollweide</v>
      </c>
      <c r="I9410" t="str">
        <v>Janus (2015) - Sphere / Ocentric / Mollweide, clon = 180</v>
      </c>
      <c r="J9410" t="str">
        <v>Not specified.</v>
      </c>
      <c r="K9410" s="11">
        <v>0</v>
      </c>
    </row>
    <row r="9411" spans="5:11" x14ac:dyDescent="0.35">
      <c r="E9411" s="9" t="str">
        <v>IAU_2015</v>
      </c>
      <c r="F9411" s="7" t="str">
        <v>61050</v>
      </c>
      <c r="G9411" t="str">
        <v>ProjectedCrs</v>
      </c>
      <c r="H9411" t="str">
        <v>Robinson</v>
      </c>
      <c r="I9411" t="str">
        <v>Janus (2015) - Sphere / Ocentric / Robinson, clon = 0</v>
      </c>
      <c r="J9411" t="str">
        <v>Not specified.</v>
      </c>
      <c r="K9411" s="11">
        <v>0</v>
      </c>
    </row>
    <row r="9412" spans="5:11" x14ac:dyDescent="0.35">
      <c r="E9412" s="9" t="str">
        <v>IAU_2015</v>
      </c>
      <c r="F9412" s="7" t="str">
        <v>61055</v>
      </c>
      <c r="G9412" t="str">
        <v>ProjectedCrs</v>
      </c>
      <c r="H9412" t="str">
        <v>Robinson</v>
      </c>
      <c r="I9412" t="str">
        <v>Janus (2015) - Sphere / Ocentric / Robinson, clon = 180</v>
      </c>
      <c r="J9412" t="str">
        <v>Not specified.</v>
      </c>
      <c r="K9412" s="11">
        <v>0</v>
      </c>
    </row>
    <row r="9413" spans="5:11" x14ac:dyDescent="0.35">
      <c r="E9413" s="9" t="str">
        <v>IAU_2015</v>
      </c>
      <c r="F9413" s="7" t="str">
        <v>61060</v>
      </c>
      <c r="G9413" t="str">
        <v>ProjectedCrs</v>
      </c>
      <c r="H9413" t="str">
        <v>Transverse Mercator</v>
      </c>
      <c r="I9413" t="str">
        <v>Janus (2015) - Sphere / Ocentric / Tranverse Mercator</v>
      </c>
      <c r="J9413" t="str">
        <v>Not specified.</v>
      </c>
      <c r="K9413" s="11">
        <v>0</v>
      </c>
    </row>
    <row r="9414" spans="5:11" x14ac:dyDescent="0.35">
      <c r="E9414" s="9" t="str">
        <v>IAU_2015</v>
      </c>
      <c r="F9414" s="7" t="str">
        <v>61065</v>
      </c>
      <c r="G9414" t="str">
        <v>ProjectedCrs</v>
      </c>
      <c r="H9414" t="str">
        <v>Orthographic</v>
      </c>
      <c r="I9414" t="str">
        <v>Janus (2015) - Sphere / Ocentric / Orthographic, clon = 0</v>
      </c>
      <c r="J9414" t="str">
        <v>Not specified.</v>
      </c>
      <c r="K9414" s="11">
        <v>0</v>
      </c>
    </row>
    <row r="9415" spans="5:11" x14ac:dyDescent="0.35">
      <c r="E9415" s="9" t="str">
        <v>IAU_2015</v>
      </c>
      <c r="F9415" s="7" t="str">
        <v>61070</v>
      </c>
      <c r="G9415" t="str">
        <v>ProjectedCrs</v>
      </c>
      <c r="H9415" t="str">
        <v>Orthographic</v>
      </c>
      <c r="I9415" t="str">
        <v>Janus (2015) - Sphere / Ocentric / Orthographic, clon = 180</v>
      </c>
      <c r="J9415" t="str">
        <v>Not specified.</v>
      </c>
      <c r="K9415" s="11">
        <v>0</v>
      </c>
    </row>
    <row r="9416" spans="5:11" x14ac:dyDescent="0.35">
      <c r="E9416" s="9" t="str">
        <v>IAU_2015</v>
      </c>
      <c r="F9416" s="7" t="str">
        <v>61075</v>
      </c>
      <c r="G9416" t="str">
        <v>ProjectedCrs</v>
      </c>
      <c r="H9416" t="str">
        <v>Lambert Conic Conformal (2SP)</v>
      </c>
      <c r="I9416" t="str">
        <v>Janus (2015) - Sphere / Ocentric / Lambert Conic Conformal</v>
      </c>
      <c r="J9416" t="str">
        <v>Not specified.</v>
      </c>
      <c r="K9416" s="11">
        <v>0</v>
      </c>
    </row>
    <row r="9417" spans="5:11" x14ac:dyDescent="0.35">
      <c r="E9417" s="9" t="str">
        <v>IAU_2015</v>
      </c>
      <c r="F9417" s="7" t="str">
        <v>61080</v>
      </c>
      <c r="G9417" t="str">
        <v>ProjectedCrs</v>
      </c>
      <c r="H9417" t="str">
        <v>Lambert Azimuthal Equal Area</v>
      </c>
      <c r="I9417" t="str">
        <v>Janus (2015) - Sphere / Ocentric / Lambert Azimuthal Equal Area</v>
      </c>
      <c r="J9417" t="str">
        <v>Not specified.</v>
      </c>
      <c r="K9417" s="11">
        <v>0</v>
      </c>
    </row>
    <row r="9418" spans="5:11" x14ac:dyDescent="0.35">
      <c r="E9418" s="9" t="str">
        <v>IAU_2015</v>
      </c>
      <c r="F9418" s="7" t="str">
        <v>61085</v>
      </c>
      <c r="G9418" t="str">
        <v>ProjectedCrs</v>
      </c>
      <c r="H9418" t="str">
        <v>Albers Equal Area</v>
      </c>
      <c r="I9418" t="str">
        <v>Janus (2015) - Sphere / Ocentric / Albers Equal Area</v>
      </c>
      <c r="J9418" t="str">
        <v>Not specified.</v>
      </c>
      <c r="K9418" s="11">
        <v>0</v>
      </c>
    </row>
    <row r="9419" spans="5:11" x14ac:dyDescent="0.35">
      <c r="E9419" s="9" t="str">
        <v>IAU_2015</v>
      </c>
      <c r="F9419" s="7" t="str">
        <v>61090</v>
      </c>
      <c r="G9419" t="str">
        <v>ProjectedCrs</v>
      </c>
      <c r="H9419" t="str">
        <v>Mercator (Spherical)</v>
      </c>
      <c r="I9419" t="str">
        <v>Janus (2015) - Sphere / Ocentric / Mercator</v>
      </c>
      <c r="J9419" t="str">
        <v>Not specified.</v>
      </c>
      <c r="K9419" s="11">
        <v>0</v>
      </c>
    </row>
    <row r="9420" spans="5:11" x14ac:dyDescent="0.35">
      <c r="E9420" s="9" t="str">
        <v>IAU_2015</v>
      </c>
      <c r="F9420" s="7" t="str">
        <v>61100</v>
      </c>
      <c r="G9420" t="str">
        <v>Geographic2DCrs</v>
      </c>
      <c r="H9420" t="str">
        <v>&lt;undefined&gt;</v>
      </c>
      <c r="I9420" t="str">
        <v>Epimetheus (2015) - Sphere / Ocentric</v>
      </c>
      <c r="J9420" t="str">
        <v>Not specified.</v>
      </c>
      <c r="K9420" s="11">
        <v>0</v>
      </c>
    </row>
    <row r="9421" spans="5:11" x14ac:dyDescent="0.35">
      <c r="E9421" s="9" t="str">
        <v>IAU_2015</v>
      </c>
      <c r="F9421" s="7" t="str">
        <v>61110</v>
      </c>
      <c r="G9421" t="str">
        <v>ProjectedCrs</v>
      </c>
      <c r="H9421" t="str">
        <v>Equidistant Cylindrical</v>
      </c>
      <c r="I9421" t="str">
        <v>Epimetheus (2015) - Sphere / Ocentric / Equirectangular, clon = 0</v>
      </c>
      <c r="J9421" t="str">
        <v>Not specified.</v>
      </c>
      <c r="K9421" s="11">
        <v>0</v>
      </c>
    </row>
    <row r="9422" spans="5:11" x14ac:dyDescent="0.35">
      <c r="E9422" s="9" t="str">
        <v>IAU_2015</v>
      </c>
      <c r="F9422" s="7" t="str">
        <v>61115</v>
      </c>
      <c r="G9422" t="str">
        <v>ProjectedCrs</v>
      </c>
      <c r="H9422" t="str">
        <v>Equidistant Cylindrical</v>
      </c>
      <c r="I9422" t="str">
        <v>Epimetheus (2015) - Sphere / Ocentric / Equirectangular, clon = 180</v>
      </c>
      <c r="J9422" t="str">
        <v>Not specified.</v>
      </c>
      <c r="K9422" s="11">
        <v>0</v>
      </c>
    </row>
    <row r="9423" spans="5:11" x14ac:dyDescent="0.35">
      <c r="E9423" s="9" t="str">
        <v>IAU_2015</v>
      </c>
      <c r="F9423" s="7" t="str">
        <v>61120</v>
      </c>
      <c r="G9423" t="str">
        <v>ProjectedCrs</v>
      </c>
      <c r="H9423" t="str">
        <v>Sinusoidal</v>
      </c>
      <c r="I9423" t="str">
        <v>Epimetheus (2015) - Sphere / Ocentric / Sinusoidal, clon = 0</v>
      </c>
      <c r="J9423" t="str">
        <v>Not specified.</v>
      </c>
      <c r="K9423" s="11">
        <v>0</v>
      </c>
    </row>
    <row r="9424" spans="5:11" x14ac:dyDescent="0.35">
      <c r="E9424" s="9" t="str">
        <v>IAU_2015</v>
      </c>
      <c r="F9424" s="7" t="str">
        <v>61125</v>
      </c>
      <c r="G9424" t="str">
        <v>ProjectedCrs</v>
      </c>
      <c r="H9424" t="str">
        <v>Sinusoidal</v>
      </c>
      <c r="I9424" t="str">
        <v>Epimetheus (2015) - Sphere / Ocentric / Sinusoidal, clon = 180</v>
      </c>
      <c r="J9424" t="str">
        <v>Not specified.</v>
      </c>
      <c r="K9424" s="11">
        <v>0</v>
      </c>
    </row>
    <row r="9425" spans="5:11" x14ac:dyDescent="0.35">
      <c r="E9425" s="9" t="str">
        <v>IAU_2015</v>
      </c>
      <c r="F9425" s="7" t="str">
        <v>61130</v>
      </c>
      <c r="G9425" t="str">
        <v>ProjectedCrs</v>
      </c>
      <c r="H9425" t="str">
        <v>Polar Stereographic (variant A)</v>
      </c>
      <c r="I9425" t="str">
        <v>Epimetheus (2015) - Sphere / Ocentric / North Polar</v>
      </c>
      <c r="J9425" t="str">
        <v>Not specified.</v>
      </c>
      <c r="K9425" s="11">
        <v>0</v>
      </c>
    </row>
    <row r="9426" spans="5:11" x14ac:dyDescent="0.35">
      <c r="E9426" s="9" t="str">
        <v>IAU_2015</v>
      </c>
      <c r="F9426" s="7" t="str">
        <v>61135</v>
      </c>
      <c r="G9426" t="str">
        <v>ProjectedCrs</v>
      </c>
      <c r="H9426" t="str">
        <v>Polar Stereographic (variant A)</v>
      </c>
      <c r="I9426" t="str">
        <v>Epimetheus (2015) - Sphere / Ocentric / South Polar</v>
      </c>
      <c r="J9426" t="str">
        <v>Not specified.</v>
      </c>
      <c r="K9426" s="11">
        <v>0</v>
      </c>
    </row>
    <row r="9427" spans="5:11" x14ac:dyDescent="0.35">
      <c r="E9427" s="9" t="str">
        <v>IAU_2015</v>
      </c>
      <c r="F9427" s="7" t="str">
        <v>61140</v>
      </c>
      <c r="G9427" t="str">
        <v>ProjectedCrs</v>
      </c>
      <c r="H9427" t="str">
        <v>Mollweide</v>
      </c>
      <c r="I9427" t="str">
        <v>Epimetheus (2015) - Sphere / Ocentric / Mollweide, clon = 0</v>
      </c>
      <c r="J9427" t="str">
        <v>Not specified.</v>
      </c>
      <c r="K9427" s="11">
        <v>0</v>
      </c>
    </row>
    <row r="9428" spans="5:11" x14ac:dyDescent="0.35">
      <c r="E9428" s="9" t="str">
        <v>IAU_2015</v>
      </c>
      <c r="F9428" s="7" t="str">
        <v>61145</v>
      </c>
      <c r="G9428" t="str">
        <v>ProjectedCrs</v>
      </c>
      <c r="H9428" t="str">
        <v>Mollweide</v>
      </c>
      <c r="I9428" t="str">
        <v>Epimetheus (2015) - Sphere / Ocentric / Mollweide, clon = 180</v>
      </c>
      <c r="J9428" t="str">
        <v>Not specified.</v>
      </c>
      <c r="K9428" s="11">
        <v>0</v>
      </c>
    </row>
    <row r="9429" spans="5:11" x14ac:dyDescent="0.35">
      <c r="E9429" s="9" t="str">
        <v>IAU_2015</v>
      </c>
      <c r="F9429" s="7" t="str">
        <v>61150</v>
      </c>
      <c r="G9429" t="str">
        <v>ProjectedCrs</v>
      </c>
      <c r="H9429" t="str">
        <v>Robinson</v>
      </c>
      <c r="I9429" t="str">
        <v>Epimetheus (2015) - Sphere / Ocentric / Robinson, clon = 0</v>
      </c>
      <c r="J9429" t="str">
        <v>Not specified.</v>
      </c>
      <c r="K9429" s="11">
        <v>0</v>
      </c>
    </row>
    <row r="9430" spans="5:11" x14ac:dyDescent="0.35">
      <c r="E9430" s="9" t="str">
        <v>IAU_2015</v>
      </c>
      <c r="F9430" s="7" t="str">
        <v>61155</v>
      </c>
      <c r="G9430" t="str">
        <v>ProjectedCrs</v>
      </c>
      <c r="H9430" t="str">
        <v>Robinson</v>
      </c>
      <c r="I9430" t="str">
        <v>Epimetheus (2015) - Sphere / Ocentric / Robinson, clon = 180</v>
      </c>
      <c r="J9430" t="str">
        <v>Not specified.</v>
      </c>
      <c r="K9430" s="11">
        <v>0</v>
      </c>
    </row>
    <row r="9431" spans="5:11" x14ac:dyDescent="0.35">
      <c r="E9431" s="9" t="str">
        <v>IAU_2015</v>
      </c>
      <c r="F9431" s="7" t="str">
        <v>61160</v>
      </c>
      <c r="G9431" t="str">
        <v>ProjectedCrs</v>
      </c>
      <c r="H9431" t="str">
        <v>Transverse Mercator</v>
      </c>
      <c r="I9431" t="str">
        <v>Epimetheus (2015) - Sphere / Ocentric / Tranverse Mercator</v>
      </c>
      <c r="J9431" t="str">
        <v>Not specified.</v>
      </c>
      <c r="K9431" s="11">
        <v>0</v>
      </c>
    </row>
    <row r="9432" spans="5:11" x14ac:dyDescent="0.35">
      <c r="E9432" s="9" t="str">
        <v>IAU_2015</v>
      </c>
      <c r="F9432" s="7" t="str">
        <v>61165</v>
      </c>
      <c r="G9432" t="str">
        <v>ProjectedCrs</v>
      </c>
      <c r="H9432" t="str">
        <v>Orthographic</v>
      </c>
      <c r="I9432" t="str">
        <v>Epimetheus (2015) - Sphere / Ocentric / Orthographic, clon = 0</v>
      </c>
      <c r="J9432" t="str">
        <v>Not specified.</v>
      </c>
      <c r="K9432" s="11">
        <v>0</v>
      </c>
    </row>
    <row r="9433" spans="5:11" x14ac:dyDescent="0.35">
      <c r="E9433" s="9" t="str">
        <v>IAU_2015</v>
      </c>
      <c r="F9433" s="7" t="str">
        <v>61170</v>
      </c>
      <c r="G9433" t="str">
        <v>ProjectedCrs</v>
      </c>
      <c r="H9433" t="str">
        <v>Orthographic</v>
      </c>
      <c r="I9433" t="str">
        <v>Epimetheus (2015) - Sphere / Ocentric / Orthographic, clon = 180</v>
      </c>
      <c r="J9433" t="str">
        <v>Not specified.</v>
      </c>
      <c r="K9433" s="11">
        <v>0</v>
      </c>
    </row>
    <row r="9434" spans="5:11" x14ac:dyDescent="0.35">
      <c r="E9434" s="9" t="str">
        <v>IAU_2015</v>
      </c>
      <c r="F9434" s="7" t="str">
        <v>61175</v>
      </c>
      <c r="G9434" t="str">
        <v>ProjectedCrs</v>
      </c>
      <c r="H9434" t="str">
        <v>Lambert Conic Conformal (2SP)</v>
      </c>
      <c r="I9434" t="str">
        <v>Epimetheus (2015) - Sphere / Ocentric / Lambert Conic Conformal</v>
      </c>
      <c r="J9434" t="str">
        <v>Not specified.</v>
      </c>
      <c r="K9434" s="11">
        <v>0</v>
      </c>
    </row>
    <row r="9435" spans="5:11" x14ac:dyDescent="0.35">
      <c r="E9435" s="9" t="str">
        <v>IAU_2015</v>
      </c>
      <c r="F9435" s="7" t="str">
        <v>61180</v>
      </c>
      <c r="G9435" t="str">
        <v>ProjectedCrs</v>
      </c>
      <c r="H9435" t="str">
        <v>Lambert Azimuthal Equal Area</v>
      </c>
      <c r="I9435" t="str">
        <v>Epimetheus (2015) - Sphere / Ocentric / Lambert Azimuthal Equal Area</v>
      </c>
      <c r="J9435" t="str">
        <v>Not specified.</v>
      </c>
      <c r="K9435" s="11">
        <v>0</v>
      </c>
    </row>
    <row r="9436" spans="5:11" x14ac:dyDescent="0.35">
      <c r="E9436" s="9" t="str">
        <v>IAU_2015</v>
      </c>
      <c r="F9436" s="7" t="str">
        <v>61185</v>
      </c>
      <c r="G9436" t="str">
        <v>ProjectedCrs</v>
      </c>
      <c r="H9436" t="str">
        <v>Albers Equal Area</v>
      </c>
      <c r="I9436" t="str">
        <v>Epimetheus (2015) - Sphere / Ocentric / Albers Equal Area</v>
      </c>
      <c r="J9436" t="str">
        <v>Not specified.</v>
      </c>
      <c r="K9436" s="11">
        <v>0</v>
      </c>
    </row>
    <row r="9437" spans="5:11" x14ac:dyDescent="0.35">
      <c r="E9437" s="9" t="str">
        <v>IAU_2015</v>
      </c>
      <c r="F9437" s="7" t="str">
        <v>61190</v>
      </c>
      <c r="G9437" t="str">
        <v>ProjectedCrs</v>
      </c>
      <c r="H9437" t="str">
        <v>Mercator (Spherical)</v>
      </c>
      <c r="I9437" t="str">
        <v>Epimetheus (2015) - Sphere / Ocentric / Mercator</v>
      </c>
      <c r="J9437" t="str">
        <v>Not specified.</v>
      </c>
      <c r="K9437" s="11">
        <v>0</v>
      </c>
    </row>
    <row r="9438" spans="5:11" x14ac:dyDescent="0.35">
      <c r="E9438" s="9" t="str">
        <v>IAU_2015</v>
      </c>
      <c r="F9438" s="7" t="str">
        <v>61200</v>
      </c>
      <c r="G9438" t="str">
        <v>Geographic2DCrs</v>
      </c>
      <c r="H9438" t="str">
        <v>&lt;undefined&gt;</v>
      </c>
      <c r="I9438" t="str">
        <v>Helene (2015) - Sphere / Ocentric</v>
      </c>
      <c r="J9438" t="str">
        <v>Not specified.</v>
      </c>
      <c r="K9438" s="11">
        <v>0</v>
      </c>
    </row>
    <row r="9439" spans="5:11" x14ac:dyDescent="0.35">
      <c r="E9439" s="9" t="str">
        <v>IAU_2015</v>
      </c>
      <c r="F9439" s="7" t="str">
        <v>61210</v>
      </c>
      <c r="G9439" t="str">
        <v>ProjectedCrs</v>
      </c>
      <c r="H9439" t="str">
        <v>Equidistant Cylindrical</v>
      </c>
      <c r="I9439" t="str">
        <v>Helene (2015) - Sphere / Ocentric / Equirectangular, clon = 0</v>
      </c>
      <c r="J9439" t="str">
        <v>Not specified.</v>
      </c>
      <c r="K9439" s="11">
        <v>0</v>
      </c>
    </row>
    <row r="9440" spans="5:11" x14ac:dyDescent="0.35">
      <c r="E9440" s="9" t="str">
        <v>IAU_2015</v>
      </c>
      <c r="F9440" s="7" t="str">
        <v>61215</v>
      </c>
      <c r="G9440" t="str">
        <v>ProjectedCrs</v>
      </c>
      <c r="H9440" t="str">
        <v>Equidistant Cylindrical</v>
      </c>
      <c r="I9440" t="str">
        <v>Helene (2015) - Sphere / Ocentric / Equirectangular, clon = 180</v>
      </c>
      <c r="J9440" t="str">
        <v>Not specified.</v>
      </c>
      <c r="K9440" s="11">
        <v>0</v>
      </c>
    </row>
    <row r="9441" spans="5:11" x14ac:dyDescent="0.35">
      <c r="E9441" s="9" t="str">
        <v>IAU_2015</v>
      </c>
      <c r="F9441" s="7" t="str">
        <v>61220</v>
      </c>
      <c r="G9441" t="str">
        <v>ProjectedCrs</v>
      </c>
      <c r="H9441" t="str">
        <v>Sinusoidal</v>
      </c>
      <c r="I9441" t="str">
        <v>Helene (2015) - Sphere / Ocentric / Sinusoidal, clon = 0</v>
      </c>
      <c r="J9441" t="str">
        <v>Not specified.</v>
      </c>
      <c r="K9441" s="11">
        <v>0</v>
      </c>
    </row>
    <row r="9442" spans="5:11" x14ac:dyDescent="0.35">
      <c r="E9442" s="9" t="str">
        <v>IAU_2015</v>
      </c>
      <c r="F9442" s="7" t="str">
        <v>61225</v>
      </c>
      <c r="G9442" t="str">
        <v>ProjectedCrs</v>
      </c>
      <c r="H9442" t="str">
        <v>Sinusoidal</v>
      </c>
      <c r="I9442" t="str">
        <v>Helene (2015) - Sphere / Ocentric / Sinusoidal, clon = 180</v>
      </c>
      <c r="J9442" t="str">
        <v>Not specified.</v>
      </c>
      <c r="K9442" s="11">
        <v>0</v>
      </c>
    </row>
    <row r="9443" spans="5:11" x14ac:dyDescent="0.35">
      <c r="E9443" s="9" t="str">
        <v>IAU_2015</v>
      </c>
      <c r="F9443" s="7" t="str">
        <v>61230</v>
      </c>
      <c r="G9443" t="str">
        <v>ProjectedCrs</v>
      </c>
      <c r="H9443" t="str">
        <v>Polar Stereographic (variant A)</v>
      </c>
      <c r="I9443" t="str">
        <v>Helene (2015) - Sphere / Ocentric / North Polar</v>
      </c>
      <c r="J9443" t="str">
        <v>Not specified.</v>
      </c>
      <c r="K9443" s="11">
        <v>0</v>
      </c>
    </row>
    <row r="9444" spans="5:11" x14ac:dyDescent="0.35">
      <c r="E9444" s="9" t="str">
        <v>IAU_2015</v>
      </c>
      <c r="F9444" s="7" t="str">
        <v>61235</v>
      </c>
      <c r="G9444" t="str">
        <v>ProjectedCrs</v>
      </c>
      <c r="H9444" t="str">
        <v>Polar Stereographic (variant A)</v>
      </c>
      <c r="I9444" t="str">
        <v>Helene (2015) - Sphere / Ocentric / South Polar</v>
      </c>
      <c r="J9444" t="str">
        <v>Not specified.</v>
      </c>
      <c r="K9444" s="11">
        <v>0</v>
      </c>
    </row>
    <row r="9445" spans="5:11" x14ac:dyDescent="0.35">
      <c r="E9445" s="9" t="str">
        <v>IAU_2015</v>
      </c>
      <c r="F9445" s="7" t="str">
        <v>61240</v>
      </c>
      <c r="G9445" t="str">
        <v>ProjectedCrs</v>
      </c>
      <c r="H9445" t="str">
        <v>Mollweide</v>
      </c>
      <c r="I9445" t="str">
        <v>Helene (2015) - Sphere / Ocentric / Mollweide, clon = 0</v>
      </c>
      <c r="J9445" t="str">
        <v>Not specified.</v>
      </c>
      <c r="K9445" s="11">
        <v>0</v>
      </c>
    </row>
    <row r="9446" spans="5:11" x14ac:dyDescent="0.35">
      <c r="E9446" s="9" t="str">
        <v>IAU_2015</v>
      </c>
      <c r="F9446" s="7" t="str">
        <v>61245</v>
      </c>
      <c r="G9446" t="str">
        <v>ProjectedCrs</v>
      </c>
      <c r="H9446" t="str">
        <v>Mollweide</v>
      </c>
      <c r="I9446" t="str">
        <v>Helene (2015) - Sphere / Ocentric / Mollweide, clon = 180</v>
      </c>
      <c r="J9446" t="str">
        <v>Not specified.</v>
      </c>
      <c r="K9446" s="11">
        <v>0</v>
      </c>
    </row>
    <row r="9447" spans="5:11" x14ac:dyDescent="0.35">
      <c r="E9447" s="9" t="str">
        <v>IAU_2015</v>
      </c>
      <c r="F9447" s="7" t="str">
        <v>61250</v>
      </c>
      <c r="G9447" t="str">
        <v>ProjectedCrs</v>
      </c>
      <c r="H9447" t="str">
        <v>Robinson</v>
      </c>
      <c r="I9447" t="str">
        <v>Helene (2015) - Sphere / Ocentric / Robinson, clon = 0</v>
      </c>
      <c r="J9447" t="str">
        <v>Not specified.</v>
      </c>
      <c r="K9447" s="11">
        <v>0</v>
      </c>
    </row>
    <row r="9448" spans="5:11" x14ac:dyDescent="0.35">
      <c r="E9448" s="9" t="str">
        <v>IAU_2015</v>
      </c>
      <c r="F9448" s="7" t="str">
        <v>61255</v>
      </c>
      <c r="G9448" t="str">
        <v>ProjectedCrs</v>
      </c>
      <c r="H9448" t="str">
        <v>Robinson</v>
      </c>
      <c r="I9448" t="str">
        <v>Helene (2015) - Sphere / Ocentric / Robinson, clon = 180</v>
      </c>
      <c r="J9448" t="str">
        <v>Not specified.</v>
      </c>
      <c r="K9448" s="11">
        <v>0</v>
      </c>
    </row>
    <row r="9449" spans="5:11" x14ac:dyDescent="0.35">
      <c r="E9449" s="9" t="str">
        <v>IAU_2015</v>
      </c>
      <c r="F9449" s="7" t="str">
        <v>61260</v>
      </c>
      <c r="G9449" t="str">
        <v>ProjectedCrs</v>
      </c>
      <c r="H9449" t="str">
        <v>Transverse Mercator</v>
      </c>
      <c r="I9449" t="str">
        <v>Helene (2015) - Sphere / Ocentric / Tranverse Mercator</v>
      </c>
      <c r="J9449" t="str">
        <v>Not specified.</v>
      </c>
      <c r="K9449" s="11">
        <v>0</v>
      </c>
    </row>
    <row r="9450" spans="5:11" x14ac:dyDescent="0.35">
      <c r="E9450" s="9" t="str">
        <v>IAU_2015</v>
      </c>
      <c r="F9450" s="7" t="str">
        <v>61265</v>
      </c>
      <c r="G9450" t="str">
        <v>ProjectedCrs</v>
      </c>
      <c r="H9450" t="str">
        <v>Orthographic</v>
      </c>
      <c r="I9450" t="str">
        <v>Helene (2015) - Sphere / Ocentric / Orthographic, clon = 0</v>
      </c>
      <c r="J9450" t="str">
        <v>Not specified.</v>
      </c>
      <c r="K9450" s="11">
        <v>0</v>
      </c>
    </row>
    <row r="9451" spans="5:11" x14ac:dyDescent="0.35">
      <c r="E9451" s="9" t="str">
        <v>IAU_2015</v>
      </c>
      <c r="F9451" s="7" t="str">
        <v>61270</v>
      </c>
      <c r="G9451" t="str">
        <v>ProjectedCrs</v>
      </c>
      <c r="H9451" t="str">
        <v>Orthographic</v>
      </c>
      <c r="I9451" t="str">
        <v>Helene (2015) - Sphere / Ocentric / Orthographic, clon = 180</v>
      </c>
      <c r="J9451" t="str">
        <v>Not specified.</v>
      </c>
      <c r="K9451" s="11">
        <v>0</v>
      </c>
    </row>
    <row r="9452" spans="5:11" x14ac:dyDescent="0.35">
      <c r="E9452" s="9" t="str">
        <v>IAU_2015</v>
      </c>
      <c r="F9452" s="7" t="str">
        <v>61275</v>
      </c>
      <c r="G9452" t="str">
        <v>ProjectedCrs</v>
      </c>
      <c r="H9452" t="str">
        <v>Lambert Conic Conformal (2SP)</v>
      </c>
      <c r="I9452" t="str">
        <v>Helene (2015) - Sphere / Ocentric / Lambert Conic Conformal</v>
      </c>
      <c r="J9452" t="str">
        <v>Not specified.</v>
      </c>
      <c r="K9452" s="11">
        <v>0</v>
      </c>
    </row>
    <row r="9453" spans="5:11" x14ac:dyDescent="0.35">
      <c r="E9453" s="9" t="str">
        <v>IAU_2015</v>
      </c>
      <c r="F9453" s="7" t="str">
        <v>61280</v>
      </c>
      <c r="G9453" t="str">
        <v>ProjectedCrs</v>
      </c>
      <c r="H9453" t="str">
        <v>Lambert Azimuthal Equal Area</v>
      </c>
      <c r="I9453" t="str">
        <v>Helene (2015) - Sphere / Ocentric / Lambert Azimuthal Equal Area</v>
      </c>
      <c r="J9453" t="str">
        <v>Not specified.</v>
      </c>
      <c r="K9453" s="11">
        <v>0</v>
      </c>
    </row>
    <row r="9454" spans="5:11" x14ac:dyDescent="0.35">
      <c r="E9454" s="9" t="str">
        <v>IAU_2015</v>
      </c>
      <c r="F9454" s="7" t="str">
        <v>61285</v>
      </c>
      <c r="G9454" t="str">
        <v>ProjectedCrs</v>
      </c>
      <c r="H9454" t="str">
        <v>Albers Equal Area</v>
      </c>
      <c r="I9454" t="str">
        <v>Helene (2015) - Sphere / Ocentric / Albers Equal Area</v>
      </c>
      <c r="J9454" t="str">
        <v>Not specified.</v>
      </c>
      <c r="K9454" s="11">
        <v>0</v>
      </c>
    </row>
    <row r="9455" spans="5:11" x14ac:dyDescent="0.35">
      <c r="E9455" s="9" t="str">
        <v>IAU_2015</v>
      </c>
      <c r="F9455" s="7" t="str">
        <v>61290</v>
      </c>
      <c r="G9455" t="str">
        <v>ProjectedCrs</v>
      </c>
      <c r="H9455" t="str">
        <v>Mercator (Spherical)</v>
      </c>
      <c r="I9455" t="str">
        <v>Helene (2015) - Sphere / Ocentric / Mercator</v>
      </c>
      <c r="J9455" t="str">
        <v>Not specified.</v>
      </c>
      <c r="K9455" s="11">
        <v>0</v>
      </c>
    </row>
    <row r="9456" spans="5:11" x14ac:dyDescent="0.35">
      <c r="E9456" s="9" t="str">
        <v>IAU_2015</v>
      </c>
      <c r="F9456" s="7" t="str">
        <v>61300</v>
      </c>
      <c r="G9456" t="str">
        <v>Geographic2DCrs</v>
      </c>
      <c r="H9456" t="str">
        <v>&lt;undefined&gt;</v>
      </c>
      <c r="I9456" t="str">
        <v>Telesto (2015) - Sphere / Ocentric</v>
      </c>
      <c r="J9456" t="str">
        <v>Not specified.</v>
      </c>
      <c r="K9456" s="11">
        <v>0</v>
      </c>
    </row>
    <row r="9457" spans="5:11" x14ac:dyDescent="0.35">
      <c r="E9457" s="9" t="str">
        <v>IAU_2015</v>
      </c>
      <c r="F9457" s="7" t="str">
        <v>61310</v>
      </c>
      <c r="G9457" t="str">
        <v>ProjectedCrs</v>
      </c>
      <c r="H9457" t="str">
        <v>Equidistant Cylindrical</v>
      </c>
      <c r="I9457" t="str">
        <v>Telesto (2015) - Sphere / Ocentric / Equirectangular, clon = 0</v>
      </c>
      <c r="J9457" t="str">
        <v>Not specified.</v>
      </c>
      <c r="K9457" s="11">
        <v>0</v>
      </c>
    </row>
    <row r="9458" spans="5:11" x14ac:dyDescent="0.35">
      <c r="E9458" s="9" t="str">
        <v>IAU_2015</v>
      </c>
      <c r="F9458" s="7" t="str">
        <v>61315</v>
      </c>
      <c r="G9458" t="str">
        <v>ProjectedCrs</v>
      </c>
      <c r="H9458" t="str">
        <v>Equidistant Cylindrical</v>
      </c>
      <c r="I9458" t="str">
        <v>Telesto (2015) - Sphere / Ocentric / Equirectangular, clon = 180</v>
      </c>
      <c r="J9458" t="str">
        <v>Not specified.</v>
      </c>
      <c r="K9458" s="11">
        <v>0</v>
      </c>
    </row>
    <row r="9459" spans="5:11" x14ac:dyDescent="0.35">
      <c r="E9459" s="9" t="str">
        <v>IAU_2015</v>
      </c>
      <c r="F9459" s="7" t="str">
        <v>61320</v>
      </c>
      <c r="G9459" t="str">
        <v>ProjectedCrs</v>
      </c>
      <c r="H9459" t="str">
        <v>Sinusoidal</v>
      </c>
      <c r="I9459" t="str">
        <v>Telesto (2015) - Sphere / Ocentric / Sinusoidal, clon = 0</v>
      </c>
      <c r="J9459" t="str">
        <v>Not specified.</v>
      </c>
      <c r="K9459" s="11">
        <v>0</v>
      </c>
    </row>
    <row r="9460" spans="5:11" x14ac:dyDescent="0.35">
      <c r="E9460" s="9" t="str">
        <v>IAU_2015</v>
      </c>
      <c r="F9460" s="7" t="str">
        <v>61325</v>
      </c>
      <c r="G9460" t="str">
        <v>ProjectedCrs</v>
      </c>
      <c r="H9460" t="str">
        <v>Sinusoidal</v>
      </c>
      <c r="I9460" t="str">
        <v>Telesto (2015) - Sphere / Ocentric / Sinusoidal, clon = 180</v>
      </c>
      <c r="J9460" t="str">
        <v>Not specified.</v>
      </c>
      <c r="K9460" s="11">
        <v>0</v>
      </c>
    </row>
    <row r="9461" spans="5:11" x14ac:dyDescent="0.35">
      <c r="E9461" s="9" t="str">
        <v>IAU_2015</v>
      </c>
      <c r="F9461" s="7" t="str">
        <v>61330</v>
      </c>
      <c r="G9461" t="str">
        <v>ProjectedCrs</v>
      </c>
      <c r="H9461" t="str">
        <v>Polar Stereographic (variant A)</v>
      </c>
      <c r="I9461" t="str">
        <v>Telesto (2015) - Sphere / Ocentric / North Polar</v>
      </c>
      <c r="J9461" t="str">
        <v>Not specified.</v>
      </c>
      <c r="K9461" s="11">
        <v>0</v>
      </c>
    </row>
    <row r="9462" spans="5:11" x14ac:dyDescent="0.35">
      <c r="E9462" s="9" t="str">
        <v>IAU_2015</v>
      </c>
      <c r="F9462" s="7" t="str">
        <v>61335</v>
      </c>
      <c r="G9462" t="str">
        <v>ProjectedCrs</v>
      </c>
      <c r="H9462" t="str">
        <v>Polar Stereographic (variant A)</v>
      </c>
      <c r="I9462" t="str">
        <v>Telesto (2015) - Sphere / Ocentric / South Polar</v>
      </c>
      <c r="J9462" t="str">
        <v>Not specified.</v>
      </c>
      <c r="K9462" s="11">
        <v>0</v>
      </c>
    </row>
    <row r="9463" spans="5:11" x14ac:dyDescent="0.35">
      <c r="E9463" s="9" t="str">
        <v>IAU_2015</v>
      </c>
      <c r="F9463" s="7" t="str">
        <v>61340</v>
      </c>
      <c r="G9463" t="str">
        <v>ProjectedCrs</v>
      </c>
      <c r="H9463" t="str">
        <v>Mollweide</v>
      </c>
      <c r="I9463" t="str">
        <v>Telesto (2015) - Sphere / Ocentric / Mollweide, clon = 0</v>
      </c>
      <c r="J9463" t="str">
        <v>Not specified.</v>
      </c>
      <c r="K9463" s="11">
        <v>0</v>
      </c>
    </row>
    <row r="9464" spans="5:11" x14ac:dyDescent="0.35">
      <c r="E9464" s="9" t="str">
        <v>IAU_2015</v>
      </c>
      <c r="F9464" s="7" t="str">
        <v>61345</v>
      </c>
      <c r="G9464" t="str">
        <v>ProjectedCrs</v>
      </c>
      <c r="H9464" t="str">
        <v>Mollweide</v>
      </c>
      <c r="I9464" t="str">
        <v>Telesto (2015) - Sphere / Ocentric / Mollweide, clon = 180</v>
      </c>
      <c r="J9464" t="str">
        <v>Not specified.</v>
      </c>
      <c r="K9464" s="11">
        <v>0</v>
      </c>
    </row>
    <row r="9465" spans="5:11" x14ac:dyDescent="0.35">
      <c r="E9465" s="9" t="str">
        <v>IAU_2015</v>
      </c>
      <c r="F9465" s="7" t="str">
        <v>61350</v>
      </c>
      <c r="G9465" t="str">
        <v>ProjectedCrs</v>
      </c>
      <c r="H9465" t="str">
        <v>Robinson</v>
      </c>
      <c r="I9465" t="str">
        <v>Telesto (2015) - Sphere / Ocentric / Robinson, clon = 0</v>
      </c>
      <c r="J9465" t="str">
        <v>Not specified.</v>
      </c>
      <c r="K9465" s="11">
        <v>0</v>
      </c>
    </row>
    <row r="9466" spans="5:11" x14ac:dyDescent="0.35">
      <c r="E9466" s="9" t="str">
        <v>IAU_2015</v>
      </c>
      <c r="F9466" s="7" t="str">
        <v>61355</v>
      </c>
      <c r="G9466" t="str">
        <v>ProjectedCrs</v>
      </c>
      <c r="H9466" t="str">
        <v>Robinson</v>
      </c>
      <c r="I9466" t="str">
        <v>Telesto (2015) - Sphere / Ocentric / Robinson, clon = 180</v>
      </c>
      <c r="J9466" t="str">
        <v>Not specified.</v>
      </c>
      <c r="K9466" s="11">
        <v>0</v>
      </c>
    </row>
    <row r="9467" spans="5:11" x14ac:dyDescent="0.35">
      <c r="E9467" s="9" t="str">
        <v>IAU_2015</v>
      </c>
      <c r="F9467" s="7" t="str">
        <v>61360</v>
      </c>
      <c r="G9467" t="str">
        <v>ProjectedCrs</v>
      </c>
      <c r="H9467" t="str">
        <v>Transverse Mercator</v>
      </c>
      <c r="I9467" t="str">
        <v>Telesto (2015) - Sphere / Ocentric / Tranverse Mercator</v>
      </c>
      <c r="J9467" t="str">
        <v>Not specified.</v>
      </c>
      <c r="K9467" s="11">
        <v>0</v>
      </c>
    </row>
    <row r="9468" spans="5:11" x14ac:dyDescent="0.35">
      <c r="E9468" s="9" t="str">
        <v>IAU_2015</v>
      </c>
      <c r="F9468" s="7" t="str">
        <v>61365</v>
      </c>
      <c r="G9468" t="str">
        <v>ProjectedCrs</v>
      </c>
      <c r="H9468" t="str">
        <v>Orthographic</v>
      </c>
      <c r="I9468" t="str">
        <v>Telesto (2015) - Sphere / Ocentric / Orthographic, clon = 0</v>
      </c>
      <c r="J9468" t="str">
        <v>Not specified.</v>
      </c>
      <c r="K9468" s="11">
        <v>0</v>
      </c>
    </row>
    <row r="9469" spans="5:11" x14ac:dyDescent="0.35">
      <c r="E9469" s="9" t="str">
        <v>IAU_2015</v>
      </c>
      <c r="F9469" s="7" t="str">
        <v>61370</v>
      </c>
      <c r="G9469" t="str">
        <v>ProjectedCrs</v>
      </c>
      <c r="H9469" t="str">
        <v>Orthographic</v>
      </c>
      <c r="I9469" t="str">
        <v>Telesto (2015) - Sphere / Ocentric / Orthographic, clon = 180</v>
      </c>
      <c r="J9469" t="str">
        <v>Not specified.</v>
      </c>
      <c r="K9469" s="11">
        <v>0</v>
      </c>
    </row>
    <row r="9470" spans="5:11" x14ac:dyDescent="0.35">
      <c r="E9470" s="9" t="str">
        <v>IAU_2015</v>
      </c>
      <c r="F9470" s="7" t="str">
        <v>61375</v>
      </c>
      <c r="G9470" t="str">
        <v>ProjectedCrs</v>
      </c>
      <c r="H9470" t="str">
        <v>Lambert Conic Conformal (2SP)</v>
      </c>
      <c r="I9470" t="str">
        <v>Telesto (2015) - Sphere / Ocentric / Lambert Conic Conformal</v>
      </c>
      <c r="J9470" t="str">
        <v>Not specified.</v>
      </c>
      <c r="K9470" s="11">
        <v>0</v>
      </c>
    </row>
    <row r="9471" spans="5:11" x14ac:dyDescent="0.35">
      <c r="E9471" s="9" t="str">
        <v>IAU_2015</v>
      </c>
      <c r="F9471" s="7" t="str">
        <v>61380</v>
      </c>
      <c r="G9471" t="str">
        <v>ProjectedCrs</v>
      </c>
      <c r="H9471" t="str">
        <v>Lambert Azimuthal Equal Area</v>
      </c>
      <c r="I9471" t="str">
        <v>Telesto (2015) - Sphere / Ocentric / Lambert Azimuthal Equal Area</v>
      </c>
      <c r="J9471" t="str">
        <v>Not specified.</v>
      </c>
      <c r="K9471" s="11">
        <v>0</v>
      </c>
    </row>
    <row r="9472" spans="5:11" x14ac:dyDescent="0.35">
      <c r="E9472" s="9" t="str">
        <v>IAU_2015</v>
      </c>
      <c r="F9472" s="7" t="str">
        <v>61385</v>
      </c>
      <c r="G9472" t="str">
        <v>ProjectedCrs</v>
      </c>
      <c r="H9472" t="str">
        <v>Albers Equal Area</v>
      </c>
      <c r="I9472" t="str">
        <v>Telesto (2015) - Sphere / Ocentric / Albers Equal Area</v>
      </c>
      <c r="J9472" t="str">
        <v>Not specified.</v>
      </c>
      <c r="K9472" s="11">
        <v>0</v>
      </c>
    </row>
    <row r="9473" spans="5:11" x14ac:dyDescent="0.35">
      <c r="E9473" s="9" t="str">
        <v>IAU_2015</v>
      </c>
      <c r="F9473" s="7" t="str">
        <v>61390</v>
      </c>
      <c r="G9473" t="str">
        <v>ProjectedCrs</v>
      </c>
      <c r="H9473" t="str">
        <v>Mercator (Spherical)</v>
      </c>
      <c r="I9473" t="str">
        <v>Telesto (2015) - Sphere / Ocentric / Mercator</v>
      </c>
      <c r="J9473" t="str">
        <v>Not specified.</v>
      </c>
      <c r="K9473" s="11">
        <v>0</v>
      </c>
    </row>
    <row r="9474" spans="5:11" x14ac:dyDescent="0.35">
      <c r="E9474" s="9" t="str">
        <v>IAU_2015</v>
      </c>
      <c r="F9474" s="7" t="str">
        <v>61400</v>
      </c>
      <c r="G9474" t="str">
        <v>Geographic2DCrs</v>
      </c>
      <c r="H9474" t="str">
        <v>&lt;undefined&gt;</v>
      </c>
      <c r="I9474" t="str">
        <v>Calypso (2015) - Sphere / Ocentric</v>
      </c>
      <c r="J9474" t="str">
        <v>Not specified.</v>
      </c>
      <c r="K9474" s="11">
        <v>0</v>
      </c>
    </row>
    <row r="9475" spans="5:11" x14ac:dyDescent="0.35">
      <c r="E9475" s="9" t="str">
        <v>IAU_2015</v>
      </c>
      <c r="F9475" s="7" t="str">
        <v>61410</v>
      </c>
      <c r="G9475" t="str">
        <v>ProjectedCrs</v>
      </c>
      <c r="H9475" t="str">
        <v>Equidistant Cylindrical</v>
      </c>
      <c r="I9475" t="str">
        <v>Calypso (2015) - Sphere / Ocentric / Equirectangular, clon = 0</v>
      </c>
      <c r="J9475" t="str">
        <v>Not specified.</v>
      </c>
      <c r="K9475" s="11">
        <v>0</v>
      </c>
    </row>
    <row r="9476" spans="5:11" x14ac:dyDescent="0.35">
      <c r="E9476" s="9" t="str">
        <v>IAU_2015</v>
      </c>
      <c r="F9476" s="7" t="str">
        <v>61415</v>
      </c>
      <c r="G9476" t="str">
        <v>ProjectedCrs</v>
      </c>
      <c r="H9476" t="str">
        <v>Equidistant Cylindrical</v>
      </c>
      <c r="I9476" t="str">
        <v>Calypso (2015) - Sphere / Ocentric / Equirectangular, clon = 180</v>
      </c>
      <c r="J9476" t="str">
        <v>Not specified.</v>
      </c>
      <c r="K9476" s="11">
        <v>0</v>
      </c>
    </row>
    <row r="9477" spans="5:11" x14ac:dyDescent="0.35">
      <c r="E9477" s="9" t="str">
        <v>IAU_2015</v>
      </c>
      <c r="F9477" s="7" t="str">
        <v>61420</v>
      </c>
      <c r="G9477" t="str">
        <v>ProjectedCrs</v>
      </c>
      <c r="H9477" t="str">
        <v>Sinusoidal</v>
      </c>
      <c r="I9477" t="str">
        <v>Calypso (2015) - Sphere / Ocentric / Sinusoidal, clon = 0</v>
      </c>
      <c r="J9477" t="str">
        <v>Not specified.</v>
      </c>
      <c r="K9477" s="11">
        <v>0</v>
      </c>
    </row>
    <row r="9478" spans="5:11" x14ac:dyDescent="0.35">
      <c r="E9478" s="9" t="str">
        <v>IAU_2015</v>
      </c>
      <c r="F9478" s="7" t="str">
        <v>61425</v>
      </c>
      <c r="G9478" t="str">
        <v>ProjectedCrs</v>
      </c>
      <c r="H9478" t="str">
        <v>Sinusoidal</v>
      </c>
      <c r="I9478" t="str">
        <v>Calypso (2015) - Sphere / Ocentric / Sinusoidal, clon = 180</v>
      </c>
      <c r="J9478" t="str">
        <v>Not specified.</v>
      </c>
      <c r="K9478" s="11">
        <v>0</v>
      </c>
    </row>
    <row r="9479" spans="5:11" x14ac:dyDescent="0.35">
      <c r="E9479" s="9" t="str">
        <v>IAU_2015</v>
      </c>
      <c r="F9479" s="7" t="str">
        <v>61430</v>
      </c>
      <c r="G9479" t="str">
        <v>ProjectedCrs</v>
      </c>
      <c r="H9479" t="str">
        <v>Polar Stereographic (variant A)</v>
      </c>
      <c r="I9479" t="str">
        <v>Calypso (2015) - Sphere / Ocentric / North Polar</v>
      </c>
      <c r="J9479" t="str">
        <v>Not specified.</v>
      </c>
      <c r="K9479" s="11">
        <v>0</v>
      </c>
    </row>
    <row r="9480" spans="5:11" x14ac:dyDescent="0.35">
      <c r="E9480" s="9" t="str">
        <v>IAU_2015</v>
      </c>
      <c r="F9480" s="7" t="str">
        <v>61435</v>
      </c>
      <c r="G9480" t="str">
        <v>ProjectedCrs</v>
      </c>
      <c r="H9480" t="str">
        <v>Polar Stereographic (variant A)</v>
      </c>
      <c r="I9480" t="str">
        <v>Calypso (2015) - Sphere / Ocentric / South Polar</v>
      </c>
      <c r="J9480" t="str">
        <v>Not specified.</v>
      </c>
      <c r="K9480" s="11">
        <v>0</v>
      </c>
    </row>
    <row r="9481" spans="5:11" x14ac:dyDescent="0.35">
      <c r="E9481" s="9" t="str">
        <v>IAU_2015</v>
      </c>
      <c r="F9481" s="7" t="str">
        <v>61440</v>
      </c>
      <c r="G9481" t="str">
        <v>ProjectedCrs</v>
      </c>
      <c r="H9481" t="str">
        <v>Mollweide</v>
      </c>
      <c r="I9481" t="str">
        <v>Calypso (2015) - Sphere / Ocentric / Mollweide, clon = 0</v>
      </c>
      <c r="J9481" t="str">
        <v>Not specified.</v>
      </c>
      <c r="K9481" s="11">
        <v>0</v>
      </c>
    </row>
    <row r="9482" spans="5:11" x14ac:dyDescent="0.35">
      <c r="E9482" s="9" t="str">
        <v>IAU_2015</v>
      </c>
      <c r="F9482" s="7" t="str">
        <v>61445</v>
      </c>
      <c r="G9482" t="str">
        <v>ProjectedCrs</v>
      </c>
      <c r="H9482" t="str">
        <v>Mollweide</v>
      </c>
      <c r="I9482" t="str">
        <v>Calypso (2015) - Sphere / Ocentric / Mollweide, clon = 180</v>
      </c>
      <c r="J9482" t="str">
        <v>Not specified.</v>
      </c>
      <c r="K9482" s="11">
        <v>0</v>
      </c>
    </row>
    <row r="9483" spans="5:11" x14ac:dyDescent="0.35">
      <c r="E9483" s="9" t="str">
        <v>IAU_2015</v>
      </c>
      <c r="F9483" s="7" t="str">
        <v>61450</v>
      </c>
      <c r="G9483" t="str">
        <v>ProjectedCrs</v>
      </c>
      <c r="H9483" t="str">
        <v>Robinson</v>
      </c>
      <c r="I9483" t="str">
        <v>Calypso (2015) - Sphere / Ocentric / Robinson, clon = 0</v>
      </c>
      <c r="J9483" t="str">
        <v>Not specified.</v>
      </c>
      <c r="K9483" s="11">
        <v>0</v>
      </c>
    </row>
    <row r="9484" spans="5:11" x14ac:dyDescent="0.35">
      <c r="E9484" s="9" t="str">
        <v>IAU_2015</v>
      </c>
      <c r="F9484" s="7" t="str">
        <v>61455</v>
      </c>
      <c r="G9484" t="str">
        <v>ProjectedCrs</v>
      </c>
      <c r="H9484" t="str">
        <v>Robinson</v>
      </c>
      <c r="I9484" t="str">
        <v>Calypso (2015) - Sphere / Ocentric / Robinson, clon = 180</v>
      </c>
      <c r="J9484" t="str">
        <v>Not specified.</v>
      </c>
      <c r="K9484" s="11">
        <v>0</v>
      </c>
    </row>
    <row r="9485" spans="5:11" x14ac:dyDescent="0.35">
      <c r="E9485" s="9" t="str">
        <v>IAU_2015</v>
      </c>
      <c r="F9485" s="7" t="str">
        <v>61460</v>
      </c>
      <c r="G9485" t="str">
        <v>ProjectedCrs</v>
      </c>
      <c r="H9485" t="str">
        <v>Transverse Mercator</v>
      </c>
      <c r="I9485" t="str">
        <v>Calypso (2015) - Sphere / Ocentric / Tranverse Mercator</v>
      </c>
      <c r="J9485" t="str">
        <v>Not specified.</v>
      </c>
      <c r="K9485" s="11">
        <v>0</v>
      </c>
    </row>
    <row r="9486" spans="5:11" x14ac:dyDescent="0.35">
      <c r="E9486" s="9" t="str">
        <v>IAU_2015</v>
      </c>
      <c r="F9486" s="7" t="str">
        <v>61465</v>
      </c>
      <c r="G9486" t="str">
        <v>ProjectedCrs</v>
      </c>
      <c r="H9486" t="str">
        <v>Orthographic</v>
      </c>
      <c r="I9486" t="str">
        <v>Calypso (2015) - Sphere / Ocentric / Orthographic, clon = 0</v>
      </c>
      <c r="J9486" t="str">
        <v>Not specified.</v>
      </c>
      <c r="K9486" s="11">
        <v>0</v>
      </c>
    </row>
    <row r="9487" spans="5:11" x14ac:dyDescent="0.35">
      <c r="E9487" s="9" t="str">
        <v>IAU_2015</v>
      </c>
      <c r="F9487" s="7" t="str">
        <v>61470</v>
      </c>
      <c r="G9487" t="str">
        <v>ProjectedCrs</v>
      </c>
      <c r="H9487" t="str">
        <v>Orthographic</v>
      </c>
      <c r="I9487" t="str">
        <v>Calypso (2015) - Sphere / Ocentric / Orthographic, clon = 180</v>
      </c>
      <c r="J9487" t="str">
        <v>Not specified.</v>
      </c>
      <c r="K9487" s="11">
        <v>0</v>
      </c>
    </row>
    <row r="9488" spans="5:11" x14ac:dyDescent="0.35">
      <c r="E9488" s="9" t="str">
        <v>IAU_2015</v>
      </c>
      <c r="F9488" s="7" t="str">
        <v>61475</v>
      </c>
      <c r="G9488" t="str">
        <v>ProjectedCrs</v>
      </c>
      <c r="H9488" t="str">
        <v>Lambert Conic Conformal (2SP)</v>
      </c>
      <c r="I9488" t="str">
        <v>Calypso (2015) - Sphere / Ocentric / Lambert Conic Conformal</v>
      </c>
      <c r="J9488" t="str">
        <v>Not specified.</v>
      </c>
      <c r="K9488" s="11">
        <v>0</v>
      </c>
    </row>
    <row r="9489" spans="5:11" x14ac:dyDescent="0.35">
      <c r="E9489" s="9" t="str">
        <v>IAU_2015</v>
      </c>
      <c r="F9489" s="7" t="str">
        <v>61480</v>
      </c>
      <c r="G9489" t="str">
        <v>ProjectedCrs</v>
      </c>
      <c r="H9489" t="str">
        <v>Lambert Azimuthal Equal Area</v>
      </c>
      <c r="I9489" t="str">
        <v>Calypso (2015) - Sphere / Ocentric / Lambert Azimuthal Equal Area</v>
      </c>
      <c r="J9489" t="str">
        <v>Not specified.</v>
      </c>
      <c r="K9489" s="11">
        <v>0</v>
      </c>
    </row>
    <row r="9490" spans="5:11" x14ac:dyDescent="0.35">
      <c r="E9490" s="9" t="str">
        <v>IAU_2015</v>
      </c>
      <c r="F9490" s="7" t="str">
        <v>61485</v>
      </c>
      <c r="G9490" t="str">
        <v>ProjectedCrs</v>
      </c>
      <c r="H9490" t="str">
        <v>Albers Equal Area</v>
      </c>
      <c r="I9490" t="str">
        <v>Calypso (2015) - Sphere / Ocentric / Albers Equal Area</v>
      </c>
      <c r="J9490" t="str">
        <v>Not specified.</v>
      </c>
      <c r="K9490" s="11">
        <v>0</v>
      </c>
    </row>
    <row r="9491" spans="5:11" x14ac:dyDescent="0.35">
      <c r="E9491" s="9" t="str">
        <v>IAU_2015</v>
      </c>
      <c r="F9491" s="7" t="str">
        <v>61490</v>
      </c>
      <c r="G9491" t="str">
        <v>ProjectedCrs</v>
      </c>
      <c r="H9491" t="str">
        <v>Mercator (Spherical)</v>
      </c>
      <c r="I9491" t="str">
        <v>Calypso (2015) - Sphere / Ocentric / Mercator</v>
      </c>
      <c r="J9491" t="str">
        <v>Not specified.</v>
      </c>
      <c r="K9491" s="11">
        <v>0</v>
      </c>
    </row>
    <row r="9492" spans="5:11" x14ac:dyDescent="0.35">
      <c r="E9492" s="9" t="str">
        <v>IAU_2015</v>
      </c>
      <c r="F9492" s="7" t="str">
        <v>61500</v>
      </c>
      <c r="G9492" t="str">
        <v>Geographic2DCrs</v>
      </c>
      <c r="H9492" t="str">
        <v>&lt;undefined&gt;</v>
      </c>
      <c r="I9492" t="str">
        <v>Atlas (2015) - Sphere / Ocentric</v>
      </c>
      <c r="J9492" t="str">
        <v>Not specified.</v>
      </c>
      <c r="K9492" s="11">
        <v>0</v>
      </c>
    </row>
    <row r="9493" spans="5:11" x14ac:dyDescent="0.35">
      <c r="E9493" s="9" t="str">
        <v>IAU_2015</v>
      </c>
      <c r="F9493" s="7" t="str">
        <v>61510</v>
      </c>
      <c r="G9493" t="str">
        <v>ProjectedCrs</v>
      </c>
      <c r="H9493" t="str">
        <v>Equidistant Cylindrical</v>
      </c>
      <c r="I9493" t="str">
        <v>Atlas (2015) - Sphere / Ocentric / Equirectangular, clon = 0</v>
      </c>
      <c r="J9493" t="str">
        <v>Not specified.</v>
      </c>
      <c r="K9493" s="11">
        <v>0</v>
      </c>
    </row>
    <row r="9494" spans="5:11" x14ac:dyDescent="0.35">
      <c r="E9494" s="9" t="str">
        <v>IAU_2015</v>
      </c>
      <c r="F9494" s="7" t="str">
        <v>61515</v>
      </c>
      <c r="G9494" t="str">
        <v>ProjectedCrs</v>
      </c>
      <c r="H9494" t="str">
        <v>Equidistant Cylindrical</v>
      </c>
      <c r="I9494" t="str">
        <v>Atlas (2015) - Sphere / Ocentric / Equirectangular, clon = 180</v>
      </c>
      <c r="J9494" t="str">
        <v>Not specified.</v>
      </c>
      <c r="K9494" s="11">
        <v>0</v>
      </c>
    </row>
    <row r="9495" spans="5:11" x14ac:dyDescent="0.35">
      <c r="E9495" s="9" t="str">
        <v>IAU_2015</v>
      </c>
      <c r="F9495" s="7" t="str">
        <v>61520</v>
      </c>
      <c r="G9495" t="str">
        <v>ProjectedCrs</v>
      </c>
      <c r="H9495" t="str">
        <v>Sinusoidal</v>
      </c>
      <c r="I9495" t="str">
        <v>Atlas (2015) - Sphere / Ocentric / Sinusoidal, clon = 0</v>
      </c>
      <c r="J9495" t="str">
        <v>Not specified.</v>
      </c>
      <c r="K9495" s="11">
        <v>0</v>
      </c>
    </row>
    <row r="9496" spans="5:11" x14ac:dyDescent="0.35">
      <c r="E9496" s="9" t="str">
        <v>IAU_2015</v>
      </c>
      <c r="F9496" s="7" t="str">
        <v>61525</v>
      </c>
      <c r="G9496" t="str">
        <v>ProjectedCrs</v>
      </c>
      <c r="H9496" t="str">
        <v>Sinusoidal</v>
      </c>
      <c r="I9496" t="str">
        <v>Atlas (2015) - Sphere / Ocentric / Sinusoidal, clon = 180</v>
      </c>
      <c r="J9496" t="str">
        <v>Not specified.</v>
      </c>
      <c r="K9496" s="11">
        <v>0</v>
      </c>
    </row>
    <row r="9497" spans="5:11" x14ac:dyDescent="0.35">
      <c r="E9497" s="9" t="str">
        <v>IAU_2015</v>
      </c>
      <c r="F9497" s="7" t="str">
        <v>61530</v>
      </c>
      <c r="G9497" t="str">
        <v>ProjectedCrs</v>
      </c>
      <c r="H9497" t="str">
        <v>Polar Stereographic (variant A)</v>
      </c>
      <c r="I9497" t="str">
        <v>Atlas (2015) - Sphere / Ocentric / North Polar</v>
      </c>
      <c r="J9497" t="str">
        <v>Not specified.</v>
      </c>
      <c r="K9497" s="11">
        <v>0</v>
      </c>
    </row>
    <row r="9498" spans="5:11" x14ac:dyDescent="0.35">
      <c r="E9498" s="9" t="str">
        <v>IAU_2015</v>
      </c>
      <c r="F9498" s="7" t="str">
        <v>61535</v>
      </c>
      <c r="G9498" t="str">
        <v>ProjectedCrs</v>
      </c>
      <c r="H9498" t="str">
        <v>Polar Stereographic (variant A)</v>
      </c>
      <c r="I9498" t="str">
        <v>Atlas (2015) - Sphere / Ocentric / South Polar</v>
      </c>
      <c r="J9498" t="str">
        <v>Not specified.</v>
      </c>
      <c r="K9498" s="11">
        <v>0</v>
      </c>
    </row>
    <row r="9499" spans="5:11" x14ac:dyDescent="0.35">
      <c r="E9499" s="9" t="str">
        <v>IAU_2015</v>
      </c>
      <c r="F9499" s="7" t="str">
        <v>61540</v>
      </c>
      <c r="G9499" t="str">
        <v>ProjectedCrs</v>
      </c>
      <c r="H9499" t="str">
        <v>Mollweide</v>
      </c>
      <c r="I9499" t="str">
        <v>Atlas (2015) - Sphere / Ocentric / Mollweide, clon = 0</v>
      </c>
      <c r="J9499" t="str">
        <v>Not specified.</v>
      </c>
      <c r="K9499" s="11">
        <v>0</v>
      </c>
    </row>
    <row r="9500" spans="5:11" x14ac:dyDescent="0.35">
      <c r="E9500" s="9" t="str">
        <v>IAU_2015</v>
      </c>
      <c r="F9500" s="7" t="str">
        <v>61545</v>
      </c>
      <c r="G9500" t="str">
        <v>ProjectedCrs</v>
      </c>
      <c r="H9500" t="str">
        <v>Mollweide</v>
      </c>
      <c r="I9500" t="str">
        <v>Atlas (2015) - Sphere / Ocentric / Mollweide, clon = 180</v>
      </c>
      <c r="J9500" t="str">
        <v>Not specified.</v>
      </c>
      <c r="K9500" s="11">
        <v>0</v>
      </c>
    </row>
    <row r="9501" spans="5:11" x14ac:dyDescent="0.35">
      <c r="E9501" s="9" t="str">
        <v>IAU_2015</v>
      </c>
      <c r="F9501" s="7" t="str">
        <v>61550</v>
      </c>
      <c r="G9501" t="str">
        <v>ProjectedCrs</v>
      </c>
      <c r="H9501" t="str">
        <v>Robinson</v>
      </c>
      <c r="I9501" t="str">
        <v>Atlas (2015) - Sphere / Ocentric / Robinson, clon = 0</v>
      </c>
      <c r="J9501" t="str">
        <v>Not specified.</v>
      </c>
      <c r="K9501" s="11">
        <v>0</v>
      </c>
    </row>
    <row r="9502" spans="5:11" x14ac:dyDescent="0.35">
      <c r="E9502" s="9" t="str">
        <v>IAU_2015</v>
      </c>
      <c r="F9502" s="7" t="str">
        <v>61555</v>
      </c>
      <c r="G9502" t="str">
        <v>ProjectedCrs</v>
      </c>
      <c r="H9502" t="str">
        <v>Robinson</v>
      </c>
      <c r="I9502" t="str">
        <v>Atlas (2015) - Sphere / Ocentric / Robinson, clon = 180</v>
      </c>
      <c r="J9502" t="str">
        <v>Not specified.</v>
      </c>
      <c r="K9502" s="11">
        <v>0</v>
      </c>
    </row>
    <row r="9503" spans="5:11" x14ac:dyDescent="0.35">
      <c r="E9503" s="9" t="str">
        <v>IAU_2015</v>
      </c>
      <c r="F9503" s="7" t="str">
        <v>61560</v>
      </c>
      <c r="G9503" t="str">
        <v>ProjectedCrs</v>
      </c>
      <c r="H9503" t="str">
        <v>Transverse Mercator</v>
      </c>
      <c r="I9503" t="str">
        <v>Atlas (2015) - Sphere / Ocentric / Tranverse Mercator</v>
      </c>
      <c r="J9503" t="str">
        <v>Not specified.</v>
      </c>
      <c r="K9503" s="11">
        <v>0</v>
      </c>
    </row>
    <row r="9504" spans="5:11" x14ac:dyDescent="0.35">
      <c r="E9504" s="9" t="str">
        <v>IAU_2015</v>
      </c>
      <c r="F9504" s="7" t="str">
        <v>61565</v>
      </c>
      <c r="G9504" t="str">
        <v>ProjectedCrs</v>
      </c>
      <c r="H9504" t="str">
        <v>Orthographic</v>
      </c>
      <c r="I9504" t="str">
        <v>Atlas (2015) - Sphere / Ocentric / Orthographic, clon = 0</v>
      </c>
      <c r="J9504" t="str">
        <v>Not specified.</v>
      </c>
      <c r="K9504" s="11">
        <v>0</v>
      </c>
    </row>
    <row r="9505" spans="5:11" x14ac:dyDescent="0.35">
      <c r="E9505" s="9" t="str">
        <v>IAU_2015</v>
      </c>
      <c r="F9505" s="7" t="str">
        <v>61570</v>
      </c>
      <c r="G9505" t="str">
        <v>ProjectedCrs</v>
      </c>
      <c r="H9505" t="str">
        <v>Orthographic</v>
      </c>
      <c r="I9505" t="str">
        <v>Atlas (2015) - Sphere / Ocentric / Orthographic, clon = 180</v>
      </c>
      <c r="J9505" t="str">
        <v>Not specified.</v>
      </c>
      <c r="K9505" s="11">
        <v>0</v>
      </c>
    </row>
    <row r="9506" spans="5:11" x14ac:dyDescent="0.35">
      <c r="E9506" s="9" t="str">
        <v>IAU_2015</v>
      </c>
      <c r="F9506" s="7" t="str">
        <v>61575</v>
      </c>
      <c r="G9506" t="str">
        <v>ProjectedCrs</v>
      </c>
      <c r="H9506" t="str">
        <v>Lambert Conic Conformal (2SP)</v>
      </c>
      <c r="I9506" t="str">
        <v>Atlas (2015) - Sphere / Ocentric / Lambert Conic Conformal</v>
      </c>
      <c r="J9506" t="str">
        <v>Not specified.</v>
      </c>
      <c r="K9506" s="11">
        <v>0</v>
      </c>
    </row>
    <row r="9507" spans="5:11" x14ac:dyDescent="0.35">
      <c r="E9507" s="9" t="str">
        <v>IAU_2015</v>
      </c>
      <c r="F9507" s="7" t="str">
        <v>61580</v>
      </c>
      <c r="G9507" t="str">
        <v>ProjectedCrs</v>
      </c>
      <c r="H9507" t="str">
        <v>Lambert Azimuthal Equal Area</v>
      </c>
      <c r="I9507" t="str">
        <v>Atlas (2015) - Sphere / Ocentric / Lambert Azimuthal Equal Area</v>
      </c>
      <c r="J9507" t="str">
        <v>Not specified.</v>
      </c>
      <c r="K9507" s="11">
        <v>0</v>
      </c>
    </row>
    <row r="9508" spans="5:11" x14ac:dyDescent="0.35">
      <c r="E9508" s="9" t="str">
        <v>IAU_2015</v>
      </c>
      <c r="F9508" s="7" t="str">
        <v>61585</v>
      </c>
      <c r="G9508" t="str">
        <v>ProjectedCrs</v>
      </c>
      <c r="H9508" t="str">
        <v>Albers Equal Area</v>
      </c>
      <c r="I9508" t="str">
        <v>Atlas (2015) - Sphere / Ocentric / Albers Equal Area</v>
      </c>
      <c r="J9508" t="str">
        <v>Not specified.</v>
      </c>
      <c r="K9508" s="11">
        <v>0</v>
      </c>
    </row>
    <row r="9509" spans="5:11" x14ac:dyDescent="0.35">
      <c r="E9509" s="9" t="str">
        <v>IAU_2015</v>
      </c>
      <c r="F9509" s="7" t="str">
        <v>61590</v>
      </c>
      <c r="G9509" t="str">
        <v>ProjectedCrs</v>
      </c>
      <c r="H9509" t="str">
        <v>Mercator (Spherical)</v>
      </c>
      <c r="I9509" t="str">
        <v>Atlas (2015) - Sphere / Ocentric / Mercator</v>
      </c>
      <c r="J9509" t="str">
        <v>Not specified.</v>
      </c>
      <c r="K9509" s="11">
        <v>0</v>
      </c>
    </row>
    <row r="9510" spans="5:11" x14ac:dyDescent="0.35">
      <c r="E9510" s="9" t="str">
        <v>IAU_2015</v>
      </c>
      <c r="F9510" s="7" t="str">
        <v>61600</v>
      </c>
      <c r="G9510" t="str">
        <v>Geographic2DCrs</v>
      </c>
      <c r="H9510" t="str">
        <v>&lt;undefined&gt;</v>
      </c>
      <c r="I9510" t="str">
        <v>Prometheus (2015) - Sphere / Ocentric</v>
      </c>
      <c r="J9510" t="str">
        <v>Not specified.</v>
      </c>
      <c r="K9510" s="11">
        <v>0</v>
      </c>
    </row>
    <row r="9511" spans="5:11" x14ac:dyDescent="0.35">
      <c r="E9511" s="9" t="str">
        <v>IAU_2015</v>
      </c>
      <c r="F9511" s="7" t="str">
        <v>61610</v>
      </c>
      <c r="G9511" t="str">
        <v>ProjectedCrs</v>
      </c>
      <c r="H9511" t="str">
        <v>Equidistant Cylindrical</v>
      </c>
      <c r="I9511" t="str">
        <v>Prometheus (2015) - Sphere / Ocentric / Equirectangular, clon = 0</v>
      </c>
      <c r="J9511" t="str">
        <v>Not specified.</v>
      </c>
      <c r="K9511" s="11">
        <v>0</v>
      </c>
    </row>
    <row r="9512" spans="5:11" x14ac:dyDescent="0.35">
      <c r="E9512" s="9" t="str">
        <v>IAU_2015</v>
      </c>
      <c r="F9512" s="7" t="str">
        <v>61615</v>
      </c>
      <c r="G9512" t="str">
        <v>ProjectedCrs</v>
      </c>
      <c r="H9512" t="str">
        <v>Equidistant Cylindrical</v>
      </c>
      <c r="I9512" t="str">
        <v>Prometheus (2015) - Sphere / Ocentric / Equirectangular, clon = 180</v>
      </c>
      <c r="J9512" t="str">
        <v>Not specified.</v>
      </c>
      <c r="K9512" s="11">
        <v>0</v>
      </c>
    </row>
    <row r="9513" spans="5:11" x14ac:dyDescent="0.35">
      <c r="E9513" s="9" t="str">
        <v>IAU_2015</v>
      </c>
      <c r="F9513" s="7" t="str">
        <v>61620</v>
      </c>
      <c r="G9513" t="str">
        <v>ProjectedCrs</v>
      </c>
      <c r="H9513" t="str">
        <v>Sinusoidal</v>
      </c>
      <c r="I9513" t="str">
        <v>Prometheus (2015) - Sphere / Ocentric / Sinusoidal, clon = 0</v>
      </c>
      <c r="J9513" t="str">
        <v>Not specified.</v>
      </c>
      <c r="K9513" s="11">
        <v>0</v>
      </c>
    </row>
    <row r="9514" spans="5:11" x14ac:dyDescent="0.35">
      <c r="E9514" s="9" t="str">
        <v>IAU_2015</v>
      </c>
      <c r="F9514" s="7" t="str">
        <v>61625</v>
      </c>
      <c r="G9514" t="str">
        <v>ProjectedCrs</v>
      </c>
      <c r="H9514" t="str">
        <v>Sinusoidal</v>
      </c>
      <c r="I9514" t="str">
        <v>Prometheus (2015) - Sphere / Ocentric / Sinusoidal, clon = 180</v>
      </c>
      <c r="J9514" t="str">
        <v>Not specified.</v>
      </c>
      <c r="K9514" s="11">
        <v>0</v>
      </c>
    </row>
    <row r="9515" spans="5:11" x14ac:dyDescent="0.35">
      <c r="E9515" s="9" t="str">
        <v>IAU_2015</v>
      </c>
      <c r="F9515" s="7" t="str">
        <v>61630</v>
      </c>
      <c r="G9515" t="str">
        <v>ProjectedCrs</v>
      </c>
      <c r="H9515" t="str">
        <v>Polar Stereographic (variant A)</v>
      </c>
      <c r="I9515" t="str">
        <v>Prometheus (2015) - Sphere / Ocentric / North Polar</v>
      </c>
      <c r="J9515" t="str">
        <v>Not specified.</v>
      </c>
      <c r="K9515" s="11">
        <v>0</v>
      </c>
    </row>
    <row r="9516" spans="5:11" x14ac:dyDescent="0.35">
      <c r="E9516" s="9" t="str">
        <v>IAU_2015</v>
      </c>
      <c r="F9516" s="7" t="str">
        <v>61635</v>
      </c>
      <c r="G9516" t="str">
        <v>ProjectedCrs</v>
      </c>
      <c r="H9516" t="str">
        <v>Polar Stereographic (variant A)</v>
      </c>
      <c r="I9516" t="str">
        <v>Prometheus (2015) - Sphere / Ocentric / South Polar</v>
      </c>
      <c r="J9516" t="str">
        <v>Not specified.</v>
      </c>
      <c r="K9516" s="11">
        <v>0</v>
      </c>
    </row>
    <row r="9517" spans="5:11" x14ac:dyDescent="0.35">
      <c r="E9517" s="9" t="str">
        <v>IAU_2015</v>
      </c>
      <c r="F9517" s="7" t="str">
        <v>61640</v>
      </c>
      <c r="G9517" t="str">
        <v>ProjectedCrs</v>
      </c>
      <c r="H9517" t="str">
        <v>Mollweide</v>
      </c>
      <c r="I9517" t="str">
        <v>Prometheus (2015) - Sphere / Ocentric / Mollweide, clon = 0</v>
      </c>
      <c r="J9517" t="str">
        <v>Not specified.</v>
      </c>
      <c r="K9517" s="11">
        <v>0</v>
      </c>
    </row>
    <row r="9518" spans="5:11" x14ac:dyDescent="0.35">
      <c r="E9518" s="9" t="str">
        <v>IAU_2015</v>
      </c>
      <c r="F9518" s="7" t="str">
        <v>61645</v>
      </c>
      <c r="G9518" t="str">
        <v>ProjectedCrs</v>
      </c>
      <c r="H9518" t="str">
        <v>Mollweide</v>
      </c>
      <c r="I9518" t="str">
        <v>Prometheus (2015) - Sphere / Ocentric / Mollweide, clon = 180</v>
      </c>
      <c r="J9518" t="str">
        <v>Not specified.</v>
      </c>
      <c r="K9518" s="11">
        <v>0</v>
      </c>
    </row>
    <row r="9519" spans="5:11" x14ac:dyDescent="0.35">
      <c r="E9519" s="9" t="str">
        <v>IAU_2015</v>
      </c>
      <c r="F9519" s="7" t="str">
        <v>61650</v>
      </c>
      <c r="G9519" t="str">
        <v>ProjectedCrs</v>
      </c>
      <c r="H9519" t="str">
        <v>Robinson</v>
      </c>
      <c r="I9519" t="str">
        <v>Prometheus (2015) - Sphere / Ocentric / Robinson, clon = 0</v>
      </c>
      <c r="J9519" t="str">
        <v>Not specified.</v>
      </c>
      <c r="K9519" s="11">
        <v>0</v>
      </c>
    </row>
    <row r="9520" spans="5:11" x14ac:dyDescent="0.35">
      <c r="E9520" s="9" t="str">
        <v>IAU_2015</v>
      </c>
      <c r="F9520" s="7" t="str">
        <v>61655</v>
      </c>
      <c r="G9520" t="str">
        <v>ProjectedCrs</v>
      </c>
      <c r="H9520" t="str">
        <v>Robinson</v>
      </c>
      <c r="I9520" t="str">
        <v>Prometheus (2015) - Sphere / Ocentric / Robinson, clon = 180</v>
      </c>
      <c r="J9520" t="str">
        <v>Not specified.</v>
      </c>
      <c r="K9520" s="11">
        <v>0</v>
      </c>
    </row>
    <row r="9521" spans="5:11" x14ac:dyDescent="0.35">
      <c r="E9521" s="9" t="str">
        <v>IAU_2015</v>
      </c>
      <c r="F9521" s="7" t="str">
        <v>61660</v>
      </c>
      <c r="G9521" t="str">
        <v>ProjectedCrs</v>
      </c>
      <c r="H9521" t="str">
        <v>Transverse Mercator</v>
      </c>
      <c r="I9521" t="str">
        <v>Prometheus (2015) - Sphere / Ocentric / Tranverse Mercator</v>
      </c>
      <c r="J9521" t="str">
        <v>Not specified.</v>
      </c>
      <c r="K9521" s="11">
        <v>0</v>
      </c>
    </row>
    <row r="9522" spans="5:11" x14ac:dyDescent="0.35">
      <c r="E9522" s="9" t="str">
        <v>IAU_2015</v>
      </c>
      <c r="F9522" s="7" t="str">
        <v>61665</v>
      </c>
      <c r="G9522" t="str">
        <v>ProjectedCrs</v>
      </c>
      <c r="H9522" t="str">
        <v>Orthographic</v>
      </c>
      <c r="I9522" t="str">
        <v>Prometheus (2015) - Sphere / Ocentric / Orthographic, clon = 0</v>
      </c>
      <c r="J9522" t="str">
        <v>Not specified.</v>
      </c>
      <c r="K9522" s="11">
        <v>0</v>
      </c>
    </row>
    <row r="9523" spans="5:11" x14ac:dyDescent="0.35">
      <c r="E9523" s="9" t="str">
        <v>IAU_2015</v>
      </c>
      <c r="F9523" s="7" t="str">
        <v>61670</v>
      </c>
      <c r="G9523" t="str">
        <v>ProjectedCrs</v>
      </c>
      <c r="H9523" t="str">
        <v>Orthographic</v>
      </c>
      <c r="I9523" t="str">
        <v>Prometheus (2015) - Sphere / Ocentric / Orthographic, clon = 180</v>
      </c>
      <c r="J9523" t="str">
        <v>Not specified.</v>
      </c>
      <c r="K9523" s="11">
        <v>0</v>
      </c>
    </row>
    <row r="9524" spans="5:11" x14ac:dyDescent="0.35">
      <c r="E9524" s="9" t="str">
        <v>IAU_2015</v>
      </c>
      <c r="F9524" s="7" t="str">
        <v>61675</v>
      </c>
      <c r="G9524" t="str">
        <v>ProjectedCrs</v>
      </c>
      <c r="H9524" t="str">
        <v>Lambert Conic Conformal (2SP)</v>
      </c>
      <c r="I9524" t="str">
        <v>Prometheus (2015) - Sphere / Ocentric / Lambert Conic Conformal</v>
      </c>
      <c r="J9524" t="str">
        <v>Not specified.</v>
      </c>
      <c r="K9524" s="11">
        <v>0</v>
      </c>
    </row>
    <row r="9525" spans="5:11" x14ac:dyDescent="0.35">
      <c r="E9525" s="9" t="str">
        <v>IAU_2015</v>
      </c>
      <c r="F9525" s="7" t="str">
        <v>61680</v>
      </c>
      <c r="G9525" t="str">
        <v>ProjectedCrs</v>
      </c>
      <c r="H9525" t="str">
        <v>Lambert Azimuthal Equal Area</v>
      </c>
      <c r="I9525" t="str">
        <v>Prometheus (2015) - Sphere / Ocentric / Lambert Azimuthal Equal Area</v>
      </c>
      <c r="J9525" t="str">
        <v>Not specified.</v>
      </c>
      <c r="K9525" s="11">
        <v>0</v>
      </c>
    </row>
    <row r="9526" spans="5:11" x14ac:dyDescent="0.35">
      <c r="E9526" s="9" t="str">
        <v>IAU_2015</v>
      </c>
      <c r="F9526" s="7" t="str">
        <v>61685</v>
      </c>
      <c r="G9526" t="str">
        <v>ProjectedCrs</v>
      </c>
      <c r="H9526" t="str">
        <v>Albers Equal Area</v>
      </c>
      <c r="I9526" t="str">
        <v>Prometheus (2015) - Sphere / Ocentric / Albers Equal Area</v>
      </c>
      <c r="J9526" t="str">
        <v>Not specified.</v>
      </c>
      <c r="K9526" s="11">
        <v>0</v>
      </c>
    </row>
    <row r="9527" spans="5:11" x14ac:dyDescent="0.35">
      <c r="E9527" s="9" t="str">
        <v>IAU_2015</v>
      </c>
      <c r="F9527" s="7" t="str">
        <v>61690</v>
      </c>
      <c r="G9527" t="str">
        <v>ProjectedCrs</v>
      </c>
      <c r="H9527" t="str">
        <v>Mercator (Spherical)</v>
      </c>
      <c r="I9527" t="str">
        <v>Prometheus (2015) - Sphere / Ocentric / Mercator</v>
      </c>
      <c r="J9527" t="str">
        <v>Not specified.</v>
      </c>
      <c r="K9527" s="11">
        <v>0</v>
      </c>
    </row>
    <row r="9528" spans="5:11" x14ac:dyDescent="0.35">
      <c r="E9528" s="9" t="str">
        <v>IAU_2015</v>
      </c>
      <c r="F9528" s="7" t="str">
        <v>61700</v>
      </c>
      <c r="G9528" t="str">
        <v>Geographic2DCrs</v>
      </c>
      <c r="H9528" t="str">
        <v>&lt;undefined&gt;</v>
      </c>
      <c r="I9528" t="str">
        <v>Pandora (2015) - Sphere / Ocentric</v>
      </c>
      <c r="J9528" t="str">
        <v>Not specified.</v>
      </c>
      <c r="K9528" s="11">
        <v>0</v>
      </c>
    </row>
    <row r="9529" spans="5:11" x14ac:dyDescent="0.35">
      <c r="E9529" s="9" t="str">
        <v>IAU_2015</v>
      </c>
      <c r="F9529" s="7" t="str">
        <v>61710</v>
      </c>
      <c r="G9529" t="str">
        <v>ProjectedCrs</v>
      </c>
      <c r="H9529" t="str">
        <v>Equidistant Cylindrical</v>
      </c>
      <c r="I9529" t="str">
        <v>Pandora (2015) - Sphere / Ocentric / Equirectangular, clon = 0</v>
      </c>
      <c r="J9529" t="str">
        <v>Not specified.</v>
      </c>
      <c r="K9529" s="11">
        <v>0</v>
      </c>
    </row>
    <row r="9530" spans="5:11" x14ac:dyDescent="0.35">
      <c r="E9530" s="9" t="str">
        <v>IAU_2015</v>
      </c>
      <c r="F9530" s="7" t="str">
        <v>61715</v>
      </c>
      <c r="G9530" t="str">
        <v>ProjectedCrs</v>
      </c>
      <c r="H9530" t="str">
        <v>Equidistant Cylindrical</v>
      </c>
      <c r="I9530" t="str">
        <v>Pandora (2015) - Sphere / Ocentric / Equirectangular, clon = 180</v>
      </c>
      <c r="J9530" t="str">
        <v>Not specified.</v>
      </c>
      <c r="K9530" s="11">
        <v>0</v>
      </c>
    </row>
    <row r="9531" spans="5:11" x14ac:dyDescent="0.35">
      <c r="E9531" s="9" t="str">
        <v>IAU_2015</v>
      </c>
      <c r="F9531" s="7" t="str">
        <v>61720</v>
      </c>
      <c r="G9531" t="str">
        <v>ProjectedCrs</v>
      </c>
      <c r="H9531" t="str">
        <v>Sinusoidal</v>
      </c>
      <c r="I9531" t="str">
        <v>Pandora (2015) - Sphere / Ocentric / Sinusoidal, clon = 0</v>
      </c>
      <c r="J9531" t="str">
        <v>Not specified.</v>
      </c>
      <c r="K9531" s="11">
        <v>0</v>
      </c>
    </row>
    <row r="9532" spans="5:11" x14ac:dyDescent="0.35">
      <c r="E9532" s="9" t="str">
        <v>IAU_2015</v>
      </c>
      <c r="F9532" s="7" t="str">
        <v>61725</v>
      </c>
      <c r="G9532" t="str">
        <v>ProjectedCrs</v>
      </c>
      <c r="H9532" t="str">
        <v>Sinusoidal</v>
      </c>
      <c r="I9532" t="str">
        <v>Pandora (2015) - Sphere / Ocentric / Sinusoidal, clon = 180</v>
      </c>
      <c r="J9532" t="str">
        <v>Not specified.</v>
      </c>
      <c r="K9532" s="11">
        <v>0</v>
      </c>
    </row>
    <row r="9533" spans="5:11" x14ac:dyDescent="0.35">
      <c r="E9533" s="9" t="str">
        <v>IAU_2015</v>
      </c>
      <c r="F9533" s="7" t="str">
        <v>61730</v>
      </c>
      <c r="G9533" t="str">
        <v>ProjectedCrs</v>
      </c>
      <c r="H9533" t="str">
        <v>Polar Stereographic (variant A)</v>
      </c>
      <c r="I9533" t="str">
        <v>Pandora (2015) - Sphere / Ocentric / North Polar</v>
      </c>
      <c r="J9533" t="str">
        <v>Not specified.</v>
      </c>
      <c r="K9533" s="11">
        <v>0</v>
      </c>
    </row>
    <row r="9534" spans="5:11" x14ac:dyDescent="0.35">
      <c r="E9534" s="9" t="str">
        <v>IAU_2015</v>
      </c>
      <c r="F9534" s="7" t="str">
        <v>61735</v>
      </c>
      <c r="G9534" t="str">
        <v>ProjectedCrs</v>
      </c>
      <c r="H9534" t="str">
        <v>Polar Stereographic (variant A)</v>
      </c>
      <c r="I9534" t="str">
        <v>Pandora (2015) - Sphere / Ocentric / South Polar</v>
      </c>
      <c r="J9534" t="str">
        <v>Not specified.</v>
      </c>
      <c r="K9534" s="11">
        <v>0</v>
      </c>
    </row>
    <row r="9535" spans="5:11" x14ac:dyDescent="0.35">
      <c r="E9535" s="9" t="str">
        <v>IAU_2015</v>
      </c>
      <c r="F9535" s="7" t="str">
        <v>61740</v>
      </c>
      <c r="G9535" t="str">
        <v>ProjectedCrs</v>
      </c>
      <c r="H9535" t="str">
        <v>Mollweide</v>
      </c>
      <c r="I9535" t="str">
        <v>Pandora (2015) - Sphere / Ocentric / Mollweide, clon = 0</v>
      </c>
      <c r="J9535" t="str">
        <v>Not specified.</v>
      </c>
      <c r="K9535" s="11">
        <v>0</v>
      </c>
    </row>
    <row r="9536" spans="5:11" x14ac:dyDescent="0.35">
      <c r="E9536" s="9" t="str">
        <v>IAU_2015</v>
      </c>
      <c r="F9536" s="7" t="str">
        <v>61745</v>
      </c>
      <c r="G9536" t="str">
        <v>ProjectedCrs</v>
      </c>
      <c r="H9536" t="str">
        <v>Mollweide</v>
      </c>
      <c r="I9536" t="str">
        <v>Pandora (2015) - Sphere / Ocentric / Mollweide, clon = 180</v>
      </c>
      <c r="J9536" t="str">
        <v>Not specified.</v>
      </c>
      <c r="K9536" s="11">
        <v>0</v>
      </c>
    </row>
    <row r="9537" spans="5:11" x14ac:dyDescent="0.35">
      <c r="E9537" s="9" t="str">
        <v>IAU_2015</v>
      </c>
      <c r="F9537" s="7" t="str">
        <v>61750</v>
      </c>
      <c r="G9537" t="str">
        <v>ProjectedCrs</v>
      </c>
      <c r="H9537" t="str">
        <v>Robinson</v>
      </c>
      <c r="I9537" t="str">
        <v>Pandora (2015) - Sphere / Ocentric / Robinson, clon = 0</v>
      </c>
      <c r="J9537" t="str">
        <v>Not specified.</v>
      </c>
      <c r="K9537" s="11">
        <v>0</v>
      </c>
    </row>
    <row r="9538" spans="5:11" x14ac:dyDescent="0.35">
      <c r="E9538" s="9" t="str">
        <v>IAU_2015</v>
      </c>
      <c r="F9538" s="7" t="str">
        <v>61755</v>
      </c>
      <c r="G9538" t="str">
        <v>ProjectedCrs</v>
      </c>
      <c r="H9538" t="str">
        <v>Robinson</v>
      </c>
      <c r="I9538" t="str">
        <v>Pandora (2015) - Sphere / Ocentric / Robinson, clon = 180</v>
      </c>
      <c r="J9538" t="str">
        <v>Not specified.</v>
      </c>
      <c r="K9538" s="11">
        <v>0</v>
      </c>
    </row>
    <row r="9539" spans="5:11" x14ac:dyDescent="0.35">
      <c r="E9539" s="9" t="str">
        <v>IAU_2015</v>
      </c>
      <c r="F9539" s="7" t="str">
        <v>61760</v>
      </c>
      <c r="G9539" t="str">
        <v>ProjectedCrs</v>
      </c>
      <c r="H9539" t="str">
        <v>Transverse Mercator</v>
      </c>
      <c r="I9539" t="str">
        <v>Pandora (2015) - Sphere / Ocentric / Tranverse Mercator</v>
      </c>
      <c r="J9539" t="str">
        <v>Not specified.</v>
      </c>
      <c r="K9539" s="11">
        <v>0</v>
      </c>
    </row>
    <row r="9540" spans="5:11" x14ac:dyDescent="0.35">
      <c r="E9540" s="9" t="str">
        <v>IAU_2015</v>
      </c>
      <c r="F9540" s="7" t="str">
        <v>61765</v>
      </c>
      <c r="G9540" t="str">
        <v>ProjectedCrs</v>
      </c>
      <c r="H9540" t="str">
        <v>Orthographic</v>
      </c>
      <c r="I9540" t="str">
        <v>Pandora (2015) - Sphere / Ocentric / Orthographic, clon = 0</v>
      </c>
      <c r="J9540" t="str">
        <v>Not specified.</v>
      </c>
      <c r="K9540" s="11">
        <v>0</v>
      </c>
    </row>
    <row r="9541" spans="5:11" x14ac:dyDescent="0.35">
      <c r="E9541" s="9" t="str">
        <v>IAU_2015</v>
      </c>
      <c r="F9541" s="7" t="str">
        <v>61770</v>
      </c>
      <c r="G9541" t="str">
        <v>ProjectedCrs</v>
      </c>
      <c r="H9541" t="str">
        <v>Orthographic</v>
      </c>
      <c r="I9541" t="str">
        <v>Pandora (2015) - Sphere / Ocentric / Orthographic, clon = 180</v>
      </c>
      <c r="J9541" t="str">
        <v>Not specified.</v>
      </c>
      <c r="K9541" s="11">
        <v>0</v>
      </c>
    </row>
    <row r="9542" spans="5:11" x14ac:dyDescent="0.35">
      <c r="E9542" s="9" t="str">
        <v>IAU_2015</v>
      </c>
      <c r="F9542" s="7" t="str">
        <v>61775</v>
      </c>
      <c r="G9542" t="str">
        <v>ProjectedCrs</v>
      </c>
      <c r="H9542" t="str">
        <v>Lambert Conic Conformal (2SP)</v>
      </c>
      <c r="I9542" t="str">
        <v>Pandora (2015) - Sphere / Ocentric / Lambert Conic Conformal</v>
      </c>
      <c r="J9542" t="str">
        <v>Not specified.</v>
      </c>
      <c r="K9542" s="11">
        <v>0</v>
      </c>
    </row>
    <row r="9543" spans="5:11" x14ac:dyDescent="0.35">
      <c r="E9543" s="9" t="str">
        <v>IAU_2015</v>
      </c>
      <c r="F9543" s="7" t="str">
        <v>61780</v>
      </c>
      <c r="G9543" t="str">
        <v>ProjectedCrs</v>
      </c>
      <c r="H9543" t="str">
        <v>Lambert Azimuthal Equal Area</v>
      </c>
      <c r="I9543" t="str">
        <v>Pandora (2015) - Sphere / Ocentric / Lambert Azimuthal Equal Area</v>
      </c>
      <c r="J9543" t="str">
        <v>Not specified.</v>
      </c>
      <c r="K9543" s="11">
        <v>0</v>
      </c>
    </row>
    <row r="9544" spans="5:11" x14ac:dyDescent="0.35">
      <c r="E9544" s="9" t="str">
        <v>IAU_2015</v>
      </c>
      <c r="F9544" s="7" t="str">
        <v>61785</v>
      </c>
      <c r="G9544" t="str">
        <v>ProjectedCrs</v>
      </c>
      <c r="H9544" t="str">
        <v>Albers Equal Area</v>
      </c>
      <c r="I9544" t="str">
        <v>Pandora (2015) - Sphere / Ocentric / Albers Equal Area</v>
      </c>
      <c r="J9544" t="str">
        <v>Not specified.</v>
      </c>
      <c r="K9544" s="11">
        <v>0</v>
      </c>
    </row>
    <row r="9545" spans="5:11" x14ac:dyDescent="0.35">
      <c r="E9545" s="9" t="str">
        <v>IAU_2015</v>
      </c>
      <c r="F9545" s="7" t="str">
        <v>61790</v>
      </c>
      <c r="G9545" t="str">
        <v>ProjectedCrs</v>
      </c>
      <c r="H9545" t="str">
        <v>Mercator (Spherical)</v>
      </c>
      <c r="I9545" t="str">
        <v>Pandora (2015) - Sphere / Ocentric / Mercator</v>
      </c>
      <c r="J9545" t="str">
        <v>Not specified.</v>
      </c>
      <c r="K9545" s="11">
        <v>0</v>
      </c>
    </row>
    <row r="9546" spans="5:11" x14ac:dyDescent="0.35">
      <c r="E9546" s="9" t="str">
        <v>IAU_2015</v>
      </c>
      <c r="F9546" s="7" t="str">
        <v>61800</v>
      </c>
      <c r="G9546" t="str">
        <v>Geographic2DCrs</v>
      </c>
      <c r="H9546" t="str">
        <v>&lt;undefined&gt;</v>
      </c>
      <c r="I9546" t="str">
        <v>Pan (2015) - Sphere / Ocentric</v>
      </c>
      <c r="J9546" t="str">
        <v>Not specified.</v>
      </c>
      <c r="K9546" s="11">
        <v>0</v>
      </c>
    </row>
    <row r="9547" spans="5:11" x14ac:dyDescent="0.35">
      <c r="E9547" s="9" t="str">
        <v>IAU_2015</v>
      </c>
      <c r="F9547" s="7" t="str">
        <v>61810</v>
      </c>
      <c r="G9547" t="str">
        <v>ProjectedCrs</v>
      </c>
      <c r="H9547" t="str">
        <v>Equidistant Cylindrical</v>
      </c>
      <c r="I9547" t="str">
        <v>Pan (2015) - Sphere / Ocentric / Equirectangular, clon = 0</v>
      </c>
      <c r="J9547" t="str">
        <v>Not specified.</v>
      </c>
      <c r="K9547" s="11">
        <v>0</v>
      </c>
    </row>
    <row r="9548" spans="5:11" x14ac:dyDescent="0.35">
      <c r="E9548" s="9" t="str">
        <v>IAU_2015</v>
      </c>
      <c r="F9548" s="7" t="str">
        <v>61815</v>
      </c>
      <c r="G9548" t="str">
        <v>ProjectedCrs</v>
      </c>
      <c r="H9548" t="str">
        <v>Equidistant Cylindrical</v>
      </c>
      <c r="I9548" t="str">
        <v>Pan (2015) - Sphere / Ocentric / Equirectangular, clon = 180</v>
      </c>
      <c r="J9548" t="str">
        <v>Not specified.</v>
      </c>
      <c r="K9548" s="11">
        <v>0</v>
      </c>
    </row>
    <row r="9549" spans="5:11" x14ac:dyDescent="0.35">
      <c r="E9549" s="9" t="str">
        <v>IAU_2015</v>
      </c>
      <c r="F9549" s="7" t="str">
        <v>61820</v>
      </c>
      <c r="G9549" t="str">
        <v>ProjectedCrs</v>
      </c>
      <c r="H9549" t="str">
        <v>Sinusoidal</v>
      </c>
      <c r="I9549" t="str">
        <v>Pan (2015) - Sphere / Ocentric / Sinusoidal, clon = 0</v>
      </c>
      <c r="J9549" t="str">
        <v>Not specified.</v>
      </c>
      <c r="K9549" s="11">
        <v>0</v>
      </c>
    </row>
    <row r="9550" spans="5:11" x14ac:dyDescent="0.35">
      <c r="E9550" s="9" t="str">
        <v>IAU_2015</v>
      </c>
      <c r="F9550" s="7" t="str">
        <v>61825</v>
      </c>
      <c r="G9550" t="str">
        <v>ProjectedCrs</v>
      </c>
      <c r="H9550" t="str">
        <v>Sinusoidal</v>
      </c>
      <c r="I9550" t="str">
        <v>Pan (2015) - Sphere / Ocentric / Sinusoidal, clon = 180</v>
      </c>
      <c r="J9550" t="str">
        <v>Not specified.</v>
      </c>
      <c r="K9550" s="11">
        <v>0</v>
      </c>
    </row>
    <row r="9551" spans="5:11" x14ac:dyDescent="0.35">
      <c r="E9551" s="9" t="str">
        <v>IAU_2015</v>
      </c>
      <c r="F9551" s="7" t="str">
        <v>61830</v>
      </c>
      <c r="G9551" t="str">
        <v>ProjectedCrs</v>
      </c>
      <c r="H9551" t="str">
        <v>Polar Stereographic (variant A)</v>
      </c>
      <c r="I9551" t="str">
        <v>Pan (2015) - Sphere / Ocentric / North Polar</v>
      </c>
      <c r="J9551" t="str">
        <v>Not specified.</v>
      </c>
      <c r="K9551" s="11">
        <v>0</v>
      </c>
    </row>
    <row r="9552" spans="5:11" x14ac:dyDescent="0.35">
      <c r="E9552" s="9" t="str">
        <v>IAU_2015</v>
      </c>
      <c r="F9552" s="7" t="str">
        <v>61835</v>
      </c>
      <c r="G9552" t="str">
        <v>ProjectedCrs</v>
      </c>
      <c r="H9552" t="str">
        <v>Polar Stereographic (variant A)</v>
      </c>
      <c r="I9552" t="str">
        <v>Pan (2015) - Sphere / Ocentric / South Polar</v>
      </c>
      <c r="J9552" t="str">
        <v>Not specified.</v>
      </c>
      <c r="K9552" s="11">
        <v>0</v>
      </c>
    </row>
    <row r="9553" spans="5:11" x14ac:dyDescent="0.35">
      <c r="E9553" s="9" t="str">
        <v>IAU_2015</v>
      </c>
      <c r="F9553" s="7" t="str">
        <v>61840</v>
      </c>
      <c r="G9553" t="str">
        <v>ProjectedCrs</v>
      </c>
      <c r="H9553" t="str">
        <v>Mollweide</v>
      </c>
      <c r="I9553" t="str">
        <v>Pan (2015) - Sphere / Ocentric / Mollweide, clon = 0</v>
      </c>
      <c r="J9553" t="str">
        <v>Not specified.</v>
      </c>
      <c r="K9553" s="11">
        <v>0</v>
      </c>
    </row>
    <row r="9554" spans="5:11" x14ac:dyDescent="0.35">
      <c r="E9554" s="9" t="str">
        <v>IAU_2015</v>
      </c>
      <c r="F9554" s="7" t="str">
        <v>61845</v>
      </c>
      <c r="G9554" t="str">
        <v>ProjectedCrs</v>
      </c>
      <c r="H9554" t="str">
        <v>Mollweide</v>
      </c>
      <c r="I9554" t="str">
        <v>Pan (2015) - Sphere / Ocentric / Mollweide, clon = 180</v>
      </c>
      <c r="J9554" t="str">
        <v>Not specified.</v>
      </c>
      <c r="K9554" s="11">
        <v>0</v>
      </c>
    </row>
    <row r="9555" spans="5:11" x14ac:dyDescent="0.35">
      <c r="E9555" s="9" t="str">
        <v>IAU_2015</v>
      </c>
      <c r="F9555" s="7" t="str">
        <v>61850</v>
      </c>
      <c r="G9555" t="str">
        <v>ProjectedCrs</v>
      </c>
      <c r="H9555" t="str">
        <v>Robinson</v>
      </c>
      <c r="I9555" t="str">
        <v>Pan (2015) - Sphere / Ocentric / Robinson, clon = 0</v>
      </c>
      <c r="J9555" t="str">
        <v>Not specified.</v>
      </c>
      <c r="K9555" s="11">
        <v>0</v>
      </c>
    </row>
    <row r="9556" spans="5:11" x14ac:dyDescent="0.35">
      <c r="E9556" s="9" t="str">
        <v>IAU_2015</v>
      </c>
      <c r="F9556" s="7" t="str">
        <v>61855</v>
      </c>
      <c r="G9556" t="str">
        <v>ProjectedCrs</v>
      </c>
      <c r="H9556" t="str">
        <v>Robinson</v>
      </c>
      <c r="I9556" t="str">
        <v>Pan (2015) - Sphere / Ocentric / Robinson, clon = 180</v>
      </c>
      <c r="J9556" t="str">
        <v>Not specified.</v>
      </c>
      <c r="K9556" s="11">
        <v>0</v>
      </c>
    </row>
    <row r="9557" spans="5:11" x14ac:dyDescent="0.35">
      <c r="E9557" s="9" t="str">
        <v>IAU_2015</v>
      </c>
      <c r="F9557" s="7" t="str">
        <v>61860</v>
      </c>
      <c r="G9557" t="str">
        <v>ProjectedCrs</v>
      </c>
      <c r="H9557" t="str">
        <v>Transverse Mercator</v>
      </c>
      <c r="I9557" t="str">
        <v>Pan (2015) - Sphere / Ocentric / Tranverse Mercator</v>
      </c>
      <c r="J9557" t="str">
        <v>Not specified.</v>
      </c>
      <c r="K9557" s="11">
        <v>0</v>
      </c>
    </row>
    <row r="9558" spans="5:11" x14ac:dyDescent="0.35">
      <c r="E9558" s="9" t="str">
        <v>IAU_2015</v>
      </c>
      <c r="F9558" s="7" t="str">
        <v>61865</v>
      </c>
      <c r="G9558" t="str">
        <v>ProjectedCrs</v>
      </c>
      <c r="H9558" t="str">
        <v>Orthographic</v>
      </c>
      <c r="I9558" t="str">
        <v>Pan (2015) - Sphere / Ocentric / Orthographic, clon = 0</v>
      </c>
      <c r="J9558" t="str">
        <v>Not specified.</v>
      </c>
      <c r="K9558" s="11">
        <v>0</v>
      </c>
    </row>
    <row r="9559" spans="5:11" x14ac:dyDescent="0.35">
      <c r="E9559" s="9" t="str">
        <v>IAU_2015</v>
      </c>
      <c r="F9559" s="7" t="str">
        <v>61870</v>
      </c>
      <c r="G9559" t="str">
        <v>ProjectedCrs</v>
      </c>
      <c r="H9559" t="str">
        <v>Orthographic</v>
      </c>
      <c r="I9559" t="str">
        <v>Pan (2015) - Sphere / Ocentric / Orthographic, clon = 180</v>
      </c>
      <c r="J9559" t="str">
        <v>Not specified.</v>
      </c>
      <c r="K9559" s="11">
        <v>0</v>
      </c>
    </row>
    <row r="9560" spans="5:11" x14ac:dyDescent="0.35">
      <c r="E9560" s="9" t="str">
        <v>IAU_2015</v>
      </c>
      <c r="F9560" s="7" t="str">
        <v>61875</v>
      </c>
      <c r="G9560" t="str">
        <v>ProjectedCrs</v>
      </c>
      <c r="H9560" t="str">
        <v>Lambert Conic Conformal (2SP)</v>
      </c>
      <c r="I9560" t="str">
        <v>Pan (2015) - Sphere / Ocentric / Lambert Conic Conformal</v>
      </c>
      <c r="J9560" t="str">
        <v>Not specified.</v>
      </c>
      <c r="K9560" s="11">
        <v>0</v>
      </c>
    </row>
    <row r="9561" spans="5:11" x14ac:dyDescent="0.35">
      <c r="E9561" s="9" t="str">
        <v>IAU_2015</v>
      </c>
      <c r="F9561" s="7" t="str">
        <v>61880</v>
      </c>
      <c r="G9561" t="str">
        <v>ProjectedCrs</v>
      </c>
      <c r="H9561" t="str">
        <v>Lambert Azimuthal Equal Area</v>
      </c>
      <c r="I9561" t="str">
        <v>Pan (2015) - Sphere / Ocentric / Lambert Azimuthal Equal Area</v>
      </c>
      <c r="J9561" t="str">
        <v>Not specified.</v>
      </c>
      <c r="K9561" s="11">
        <v>0</v>
      </c>
    </row>
    <row r="9562" spans="5:11" x14ac:dyDescent="0.35">
      <c r="E9562" s="9" t="str">
        <v>IAU_2015</v>
      </c>
      <c r="F9562" s="7" t="str">
        <v>61885</v>
      </c>
      <c r="G9562" t="str">
        <v>ProjectedCrs</v>
      </c>
      <c r="H9562" t="str">
        <v>Albers Equal Area</v>
      </c>
      <c r="I9562" t="str">
        <v>Pan (2015) - Sphere / Ocentric / Albers Equal Area</v>
      </c>
      <c r="J9562" t="str">
        <v>Not specified.</v>
      </c>
      <c r="K9562" s="11">
        <v>0</v>
      </c>
    </row>
    <row r="9563" spans="5:11" x14ac:dyDescent="0.35">
      <c r="E9563" s="9" t="str">
        <v>IAU_2015</v>
      </c>
      <c r="F9563" s="7" t="str">
        <v>61890</v>
      </c>
      <c r="G9563" t="str">
        <v>ProjectedCrs</v>
      </c>
      <c r="H9563" t="str">
        <v>Mercator (Spherical)</v>
      </c>
      <c r="I9563" t="str">
        <v>Pan (2015) - Sphere / Ocentric / Mercator</v>
      </c>
      <c r="J9563" t="str">
        <v>Not specified.</v>
      </c>
      <c r="K9563" s="11">
        <v>0</v>
      </c>
    </row>
    <row r="9564" spans="5:11" x14ac:dyDescent="0.35">
      <c r="E9564" s="9" t="str">
        <v>IAU_2015</v>
      </c>
      <c r="F9564" s="7" t="str">
        <v>63200</v>
      </c>
      <c r="G9564" t="str">
        <v>Geographic2DCrs</v>
      </c>
      <c r="H9564" t="str">
        <v>&lt;undefined&gt;</v>
      </c>
      <c r="I9564" t="str">
        <v>Methone (2015) - Sphere / Ocentric</v>
      </c>
      <c r="J9564" t="str">
        <v>Not specified.</v>
      </c>
      <c r="K9564" s="11">
        <v>0</v>
      </c>
    </row>
    <row r="9565" spans="5:11" x14ac:dyDescent="0.35">
      <c r="E9565" s="9" t="str">
        <v>IAU_2015</v>
      </c>
      <c r="F9565" s="7" t="str">
        <v>63210</v>
      </c>
      <c r="G9565" t="str">
        <v>ProjectedCrs</v>
      </c>
      <c r="H9565" t="str">
        <v>Equidistant Cylindrical</v>
      </c>
      <c r="I9565" t="str">
        <v>Methone (2015) - Sphere / Ocentric / Equirectangular, clon = 0</v>
      </c>
      <c r="J9565" t="str">
        <v>Not specified.</v>
      </c>
      <c r="K9565" s="11">
        <v>0</v>
      </c>
    </row>
    <row r="9566" spans="5:11" x14ac:dyDescent="0.35">
      <c r="E9566" s="9" t="str">
        <v>IAU_2015</v>
      </c>
      <c r="F9566" s="7" t="str">
        <v>63215</v>
      </c>
      <c r="G9566" t="str">
        <v>ProjectedCrs</v>
      </c>
      <c r="H9566" t="str">
        <v>Equidistant Cylindrical</v>
      </c>
      <c r="I9566" t="str">
        <v>Methone (2015) - Sphere / Ocentric / Equirectangular, clon = 180</v>
      </c>
      <c r="J9566" t="str">
        <v>Not specified.</v>
      </c>
      <c r="K9566" s="11">
        <v>0</v>
      </c>
    </row>
    <row r="9567" spans="5:11" x14ac:dyDescent="0.35">
      <c r="E9567" s="9" t="str">
        <v>IAU_2015</v>
      </c>
      <c r="F9567" s="7" t="str">
        <v>63220</v>
      </c>
      <c r="G9567" t="str">
        <v>ProjectedCrs</v>
      </c>
      <c r="H9567" t="str">
        <v>Sinusoidal</v>
      </c>
      <c r="I9567" t="str">
        <v>Methone (2015) - Sphere / Ocentric / Sinusoidal, clon = 0</v>
      </c>
      <c r="J9567" t="str">
        <v>Not specified.</v>
      </c>
      <c r="K9567" s="11">
        <v>0</v>
      </c>
    </row>
    <row r="9568" spans="5:11" x14ac:dyDescent="0.35">
      <c r="E9568" s="9" t="str">
        <v>IAU_2015</v>
      </c>
      <c r="F9568" s="7" t="str">
        <v>63225</v>
      </c>
      <c r="G9568" t="str">
        <v>ProjectedCrs</v>
      </c>
      <c r="H9568" t="str">
        <v>Sinusoidal</v>
      </c>
      <c r="I9568" t="str">
        <v>Methone (2015) - Sphere / Ocentric / Sinusoidal, clon = 180</v>
      </c>
      <c r="J9568" t="str">
        <v>Not specified.</v>
      </c>
      <c r="K9568" s="11">
        <v>0</v>
      </c>
    </row>
    <row r="9569" spans="5:11" x14ac:dyDescent="0.35">
      <c r="E9569" s="9" t="str">
        <v>IAU_2015</v>
      </c>
      <c r="F9569" s="7" t="str">
        <v>63230</v>
      </c>
      <c r="G9569" t="str">
        <v>ProjectedCrs</v>
      </c>
      <c r="H9569" t="str">
        <v>Polar Stereographic (variant A)</v>
      </c>
      <c r="I9569" t="str">
        <v>Methone (2015) - Sphere / Ocentric / North Polar</v>
      </c>
      <c r="J9569" t="str">
        <v>Not specified.</v>
      </c>
      <c r="K9569" s="11">
        <v>0</v>
      </c>
    </row>
    <row r="9570" spans="5:11" x14ac:dyDescent="0.35">
      <c r="E9570" s="9" t="str">
        <v>IAU_2015</v>
      </c>
      <c r="F9570" s="7" t="str">
        <v>63235</v>
      </c>
      <c r="G9570" t="str">
        <v>ProjectedCrs</v>
      </c>
      <c r="H9570" t="str">
        <v>Polar Stereographic (variant A)</v>
      </c>
      <c r="I9570" t="str">
        <v>Methone (2015) - Sphere / Ocentric / South Polar</v>
      </c>
      <c r="J9570" t="str">
        <v>Not specified.</v>
      </c>
      <c r="K9570" s="11">
        <v>0</v>
      </c>
    </row>
    <row r="9571" spans="5:11" x14ac:dyDescent="0.35">
      <c r="E9571" s="9" t="str">
        <v>IAU_2015</v>
      </c>
      <c r="F9571" s="7" t="str">
        <v>63240</v>
      </c>
      <c r="G9571" t="str">
        <v>ProjectedCrs</v>
      </c>
      <c r="H9571" t="str">
        <v>Mollweide</v>
      </c>
      <c r="I9571" t="str">
        <v>Methone (2015) - Sphere / Ocentric / Mollweide, clon = 0</v>
      </c>
      <c r="J9571" t="str">
        <v>Not specified.</v>
      </c>
      <c r="K9571" s="11">
        <v>0</v>
      </c>
    </row>
    <row r="9572" spans="5:11" x14ac:dyDescent="0.35">
      <c r="E9572" s="9" t="str">
        <v>IAU_2015</v>
      </c>
      <c r="F9572" s="7" t="str">
        <v>63245</v>
      </c>
      <c r="G9572" t="str">
        <v>ProjectedCrs</v>
      </c>
      <c r="H9572" t="str">
        <v>Mollweide</v>
      </c>
      <c r="I9572" t="str">
        <v>Methone (2015) - Sphere / Ocentric / Mollweide, clon = 180</v>
      </c>
      <c r="J9572" t="str">
        <v>Not specified.</v>
      </c>
      <c r="K9572" s="11">
        <v>0</v>
      </c>
    </row>
    <row r="9573" spans="5:11" x14ac:dyDescent="0.35">
      <c r="E9573" s="9" t="str">
        <v>IAU_2015</v>
      </c>
      <c r="F9573" s="7" t="str">
        <v>63250</v>
      </c>
      <c r="G9573" t="str">
        <v>ProjectedCrs</v>
      </c>
      <c r="H9573" t="str">
        <v>Robinson</v>
      </c>
      <c r="I9573" t="str">
        <v>Methone (2015) - Sphere / Ocentric / Robinson, clon = 0</v>
      </c>
      <c r="J9573" t="str">
        <v>Not specified.</v>
      </c>
      <c r="K9573" s="11">
        <v>0</v>
      </c>
    </row>
    <row r="9574" spans="5:11" x14ac:dyDescent="0.35">
      <c r="E9574" s="9" t="str">
        <v>IAU_2015</v>
      </c>
      <c r="F9574" s="7" t="str">
        <v>63255</v>
      </c>
      <c r="G9574" t="str">
        <v>ProjectedCrs</v>
      </c>
      <c r="H9574" t="str">
        <v>Robinson</v>
      </c>
      <c r="I9574" t="str">
        <v>Methone (2015) - Sphere / Ocentric / Robinson, clon = 180</v>
      </c>
      <c r="J9574" t="str">
        <v>Not specified.</v>
      </c>
      <c r="K9574" s="11">
        <v>0</v>
      </c>
    </row>
    <row r="9575" spans="5:11" x14ac:dyDescent="0.35">
      <c r="E9575" s="9" t="str">
        <v>IAU_2015</v>
      </c>
      <c r="F9575" s="7" t="str">
        <v>63260</v>
      </c>
      <c r="G9575" t="str">
        <v>ProjectedCrs</v>
      </c>
      <c r="H9575" t="str">
        <v>Transverse Mercator</v>
      </c>
      <c r="I9575" t="str">
        <v>Methone (2015) - Sphere / Ocentric / Tranverse Mercator</v>
      </c>
      <c r="J9575" t="str">
        <v>Not specified.</v>
      </c>
      <c r="K9575" s="11">
        <v>0</v>
      </c>
    </row>
    <row r="9576" spans="5:11" x14ac:dyDescent="0.35">
      <c r="E9576" s="9" t="str">
        <v>IAU_2015</v>
      </c>
      <c r="F9576" s="7" t="str">
        <v>63265</v>
      </c>
      <c r="G9576" t="str">
        <v>ProjectedCrs</v>
      </c>
      <c r="H9576" t="str">
        <v>Orthographic</v>
      </c>
      <c r="I9576" t="str">
        <v>Methone (2015) - Sphere / Ocentric / Orthographic, clon = 0</v>
      </c>
      <c r="J9576" t="str">
        <v>Not specified.</v>
      </c>
      <c r="K9576" s="11">
        <v>0</v>
      </c>
    </row>
    <row r="9577" spans="5:11" x14ac:dyDescent="0.35">
      <c r="E9577" s="9" t="str">
        <v>IAU_2015</v>
      </c>
      <c r="F9577" s="7" t="str">
        <v>63270</v>
      </c>
      <c r="G9577" t="str">
        <v>ProjectedCrs</v>
      </c>
      <c r="H9577" t="str">
        <v>Orthographic</v>
      </c>
      <c r="I9577" t="str">
        <v>Methone (2015) - Sphere / Ocentric / Orthographic, clon = 180</v>
      </c>
      <c r="J9577" t="str">
        <v>Not specified.</v>
      </c>
      <c r="K9577" s="11">
        <v>0</v>
      </c>
    </row>
    <row r="9578" spans="5:11" x14ac:dyDescent="0.35">
      <c r="E9578" s="9" t="str">
        <v>IAU_2015</v>
      </c>
      <c r="F9578" s="7" t="str">
        <v>63275</v>
      </c>
      <c r="G9578" t="str">
        <v>ProjectedCrs</v>
      </c>
      <c r="H9578" t="str">
        <v>Lambert Conic Conformal (2SP)</v>
      </c>
      <c r="I9578" t="str">
        <v>Methone (2015) - Sphere / Ocentric / Lambert Conic Conformal</v>
      </c>
      <c r="J9578" t="str">
        <v>Not specified.</v>
      </c>
      <c r="K9578" s="11">
        <v>0</v>
      </c>
    </row>
    <row r="9579" spans="5:11" x14ac:dyDescent="0.35">
      <c r="E9579" s="9" t="str">
        <v>IAU_2015</v>
      </c>
      <c r="F9579" s="7" t="str">
        <v>63280</v>
      </c>
      <c r="G9579" t="str">
        <v>ProjectedCrs</v>
      </c>
      <c r="H9579" t="str">
        <v>Lambert Azimuthal Equal Area</v>
      </c>
      <c r="I9579" t="str">
        <v>Methone (2015) - Sphere / Ocentric / Lambert Azimuthal Equal Area</v>
      </c>
      <c r="J9579" t="str">
        <v>Not specified.</v>
      </c>
      <c r="K9579" s="11">
        <v>0</v>
      </c>
    </row>
    <row r="9580" spans="5:11" x14ac:dyDescent="0.35">
      <c r="E9580" s="9" t="str">
        <v>IAU_2015</v>
      </c>
      <c r="F9580" s="7" t="str">
        <v>63285</v>
      </c>
      <c r="G9580" t="str">
        <v>ProjectedCrs</v>
      </c>
      <c r="H9580" t="str">
        <v>Albers Equal Area</v>
      </c>
      <c r="I9580" t="str">
        <v>Methone (2015) - Sphere / Ocentric / Albers Equal Area</v>
      </c>
      <c r="J9580" t="str">
        <v>Not specified.</v>
      </c>
      <c r="K9580" s="11">
        <v>0</v>
      </c>
    </row>
    <row r="9581" spans="5:11" x14ac:dyDescent="0.35">
      <c r="E9581" s="9" t="str">
        <v>IAU_2015</v>
      </c>
      <c r="F9581" s="7" t="str">
        <v>63290</v>
      </c>
      <c r="G9581" t="str">
        <v>ProjectedCrs</v>
      </c>
      <c r="H9581" t="str">
        <v>Mercator (Spherical)</v>
      </c>
      <c r="I9581" t="str">
        <v>Methone (2015) - Sphere / Ocentric / Mercator</v>
      </c>
      <c r="J9581" t="str">
        <v>Not specified.</v>
      </c>
      <c r="K9581" s="11">
        <v>0</v>
      </c>
    </row>
    <row r="9582" spans="5:11" x14ac:dyDescent="0.35">
      <c r="E9582" s="9" t="str">
        <v>IAU_2015</v>
      </c>
      <c r="F9582" s="7" t="str">
        <v>63300</v>
      </c>
      <c r="G9582" t="str">
        <v>Geographic2DCrs</v>
      </c>
      <c r="H9582" t="str">
        <v>&lt;undefined&gt;</v>
      </c>
      <c r="I9582" t="str">
        <v>Pallene (2015) - Sphere / Ocentric</v>
      </c>
      <c r="J9582" t="str">
        <v>Not specified.</v>
      </c>
      <c r="K9582" s="11">
        <v>0</v>
      </c>
    </row>
    <row r="9583" spans="5:11" x14ac:dyDescent="0.35">
      <c r="E9583" s="9" t="str">
        <v>IAU_2015</v>
      </c>
      <c r="F9583" s="7" t="str">
        <v>63310</v>
      </c>
      <c r="G9583" t="str">
        <v>ProjectedCrs</v>
      </c>
      <c r="H9583" t="str">
        <v>Equidistant Cylindrical</v>
      </c>
      <c r="I9583" t="str">
        <v>Pallene (2015) - Sphere / Ocentric / Equirectangular, clon = 0</v>
      </c>
      <c r="J9583" t="str">
        <v>Not specified.</v>
      </c>
      <c r="K9583" s="11">
        <v>0</v>
      </c>
    </row>
    <row r="9584" spans="5:11" x14ac:dyDescent="0.35">
      <c r="E9584" s="9" t="str">
        <v>IAU_2015</v>
      </c>
      <c r="F9584" s="7" t="str">
        <v>63315</v>
      </c>
      <c r="G9584" t="str">
        <v>ProjectedCrs</v>
      </c>
      <c r="H9584" t="str">
        <v>Equidistant Cylindrical</v>
      </c>
      <c r="I9584" t="str">
        <v>Pallene (2015) - Sphere / Ocentric / Equirectangular, clon = 180</v>
      </c>
      <c r="J9584" t="str">
        <v>Not specified.</v>
      </c>
      <c r="K9584" s="11">
        <v>0</v>
      </c>
    </row>
    <row r="9585" spans="5:11" x14ac:dyDescent="0.35">
      <c r="E9585" s="9" t="str">
        <v>IAU_2015</v>
      </c>
      <c r="F9585" s="7" t="str">
        <v>63320</v>
      </c>
      <c r="G9585" t="str">
        <v>ProjectedCrs</v>
      </c>
      <c r="H9585" t="str">
        <v>Sinusoidal</v>
      </c>
      <c r="I9585" t="str">
        <v>Pallene (2015) - Sphere / Ocentric / Sinusoidal, clon = 0</v>
      </c>
      <c r="J9585" t="str">
        <v>Not specified.</v>
      </c>
      <c r="K9585" s="11">
        <v>0</v>
      </c>
    </row>
    <row r="9586" spans="5:11" x14ac:dyDescent="0.35">
      <c r="E9586" s="9" t="str">
        <v>IAU_2015</v>
      </c>
      <c r="F9586" s="7" t="str">
        <v>63325</v>
      </c>
      <c r="G9586" t="str">
        <v>ProjectedCrs</v>
      </c>
      <c r="H9586" t="str">
        <v>Sinusoidal</v>
      </c>
      <c r="I9586" t="str">
        <v>Pallene (2015) - Sphere / Ocentric / Sinusoidal, clon = 180</v>
      </c>
      <c r="J9586" t="str">
        <v>Not specified.</v>
      </c>
      <c r="K9586" s="11">
        <v>0</v>
      </c>
    </row>
    <row r="9587" spans="5:11" x14ac:dyDescent="0.35">
      <c r="E9587" s="9" t="str">
        <v>IAU_2015</v>
      </c>
      <c r="F9587" s="7" t="str">
        <v>63330</v>
      </c>
      <c r="G9587" t="str">
        <v>ProjectedCrs</v>
      </c>
      <c r="H9587" t="str">
        <v>Polar Stereographic (variant A)</v>
      </c>
      <c r="I9587" t="str">
        <v>Pallene (2015) - Sphere / Ocentric / North Polar</v>
      </c>
      <c r="J9587" t="str">
        <v>Not specified.</v>
      </c>
      <c r="K9587" s="11">
        <v>0</v>
      </c>
    </row>
    <row r="9588" spans="5:11" x14ac:dyDescent="0.35">
      <c r="E9588" s="9" t="str">
        <v>IAU_2015</v>
      </c>
      <c r="F9588" s="7" t="str">
        <v>63335</v>
      </c>
      <c r="G9588" t="str">
        <v>ProjectedCrs</v>
      </c>
      <c r="H9588" t="str">
        <v>Polar Stereographic (variant A)</v>
      </c>
      <c r="I9588" t="str">
        <v>Pallene (2015) - Sphere / Ocentric / South Polar</v>
      </c>
      <c r="J9588" t="str">
        <v>Not specified.</v>
      </c>
      <c r="K9588" s="11">
        <v>0</v>
      </c>
    </row>
    <row r="9589" spans="5:11" x14ac:dyDescent="0.35">
      <c r="E9589" s="9" t="str">
        <v>IAU_2015</v>
      </c>
      <c r="F9589" s="7" t="str">
        <v>63340</v>
      </c>
      <c r="G9589" t="str">
        <v>ProjectedCrs</v>
      </c>
      <c r="H9589" t="str">
        <v>Mollweide</v>
      </c>
      <c r="I9589" t="str">
        <v>Pallene (2015) - Sphere / Ocentric / Mollweide, clon = 0</v>
      </c>
      <c r="J9589" t="str">
        <v>Not specified.</v>
      </c>
      <c r="K9589" s="11">
        <v>0</v>
      </c>
    </row>
    <row r="9590" spans="5:11" x14ac:dyDescent="0.35">
      <c r="E9590" s="9" t="str">
        <v>IAU_2015</v>
      </c>
      <c r="F9590" s="7" t="str">
        <v>63345</v>
      </c>
      <c r="G9590" t="str">
        <v>ProjectedCrs</v>
      </c>
      <c r="H9590" t="str">
        <v>Mollweide</v>
      </c>
      <c r="I9590" t="str">
        <v>Pallene (2015) - Sphere / Ocentric / Mollweide, clon = 180</v>
      </c>
      <c r="J9590" t="str">
        <v>Not specified.</v>
      </c>
      <c r="K9590" s="11">
        <v>0</v>
      </c>
    </row>
    <row r="9591" spans="5:11" x14ac:dyDescent="0.35">
      <c r="E9591" s="9" t="str">
        <v>IAU_2015</v>
      </c>
      <c r="F9591" s="7" t="str">
        <v>63350</v>
      </c>
      <c r="G9591" t="str">
        <v>ProjectedCrs</v>
      </c>
      <c r="H9591" t="str">
        <v>Robinson</v>
      </c>
      <c r="I9591" t="str">
        <v>Pallene (2015) - Sphere / Ocentric / Robinson, clon = 0</v>
      </c>
      <c r="J9591" t="str">
        <v>Not specified.</v>
      </c>
      <c r="K9591" s="11">
        <v>0</v>
      </c>
    </row>
    <row r="9592" spans="5:11" x14ac:dyDescent="0.35">
      <c r="E9592" s="9" t="str">
        <v>IAU_2015</v>
      </c>
      <c r="F9592" s="7" t="str">
        <v>63355</v>
      </c>
      <c r="G9592" t="str">
        <v>ProjectedCrs</v>
      </c>
      <c r="H9592" t="str">
        <v>Robinson</v>
      </c>
      <c r="I9592" t="str">
        <v>Pallene (2015) - Sphere / Ocentric / Robinson, clon = 180</v>
      </c>
      <c r="J9592" t="str">
        <v>Not specified.</v>
      </c>
      <c r="K9592" s="11">
        <v>0</v>
      </c>
    </row>
    <row r="9593" spans="5:11" x14ac:dyDescent="0.35">
      <c r="E9593" s="9" t="str">
        <v>IAU_2015</v>
      </c>
      <c r="F9593" s="7" t="str">
        <v>63360</v>
      </c>
      <c r="G9593" t="str">
        <v>ProjectedCrs</v>
      </c>
      <c r="H9593" t="str">
        <v>Transverse Mercator</v>
      </c>
      <c r="I9593" t="str">
        <v>Pallene (2015) - Sphere / Ocentric / Tranverse Mercator</v>
      </c>
      <c r="J9593" t="str">
        <v>Not specified.</v>
      </c>
      <c r="K9593" s="11">
        <v>0</v>
      </c>
    </row>
    <row r="9594" spans="5:11" x14ac:dyDescent="0.35">
      <c r="E9594" s="9" t="str">
        <v>IAU_2015</v>
      </c>
      <c r="F9594" s="7" t="str">
        <v>63365</v>
      </c>
      <c r="G9594" t="str">
        <v>ProjectedCrs</v>
      </c>
      <c r="H9594" t="str">
        <v>Orthographic</v>
      </c>
      <c r="I9594" t="str">
        <v>Pallene (2015) - Sphere / Ocentric / Orthographic, clon = 0</v>
      </c>
      <c r="J9594" t="str">
        <v>Not specified.</v>
      </c>
      <c r="K9594" s="11">
        <v>0</v>
      </c>
    </row>
    <row r="9595" spans="5:11" x14ac:dyDescent="0.35">
      <c r="E9595" s="9" t="str">
        <v>IAU_2015</v>
      </c>
      <c r="F9595" s="7" t="str">
        <v>63370</v>
      </c>
      <c r="G9595" t="str">
        <v>ProjectedCrs</v>
      </c>
      <c r="H9595" t="str">
        <v>Orthographic</v>
      </c>
      <c r="I9595" t="str">
        <v>Pallene (2015) - Sphere / Ocentric / Orthographic, clon = 180</v>
      </c>
      <c r="J9595" t="str">
        <v>Not specified.</v>
      </c>
      <c r="K9595" s="11">
        <v>0</v>
      </c>
    </row>
    <row r="9596" spans="5:11" x14ac:dyDescent="0.35">
      <c r="E9596" s="9" t="str">
        <v>IAU_2015</v>
      </c>
      <c r="F9596" s="7" t="str">
        <v>63375</v>
      </c>
      <c r="G9596" t="str">
        <v>ProjectedCrs</v>
      </c>
      <c r="H9596" t="str">
        <v>Lambert Conic Conformal (2SP)</v>
      </c>
      <c r="I9596" t="str">
        <v>Pallene (2015) - Sphere / Ocentric / Lambert Conic Conformal</v>
      </c>
      <c r="J9596" t="str">
        <v>Not specified.</v>
      </c>
      <c r="K9596" s="11">
        <v>0</v>
      </c>
    </row>
    <row r="9597" spans="5:11" x14ac:dyDescent="0.35">
      <c r="E9597" s="9" t="str">
        <v>IAU_2015</v>
      </c>
      <c r="F9597" s="7" t="str">
        <v>63380</v>
      </c>
      <c r="G9597" t="str">
        <v>ProjectedCrs</v>
      </c>
      <c r="H9597" t="str">
        <v>Lambert Azimuthal Equal Area</v>
      </c>
      <c r="I9597" t="str">
        <v>Pallene (2015) - Sphere / Ocentric / Lambert Azimuthal Equal Area</v>
      </c>
      <c r="J9597" t="str">
        <v>Not specified.</v>
      </c>
      <c r="K9597" s="11">
        <v>0</v>
      </c>
    </row>
    <row r="9598" spans="5:11" x14ac:dyDescent="0.35">
      <c r="E9598" s="9" t="str">
        <v>IAU_2015</v>
      </c>
      <c r="F9598" s="7" t="str">
        <v>63385</v>
      </c>
      <c r="G9598" t="str">
        <v>ProjectedCrs</v>
      </c>
      <c r="H9598" t="str">
        <v>Albers Equal Area</v>
      </c>
      <c r="I9598" t="str">
        <v>Pallene (2015) - Sphere / Ocentric / Albers Equal Area</v>
      </c>
      <c r="J9598" t="str">
        <v>Not specified.</v>
      </c>
      <c r="K9598" s="11">
        <v>0</v>
      </c>
    </row>
    <row r="9599" spans="5:11" x14ac:dyDescent="0.35">
      <c r="E9599" s="9" t="str">
        <v>IAU_2015</v>
      </c>
      <c r="F9599" s="7" t="str">
        <v>63390</v>
      </c>
      <c r="G9599" t="str">
        <v>ProjectedCrs</v>
      </c>
      <c r="H9599" t="str">
        <v>Mercator (Spherical)</v>
      </c>
      <c r="I9599" t="str">
        <v>Pallene (2015) - Sphere / Ocentric / Mercator</v>
      </c>
      <c r="J9599" t="str">
        <v>Not specified.</v>
      </c>
      <c r="K9599" s="11">
        <v>0</v>
      </c>
    </row>
    <row r="9600" spans="5:11" x14ac:dyDescent="0.35">
      <c r="E9600" s="9" t="str">
        <v>IAU_2015</v>
      </c>
      <c r="F9600" s="7" t="str">
        <v>63400</v>
      </c>
      <c r="G9600" t="str">
        <v>Geographic2DCrs</v>
      </c>
      <c r="H9600" t="str">
        <v>&lt;undefined&gt;</v>
      </c>
      <c r="I9600" t="str">
        <v>Polydeuces (2015) - Sphere / Ocentric</v>
      </c>
      <c r="J9600" t="str">
        <v>Not specified.</v>
      </c>
      <c r="K9600" s="11">
        <v>0</v>
      </c>
    </row>
    <row r="9601" spans="5:11" x14ac:dyDescent="0.35">
      <c r="E9601" s="9" t="str">
        <v>IAU_2015</v>
      </c>
      <c r="F9601" s="7" t="str">
        <v>63410</v>
      </c>
      <c r="G9601" t="str">
        <v>ProjectedCrs</v>
      </c>
      <c r="H9601" t="str">
        <v>Equidistant Cylindrical</v>
      </c>
      <c r="I9601" t="str">
        <v>Polydeuces (2015) - Sphere / Ocentric / Equirectangular, clon = 0</v>
      </c>
      <c r="J9601" t="str">
        <v>Not specified.</v>
      </c>
      <c r="K9601" s="11">
        <v>0</v>
      </c>
    </row>
    <row r="9602" spans="5:11" x14ac:dyDescent="0.35">
      <c r="E9602" s="9" t="str">
        <v>IAU_2015</v>
      </c>
      <c r="F9602" s="7" t="str">
        <v>63415</v>
      </c>
      <c r="G9602" t="str">
        <v>ProjectedCrs</v>
      </c>
      <c r="H9602" t="str">
        <v>Equidistant Cylindrical</v>
      </c>
      <c r="I9602" t="str">
        <v>Polydeuces (2015) - Sphere / Ocentric / Equirectangular, clon = 180</v>
      </c>
      <c r="J9602" t="str">
        <v>Not specified.</v>
      </c>
      <c r="K9602" s="11">
        <v>0</v>
      </c>
    </row>
    <row r="9603" spans="5:11" x14ac:dyDescent="0.35">
      <c r="E9603" s="9" t="str">
        <v>IAU_2015</v>
      </c>
      <c r="F9603" s="7" t="str">
        <v>63420</v>
      </c>
      <c r="G9603" t="str">
        <v>ProjectedCrs</v>
      </c>
      <c r="H9603" t="str">
        <v>Sinusoidal</v>
      </c>
      <c r="I9603" t="str">
        <v>Polydeuces (2015) - Sphere / Ocentric / Sinusoidal, clon = 0</v>
      </c>
      <c r="J9603" t="str">
        <v>Not specified.</v>
      </c>
      <c r="K9603" s="11">
        <v>0</v>
      </c>
    </row>
    <row r="9604" spans="5:11" x14ac:dyDescent="0.35">
      <c r="E9604" s="9" t="str">
        <v>IAU_2015</v>
      </c>
      <c r="F9604" s="7" t="str">
        <v>63425</v>
      </c>
      <c r="G9604" t="str">
        <v>ProjectedCrs</v>
      </c>
      <c r="H9604" t="str">
        <v>Sinusoidal</v>
      </c>
      <c r="I9604" t="str">
        <v>Polydeuces (2015) - Sphere / Ocentric / Sinusoidal, clon = 180</v>
      </c>
      <c r="J9604" t="str">
        <v>Not specified.</v>
      </c>
      <c r="K9604" s="11">
        <v>0</v>
      </c>
    </row>
    <row r="9605" spans="5:11" x14ac:dyDescent="0.35">
      <c r="E9605" s="9" t="str">
        <v>IAU_2015</v>
      </c>
      <c r="F9605" s="7" t="str">
        <v>63430</v>
      </c>
      <c r="G9605" t="str">
        <v>ProjectedCrs</v>
      </c>
      <c r="H9605" t="str">
        <v>Polar Stereographic (variant A)</v>
      </c>
      <c r="I9605" t="str">
        <v>Polydeuces (2015) - Sphere / Ocentric / North Polar</v>
      </c>
      <c r="J9605" t="str">
        <v>Not specified.</v>
      </c>
      <c r="K9605" s="11">
        <v>0</v>
      </c>
    </row>
    <row r="9606" spans="5:11" x14ac:dyDescent="0.35">
      <c r="E9606" s="9" t="str">
        <v>IAU_2015</v>
      </c>
      <c r="F9606" s="7" t="str">
        <v>63435</v>
      </c>
      <c r="G9606" t="str">
        <v>ProjectedCrs</v>
      </c>
      <c r="H9606" t="str">
        <v>Polar Stereographic (variant A)</v>
      </c>
      <c r="I9606" t="str">
        <v>Polydeuces (2015) - Sphere / Ocentric / South Polar</v>
      </c>
      <c r="J9606" t="str">
        <v>Not specified.</v>
      </c>
      <c r="K9606" s="11">
        <v>0</v>
      </c>
    </row>
    <row r="9607" spans="5:11" x14ac:dyDescent="0.35">
      <c r="E9607" s="9" t="str">
        <v>IAU_2015</v>
      </c>
      <c r="F9607" s="7" t="str">
        <v>63440</v>
      </c>
      <c r="G9607" t="str">
        <v>ProjectedCrs</v>
      </c>
      <c r="H9607" t="str">
        <v>Mollweide</v>
      </c>
      <c r="I9607" t="str">
        <v>Polydeuces (2015) - Sphere / Ocentric / Mollweide, clon = 0</v>
      </c>
      <c r="J9607" t="str">
        <v>Not specified.</v>
      </c>
      <c r="K9607" s="11">
        <v>0</v>
      </c>
    </row>
    <row r="9608" spans="5:11" x14ac:dyDescent="0.35">
      <c r="E9608" s="9" t="str">
        <v>IAU_2015</v>
      </c>
      <c r="F9608" s="7" t="str">
        <v>63445</v>
      </c>
      <c r="G9608" t="str">
        <v>ProjectedCrs</v>
      </c>
      <c r="H9608" t="str">
        <v>Mollweide</v>
      </c>
      <c r="I9608" t="str">
        <v>Polydeuces (2015) - Sphere / Ocentric / Mollweide, clon = 180</v>
      </c>
      <c r="J9608" t="str">
        <v>Not specified.</v>
      </c>
      <c r="K9608" s="11">
        <v>0</v>
      </c>
    </row>
    <row r="9609" spans="5:11" x14ac:dyDescent="0.35">
      <c r="E9609" s="9" t="str">
        <v>IAU_2015</v>
      </c>
      <c r="F9609" s="7" t="str">
        <v>63450</v>
      </c>
      <c r="G9609" t="str">
        <v>ProjectedCrs</v>
      </c>
      <c r="H9609" t="str">
        <v>Robinson</v>
      </c>
      <c r="I9609" t="str">
        <v>Polydeuces (2015) - Sphere / Ocentric / Robinson, clon = 0</v>
      </c>
      <c r="J9609" t="str">
        <v>Not specified.</v>
      </c>
      <c r="K9609" s="11">
        <v>0</v>
      </c>
    </row>
    <row r="9610" spans="5:11" x14ac:dyDescent="0.35">
      <c r="E9610" s="9" t="str">
        <v>IAU_2015</v>
      </c>
      <c r="F9610" s="7" t="str">
        <v>63455</v>
      </c>
      <c r="G9610" t="str">
        <v>ProjectedCrs</v>
      </c>
      <c r="H9610" t="str">
        <v>Robinson</v>
      </c>
      <c r="I9610" t="str">
        <v>Polydeuces (2015) - Sphere / Ocentric / Robinson, clon = 180</v>
      </c>
      <c r="J9610" t="str">
        <v>Not specified.</v>
      </c>
      <c r="K9610" s="11">
        <v>0</v>
      </c>
    </row>
    <row r="9611" spans="5:11" x14ac:dyDescent="0.35">
      <c r="E9611" s="9" t="str">
        <v>IAU_2015</v>
      </c>
      <c r="F9611" s="7" t="str">
        <v>63460</v>
      </c>
      <c r="G9611" t="str">
        <v>ProjectedCrs</v>
      </c>
      <c r="H9611" t="str">
        <v>Transverse Mercator</v>
      </c>
      <c r="I9611" t="str">
        <v>Polydeuces (2015) - Sphere / Ocentric / Tranverse Mercator</v>
      </c>
      <c r="J9611" t="str">
        <v>Not specified.</v>
      </c>
      <c r="K9611" s="11">
        <v>0</v>
      </c>
    </row>
    <row r="9612" spans="5:11" x14ac:dyDescent="0.35">
      <c r="E9612" s="9" t="str">
        <v>IAU_2015</v>
      </c>
      <c r="F9612" s="7" t="str">
        <v>63465</v>
      </c>
      <c r="G9612" t="str">
        <v>ProjectedCrs</v>
      </c>
      <c r="H9612" t="str">
        <v>Orthographic</v>
      </c>
      <c r="I9612" t="str">
        <v>Polydeuces (2015) - Sphere / Ocentric / Orthographic, clon = 0</v>
      </c>
      <c r="J9612" t="str">
        <v>Not specified.</v>
      </c>
      <c r="K9612" s="11">
        <v>0</v>
      </c>
    </row>
    <row r="9613" spans="5:11" x14ac:dyDescent="0.35">
      <c r="E9613" s="9" t="str">
        <v>IAU_2015</v>
      </c>
      <c r="F9613" s="7" t="str">
        <v>63470</v>
      </c>
      <c r="G9613" t="str">
        <v>ProjectedCrs</v>
      </c>
      <c r="H9613" t="str">
        <v>Orthographic</v>
      </c>
      <c r="I9613" t="str">
        <v>Polydeuces (2015) - Sphere / Ocentric / Orthographic, clon = 180</v>
      </c>
      <c r="J9613" t="str">
        <v>Not specified.</v>
      </c>
      <c r="K9613" s="11">
        <v>0</v>
      </c>
    </row>
    <row r="9614" spans="5:11" x14ac:dyDescent="0.35">
      <c r="E9614" s="9" t="str">
        <v>IAU_2015</v>
      </c>
      <c r="F9614" s="7" t="str">
        <v>63475</v>
      </c>
      <c r="G9614" t="str">
        <v>ProjectedCrs</v>
      </c>
      <c r="H9614" t="str">
        <v>Lambert Conic Conformal (2SP)</v>
      </c>
      <c r="I9614" t="str">
        <v>Polydeuces (2015) - Sphere / Ocentric / Lambert Conic Conformal</v>
      </c>
      <c r="J9614" t="str">
        <v>Not specified.</v>
      </c>
      <c r="K9614" s="11">
        <v>0</v>
      </c>
    </row>
    <row r="9615" spans="5:11" x14ac:dyDescent="0.35">
      <c r="E9615" s="9" t="str">
        <v>IAU_2015</v>
      </c>
      <c r="F9615" s="7" t="str">
        <v>63480</v>
      </c>
      <c r="G9615" t="str">
        <v>ProjectedCrs</v>
      </c>
      <c r="H9615" t="str">
        <v>Lambert Azimuthal Equal Area</v>
      </c>
      <c r="I9615" t="str">
        <v>Polydeuces (2015) - Sphere / Ocentric / Lambert Azimuthal Equal Area</v>
      </c>
      <c r="J9615" t="str">
        <v>Not specified.</v>
      </c>
      <c r="K9615" s="11">
        <v>0</v>
      </c>
    </row>
    <row r="9616" spans="5:11" x14ac:dyDescent="0.35">
      <c r="E9616" s="9" t="str">
        <v>IAU_2015</v>
      </c>
      <c r="F9616" s="7" t="str">
        <v>63485</v>
      </c>
      <c r="G9616" t="str">
        <v>ProjectedCrs</v>
      </c>
      <c r="H9616" t="str">
        <v>Albers Equal Area</v>
      </c>
      <c r="I9616" t="str">
        <v>Polydeuces (2015) - Sphere / Ocentric / Albers Equal Area</v>
      </c>
      <c r="J9616" t="str">
        <v>Not specified.</v>
      </c>
      <c r="K9616" s="11">
        <v>0</v>
      </c>
    </row>
    <row r="9617" spans="5:11" x14ac:dyDescent="0.35">
      <c r="E9617" s="9" t="str">
        <v>IAU_2015</v>
      </c>
      <c r="F9617" s="7" t="str">
        <v>63490</v>
      </c>
      <c r="G9617" t="str">
        <v>ProjectedCrs</v>
      </c>
      <c r="H9617" t="str">
        <v>Mercator (Spherical)</v>
      </c>
      <c r="I9617" t="str">
        <v>Polydeuces (2015) - Sphere / Ocentric / Mercator</v>
      </c>
      <c r="J9617" t="str">
        <v>Not specified.</v>
      </c>
      <c r="K9617" s="11">
        <v>0</v>
      </c>
    </row>
    <row r="9618" spans="5:11" x14ac:dyDescent="0.35">
      <c r="E9618" s="9" t="str">
        <v>IAU_2015</v>
      </c>
      <c r="F9618" s="7" t="str">
        <v>63500</v>
      </c>
      <c r="G9618" t="str">
        <v>Geographic2DCrs</v>
      </c>
      <c r="H9618" t="str">
        <v>&lt;undefined&gt;</v>
      </c>
      <c r="I9618" t="str">
        <v>Daphnis (2015) - Sphere / Ocentric</v>
      </c>
      <c r="J9618" t="str">
        <v>Not specified.</v>
      </c>
      <c r="K9618" s="11">
        <v>0</v>
      </c>
    </row>
    <row r="9619" spans="5:11" x14ac:dyDescent="0.35">
      <c r="E9619" s="9" t="str">
        <v>IAU_2015</v>
      </c>
      <c r="F9619" s="7" t="str">
        <v>63510</v>
      </c>
      <c r="G9619" t="str">
        <v>ProjectedCrs</v>
      </c>
      <c r="H9619" t="str">
        <v>Equidistant Cylindrical</v>
      </c>
      <c r="I9619" t="str">
        <v>Daphnis (2015) - Sphere / Ocentric / Equirectangular, clon = 0</v>
      </c>
      <c r="J9619" t="str">
        <v>Not specified.</v>
      </c>
      <c r="K9619" s="11">
        <v>0</v>
      </c>
    </row>
    <row r="9620" spans="5:11" x14ac:dyDescent="0.35">
      <c r="E9620" s="9" t="str">
        <v>IAU_2015</v>
      </c>
      <c r="F9620" s="7" t="str">
        <v>63515</v>
      </c>
      <c r="G9620" t="str">
        <v>ProjectedCrs</v>
      </c>
      <c r="H9620" t="str">
        <v>Equidistant Cylindrical</v>
      </c>
      <c r="I9620" t="str">
        <v>Daphnis (2015) - Sphere / Ocentric / Equirectangular, clon = 180</v>
      </c>
      <c r="J9620" t="str">
        <v>Not specified.</v>
      </c>
      <c r="K9620" s="11">
        <v>0</v>
      </c>
    </row>
    <row r="9621" spans="5:11" x14ac:dyDescent="0.35">
      <c r="E9621" s="9" t="str">
        <v>IAU_2015</v>
      </c>
      <c r="F9621" s="7" t="str">
        <v>63520</v>
      </c>
      <c r="G9621" t="str">
        <v>ProjectedCrs</v>
      </c>
      <c r="H9621" t="str">
        <v>Sinusoidal</v>
      </c>
      <c r="I9621" t="str">
        <v>Daphnis (2015) - Sphere / Ocentric / Sinusoidal, clon = 0</v>
      </c>
      <c r="J9621" t="str">
        <v>Not specified.</v>
      </c>
      <c r="K9621" s="11">
        <v>0</v>
      </c>
    </row>
    <row r="9622" spans="5:11" x14ac:dyDescent="0.35">
      <c r="E9622" s="9" t="str">
        <v>IAU_2015</v>
      </c>
      <c r="F9622" s="7" t="str">
        <v>63525</v>
      </c>
      <c r="G9622" t="str">
        <v>ProjectedCrs</v>
      </c>
      <c r="H9622" t="str">
        <v>Sinusoidal</v>
      </c>
      <c r="I9622" t="str">
        <v>Daphnis (2015) - Sphere / Ocentric / Sinusoidal, clon = 180</v>
      </c>
      <c r="J9622" t="str">
        <v>Not specified.</v>
      </c>
      <c r="K9622" s="11">
        <v>0</v>
      </c>
    </row>
    <row r="9623" spans="5:11" x14ac:dyDescent="0.35">
      <c r="E9623" s="9" t="str">
        <v>IAU_2015</v>
      </c>
      <c r="F9623" s="7" t="str">
        <v>63530</v>
      </c>
      <c r="G9623" t="str">
        <v>ProjectedCrs</v>
      </c>
      <c r="H9623" t="str">
        <v>Polar Stereographic (variant A)</v>
      </c>
      <c r="I9623" t="str">
        <v>Daphnis (2015) - Sphere / Ocentric / North Polar</v>
      </c>
      <c r="J9623" t="str">
        <v>Not specified.</v>
      </c>
      <c r="K9623" s="11">
        <v>0</v>
      </c>
    </row>
    <row r="9624" spans="5:11" x14ac:dyDescent="0.35">
      <c r="E9624" s="9" t="str">
        <v>IAU_2015</v>
      </c>
      <c r="F9624" s="7" t="str">
        <v>63535</v>
      </c>
      <c r="G9624" t="str">
        <v>ProjectedCrs</v>
      </c>
      <c r="H9624" t="str">
        <v>Polar Stereographic (variant A)</v>
      </c>
      <c r="I9624" t="str">
        <v>Daphnis (2015) - Sphere / Ocentric / South Polar</v>
      </c>
      <c r="J9624" t="str">
        <v>Not specified.</v>
      </c>
      <c r="K9624" s="11">
        <v>0</v>
      </c>
    </row>
    <row r="9625" spans="5:11" x14ac:dyDescent="0.35">
      <c r="E9625" s="9" t="str">
        <v>IAU_2015</v>
      </c>
      <c r="F9625" s="7" t="str">
        <v>63540</v>
      </c>
      <c r="G9625" t="str">
        <v>ProjectedCrs</v>
      </c>
      <c r="H9625" t="str">
        <v>Mollweide</v>
      </c>
      <c r="I9625" t="str">
        <v>Daphnis (2015) - Sphere / Ocentric / Mollweide, clon = 0</v>
      </c>
      <c r="J9625" t="str">
        <v>Not specified.</v>
      </c>
      <c r="K9625" s="11">
        <v>0</v>
      </c>
    </row>
    <row r="9626" spans="5:11" x14ac:dyDescent="0.35">
      <c r="E9626" s="9" t="str">
        <v>IAU_2015</v>
      </c>
      <c r="F9626" s="7" t="str">
        <v>63545</v>
      </c>
      <c r="G9626" t="str">
        <v>ProjectedCrs</v>
      </c>
      <c r="H9626" t="str">
        <v>Mollweide</v>
      </c>
      <c r="I9626" t="str">
        <v>Daphnis (2015) - Sphere / Ocentric / Mollweide, clon = 180</v>
      </c>
      <c r="J9626" t="str">
        <v>Not specified.</v>
      </c>
      <c r="K9626" s="11">
        <v>0</v>
      </c>
    </row>
    <row r="9627" spans="5:11" x14ac:dyDescent="0.35">
      <c r="E9627" s="9" t="str">
        <v>IAU_2015</v>
      </c>
      <c r="F9627" s="7" t="str">
        <v>63550</v>
      </c>
      <c r="G9627" t="str">
        <v>ProjectedCrs</v>
      </c>
      <c r="H9627" t="str">
        <v>Robinson</v>
      </c>
      <c r="I9627" t="str">
        <v>Daphnis (2015) - Sphere / Ocentric / Robinson, clon = 0</v>
      </c>
      <c r="J9627" t="str">
        <v>Not specified.</v>
      </c>
      <c r="K9627" s="11">
        <v>0</v>
      </c>
    </row>
    <row r="9628" spans="5:11" x14ac:dyDescent="0.35">
      <c r="E9628" s="9" t="str">
        <v>IAU_2015</v>
      </c>
      <c r="F9628" s="7" t="str">
        <v>63555</v>
      </c>
      <c r="G9628" t="str">
        <v>ProjectedCrs</v>
      </c>
      <c r="H9628" t="str">
        <v>Robinson</v>
      </c>
      <c r="I9628" t="str">
        <v>Daphnis (2015) - Sphere / Ocentric / Robinson, clon = 180</v>
      </c>
      <c r="J9628" t="str">
        <v>Not specified.</v>
      </c>
      <c r="K9628" s="11">
        <v>0</v>
      </c>
    </row>
    <row r="9629" spans="5:11" x14ac:dyDescent="0.35">
      <c r="E9629" s="9" t="str">
        <v>IAU_2015</v>
      </c>
      <c r="F9629" s="7" t="str">
        <v>63560</v>
      </c>
      <c r="G9629" t="str">
        <v>ProjectedCrs</v>
      </c>
      <c r="H9629" t="str">
        <v>Transverse Mercator</v>
      </c>
      <c r="I9629" t="str">
        <v>Daphnis (2015) - Sphere / Ocentric / Tranverse Mercator</v>
      </c>
      <c r="J9629" t="str">
        <v>Not specified.</v>
      </c>
      <c r="K9629" s="11">
        <v>0</v>
      </c>
    </row>
    <row r="9630" spans="5:11" x14ac:dyDescent="0.35">
      <c r="E9630" s="9" t="str">
        <v>IAU_2015</v>
      </c>
      <c r="F9630" s="7" t="str">
        <v>63565</v>
      </c>
      <c r="G9630" t="str">
        <v>ProjectedCrs</v>
      </c>
      <c r="H9630" t="str">
        <v>Orthographic</v>
      </c>
      <c r="I9630" t="str">
        <v>Daphnis (2015) - Sphere / Ocentric / Orthographic, clon = 0</v>
      </c>
      <c r="J9630" t="str">
        <v>Not specified.</v>
      </c>
      <c r="K9630" s="11">
        <v>0</v>
      </c>
    </row>
    <row r="9631" spans="5:11" x14ac:dyDescent="0.35">
      <c r="E9631" s="9" t="str">
        <v>IAU_2015</v>
      </c>
      <c r="F9631" s="7" t="str">
        <v>63570</v>
      </c>
      <c r="G9631" t="str">
        <v>ProjectedCrs</v>
      </c>
      <c r="H9631" t="str">
        <v>Orthographic</v>
      </c>
      <c r="I9631" t="str">
        <v>Daphnis (2015) - Sphere / Ocentric / Orthographic, clon = 180</v>
      </c>
      <c r="J9631" t="str">
        <v>Not specified.</v>
      </c>
      <c r="K9631" s="11">
        <v>0</v>
      </c>
    </row>
    <row r="9632" spans="5:11" x14ac:dyDescent="0.35">
      <c r="E9632" s="9" t="str">
        <v>IAU_2015</v>
      </c>
      <c r="F9632" s="7" t="str">
        <v>63575</v>
      </c>
      <c r="G9632" t="str">
        <v>ProjectedCrs</v>
      </c>
      <c r="H9632" t="str">
        <v>Lambert Conic Conformal (2SP)</v>
      </c>
      <c r="I9632" t="str">
        <v>Daphnis (2015) - Sphere / Ocentric / Lambert Conic Conformal</v>
      </c>
      <c r="J9632" t="str">
        <v>Not specified.</v>
      </c>
      <c r="K9632" s="11">
        <v>0</v>
      </c>
    </row>
    <row r="9633" spans="5:11" x14ac:dyDescent="0.35">
      <c r="E9633" s="9" t="str">
        <v>IAU_2015</v>
      </c>
      <c r="F9633" s="7" t="str">
        <v>63580</v>
      </c>
      <c r="G9633" t="str">
        <v>ProjectedCrs</v>
      </c>
      <c r="H9633" t="str">
        <v>Lambert Azimuthal Equal Area</v>
      </c>
      <c r="I9633" t="str">
        <v>Daphnis (2015) - Sphere / Ocentric / Lambert Azimuthal Equal Area</v>
      </c>
      <c r="J9633" t="str">
        <v>Not specified.</v>
      </c>
      <c r="K9633" s="11">
        <v>0</v>
      </c>
    </row>
    <row r="9634" spans="5:11" x14ac:dyDescent="0.35">
      <c r="E9634" s="9" t="str">
        <v>IAU_2015</v>
      </c>
      <c r="F9634" s="7" t="str">
        <v>63585</v>
      </c>
      <c r="G9634" t="str">
        <v>ProjectedCrs</v>
      </c>
      <c r="H9634" t="str">
        <v>Albers Equal Area</v>
      </c>
      <c r="I9634" t="str">
        <v>Daphnis (2015) - Sphere / Ocentric / Albers Equal Area</v>
      </c>
      <c r="J9634" t="str">
        <v>Not specified.</v>
      </c>
      <c r="K9634" s="11">
        <v>0</v>
      </c>
    </row>
    <row r="9635" spans="5:11" x14ac:dyDescent="0.35">
      <c r="E9635" s="9" t="str">
        <v>IAU_2015</v>
      </c>
      <c r="F9635" s="7" t="str">
        <v>63590</v>
      </c>
      <c r="G9635" t="str">
        <v>ProjectedCrs</v>
      </c>
      <c r="H9635" t="str">
        <v>Mercator (Spherical)</v>
      </c>
      <c r="I9635" t="str">
        <v>Daphnis (2015) - Sphere / Ocentric / Mercator</v>
      </c>
      <c r="J9635" t="str">
        <v>Not specified.</v>
      </c>
      <c r="K9635" s="11">
        <v>0</v>
      </c>
    </row>
    <row r="9636" spans="5:11" x14ac:dyDescent="0.35">
      <c r="E9636" s="9" t="str">
        <v>IAU_2015</v>
      </c>
      <c r="F9636" s="7" t="str">
        <v>64900</v>
      </c>
      <c r="G9636" t="str">
        <v>Geographic2DCrs</v>
      </c>
      <c r="H9636" t="str">
        <v>&lt;undefined&gt;</v>
      </c>
      <c r="I9636" t="str">
        <v>Anthe (2015) - Sphere / Ocentric</v>
      </c>
      <c r="J9636" t="str">
        <v>Not specified.</v>
      </c>
      <c r="K9636" s="11">
        <v>0</v>
      </c>
    </row>
    <row r="9637" spans="5:11" x14ac:dyDescent="0.35">
      <c r="E9637" s="9" t="str">
        <v>IAU_2015</v>
      </c>
      <c r="F9637" s="7" t="str">
        <v>64910</v>
      </c>
      <c r="G9637" t="str">
        <v>ProjectedCrs</v>
      </c>
      <c r="H9637" t="str">
        <v>Equidistant Cylindrical</v>
      </c>
      <c r="I9637" t="str">
        <v>Anthe (2015) - Sphere / Ocentric / Equirectangular, clon = 0</v>
      </c>
      <c r="J9637" t="str">
        <v>Not specified.</v>
      </c>
      <c r="K9637" s="11">
        <v>0</v>
      </c>
    </row>
    <row r="9638" spans="5:11" x14ac:dyDescent="0.35">
      <c r="E9638" s="9" t="str">
        <v>IAU_2015</v>
      </c>
      <c r="F9638" s="7" t="str">
        <v>64915</v>
      </c>
      <c r="G9638" t="str">
        <v>ProjectedCrs</v>
      </c>
      <c r="H9638" t="str">
        <v>Equidistant Cylindrical</v>
      </c>
      <c r="I9638" t="str">
        <v>Anthe (2015) - Sphere / Ocentric / Equirectangular, clon = 180</v>
      </c>
      <c r="J9638" t="str">
        <v>Not specified.</v>
      </c>
      <c r="K9638" s="11">
        <v>0</v>
      </c>
    </row>
    <row r="9639" spans="5:11" x14ac:dyDescent="0.35">
      <c r="E9639" s="9" t="str">
        <v>IAU_2015</v>
      </c>
      <c r="F9639" s="7" t="str">
        <v>64920</v>
      </c>
      <c r="G9639" t="str">
        <v>ProjectedCrs</v>
      </c>
      <c r="H9639" t="str">
        <v>Sinusoidal</v>
      </c>
      <c r="I9639" t="str">
        <v>Anthe (2015) - Sphere / Ocentric / Sinusoidal, clon = 0</v>
      </c>
      <c r="J9639" t="str">
        <v>Not specified.</v>
      </c>
      <c r="K9639" s="11">
        <v>0</v>
      </c>
    </row>
    <row r="9640" spans="5:11" x14ac:dyDescent="0.35">
      <c r="E9640" s="9" t="str">
        <v>IAU_2015</v>
      </c>
      <c r="F9640" s="7" t="str">
        <v>64925</v>
      </c>
      <c r="G9640" t="str">
        <v>ProjectedCrs</v>
      </c>
      <c r="H9640" t="str">
        <v>Sinusoidal</v>
      </c>
      <c r="I9640" t="str">
        <v>Anthe (2015) - Sphere / Ocentric / Sinusoidal, clon = 180</v>
      </c>
      <c r="J9640" t="str">
        <v>Not specified.</v>
      </c>
      <c r="K9640" s="11">
        <v>0</v>
      </c>
    </row>
    <row r="9641" spans="5:11" x14ac:dyDescent="0.35">
      <c r="E9641" s="9" t="str">
        <v>IAU_2015</v>
      </c>
      <c r="F9641" s="7" t="str">
        <v>64930</v>
      </c>
      <c r="G9641" t="str">
        <v>ProjectedCrs</v>
      </c>
      <c r="H9641" t="str">
        <v>Polar Stereographic (variant A)</v>
      </c>
      <c r="I9641" t="str">
        <v>Anthe (2015) - Sphere / Ocentric / North Polar</v>
      </c>
      <c r="J9641" t="str">
        <v>Not specified.</v>
      </c>
      <c r="K9641" s="11">
        <v>0</v>
      </c>
    </row>
    <row r="9642" spans="5:11" x14ac:dyDescent="0.35">
      <c r="E9642" s="9" t="str">
        <v>IAU_2015</v>
      </c>
      <c r="F9642" s="7" t="str">
        <v>64935</v>
      </c>
      <c r="G9642" t="str">
        <v>ProjectedCrs</v>
      </c>
      <c r="H9642" t="str">
        <v>Polar Stereographic (variant A)</v>
      </c>
      <c r="I9642" t="str">
        <v>Anthe (2015) - Sphere / Ocentric / South Polar</v>
      </c>
      <c r="J9642" t="str">
        <v>Not specified.</v>
      </c>
      <c r="K9642" s="11">
        <v>0</v>
      </c>
    </row>
    <row r="9643" spans="5:11" x14ac:dyDescent="0.35">
      <c r="E9643" s="9" t="str">
        <v>IAU_2015</v>
      </c>
      <c r="F9643" s="7" t="str">
        <v>64940</v>
      </c>
      <c r="G9643" t="str">
        <v>ProjectedCrs</v>
      </c>
      <c r="H9643" t="str">
        <v>Mollweide</v>
      </c>
      <c r="I9643" t="str">
        <v>Anthe (2015) - Sphere / Ocentric / Mollweide, clon = 0</v>
      </c>
      <c r="J9643" t="str">
        <v>Not specified.</v>
      </c>
      <c r="K9643" s="11">
        <v>0</v>
      </c>
    </row>
    <row r="9644" spans="5:11" x14ac:dyDescent="0.35">
      <c r="E9644" s="9" t="str">
        <v>IAU_2015</v>
      </c>
      <c r="F9644" s="7" t="str">
        <v>64945</v>
      </c>
      <c r="G9644" t="str">
        <v>ProjectedCrs</v>
      </c>
      <c r="H9644" t="str">
        <v>Mollweide</v>
      </c>
      <c r="I9644" t="str">
        <v>Anthe (2015) - Sphere / Ocentric / Mollweide, clon = 180</v>
      </c>
      <c r="J9644" t="str">
        <v>Not specified.</v>
      </c>
      <c r="K9644" s="11">
        <v>0</v>
      </c>
    </row>
    <row r="9645" spans="5:11" x14ac:dyDescent="0.35">
      <c r="E9645" s="9" t="str">
        <v>IAU_2015</v>
      </c>
      <c r="F9645" s="7" t="str">
        <v>64950</v>
      </c>
      <c r="G9645" t="str">
        <v>ProjectedCrs</v>
      </c>
      <c r="H9645" t="str">
        <v>Robinson</v>
      </c>
      <c r="I9645" t="str">
        <v>Anthe (2015) - Sphere / Ocentric / Robinson, clon = 0</v>
      </c>
      <c r="J9645" t="str">
        <v>Not specified.</v>
      </c>
      <c r="K9645" s="11">
        <v>0</v>
      </c>
    </row>
    <row r="9646" spans="5:11" x14ac:dyDescent="0.35">
      <c r="E9646" s="9" t="str">
        <v>IAU_2015</v>
      </c>
      <c r="F9646" s="7" t="str">
        <v>64955</v>
      </c>
      <c r="G9646" t="str">
        <v>ProjectedCrs</v>
      </c>
      <c r="H9646" t="str">
        <v>Robinson</v>
      </c>
      <c r="I9646" t="str">
        <v>Anthe (2015) - Sphere / Ocentric / Robinson, clon = 180</v>
      </c>
      <c r="J9646" t="str">
        <v>Not specified.</v>
      </c>
      <c r="K9646" s="11">
        <v>0</v>
      </c>
    </row>
    <row r="9647" spans="5:11" x14ac:dyDescent="0.35">
      <c r="E9647" s="9" t="str">
        <v>IAU_2015</v>
      </c>
      <c r="F9647" s="7" t="str">
        <v>64960</v>
      </c>
      <c r="G9647" t="str">
        <v>ProjectedCrs</v>
      </c>
      <c r="H9647" t="str">
        <v>Transverse Mercator</v>
      </c>
      <c r="I9647" t="str">
        <v>Anthe (2015) - Sphere / Ocentric / Tranverse Mercator</v>
      </c>
      <c r="J9647" t="str">
        <v>Not specified.</v>
      </c>
      <c r="K9647" s="11">
        <v>0</v>
      </c>
    </row>
    <row r="9648" spans="5:11" x14ac:dyDescent="0.35">
      <c r="E9648" s="9" t="str">
        <v>IAU_2015</v>
      </c>
      <c r="F9648" s="7" t="str">
        <v>64965</v>
      </c>
      <c r="G9648" t="str">
        <v>ProjectedCrs</v>
      </c>
      <c r="H9648" t="str">
        <v>Orthographic</v>
      </c>
      <c r="I9648" t="str">
        <v>Anthe (2015) - Sphere / Ocentric / Orthographic, clon = 0</v>
      </c>
      <c r="J9648" t="str">
        <v>Not specified.</v>
      </c>
      <c r="K9648" s="11">
        <v>0</v>
      </c>
    </row>
    <row r="9649" spans="5:11" x14ac:dyDescent="0.35">
      <c r="E9649" s="9" t="str">
        <v>IAU_2015</v>
      </c>
      <c r="F9649" s="7" t="str">
        <v>64970</v>
      </c>
      <c r="G9649" t="str">
        <v>ProjectedCrs</v>
      </c>
      <c r="H9649" t="str">
        <v>Orthographic</v>
      </c>
      <c r="I9649" t="str">
        <v>Anthe (2015) - Sphere / Ocentric / Orthographic, clon = 180</v>
      </c>
      <c r="J9649" t="str">
        <v>Not specified.</v>
      </c>
      <c r="K9649" s="11">
        <v>0</v>
      </c>
    </row>
    <row r="9650" spans="5:11" x14ac:dyDescent="0.35">
      <c r="E9650" s="9" t="str">
        <v>IAU_2015</v>
      </c>
      <c r="F9650" s="7" t="str">
        <v>64975</v>
      </c>
      <c r="G9650" t="str">
        <v>ProjectedCrs</v>
      </c>
      <c r="H9650" t="str">
        <v>Lambert Conic Conformal (2SP)</v>
      </c>
      <c r="I9650" t="str">
        <v>Anthe (2015) - Sphere / Ocentric / Lambert Conic Conformal</v>
      </c>
      <c r="J9650" t="str">
        <v>Not specified.</v>
      </c>
      <c r="K9650" s="11">
        <v>0</v>
      </c>
    </row>
    <row r="9651" spans="5:11" x14ac:dyDescent="0.35">
      <c r="E9651" s="9" t="str">
        <v>IAU_2015</v>
      </c>
      <c r="F9651" s="7" t="str">
        <v>64980</v>
      </c>
      <c r="G9651" t="str">
        <v>ProjectedCrs</v>
      </c>
      <c r="H9651" t="str">
        <v>Lambert Azimuthal Equal Area</v>
      </c>
      <c r="I9651" t="str">
        <v>Anthe (2015) - Sphere / Ocentric / Lambert Azimuthal Equal Area</v>
      </c>
      <c r="J9651" t="str">
        <v>Not specified.</v>
      </c>
      <c r="K9651" s="11">
        <v>0</v>
      </c>
    </row>
    <row r="9652" spans="5:11" x14ac:dyDescent="0.35">
      <c r="E9652" s="9" t="str">
        <v>IAU_2015</v>
      </c>
      <c r="F9652" s="7" t="str">
        <v>64985</v>
      </c>
      <c r="G9652" t="str">
        <v>ProjectedCrs</v>
      </c>
      <c r="H9652" t="str">
        <v>Albers Equal Area</v>
      </c>
      <c r="I9652" t="str">
        <v>Anthe (2015) - Sphere / Ocentric / Albers Equal Area</v>
      </c>
      <c r="J9652" t="str">
        <v>Not specified.</v>
      </c>
      <c r="K9652" s="11">
        <v>0</v>
      </c>
    </row>
    <row r="9653" spans="5:11" x14ac:dyDescent="0.35">
      <c r="E9653" s="9" t="str">
        <v>IAU_2015</v>
      </c>
      <c r="F9653" s="7" t="str">
        <v>64990</v>
      </c>
      <c r="G9653" t="str">
        <v>ProjectedCrs</v>
      </c>
      <c r="H9653" t="str">
        <v>Mercator (Spherical)</v>
      </c>
      <c r="I9653" t="str">
        <v>Anthe (2015) - Sphere / Ocentric / Mercator</v>
      </c>
      <c r="J9653" t="str">
        <v>Not specified.</v>
      </c>
      <c r="K9653" s="11">
        <v>0</v>
      </c>
    </row>
    <row r="9654" spans="5:11" x14ac:dyDescent="0.35">
      <c r="E9654" s="9" t="str">
        <v>IAU_2015</v>
      </c>
      <c r="F9654" s="7" t="str">
        <v>65300</v>
      </c>
      <c r="G9654" t="str">
        <v>Geographic2DCrs</v>
      </c>
      <c r="H9654" t="str">
        <v>&lt;undefined&gt;</v>
      </c>
      <c r="I9654" t="str">
        <v>Aegaeon (2015) - Sphere / Ocentric</v>
      </c>
      <c r="J9654" t="str">
        <v>Not specified.</v>
      </c>
      <c r="K9654" s="11">
        <v>0</v>
      </c>
    </row>
    <row r="9655" spans="5:11" x14ac:dyDescent="0.35">
      <c r="E9655" s="9" t="str">
        <v>IAU_2015</v>
      </c>
      <c r="F9655" s="7" t="str">
        <v>65310</v>
      </c>
      <c r="G9655" t="str">
        <v>ProjectedCrs</v>
      </c>
      <c r="H9655" t="str">
        <v>Equidistant Cylindrical</v>
      </c>
      <c r="I9655" t="str">
        <v>Aegaeon (2015) - Sphere / Ocentric / Equirectangular, clon = 0</v>
      </c>
      <c r="J9655" t="str">
        <v>Not specified.</v>
      </c>
      <c r="K9655" s="11">
        <v>0</v>
      </c>
    </row>
    <row r="9656" spans="5:11" x14ac:dyDescent="0.35">
      <c r="E9656" s="9" t="str">
        <v>IAU_2015</v>
      </c>
      <c r="F9656" s="7" t="str">
        <v>65315</v>
      </c>
      <c r="G9656" t="str">
        <v>ProjectedCrs</v>
      </c>
      <c r="H9656" t="str">
        <v>Equidistant Cylindrical</v>
      </c>
      <c r="I9656" t="str">
        <v>Aegaeon (2015) - Sphere / Ocentric / Equirectangular, clon = 180</v>
      </c>
      <c r="J9656" t="str">
        <v>Not specified.</v>
      </c>
      <c r="K9656" s="11">
        <v>0</v>
      </c>
    </row>
    <row r="9657" spans="5:11" x14ac:dyDescent="0.35">
      <c r="E9657" s="9" t="str">
        <v>IAU_2015</v>
      </c>
      <c r="F9657" s="7" t="str">
        <v>65320</v>
      </c>
      <c r="G9657" t="str">
        <v>ProjectedCrs</v>
      </c>
      <c r="H9657" t="str">
        <v>Sinusoidal</v>
      </c>
      <c r="I9657" t="str">
        <v>Aegaeon (2015) - Sphere / Ocentric / Sinusoidal, clon = 0</v>
      </c>
      <c r="J9657" t="str">
        <v>Not specified.</v>
      </c>
      <c r="K9657" s="11">
        <v>0</v>
      </c>
    </row>
    <row r="9658" spans="5:11" x14ac:dyDescent="0.35">
      <c r="E9658" s="9" t="str">
        <v>IAU_2015</v>
      </c>
      <c r="F9658" s="7" t="str">
        <v>65325</v>
      </c>
      <c r="G9658" t="str">
        <v>ProjectedCrs</v>
      </c>
      <c r="H9658" t="str">
        <v>Sinusoidal</v>
      </c>
      <c r="I9658" t="str">
        <v>Aegaeon (2015) - Sphere / Ocentric / Sinusoidal, clon = 180</v>
      </c>
      <c r="J9658" t="str">
        <v>Not specified.</v>
      </c>
      <c r="K9658" s="11">
        <v>0</v>
      </c>
    </row>
    <row r="9659" spans="5:11" x14ac:dyDescent="0.35">
      <c r="E9659" s="9" t="str">
        <v>IAU_2015</v>
      </c>
      <c r="F9659" s="7" t="str">
        <v>65330</v>
      </c>
      <c r="G9659" t="str">
        <v>ProjectedCrs</v>
      </c>
      <c r="H9659" t="str">
        <v>Polar Stereographic (variant A)</v>
      </c>
      <c r="I9659" t="str">
        <v>Aegaeon (2015) - Sphere / Ocentric / North Polar</v>
      </c>
      <c r="J9659" t="str">
        <v>Not specified.</v>
      </c>
      <c r="K9659" s="11">
        <v>0</v>
      </c>
    </row>
    <row r="9660" spans="5:11" x14ac:dyDescent="0.35">
      <c r="E9660" s="9" t="str">
        <v>IAU_2015</v>
      </c>
      <c r="F9660" s="7" t="str">
        <v>65335</v>
      </c>
      <c r="G9660" t="str">
        <v>ProjectedCrs</v>
      </c>
      <c r="H9660" t="str">
        <v>Polar Stereographic (variant A)</v>
      </c>
      <c r="I9660" t="str">
        <v>Aegaeon (2015) - Sphere / Ocentric / South Polar</v>
      </c>
      <c r="J9660" t="str">
        <v>Not specified.</v>
      </c>
      <c r="K9660" s="11">
        <v>0</v>
      </c>
    </row>
    <row r="9661" spans="5:11" x14ac:dyDescent="0.35">
      <c r="E9661" s="9" t="str">
        <v>IAU_2015</v>
      </c>
      <c r="F9661" s="7" t="str">
        <v>65340</v>
      </c>
      <c r="G9661" t="str">
        <v>ProjectedCrs</v>
      </c>
      <c r="H9661" t="str">
        <v>Mollweide</v>
      </c>
      <c r="I9661" t="str">
        <v>Aegaeon (2015) - Sphere / Ocentric / Mollweide, clon = 0</v>
      </c>
      <c r="J9661" t="str">
        <v>Not specified.</v>
      </c>
      <c r="K9661" s="11">
        <v>0</v>
      </c>
    </row>
    <row r="9662" spans="5:11" x14ac:dyDescent="0.35">
      <c r="E9662" s="9" t="str">
        <v>IAU_2015</v>
      </c>
      <c r="F9662" s="7" t="str">
        <v>65345</v>
      </c>
      <c r="G9662" t="str">
        <v>ProjectedCrs</v>
      </c>
      <c r="H9662" t="str">
        <v>Mollweide</v>
      </c>
      <c r="I9662" t="str">
        <v>Aegaeon (2015) - Sphere / Ocentric / Mollweide, clon = 180</v>
      </c>
      <c r="J9662" t="str">
        <v>Not specified.</v>
      </c>
      <c r="K9662" s="11">
        <v>0</v>
      </c>
    </row>
    <row r="9663" spans="5:11" x14ac:dyDescent="0.35">
      <c r="E9663" s="9" t="str">
        <v>IAU_2015</v>
      </c>
      <c r="F9663" s="7" t="str">
        <v>65350</v>
      </c>
      <c r="G9663" t="str">
        <v>ProjectedCrs</v>
      </c>
      <c r="H9663" t="str">
        <v>Robinson</v>
      </c>
      <c r="I9663" t="str">
        <v>Aegaeon (2015) - Sphere / Ocentric / Robinson, clon = 0</v>
      </c>
      <c r="J9663" t="str">
        <v>Not specified.</v>
      </c>
      <c r="K9663" s="11">
        <v>0</v>
      </c>
    </row>
    <row r="9664" spans="5:11" x14ac:dyDescent="0.35">
      <c r="E9664" s="9" t="str">
        <v>IAU_2015</v>
      </c>
      <c r="F9664" s="7" t="str">
        <v>65355</v>
      </c>
      <c r="G9664" t="str">
        <v>ProjectedCrs</v>
      </c>
      <c r="H9664" t="str">
        <v>Robinson</v>
      </c>
      <c r="I9664" t="str">
        <v>Aegaeon (2015) - Sphere / Ocentric / Robinson, clon = 180</v>
      </c>
      <c r="J9664" t="str">
        <v>Not specified.</v>
      </c>
      <c r="K9664" s="11">
        <v>0</v>
      </c>
    </row>
    <row r="9665" spans="5:11" x14ac:dyDescent="0.35">
      <c r="E9665" s="9" t="str">
        <v>IAU_2015</v>
      </c>
      <c r="F9665" s="7" t="str">
        <v>65360</v>
      </c>
      <c r="G9665" t="str">
        <v>ProjectedCrs</v>
      </c>
      <c r="H9665" t="str">
        <v>Transverse Mercator</v>
      </c>
      <c r="I9665" t="str">
        <v>Aegaeon (2015) - Sphere / Ocentric / Tranverse Mercator</v>
      </c>
      <c r="J9665" t="str">
        <v>Not specified.</v>
      </c>
      <c r="K9665" s="11">
        <v>0</v>
      </c>
    </row>
    <row r="9666" spans="5:11" x14ac:dyDescent="0.35">
      <c r="E9666" s="9" t="str">
        <v>IAU_2015</v>
      </c>
      <c r="F9666" s="7" t="str">
        <v>65365</v>
      </c>
      <c r="G9666" t="str">
        <v>ProjectedCrs</v>
      </c>
      <c r="H9666" t="str">
        <v>Orthographic</v>
      </c>
      <c r="I9666" t="str">
        <v>Aegaeon (2015) - Sphere / Ocentric / Orthographic, clon = 0</v>
      </c>
      <c r="J9666" t="str">
        <v>Not specified.</v>
      </c>
      <c r="K9666" s="11">
        <v>0</v>
      </c>
    </row>
    <row r="9667" spans="5:11" x14ac:dyDescent="0.35">
      <c r="E9667" s="9" t="str">
        <v>IAU_2015</v>
      </c>
      <c r="F9667" s="7" t="str">
        <v>65370</v>
      </c>
      <c r="G9667" t="str">
        <v>ProjectedCrs</v>
      </c>
      <c r="H9667" t="str">
        <v>Orthographic</v>
      </c>
      <c r="I9667" t="str">
        <v>Aegaeon (2015) - Sphere / Ocentric / Orthographic, clon = 180</v>
      </c>
      <c r="J9667" t="str">
        <v>Not specified.</v>
      </c>
      <c r="K9667" s="11">
        <v>0</v>
      </c>
    </row>
    <row r="9668" spans="5:11" x14ac:dyDescent="0.35">
      <c r="E9668" s="9" t="str">
        <v>IAU_2015</v>
      </c>
      <c r="F9668" s="7" t="str">
        <v>65375</v>
      </c>
      <c r="G9668" t="str">
        <v>ProjectedCrs</v>
      </c>
      <c r="H9668" t="str">
        <v>Lambert Conic Conformal (2SP)</v>
      </c>
      <c r="I9668" t="str">
        <v>Aegaeon (2015) - Sphere / Ocentric / Lambert Conic Conformal</v>
      </c>
      <c r="J9668" t="str">
        <v>Not specified.</v>
      </c>
      <c r="K9668" s="11">
        <v>0</v>
      </c>
    </row>
    <row r="9669" spans="5:11" x14ac:dyDescent="0.35">
      <c r="E9669" s="9" t="str">
        <v>IAU_2015</v>
      </c>
      <c r="F9669" s="7" t="str">
        <v>65380</v>
      </c>
      <c r="G9669" t="str">
        <v>ProjectedCrs</v>
      </c>
      <c r="H9669" t="str">
        <v>Lambert Azimuthal Equal Area</v>
      </c>
      <c r="I9669" t="str">
        <v>Aegaeon (2015) - Sphere / Ocentric / Lambert Azimuthal Equal Area</v>
      </c>
      <c r="J9669" t="str">
        <v>Not specified.</v>
      </c>
      <c r="K9669" s="11">
        <v>0</v>
      </c>
    </row>
    <row r="9670" spans="5:11" x14ac:dyDescent="0.35">
      <c r="E9670" s="9" t="str">
        <v>IAU_2015</v>
      </c>
      <c r="F9670" s="7" t="str">
        <v>65385</v>
      </c>
      <c r="G9670" t="str">
        <v>ProjectedCrs</v>
      </c>
      <c r="H9670" t="str">
        <v>Albers Equal Area</v>
      </c>
      <c r="I9670" t="str">
        <v>Aegaeon (2015) - Sphere / Ocentric / Albers Equal Area</v>
      </c>
      <c r="J9670" t="str">
        <v>Not specified.</v>
      </c>
      <c r="K9670" s="11">
        <v>0</v>
      </c>
    </row>
    <row r="9671" spans="5:11" x14ac:dyDescent="0.35">
      <c r="E9671" s="9" t="str">
        <v>IAU_2015</v>
      </c>
      <c r="F9671" s="7" t="str">
        <v>65390</v>
      </c>
      <c r="G9671" t="str">
        <v>ProjectedCrs</v>
      </c>
      <c r="H9671" t="str">
        <v>Mercator (Spherical)</v>
      </c>
      <c r="I9671" t="str">
        <v>Aegaeon (2015) - Sphere / Ocentric / Mercator</v>
      </c>
      <c r="J9671" t="str">
        <v>Not specified.</v>
      </c>
      <c r="K9671" s="11">
        <v>0</v>
      </c>
    </row>
    <row r="9672" spans="5:11" x14ac:dyDescent="0.35">
      <c r="E9672" s="9" t="str">
        <v>IAU_2015</v>
      </c>
      <c r="F9672" s="7" t="str">
        <v>69900</v>
      </c>
      <c r="G9672" t="str">
        <v>Geographic2DCrs</v>
      </c>
      <c r="H9672" t="str">
        <v>&lt;undefined&gt;</v>
      </c>
      <c r="I9672" t="str">
        <v>Saturn (2015) - Sphere / Ocentric</v>
      </c>
      <c r="J9672" t="str">
        <v>Not specified.</v>
      </c>
      <c r="K9672" s="11">
        <v>0</v>
      </c>
    </row>
    <row r="9673" spans="5:11" x14ac:dyDescent="0.35">
      <c r="E9673" s="9" t="str">
        <v>IAU_2015</v>
      </c>
      <c r="F9673" s="7" t="str">
        <v>69901</v>
      </c>
      <c r="G9673" t="str">
        <v>Geographic2DCrs</v>
      </c>
      <c r="H9673" t="str">
        <v>&lt;undefined&gt;</v>
      </c>
      <c r="I9673" t="str">
        <v>Saturn (2015) / Ographic</v>
      </c>
      <c r="J9673" t="str">
        <v>Not specified.</v>
      </c>
      <c r="K9673" s="11">
        <v>0</v>
      </c>
    </row>
    <row r="9674" spans="5:11" x14ac:dyDescent="0.35">
      <c r="E9674" s="9" t="str">
        <v>IAU_2015</v>
      </c>
      <c r="F9674" s="7" t="str">
        <v>69902</v>
      </c>
      <c r="G9674" t="str">
        <v>GeodeticCrs</v>
      </c>
      <c r="H9674" t="str">
        <v>&lt;undefined&gt;</v>
      </c>
      <c r="I9674" t="str">
        <v>Saturn (2015) / Ocentric</v>
      </c>
      <c r="J9674" t="str">
        <v>Not specified.</v>
      </c>
      <c r="K9674" s="11">
        <v>0</v>
      </c>
    </row>
    <row r="9675" spans="5:11" x14ac:dyDescent="0.35">
      <c r="E9675" s="9" t="str">
        <v>IAU_2015</v>
      </c>
      <c r="F9675" s="7" t="str">
        <v>69910</v>
      </c>
      <c r="G9675" t="str">
        <v>ProjectedCrs</v>
      </c>
      <c r="H9675" t="str">
        <v>Equidistant Cylindrical</v>
      </c>
      <c r="I9675" t="str">
        <v>Saturn (2015) - Sphere / Ocentric / Equirectangular, clon = 0</v>
      </c>
      <c r="J9675" t="str">
        <v>Not specified.</v>
      </c>
      <c r="K9675" s="11">
        <v>0</v>
      </c>
    </row>
    <row r="9676" spans="5:11" x14ac:dyDescent="0.35">
      <c r="E9676" s="9" t="str">
        <v>IAU_2015</v>
      </c>
      <c r="F9676" s="7" t="str">
        <v>69911</v>
      </c>
      <c r="G9676" t="str">
        <v>ProjectedCrs</v>
      </c>
      <c r="H9676" t="str">
        <v>Equidistant Cylindrical</v>
      </c>
      <c r="I9676" t="str">
        <v>Saturn (2015) / Ographic / Equirectangular, clon = 0</v>
      </c>
      <c r="J9676" t="str">
        <v>Not specified.</v>
      </c>
      <c r="K9676" s="11">
        <v>0</v>
      </c>
    </row>
    <row r="9677" spans="5:11" x14ac:dyDescent="0.35">
      <c r="E9677" s="9" t="str">
        <v>IAU_2015</v>
      </c>
      <c r="F9677" s="7" t="str">
        <v>69912</v>
      </c>
      <c r="G9677" t="str">
        <v>ProjectedCrs</v>
      </c>
      <c r="H9677" t="str">
        <v>Equidistant Cylindrical</v>
      </c>
      <c r="I9677" t="str">
        <v>Saturn (2015) / Ocentric / Equirectangular, clon = 0</v>
      </c>
      <c r="J9677" t="str">
        <v>Not specified.</v>
      </c>
      <c r="K9677" s="11">
        <v>0</v>
      </c>
    </row>
    <row r="9678" spans="5:11" x14ac:dyDescent="0.35">
      <c r="E9678" s="9" t="str">
        <v>IAU_2015</v>
      </c>
      <c r="F9678" s="7" t="str">
        <v>69915</v>
      </c>
      <c r="G9678" t="str">
        <v>ProjectedCrs</v>
      </c>
      <c r="H9678" t="str">
        <v>Equidistant Cylindrical</v>
      </c>
      <c r="I9678" t="str">
        <v>Saturn (2015) - Sphere / Ocentric / Equirectangular, clon = 180</v>
      </c>
      <c r="J9678" t="str">
        <v>Not specified.</v>
      </c>
      <c r="K9678" s="11">
        <v>0</v>
      </c>
    </row>
    <row r="9679" spans="5:11" x14ac:dyDescent="0.35">
      <c r="E9679" s="9" t="str">
        <v>IAU_2015</v>
      </c>
      <c r="F9679" s="7" t="str">
        <v>69916</v>
      </c>
      <c r="G9679" t="str">
        <v>ProjectedCrs</v>
      </c>
      <c r="H9679" t="str">
        <v>Equidistant Cylindrical</v>
      </c>
      <c r="I9679" t="str">
        <v>Saturn (2015) / Ographic / Equirectangular, clon = 180</v>
      </c>
      <c r="J9679" t="str">
        <v>Not specified.</v>
      </c>
      <c r="K9679" s="11">
        <v>0</v>
      </c>
    </row>
    <row r="9680" spans="5:11" x14ac:dyDescent="0.35">
      <c r="E9680" s="9" t="str">
        <v>IAU_2015</v>
      </c>
      <c r="F9680" s="7" t="str">
        <v>69917</v>
      </c>
      <c r="G9680" t="str">
        <v>ProjectedCrs</v>
      </c>
      <c r="H9680" t="str">
        <v>Equidistant Cylindrical</v>
      </c>
      <c r="I9680" t="str">
        <v>Saturn (2015) / Ocentric / Equirectangular, clon = 180</v>
      </c>
      <c r="J9680" t="str">
        <v>Not specified.</v>
      </c>
      <c r="K9680" s="11">
        <v>0</v>
      </c>
    </row>
    <row r="9681" spans="5:11" x14ac:dyDescent="0.35">
      <c r="E9681" s="9" t="str">
        <v>IAU_2015</v>
      </c>
      <c r="F9681" s="7" t="str">
        <v>69920</v>
      </c>
      <c r="G9681" t="str">
        <v>ProjectedCrs</v>
      </c>
      <c r="H9681" t="str">
        <v>Sinusoidal</v>
      </c>
      <c r="I9681" t="str">
        <v>Saturn (2015) - Sphere / Ocentric / Sinusoidal, clon = 0</v>
      </c>
      <c r="J9681" t="str">
        <v>Not specified.</v>
      </c>
      <c r="K9681" s="11">
        <v>0</v>
      </c>
    </row>
    <row r="9682" spans="5:11" x14ac:dyDescent="0.35">
      <c r="E9682" s="9" t="str">
        <v>IAU_2015</v>
      </c>
      <c r="F9682" s="7" t="str">
        <v>69921</v>
      </c>
      <c r="G9682" t="str">
        <v>ProjectedCrs</v>
      </c>
      <c r="H9682" t="str">
        <v>Sinusoidal</v>
      </c>
      <c r="I9682" t="str">
        <v>Saturn (2015) / Ographic / Sinusoidal, clon = 0</v>
      </c>
      <c r="J9682" t="str">
        <v>Not specified.</v>
      </c>
      <c r="K9682" s="11">
        <v>0</v>
      </c>
    </row>
    <row r="9683" spans="5:11" x14ac:dyDescent="0.35">
      <c r="E9683" s="9" t="str">
        <v>IAU_2015</v>
      </c>
      <c r="F9683" s="7" t="str">
        <v>69922</v>
      </c>
      <c r="G9683" t="str">
        <v>ProjectedCrs</v>
      </c>
      <c r="H9683" t="str">
        <v>Sinusoidal</v>
      </c>
      <c r="I9683" t="str">
        <v>Saturn (2015) / Ocentric / Sinusoidal, clon = 0</v>
      </c>
      <c r="J9683" t="str">
        <v>Not specified.</v>
      </c>
      <c r="K9683" s="11">
        <v>0</v>
      </c>
    </row>
    <row r="9684" spans="5:11" x14ac:dyDescent="0.35">
      <c r="E9684" s="9" t="str">
        <v>IAU_2015</v>
      </c>
      <c r="F9684" s="7" t="str">
        <v>69925</v>
      </c>
      <c r="G9684" t="str">
        <v>ProjectedCrs</v>
      </c>
      <c r="H9684" t="str">
        <v>Sinusoidal</v>
      </c>
      <c r="I9684" t="str">
        <v>Saturn (2015) - Sphere / Ocentric / Sinusoidal, clon = 180</v>
      </c>
      <c r="J9684" t="str">
        <v>Not specified.</v>
      </c>
      <c r="K9684" s="11">
        <v>0</v>
      </c>
    </row>
    <row r="9685" spans="5:11" x14ac:dyDescent="0.35">
      <c r="E9685" s="9" t="str">
        <v>IAU_2015</v>
      </c>
      <c r="F9685" s="7" t="str">
        <v>69926</v>
      </c>
      <c r="G9685" t="str">
        <v>ProjectedCrs</v>
      </c>
      <c r="H9685" t="str">
        <v>Sinusoidal</v>
      </c>
      <c r="I9685" t="str">
        <v>Saturn (2015) / Ographic / Sinusoidal, clon = 180</v>
      </c>
      <c r="J9685" t="str">
        <v>Not specified.</v>
      </c>
      <c r="K9685" s="11">
        <v>0</v>
      </c>
    </row>
    <row r="9686" spans="5:11" x14ac:dyDescent="0.35">
      <c r="E9686" s="9" t="str">
        <v>IAU_2015</v>
      </c>
      <c r="F9686" s="7" t="str">
        <v>69927</v>
      </c>
      <c r="G9686" t="str">
        <v>ProjectedCrs</v>
      </c>
      <c r="H9686" t="str">
        <v>Sinusoidal</v>
      </c>
      <c r="I9686" t="str">
        <v>Saturn (2015) / Ocentric / Sinusoidal, clon = 180</v>
      </c>
      <c r="J9686" t="str">
        <v>Not specified.</v>
      </c>
      <c r="K9686" s="11">
        <v>0</v>
      </c>
    </row>
    <row r="9687" spans="5:11" x14ac:dyDescent="0.35">
      <c r="E9687" s="9" t="str">
        <v>IAU_2015</v>
      </c>
      <c r="F9687" s="7" t="str">
        <v>69930</v>
      </c>
      <c r="G9687" t="str">
        <v>ProjectedCrs</v>
      </c>
      <c r="H9687" t="str">
        <v>Polar Stereographic (variant A)</v>
      </c>
      <c r="I9687" t="str">
        <v>Saturn (2015) - Sphere / Ocentric / North Polar</v>
      </c>
      <c r="J9687" t="str">
        <v>Not specified.</v>
      </c>
      <c r="K9687" s="11">
        <v>0</v>
      </c>
    </row>
    <row r="9688" spans="5:11" x14ac:dyDescent="0.35">
      <c r="E9688" s="9" t="str">
        <v>IAU_2015</v>
      </c>
      <c r="F9688" s="7" t="str">
        <v>69931</v>
      </c>
      <c r="G9688" t="str">
        <v>ProjectedCrs</v>
      </c>
      <c r="H9688" t="str">
        <v>Polar Stereographic (variant A)</v>
      </c>
      <c r="I9688" t="str">
        <v>Saturn (2015) / Ographic / North Polar</v>
      </c>
      <c r="J9688" t="str">
        <v>Not specified.</v>
      </c>
      <c r="K9688" s="11">
        <v>0</v>
      </c>
    </row>
    <row r="9689" spans="5:11" x14ac:dyDescent="0.35">
      <c r="E9689" s="9" t="str">
        <v>IAU_2015</v>
      </c>
      <c r="F9689" s="7" t="str">
        <v>69932</v>
      </c>
      <c r="G9689" t="str">
        <v>ProjectedCrs</v>
      </c>
      <c r="H9689" t="str">
        <v>Polar Stereographic (variant A)</v>
      </c>
      <c r="I9689" t="str">
        <v>Saturn (2015) / Ocentric / North Polar</v>
      </c>
      <c r="J9689" t="str">
        <v>Not specified.</v>
      </c>
      <c r="K9689" s="11">
        <v>0</v>
      </c>
    </row>
    <row r="9690" spans="5:11" x14ac:dyDescent="0.35">
      <c r="E9690" s="9" t="str">
        <v>IAU_2015</v>
      </c>
      <c r="F9690" s="7" t="str">
        <v>69935</v>
      </c>
      <c r="G9690" t="str">
        <v>ProjectedCrs</v>
      </c>
      <c r="H9690" t="str">
        <v>Polar Stereographic (variant A)</v>
      </c>
      <c r="I9690" t="str">
        <v>Saturn (2015) - Sphere / Ocentric / South Polar</v>
      </c>
      <c r="J9690" t="str">
        <v>Not specified.</v>
      </c>
      <c r="K9690" s="11">
        <v>0</v>
      </c>
    </row>
    <row r="9691" spans="5:11" x14ac:dyDescent="0.35">
      <c r="E9691" s="9" t="str">
        <v>IAU_2015</v>
      </c>
      <c r="F9691" s="7" t="str">
        <v>69936</v>
      </c>
      <c r="G9691" t="str">
        <v>ProjectedCrs</v>
      </c>
      <c r="H9691" t="str">
        <v>Polar Stereographic (variant A)</v>
      </c>
      <c r="I9691" t="str">
        <v>Saturn (2015) / Ographic / South Polar</v>
      </c>
      <c r="J9691" t="str">
        <v>Not specified.</v>
      </c>
      <c r="K9691" s="11">
        <v>0</v>
      </c>
    </row>
    <row r="9692" spans="5:11" x14ac:dyDescent="0.35">
      <c r="E9692" s="9" t="str">
        <v>IAU_2015</v>
      </c>
      <c r="F9692" s="7" t="str">
        <v>69937</v>
      </c>
      <c r="G9692" t="str">
        <v>ProjectedCrs</v>
      </c>
      <c r="H9692" t="str">
        <v>Polar Stereographic (variant A)</v>
      </c>
      <c r="I9692" t="str">
        <v>Saturn (2015) / Ocentric / South Polar</v>
      </c>
      <c r="J9692" t="str">
        <v>Not specified.</v>
      </c>
      <c r="K9692" s="11">
        <v>0</v>
      </c>
    </row>
    <row r="9693" spans="5:11" x14ac:dyDescent="0.35">
      <c r="E9693" s="9" t="str">
        <v>IAU_2015</v>
      </c>
      <c r="F9693" s="7" t="str">
        <v>69940</v>
      </c>
      <c r="G9693" t="str">
        <v>ProjectedCrs</v>
      </c>
      <c r="H9693" t="str">
        <v>Mollweide</v>
      </c>
      <c r="I9693" t="str">
        <v>Saturn (2015) - Sphere / Ocentric / Mollweide, clon = 0</v>
      </c>
      <c r="J9693" t="str">
        <v>Not specified.</v>
      </c>
      <c r="K9693" s="11">
        <v>0</v>
      </c>
    </row>
    <row r="9694" spans="5:11" x14ac:dyDescent="0.35">
      <c r="E9694" s="9" t="str">
        <v>IAU_2015</v>
      </c>
      <c r="F9694" s="7" t="str">
        <v>69941</v>
      </c>
      <c r="G9694" t="str">
        <v>ProjectedCrs</v>
      </c>
      <c r="H9694" t="str">
        <v>Mollweide</v>
      </c>
      <c r="I9694" t="str">
        <v>Saturn (2015) / Ographic / Mollweide, clon = 0</v>
      </c>
      <c r="J9694" t="str">
        <v>Not specified.</v>
      </c>
      <c r="K9694" s="11">
        <v>0</v>
      </c>
    </row>
    <row r="9695" spans="5:11" x14ac:dyDescent="0.35">
      <c r="E9695" s="9" t="str">
        <v>IAU_2015</v>
      </c>
      <c r="F9695" s="7" t="str">
        <v>69942</v>
      </c>
      <c r="G9695" t="str">
        <v>ProjectedCrs</v>
      </c>
      <c r="H9695" t="str">
        <v>Mollweide</v>
      </c>
      <c r="I9695" t="str">
        <v>Saturn (2015) / Ocentric / Mollweide, clon = 0</v>
      </c>
      <c r="J9695" t="str">
        <v>Not specified.</v>
      </c>
      <c r="K9695" s="11">
        <v>0</v>
      </c>
    </row>
    <row r="9696" spans="5:11" x14ac:dyDescent="0.35">
      <c r="E9696" s="9" t="str">
        <v>IAU_2015</v>
      </c>
      <c r="F9696" s="7" t="str">
        <v>69945</v>
      </c>
      <c r="G9696" t="str">
        <v>ProjectedCrs</v>
      </c>
      <c r="H9696" t="str">
        <v>Mollweide</v>
      </c>
      <c r="I9696" t="str">
        <v>Saturn (2015) - Sphere / Ocentric / Mollweide, clon = 180</v>
      </c>
      <c r="J9696" t="str">
        <v>Not specified.</v>
      </c>
      <c r="K9696" s="11">
        <v>0</v>
      </c>
    </row>
    <row r="9697" spans="5:11" x14ac:dyDescent="0.35">
      <c r="E9697" s="9" t="str">
        <v>IAU_2015</v>
      </c>
      <c r="F9697" s="7" t="str">
        <v>69946</v>
      </c>
      <c r="G9697" t="str">
        <v>ProjectedCrs</v>
      </c>
      <c r="H9697" t="str">
        <v>Mollweide</v>
      </c>
      <c r="I9697" t="str">
        <v>Saturn (2015) / Ographic / Mollweide, clon = 180</v>
      </c>
      <c r="J9697" t="str">
        <v>Not specified.</v>
      </c>
      <c r="K9697" s="11">
        <v>0</v>
      </c>
    </row>
    <row r="9698" spans="5:11" x14ac:dyDescent="0.35">
      <c r="E9698" s="9" t="str">
        <v>IAU_2015</v>
      </c>
      <c r="F9698" s="7" t="str">
        <v>69947</v>
      </c>
      <c r="G9698" t="str">
        <v>ProjectedCrs</v>
      </c>
      <c r="H9698" t="str">
        <v>Mollweide</v>
      </c>
      <c r="I9698" t="str">
        <v>Saturn (2015) / Ocentric / Mollweide, clon = 180</v>
      </c>
      <c r="J9698" t="str">
        <v>Not specified.</v>
      </c>
      <c r="K9698" s="11">
        <v>0</v>
      </c>
    </row>
    <row r="9699" spans="5:11" x14ac:dyDescent="0.35">
      <c r="E9699" s="9" t="str">
        <v>IAU_2015</v>
      </c>
      <c r="F9699" s="7" t="str">
        <v>69950</v>
      </c>
      <c r="G9699" t="str">
        <v>ProjectedCrs</v>
      </c>
      <c r="H9699" t="str">
        <v>Robinson</v>
      </c>
      <c r="I9699" t="str">
        <v>Saturn (2015) - Sphere / Ocentric / Robinson, clon = 0</v>
      </c>
      <c r="J9699" t="str">
        <v>Not specified.</v>
      </c>
      <c r="K9699" s="11">
        <v>0</v>
      </c>
    </row>
    <row r="9700" spans="5:11" x14ac:dyDescent="0.35">
      <c r="E9700" s="9" t="str">
        <v>IAU_2015</v>
      </c>
      <c r="F9700" s="7" t="str">
        <v>69951</v>
      </c>
      <c r="G9700" t="str">
        <v>ProjectedCrs</v>
      </c>
      <c r="H9700" t="str">
        <v>Robinson</v>
      </c>
      <c r="I9700" t="str">
        <v>Saturn (2015) / Ographic / Robinson, clon = 0</v>
      </c>
      <c r="J9700" t="str">
        <v>Not specified.</v>
      </c>
      <c r="K9700" s="11">
        <v>0</v>
      </c>
    </row>
    <row r="9701" spans="5:11" x14ac:dyDescent="0.35">
      <c r="E9701" s="9" t="str">
        <v>IAU_2015</v>
      </c>
      <c r="F9701" s="7" t="str">
        <v>69952</v>
      </c>
      <c r="G9701" t="str">
        <v>ProjectedCrs</v>
      </c>
      <c r="H9701" t="str">
        <v>Robinson</v>
      </c>
      <c r="I9701" t="str">
        <v>Saturn (2015) / Ocentric / Robinson, clon = 0</v>
      </c>
      <c r="J9701" t="str">
        <v>Not specified.</v>
      </c>
      <c r="K9701" s="11">
        <v>0</v>
      </c>
    </row>
    <row r="9702" spans="5:11" x14ac:dyDescent="0.35">
      <c r="E9702" s="9" t="str">
        <v>IAU_2015</v>
      </c>
      <c r="F9702" s="7" t="str">
        <v>69955</v>
      </c>
      <c r="G9702" t="str">
        <v>ProjectedCrs</v>
      </c>
      <c r="H9702" t="str">
        <v>Robinson</v>
      </c>
      <c r="I9702" t="str">
        <v>Saturn (2015) - Sphere / Ocentric / Robinson, clon = 180</v>
      </c>
      <c r="J9702" t="str">
        <v>Not specified.</v>
      </c>
      <c r="K9702" s="11">
        <v>0</v>
      </c>
    </row>
    <row r="9703" spans="5:11" x14ac:dyDescent="0.35">
      <c r="E9703" s="9" t="str">
        <v>IAU_2015</v>
      </c>
      <c r="F9703" s="7" t="str">
        <v>69956</v>
      </c>
      <c r="G9703" t="str">
        <v>ProjectedCrs</v>
      </c>
      <c r="H9703" t="str">
        <v>Robinson</v>
      </c>
      <c r="I9703" t="str">
        <v>Saturn (2015) / Ographic / Robinson, clon = 180</v>
      </c>
      <c r="J9703" t="str">
        <v>Not specified.</v>
      </c>
      <c r="K9703" s="11">
        <v>0</v>
      </c>
    </row>
    <row r="9704" spans="5:11" x14ac:dyDescent="0.35">
      <c r="E9704" s="9" t="str">
        <v>IAU_2015</v>
      </c>
      <c r="F9704" s="7" t="str">
        <v>69957</v>
      </c>
      <c r="G9704" t="str">
        <v>ProjectedCrs</v>
      </c>
      <c r="H9704" t="str">
        <v>Robinson</v>
      </c>
      <c r="I9704" t="str">
        <v>Saturn (2015) / Ocentric / Robinson, clon = 180</v>
      </c>
      <c r="J9704" t="str">
        <v>Not specified.</v>
      </c>
      <c r="K9704" s="11">
        <v>0</v>
      </c>
    </row>
    <row r="9705" spans="5:11" x14ac:dyDescent="0.35">
      <c r="E9705" s="9" t="str">
        <v>IAU_2015</v>
      </c>
      <c r="F9705" s="7" t="str">
        <v>69960</v>
      </c>
      <c r="G9705" t="str">
        <v>ProjectedCrs</v>
      </c>
      <c r="H9705" t="str">
        <v>Transverse Mercator</v>
      </c>
      <c r="I9705" t="str">
        <v>Saturn (2015) - Sphere / Ocentric / Tranverse Mercator</v>
      </c>
      <c r="J9705" t="str">
        <v>Not specified.</v>
      </c>
      <c r="K9705" s="11">
        <v>0</v>
      </c>
    </row>
    <row r="9706" spans="5:11" x14ac:dyDescent="0.35">
      <c r="E9706" s="9" t="str">
        <v>IAU_2015</v>
      </c>
      <c r="F9706" s="7" t="str">
        <v>69961</v>
      </c>
      <c r="G9706" t="str">
        <v>ProjectedCrs</v>
      </c>
      <c r="H9706" t="str">
        <v>Transverse Mercator</v>
      </c>
      <c r="I9706" t="str">
        <v>Saturn (2015) / Ographic / Tranverse Mercator</v>
      </c>
      <c r="J9706" t="str">
        <v>Not specified.</v>
      </c>
      <c r="K9706" s="11">
        <v>0</v>
      </c>
    </row>
    <row r="9707" spans="5:11" x14ac:dyDescent="0.35">
      <c r="E9707" s="9" t="str">
        <v>IAU_2015</v>
      </c>
      <c r="F9707" s="7" t="str">
        <v>69962</v>
      </c>
      <c r="G9707" t="str">
        <v>ProjectedCrs</v>
      </c>
      <c r="H9707" t="str">
        <v>Transverse Mercator</v>
      </c>
      <c r="I9707" t="str">
        <v>Saturn (2015) / Ocentric / Tranverse Mercator</v>
      </c>
      <c r="J9707" t="str">
        <v>Not specified.</v>
      </c>
      <c r="K9707" s="11">
        <v>0</v>
      </c>
    </row>
    <row r="9708" spans="5:11" x14ac:dyDescent="0.35">
      <c r="E9708" s="9" t="str">
        <v>IAU_2015</v>
      </c>
      <c r="F9708" s="7" t="str">
        <v>69965</v>
      </c>
      <c r="G9708" t="str">
        <v>ProjectedCrs</v>
      </c>
      <c r="H9708" t="str">
        <v>Orthographic</v>
      </c>
      <c r="I9708" t="str">
        <v>Saturn (2015) - Sphere / Ocentric / Orthographic, clon = 0</v>
      </c>
      <c r="J9708" t="str">
        <v>Not specified.</v>
      </c>
      <c r="K9708" s="11">
        <v>0</v>
      </c>
    </row>
    <row r="9709" spans="5:11" x14ac:dyDescent="0.35">
      <c r="E9709" s="9" t="str">
        <v>IAU_2015</v>
      </c>
      <c r="F9709" s="7" t="str">
        <v>69966</v>
      </c>
      <c r="G9709" t="str">
        <v>ProjectedCrs</v>
      </c>
      <c r="H9709" t="str">
        <v>Orthographic</v>
      </c>
      <c r="I9709" t="str">
        <v>Saturn (2015) / Ographic / Orthographic, clon = 0</v>
      </c>
      <c r="J9709" t="str">
        <v>Not specified.</v>
      </c>
      <c r="K9709" s="11">
        <v>0</v>
      </c>
    </row>
    <row r="9710" spans="5:11" x14ac:dyDescent="0.35">
      <c r="E9710" s="9" t="str">
        <v>IAU_2015</v>
      </c>
      <c r="F9710" s="7" t="str">
        <v>69967</v>
      </c>
      <c r="G9710" t="str">
        <v>ProjectedCrs</v>
      </c>
      <c r="H9710" t="str">
        <v>Orthographic</v>
      </c>
      <c r="I9710" t="str">
        <v>Saturn (2015) / Ocentric / Orthographic, clon = 0</v>
      </c>
      <c r="J9710" t="str">
        <v>Not specified.</v>
      </c>
      <c r="K9710" s="11">
        <v>0</v>
      </c>
    </row>
    <row r="9711" spans="5:11" x14ac:dyDescent="0.35">
      <c r="E9711" s="9" t="str">
        <v>IAU_2015</v>
      </c>
      <c r="F9711" s="7" t="str">
        <v>69970</v>
      </c>
      <c r="G9711" t="str">
        <v>ProjectedCrs</v>
      </c>
      <c r="H9711" t="str">
        <v>Orthographic</v>
      </c>
      <c r="I9711" t="str">
        <v>Saturn (2015) - Sphere / Ocentric / Orthographic, clon = 180</v>
      </c>
      <c r="J9711" t="str">
        <v>Not specified.</v>
      </c>
      <c r="K9711" s="11">
        <v>0</v>
      </c>
    </row>
    <row r="9712" spans="5:11" x14ac:dyDescent="0.35">
      <c r="E9712" s="9" t="str">
        <v>IAU_2015</v>
      </c>
      <c r="F9712" s="7" t="str">
        <v>69971</v>
      </c>
      <c r="G9712" t="str">
        <v>ProjectedCrs</v>
      </c>
      <c r="H9712" t="str">
        <v>Orthographic</v>
      </c>
      <c r="I9712" t="str">
        <v>Saturn (2015) / Ographic / Orthographic, clon = 180</v>
      </c>
      <c r="J9712" t="str">
        <v>Not specified.</v>
      </c>
      <c r="K9712" s="11">
        <v>0</v>
      </c>
    </row>
    <row r="9713" spans="5:11" x14ac:dyDescent="0.35">
      <c r="E9713" s="9" t="str">
        <v>IAU_2015</v>
      </c>
      <c r="F9713" s="7" t="str">
        <v>69972</v>
      </c>
      <c r="G9713" t="str">
        <v>ProjectedCrs</v>
      </c>
      <c r="H9713" t="str">
        <v>Orthographic</v>
      </c>
      <c r="I9713" t="str">
        <v>Saturn (2015) / Ocentric / Orthographic, clon = 180</v>
      </c>
      <c r="J9713" t="str">
        <v>Not specified.</v>
      </c>
      <c r="K9713" s="11">
        <v>0</v>
      </c>
    </row>
    <row r="9714" spans="5:11" x14ac:dyDescent="0.35">
      <c r="E9714" s="9" t="str">
        <v>IAU_2015</v>
      </c>
      <c r="F9714" s="7" t="str">
        <v>69975</v>
      </c>
      <c r="G9714" t="str">
        <v>ProjectedCrs</v>
      </c>
      <c r="H9714" t="str">
        <v>Lambert Conic Conformal (2SP)</v>
      </c>
      <c r="I9714" t="str">
        <v>Saturn (2015) - Sphere / Ocentric / Lambert Conic Conformal</v>
      </c>
      <c r="J9714" t="str">
        <v>Not specified.</v>
      </c>
      <c r="K9714" s="11">
        <v>0</v>
      </c>
    </row>
    <row r="9715" spans="5:11" x14ac:dyDescent="0.35">
      <c r="E9715" s="9" t="str">
        <v>IAU_2015</v>
      </c>
      <c r="F9715" s="7" t="str">
        <v>69976</v>
      </c>
      <c r="G9715" t="str">
        <v>ProjectedCrs</v>
      </c>
      <c r="H9715" t="str">
        <v>Lambert Conic Conformal (2SP)</v>
      </c>
      <c r="I9715" t="str">
        <v>Saturn (2015) / Ographic / Lambert Conic Conformal</v>
      </c>
      <c r="J9715" t="str">
        <v>Not specified.</v>
      </c>
      <c r="K9715" s="11">
        <v>0</v>
      </c>
    </row>
    <row r="9716" spans="5:11" x14ac:dyDescent="0.35">
      <c r="E9716" s="9" t="str">
        <v>IAU_2015</v>
      </c>
      <c r="F9716" s="7" t="str">
        <v>69977</v>
      </c>
      <c r="G9716" t="str">
        <v>ProjectedCrs</v>
      </c>
      <c r="H9716" t="str">
        <v>Lambert Conic Conformal (2SP)</v>
      </c>
      <c r="I9716" t="str">
        <v>Saturn (2015) / Ocentric / Lambert Conic Conformal</v>
      </c>
      <c r="J9716" t="str">
        <v>Not specified.</v>
      </c>
      <c r="K9716" s="11">
        <v>0</v>
      </c>
    </row>
    <row r="9717" spans="5:11" x14ac:dyDescent="0.35">
      <c r="E9717" s="9" t="str">
        <v>IAU_2015</v>
      </c>
      <c r="F9717" s="7" t="str">
        <v>69980</v>
      </c>
      <c r="G9717" t="str">
        <v>ProjectedCrs</v>
      </c>
      <c r="H9717" t="str">
        <v>Lambert Azimuthal Equal Area</v>
      </c>
      <c r="I9717" t="str">
        <v>Saturn (2015) - Sphere / Ocentric / Lambert Azimuthal Equal Area</v>
      </c>
      <c r="J9717" t="str">
        <v>Not specified.</v>
      </c>
      <c r="K9717" s="11">
        <v>0</v>
      </c>
    </row>
    <row r="9718" spans="5:11" x14ac:dyDescent="0.35">
      <c r="E9718" s="9" t="str">
        <v>IAU_2015</v>
      </c>
      <c r="F9718" s="7" t="str">
        <v>69981</v>
      </c>
      <c r="G9718" t="str">
        <v>ProjectedCrs</v>
      </c>
      <c r="H9718" t="str">
        <v>Lambert Azimuthal Equal Area</v>
      </c>
      <c r="I9718" t="str">
        <v>Saturn (2015) / Ographic / Lambert Azimuthal Equal Area</v>
      </c>
      <c r="J9718" t="str">
        <v>Not specified.</v>
      </c>
      <c r="K9718" s="11">
        <v>0</v>
      </c>
    </row>
    <row r="9719" spans="5:11" x14ac:dyDescent="0.35">
      <c r="E9719" s="9" t="str">
        <v>IAU_2015</v>
      </c>
      <c r="F9719" s="7" t="str">
        <v>69982</v>
      </c>
      <c r="G9719" t="str">
        <v>ProjectedCrs</v>
      </c>
      <c r="H9719" t="str">
        <v>Lambert Azimuthal Equal Area</v>
      </c>
      <c r="I9719" t="str">
        <v>Saturn (2015) / Ocentric / Lambert Azimuthal Equal Area</v>
      </c>
      <c r="J9719" t="str">
        <v>Not specified.</v>
      </c>
      <c r="K9719" s="11">
        <v>0</v>
      </c>
    </row>
    <row r="9720" spans="5:11" x14ac:dyDescent="0.35">
      <c r="E9720" s="9" t="str">
        <v>IAU_2015</v>
      </c>
      <c r="F9720" s="7" t="str">
        <v>69985</v>
      </c>
      <c r="G9720" t="str">
        <v>ProjectedCrs</v>
      </c>
      <c r="H9720" t="str">
        <v>Albers Equal Area</v>
      </c>
      <c r="I9720" t="str">
        <v>Saturn (2015) - Sphere / Ocentric / Albers Equal Area</v>
      </c>
      <c r="J9720" t="str">
        <v>Not specified.</v>
      </c>
      <c r="K9720" s="11">
        <v>0</v>
      </c>
    </row>
    <row r="9721" spans="5:11" x14ac:dyDescent="0.35">
      <c r="E9721" s="9" t="str">
        <v>IAU_2015</v>
      </c>
      <c r="F9721" s="7" t="str">
        <v>69986</v>
      </c>
      <c r="G9721" t="str">
        <v>ProjectedCrs</v>
      </c>
      <c r="H9721" t="str">
        <v>Albers Equal Area</v>
      </c>
      <c r="I9721" t="str">
        <v>Saturn (2015) / Ographic / Albers Equal Area</v>
      </c>
      <c r="J9721" t="str">
        <v>Not specified.</v>
      </c>
      <c r="K9721" s="11">
        <v>0</v>
      </c>
    </row>
    <row r="9722" spans="5:11" x14ac:dyDescent="0.35">
      <c r="E9722" s="9" t="str">
        <v>IAU_2015</v>
      </c>
      <c r="F9722" s="7" t="str">
        <v>69987</v>
      </c>
      <c r="G9722" t="str">
        <v>ProjectedCrs</v>
      </c>
      <c r="H9722" t="str">
        <v>Albers Equal Area</v>
      </c>
      <c r="I9722" t="str">
        <v>Saturn (2015) / Ocentric / Albers Equal Area</v>
      </c>
      <c r="J9722" t="str">
        <v>Not specified.</v>
      </c>
      <c r="K9722" s="11">
        <v>0</v>
      </c>
    </row>
    <row r="9723" spans="5:11" x14ac:dyDescent="0.35">
      <c r="E9723" s="9" t="str">
        <v>IAU_2015</v>
      </c>
      <c r="F9723" s="7" t="str">
        <v>69990</v>
      </c>
      <c r="G9723" t="str">
        <v>ProjectedCrs</v>
      </c>
      <c r="H9723" t="str">
        <v>Mercator (Spherical)</v>
      </c>
      <c r="I9723" t="str">
        <v>Saturn (2015) - Sphere / Ocentric / Mercator</v>
      </c>
      <c r="J9723" t="str">
        <v>Not specified.</v>
      </c>
      <c r="K9723" s="11">
        <v>0</v>
      </c>
    </row>
    <row r="9724" spans="5:11" x14ac:dyDescent="0.35">
      <c r="E9724" s="9" t="str">
        <v>IAU_2015</v>
      </c>
      <c r="F9724" s="7" t="str">
        <v>69991</v>
      </c>
      <c r="G9724" t="str">
        <v>ProjectedCrs</v>
      </c>
      <c r="H9724" t="str">
        <v>Mercator (Spherical)</v>
      </c>
      <c r="I9724" t="str">
        <v>Saturn (2015) / Ographic / Mercator</v>
      </c>
      <c r="J9724" t="str">
        <v>Not specified.</v>
      </c>
      <c r="K9724" s="11">
        <v>0</v>
      </c>
    </row>
    <row r="9725" spans="5:11" x14ac:dyDescent="0.35">
      <c r="E9725" s="9" t="str">
        <v>IAU_2015</v>
      </c>
      <c r="F9725" s="7" t="str">
        <v>69992</v>
      </c>
      <c r="G9725" t="str">
        <v>ProjectedCrs</v>
      </c>
      <c r="H9725" t="str">
        <v>Mercator (Spherical)</v>
      </c>
      <c r="I9725" t="str">
        <v>Saturn (2015) / Ocentric / Mercator</v>
      </c>
      <c r="J9725" t="str">
        <v>Not specified.</v>
      </c>
      <c r="K9725" s="11">
        <v>0</v>
      </c>
    </row>
    <row r="9726" spans="5:11" x14ac:dyDescent="0.35">
      <c r="E9726" s="9" t="str">
        <v>IAU_2015</v>
      </c>
      <c r="F9726" s="7" t="str">
        <v>70100</v>
      </c>
      <c r="G9726" t="str">
        <v>Geographic2DCrs</v>
      </c>
      <c r="H9726" t="str">
        <v>&lt;undefined&gt;</v>
      </c>
      <c r="I9726" t="str">
        <v>Ariel (2015) - Sphere / Ocentric</v>
      </c>
      <c r="J9726" t="str">
        <v>Not specified.</v>
      </c>
      <c r="K9726" s="11">
        <v>0</v>
      </c>
    </row>
    <row r="9727" spans="5:11" x14ac:dyDescent="0.35">
      <c r="E9727" s="9" t="str">
        <v>IAU_2015</v>
      </c>
      <c r="F9727" s="7" t="str">
        <v>70110</v>
      </c>
      <c r="G9727" t="str">
        <v>ProjectedCrs</v>
      </c>
      <c r="H9727" t="str">
        <v>Equidistant Cylindrical</v>
      </c>
      <c r="I9727" t="str">
        <v>Ariel (2015) - Sphere / Ocentric / Equirectangular, clon = 0</v>
      </c>
      <c r="J9727" t="str">
        <v>Not specified.</v>
      </c>
      <c r="K9727" s="11">
        <v>0</v>
      </c>
    </row>
    <row r="9728" spans="5:11" x14ac:dyDescent="0.35">
      <c r="E9728" s="9" t="str">
        <v>IAU_2015</v>
      </c>
      <c r="F9728" s="7" t="str">
        <v>70115</v>
      </c>
      <c r="G9728" t="str">
        <v>ProjectedCrs</v>
      </c>
      <c r="H9728" t="str">
        <v>Equidistant Cylindrical</v>
      </c>
      <c r="I9728" t="str">
        <v>Ariel (2015) - Sphere / Ocentric / Equirectangular, clon = 180</v>
      </c>
      <c r="J9728" t="str">
        <v>Not specified.</v>
      </c>
      <c r="K9728" s="11">
        <v>0</v>
      </c>
    </row>
    <row r="9729" spans="5:11" x14ac:dyDescent="0.35">
      <c r="E9729" s="9" t="str">
        <v>IAU_2015</v>
      </c>
      <c r="F9729" s="7" t="str">
        <v>70120</v>
      </c>
      <c r="G9729" t="str">
        <v>ProjectedCrs</v>
      </c>
      <c r="H9729" t="str">
        <v>Sinusoidal</v>
      </c>
      <c r="I9729" t="str">
        <v>Ariel (2015) - Sphere / Ocentric / Sinusoidal, clon = 0</v>
      </c>
      <c r="J9729" t="str">
        <v>Not specified.</v>
      </c>
      <c r="K9729" s="11">
        <v>0</v>
      </c>
    </row>
    <row r="9730" spans="5:11" x14ac:dyDescent="0.35">
      <c r="E9730" s="9" t="str">
        <v>IAU_2015</v>
      </c>
      <c r="F9730" s="7" t="str">
        <v>70125</v>
      </c>
      <c r="G9730" t="str">
        <v>ProjectedCrs</v>
      </c>
      <c r="H9730" t="str">
        <v>Sinusoidal</v>
      </c>
      <c r="I9730" t="str">
        <v>Ariel (2015) - Sphere / Ocentric / Sinusoidal, clon = 180</v>
      </c>
      <c r="J9730" t="str">
        <v>Not specified.</v>
      </c>
      <c r="K9730" s="11">
        <v>0</v>
      </c>
    </row>
    <row r="9731" spans="5:11" x14ac:dyDescent="0.35">
      <c r="E9731" s="9" t="str">
        <v>IAU_2015</v>
      </c>
      <c r="F9731" s="7" t="str">
        <v>70130</v>
      </c>
      <c r="G9731" t="str">
        <v>ProjectedCrs</v>
      </c>
      <c r="H9731" t="str">
        <v>Polar Stereographic (variant A)</v>
      </c>
      <c r="I9731" t="str">
        <v>Ariel (2015) - Sphere / Ocentric / North Polar</v>
      </c>
      <c r="J9731" t="str">
        <v>Not specified.</v>
      </c>
      <c r="K9731" s="11">
        <v>0</v>
      </c>
    </row>
    <row r="9732" spans="5:11" x14ac:dyDescent="0.35">
      <c r="E9732" s="9" t="str">
        <v>IAU_2015</v>
      </c>
      <c r="F9732" s="7" t="str">
        <v>70135</v>
      </c>
      <c r="G9732" t="str">
        <v>ProjectedCrs</v>
      </c>
      <c r="H9732" t="str">
        <v>Polar Stereographic (variant A)</v>
      </c>
      <c r="I9732" t="str">
        <v>Ariel (2015) - Sphere / Ocentric / South Polar</v>
      </c>
      <c r="J9732" t="str">
        <v>Not specified.</v>
      </c>
      <c r="K9732" s="11">
        <v>0</v>
      </c>
    </row>
    <row r="9733" spans="5:11" x14ac:dyDescent="0.35">
      <c r="E9733" s="9" t="str">
        <v>IAU_2015</v>
      </c>
      <c r="F9733" s="7" t="str">
        <v>70140</v>
      </c>
      <c r="G9733" t="str">
        <v>ProjectedCrs</v>
      </c>
      <c r="H9733" t="str">
        <v>Mollweide</v>
      </c>
      <c r="I9733" t="str">
        <v>Ariel (2015) - Sphere / Ocentric / Mollweide, clon = 0</v>
      </c>
      <c r="J9733" t="str">
        <v>Not specified.</v>
      </c>
      <c r="K9733" s="11">
        <v>0</v>
      </c>
    </row>
    <row r="9734" spans="5:11" x14ac:dyDescent="0.35">
      <c r="E9734" s="9" t="str">
        <v>IAU_2015</v>
      </c>
      <c r="F9734" s="7" t="str">
        <v>70145</v>
      </c>
      <c r="G9734" t="str">
        <v>ProjectedCrs</v>
      </c>
      <c r="H9734" t="str">
        <v>Mollweide</v>
      </c>
      <c r="I9734" t="str">
        <v>Ariel (2015) - Sphere / Ocentric / Mollweide, clon = 180</v>
      </c>
      <c r="J9734" t="str">
        <v>Not specified.</v>
      </c>
      <c r="K9734" s="11">
        <v>0</v>
      </c>
    </row>
    <row r="9735" spans="5:11" x14ac:dyDescent="0.35">
      <c r="E9735" s="9" t="str">
        <v>IAU_2015</v>
      </c>
      <c r="F9735" s="7" t="str">
        <v>70150</v>
      </c>
      <c r="G9735" t="str">
        <v>ProjectedCrs</v>
      </c>
      <c r="H9735" t="str">
        <v>Robinson</v>
      </c>
      <c r="I9735" t="str">
        <v>Ariel (2015) - Sphere / Ocentric / Robinson, clon = 0</v>
      </c>
      <c r="J9735" t="str">
        <v>Not specified.</v>
      </c>
      <c r="K9735" s="11">
        <v>0</v>
      </c>
    </row>
    <row r="9736" spans="5:11" x14ac:dyDescent="0.35">
      <c r="E9736" s="9" t="str">
        <v>IAU_2015</v>
      </c>
      <c r="F9736" s="7" t="str">
        <v>70155</v>
      </c>
      <c r="G9736" t="str">
        <v>ProjectedCrs</v>
      </c>
      <c r="H9736" t="str">
        <v>Robinson</v>
      </c>
      <c r="I9736" t="str">
        <v>Ariel (2015) - Sphere / Ocentric / Robinson, clon = 180</v>
      </c>
      <c r="J9736" t="str">
        <v>Not specified.</v>
      </c>
      <c r="K9736" s="11">
        <v>0</v>
      </c>
    </row>
    <row r="9737" spans="5:11" x14ac:dyDescent="0.35">
      <c r="E9737" s="9" t="str">
        <v>IAU_2015</v>
      </c>
      <c r="F9737" s="7" t="str">
        <v>70160</v>
      </c>
      <c r="G9737" t="str">
        <v>ProjectedCrs</v>
      </c>
      <c r="H9737" t="str">
        <v>Transverse Mercator</v>
      </c>
      <c r="I9737" t="str">
        <v>Ariel (2015) - Sphere / Ocentric / Tranverse Mercator</v>
      </c>
      <c r="J9737" t="str">
        <v>Not specified.</v>
      </c>
      <c r="K9737" s="11">
        <v>0</v>
      </c>
    </row>
    <row r="9738" spans="5:11" x14ac:dyDescent="0.35">
      <c r="E9738" s="9" t="str">
        <v>IAU_2015</v>
      </c>
      <c r="F9738" s="7" t="str">
        <v>70165</v>
      </c>
      <c r="G9738" t="str">
        <v>ProjectedCrs</v>
      </c>
      <c r="H9738" t="str">
        <v>Orthographic</v>
      </c>
      <c r="I9738" t="str">
        <v>Ariel (2015) - Sphere / Ocentric / Orthographic, clon = 0</v>
      </c>
      <c r="J9738" t="str">
        <v>Not specified.</v>
      </c>
      <c r="K9738" s="11">
        <v>0</v>
      </c>
    </row>
    <row r="9739" spans="5:11" x14ac:dyDescent="0.35">
      <c r="E9739" s="9" t="str">
        <v>IAU_2015</v>
      </c>
      <c r="F9739" s="7" t="str">
        <v>70170</v>
      </c>
      <c r="G9739" t="str">
        <v>ProjectedCrs</v>
      </c>
      <c r="H9739" t="str">
        <v>Orthographic</v>
      </c>
      <c r="I9739" t="str">
        <v>Ariel (2015) - Sphere / Ocentric / Orthographic, clon = 180</v>
      </c>
      <c r="J9739" t="str">
        <v>Not specified.</v>
      </c>
      <c r="K9739" s="11">
        <v>0</v>
      </c>
    </row>
    <row r="9740" spans="5:11" x14ac:dyDescent="0.35">
      <c r="E9740" s="9" t="str">
        <v>IAU_2015</v>
      </c>
      <c r="F9740" s="7" t="str">
        <v>70175</v>
      </c>
      <c r="G9740" t="str">
        <v>ProjectedCrs</v>
      </c>
      <c r="H9740" t="str">
        <v>Lambert Conic Conformal (2SP)</v>
      </c>
      <c r="I9740" t="str">
        <v>Ariel (2015) - Sphere / Ocentric / Lambert Conic Conformal</v>
      </c>
      <c r="J9740" t="str">
        <v>Not specified.</v>
      </c>
      <c r="K9740" s="11">
        <v>0</v>
      </c>
    </row>
    <row r="9741" spans="5:11" x14ac:dyDescent="0.35">
      <c r="E9741" s="9" t="str">
        <v>IAU_2015</v>
      </c>
      <c r="F9741" s="7" t="str">
        <v>70180</v>
      </c>
      <c r="G9741" t="str">
        <v>ProjectedCrs</v>
      </c>
      <c r="H9741" t="str">
        <v>Lambert Azimuthal Equal Area</v>
      </c>
      <c r="I9741" t="str">
        <v>Ariel (2015) - Sphere / Ocentric / Lambert Azimuthal Equal Area</v>
      </c>
      <c r="J9741" t="str">
        <v>Not specified.</v>
      </c>
      <c r="K9741" s="11">
        <v>0</v>
      </c>
    </row>
    <row r="9742" spans="5:11" x14ac:dyDescent="0.35">
      <c r="E9742" s="9" t="str">
        <v>IAU_2015</v>
      </c>
      <c r="F9742" s="7" t="str">
        <v>70185</v>
      </c>
      <c r="G9742" t="str">
        <v>ProjectedCrs</v>
      </c>
      <c r="H9742" t="str">
        <v>Albers Equal Area</v>
      </c>
      <c r="I9742" t="str">
        <v>Ariel (2015) - Sphere / Ocentric / Albers Equal Area</v>
      </c>
      <c r="J9742" t="str">
        <v>Not specified.</v>
      </c>
      <c r="K9742" s="11">
        <v>0</v>
      </c>
    </row>
    <row r="9743" spans="5:11" x14ac:dyDescent="0.35">
      <c r="E9743" s="9" t="str">
        <v>IAU_2015</v>
      </c>
      <c r="F9743" s="7" t="str">
        <v>70190</v>
      </c>
      <c r="G9743" t="str">
        <v>ProjectedCrs</v>
      </c>
      <c r="H9743" t="str">
        <v>Mercator (Spherical)</v>
      </c>
      <c r="I9743" t="str">
        <v>Ariel (2015) - Sphere / Ocentric / Mercator</v>
      </c>
      <c r="J9743" t="str">
        <v>Not specified.</v>
      </c>
      <c r="K9743" s="11">
        <v>0</v>
      </c>
    </row>
    <row r="9744" spans="5:11" x14ac:dyDescent="0.35">
      <c r="E9744" s="9" t="str">
        <v>IAU_2015</v>
      </c>
      <c r="F9744" s="7" t="str">
        <v>70200</v>
      </c>
      <c r="G9744" t="str">
        <v>Geographic2DCrs</v>
      </c>
      <c r="H9744" t="str">
        <v>&lt;undefined&gt;</v>
      </c>
      <c r="I9744" t="str">
        <v>Umbriel (2015) - Sphere / Ocentric</v>
      </c>
      <c r="J9744" t="str">
        <v>Not specified.</v>
      </c>
      <c r="K9744" s="11">
        <v>0</v>
      </c>
    </row>
    <row r="9745" spans="5:11" x14ac:dyDescent="0.35">
      <c r="E9745" s="9" t="str">
        <v>IAU_2015</v>
      </c>
      <c r="F9745" s="7" t="str">
        <v>70210</v>
      </c>
      <c r="G9745" t="str">
        <v>ProjectedCrs</v>
      </c>
      <c r="H9745" t="str">
        <v>Equidistant Cylindrical</v>
      </c>
      <c r="I9745" t="str">
        <v>Umbriel (2015) - Sphere / Ocentric / Equirectangular, clon = 0</v>
      </c>
      <c r="J9745" t="str">
        <v>Not specified.</v>
      </c>
      <c r="K9745" s="11">
        <v>0</v>
      </c>
    </row>
    <row r="9746" spans="5:11" x14ac:dyDescent="0.35">
      <c r="E9746" s="9" t="str">
        <v>IAU_2015</v>
      </c>
      <c r="F9746" s="7" t="str">
        <v>70215</v>
      </c>
      <c r="G9746" t="str">
        <v>ProjectedCrs</v>
      </c>
      <c r="H9746" t="str">
        <v>Equidistant Cylindrical</v>
      </c>
      <c r="I9746" t="str">
        <v>Umbriel (2015) - Sphere / Ocentric / Equirectangular, clon = 180</v>
      </c>
      <c r="J9746" t="str">
        <v>Not specified.</v>
      </c>
      <c r="K9746" s="11">
        <v>0</v>
      </c>
    </row>
    <row r="9747" spans="5:11" x14ac:dyDescent="0.35">
      <c r="E9747" s="9" t="str">
        <v>IAU_2015</v>
      </c>
      <c r="F9747" s="7" t="str">
        <v>70220</v>
      </c>
      <c r="G9747" t="str">
        <v>ProjectedCrs</v>
      </c>
      <c r="H9747" t="str">
        <v>Sinusoidal</v>
      </c>
      <c r="I9747" t="str">
        <v>Umbriel (2015) - Sphere / Ocentric / Sinusoidal, clon = 0</v>
      </c>
      <c r="J9747" t="str">
        <v>Not specified.</v>
      </c>
      <c r="K9747" s="11">
        <v>0</v>
      </c>
    </row>
    <row r="9748" spans="5:11" x14ac:dyDescent="0.35">
      <c r="E9748" s="9" t="str">
        <v>IAU_2015</v>
      </c>
      <c r="F9748" s="7" t="str">
        <v>70225</v>
      </c>
      <c r="G9748" t="str">
        <v>ProjectedCrs</v>
      </c>
      <c r="H9748" t="str">
        <v>Sinusoidal</v>
      </c>
      <c r="I9748" t="str">
        <v>Umbriel (2015) - Sphere / Ocentric / Sinusoidal, clon = 180</v>
      </c>
      <c r="J9748" t="str">
        <v>Not specified.</v>
      </c>
      <c r="K9748" s="11">
        <v>0</v>
      </c>
    </row>
    <row r="9749" spans="5:11" x14ac:dyDescent="0.35">
      <c r="E9749" s="9" t="str">
        <v>IAU_2015</v>
      </c>
      <c r="F9749" s="7" t="str">
        <v>70230</v>
      </c>
      <c r="G9749" t="str">
        <v>ProjectedCrs</v>
      </c>
      <c r="H9749" t="str">
        <v>Polar Stereographic (variant A)</v>
      </c>
      <c r="I9749" t="str">
        <v>Umbriel (2015) - Sphere / Ocentric / North Polar</v>
      </c>
      <c r="J9749" t="str">
        <v>Not specified.</v>
      </c>
      <c r="K9749" s="11">
        <v>0</v>
      </c>
    </row>
    <row r="9750" spans="5:11" x14ac:dyDescent="0.35">
      <c r="E9750" s="9" t="str">
        <v>IAU_2015</v>
      </c>
      <c r="F9750" s="7" t="str">
        <v>70235</v>
      </c>
      <c r="G9750" t="str">
        <v>ProjectedCrs</v>
      </c>
      <c r="H9750" t="str">
        <v>Polar Stereographic (variant A)</v>
      </c>
      <c r="I9750" t="str">
        <v>Umbriel (2015) - Sphere / Ocentric / South Polar</v>
      </c>
      <c r="J9750" t="str">
        <v>Not specified.</v>
      </c>
      <c r="K9750" s="11">
        <v>0</v>
      </c>
    </row>
    <row r="9751" spans="5:11" x14ac:dyDescent="0.35">
      <c r="E9751" s="9" t="str">
        <v>IAU_2015</v>
      </c>
      <c r="F9751" s="7" t="str">
        <v>70240</v>
      </c>
      <c r="G9751" t="str">
        <v>ProjectedCrs</v>
      </c>
      <c r="H9751" t="str">
        <v>Mollweide</v>
      </c>
      <c r="I9751" t="str">
        <v>Umbriel (2015) - Sphere / Ocentric / Mollweide, clon = 0</v>
      </c>
      <c r="J9751" t="str">
        <v>Not specified.</v>
      </c>
      <c r="K9751" s="11">
        <v>0</v>
      </c>
    </row>
    <row r="9752" spans="5:11" x14ac:dyDescent="0.35">
      <c r="E9752" s="9" t="str">
        <v>IAU_2015</v>
      </c>
      <c r="F9752" s="7" t="str">
        <v>70245</v>
      </c>
      <c r="G9752" t="str">
        <v>ProjectedCrs</v>
      </c>
      <c r="H9752" t="str">
        <v>Mollweide</v>
      </c>
      <c r="I9752" t="str">
        <v>Umbriel (2015) - Sphere / Ocentric / Mollweide, clon = 180</v>
      </c>
      <c r="J9752" t="str">
        <v>Not specified.</v>
      </c>
      <c r="K9752" s="11">
        <v>0</v>
      </c>
    </row>
    <row r="9753" spans="5:11" x14ac:dyDescent="0.35">
      <c r="E9753" s="9" t="str">
        <v>IAU_2015</v>
      </c>
      <c r="F9753" s="7" t="str">
        <v>70250</v>
      </c>
      <c r="G9753" t="str">
        <v>ProjectedCrs</v>
      </c>
      <c r="H9753" t="str">
        <v>Robinson</v>
      </c>
      <c r="I9753" t="str">
        <v>Umbriel (2015) - Sphere / Ocentric / Robinson, clon = 0</v>
      </c>
      <c r="J9753" t="str">
        <v>Not specified.</v>
      </c>
      <c r="K9753" s="11">
        <v>0</v>
      </c>
    </row>
    <row r="9754" spans="5:11" x14ac:dyDescent="0.35">
      <c r="E9754" s="9" t="str">
        <v>IAU_2015</v>
      </c>
      <c r="F9754" s="7" t="str">
        <v>70255</v>
      </c>
      <c r="G9754" t="str">
        <v>ProjectedCrs</v>
      </c>
      <c r="H9754" t="str">
        <v>Robinson</v>
      </c>
      <c r="I9754" t="str">
        <v>Umbriel (2015) - Sphere / Ocentric / Robinson, clon = 180</v>
      </c>
      <c r="J9754" t="str">
        <v>Not specified.</v>
      </c>
      <c r="K9754" s="11">
        <v>0</v>
      </c>
    </row>
    <row r="9755" spans="5:11" x14ac:dyDescent="0.35">
      <c r="E9755" s="9" t="str">
        <v>IAU_2015</v>
      </c>
      <c r="F9755" s="7" t="str">
        <v>70260</v>
      </c>
      <c r="G9755" t="str">
        <v>ProjectedCrs</v>
      </c>
      <c r="H9755" t="str">
        <v>Transverse Mercator</v>
      </c>
      <c r="I9755" t="str">
        <v>Umbriel (2015) - Sphere / Ocentric / Tranverse Mercator</v>
      </c>
      <c r="J9755" t="str">
        <v>Not specified.</v>
      </c>
      <c r="K9755" s="11">
        <v>0</v>
      </c>
    </row>
    <row r="9756" spans="5:11" x14ac:dyDescent="0.35">
      <c r="E9756" s="9" t="str">
        <v>IAU_2015</v>
      </c>
      <c r="F9756" s="7" t="str">
        <v>70265</v>
      </c>
      <c r="G9756" t="str">
        <v>ProjectedCrs</v>
      </c>
      <c r="H9756" t="str">
        <v>Orthographic</v>
      </c>
      <c r="I9756" t="str">
        <v>Umbriel (2015) - Sphere / Ocentric / Orthographic, clon = 0</v>
      </c>
      <c r="J9756" t="str">
        <v>Not specified.</v>
      </c>
      <c r="K9756" s="11">
        <v>0</v>
      </c>
    </row>
    <row r="9757" spans="5:11" x14ac:dyDescent="0.35">
      <c r="E9757" s="9" t="str">
        <v>IAU_2015</v>
      </c>
      <c r="F9757" s="7" t="str">
        <v>70270</v>
      </c>
      <c r="G9757" t="str">
        <v>ProjectedCrs</v>
      </c>
      <c r="H9757" t="str">
        <v>Orthographic</v>
      </c>
      <c r="I9757" t="str">
        <v>Umbriel (2015) - Sphere / Ocentric / Orthographic, clon = 180</v>
      </c>
      <c r="J9757" t="str">
        <v>Not specified.</v>
      </c>
      <c r="K9757" s="11">
        <v>0</v>
      </c>
    </row>
    <row r="9758" spans="5:11" x14ac:dyDescent="0.35">
      <c r="E9758" s="9" t="str">
        <v>IAU_2015</v>
      </c>
      <c r="F9758" s="7" t="str">
        <v>70275</v>
      </c>
      <c r="G9758" t="str">
        <v>ProjectedCrs</v>
      </c>
      <c r="H9758" t="str">
        <v>Lambert Conic Conformal (2SP)</v>
      </c>
      <c r="I9758" t="str">
        <v>Umbriel (2015) - Sphere / Ocentric / Lambert Conic Conformal</v>
      </c>
      <c r="J9758" t="str">
        <v>Not specified.</v>
      </c>
      <c r="K9758" s="11">
        <v>0</v>
      </c>
    </row>
    <row r="9759" spans="5:11" x14ac:dyDescent="0.35">
      <c r="E9759" s="9" t="str">
        <v>IAU_2015</v>
      </c>
      <c r="F9759" s="7" t="str">
        <v>70280</v>
      </c>
      <c r="G9759" t="str">
        <v>ProjectedCrs</v>
      </c>
      <c r="H9759" t="str">
        <v>Lambert Azimuthal Equal Area</v>
      </c>
      <c r="I9759" t="str">
        <v>Umbriel (2015) - Sphere / Ocentric / Lambert Azimuthal Equal Area</v>
      </c>
      <c r="J9759" t="str">
        <v>Not specified.</v>
      </c>
      <c r="K9759" s="11">
        <v>0</v>
      </c>
    </row>
    <row r="9760" spans="5:11" x14ac:dyDescent="0.35">
      <c r="E9760" s="9" t="str">
        <v>IAU_2015</v>
      </c>
      <c r="F9760" s="7" t="str">
        <v>70285</v>
      </c>
      <c r="G9760" t="str">
        <v>ProjectedCrs</v>
      </c>
      <c r="H9760" t="str">
        <v>Albers Equal Area</v>
      </c>
      <c r="I9760" t="str">
        <v>Umbriel (2015) - Sphere / Ocentric / Albers Equal Area</v>
      </c>
      <c r="J9760" t="str">
        <v>Not specified.</v>
      </c>
      <c r="K9760" s="11">
        <v>0</v>
      </c>
    </row>
    <row r="9761" spans="5:11" x14ac:dyDescent="0.35">
      <c r="E9761" s="9" t="str">
        <v>IAU_2015</v>
      </c>
      <c r="F9761" s="7" t="str">
        <v>70290</v>
      </c>
      <c r="G9761" t="str">
        <v>ProjectedCrs</v>
      </c>
      <c r="H9761" t="str">
        <v>Mercator (Spherical)</v>
      </c>
      <c r="I9761" t="str">
        <v>Umbriel (2015) - Sphere / Ocentric / Mercator</v>
      </c>
      <c r="J9761" t="str">
        <v>Not specified.</v>
      </c>
      <c r="K9761" s="11">
        <v>0</v>
      </c>
    </row>
    <row r="9762" spans="5:11" x14ac:dyDescent="0.35">
      <c r="E9762" s="9" t="str">
        <v>IAU_2015</v>
      </c>
      <c r="F9762" s="7" t="str">
        <v>70300</v>
      </c>
      <c r="G9762" t="str">
        <v>Geographic2DCrs</v>
      </c>
      <c r="H9762" t="str">
        <v>&lt;undefined&gt;</v>
      </c>
      <c r="I9762" t="str">
        <v>Titania (2015) - Sphere / Ocentric</v>
      </c>
      <c r="J9762" t="str">
        <v>Not specified.</v>
      </c>
      <c r="K9762" s="11">
        <v>0</v>
      </c>
    </row>
    <row r="9763" spans="5:11" x14ac:dyDescent="0.35">
      <c r="E9763" s="9" t="str">
        <v>IAU_2015</v>
      </c>
      <c r="F9763" s="7" t="str">
        <v>70310</v>
      </c>
      <c r="G9763" t="str">
        <v>ProjectedCrs</v>
      </c>
      <c r="H9763" t="str">
        <v>Equidistant Cylindrical</v>
      </c>
      <c r="I9763" t="str">
        <v>Titania (2015) - Sphere / Ocentric / Equirectangular, clon = 0</v>
      </c>
      <c r="J9763" t="str">
        <v>Not specified.</v>
      </c>
      <c r="K9763" s="11">
        <v>0</v>
      </c>
    </row>
    <row r="9764" spans="5:11" x14ac:dyDescent="0.35">
      <c r="E9764" s="9" t="str">
        <v>IAU_2015</v>
      </c>
      <c r="F9764" s="7" t="str">
        <v>70315</v>
      </c>
      <c r="G9764" t="str">
        <v>ProjectedCrs</v>
      </c>
      <c r="H9764" t="str">
        <v>Equidistant Cylindrical</v>
      </c>
      <c r="I9764" t="str">
        <v>Titania (2015) - Sphere / Ocentric / Equirectangular, clon = 180</v>
      </c>
      <c r="J9764" t="str">
        <v>Not specified.</v>
      </c>
      <c r="K9764" s="11">
        <v>0</v>
      </c>
    </row>
    <row r="9765" spans="5:11" x14ac:dyDescent="0.35">
      <c r="E9765" s="9" t="str">
        <v>IAU_2015</v>
      </c>
      <c r="F9765" s="7" t="str">
        <v>70320</v>
      </c>
      <c r="G9765" t="str">
        <v>ProjectedCrs</v>
      </c>
      <c r="H9765" t="str">
        <v>Sinusoidal</v>
      </c>
      <c r="I9765" t="str">
        <v>Titania (2015) - Sphere / Ocentric / Sinusoidal, clon = 0</v>
      </c>
      <c r="J9765" t="str">
        <v>Not specified.</v>
      </c>
      <c r="K9765" s="11">
        <v>0</v>
      </c>
    </row>
    <row r="9766" spans="5:11" x14ac:dyDescent="0.35">
      <c r="E9766" s="9" t="str">
        <v>IAU_2015</v>
      </c>
      <c r="F9766" s="7" t="str">
        <v>70325</v>
      </c>
      <c r="G9766" t="str">
        <v>ProjectedCrs</v>
      </c>
      <c r="H9766" t="str">
        <v>Sinusoidal</v>
      </c>
      <c r="I9766" t="str">
        <v>Titania (2015) - Sphere / Ocentric / Sinusoidal, clon = 180</v>
      </c>
      <c r="J9766" t="str">
        <v>Not specified.</v>
      </c>
      <c r="K9766" s="11">
        <v>0</v>
      </c>
    </row>
    <row r="9767" spans="5:11" x14ac:dyDescent="0.35">
      <c r="E9767" s="9" t="str">
        <v>IAU_2015</v>
      </c>
      <c r="F9767" s="7" t="str">
        <v>70330</v>
      </c>
      <c r="G9767" t="str">
        <v>ProjectedCrs</v>
      </c>
      <c r="H9767" t="str">
        <v>Polar Stereographic (variant A)</v>
      </c>
      <c r="I9767" t="str">
        <v>Titania (2015) - Sphere / Ocentric / North Polar</v>
      </c>
      <c r="J9767" t="str">
        <v>Not specified.</v>
      </c>
      <c r="K9767" s="11">
        <v>0</v>
      </c>
    </row>
    <row r="9768" spans="5:11" x14ac:dyDescent="0.35">
      <c r="E9768" s="9" t="str">
        <v>IAU_2015</v>
      </c>
      <c r="F9768" s="7" t="str">
        <v>70335</v>
      </c>
      <c r="G9768" t="str">
        <v>ProjectedCrs</v>
      </c>
      <c r="H9768" t="str">
        <v>Polar Stereographic (variant A)</v>
      </c>
      <c r="I9768" t="str">
        <v>Titania (2015) - Sphere / Ocentric / South Polar</v>
      </c>
      <c r="J9768" t="str">
        <v>Not specified.</v>
      </c>
      <c r="K9768" s="11">
        <v>0</v>
      </c>
    </row>
    <row r="9769" spans="5:11" x14ac:dyDescent="0.35">
      <c r="E9769" s="9" t="str">
        <v>IAU_2015</v>
      </c>
      <c r="F9769" s="7" t="str">
        <v>70340</v>
      </c>
      <c r="G9769" t="str">
        <v>ProjectedCrs</v>
      </c>
      <c r="H9769" t="str">
        <v>Mollweide</v>
      </c>
      <c r="I9769" t="str">
        <v>Titania (2015) - Sphere / Ocentric / Mollweide, clon = 0</v>
      </c>
      <c r="J9769" t="str">
        <v>Not specified.</v>
      </c>
      <c r="K9769" s="11">
        <v>0</v>
      </c>
    </row>
    <row r="9770" spans="5:11" x14ac:dyDescent="0.35">
      <c r="E9770" s="9" t="str">
        <v>IAU_2015</v>
      </c>
      <c r="F9770" s="7" t="str">
        <v>70345</v>
      </c>
      <c r="G9770" t="str">
        <v>ProjectedCrs</v>
      </c>
      <c r="H9770" t="str">
        <v>Mollweide</v>
      </c>
      <c r="I9770" t="str">
        <v>Titania (2015) - Sphere / Ocentric / Mollweide, clon = 180</v>
      </c>
      <c r="J9770" t="str">
        <v>Not specified.</v>
      </c>
      <c r="K9770" s="11">
        <v>0</v>
      </c>
    </row>
    <row r="9771" spans="5:11" x14ac:dyDescent="0.35">
      <c r="E9771" s="9" t="str">
        <v>IAU_2015</v>
      </c>
      <c r="F9771" s="7" t="str">
        <v>70350</v>
      </c>
      <c r="G9771" t="str">
        <v>ProjectedCrs</v>
      </c>
      <c r="H9771" t="str">
        <v>Robinson</v>
      </c>
      <c r="I9771" t="str">
        <v>Titania (2015) - Sphere / Ocentric / Robinson, clon = 0</v>
      </c>
      <c r="J9771" t="str">
        <v>Not specified.</v>
      </c>
      <c r="K9771" s="11">
        <v>0</v>
      </c>
    </row>
    <row r="9772" spans="5:11" x14ac:dyDescent="0.35">
      <c r="E9772" s="9" t="str">
        <v>IAU_2015</v>
      </c>
      <c r="F9772" s="7" t="str">
        <v>70355</v>
      </c>
      <c r="G9772" t="str">
        <v>ProjectedCrs</v>
      </c>
      <c r="H9772" t="str">
        <v>Robinson</v>
      </c>
      <c r="I9772" t="str">
        <v>Titania (2015) - Sphere / Ocentric / Robinson, clon = 180</v>
      </c>
      <c r="J9772" t="str">
        <v>Not specified.</v>
      </c>
      <c r="K9772" s="11">
        <v>0</v>
      </c>
    </row>
    <row r="9773" spans="5:11" x14ac:dyDescent="0.35">
      <c r="E9773" s="9" t="str">
        <v>IAU_2015</v>
      </c>
      <c r="F9773" s="7" t="str">
        <v>70360</v>
      </c>
      <c r="G9773" t="str">
        <v>ProjectedCrs</v>
      </c>
      <c r="H9773" t="str">
        <v>Transverse Mercator</v>
      </c>
      <c r="I9773" t="str">
        <v>Titania (2015) - Sphere / Ocentric / Tranverse Mercator</v>
      </c>
      <c r="J9773" t="str">
        <v>Not specified.</v>
      </c>
      <c r="K9773" s="11">
        <v>0</v>
      </c>
    </row>
    <row r="9774" spans="5:11" x14ac:dyDescent="0.35">
      <c r="E9774" s="9" t="str">
        <v>IAU_2015</v>
      </c>
      <c r="F9774" s="7" t="str">
        <v>70365</v>
      </c>
      <c r="G9774" t="str">
        <v>ProjectedCrs</v>
      </c>
      <c r="H9774" t="str">
        <v>Orthographic</v>
      </c>
      <c r="I9774" t="str">
        <v>Titania (2015) - Sphere / Ocentric / Orthographic, clon = 0</v>
      </c>
      <c r="J9774" t="str">
        <v>Not specified.</v>
      </c>
      <c r="K9774" s="11">
        <v>0</v>
      </c>
    </row>
    <row r="9775" spans="5:11" x14ac:dyDescent="0.35">
      <c r="E9775" s="9" t="str">
        <v>IAU_2015</v>
      </c>
      <c r="F9775" s="7" t="str">
        <v>70370</v>
      </c>
      <c r="G9775" t="str">
        <v>ProjectedCrs</v>
      </c>
      <c r="H9775" t="str">
        <v>Orthographic</v>
      </c>
      <c r="I9775" t="str">
        <v>Titania (2015) - Sphere / Ocentric / Orthographic, clon = 180</v>
      </c>
      <c r="J9775" t="str">
        <v>Not specified.</v>
      </c>
      <c r="K9775" s="11">
        <v>0</v>
      </c>
    </row>
    <row r="9776" spans="5:11" x14ac:dyDescent="0.35">
      <c r="E9776" s="9" t="str">
        <v>IAU_2015</v>
      </c>
      <c r="F9776" s="7" t="str">
        <v>70375</v>
      </c>
      <c r="G9776" t="str">
        <v>ProjectedCrs</v>
      </c>
      <c r="H9776" t="str">
        <v>Lambert Conic Conformal (2SP)</v>
      </c>
      <c r="I9776" t="str">
        <v>Titania (2015) - Sphere / Ocentric / Lambert Conic Conformal</v>
      </c>
      <c r="J9776" t="str">
        <v>Not specified.</v>
      </c>
      <c r="K9776" s="11">
        <v>0</v>
      </c>
    </row>
    <row r="9777" spans="5:11" x14ac:dyDescent="0.35">
      <c r="E9777" s="9" t="str">
        <v>IAU_2015</v>
      </c>
      <c r="F9777" s="7" t="str">
        <v>70380</v>
      </c>
      <c r="G9777" t="str">
        <v>ProjectedCrs</v>
      </c>
      <c r="H9777" t="str">
        <v>Lambert Azimuthal Equal Area</v>
      </c>
      <c r="I9777" t="str">
        <v>Titania (2015) - Sphere / Ocentric / Lambert Azimuthal Equal Area</v>
      </c>
      <c r="J9777" t="str">
        <v>Not specified.</v>
      </c>
      <c r="K9777" s="11">
        <v>0</v>
      </c>
    </row>
    <row r="9778" spans="5:11" x14ac:dyDescent="0.35">
      <c r="E9778" s="9" t="str">
        <v>IAU_2015</v>
      </c>
      <c r="F9778" s="7" t="str">
        <v>70385</v>
      </c>
      <c r="G9778" t="str">
        <v>ProjectedCrs</v>
      </c>
      <c r="H9778" t="str">
        <v>Albers Equal Area</v>
      </c>
      <c r="I9778" t="str">
        <v>Titania (2015) - Sphere / Ocentric / Albers Equal Area</v>
      </c>
      <c r="J9778" t="str">
        <v>Not specified.</v>
      </c>
      <c r="K9778" s="11">
        <v>0</v>
      </c>
    </row>
    <row r="9779" spans="5:11" x14ac:dyDescent="0.35">
      <c r="E9779" s="9" t="str">
        <v>IAU_2015</v>
      </c>
      <c r="F9779" s="7" t="str">
        <v>70390</v>
      </c>
      <c r="G9779" t="str">
        <v>ProjectedCrs</v>
      </c>
      <c r="H9779" t="str">
        <v>Mercator (Spherical)</v>
      </c>
      <c r="I9779" t="str">
        <v>Titania (2015) - Sphere / Ocentric / Mercator</v>
      </c>
      <c r="J9779" t="str">
        <v>Not specified.</v>
      </c>
      <c r="K9779" s="11">
        <v>0</v>
      </c>
    </row>
    <row r="9780" spans="5:11" x14ac:dyDescent="0.35">
      <c r="E9780" s="9" t="str">
        <v>IAU_2015</v>
      </c>
      <c r="F9780" s="7" t="str">
        <v>70400</v>
      </c>
      <c r="G9780" t="str">
        <v>Geographic2DCrs</v>
      </c>
      <c r="H9780" t="str">
        <v>&lt;undefined&gt;</v>
      </c>
      <c r="I9780" t="str">
        <v>Oberon (2015) - Sphere / Ocentric</v>
      </c>
      <c r="J9780" t="str">
        <v>Not specified.</v>
      </c>
      <c r="K9780" s="11">
        <v>0</v>
      </c>
    </row>
    <row r="9781" spans="5:11" x14ac:dyDescent="0.35">
      <c r="E9781" s="9" t="str">
        <v>IAU_2015</v>
      </c>
      <c r="F9781" s="7" t="str">
        <v>70410</v>
      </c>
      <c r="G9781" t="str">
        <v>ProjectedCrs</v>
      </c>
      <c r="H9781" t="str">
        <v>Equidistant Cylindrical</v>
      </c>
      <c r="I9781" t="str">
        <v>Oberon (2015) - Sphere / Ocentric / Equirectangular, clon = 0</v>
      </c>
      <c r="J9781" t="str">
        <v>Not specified.</v>
      </c>
      <c r="K9781" s="11">
        <v>0</v>
      </c>
    </row>
    <row r="9782" spans="5:11" x14ac:dyDescent="0.35">
      <c r="E9782" s="9" t="str">
        <v>IAU_2015</v>
      </c>
      <c r="F9782" s="7" t="str">
        <v>70415</v>
      </c>
      <c r="G9782" t="str">
        <v>ProjectedCrs</v>
      </c>
      <c r="H9782" t="str">
        <v>Equidistant Cylindrical</v>
      </c>
      <c r="I9782" t="str">
        <v>Oberon (2015) - Sphere / Ocentric / Equirectangular, clon = 180</v>
      </c>
      <c r="J9782" t="str">
        <v>Not specified.</v>
      </c>
      <c r="K9782" s="11">
        <v>0</v>
      </c>
    </row>
    <row r="9783" spans="5:11" x14ac:dyDescent="0.35">
      <c r="E9783" s="9" t="str">
        <v>IAU_2015</v>
      </c>
      <c r="F9783" s="7" t="str">
        <v>70420</v>
      </c>
      <c r="G9783" t="str">
        <v>ProjectedCrs</v>
      </c>
      <c r="H9783" t="str">
        <v>Sinusoidal</v>
      </c>
      <c r="I9783" t="str">
        <v>Oberon (2015) - Sphere / Ocentric / Sinusoidal, clon = 0</v>
      </c>
      <c r="J9783" t="str">
        <v>Not specified.</v>
      </c>
      <c r="K9783" s="11">
        <v>0</v>
      </c>
    </row>
    <row r="9784" spans="5:11" x14ac:dyDescent="0.35">
      <c r="E9784" s="9" t="str">
        <v>IAU_2015</v>
      </c>
      <c r="F9784" s="7" t="str">
        <v>70425</v>
      </c>
      <c r="G9784" t="str">
        <v>ProjectedCrs</v>
      </c>
      <c r="H9784" t="str">
        <v>Sinusoidal</v>
      </c>
      <c r="I9784" t="str">
        <v>Oberon (2015) - Sphere / Ocentric / Sinusoidal, clon = 180</v>
      </c>
      <c r="J9784" t="str">
        <v>Not specified.</v>
      </c>
      <c r="K9784" s="11">
        <v>0</v>
      </c>
    </row>
    <row r="9785" spans="5:11" x14ac:dyDescent="0.35">
      <c r="E9785" s="9" t="str">
        <v>IAU_2015</v>
      </c>
      <c r="F9785" s="7" t="str">
        <v>70430</v>
      </c>
      <c r="G9785" t="str">
        <v>ProjectedCrs</v>
      </c>
      <c r="H9785" t="str">
        <v>Polar Stereographic (variant A)</v>
      </c>
      <c r="I9785" t="str">
        <v>Oberon (2015) - Sphere / Ocentric / North Polar</v>
      </c>
      <c r="J9785" t="str">
        <v>Not specified.</v>
      </c>
      <c r="K9785" s="11">
        <v>0</v>
      </c>
    </row>
    <row r="9786" spans="5:11" x14ac:dyDescent="0.35">
      <c r="E9786" s="9" t="str">
        <v>IAU_2015</v>
      </c>
      <c r="F9786" s="7" t="str">
        <v>70435</v>
      </c>
      <c r="G9786" t="str">
        <v>ProjectedCrs</v>
      </c>
      <c r="H9786" t="str">
        <v>Polar Stereographic (variant A)</v>
      </c>
      <c r="I9786" t="str">
        <v>Oberon (2015) - Sphere / Ocentric / South Polar</v>
      </c>
      <c r="J9786" t="str">
        <v>Not specified.</v>
      </c>
      <c r="K9786" s="11">
        <v>0</v>
      </c>
    </row>
    <row r="9787" spans="5:11" x14ac:dyDescent="0.35">
      <c r="E9787" s="9" t="str">
        <v>IAU_2015</v>
      </c>
      <c r="F9787" s="7" t="str">
        <v>70440</v>
      </c>
      <c r="G9787" t="str">
        <v>ProjectedCrs</v>
      </c>
      <c r="H9787" t="str">
        <v>Mollweide</v>
      </c>
      <c r="I9787" t="str">
        <v>Oberon (2015) - Sphere / Ocentric / Mollweide, clon = 0</v>
      </c>
      <c r="J9787" t="str">
        <v>Not specified.</v>
      </c>
      <c r="K9787" s="11">
        <v>0</v>
      </c>
    </row>
    <row r="9788" spans="5:11" x14ac:dyDescent="0.35">
      <c r="E9788" s="9" t="str">
        <v>IAU_2015</v>
      </c>
      <c r="F9788" s="7" t="str">
        <v>70445</v>
      </c>
      <c r="G9788" t="str">
        <v>ProjectedCrs</v>
      </c>
      <c r="H9788" t="str">
        <v>Mollweide</v>
      </c>
      <c r="I9788" t="str">
        <v>Oberon (2015) - Sphere / Ocentric / Mollweide, clon = 180</v>
      </c>
      <c r="J9788" t="str">
        <v>Not specified.</v>
      </c>
      <c r="K9788" s="11">
        <v>0</v>
      </c>
    </row>
    <row r="9789" spans="5:11" x14ac:dyDescent="0.35">
      <c r="E9789" s="9" t="str">
        <v>IAU_2015</v>
      </c>
      <c r="F9789" s="7" t="str">
        <v>70450</v>
      </c>
      <c r="G9789" t="str">
        <v>ProjectedCrs</v>
      </c>
      <c r="H9789" t="str">
        <v>Robinson</v>
      </c>
      <c r="I9789" t="str">
        <v>Oberon (2015) - Sphere / Ocentric / Robinson, clon = 0</v>
      </c>
      <c r="J9789" t="str">
        <v>Not specified.</v>
      </c>
      <c r="K9789" s="11">
        <v>0</v>
      </c>
    </row>
    <row r="9790" spans="5:11" x14ac:dyDescent="0.35">
      <c r="E9790" s="9" t="str">
        <v>IAU_2015</v>
      </c>
      <c r="F9790" s="7" t="str">
        <v>70455</v>
      </c>
      <c r="G9790" t="str">
        <v>ProjectedCrs</v>
      </c>
      <c r="H9790" t="str">
        <v>Robinson</v>
      </c>
      <c r="I9790" t="str">
        <v>Oberon (2015) - Sphere / Ocentric / Robinson, clon = 180</v>
      </c>
      <c r="J9790" t="str">
        <v>Not specified.</v>
      </c>
      <c r="K9790" s="11">
        <v>0</v>
      </c>
    </row>
    <row r="9791" spans="5:11" x14ac:dyDescent="0.35">
      <c r="E9791" s="9" t="str">
        <v>IAU_2015</v>
      </c>
      <c r="F9791" s="7" t="str">
        <v>70460</v>
      </c>
      <c r="G9791" t="str">
        <v>ProjectedCrs</v>
      </c>
      <c r="H9791" t="str">
        <v>Transverse Mercator</v>
      </c>
      <c r="I9791" t="str">
        <v>Oberon (2015) - Sphere / Ocentric / Tranverse Mercator</v>
      </c>
      <c r="J9791" t="str">
        <v>Not specified.</v>
      </c>
      <c r="K9791" s="11">
        <v>0</v>
      </c>
    </row>
    <row r="9792" spans="5:11" x14ac:dyDescent="0.35">
      <c r="E9792" s="9" t="str">
        <v>IAU_2015</v>
      </c>
      <c r="F9792" s="7" t="str">
        <v>70465</v>
      </c>
      <c r="G9792" t="str">
        <v>ProjectedCrs</v>
      </c>
      <c r="H9792" t="str">
        <v>Orthographic</v>
      </c>
      <c r="I9792" t="str">
        <v>Oberon (2015) - Sphere / Ocentric / Orthographic, clon = 0</v>
      </c>
      <c r="J9792" t="str">
        <v>Not specified.</v>
      </c>
      <c r="K9792" s="11">
        <v>0</v>
      </c>
    </row>
    <row r="9793" spans="5:11" x14ac:dyDescent="0.35">
      <c r="E9793" s="9" t="str">
        <v>IAU_2015</v>
      </c>
      <c r="F9793" s="7" t="str">
        <v>70470</v>
      </c>
      <c r="G9793" t="str">
        <v>ProjectedCrs</v>
      </c>
      <c r="H9793" t="str">
        <v>Orthographic</v>
      </c>
      <c r="I9793" t="str">
        <v>Oberon (2015) - Sphere / Ocentric / Orthographic, clon = 180</v>
      </c>
      <c r="J9793" t="str">
        <v>Not specified.</v>
      </c>
      <c r="K9793" s="11">
        <v>0</v>
      </c>
    </row>
    <row r="9794" spans="5:11" x14ac:dyDescent="0.35">
      <c r="E9794" s="9" t="str">
        <v>IAU_2015</v>
      </c>
      <c r="F9794" s="7" t="str">
        <v>70475</v>
      </c>
      <c r="G9794" t="str">
        <v>ProjectedCrs</v>
      </c>
      <c r="H9794" t="str">
        <v>Lambert Conic Conformal (2SP)</v>
      </c>
      <c r="I9794" t="str">
        <v>Oberon (2015) - Sphere / Ocentric / Lambert Conic Conformal</v>
      </c>
      <c r="J9794" t="str">
        <v>Not specified.</v>
      </c>
      <c r="K9794" s="11">
        <v>0</v>
      </c>
    </row>
    <row r="9795" spans="5:11" x14ac:dyDescent="0.35">
      <c r="E9795" s="9" t="str">
        <v>IAU_2015</v>
      </c>
      <c r="F9795" s="7" t="str">
        <v>70480</v>
      </c>
      <c r="G9795" t="str">
        <v>ProjectedCrs</v>
      </c>
      <c r="H9795" t="str">
        <v>Lambert Azimuthal Equal Area</v>
      </c>
      <c r="I9795" t="str">
        <v>Oberon (2015) - Sphere / Ocentric / Lambert Azimuthal Equal Area</v>
      </c>
      <c r="J9795" t="str">
        <v>Not specified.</v>
      </c>
      <c r="K9795" s="11">
        <v>0</v>
      </c>
    </row>
    <row r="9796" spans="5:11" x14ac:dyDescent="0.35">
      <c r="E9796" s="9" t="str">
        <v>IAU_2015</v>
      </c>
      <c r="F9796" s="7" t="str">
        <v>70485</v>
      </c>
      <c r="G9796" t="str">
        <v>ProjectedCrs</v>
      </c>
      <c r="H9796" t="str">
        <v>Albers Equal Area</v>
      </c>
      <c r="I9796" t="str">
        <v>Oberon (2015) - Sphere / Ocentric / Albers Equal Area</v>
      </c>
      <c r="J9796" t="str">
        <v>Not specified.</v>
      </c>
      <c r="K9796" s="11">
        <v>0</v>
      </c>
    </row>
    <row r="9797" spans="5:11" x14ac:dyDescent="0.35">
      <c r="E9797" s="9" t="str">
        <v>IAU_2015</v>
      </c>
      <c r="F9797" s="7" t="str">
        <v>70490</v>
      </c>
      <c r="G9797" t="str">
        <v>ProjectedCrs</v>
      </c>
      <c r="H9797" t="str">
        <v>Mercator (Spherical)</v>
      </c>
      <c r="I9797" t="str">
        <v>Oberon (2015) - Sphere / Ocentric / Mercator</v>
      </c>
      <c r="J9797" t="str">
        <v>Not specified.</v>
      </c>
      <c r="K9797" s="11">
        <v>0</v>
      </c>
    </row>
    <row r="9798" spans="5:11" x14ac:dyDescent="0.35">
      <c r="E9798" s="9" t="str">
        <v>IAU_2015</v>
      </c>
      <c r="F9798" s="7" t="str">
        <v>70500</v>
      </c>
      <c r="G9798" t="str">
        <v>Geographic2DCrs</v>
      </c>
      <c r="H9798" t="str">
        <v>&lt;undefined&gt;</v>
      </c>
      <c r="I9798" t="str">
        <v>Miranda (2015) - Sphere / Ocentric</v>
      </c>
      <c r="J9798" t="str">
        <v>Not specified.</v>
      </c>
      <c r="K9798" s="11">
        <v>0</v>
      </c>
    </row>
    <row r="9799" spans="5:11" x14ac:dyDescent="0.35">
      <c r="E9799" s="9" t="str">
        <v>IAU_2015</v>
      </c>
      <c r="F9799" s="7" t="str">
        <v>70510</v>
      </c>
      <c r="G9799" t="str">
        <v>ProjectedCrs</v>
      </c>
      <c r="H9799" t="str">
        <v>Equidistant Cylindrical</v>
      </c>
      <c r="I9799" t="str">
        <v>Miranda (2015) - Sphere / Ocentric / Equirectangular, clon = 0</v>
      </c>
      <c r="J9799" t="str">
        <v>Not specified.</v>
      </c>
      <c r="K9799" s="11">
        <v>0</v>
      </c>
    </row>
    <row r="9800" spans="5:11" x14ac:dyDescent="0.35">
      <c r="E9800" s="9" t="str">
        <v>IAU_2015</v>
      </c>
      <c r="F9800" s="7" t="str">
        <v>70515</v>
      </c>
      <c r="G9800" t="str">
        <v>ProjectedCrs</v>
      </c>
      <c r="H9800" t="str">
        <v>Equidistant Cylindrical</v>
      </c>
      <c r="I9800" t="str">
        <v>Miranda (2015) - Sphere / Ocentric / Equirectangular, clon = 180</v>
      </c>
      <c r="J9800" t="str">
        <v>Not specified.</v>
      </c>
      <c r="K9800" s="11">
        <v>0</v>
      </c>
    </row>
    <row r="9801" spans="5:11" x14ac:dyDescent="0.35">
      <c r="E9801" s="9" t="str">
        <v>IAU_2015</v>
      </c>
      <c r="F9801" s="7" t="str">
        <v>70520</v>
      </c>
      <c r="G9801" t="str">
        <v>ProjectedCrs</v>
      </c>
      <c r="H9801" t="str">
        <v>Sinusoidal</v>
      </c>
      <c r="I9801" t="str">
        <v>Miranda (2015) - Sphere / Ocentric / Sinusoidal, clon = 0</v>
      </c>
      <c r="J9801" t="str">
        <v>Not specified.</v>
      </c>
      <c r="K9801" s="11">
        <v>0</v>
      </c>
    </row>
    <row r="9802" spans="5:11" x14ac:dyDescent="0.35">
      <c r="E9802" s="9" t="str">
        <v>IAU_2015</v>
      </c>
      <c r="F9802" s="7" t="str">
        <v>70525</v>
      </c>
      <c r="G9802" t="str">
        <v>ProjectedCrs</v>
      </c>
      <c r="H9802" t="str">
        <v>Sinusoidal</v>
      </c>
      <c r="I9802" t="str">
        <v>Miranda (2015) - Sphere / Ocentric / Sinusoidal, clon = 180</v>
      </c>
      <c r="J9802" t="str">
        <v>Not specified.</v>
      </c>
      <c r="K9802" s="11">
        <v>0</v>
      </c>
    </row>
    <row r="9803" spans="5:11" x14ac:dyDescent="0.35">
      <c r="E9803" s="9" t="str">
        <v>IAU_2015</v>
      </c>
      <c r="F9803" s="7" t="str">
        <v>70530</v>
      </c>
      <c r="G9803" t="str">
        <v>ProjectedCrs</v>
      </c>
      <c r="H9803" t="str">
        <v>Polar Stereographic (variant A)</v>
      </c>
      <c r="I9803" t="str">
        <v>Miranda (2015) - Sphere / Ocentric / North Polar</v>
      </c>
      <c r="J9803" t="str">
        <v>Not specified.</v>
      </c>
      <c r="K9803" s="11">
        <v>0</v>
      </c>
    </row>
    <row r="9804" spans="5:11" x14ac:dyDescent="0.35">
      <c r="E9804" s="9" t="str">
        <v>IAU_2015</v>
      </c>
      <c r="F9804" s="7" t="str">
        <v>70535</v>
      </c>
      <c r="G9804" t="str">
        <v>ProjectedCrs</v>
      </c>
      <c r="H9804" t="str">
        <v>Polar Stereographic (variant A)</v>
      </c>
      <c r="I9804" t="str">
        <v>Miranda (2015) - Sphere / Ocentric / South Polar</v>
      </c>
      <c r="J9804" t="str">
        <v>Not specified.</v>
      </c>
      <c r="K9804" s="11">
        <v>0</v>
      </c>
    </row>
    <row r="9805" spans="5:11" x14ac:dyDescent="0.35">
      <c r="E9805" s="9" t="str">
        <v>IAU_2015</v>
      </c>
      <c r="F9805" s="7" t="str">
        <v>70540</v>
      </c>
      <c r="G9805" t="str">
        <v>ProjectedCrs</v>
      </c>
      <c r="H9805" t="str">
        <v>Mollweide</v>
      </c>
      <c r="I9805" t="str">
        <v>Miranda (2015) - Sphere / Ocentric / Mollweide, clon = 0</v>
      </c>
      <c r="J9805" t="str">
        <v>Not specified.</v>
      </c>
      <c r="K9805" s="11">
        <v>0</v>
      </c>
    </row>
    <row r="9806" spans="5:11" x14ac:dyDescent="0.35">
      <c r="E9806" s="9" t="str">
        <v>IAU_2015</v>
      </c>
      <c r="F9806" s="7" t="str">
        <v>70545</v>
      </c>
      <c r="G9806" t="str">
        <v>ProjectedCrs</v>
      </c>
      <c r="H9806" t="str">
        <v>Mollweide</v>
      </c>
      <c r="I9806" t="str">
        <v>Miranda (2015) - Sphere / Ocentric / Mollweide, clon = 180</v>
      </c>
      <c r="J9806" t="str">
        <v>Not specified.</v>
      </c>
      <c r="K9806" s="11">
        <v>0</v>
      </c>
    </row>
    <row r="9807" spans="5:11" x14ac:dyDescent="0.35">
      <c r="E9807" s="9" t="str">
        <v>IAU_2015</v>
      </c>
      <c r="F9807" s="7" t="str">
        <v>70550</v>
      </c>
      <c r="G9807" t="str">
        <v>ProjectedCrs</v>
      </c>
      <c r="H9807" t="str">
        <v>Robinson</v>
      </c>
      <c r="I9807" t="str">
        <v>Miranda (2015) - Sphere / Ocentric / Robinson, clon = 0</v>
      </c>
      <c r="J9807" t="str">
        <v>Not specified.</v>
      </c>
      <c r="K9807" s="11">
        <v>0</v>
      </c>
    </row>
    <row r="9808" spans="5:11" x14ac:dyDescent="0.35">
      <c r="E9808" s="9" t="str">
        <v>IAU_2015</v>
      </c>
      <c r="F9808" s="7" t="str">
        <v>70555</v>
      </c>
      <c r="G9808" t="str">
        <v>ProjectedCrs</v>
      </c>
      <c r="H9808" t="str">
        <v>Robinson</v>
      </c>
      <c r="I9808" t="str">
        <v>Miranda (2015) - Sphere / Ocentric / Robinson, clon = 180</v>
      </c>
      <c r="J9808" t="str">
        <v>Not specified.</v>
      </c>
      <c r="K9808" s="11">
        <v>0</v>
      </c>
    </row>
    <row r="9809" spans="5:11" x14ac:dyDescent="0.35">
      <c r="E9809" s="9" t="str">
        <v>IAU_2015</v>
      </c>
      <c r="F9809" s="7" t="str">
        <v>70560</v>
      </c>
      <c r="G9809" t="str">
        <v>ProjectedCrs</v>
      </c>
      <c r="H9809" t="str">
        <v>Transverse Mercator</v>
      </c>
      <c r="I9809" t="str">
        <v>Miranda (2015) - Sphere / Ocentric / Tranverse Mercator</v>
      </c>
      <c r="J9809" t="str">
        <v>Not specified.</v>
      </c>
      <c r="K9809" s="11">
        <v>0</v>
      </c>
    </row>
    <row r="9810" spans="5:11" x14ac:dyDescent="0.35">
      <c r="E9810" s="9" t="str">
        <v>IAU_2015</v>
      </c>
      <c r="F9810" s="7" t="str">
        <v>70565</v>
      </c>
      <c r="G9810" t="str">
        <v>ProjectedCrs</v>
      </c>
      <c r="H9810" t="str">
        <v>Orthographic</v>
      </c>
      <c r="I9810" t="str">
        <v>Miranda (2015) - Sphere / Ocentric / Orthographic, clon = 0</v>
      </c>
      <c r="J9810" t="str">
        <v>Not specified.</v>
      </c>
      <c r="K9810" s="11">
        <v>0</v>
      </c>
    </row>
    <row r="9811" spans="5:11" x14ac:dyDescent="0.35">
      <c r="E9811" s="9" t="str">
        <v>IAU_2015</v>
      </c>
      <c r="F9811" s="7" t="str">
        <v>70570</v>
      </c>
      <c r="G9811" t="str">
        <v>ProjectedCrs</v>
      </c>
      <c r="H9811" t="str">
        <v>Orthographic</v>
      </c>
      <c r="I9811" t="str">
        <v>Miranda (2015) - Sphere / Ocentric / Orthographic, clon = 180</v>
      </c>
      <c r="J9811" t="str">
        <v>Not specified.</v>
      </c>
      <c r="K9811" s="11">
        <v>0</v>
      </c>
    </row>
    <row r="9812" spans="5:11" x14ac:dyDescent="0.35">
      <c r="E9812" s="9" t="str">
        <v>IAU_2015</v>
      </c>
      <c r="F9812" s="7" t="str">
        <v>70575</v>
      </c>
      <c r="G9812" t="str">
        <v>ProjectedCrs</v>
      </c>
      <c r="H9812" t="str">
        <v>Lambert Conic Conformal (2SP)</v>
      </c>
      <c r="I9812" t="str">
        <v>Miranda (2015) - Sphere / Ocentric / Lambert Conic Conformal</v>
      </c>
      <c r="J9812" t="str">
        <v>Not specified.</v>
      </c>
      <c r="K9812" s="11">
        <v>0</v>
      </c>
    </row>
    <row r="9813" spans="5:11" x14ac:dyDescent="0.35">
      <c r="E9813" s="9" t="str">
        <v>IAU_2015</v>
      </c>
      <c r="F9813" s="7" t="str">
        <v>70580</v>
      </c>
      <c r="G9813" t="str">
        <v>ProjectedCrs</v>
      </c>
      <c r="H9813" t="str">
        <v>Lambert Azimuthal Equal Area</v>
      </c>
      <c r="I9813" t="str">
        <v>Miranda (2015) - Sphere / Ocentric / Lambert Azimuthal Equal Area</v>
      </c>
      <c r="J9813" t="str">
        <v>Not specified.</v>
      </c>
      <c r="K9813" s="11">
        <v>0</v>
      </c>
    </row>
    <row r="9814" spans="5:11" x14ac:dyDescent="0.35">
      <c r="E9814" s="9" t="str">
        <v>IAU_2015</v>
      </c>
      <c r="F9814" s="7" t="str">
        <v>70585</v>
      </c>
      <c r="G9814" t="str">
        <v>ProjectedCrs</v>
      </c>
      <c r="H9814" t="str">
        <v>Albers Equal Area</v>
      </c>
      <c r="I9814" t="str">
        <v>Miranda (2015) - Sphere / Ocentric / Albers Equal Area</v>
      </c>
      <c r="J9814" t="str">
        <v>Not specified.</v>
      </c>
      <c r="K9814" s="11">
        <v>0</v>
      </c>
    </row>
    <row r="9815" spans="5:11" x14ac:dyDescent="0.35">
      <c r="E9815" s="9" t="str">
        <v>IAU_2015</v>
      </c>
      <c r="F9815" s="7" t="str">
        <v>70590</v>
      </c>
      <c r="G9815" t="str">
        <v>ProjectedCrs</v>
      </c>
      <c r="H9815" t="str">
        <v>Mercator (Spherical)</v>
      </c>
      <c r="I9815" t="str">
        <v>Miranda (2015) - Sphere / Ocentric / Mercator</v>
      </c>
      <c r="J9815" t="str">
        <v>Not specified.</v>
      </c>
      <c r="K9815" s="11">
        <v>0</v>
      </c>
    </row>
    <row r="9816" spans="5:11" x14ac:dyDescent="0.35">
      <c r="E9816" s="9" t="str">
        <v>IAU_2015</v>
      </c>
      <c r="F9816" s="7" t="str">
        <v>70600</v>
      </c>
      <c r="G9816" t="str">
        <v>Geographic2DCrs</v>
      </c>
      <c r="H9816" t="str">
        <v>&lt;undefined&gt;</v>
      </c>
      <c r="I9816" t="str">
        <v>Cordelia (2015) - Sphere / Ocentric</v>
      </c>
      <c r="J9816" t="str">
        <v>Not specified.</v>
      </c>
      <c r="K9816" s="11">
        <v>0</v>
      </c>
    </row>
    <row r="9817" spans="5:11" x14ac:dyDescent="0.35">
      <c r="E9817" s="9" t="str">
        <v>IAU_2015</v>
      </c>
      <c r="F9817" s="7" t="str">
        <v>70610</v>
      </c>
      <c r="G9817" t="str">
        <v>ProjectedCrs</v>
      </c>
      <c r="H9817" t="str">
        <v>Equidistant Cylindrical</v>
      </c>
      <c r="I9817" t="str">
        <v>Cordelia (2015) - Sphere / Ocentric / Equirectangular, clon = 0</v>
      </c>
      <c r="J9817" t="str">
        <v>Not specified.</v>
      </c>
      <c r="K9817" s="11">
        <v>0</v>
      </c>
    </row>
    <row r="9818" spans="5:11" x14ac:dyDescent="0.35">
      <c r="E9818" s="9" t="str">
        <v>IAU_2015</v>
      </c>
      <c r="F9818" s="7" t="str">
        <v>70615</v>
      </c>
      <c r="G9818" t="str">
        <v>ProjectedCrs</v>
      </c>
      <c r="H9818" t="str">
        <v>Equidistant Cylindrical</v>
      </c>
      <c r="I9818" t="str">
        <v>Cordelia (2015) - Sphere / Ocentric / Equirectangular, clon = 180</v>
      </c>
      <c r="J9818" t="str">
        <v>Not specified.</v>
      </c>
      <c r="K9818" s="11">
        <v>0</v>
      </c>
    </row>
    <row r="9819" spans="5:11" x14ac:dyDescent="0.35">
      <c r="E9819" s="9" t="str">
        <v>IAU_2015</v>
      </c>
      <c r="F9819" s="7" t="str">
        <v>70620</v>
      </c>
      <c r="G9819" t="str">
        <v>ProjectedCrs</v>
      </c>
      <c r="H9819" t="str">
        <v>Sinusoidal</v>
      </c>
      <c r="I9819" t="str">
        <v>Cordelia (2015) - Sphere / Ocentric / Sinusoidal, clon = 0</v>
      </c>
      <c r="J9819" t="str">
        <v>Not specified.</v>
      </c>
      <c r="K9819" s="11">
        <v>0</v>
      </c>
    </row>
    <row r="9820" spans="5:11" x14ac:dyDescent="0.35">
      <c r="E9820" s="9" t="str">
        <v>IAU_2015</v>
      </c>
      <c r="F9820" s="7" t="str">
        <v>70625</v>
      </c>
      <c r="G9820" t="str">
        <v>ProjectedCrs</v>
      </c>
      <c r="H9820" t="str">
        <v>Sinusoidal</v>
      </c>
      <c r="I9820" t="str">
        <v>Cordelia (2015) - Sphere / Ocentric / Sinusoidal, clon = 180</v>
      </c>
      <c r="J9820" t="str">
        <v>Not specified.</v>
      </c>
      <c r="K9820" s="11">
        <v>0</v>
      </c>
    </row>
    <row r="9821" spans="5:11" x14ac:dyDescent="0.35">
      <c r="E9821" s="9" t="str">
        <v>IAU_2015</v>
      </c>
      <c r="F9821" s="7" t="str">
        <v>70630</v>
      </c>
      <c r="G9821" t="str">
        <v>ProjectedCrs</v>
      </c>
      <c r="H9821" t="str">
        <v>Polar Stereographic (variant A)</v>
      </c>
      <c r="I9821" t="str">
        <v>Cordelia (2015) - Sphere / Ocentric / North Polar</v>
      </c>
      <c r="J9821" t="str">
        <v>Not specified.</v>
      </c>
      <c r="K9821" s="11">
        <v>0</v>
      </c>
    </row>
    <row r="9822" spans="5:11" x14ac:dyDescent="0.35">
      <c r="E9822" s="9" t="str">
        <v>IAU_2015</v>
      </c>
      <c r="F9822" s="7" t="str">
        <v>70635</v>
      </c>
      <c r="G9822" t="str">
        <v>ProjectedCrs</v>
      </c>
      <c r="H9822" t="str">
        <v>Polar Stereographic (variant A)</v>
      </c>
      <c r="I9822" t="str">
        <v>Cordelia (2015) - Sphere / Ocentric / South Polar</v>
      </c>
      <c r="J9822" t="str">
        <v>Not specified.</v>
      </c>
      <c r="K9822" s="11">
        <v>0</v>
      </c>
    </row>
    <row r="9823" spans="5:11" x14ac:dyDescent="0.35">
      <c r="E9823" s="9" t="str">
        <v>IAU_2015</v>
      </c>
      <c r="F9823" s="7" t="str">
        <v>70640</v>
      </c>
      <c r="G9823" t="str">
        <v>ProjectedCrs</v>
      </c>
      <c r="H9823" t="str">
        <v>Mollweide</v>
      </c>
      <c r="I9823" t="str">
        <v>Cordelia (2015) - Sphere / Ocentric / Mollweide, clon = 0</v>
      </c>
      <c r="J9823" t="str">
        <v>Not specified.</v>
      </c>
      <c r="K9823" s="11">
        <v>0</v>
      </c>
    </row>
    <row r="9824" spans="5:11" x14ac:dyDescent="0.35">
      <c r="E9824" s="9" t="str">
        <v>IAU_2015</v>
      </c>
      <c r="F9824" s="7" t="str">
        <v>70645</v>
      </c>
      <c r="G9824" t="str">
        <v>ProjectedCrs</v>
      </c>
      <c r="H9824" t="str">
        <v>Mollweide</v>
      </c>
      <c r="I9824" t="str">
        <v>Cordelia (2015) - Sphere / Ocentric / Mollweide, clon = 180</v>
      </c>
      <c r="J9824" t="str">
        <v>Not specified.</v>
      </c>
      <c r="K9824" s="11">
        <v>0</v>
      </c>
    </row>
    <row r="9825" spans="5:11" x14ac:dyDescent="0.35">
      <c r="E9825" s="9" t="str">
        <v>IAU_2015</v>
      </c>
      <c r="F9825" s="7" t="str">
        <v>70650</v>
      </c>
      <c r="G9825" t="str">
        <v>ProjectedCrs</v>
      </c>
      <c r="H9825" t="str">
        <v>Robinson</v>
      </c>
      <c r="I9825" t="str">
        <v>Cordelia (2015) - Sphere / Ocentric / Robinson, clon = 0</v>
      </c>
      <c r="J9825" t="str">
        <v>Not specified.</v>
      </c>
      <c r="K9825" s="11">
        <v>0</v>
      </c>
    </row>
    <row r="9826" spans="5:11" x14ac:dyDescent="0.35">
      <c r="E9826" s="9" t="str">
        <v>IAU_2015</v>
      </c>
      <c r="F9826" s="7" t="str">
        <v>70655</v>
      </c>
      <c r="G9826" t="str">
        <v>ProjectedCrs</v>
      </c>
      <c r="H9826" t="str">
        <v>Robinson</v>
      </c>
      <c r="I9826" t="str">
        <v>Cordelia (2015) - Sphere / Ocentric / Robinson, clon = 180</v>
      </c>
      <c r="J9826" t="str">
        <v>Not specified.</v>
      </c>
      <c r="K9826" s="11">
        <v>0</v>
      </c>
    </row>
    <row r="9827" spans="5:11" x14ac:dyDescent="0.35">
      <c r="E9827" s="9" t="str">
        <v>IAU_2015</v>
      </c>
      <c r="F9827" s="7" t="str">
        <v>70660</v>
      </c>
      <c r="G9827" t="str">
        <v>ProjectedCrs</v>
      </c>
      <c r="H9827" t="str">
        <v>Transverse Mercator</v>
      </c>
      <c r="I9827" t="str">
        <v>Cordelia (2015) - Sphere / Ocentric / Tranverse Mercator</v>
      </c>
      <c r="J9827" t="str">
        <v>Not specified.</v>
      </c>
      <c r="K9827" s="11">
        <v>0</v>
      </c>
    </row>
    <row r="9828" spans="5:11" x14ac:dyDescent="0.35">
      <c r="E9828" s="9" t="str">
        <v>IAU_2015</v>
      </c>
      <c r="F9828" s="7" t="str">
        <v>70665</v>
      </c>
      <c r="G9828" t="str">
        <v>ProjectedCrs</v>
      </c>
      <c r="H9828" t="str">
        <v>Orthographic</v>
      </c>
      <c r="I9828" t="str">
        <v>Cordelia (2015) - Sphere / Ocentric / Orthographic, clon = 0</v>
      </c>
      <c r="J9828" t="str">
        <v>Not specified.</v>
      </c>
      <c r="K9828" s="11">
        <v>0</v>
      </c>
    </row>
    <row r="9829" spans="5:11" x14ac:dyDescent="0.35">
      <c r="E9829" s="9" t="str">
        <v>IAU_2015</v>
      </c>
      <c r="F9829" s="7" t="str">
        <v>70670</v>
      </c>
      <c r="G9829" t="str">
        <v>ProjectedCrs</v>
      </c>
      <c r="H9829" t="str">
        <v>Orthographic</v>
      </c>
      <c r="I9829" t="str">
        <v>Cordelia (2015) - Sphere / Ocentric / Orthographic, clon = 180</v>
      </c>
      <c r="J9829" t="str">
        <v>Not specified.</v>
      </c>
      <c r="K9829" s="11">
        <v>0</v>
      </c>
    </row>
    <row r="9830" spans="5:11" x14ac:dyDescent="0.35">
      <c r="E9830" s="9" t="str">
        <v>IAU_2015</v>
      </c>
      <c r="F9830" s="7" t="str">
        <v>70675</v>
      </c>
      <c r="G9830" t="str">
        <v>ProjectedCrs</v>
      </c>
      <c r="H9830" t="str">
        <v>Lambert Conic Conformal (2SP)</v>
      </c>
      <c r="I9830" t="str">
        <v>Cordelia (2015) - Sphere / Ocentric / Lambert Conic Conformal</v>
      </c>
      <c r="J9830" t="str">
        <v>Not specified.</v>
      </c>
      <c r="K9830" s="11">
        <v>0</v>
      </c>
    </row>
    <row r="9831" spans="5:11" x14ac:dyDescent="0.35">
      <c r="E9831" s="9" t="str">
        <v>IAU_2015</v>
      </c>
      <c r="F9831" s="7" t="str">
        <v>70680</v>
      </c>
      <c r="G9831" t="str">
        <v>ProjectedCrs</v>
      </c>
      <c r="H9831" t="str">
        <v>Lambert Azimuthal Equal Area</v>
      </c>
      <c r="I9831" t="str">
        <v>Cordelia (2015) - Sphere / Ocentric / Lambert Azimuthal Equal Area</v>
      </c>
      <c r="J9831" t="str">
        <v>Not specified.</v>
      </c>
      <c r="K9831" s="11">
        <v>0</v>
      </c>
    </row>
    <row r="9832" spans="5:11" x14ac:dyDescent="0.35">
      <c r="E9832" s="9" t="str">
        <v>IAU_2015</v>
      </c>
      <c r="F9832" s="7" t="str">
        <v>70685</v>
      </c>
      <c r="G9832" t="str">
        <v>ProjectedCrs</v>
      </c>
      <c r="H9832" t="str">
        <v>Albers Equal Area</v>
      </c>
      <c r="I9832" t="str">
        <v>Cordelia (2015) - Sphere / Ocentric / Albers Equal Area</v>
      </c>
      <c r="J9832" t="str">
        <v>Not specified.</v>
      </c>
      <c r="K9832" s="11">
        <v>0</v>
      </c>
    </row>
    <row r="9833" spans="5:11" x14ac:dyDescent="0.35">
      <c r="E9833" s="9" t="str">
        <v>IAU_2015</v>
      </c>
      <c r="F9833" s="7" t="str">
        <v>70690</v>
      </c>
      <c r="G9833" t="str">
        <v>ProjectedCrs</v>
      </c>
      <c r="H9833" t="str">
        <v>Mercator (Spherical)</v>
      </c>
      <c r="I9833" t="str">
        <v>Cordelia (2015) - Sphere / Ocentric / Mercator</v>
      </c>
      <c r="J9833" t="str">
        <v>Not specified.</v>
      </c>
      <c r="K9833" s="11">
        <v>0</v>
      </c>
    </row>
    <row r="9834" spans="5:11" x14ac:dyDescent="0.35">
      <c r="E9834" s="9" t="str">
        <v>IAU_2015</v>
      </c>
      <c r="F9834" s="7" t="str">
        <v>70700</v>
      </c>
      <c r="G9834" t="str">
        <v>Geographic2DCrs</v>
      </c>
      <c r="H9834" t="str">
        <v>&lt;undefined&gt;</v>
      </c>
      <c r="I9834" t="str">
        <v>Ophelia (2015) - Sphere / Ocentric</v>
      </c>
      <c r="J9834" t="str">
        <v>Not specified.</v>
      </c>
      <c r="K9834" s="11">
        <v>0</v>
      </c>
    </row>
    <row r="9835" spans="5:11" x14ac:dyDescent="0.35">
      <c r="E9835" s="9" t="str">
        <v>IAU_2015</v>
      </c>
      <c r="F9835" s="7" t="str">
        <v>70710</v>
      </c>
      <c r="G9835" t="str">
        <v>ProjectedCrs</v>
      </c>
      <c r="H9835" t="str">
        <v>Equidistant Cylindrical</v>
      </c>
      <c r="I9835" t="str">
        <v>Ophelia (2015) - Sphere / Ocentric / Equirectangular, clon = 0</v>
      </c>
      <c r="J9835" t="str">
        <v>Not specified.</v>
      </c>
      <c r="K9835" s="11">
        <v>0</v>
      </c>
    </row>
    <row r="9836" spans="5:11" x14ac:dyDescent="0.35">
      <c r="E9836" s="9" t="str">
        <v>IAU_2015</v>
      </c>
      <c r="F9836" s="7" t="str">
        <v>70715</v>
      </c>
      <c r="G9836" t="str">
        <v>ProjectedCrs</v>
      </c>
      <c r="H9836" t="str">
        <v>Equidistant Cylindrical</v>
      </c>
      <c r="I9836" t="str">
        <v>Ophelia (2015) - Sphere / Ocentric / Equirectangular, clon = 180</v>
      </c>
      <c r="J9836" t="str">
        <v>Not specified.</v>
      </c>
      <c r="K9836" s="11">
        <v>0</v>
      </c>
    </row>
    <row r="9837" spans="5:11" x14ac:dyDescent="0.35">
      <c r="E9837" s="9" t="str">
        <v>IAU_2015</v>
      </c>
      <c r="F9837" s="7" t="str">
        <v>70720</v>
      </c>
      <c r="G9837" t="str">
        <v>ProjectedCrs</v>
      </c>
      <c r="H9837" t="str">
        <v>Sinusoidal</v>
      </c>
      <c r="I9837" t="str">
        <v>Ophelia (2015) - Sphere / Ocentric / Sinusoidal, clon = 0</v>
      </c>
      <c r="J9837" t="str">
        <v>Not specified.</v>
      </c>
      <c r="K9837" s="11">
        <v>0</v>
      </c>
    </row>
    <row r="9838" spans="5:11" x14ac:dyDescent="0.35">
      <c r="E9838" s="9" t="str">
        <v>IAU_2015</v>
      </c>
      <c r="F9838" s="7" t="str">
        <v>70725</v>
      </c>
      <c r="G9838" t="str">
        <v>ProjectedCrs</v>
      </c>
      <c r="H9838" t="str">
        <v>Sinusoidal</v>
      </c>
      <c r="I9838" t="str">
        <v>Ophelia (2015) - Sphere / Ocentric / Sinusoidal, clon = 180</v>
      </c>
      <c r="J9838" t="str">
        <v>Not specified.</v>
      </c>
      <c r="K9838" s="11">
        <v>0</v>
      </c>
    </row>
    <row r="9839" spans="5:11" x14ac:dyDescent="0.35">
      <c r="E9839" s="9" t="str">
        <v>IAU_2015</v>
      </c>
      <c r="F9839" s="7" t="str">
        <v>70730</v>
      </c>
      <c r="G9839" t="str">
        <v>ProjectedCrs</v>
      </c>
      <c r="H9839" t="str">
        <v>Polar Stereographic (variant A)</v>
      </c>
      <c r="I9839" t="str">
        <v>Ophelia (2015) - Sphere / Ocentric / North Polar</v>
      </c>
      <c r="J9839" t="str">
        <v>Not specified.</v>
      </c>
      <c r="K9839" s="11">
        <v>0</v>
      </c>
    </row>
    <row r="9840" spans="5:11" x14ac:dyDescent="0.35">
      <c r="E9840" s="9" t="str">
        <v>IAU_2015</v>
      </c>
      <c r="F9840" s="7" t="str">
        <v>70735</v>
      </c>
      <c r="G9840" t="str">
        <v>ProjectedCrs</v>
      </c>
      <c r="H9840" t="str">
        <v>Polar Stereographic (variant A)</v>
      </c>
      <c r="I9840" t="str">
        <v>Ophelia (2015) - Sphere / Ocentric / South Polar</v>
      </c>
      <c r="J9840" t="str">
        <v>Not specified.</v>
      </c>
      <c r="K9840" s="11">
        <v>0</v>
      </c>
    </row>
    <row r="9841" spans="5:11" x14ac:dyDescent="0.35">
      <c r="E9841" s="9" t="str">
        <v>IAU_2015</v>
      </c>
      <c r="F9841" s="7" t="str">
        <v>70740</v>
      </c>
      <c r="G9841" t="str">
        <v>ProjectedCrs</v>
      </c>
      <c r="H9841" t="str">
        <v>Mollweide</v>
      </c>
      <c r="I9841" t="str">
        <v>Ophelia (2015) - Sphere / Ocentric / Mollweide, clon = 0</v>
      </c>
      <c r="J9841" t="str">
        <v>Not specified.</v>
      </c>
      <c r="K9841" s="11">
        <v>0</v>
      </c>
    </row>
    <row r="9842" spans="5:11" x14ac:dyDescent="0.35">
      <c r="E9842" s="9" t="str">
        <v>IAU_2015</v>
      </c>
      <c r="F9842" s="7" t="str">
        <v>70745</v>
      </c>
      <c r="G9842" t="str">
        <v>ProjectedCrs</v>
      </c>
      <c r="H9842" t="str">
        <v>Mollweide</v>
      </c>
      <c r="I9842" t="str">
        <v>Ophelia (2015) - Sphere / Ocentric / Mollweide, clon = 180</v>
      </c>
      <c r="J9842" t="str">
        <v>Not specified.</v>
      </c>
      <c r="K9842" s="11">
        <v>0</v>
      </c>
    </row>
    <row r="9843" spans="5:11" x14ac:dyDescent="0.35">
      <c r="E9843" s="9" t="str">
        <v>IAU_2015</v>
      </c>
      <c r="F9843" s="7" t="str">
        <v>70750</v>
      </c>
      <c r="G9843" t="str">
        <v>ProjectedCrs</v>
      </c>
      <c r="H9843" t="str">
        <v>Robinson</v>
      </c>
      <c r="I9843" t="str">
        <v>Ophelia (2015) - Sphere / Ocentric / Robinson, clon = 0</v>
      </c>
      <c r="J9843" t="str">
        <v>Not specified.</v>
      </c>
      <c r="K9843" s="11">
        <v>0</v>
      </c>
    </row>
    <row r="9844" spans="5:11" x14ac:dyDescent="0.35">
      <c r="E9844" s="9" t="str">
        <v>IAU_2015</v>
      </c>
      <c r="F9844" s="7" t="str">
        <v>70755</v>
      </c>
      <c r="G9844" t="str">
        <v>ProjectedCrs</v>
      </c>
      <c r="H9844" t="str">
        <v>Robinson</v>
      </c>
      <c r="I9844" t="str">
        <v>Ophelia (2015) - Sphere / Ocentric / Robinson, clon = 180</v>
      </c>
      <c r="J9844" t="str">
        <v>Not specified.</v>
      </c>
      <c r="K9844" s="11">
        <v>0</v>
      </c>
    </row>
    <row r="9845" spans="5:11" x14ac:dyDescent="0.35">
      <c r="E9845" s="9" t="str">
        <v>IAU_2015</v>
      </c>
      <c r="F9845" s="7" t="str">
        <v>70760</v>
      </c>
      <c r="G9845" t="str">
        <v>ProjectedCrs</v>
      </c>
      <c r="H9845" t="str">
        <v>Transverse Mercator</v>
      </c>
      <c r="I9845" t="str">
        <v>Ophelia (2015) - Sphere / Ocentric / Tranverse Mercator</v>
      </c>
      <c r="J9845" t="str">
        <v>Not specified.</v>
      </c>
      <c r="K9845" s="11">
        <v>0</v>
      </c>
    </row>
    <row r="9846" spans="5:11" x14ac:dyDescent="0.35">
      <c r="E9846" s="9" t="str">
        <v>IAU_2015</v>
      </c>
      <c r="F9846" s="7" t="str">
        <v>70765</v>
      </c>
      <c r="G9846" t="str">
        <v>ProjectedCrs</v>
      </c>
      <c r="H9846" t="str">
        <v>Orthographic</v>
      </c>
      <c r="I9846" t="str">
        <v>Ophelia (2015) - Sphere / Ocentric / Orthographic, clon = 0</v>
      </c>
      <c r="J9846" t="str">
        <v>Not specified.</v>
      </c>
      <c r="K9846" s="11">
        <v>0</v>
      </c>
    </row>
    <row r="9847" spans="5:11" x14ac:dyDescent="0.35">
      <c r="E9847" s="9" t="str">
        <v>IAU_2015</v>
      </c>
      <c r="F9847" s="7" t="str">
        <v>70770</v>
      </c>
      <c r="G9847" t="str">
        <v>ProjectedCrs</v>
      </c>
      <c r="H9847" t="str">
        <v>Orthographic</v>
      </c>
      <c r="I9847" t="str">
        <v>Ophelia (2015) - Sphere / Ocentric / Orthographic, clon = 180</v>
      </c>
      <c r="J9847" t="str">
        <v>Not specified.</v>
      </c>
      <c r="K9847" s="11">
        <v>0</v>
      </c>
    </row>
    <row r="9848" spans="5:11" x14ac:dyDescent="0.35">
      <c r="E9848" s="9" t="str">
        <v>IAU_2015</v>
      </c>
      <c r="F9848" s="7" t="str">
        <v>70775</v>
      </c>
      <c r="G9848" t="str">
        <v>ProjectedCrs</v>
      </c>
      <c r="H9848" t="str">
        <v>Lambert Conic Conformal (2SP)</v>
      </c>
      <c r="I9848" t="str">
        <v>Ophelia (2015) - Sphere / Ocentric / Lambert Conic Conformal</v>
      </c>
      <c r="J9848" t="str">
        <v>Not specified.</v>
      </c>
      <c r="K9848" s="11">
        <v>0</v>
      </c>
    </row>
    <row r="9849" spans="5:11" x14ac:dyDescent="0.35">
      <c r="E9849" s="9" t="str">
        <v>IAU_2015</v>
      </c>
      <c r="F9849" s="7" t="str">
        <v>70780</v>
      </c>
      <c r="G9849" t="str">
        <v>ProjectedCrs</v>
      </c>
      <c r="H9849" t="str">
        <v>Lambert Azimuthal Equal Area</v>
      </c>
      <c r="I9849" t="str">
        <v>Ophelia (2015) - Sphere / Ocentric / Lambert Azimuthal Equal Area</v>
      </c>
      <c r="J9849" t="str">
        <v>Not specified.</v>
      </c>
      <c r="K9849" s="11">
        <v>0</v>
      </c>
    </row>
    <row r="9850" spans="5:11" x14ac:dyDescent="0.35">
      <c r="E9850" s="9" t="str">
        <v>IAU_2015</v>
      </c>
      <c r="F9850" s="7" t="str">
        <v>70785</v>
      </c>
      <c r="G9850" t="str">
        <v>ProjectedCrs</v>
      </c>
      <c r="H9850" t="str">
        <v>Albers Equal Area</v>
      </c>
      <c r="I9850" t="str">
        <v>Ophelia (2015) - Sphere / Ocentric / Albers Equal Area</v>
      </c>
      <c r="J9850" t="str">
        <v>Not specified.</v>
      </c>
      <c r="K9850" s="11">
        <v>0</v>
      </c>
    </row>
    <row r="9851" spans="5:11" x14ac:dyDescent="0.35">
      <c r="E9851" s="9" t="str">
        <v>IAU_2015</v>
      </c>
      <c r="F9851" s="7" t="str">
        <v>70790</v>
      </c>
      <c r="G9851" t="str">
        <v>ProjectedCrs</v>
      </c>
      <c r="H9851" t="str">
        <v>Mercator (Spherical)</v>
      </c>
      <c r="I9851" t="str">
        <v>Ophelia (2015) - Sphere / Ocentric / Mercator</v>
      </c>
      <c r="J9851" t="str">
        <v>Not specified.</v>
      </c>
      <c r="K9851" s="11">
        <v>0</v>
      </c>
    </row>
    <row r="9852" spans="5:11" x14ac:dyDescent="0.35">
      <c r="E9852" s="9" t="str">
        <v>IAU_2015</v>
      </c>
      <c r="F9852" s="7" t="str">
        <v>70800</v>
      </c>
      <c r="G9852" t="str">
        <v>Geographic2DCrs</v>
      </c>
      <c r="H9852" t="str">
        <v>&lt;undefined&gt;</v>
      </c>
      <c r="I9852" t="str">
        <v>Bianca (2015) - Sphere / Ocentric</v>
      </c>
      <c r="J9852" t="str">
        <v>Not specified.</v>
      </c>
      <c r="K9852" s="11">
        <v>0</v>
      </c>
    </row>
    <row r="9853" spans="5:11" x14ac:dyDescent="0.35">
      <c r="E9853" s="9" t="str">
        <v>IAU_2015</v>
      </c>
      <c r="F9853" s="7" t="str">
        <v>70810</v>
      </c>
      <c r="G9853" t="str">
        <v>ProjectedCrs</v>
      </c>
      <c r="H9853" t="str">
        <v>Equidistant Cylindrical</v>
      </c>
      <c r="I9853" t="str">
        <v>Bianca (2015) - Sphere / Ocentric / Equirectangular, clon = 0</v>
      </c>
      <c r="J9853" t="str">
        <v>Not specified.</v>
      </c>
      <c r="K9853" s="11">
        <v>0</v>
      </c>
    </row>
    <row r="9854" spans="5:11" x14ac:dyDescent="0.35">
      <c r="E9854" s="9" t="str">
        <v>IAU_2015</v>
      </c>
      <c r="F9854" s="7" t="str">
        <v>70815</v>
      </c>
      <c r="G9854" t="str">
        <v>ProjectedCrs</v>
      </c>
      <c r="H9854" t="str">
        <v>Equidistant Cylindrical</v>
      </c>
      <c r="I9854" t="str">
        <v>Bianca (2015) - Sphere / Ocentric / Equirectangular, clon = 180</v>
      </c>
      <c r="J9854" t="str">
        <v>Not specified.</v>
      </c>
      <c r="K9854" s="11">
        <v>0</v>
      </c>
    </row>
    <row r="9855" spans="5:11" x14ac:dyDescent="0.35">
      <c r="E9855" s="9" t="str">
        <v>IAU_2015</v>
      </c>
      <c r="F9855" s="7" t="str">
        <v>70820</v>
      </c>
      <c r="G9855" t="str">
        <v>ProjectedCrs</v>
      </c>
      <c r="H9855" t="str">
        <v>Sinusoidal</v>
      </c>
      <c r="I9855" t="str">
        <v>Bianca (2015) - Sphere / Ocentric / Sinusoidal, clon = 0</v>
      </c>
      <c r="J9855" t="str">
        <v>Not specified.</v>
      </c>
      <c r="K9855" s="11">
        <v>0</v>
      </c>
    </row>
    <row r="9856" spans="5:11" x14ac:dyDescent="0.35">
      <c r="E9856" s="9" t="str">
        <v>IAU_2015</v>
      </c>
      <c r="F9856" s="7" t="str">
        <v>70825</v>
      </c>
      <c r="G9856" t="str">
        <v>ProjectedCrs</v>
      </c>
      <c r="H9856" t="str">
        <v>Sinusoidal</v>
      </c>
      <c r="I9856" t="str">
        <v>Bianca (2015) - Sphere / Ocentric / Sinusoidal, clon = 180</v>
      </c>
      <c r="J9856" t="str">
        <v>Not specified.</v>
      </c>
      <c r="K9856" s="11">
        <v>0</v>
      </c>
    </row>
    <row r="9857" spans="5:11" x14ac:dyDescent="0.35">
      <c r="E9857" s="9" t="str">
        <v>IAU_2015</v>
      </c>
      <c r="F9857" s="7" t="str">
        <v>70830</v>
      </c>
      <c r="G9857" t="str">
        <v>ProjectedCrs</v>
      </c>
      <c r="H9857" t="str">
        <v>Polar Stereographic (variant A)</v>
      </c>
      <c r="I9857" t="str">
        <v>Bianca (2015) - Sphere / Ocentric / North Polar</v>
      </c>
      <c r="J9857" t="str">
        <v>Not specified.</v>
      </c>
      <c r="K9857" s="11">
        <v>0</v>
      </c>
    </row>
    <row r="9858" spans="5:11" x14ac:dyDescent="0.35">
      <c r="E9858" s="9" t="str">
        <v>IAU_2015</v>
      </c>
      <c r="F9858" s="7" t="str">
        <v>70835</v>
      </c>
      <c r="G9858" t="str">
        <v>ProjectedCrs</v>
      </c>
      <c r="H9858" t="str">
        <v>Polar Stereographic (variant A)</v>
      </c>
      <c r="I9858" t="str">
        <v>Bianca (2015) - Sphere / Ocentric / South Polar</v>
      </c>
      <c r="J9858" t="str">
        <v>Not specified.</v>
      </c>
      <c r="K9858" s="11">
        <v>0</v>
      </c>
    </row>
    <row r="9859" spans="5:11" x14ac:dyDescent="0.35">
      <c r="E9859" s="9" t="str">
        <v>IAU_2015</v>
      </c>
      <c r="F9859" s="7" t="str">
        <v>70840</v>
      </c>
      <c r="G9859" t="str">
        <v>ProjectedCrs</v>
      </c>
      <c r="H9859" t="str">
        <v>Mollweide</v>
      </c>
      <c r="I9859" t="str">
        <v>Bianca (2015) - Sphere / Ocentric / Mollweide, clon = 0</v>
      </c>
      <c r="J9859" t="str">
        <v>Not specified.</v>
      </c>
      <c r="K9859" s="11">
        <v>0</v>
      </c>
    </row>
    <row r="9860" spans="5:11" x14ac:dyDescent="0.35">
      <c r="E9860" s="9" t="str">
        <v>IAU_2015</v>
      </c>
      <c r="F9860" s="7" t="str">
        <v>70845</v>
      </c>
      <c r="G9860" t="str">
        <v>ProjectedCrs</v>
      </c>
      <c r="H9860" t="str">
        <v>Mollweide</v>
      </c>
      <c r="I9860" t="str">
        <v>Bianca (2015) - Sphere / Ocentric / Mollweide, clon = 180</v>
      </c>
      <c r="J9860" t="str">
        <v>Not specified.</v>
      </c>
      <c r="K9860" s="11">
        <v>0</v>
      </c>
    </row>
    <row r="9861" spans="5:11" x14ac:dyDescent="0.35">
      <c r="E9861" s="9" t="str">
        <v>IAU_2015</v>
      </c>
      <c r="F9861" s="7" t="str">
        <v>70850</v>
      </c>
      <c r="G9861" t="str">
        <v>ProjectedCrs</v>
      </c>
      <c r="H9861" t="str">
        <v>Robinson</v>
      </c>
      <c r="I9861" t="str">
        <v>Bianca (2015) - Sphere / Ocentric / Robinson, clon = 0</v>
      </c>
      <c r="J9861" t="str">
        <v>Not specified.</v>
      </c>
      <c r="K9861" s="11">
        <v>0</v>
      </c>
    </row>
    <row r="9862" spans="5:11" x14ac:dyDescent="0.35">
      <c r="E9862" s="9" t="str">
        <v>IAU_2015</v>
      </c>
      <c r="F9862" s="7" t="str">
        <v>70855</v>
      </c>
      <c r="G9862" t="str">
        <v>ProjectedCrs</v>
      </c>
      <c r="H9862" t="str">
        <v>Robinson</v>
      </c>
      <c r="I9862" t="str">
        <v>Bianca (2015) - Sphere / Ocentric / Robinson, clon = 180</v>
      </c>
      <c r="J9862" t="str">
        <v>Not specified.</v>
      </c>
      <c r="K9862" s="11">
        <v>0</v>
      </c>
    </row>
    <row r="9863" spans="5:11" x14ac:dyDescent="0.35">
      <c r="E9863" s="9" t="str">
        <v>IAU_2015</v>
      </c>
      <c r="F9863" s="7" t="str">
        <v>70860</v>
      </c>
      <c r="G9863" t="str">
        <v>ProjectedCrs</v>
      </c>
      <c r="H9863" t="str">
        <v>Transverse Mercator</v>
      </c>
      <c r="I9863" t="str">
        <v>Bianca (2015) - Sphere / Ocentric / Tranverse Mercator</v>
      </c>
      <c r="J9863" t="str">
        <v>Not specified.</v>
      </c>
      <c r="K9863" s="11">
        <v>0</v>
      </c>
    </row>
    <row r="9864" spans="5:11" x14ac:dyDescent="0.35">
      <c r="E9864" s="9" t="str">
        <v>IAU_2015</v>
      </c>
      <c r="F9864" s="7" t="str">
        <v>70865</v>
      </c>
      <c r="G9864" t="str">
        <v>ProjectedCrs</v>
      </c>
      <c r="H9864" t="str">
        <v>Orthographic</v>
      </c>
      <c r="I9864" t="str">
        <v>Bianca (2015) - Sphere / Ocentric / Orthographic, clon = 0</v>
      </c>
      <c r="J9864" t="str">
        <v>Not specified.</v>
      </c>
      <c r="K9864" s="11">
        <v>0</v>
      </c>
    </row>
    <row r="9865" spans="5:11" x14ac:dyDescent="0.35">
      <c r="E9865" s="9" t="str">
        <v>IAU_2015</v>
      </c>
      <c r="F9865" s="7" t="str">
        <v>70870</v>
      </c>
      <c r="G9865" t="str">
        <v>ProjectedCrs</v>
      </c>
      <c r="H9865" t="str">
        <v>Orthographic</v>
      </c>
      <c r="I9865" t="str">
        <v>Bianca (2015) - Sphere / Ocentric / Orthographic, clon = 180</v>
      </c>
      <c r="J9865" t="str">
        <v>Not specified.</v>
      </c>
      <c r="K9865" s="11">
        <v>0</v>
      </c>
    </row>
    <row r="9866" spans="5:11" x14ac:dyDescent="0.35">
      <c r="E9866" s="9" t="str">
        <v>IAU_2015</v>
      </c>
      <c r="F9866" s="7" t="str">
        <v>70875</v>
      </c>
      <c r="G9866" t="str">
        <v>ProjectedCrs</v>
      </c>
      <c r="H9866" t="str">
        <v>Lambert Conic Conformal (2SP)</v>
      </c>
      <c r="I9866" t="str">
        <v>Bianca (2015) - Sphere / Ocentric / Lambert Conic Conformal</v>
      </c>
      <c r="J9866" t="str">
        <v>Not specified.</v>
      </c>
      <c r="K9866" s="11">
        <v>0</v>
      </c>
    </row>
    <row r="9867" spans="5:11" x14ac:dyDescent="0.35">
      <c r="E9867" s="9" t="str">
        <v>IAU_2015</v>
      </c>
      <c r="F9867" s="7" t="str">
        <v>70880</v>
      </c>
      <c r="G9867" t="str">
        <v>ProjectedCrs</v>
      </c>
      <c r="H9867" t="str">
        <v>Lambert Azimuthal Equal Area</v>
      </c>
      <c r="I9867" t="str">
        <v>Bianca (2015) - Sphere / Ocentric / Lambert Azimuthal Equal Area</v>
      </c>
      <c r="J9867" t="str">
        <v>Not specified.</v>
      </c>
      <c r="K9867" s="11">
        <v>0</v>
      </c>
    </row>
    <row r="9868" spans="5:11" x14ac:dyDescent="0.35">
      <c r="E9868" s="9" t="str">
        <v>IAU_2015</v>
      </c>
      <c r="F9868" s="7" t="str">
        <v>70885</v>
      </c>
      <c r="G9868" t="str">
        <v>ProjectedCrs</v>
      </c>
      <c r="H9868" t="str">
        <v>Albers Equal Area</v>
      </c>
      <c r="I9868" t="str">
        <v>Bianca (2015) - Sphere / Ocentric / Albers Equal Area</v>
      </c>
      <c r="J9868" t="str">
        <v>Not specified.</v>
      </c>
      <c r="K9868" s="11">
        <v>0</v>
      </c>
    </row>
    <row r="9869" spans="5:11" x14ac:dyDescent="0.35">
      <c r="E9869" s="9" t="str">
        <v>IAU_2015</v>
      </c>
      <c r="F9869" s="7" t="str">
        <v>70890</v>
      </c>
      <c r="G9869" t="str">
        <v>ProjectedCrs</v>
      </c>
      <c r="H9869" t="str">
        <v>Mercator (Spherical)</v>
      </c>
      <c r="I9869" t="str">
        <v>Bianca (2015) - Sphere / Ocentric / Mercator</v>
      </c>
      <c r="J9869" t="str">
        <v>Not specified.</v>
      </c>
      <c r="K9869" s="11">
        <v>0</v>
      </c>
    </row>
    <row r="9870" spans="5:11" x14ac:dyDescent="0.35">
      <c r="E9870" s="9" t="str">
        <v>IAU_2015</v>
      </c>
      <c r="F9870" s="7" t="str">
        <v>70900</v>
      </c>
      <c r="G9870" t="str">
        <v>Geographic2DCrs</v>
      </c>
      <c r="H9870" t="str">
        <v>&lt;undefined&gt;</v>
      </c>
      <c r="I9870" t="str">
        <v>Cressida (2015) - Sphere / Ocentric</v>
      </c>
      <c r="J9870" t="str">
        <v>Not specified.</v>
      </c>
      <c r="K9870" s="11">
        <v>0</v>
      </c>
    </row>
    <row r="9871" spans="5:11" x14ac:dyDescent="0.35">
      <c r="E9871" s="9" t="str">
        <v>IAU_2015</v>
      </c>
      <c r="F9871" s="7" t="str">
        <v>70910</v>
      </c>
      <c r="G9871" t="str">
        <v>ProjectedCrs</v>
      </c>
      <c r="H9871" t="str">
        <v>Equidistant Cylindrical</v>
      </c>
      <c r="I9871" t="str">
        <v>Cressida (2015) - Sphere / Ocentric / Equirectangular, clon = 0</v>
      </c>
      <c r="J9871" t="str">
        <v>Not specified.</v>
      </c>
      <c r="K9871" s="11">
        <v>0</v>
      </c>
    </row>
    <row r="9872" spans="5:11" x14ac:dyDescent="0.35">
      <c r="E9872" s="9" t="str">
        <v>IAU_2015</v>
      </c>
      <c r="F9872" s="7" t="str">
        <v>70915</v>
      </c>
      <c r="G9872" t="str">
        <v>ProjectedCrs</v>
      </c>
      <c r="H9872" t="str">
        <v>Equidistant Cylindrical</v>
      </c>
      <c r="I9872" t="str">
        <v>Cressida (2015) - Sphere / Ocentric / Equirectangular, clon = 180</v>
      </c>
      <c r="J9872" t="str">
        <v>Not specified.</v>
      </c>
      <c r="K9872" s="11">
        <v>0</v>
      </c>
    </row>
    <row r="9873" spans="5:11" x14ac:dyDescent="0.35">
      <c r="E9873" s="9" t="str">
        <v>IAU_2015</v>
      </c>
      <c r="F9873" s="7" t="str">
        <v>70920</v>
      </c>
      <c r="G9873" t="str">
        <v>ProjectedCrs</v>
      </c>
      <c r="H9873" t="str">
        <v>Sinusoidal</v>
      </c>
      <c r="I9873" t="str">
        <v>Cressida (2015) - Sphere / Ocentric / Sinusoidal, clon = 0</v>
      </c>
      <c r="J9873" t="str">
        <v>Not specified.</v>
      </c>
      <c r="K9873" s="11">
        <v>0</v>
      </c>
    </row>
    <row r="9874" spans="5:11" x14ac:dyDescent="0.35">
      <c r="E9874" s="9" t="str">
        <v>IAU_2015</v>
      </c>
      <c r="F9874" s="7" t="str">
        <v>70925</v>
      </c>
      <c r="G9874" t="str">
        <v>ProjectedCrs</v>
      </c>
      <c r="H9874" t="str">
        <v>Sinusoidal</v>
      </c>
      <c r="I9874" t="str">
        <v>Cressida (2015) - Sphere / Ocentric / Sinusoidal, clon = 180</v>
      </c>
      <c r="J9874" t="str">
        <v>Not specified.</v>
      </c>
      <c r="K9874" s="11">
        <v>0</v>
      </c>
    </row>
    <row r="9875" spans="5:11" x14ac:dyDescent="0.35">
      <c r="E9875" s="9" t="str">
        <v>IAU_2015</v>
      </c>
      <c r="F9875" s="7" t="str">
        <v>70930</v>
      </c>
      <c r="G9875" t="str">
        <v>ProjectedCrs</v>
      </c>
      <c r="H9875" t="str">
        <v>Polar Stereographic (variant A)</v>
      </c>
      <c r="I9875" t="str">
        <v>Cressida (2015) - Sphere / Ocentric / North Polar</v>
      </c>
      <c r="J9875" t="str">
        <v>Not specified.</v>
      </c>
      <c r="K9875" s="11">
        <v>0</v>
      </c>
    </row>
    <row r="9876" spans="5:11" x14ac:dyDescent="0.35">
      <c r="E9876" s="9" t="str">
        <v>IAU_2015</v>
      </c>
      <c r="F9876" s="7" t="str">
        <v>70935</v>
      </c>
      <c r="G9876" t="str">
        <v>ProjectedCrs</v>
      </c>
      <c r="H9876" t="str">
        <v>Polar Stereographic (variant A)</v>
      </c>
      <c r="I9876" t="str">
        <v>Cressida (2015) - Sphere / Ocentric / South Polar</v>
      </c>
      <c r="J9876" t="str">
        <v>Not specified.</v>
      </c>
      <c r="K9876" s="11">
        <v>0</v>
      </c>
    </row>
    <row r="9877" spans="5:11" x14ac:dyDescent="0.35">
      <c r="E9877" s="9" t="str">
        <v>IAU_2015</v>
      </c>
      <c r="F9877" s="7" t="str">
        <v>70940</v>
      </c>
      <c r="G9877" t="str">
        <v>ProjectedCrs</v>
      </c>
      <c r="H9877" t="str">
        <v>Mollweide</v>
      </c>
      <c r="I9877" t="str">
        <v>Cressida (2015) - Sphere / Ocentric / Mollweide, clon = 0</v>
      </c>
      <c r="J9877" t="str">
        <v>Not specified.</v>
      </c>
      <c r="K9877" s="11">
        <v>0</v>
      </c>
    </row>
    <row r="9878" spans="5:11" x14ac:dyDescent="0.35">
      <c r="E9878" s="9" t="str">
        <v>IAU_2015</v>
      </c>
      <c r="F9878" s="7" t="str">
        <v>70945</v>
      </c>
      <c r="G9878" t="str">
        <v>ProjectedCrs</v>
      </c>
      <c r="H9878" t="str">
        <v>Mollweide</v>
      </c>
      <c r="I9878" t="str">
        <v>Cressida (2015) - Sphere / Ocentric / Mollweide, clon = 180</v>
      </c>
      <c r="J9878" t="str">
        <v>Not specified.</v>
      </c>
      <c r="K9878" s="11">
        <v>0</v>
      </c>
    </row>
    <row r="9879" spans="5:11" x14ac:dyDescent="0.35">
      <c r="E9879" s="9" t="str">
        <v>IAU_2015</v>
      </c>
      <c r="F9879" s="7" t="str">
        <v>70950</v>
      </c>
      <c r="G9879" t="str">
        <v>ProjectedCrs</v>
      </c>
      <c r="H9879" t="str">
        <v>Robinson</v>
      </c>
      <c r="I9879" t="str">
        <v>Cressida (2015) - Sphere / Ocentric / Robinson, clon = 0</v>
      </c>
      <c r="J9879" t="str">
        <v>Not specified.</v>
      </c>
      <c r="K9879" s="11">
        <v>0</v>
      </c>
    </row>
    <row r="9880" spans="5:11" x14ac:dyDescent="0.35">
      <c r="E9880" s="9" t="str">
        <v>IAU_2015</v>
      </c>
      <c r="F9880" s="7" t="str">
        <v>70955</v>
      </c>
      <c r="G9880" t="str">
        <v>ProjectedCrs</v>
      </c>
      <c r="H9880" t="str">
        <v>Robinson</v>
      </c>
      <c r="I9880" t="str">
        <v>Cressida (2015) - Sphere / Ocentric / Robinson, clon = 180</v>
      </c>
      <c r="J9880" t="str">
        <v>Not specified.</v>
      </c>
      <c r="K9880" s="11">
        <v>0</v>
      </c>
    </row>
    <row r="9881" spans="5:11" x14ac:dyDescent="0.35">
      <c r="E9881" s="9" t="str">
        <v>IAU_2015</v>
      </c>
      <c r="F9881" s="7" t="str">
        <v>70960</v>
      </c>
      <c r="G9881" t="str">
        <v>ProjectedCrs</v>
      </c>
      <c r="H9881" t="str">
        <v>Transverse Mercator</v>
      </c>
      <c r="I9881" t="str">
        <v>Cressida (2015) - Sphere / Ocentric / Tranverse Mercator</v>
      </c>
      <c r="J9881" t="str">
        <v>Not specified.</v>
      </c>
      <c r="K9881" s="11">
        <v>0</v>
      </c>
    </row>
    <row r="9882" spans="5:11" x14ac:dyDescent="0.35">
      <c r="E9882" s="9" t="str">
        <v>IAU_2015</v>
      </c>
      <c r="F9882" s="7" t="str">
        <v>70965</v>
      </c>
      <c r="G9882" t="str">
        <v>ProjectedCrs</v>
      </c>
      <c r="H9882" t="str">
        <v>Orthographic</v>
      </c>
      <c r="I9882" t="str">
        <v>Cressida (2015) - Sphere / Ocentric / Orthographic, clon = 0</v>
      </c>
      <c r="J9882" t="str">
        <v>Not specified.</v>
      </c>
      <c r="K9882" s="11">
        <v>0</v>
      </c>
    </row>
    <row r="9883" spans="5:11" x14ac:dyDescent="0.35">
      <c r="E9883" s="9" t="str">
        <v>IAU_2015</v>
      </c>
      <c r="F9883" s="7" t="str">
        <v>70970</v>
      </c>
      <c r="G9883" t="str">
        <v>ProjectedCrs</v>
      </c>
      <c r="H9883" t="str">
        <v>Orthographic</v>
      </c>
      <c r="I9883" t="str">
        <v>Cressida (2015) - Sphere / Ocentric / Orthographic, clon = 180</v>
      </c>
      <c r="J9883" t="str">
        <v>Not specified.</v>
      </c>
      <c r="K9883" s="11">
        <v>0</v>
      </c>
    </row>
    <row r="9884" spans="5:11" x14ac:dyDescent="0.35">
      <c r="E9884" s="9" t="str">
        <v>IAU_2015</v>
      </c>
      <c r="F9884" s="7" t="str">
        <v>70975</v>
      </c>
      <c r="G9884" t="str">
        <v>ProjectedCrs</v>
      </c>
      <c r="H9884" t="str">
        <v>Lambert Conic Conformal (2SP)</v>
      </c>
      <c r="I9884" t="str">
        <v>Cressida (2015) - Sphere / Ocentric / Lambert Conic Conformal</v>
      </c>
      <c r="J9884" t="str">
        <v>Not specified.</v>
      </c>
      <c r="K9884" s="11">
        <v>0</v>
      </c>
    </row>
    <row r="9885" spans="5:11" x14ac:dyDescent="0.35">
      <c r="E9885" s="9" t="str">
        <v>IAU_2015</v>
      </c>
      <c r="F9885" s="7" t="str">
        <v>70980</v>
      </c>
      <c r="G9885" t="str">
        <v>ProjectedCrs</v>
      </c>
      <c r="H9885" t="str">
        <v>Lambert Azimuthal Equal Area</v>
      </c>
      <c r="I9885" t="str">
        <v>Cressida (2015) - Sphere / Ocentric / Lambert Azimuthal Equal Area</v>
      </c>
      <c r="J9885" t="str">
        <v>Not specified.</v>
      </c>
      <c r="K9885" s="11">
        <v>0</v>
      </c>
    </row>
    <row r="9886" spans="5:11" x14ac:dyDescent="0.35">
      <c r="E9886" s="9" t="str">
        <v>IAU_2015</v>
      </c>
      <c r="F9886" s="7" t="str">
        <v>70985</v>
      </c>
      <c r="G9886" t="str">
        <v>ProjectedCrs</v>
      </c>
      <c r="H9886" t="str">
        <v>Albers Equal Area</v>
      </c>
      <c r="I9886" t="str">
        <v>Cressida (2015) - Sphere / Ocentric / Albers Equal Area</v>
      </c>
      <c r="J9886" t="str">
        <v>Not specified.</v>
      </c>
      <c r="K9886" s="11">
        <v>0</v>
      </c>
    </row>
    <row r="9887" spans="5:11" x14ac:dyDescent="0.35">
      <c r="E9887" s="9" t="str">
        <v>IAU_2015</v>
      </c>
      <c r="F9887" s="7" t="str">
        <v>70990</v>
      </c>
      <c r="G9887" t="str">
        <v>ProjectedCrs</v>
      </c>
      <c r="H9887" t="str">
        <v>Mercator (Spherical)</v>
      </c>
      <c r="I9887" t="str">
        <v>Cressida (2015) - Sphere / Ocentric / Mercator</v>
      </c>
      <c r="J9887" t="str">
        <v>Not specified.</v>
      </c>
      <c r="K9887" s="11">
        <v>0</v>
      </c>
    </row>
    <row r="9888" spans="5:11" x14ac:dyDescent="0.35">
      <c r="E9888" s="9" t="str">
        <v>IAU_2015</v>
      </c>
      <c r="F9888" s="7" t="str">
        <v>71000</v>
      </c>
      <c r="G9888" t="str">
        <v>Geographic2DCrs</v>
      </c>
      <c r="H9888" t="str">
        <v>&lt;undefined&gt;</v>
      </c>
      <c r="I9888" t="str">
        <v>Desdemona (2015) - Sphere / Ocentric</v>
      </c>
      <c r="J9888" t="str">
        <v>Not specified.</v>
      </c>
      <c r="K9888" s="11">
        <v>0</v>
      </c>
    </row>
    <row r="9889" spans="5:11" x14ac:dyDescent="0.35">
      <c r="E9889" s="9" t="str">
        <v>IAU_2015</v>
      </c>
      <c r="F9889" s="7" t="str">
        <v>71010</v>
      </c>
      <c r="G9889" t="str">
        <v>ProjectedCrs</v>
      </c>
      <c r="H9889" t="str">
        <v>Equidistant Cylindrical</v>
      </c>
      <c r="I9889" t="str">
        <v>Desdemona (2015) - Sphere / Ocentric / Equirectangular, clon = 0</v>
      </c>
      <c r="J9889" t="str">
        <v>Not specified.</v>
      </c>
      <c r="K9889" s="11">
        <v>0</v>
      </c>
    </row>
    <row r="9890" spans="5:11" x14ac:dyDescent="0.35">
      <c r="E9890" s="9" t="str">
        <v>IAU_2015</v>
      </c>
      <c r="F9890" s="7" t="str">
        <v>71015</v>
      </c>
      <c r="G9890" t="str">
        <v>ProjectedCrs</v>
      </c>
      <c r="H9890" t="str">
        <v>Equidistant Cylindrical</v>
      </c>
      <c r="I9890" t="str">
        <v>Desdemona (2015) - Sphere / Ocentric / Equirectangular, clon = 180</v>
      </c>
      <c r="J9890" t="str">
        <v>Not specified.</v>
      </c>
      <c r="K9890" s="11">
        <v>0</v>
      </c>
    </row>
    <row r="9891" spans="5:11" x14ac:dyDescent="0.35">
      <c r="E9891" s="9" t="str">
        <v>IAU_2015</v>
      </c>
      <c r="F9891" s="7" t="str">
        <v>71020</v>
      </c>
      <c r="G9891" t="str">
        <v>ProjectedCrs</v>
      </c>
      <c r="H9891" t="str">
        <v>Sinusoidal</v>
      </c>
      <c r="I9891" t="str">
        <v>Desdemona (2015) - Sphere / Ocentric / Sinusoidal, clon = 0</v>
      </c>
      <c r="J9891" t="str">
        <v>Not specified.</v>
      </c>
      <c r="K9891" s="11">
        <v>0</v>
      </c>
    </row>
    <row r="9892" spans="5:11" x14ac:dyDescent="0.35">
      <c r="E9892" s="9" t="str">
        <v>IAU_2015</v>
      </c>
      <c r="F9892" s="7" t="str">
        <v>71025</v>
      </c>
      <c r="G9892" t="str">
        <v>ProjectedCrs</v>
      </c>
      <c r="H9892" t="str">
        <v>Sinusoidal</v>
      </c>
      <c r="I9892" t="str">
        <v>Desdemona (2015) - Sphere / Ocentric / Sinusoidal, clon = 180</v>
      </c>
      <c r="J9892" t="str">
        <v>Not specified.</v>
      </c>
      <c r="K9892" s="11">
        <v>0</v>
      </c>
    </row>
    <row r="9893" spans="5:11" x14ac:dyDescent="0.35">
      <c r="E9893" s="9" t="str">
        <v>IAU_2015</v>
      </c>
      <c r="F9893" s="7" t="str">
        <v>71030</v>
      </c>
      <c r="G9893" t="str">
        <v>ProjectedCrs</v>
      </c>
      <c r="H9893" t="str">
        <v>Polar Stereographic (variant A)</v>
      </c>
      <c r="I9893" t="str">
        <v>Desdemona (2015) - Sphere / Ocentric / North Polar</v>
      </c>
      <c r="J9893" t="str">
        <v>Not specified.</v>
      </c>
      <c r="K9893" s="11">
        <v>0</v>
      </c>
    </row>
    <row r="9894" spans="5:11" x14ac:dyDescent="0.35">
      <c r="E9894" s="9" t="str">
        <v>IAU_2015</v>
      </c>
      <c r="F9894" s="7" t="str">
        <v>71035</v>
      </c>
      <c r="G9894" t="str">
        <v>ProjectedCrs</v>
      </c>
      <c r="H9894" t="str">
        <v>Polar Stereographic (variant A)</v>
      </c>
      <c r="I9894" t="str">
        <v>Desdemona (2015) - Sphere / Ocentric / South Polar</v>
      </c>
      <c r="J9894" t="str">
        <v>Not specified.</v>
      </c>
      <c r="K9894" s="11">
        <v>0</v>
      </c>
    </row>
    <row r="9895" spans="5:11" x14ac:dyDescent="0.35">
      <c r="E9895" s="9" t="str">
        <v>IAU_2015</v>
      </c>
      <c r="F9895" s="7" t="str">
        <v>71040</v>
      </c>
      <c r="G9895" t="str">
        <v>ProjectedCrs</v>
      </c>
      <c r="H9895" t="str">
        <v>Mollweide</v>
      </c>
      <c r="I9895" t="str">
        <v>Desdemona (2015) - Sphere / Ocentric / Mollweide, clon = 0</v>
      </c>
      <c r="J9895" t="str">
        <v>Not specified.</v>
      </c>
      <c r="K9895" s="11">
        <v>0</v>
      </c>
    </row>
    <row r="9896" spans="5:11" x14ac:dyDescent="0.35">
      <c r="E9896" s="9" t="str">
        <v>IAU_2015</v>
      </c>
      <c r="F9896" s="7" t="str">
        <v>71045</v>
      </c>
      <c r="G9896" t="str">
        <v>ProjectedCrs</v>
      </c>
      <c r="H9896" t="str">
        <v>Mollweide</v>
      </c>
      <c r="I9896" t="str">
        <v>Desdemona (2015) - Sphere / Ocentric / Mollweide, clon = 180</v>
      </c>
      <c r="J9896" t="str">
        <v>Not specified.</v>
      </c>
      <c r="K9896" s="11">
        <v>0</v>
      </c>
    </row>
    <row r="9897" spans="5:11" x14ac:dyDescent="0.35">
      <c r="E9897" s="9" t="str">
        <v>IAU_2015</v>
      </c>
      <c r="F9897" s="7" t="str">
        <v>71050</v>
      </c>
      <c r="G9897" t="str">
        <v>ProjectedCrs</v>
      </c>
      <c r="H9897" t="str">
        <v>Robinson</v>
      </c>
      <c r="I9897" t="str">
        <v>Desdemona (2015) - Sphere / Ocentric / Robinson, clon = 0</v>
      </c>
      <c r="J9897" t="str">
        <v>Not specified.</v>
      </c>
      <c r="K9897" s="11">
        <v>0</v>
      </c>
    </row>
    <row r="9898" spans="5:11" x14ac:dyDescent="0.35">
      <c r="E9898" s="9" t="str">
        <v>IAU_2015</v>
      </c>
      <c r="F9898" s="7" t="str">
        <v>71055</v>
      </c>
      <c r="G9898" t="str">
        <v>ProjectedCrs</v>
      </c>
      <c r="H9898" t="str">
        <v>Robinson</v>
      </c>
      <c r="I9898" t="str">
        <v>Desdemona (2015) - Sphere / Ocentric / Robinson, clon = 180</v>
      </c>
      <c r="J9898" t="str">
        <v>Not specified.</v>
      </c>
      <c r="K9898" s="11">
        <v>0</v>
      </c>
    </row>
    <row r="9899" spans="5:11" x14ac:dyDescent="0.35">
      <c r="E9899" s="9" t="str">
        <v>IAU_2015</v>
      </c>
      <c r="F9899" s="7" t="str">
        <v>71060</v>
      </c>
      <c r="G9899" t="str">
        <v>ProjectedCrs</v>
      </c>
      <c r="H9899" t="str">
        <v>Transverse Mercator</v>
      </c>
      <c r="I9899" t="str">
        <v>Desdemona (2015) - Sphere / Ocentric / Tranverse Mercator</v>
      </c>
      <c r="J9899" t="str">
        <v>Not specified.</v>
      </c>
      <c r="K9899" s="11">
        <v>0</v>
      </c>
    </row>
    <row r="9900" spans="5:11" x14ac:dyDescent="0.35">
      <c r="E9900" s="9" t="str">
        <v>IAU_2015</v>
      </c>
      <c r="F9900" s="7" t="str">
        <v>71065</v>
      </c>
      <c r="G9900" t="str">
        <v>ProjectedCrs</v>
      </c>
      <c r="H9900" t="str">
        <v>Orthographic</v>
      </c>
      <c r="I9900" t="str">
        <v>Desdemona (2015) - Sphere / Ocentric / Orthographic, clon = 0</v>
      </c>
      <c r="J9900" t="str">
        <v>Not specified.</v>
      </c>
      <c r="K9900" s="11">
        <v>0</v>
      </c>
    </row>
    <row r="9901" spans="5:11" x14ac:dyDescent="0.35">
      <c r="E9901" s="9" t="str">
        <v>IAU_2015</v>
      </c>
      <c r="F9901" s="7" t="str">
        <v>71070</v>
      </c>
      <c r="G9901" t="str">
        <v>ProjectedCrs</v>
      </c>
      <c r="H9901" t="str">
        <v>Orthographic</v>
      </c>
      <c r="I9901" t="str">
        <v>Desdemona (2015) - Sphere / Ocentric / Orthographic, clon = 180</v>
      </c>
      <c r="J9901" t="str">
        <v>Not specified.</v>
      </c>
      <c r="K9901" s="11">
        <v>0</v>
      </c>
    </row>
    <row r="9902" spans="5:11" x14ac:dyDescent="0.35">
      <c r="E9902" s="9" t="str">
        <v>IAU_2015</v>
      </c>
      <c r="F9902" s="7" t="str">
        <v>71075</v>
      </c>
      <c r="G9902" t="str">
        <v>ProjectedCrs</v>
      </c>
      <c r="H9902" t="str">
        <v>Lambert Conic Conformal (2SP)</v>
      </c>
      <c r="I9902" t="str">
        <v>Desdemona (2015) - Sphere / Ocentric / Lambert Conic Conformal</v>
      </c>
      <c r="J9902" t="str">
        <v>Not specified.</v>
      </c>
      <c r="K9902" s="11">
        <v>0</v>
      </c>
    </row>
    <row r="9903" spans="5:11" x14ac:dyDescent="0.35">
      <c r="E9903" s="9" t="str">
        <v>IAU_2015</v>
      </c>
      <c r="F9903" s="7" t="str">
        <v>71080</v>
      </c>
      <c r="G9903" t="str">
        <v>ProjectedCrs</v>
      </c>
      <c r="H9903" t="str">
        <v>Lambert Azimuthal Equal Area</v>
      </c>
      <c r="I9903" t="str">
        <v>Desdemona (2015) - Sphere / Ocentric / Lambert Azimuthal Equal Area</v>
      </c>
      <c r="J9903" t="str">
        <v>Not specified.</v>
      </c>
      <c r="K9903" s="11">
        <v>0</v>
      </c>
    </row>
    <row r="9904" spans="5:11" x14ac:dyDescent="0.35">
      <c r="E9904" s="9" t="str">
        <v>IAU_2015</v>
      </c>
      <c r="F9904" s="7" t="str">
        <v>71085</v>
      </c>
      <c r="G9904" t="str">
        <v>ProjectedCrs</v>
      </c>
      <c r="H9904" t="str">
        <v>Albers Equal Area</v>
      </c>
      <c r="I9904" t="str">
        <v>Desdemona (2015) - Sphere / Ocentric / Albers Equal Area</v>
      </c>
      <c r="J9904" t="str">
        <v>Not specified.</v>
      </c>
      <c r="K9904" s="11">
        <v>0</v>
      </c>
    </row>
    <row r="9905" spans="5:11" x14ac:dyDescent="0.35">
      <c r="E9905" s="9" t="str">
        <v>IAU_2015</v>
      </c>
      <c r="F9905" s="7" t="str">
        <v>71090</v>
      </c>
      <c r="G9905" t="str">
        <v>ProjectedCrs</v>
      </c>
      <c r="H9905" t="str">
        <v>Mercator (Spherical)</v>
      </c>
      <c r="I9905" t="str">
        <v>Desdemona (2015) - Sphere / Ocentric / Mercator</v>
      </c>
      <c r="J9905" t="str">
        <v>Not specified.</v>
      </c>
      <c r="K9905" s="11">
        <v>0</v>
      </c>
    </row>
    <row r="9906" spans="5:11" x14ac:dyDescent="0.35">
      <c r="E9906" s="9" t="str">
        <v>IAU_2015</v>
      </c>
      <c r="F9906" s="7" t="str">
        <v>71100</v>
      </c>
      <c r="G9906" t="str">
        <v>Geographic2DCrs</v>
      </c>
      <c r="H9906" t="str">
        <v>&lt;undefined&gt;</v>
      </c>
      <c r="I9906" t="str">
        <v>Juliet (2015) - Sphere / Ocentric</v>
      </c>
      <c r="J9906" t="str">
        <v>Not specified.</v>
      </c>
      <c r="K9906" s="11">
        <v>0</v>
      </c>
    </row>
    <row r="9907" spans="5:11" x14ac:dyDescent="0.35">
      <c r="E9907" s="9" t="str">
        <v>IAU_2015</v>
      </c>
      <c r="F9907" s="7" t="str">
        <v>71110</v>
      </c>
      <c r="G9907" t="str">
        <v>ProjectedCrs</v>
      </c>
      <c r="H9907" t="str">
        <v>Equidistant Cylindrical</v>
      </c>
      <c r="I9907" t="str">
        <v>Juliet (2015) - Sphere / Ocentric / Equirectangular, clon = 0</v>
      </c>
      <c r="J9907" t="str">
        <v>Not specified.</v>
      </c>
      <c r="K9907" s="11">
        <v>0</v>
      </c>
    </row>
    <row r="9908" spans="5:11" x14ac:dyDescent="0.35">
      <c r="E9908" s="9" t="str">
        <v>IAU_2015</v>
      </c>
      <c r="F9908" s="7" t="str">
        <v>71115</v>
      </c>
      <c r="G9908" t="str">
        <v>ProjectedCrs</v>
      </c>
      <c r="H9908" t="str">
        <v>Equidistant Cylindrical</v>
      </c>
      <c r="I9908" t="str">
        <v>Juliet (2015) - Sphere / Ocentric / Equirectangular, clon = 180</v>
      </c>
      <c r="J9908" t="str">
        <v>Not specified.</v>
      </c>
      <c r="K9908" s="11">
        <v>0</v>
      </c>
    </row>
    <row r="9909" spans="5:11" x14ac:dyDescent="0.35">
      <c r="E9909" s="9" t="str">
        <v>IAU_2015</v>
      </c>
      <c r="F9909" s="7" t="str">
        <v>71120</v>
      </c>
      <c r="G9909" t="str">
        <v>ProjectedCrs</v>
      </c>
      <c r="H9909" t="str">
        <v>Sinusoidal</v>
      </c>
      <c r="I9909" t="str">
        <v>Juliet (2015) - Sphere / Ocentric / Sinusoidal, clon = 0</v>
      </c>
      <c r="J9909" t="str">
        <v>Not specified.</v>
      </c>
      <c r="K9909" s="11">
        <v>0</v>
      </c>
    </row>
    <row r="9910" spans="5:11" x14ac:dyDescent="0.35">
      <c r="E9910" s="9" t="str">
        <v>IAU_2015</v>
      </c>
      <c r="F9910" s="7" t="str">
        <v>71125</v>
      </c>
      <c r="G9910" t="str">
        <v>ProjectedCrs</v>
      </c>
      <c r="H9910" t="str">
        <v>Sinusoidal</v>
      </c>
      <c r="I9910" t="str">
        <v>Juliet (2015) - Sphere / Ocentric / Sinusoidal, clon = 180</v>
      </c>
      <c r="J9910" t="str">
        <v>Not specified.</v>
      </c>
      <c r="K9910" s="11">
        <v>0</v>
      </c>
    </row>
    <row r="9911" spans="5:11" x14ac:dyDescent="0.35">
      <c r="E9911" s="9" t="str">
        <v>IAU_2015</v>
      </c>
      <c r="F9911" s="7" t="str">
        <v>71130</v>
      </c>
      <c r="G9911" t="str">
        <v>ProjectedCrs</v>
      </c>
      <c r="H9911" t="str">
        <v>Polar Stereographic (variant A)</v>
      </c>
      <c r="I9911" t="str">
        <v>Juliet (2015) - Sphere / Ocentric / North Polar</v>
      </c>
      <c r="J9911" t="str">
        <v>Not specified.</v>
      </c>
      <c r="K9911" s="11">
        <v>0</v>
      </c>
    </row>
    <row r="9912" spans="5:11" x14ac:dyDescent="0.35">
      <c r="E9912" s="9" t="str">
        <v>IAU_2015</v>
      </c>
      <c r="F9912" s="7" t="str">
        <v>71135</v>
      </c>
      <c r="G9912" t="str">
        <v>ProjectedCrs</v>
      </c>
      <c r="H9912" t="str">
        <v>Polar Stereographic (variant A)</v>
      </c>
      <c r="I9912" t="str">
        <v>Juliet (2015) - Sphere / Ocentric / South Polar</v>
      </c>
      <c r="J9912" t="str">
        <v>Not specified.</v>
      </c>
      <c r="K9912" s="11">
        <v>0</v>
      </c>
    </row>
    <row r="9913" spans="5:11" x14ac:dyDescent="0.35">
      <c r="E9913" s="9" t="str">
        <v>IAU_2015</v>
      </c>
      <c r="F9913" s="7" t="str">
        <v>71140</v>
      </c>
      <c r="G9913" t="str">
        <v>ProjectedCrs</v>
      </c>
      <c r="H9913" t="str">
        <v>Mollweide</v>
      </c>
      <c r="I9913" t="str">
        <v>Juliet (2015) - Sphere / Ocentric / Mollweide, clon = 0</v>
      </c>
      <c r="J9913" t="str">
        <v>Not specified.</v>
      </c>
      <c r="K9913" s="11">
        <v>0</v>
      </c>
    </row>
    <row r="9914" spans="5:11" x14ac:dyDescent="0.35">
      <c r="E9914" s="9" t="str">
        <v>IAU_2015</v>
      </c>
      <c r="F9914" s="7" t="str">
        <v>71145</v>
      </c>
      <c r="G9914" t="str">
        <v>ProjectedCrs</v>
      </c>
      <c r="H9914" t="str">
        <v>Mollweide</v>
      </c>
      <c r="I9914" t="str">
        <v>Juliet (2015) - Sphere / Ocentric / Mollweide, clon = 180</v>
      </c>
      <c r="J9914" t="str">
        <v>Not specified.</v>
      </c>
      <c r="K9914" s="11">
        <v>0</v>
      </c>
    </row>
    <row r="9915" spans="5:11" x14ac:dyDescent="0.35">
      <c r="E9915" s="9" t="str">
        <v>IAU_2015</v>
      </c>
      <c r="F9915" s="7" t="str">
        <v>71150</v>
      </c>
      <c r="G9915" t="str">
        <v>ProjectedCrs</v>
      </c>
      <c r="H9915" t="str">
        <v>Robinson</v>
      </c>
      <c r="I9915" t="str">
        <v>Juliet (2015) - Sphere / Ocentric / Robinson, clon = 0</v>
      </c>
      <c r="J9915" t="str">
        <v>Not specified.</v>
      </c>
      <c r="K9915" s="11">
        <v>0</v>
      </c>
    </row>
    <row r="9916" spans="5:11" x14ac:dyDescent="0.35">
      <c r="E9916" s="9" t="str">
        <v>IAU_2015</v>
      </c>
      <c r="F9916" s="7" t="str">
        <v>71155</v>
      </c>
      <c r="G9916" t="str">
        <v>ProjectedCrs</v>
      </c>
      <c r="H9916" t="str">
        <v>Robinson</v>
      </c>
      <c r="I9916" t="str">
        <v>Juliet (2015) - Sphere / Ocentric / Robinson, clon = 180</v>
      </c>
      <c r="J9916" t="str">
        <v>Not specified.</v>
      </c>
      <c r="K9916" s="11">
        <v>0</v>
      </c>
    </row>
    <row r="9917" spans="5:11" x14ac:dyDescent="0.35">
      <c r="E9917" s="9" t="str">
        <v>IAU_2015</v>
      </c>
      <c r="F9917" s="7" t="str">
        <v>71160</v>
      </c>
      <c r="G9917" t="str">
        <v>ProjectedCrs</v>
      </c>
      <c r="H9917" t="str">
        <v>Transverse Mercator</v>
      </c>
      <c r="I9917" t="str">
        <v>Juliet (2015) - Sphere / Ocentric / Tranverse Mercator</v>
      </c>
      <c r="J9917" t="str">
        <v>Not specified.</v>
      </c>
      <c r="K9917" s="11">
        <v>0</v>
      </c>
    </row>
    <row r="9918" spans="5:11" x14ac:dyDescent="0.35">
      <c r="E9918" s="9" t="str">
        <v>IAU_2015</v>
      </c>
      <c r="F9918" s="7" t="str">
        <v>71165</v>
      </c>
      <c r="G9918" t="str">
        <v>ProjectedCrs</v>
      </c>
      <c r="H9918" t="str">
        <v>Orthographic</v>
      </c>
      <c r="I9918" t="str">
        <v>Juliet (2015) - Sphere / Ocentric / Orthographic, clon = 0</v>
      </c>
      <c r="J9918" t="str">
        <v>Not specified.</v>
      </c>
      <c r="K9918" s="11">
        <v>0</v>
      </c>
    </row>
    <row r="9919" spans="5:11" x14ac:dyDescent="0.35">
      <c r="E9919" s="9" t="str">
        <v>IAU_2015</v>
      </c>
      <c r="F9919" s="7" t="str">
        <v>71170</v>
      </c>
      <c r="G9919" t="str">
        <v>ProjectedCrs</v>
      </c>
      <c r="H9919" t="str">
        <v>Orthographic</v>
      </c>
      <c r="I9919" t="str">
        <v>Juliet (2015) - Sphere / Ocentric / Orthographic, clon = 180</v>
      </c>
      <c r="J9919" t="str">
        <v>Not specified.</v>
      </c>
      <c r="K9919" s="11">
        <v>0</v>
      </c>
    </row>
    <row r="9920" spans="5:11" x14ac:dyDescent="0.35">
      <c r="E9920" s="9" t="str">
        <v>IAU_2015</v>
      </c>
      <c r="F9920" s="7" t="str">
        <v>71175</v>
      </c>
      <c r="G9920" t="str">
        <v>ProjectedCrs</v>
      </c>
      <c r="H9920" t="str">
        <v>Lambert Conic Conformal (2SP)</v>
      </c>
      <c r="I9920" t="str">
        <v>Juliet (2015) - Sphere / Ocentric / Lambert Conic Conformal</v>
      </c>
      <c r="J9920" t="str">
        <v>Not specified.</v>
      </c>
      <c r="K9920" s="11">
        <v>0</v>
      </c>
    </row>
    <row r="9921" spans="5:11" x14ac:dyDescent="0.35">
      <c r="E9921" s="9" t="str">
        <v>IAU_2015</v>
      </c>
      <c r="F9921" s="7" t="str">
        <v>71180</v>
      </c>
      <c r="G9921" t="str">
        <v>ProjectedCrs</v>
      </c>
      <c r="H9921" t="str">
        <v>Lambert Azimuthal Equal Area</v>
      </c>
      <c r="I9921" t="str">
        <v>Juliet (2015) - Sphere / Ocentric / Lambert Azimuthal Equal Area</v>
      </c>
      <c r="J9921" t="str">
        <v>Not specified.</v>
      </c>
      <c r="K9921" s="11">
        <v>0</v>
      </c>
    </row>
    <row r="9922" spans="5:11" x14ac:dyDescent="0.35">
      <c r="E9922" s="9" t="str">
        <v>IAU_2015</v>
      </c>
      <c r="F9922" s="7" t="str">
        <v>71185</v>
      </c>
      <c r="G9922" t="str">
        <v>ProjectedCrs</v>
      </c>
      <c r="H9922" t="str">
        <v>Albers Equal Area</v>
      </c>
      <c r="I9922" t="str">
        <v>Juliet (2015) - Sphere / Ocentric / Albers Equal Area</v>
      </c>
      <c r="J9922" t="str">
        <v>Not specified.</v>
      </c>
      <c r="K9922" s="11">
        <v>0</v>
      </c>
    </row>
    <row r="9923" spans="5:11" x14ac:dyDescent="0.35">
      <c r="E9923" s="9" t="str">
        <v>IAU_2015</v>
      </c>
      <c r="F9923" s="7" t="str">
        <v>71190</v>
      </c>
      <c r="G9923" t="str">
        <v>ProjectedCrs</v>
      </c>
      <c r="H9923" t="str">
        <v>Mercator (Spherical)</v>
      </c>
      <c r="I9923" t="str">
        <v>Juliet (2015) - Sphere / Ocentric / Mercator</v>
      </c>
      <c r="J9923" t="str">
        <v>Not specified.</v>
      </c>
      <c r="K9923" s="11">
        <v>0</v>
      </c>
    </row>
    <row r="9924" spans="5:11" x14ac:dyDescent="0.35">
      <c r="E9924" s="9" t="str">
        <v>IAU_2015</v>
      </c>
      <c r="F9924" s="7" t="str">
        <v>71200</v>
      </c>
      <c r="G9924" t="str">
        <v>Geographic2DCrs</v>
      </c>
      <c r="H9924" t="str">
        <v>&lt;undefined&gt;</v>
      </c>
      <c r="I9924" t="str">
        <v>Portia (2015) - Sphere / Ocentric</v>
      </c>
      <c r="J9924" t="str">
        <v>Not specified.</v>
      </c>
      <c r="K9924" s="11">
        <v>0</v>
      </c>
    </row>
    <row r="9925" spans="5:11" x14ac:dyDescent="0.35">
      <c r="E9925" s="9" t="str">
        <v>IAU_2015</v>
      </c>
      <c r="F9925" s="7" t="str">
        <v>71210</v>
      </c>
      <c r="G9925" t="str">
        <v>ProjectedCrs</v>
      </c>
      <c r="H9925" t="str">
        <v>Equidistant Cylindrical</v>
      </c>
      <c r="I9925" t="str">
        <v>Portia (2015) - Sphere / Ocentric / Equirectangular, clon = 0</v>
      </c>
      <c r="J9925" t="str">
        <v>Not specified.</v>
      </c>
      <c r="K9925" s="11">
        <v>0</v>
      </c>
    </row>
    <row r="9926" spans="5:11" x14ac:dyDescent="0.35">
      <c r="E9926" s="9" t="str">
        <v>IAU_2015</v>
      </c>
      <c r="F9926" s="7" t="str">
        <v>71215</v>
      </c>
      <c r="G9926" t="str">
        <v>ProjectedCrs</v>
      </c>
      <c r="H9926" t="str">
        <v>Equidistant Cylindrical</v>
      </c>
      <c r="I9926" t="str">
        <v>Portia (2015) - Sphere / Ocentric / Equirectangular, clon = 180</v>
      </c>
      <c r="J9926" t="str">
        <v>Not specified.</v>
      </c>
      <c r="K9926" s="11">
        <v>0</v>
      </c>
    </row>
    <row r="9927" spans="5:11" x14ac:dyDescent="0.35">
      <c r="E9927" s="9" t="str">
        <v>IAU_2015</v>
      </c>
      <c r="F9927" s="7" t="str">
        <v>71220</v>
      </c>
      <c r="G9927" t="str">
        <v>ProjectedCrs</v>
      </c>
      <c r="H9927" t="str">
        <v>Sinusoidal</v>
      </c>
      <c r="I9927" t="str">
        <v>Portia (2015) - Sphere / Ocentric / Sinusoidal, clon = 0</v>
      </c>
      <c r="J9927" t="str">
        <v>Not specified.</v>
      </c>
      <c r="K9927" s="11">
        <v>0</v>
      </c>
    </row>
    <row r="9928" spans="5:11" x14ac:dyDescent="0.35">
      <c r="E9928" s="9" t="str">
        <v>IAU_2015</v>
      </c>
      <c r="F9928" s="7" t="str">
        <v>71225</v>
      </c>
      <c r="G9928" t="str">
        <v>ProjectedCrs</v>
      </c>
      <c r="H9928" t="str">
        <v>Sinusoidal</v>
      </c>
      <c r="I9928" t="str">
        <v>Portia (2015) - Sphere / Ocentric / Sinusoidal, clon = 180</v>
      </c>
      <c r="J9928" t="str">
        <v>Not specified.</v>
      </c>
      <c r="K9928" s="11">
        <v>0</v>
      </c>
    </row>
    <row r="9929" spans="5:11" x14ac:dyDescent="0.35">
      <c r="E9929" s="9" t="str">
        <v>IAU_2015</v>
      </c>
      <c r="F9929" s="7" t="str">
        <v>71230</v>
      </c>
      <c r="G9929" t="str">
        <v>ProjectedCrs</v>
      </c>
      <c r="H9929" t="str">
        <v>Polar Stereographic (variant A)</v>
      </c>
      <c r="I9929" t="str">
        <v>Portia (2015) - Sphere / Ocentric / North Polar</v>
      </c>
      <c r="J9929" t="str">
        <v>Not specified.</v>
      </c>
      <c r="K9929" s="11">
        <v>0</v>
      </c>
    </row>
    <row r="9930" spans="5:11" x14ac:dyDescent="0.35">
      <c r="E9930" s="9" t="str">
        <v>IAU_2015</v>
      </c>
      <c r="F9930" s="7" t="str">
        <v>71235</v>
      </c>
      <c r="G9930" t="str">
        <v>ProjectedCrs</v>
      </c>
      <c r="H9930" t="str">
        <v>Polar Stereographic (variant A)</v>
      </c>
      <c r="I9930" t="str">
        <v>Portia (2015) - Sphere / Ocentric / South Polar</v>
      </c>
      <c r="J9930" t="str">
        <v>Not specified.</v>
      </c>
      <c r="K9930" s="11">
        <v>0</v>
      </c>
    </row>
    <row r="9931" spans="5:11" x14ac:dyDescent="0.35">
      <c r="E9931" s="9" t="str">
        <v>IAU_2015</v>
      </c>
      <c r="F9931" s="7" t="str">
        <v>71240</v>
      </c>
      <c r="G9931" t="str">
        <v>ProjectedCrs</v>
      </c>
      <c r="H9931" t="str">
        <v>Mollweide</v>
      </c>
      <c r="I9931" t="str">
        <v>Portia (2015) - Sphere / Ocentric / Mollweide, clon = 0</v>
      </c>
      <c r="J9931" t="str">
        <v>Not specified.</v>
      </c>
      <c r="K9931" s="11">
        <v>0</v>
      </c>
    </row>
    <row r="9932" spans="5:11" x14ac:dyDescent="0.35">
      <c r="E9932" s="9" t="str">
        <v>IAU_2015</v>
      </c>
      <c r="F9932" s="7" t="str">
        <v>71245</v>
      </c>
      <c r="G9932" t="str">
        <v>ProjectedCrs</v>
      </c>
      <c r="H9932" t="str">
        <v>Mollweide</v>
      </c>
      <c r="I9932" t="str">
        <v>Portia (2015) - Sphere / Ocentric / Mollweide, clon = 180</v>
      </c>
      <c r="J9932" t="str">
        <v>Not specified.</v>
      </c>
      <c r="K9932" s="11">
        <v>0</v>
      </c>
    </row>
    <row r="9933" spans="5:11" x14ac:dyDescent="0.35">
      <c r="E9933" s="9" t="str">
        <v>IAU_2015</v>
      </c>
      <c r="F9933" s="7" t="str">
        <v>71250</v>
      </c>
      <c r="G9933" t="str">
        <v>ProjectedCrs</v>
      </c>
      <c r="H9933" t="str">
        <v>Robinson</v>
      </c>
      <c r="I9933" t="str">
        <v>Portia (2015) - Sphere / Ocentric / Robinson, clon = 0</v>
      </c>
      <c r="J9933" t="str">
        <v>Not specified.</v>
      </c>
      <c r="K9933" s="11">
        <v>0</v>
      </c>
    </row>
    <row r="9934" spans="5:11" x14ac:dyDescent="0.35">
      <c r="E9934" s="9" t="str">
        <v>IAU_2015</v>
      </c>
      <c r="F9934" s="7" t="str">
        <v>71255</v>
      </c>
      <c r="G9934" t="str">
        <v>ProjectedCrs</v>
      </c>
      <c r="H9934" t="str">
        <v>Robinson</v>
      </c>
      <c r="I9934" t="str">
        <v>Portia (2015) - Sphere / Ocentric / Robinson, clon = 180</v>
      </c>
      <c r="J9934" t="str">
        <v>Not specified.</v>
      </c>
      <c r="K9934" s="11">
        <v>0</v>
      </c>
    </row>
    <row r="9935" spans="5:11" x14ac:dyDescent="0.35">
      <c r="E9935" s="9" t="str">
        <v>IAU_2015</v>
      </c>
      <c r="F9935" s="7" t="str">
        <v>71260</v>
      </c>
      <c r="G9935" t="str">
        <v>ProjectedCrs</v>
      </c>
      <c r="H9935" t="str">
        <v>Transverse Mercator</v>
      </c>
      <c r="I9935" t="str">
        <v>Portia (2015) - Sphere / Ocentric / Tranverse Mercator</v>
      </c>
      <c r="J9935" t="str">
        <v>Not specified.</v>
      </c>
      <c r="K9935" s="11">
        <v>0</v>
      </c>
    </row>
    <row r="9936" spans="5:11" x14ac:dyDescent="0.35">
      <c r="E9936" s="9" t="str">
        <v>IAU_2015</v>
      </c>
      <c r="F9936" s="7" t="str">
        <v>71265</v>
      </c>
      <c r="G9936" t="str">
        <v>ProjectedCrs</v>
      </c>
      <c r="H9936" t="str">
        <v>Orthographic</v>
      </c>
      <c r="I9936" t="str">
        <v>Portia (2015) - Sphere / Ocentric / Orthographic, clon = 0</v>
      </c>
      <c r="J9936" t="str">
        <v>Not specified.</v>
      </c>
      <c r="K9936" s="11">
        <v>0</v>
      </c>
    </row>
    <row r="9937" spans="5:11" x14ac:dyDescent="0.35">
      <c r="E9937" s="9" t="str">
        <v>IAU_2015</v>
      </c>
      <c r="F9937" s="7" t="str">
        <v>71270</v>
      </c>
      <c r="G9937" t="str">
        <v>ProjectedCrs</v>
      </c>
      <c r="H9937" t="str">
        <v>Orthographic</v>
      </c>
      <c r="I9937" t="str">
        <v>Portia (2015) - Sphere / Ocentric / Orthographic, clon = 180</v>
      </c>
      <c r="J9937" t="str">
        <v>Not specified.</v>
      </c>
      <c r="K9937" s="11">
        <v>0</v>
      </c>
    </row>
    <row r="9938" spans="5:11" x14ac:dyDescent="0.35">
      <c r="E9938" s="9" t="str">
        <v>IAU_2015</v>
      </c>
      <c r="F9938" s="7" t="str">
        <v>71275</v>
      </c>
      <c r="G9938" t="str">
        <v>ProjectedCrs</v>
      </c>
      <c r="H9938" t="str">
        <v>Lambert Conic Conformal (2SP)</v>
      </c>
      <c r="I9938" t="str">
        <v>Portia (2015) - Sphere / Ocentric / Lambert Conic Conformal</v>
      </c>
      <c r="J9938" t="str">
        <v>Not specified.</v>
      </c>
      <c r="K9938" s="11">
        <v>0</v>
      </c>
    </row>
    <row r="9939" spans="5:11" x14ac:dyDescent="0.35">
      <c r="E9939" s="9" t="str">
        <v>IAU_2015</v>
      </c>
      <c r="F9939" s="7" t="str">
        <v>71280</v>
      </c>
      <c r="G9939" t="str">
        <v>ProjectedCrs</v>
      </c>
      <c r="H9939" t="str">
        <v>Lambert Azimuthal Equal Area</v>
      </c>
      <c r="I9939" t="str">
        <v>Portia (2015) - Sphere / Ocentric / Lambert Azimuthal Equal Area</v>
      </c>
      <c r="J9939" t="str">
        <v>Not specified.</v>
      </c>
      <c r="K9939" s="11">
        <v>0</v>
      </c>
    </row>
    <row r="9940" spans="5:11" x14ac:dyDescent="0.35">
      <c r="E9940" s="9" t="str">
        <v>IAU_2015</v>
      </c>
      <c r="F9940" s="7" t="str">
        <v>71285</v>
      </c>
      <c r="G9940" t="str">
        <v>ProjectedCrs</v>
      </c>
      <c r="H9940" t="str">
        <v>Albers Equal Area</v>
      </c>
      <c r="I9940" t="str">
        <v>Portia (2015) - Sphere / Ocentric / Albers Equal Area</v>
      </c>
      <c r="J9940" t="str">
        <v>Not specified.</v>
      </c>
      <c r="K9940" s="11">
        <v>0</v>
      </c>
    </row>
    <row r="9941" spans="5:11" x14ac:dyDescent="0.35">
      <c r="E9941" s="9" t="str">
        <v>IAU_2015</v>
      </c>
      <c r="F9941" s="7" t="str">
        <v>71290</v>
      </c>
      <c r="G9941" t="str">
        <v>ProjectedCrs</v>
      </c>
      <c r="H9941" t="str">
        <v>Mercator (Spherical)</v>
      </c>
      <c r="I9941" t="str">
        <v>Portia (2015) - Sphere / Ocentric / Mercator</v>
      </c>
      <c r="J9941" t="str">
        <v>Not specified.</v>
      </c>
      <c r="K9941" s="11">
        <v>0</v>
      </c>
    </row>
    <row r="9942" spans="5:11" x14ac:dyDescent="0.35">
      <c r="E9942" s="9" t="str">
        <v>IAU_2015</v>
      </c>
      <c r="F9942" s="7" t="str">
        <v>71300</v>
      </c>
      <c r="G9942" t="str">
        <v>Geographic2DCrs</v>
      </c>
      <c r="H9942" t="str">
        <v>&lt;undefined&gt;</v>
      </c>
      <c r="I9942" t="str">
        <v>Rosalind (2015) - Sphere / Ocentric</v>
      </c>
      <c r="J9942" t="str">
        <v>Not specified.</v>
      </c>
      <c r="K9942" s="11">
        <v>0</v>
      </c>
    </row>
    <row r="9943" spans="5:11" x14ac:dyDescent="0.35">
      <c r="E9943" s="9" t="str">
        <v>IAU_2015</v>
      </c>
      <c r="F9943" s="7" t="str">
        <v>71310</v>
      </c>
      <c r="G9943" t="str">
        <v>ProjectedCrs</v>
      </c>
      <c r="H9943" t="str">
        <v>Equidistant Cylindrical</v>
      </c>
      <c r="I9943" t="str">
        <v>Rosalind (2015) - Sphere / Ocentric / Equirectangular, clon = 0</v>
      </c>
      <c r="J9943" t="str">
        <v>Not specified.</v>
      </c>
      <c r="K9943" s="11">
        <v>0</v>
      </c>
    </row>
    <row r="9944" spans="5:11" x14ac:dyDescent="0.35">
      <c r="E9944" s="9" t="str">
        <v>IAU_2015</v>
      </c>
      <c r="F9944" s="7" t="str">
        <v>71315</v>
      </c>
      <c r="G9944" t="str">
        <v>ProjectedCrs</v>
      </c>
      <c r="H9944" t="str">
        <v>Equidistant Cylindrical</v>
      </c>
      <c r="I9944" t="str">
        <v>Rosalind (2015) - Sphere / Ocentric / Equirectangular, clon = 180</v>
      </c>
      <c r="J9944" t="str">
        <v>Not specified.</v>
      </c>
      <c r="K9944" s="11">
        <v>0</v>
      </c>
    </row>
    <row r="9945" spans="5:11" x14ac:dyDescent="0.35">
      <c r="E9945" s="9" t="str">
        <v>IAU_2015</v>
      </c>
      <c r="F9945" s="7" t="str">
        <v>71320</v>
      </c>
      <c r="G9945" t="str">
        <v>ProjectedCrs</v>
      </c>
      <c r="H9945" t="str">
        <v>Sinusoidal</v>
      </c>
      <c r="I9945" t="str">
        <v>Rosalind (2015) - Sphere / Ocentric / Sinusoidal, clon = 0</v>
      </c>
      <c r="J9945" t="str">
        <v>Not specified.</v>
      </c>
      <c r="K9945" s="11">
        <v>0</v>
      </c>
    </row>
    <row r="9946" spans="5:11" x14ac:dyDescent="0.35">
      <c r="E9946" s="9" t="str">
        <v>IAU_2015</v>
      </c>
      <c r="F9946" s="7" t="str">
        <v>71325</v>
      </c>
      <c r="G9946" t="str">
        <v>ProjectedCrs</v>
      </c>
      <c r="H9946" t="str">
        <v>Sinusoidal</v>
      </c>
      <c r="I9946" t="str">
        <v>Rosalind (2015) - Sphere / Ocentric / Sinusoidal, clon = 180</v>
      </c>
      <c r="J9946" t="str">
        <v>Not specified.</v>
      </c>
      <c r="K9946" s="11">
        <v>0</v>
      </c>
    </row>
    <row r="9947" spans="5:11" x14ac:dyDescent="0.35">
      <c r="E9947" s="9" t="str">
        <v>IAU_2015</v>
      </c>
      <c r="F9947" s="7" t="str">
        <v>71330</v>
      </c>
      <c r="G9947" t="str">
        <v>ProjectedCrs</v>
      </c>
      <c r="H9947" t="str">
        <v>Polar Stereographic (variant A)</v>
      </c>
      <c r="I9947" t="str">
        <v>Rosalind (2015) - Sphere / Ocentric / North Polar</v>
      </c>
      <c r="J9947" t="str">
        <v>Not specified.</v>
      </c>
      <c r="K9947" s="11">
        <v>0</v>
      </c>
    </row>
    <row r="9948" spans="5:11" x14ac:dyDescent="0.35">
      <c r="E9948" s="9" t="str">
        <v>IAU_2015</v>
      </c>
      <c r="F9948" s="7" t="str">
        <v>71335</v>
      </c>
      <c r="G9948" t="str">
        <v>ProjectedCrs</v>
      </c>
      <c r="H9948" t="str">
        <v>Polar Stereographic (variant A)</v>
      </c>
      <c r="I9948" t="str">
        <v>Rosalind (2015) - Sphere / Ocentric / South Polar</v>
      </c>
      <c r="J9948" t="str">
        <v>Not specified.</v>
      </c>
      <c r="K9948" s="11">
        <v>0</v>
      </c>
    </row>
    <row r="9949" spans="5:11" x14ac:dyDescent="0.35">
      <c r="E9949" s="9" t="str">
        <v>IAU_2015</v>
      </c>
      <c r="F9949" s="7" t="str">
        <v>71340</v>
      </c>
      <c r="G9949" t="str">
        <v>ProjectedCrs</v>
      </c>
      <c r="H9949" t="str">
        <v>Mollweide</v>
      </c>
      <c r="I9949" t="str">
        <v>Rosalind (2015) - Sphere / Ocentric / Mollweide, clon = 0</v>
      </c>
      <c r="J9949" t="str">
        <v>Not specified.</v>
      </c>
      <c r="K9949" s="11">
        <v>0</v>
      </c>
    </row>
    <row r="9950" spans="5:11" x14ac:dyDescent="0.35">
      <c r="E9950" s="9" t="str">
        <v>IAU_2015</v>
      </c>
      <c r="F9950" s="7" t="str">
        <v>71345</v>
      </c>
      <c r="G9950" t="str">
        <v>ProjectedCrs</v>
      </c>
      <c r="H9950" t="str">
        <v>Mollweide</v>
      </c>
      <c r="I9950" t="str">
        <v>Rosalind (2015) - Sphere / Ocentric / Mollweide, clon = 180</v>
      </c>
      <c r="J9950" t="str">
        <v>Not specified.</v>
      </c>
      <c r="K9950" s="11">
        <v>0</v>
      </c>
    </row>
    <row r="9951" spans="5:11" x14ac:dyDescent="0.35">
      <c r="E9951" s="9" t="str">
        <v>IAU_2015</v>
      </c>
      <c r="F9951" s="7" t="str">
        <v>71350</v>
      </c>
      <c r="G9951" t="str">
        <v>ProjectedCrs</v>
      </c>
      <c r="H9951" t="str">
        <v>Robinson</v>
      </c>
      <c r="I9951" t="str">
        <v>Rosalind (2015) - Sphere / Ocentric / Robinson, clon = 0</v>
      </c>
      <c r="J9951" t="str">
        <v>Not specified.</v>
      </c>
      <c r="K9951" s="11">
        <v>0</v>
      </c>
    </row>
    <row r="9952" spans="5:11" x14ac:dyDescent="0.35">
      <c r="E9952" s="9" t="str">
        <v>IAU_2015</v>
      </c>
      <c r="F9952" s="7" t="str">
        <v>71355</v>
      </c>
      <c r="G9952" t="str">
        <v>ProjectedCrs</v>
      </c>
      <c r="H9952" t="str">
        <v>Robinson</v>
      </c>
      <c r="I9952" t="str">
        <v>Rosalind (2015) - Sphere / Ocentric / Robinson, clon = 180</v>
      </c>
      <c r="J9952" t="str">
        <v>Not specified.</v>
      </c>
      <c r="K9952" s="11">
        <v>0</v>
      </c>
    </row>
    <row r="9953" spans="5:11" x14ac:dyDescent="0.35">
      <c r="E9953" s="9" t="str">
        <v>IAU_2015</v>
      </c>
      <c r="F9953" s="7" t="str">
        <v>71360</v>
      </c>
      <c r="G9953" t="str">
        <v>ProjectedCrs</v>
      </c>
      <c r="H9953" t="str">
        <v>Transverse Mercator</v>
      </c>
      <c r="I9953" t="str">
        <v>Rosalind (2015) - Sphere / Ocentric / Tranverse Mercator</v>
      </c>
      <c r="J9953" t="str">
        <v>Not specified.</v>
      </c>
      <c r="K9953" s="11">
        <v>0</v>
      </c>
    </row>
    <row r="9954" spans="5:11" x14ac:dyDescent="0.35">
      <c r="E9954" s="9" t="str">
        <v>IAU_2015</v>
      </c>
      <c r="F9954" s="7" t="str">
        <v>71365</v>
      </c>
      <c r="G9954" t="str">
        <v>ProjectedCrs</v>
      </c>
      <c r="H9954" t="str">
        <v>Orthographic</v>
      </c>
      <c r="I9954" t="str">
        <v>Rosalind (2015) - Sphere / Ocentric / Orthographic, clon = 0</v>
      </c>
      <c r="J9954" t="str">
        <v>Not specified.</v>
      </c>
      <c r="K9954" s="11">
        <v>0</v>
      </c>
    </row>
    <row r="9955" spans="5:11" x14ac:dyDescent="0.35">
      <c r="E9955" s="9" t="str">
        <v>IAU_2015</v>
      </c>
      <c r="F9955" s="7" t="str">
        <v>71370</v>
      </c>
      <c r="G9955" t="str">
        <v>ProjectedCrs</v>
      </c>
      <c r="H9955" t="str">
        <v>Orthographic</v>
      </c>
      <c r="I9955" t="str">
        <v>Rosalind (2015) - Sphere / Ocentric / Orthographic, clon = 180</v>
      </c>
      <c r="J9955" t="str">
        <v>Not specified.</v>
      </c>
      <c r="K9955" s="11">
        <v>0</v>
      </c>
    </row>
    <row r="9956" spans="5:11" x14ac:dyDescent="0.35">
      <c r="E9956" s="9" t="str">
        <v>IAU_2015</v>
      </c>
      <c r="F9956" s="7" t="str">
        <v>71375</v>
      </c>
      <c r="G9956" t="str">
        <v>ProjectedCrs</v>
      </c>
      <c r="H9956" t="str">
        <v>Lambert Conic Conformal (2SP)</v>
      </c>
      <c r="I9956" t="str">
        <v>Rosalind (2015) - Sphere / Ocentric / Lambert Conic Conformal</v>
      </c>
      <c r="J9956" t="str">
        <v>Not specified.</v>
      </c>
      <c r="K9956" s="11">
        <v>0</v>
      </c>
    </row>
    <row r="9957" spans="5:11" x14ac:dyDescent="0.35">
      <c r="E9957" s="9" t="str">
        <v>IAU_2015</v>
      </c>
      <c r="F9957" s="7" t="str">
        <v>71380</v>
      </c>
      <c r="G9957" t="str">
        <v>ProjectedCrs</v>
      </c>
      <c r="H9957" t="str">
        <v>Lambert Azimuthal Equal Area</v>
      </c>
      <c r="I9957" t="str">
        <v>Rosalind (2015) - Sphere / Ocentric / Lambert Azimuthal Equal Area</v>
      </c>
      <c r="J9957" t="str">
        <v>Not specified.</v>
      </c>
      <c r="K9957" s="11">
        <v>0</v>
      </c>
    </row>
    <row r="9958" spans="5:11" x14ac:dyDescent="0.35">
      <c r="E9958" s="9" t="str">
        <v>IAU_2015</v>
      </c>
      <c r="F9958" s="7" t="str">
        <v>71385</v>
      </c>
      <c r="G9958" t="str">
        <v>ProjectedCrs</v>
      </c>
      <c r="H9958" t="str">
        <v>Albers Equal Area</v>
      </c>
      <c r="I9958" t="str">
        <v>Rosalind (2015) - Sphere / Ocentric / Albers Equal Area</v>
      </c>
      <c r="J9958" t="str">
        <v>Not specified.</v>
      </c>
      <c r="K9958" s="11">
        <v>0</v>
      </c>
    </row>
    <row r="9959" spans="5:11" x14ac:dyDescent="0.35">
      <c r="E9959" s="9" t="str">
        <v>IAU_2015</v>
      </c>
      <c r="F9959" s="7" t="str">
        <v>71390</v>
      </c>
      <c r="G9959" t="str">
        <v>ProjectedCrs</v>
      </c>
      <c r="H9959" t="str">
        <v>Mercator (Spherical)</v>
      </c>
      <c r="I9959" t="str">
        <v>Rosalind (2015) - Sphere / Ocentric / Mercator</v>
      </c>
      <c r="J9959" t="str">
        <v>Not specified.</v>
      </c>
      <c r="K9959" s="11">
        <v>0</v>
      </c>
    </row>
    <row r="9960" spans="5:11" x14ac:dyDescent="0.35">
      <c r="E9960" s="9" t="str">
        <v>IAU_2015</v>
      </c>
      <c r="F9960" s="7" t="str">
        <v>71400</v>
      </c>
      <c r="G9960" t="str">
        <v>Geographic2DCrs</v>
      </c>
      <c r="H9960" t="str">
        <v>&lt;undefined&gt;</v>
      </c>
      <c r="I9960" t="str">
        <v>Belinda (2015) - Sphere / Ocentric</v>
      </c>
      <c r="J9960" t="str">
        <v>Not specified.</v>
      </c>
      <c r="K9960" s="11">
        <v>0</v>
      </c>
    </row>
    <row r="9961" spans="5:11" x14ac:dyDescent="0.35">
      <c r="E9961" s="9" t="str">
        <v>IAU_2015</v>
      </c>
      <c r="F9961" s="7" t="str">
        <v>71410</v>
      </c>
      <c r="G9961" t="str">
        <v>ProjectedCrs</v>
      </c>
      <c r="H9961" t="str">
        <v>Equidistant Cylindrical</v>
      </c>
      <c r="I9961" t="str">
        <v>Belinda (2015) - Sphere / Ocentric / Equirectangular, clon = 0</v>
      </c>
      <c r="J9961" t="str">
        <v>Not specified.</v>
      </c>
      <c r="K9961" s="11">
        <v>0</v>
      </c>
    </row>
    <row r="9962" spans="5:11" x14ac:dyDescent="0.35">
      <c r="E9962" s="9" t="str">
        <v>IAU_2015</v>
      </c>
      <c r="F9962" s="7" t="str">
        <v>71415</v>
      </c>
      <c r="G9962" t="str">
        <v>ProjectedCrs</v>
      </c>
      <c r="H9962" t="str">
        <v>Equidistant Cylindrical</v>
      </c>
      <c r="I9962" t="str">
        <v>Belinda (2015) - Sphere / Ocentric / Equirectangular, clon = 180</v>
      </c>
      <c r="J9962" t="str">
        <v>Not specified.</v>
      </c>
      <c r="K9962" s="11">
        <v>0</v>
      </c>
    </row>
    <row r="9963" spans="5:11" x14ac:dyDescent="0.35">
      <c r="E9963" s="9" t="str">
        <v>IAU_2015</v>
      </c>
      <c r="F9963" s="7" t="str">
        <v>71420</v>
      </c>
      <c r="G9963" t="str">
        <v>ProjectedCrs</v>
      </c>
      <c r="H9963" t="str">
        <v>Sinusoidal</v>
      </c>
      <c r="I9963" t="str">
        <v>Belinda (2015) - Sphere / Ocentric / Sinusoidal, clon = 0</v>
      </c>
      <c r="J9963" t="str">
        <v>Not specified.</v>
      </c>
      <c r="K9963" s="11">
        <v>0</v>
      </c>
    </row>
    <row r="9964" spans="5:11" x14ac:dyDescent="0.35">
      <c r="E9964" s="9" t="str">
        <v>IAU_2015</v>
      </c>
      <c r="F9964" s="7" t="str">
        <v>71425</v>
      </c>
      <c r="G9964" t="str">
        <v>ProjectedCrs</v>
      </c>
      <c r="H9964" t="str">
        <v>Sinusoidal</v>
      </c>
      <c r="I9964" t="str">
        <v>Belinda (2015) - Sphere / Ocentric / Sinusoidal, clon = 180</v>
      </c>
      <c r="J9964" t="str">
        <v>Not specified.</v>
      </c>
      <c r="K9964" s="11">
        <v>0</v>
      </c>
    </row>
    <row r="9965" spans="5:11" x14ac:dyDescent="0.35">
      <c r="E9965" s="9" t="str">
        <v>IAU_2015</v>
      </c>
      <c r="F9965" s="7" t="str">
        <v>71430</v>
      </c>
      <c r="G9965" t="str">
        <v>ProjectedCrs</v>
      </c>
      <c r="H9965" t="str">
        <v>Polar Stereographic (variant A)</v>
      </c>
      <c r="I9965" t="str">
        <v>Belinda (2015) - Sphere / Ocentric / North Polar</v>
      </c>
      <c r="J9965" t="str">
        <v>Not specified.</v>
      </c>
      <c r="K9965" s="11">
        <v>0</v>
      </c>
    </row>
    <row r="9966" spans="5:11" x14ac:dyDescent="0.35">
      <c r="E9966" s="9" t="str">
        <v>IAU_2015</v>
      </c>
      <c r="F9966" s="7" t="str">
        <v>71435</v>
      </c>
      <c r="G9966" t="str">
        <v>ProjectedCrs</v>
      </c>
      <c r="H9966" t="str">
        <v>Polar Stereographic (variant A)</v>
      </c>
      <c r="I9966" t="str">
        <v>Belinda (2015) - Sphere / Ocentric / South Polar</v>
      </c>
      <c r="J9966" t="str">
        <v>Not specified.</v>
      </c>
      <c r="K9966" s="11">
        <v>0</v>
      </c>
    </row>
    <row r="9967" spans="5:11" x14ac:dyDescent="0.35">
      <c r="E9967" s="9" t="str">
        <v>IAU_2015</v>
      </c>
      <c r="F9967" s="7" t="str">
        <v>71440</v>
      </c>
      <c r="G9967" t="str">
        <v>ProjectedCrs</v>
      </c>
      <c r="H9967" t="str">
        <v>Mollweide</v>
      </c>
      <c r="I9967" t="str">
        <v>Belinda (2015) - Sphere / Ocentric / Mollweide, clon = 0</v>
      </c>
      <c r="J9967" t="str">
        <v>Not specified.</v>
      </c>
      <c r="K9967" s="11">
        <v>0</v>
      </c>
    </row>
    <row r="9968" spans="5:11" x14ac:dyDescent="0.35">
      <c r="E9968" s="9" t="str">
        <v>IAU_2015</v>
      </c>
      <c r="F9968" s="7" t="str">
        <v>71445</v>
      </c>
      <c r="G9968" t="str">
        <v>ProjectedCrs</v>
      </c>
      <c r="H9968" t="str">
        <v>Mollweide</v>
      </c>
      <c r="I9968" t="str">
        <v>Belinda (2015) - Sphere / Ocentric / Mollweide, clon = 180</v>
      </c>
      <c r="J9968" t="str">
        <v>Not specified.</v>
      </c>
      <c r="K9968" s="11">
        <v>0</v>
      </c>
    </row>
    <row r="9969" spans="5:11" x14ac:dyDescent="0.35">
      <c r="E9969" s="9" t="str">
        <v>IAU_2015</v>
      </c>
      <c r="F9969" s="7" t="str">
        <v>71450</v>
      </c>
      <c r="G9969" t="str">
        <v>ProjectedCrs</v>
      </c>
      <c r="H9969" t="str">
        <v>Robinson</v>
      </c>
      <c r="I9969" t="str">
        <v>Belinda (2015) - Sphere / Ocentric / Robinson, clon = 0</v>
      </c>
      <c r="J9969" t="str">
        <v>Not specified.</v>
      </c>
      <c r="K9969" s="11">
        <v>0</v>
      </c>
    </row>
    <row r="9970" spans="5:11" x14ac:dyDescent="0.35">
      <c r="E9970" s="9" t="str">
        <v>IAU_2015</v>
      </c>
      <c r="F9970" s="7" t="str">
        <v>71455</v>
      </c>
      <c r="G9970" t="str">
        <v>ProjectedCrs</v>
      </c>
      <c r="H9970" t="str">
        <v>Robinson</v>
      </c>
      <c r="I9970" t="str">
        <v>Belinda (2015) - Sphere / Ocentric / Robinson, clon = 180</v>
      </c>
      <c r="J9970" t="str">
        <v>Not specified.</v>
      </c>
      <c r="K9970" s="11">
        <v>0</v>
      </c>
    </row>
    <row r="9971" spans="5:11" x14ac:dyDescent="0.35">
      <c r="E9971" s="9" t="str">
        <v>IAU_2015</v>
      </c>
      <c r="F9971" s="7" t="str">
        <v>71460</v>
      </c>
      <c r="G9971" t="str">
        <v>ProjectedCrs</v>
      </c>
      <c r="H9971" t="str">
        <v>Transverse Mercator</v>
      </c>
      <c r="I9971" t="str">
        <v>Belinda (2015) - Sphere / Ocentric / Tranverse Mercator</v>
      </c>
      <c r="J9971" t="str">
        <v>Not specified.</v>
      </c>
      <c r="K9971" s="11">
        <v>0</v>
      </c>
    </row>
    <row r="9972" spans="5:11" x14ac:dyDescent="0.35">
      <c r="E9972" s="9" t="str">
        <v>IAU_2015</v>
      </c>
      <c r="F9972" s="7" t="str">
        <v>71465</v>
      </c>
      <c r="G9972" t="str">
        <v>ProjectedCrs</v>
      </c>
      <c r="H9972" t="str">
        <v>Orthographic</v>
      </c>
      <c r="I9972" t="str">
        <v>Belinda (2015) - Sphere / Ocentric / Orthographic, clon = 0</v>
      </c>
      <c r="J9972" t="str">
        <v>Not specified.</v>
      </c>
      <c r="K9972" s="11">
        <v>0</v>
      </c>
    </row>
    <row r="9973" spans="5:11" x14ac:dyDescent="0.35">
      <c r="E9973" s="9" t="str">
        <v>IAU_2015</v>
      </c>
      <c r="F9973" s="7" t="str">
        <v>71470</v>
      </c>
      <c r="G9973" t="str">
        <v>ProjectedCrs</v>
      </c>
      <c r="H9973" t="str">
        <v>Orthographic</v>
      </c>
      <c r="I9973" t="str">
        <v>Belinda (2015) - Sphere / Ocentric / Orthographic, clon = 180</v>
      </c>
      <c r="J9973" t="str">
        <v>Not specified.</v>
      </c>
      <c r="K9973" s="11">
        <v>0</v>
      </c>
    </row>
    <row r="9974" spans="5:11" x14ac:dyDescent="0.35">
      <c r="E9974" s="9" t="str">
        <v>IAU_2015</v>
      </c>
      <c r="F9974" s="7" t="str">
        <v>71475</v>
      </c>
      <c r="G9974" t="str">
        <v>ProjectedCrs</v>
      </c>
      <c r="H9974" t="str">
        <v>Lambert Conic Conformal (2SP)</v>
      </c>
      <c r="I9974" t="str">
        <v>Belinda (2015) - Sphere / Ocentric / Lambert Conic Conformal</v>
      </c>
      <c r="J9974" t="str">
        <v>Not specified.</v>
      </c>
      <c r="K9974" s="11">
        <v>0</v>
      </c>
    </row>
    <row r="9975" spans="5:11" x14ac:dyDescent="0.35">
      <c r="E9975" s="9" t="str">
        <v>IAU_2015</v>
      </c>
      <c r="F9975" s="7" t="str">
        <v>71480</v>
      </c>
      <c r="G9975" t="str">
        <v>ProjectedCrs</v>
      </c>
      <c r="H9975" t="str">
        <v>Lambert Azimuthal Equal Area</v>
      </c>
      <c r="I9975" t="str">
        <v>Belinda (2015) - Sphere / Ocentric / Lambert Azimuthal Equal Area</v>
      </c>
      <c r="J9975" t="str">
        <v>Not specified.</v>
      </c>
      <c r="K9975" s="11">
        <v>0</v>
      </c>
    </row>
    <row r="9976" spans="5:11" x14ac:dyDescent="0.35">
      <c r="E9976" s="9" t="str">
        <v>IAU_2015</v>
      </c>
      <c r="F9976" s="7" t="str">
        <v>71485</v>
      </c>
      <c r="G9976" t="str">
        <v>ProjectedCrs</v>
      </c>
      <c r="H9976" t="str">
        <v>Albers Equal Area</v>
      </c>
      <c r="I9976" t="str">
        <v>Belinda (2015) - Sphere / Ocentric / Albers Equal Area</v>
      </c>
      <c r="J9976" t="str">
        <v>Not specified.</v>
      </c>
      <c r="K9976" s="11">
        <v>0</v>
      </c>
    </row>
    <row r="9977" spans="5:11" x14ac:dyDescent="0.35">
      <c r="E9977" s="9" t="str">
        <v>IAU_2015</v>
      </c>
      <c r="F9977" s="7" t="str">
        <v>71490</v>
      </c>
      <c r="G9977" t="str">
        <v>ProjectedCrs</v>
      </c>
      <c r="H9977" t="str">
        <v>Mercator (Spherical)</v>
      </c>
      <c r="I9977" t="str">
        <v>Belinda (2015) - Sphere / Ocentric / Mercator</v>
      </c>
      <c r="J9977" t="str">
        <v>Not specified.</v>
      </c>
      <c r="K9977" s="11">
        <v>0</v>
      </c>
    </row>
    <row r="9978" spans="5:11" x14ac:dyDescent="0.35">
      <c r="E9978" s="9" t="str">
        <v>IAU_2015</v>
      </c>
      <c r="F9978" s="7" t="str">
        <v>71500</v>
      </c>
      <c r="G9978" t="str">
        <v>Geographic2DCrs</v>
      </c>
      <c r="H9978" t="str">
        <v>&lt;undefined&gt;</v>
      </c>
      <c r="I9978" t="str">
        <v>Puck (2015) - Sphere / Ocentric</v>
      </c>
      <c r="J9978" t="str">
        <v>Not specified.</v>
      </c>
      <c r="K9978" s="11">
        <v>0</v>
      </c>
    </row>
    <row r="9979" spans="5:11" x14ac:dyDescent="0.35">
      <c r="E9979" s="9" t="str">
        <v>IAU_2015</v>
      </c>
      <c r="F9979" s="7" t="str">
        <v>71510</v>
      </c>
      <c r="G9979" t="str">
        <v>ProjectedCrs</v>
      </c>
      <c r="H9979" t="str">
        <v>Equidistant Cylindrical</v>
      </c>
      <c r="I9979" t="str">
        <v>Puck (2015) - Sphere / Ocentric / Equirectangular, clon = 0</v>
      </c>
      <c r="J9979" t="str">
        <v>Not specified.</v>
      </c>
      <c r="K9979" s="11">
        <v>0</v>
      </c>
    </row>
    <row r="9980" spans="5:11" x14ac:dyDescent="0.35">
      <c r="E9980" s="9" t="str">
        <v>IAU_2015</v>
      </c>
      <c r="F9980" s="7" t="str">
        <v>71515</v>
      </c>
      <c r="G9980" t="str">
        <v>ProjectedCrs</v>
      </c>
      <c r="H9980" t="str">
        <v>Equidistant Cylindrical</v>
      </c>
      <c r="I9980" t="str">
        <v>Puck (2015) - Sphere / Ocentric / Equirectangular, clon = 180</v>
      </c>
      <c r="J9980" t="str">
        <v>Not specified.</v>
      </c>
      <c r="K9980" s="11">
        <v>0</v>
      </c>
    </row>
    <row r="9981" spans="5:11" x14ac:dyDescent="0.35">
      <c r="E9981" s="9" t="str">
        <v>IAU_2015</v>
      </c>
      <c r="F9981" s="7" t="str">
        <v>71520</v>
      </c>
      <c r="G9981" t="str">
        <v>ProjectedCrs</v>
      </c>
      <c r="H9981" t="str">
        <v>Sinusoidal</v>
      </c>
      <c r="I9981" t="str">
        <v>Puck (2015) - Sphere / Ocentric / Sinusoidal, clon = 0</v>
      </c>
      <c r="J9981" t="str">
        <v>Not specified.</v>
      </c>
      <c r="K9981" s="11">
        <v>0</v>
      </c>
    </row>
    <row r="9982" spans="5:11" x14ac:dyDescent="0.35">
      <c r="E9982" s="9" t="str">
        <v>IAU_2015</v>
      </c>
      <c r="F9982" s="7" t="str">
        <v>71525</v>
      </c>
      <c r="G9982" t="str">
        <v>ProjectedCrs</v>
      </c>
      <c r="H9982" t="str">
        <v>Sinusoidal</v>
      </c>
      <c r="I9982" t="str">
        <v>Puck (2015) - Sphere / Ocentric / Sinusoidal, clon = 180</v>
      </c>
      <c r="J9982" t="str">
        <v>Not specified.</v>
      </c>
      <c r="K9982" s="11">
        <v>0</v>
      </c>
    </row>
    <row r="9983" spans="5:11" x14ac:dyDescent="0.35">
      <c r="E9983" s="9" t="str">
        <v>IAU_2015</v>
      </c>
      <c r="F9983" s="7" t="str">
        <v>71530</v>
      </c>
      <c r="G9983" t="str">
        <v>ProjectedCrs</v>
      </c>
      <c r="H9983" t="str">
        <v>Polar Stereographic (variant A)</v>
      </c>
      <c r="I9983" t="str">
        <v>Puck (2015) - Sphere / Ocentric / North Polar</v>
      </c>
      <c r="J9983" t="str">
        <v>Not specified.</v>
      </c>
      <c r="K9983" s="11">
        <v>0</v>
      </c>
    </row>
    <row r="9984" spans="5:11" x14ac:dyDescent="0.35">
      <c r="E9984" s="9" t="str">
        <v>IAU_2015</v>
      </c>
      <c r="F9984" s="7" t="str">
        <v>71535</v>
      </c>
      <c r="G9984" t="str">
        <v>ProjectedCrs</v>
      </c>
      <c r="H9984" t="str">
        <v>Polar Stereographic (variant A)</v>
      </c>
      <c r="I9984" t="str">
        <v>Puck (2015) - Sphere / Ocentric / South Polar</v>
      </c>
      <c r="J9984" t="str">
        <v>Not specified.</v>
      </c>
      <c r="K9984" s="11">
        <v>0</v>
      </c>
    </row>
    <row r="9985" spans="5:11" x14ac:dyDescent="0.35">
      <c r="E9985" s="9" t="str">
        <v>IAU_2015</v>
      </c>
      <c r="F9985" s="7" t="str">
        <v>71540</v>
      </c>
      <c r="G9985" t="str">
        <v>ProjectedCrs</v>
      </c>
      <c r="H9985" t="str">
        <v>Mollweide</v>
      </c>
      <c r="I9985" t="str">
        <v>Puck (2015) - Sphere / Ocentric / Mollweide, clon = 0</v>
      </c>
      <c r="J9985" t="str">
        <v>Not specified.</v>
      </c>
      <c r="K9985" s="11">
        <v>0</v>
      </c>
    </row>
    <row r="9986" spans="5:11" x14ac:dyDescent="0.35">
      <c r="E9986" s="9" t="str">
        <v>IAU_2015</v>
      </c>
      <c r="F9986" s="7" t="str">
        <v>71545</v>
      </c>
      <c r="G9986" t="str">
        <v>ProjectedCrs</v>
      </c>
      <c r="H9986" t="str">
        <v>Mollweide</v>
      </c>
      <c r="I9986" t="str">
        <v>Puck (2015) - Sphere / Ocentric / Mollweide, clon = 180</v>
      </c>
      <c r="J9986" t="str">
        <v>Not specified.</v>
      </c>
      <c r="K9986" s="11">
        <v>0</v>
      </c>
    </row>
    <row r="9987" spans="5:11" x14ac:dyDescent="0.35">
      <c r="E9987" s="9" t="str">
        <v>IAU_2015</v>
      </c>
      <c r="F9987" s="7" t="str">
        <v>71550</v>
      </c>
      <c r="G9987" t="str">
        <v>ProjectedCrs</v>
      </c>
      <c r="H9987" t="str">
        <v>Robinson</v>
      </c>
      <c r="I9987" t="str">
        <v>Puck (2015) - Sphere / Ocentric / Robinson, clon = 0</v>
      </c>
      <c r="J9987" t="str">
        <v>Not specified.</v>
      </c>
      <c r="K9987" s="11">
        <v>0</v>
      </c>
    </row>
    <row r="9988" spans="5:11" x14ac:dyDescent="0.35">
      <c r="E9988" s="9" t="str">
        <v>IAU_2015</v>
      </c>
      <c r="F9988" s="7" t="str">
        <v>71555</v>
      </c>
      <c r="G9988" t="str">
        <v>ProjectedCrs</v>
      </c>
      <c r="H9988" t="str">
        <v>Robinson</v>
      </c>
      <c r="I9988" t="str">
        <v>Puck (2015) - Sphere / Ocentric / Robinson, clon = 180</v>
      </c>
      <c r="J9988" t="str">
        <v>Not specified.</v>
      </c>
      <c r="K9988" s="11">
        <v>0</v>
      </c>
    </row>
    <row r="9989" spans="5:11" x14ac:dyDescent="0.35">
      <c r="E9989" s="9" t="str">
        <v>IAU_2015</v>
      </c>
      <c r="F9989" s="7" t="str">
        <v>71560</v>
      </c>
      <c r="G9989" t="str">
        <v>ProjectedCrs</v>
      </c>
      <c r="H9989" t="str">
        <v>Transverse Mercator</v>
      </c>
      <c r="I9989" t="str">
        <v>Puck (2015) - Sphere / Ocentric / Tranverse Mercator</v>
      </c>
      <c r="J9989" t="str">
        <v>Not specified.</v>
      </c>
      <c r="K9989" s="11">
        <v>0</v>
      </c>
    </row>
    <row r="9990" spans="5:11" x14ac:dyDescent="0.35">
      <c r="E9990" s="9" t="str">
        <v>IAU_2015</v>
      </c>
      <c r="F9990" s="7" t="str">
        <v>71565</v>
      </c>
      <c r="G9990" t="str">
        <v>ProjectedCrs</v>
      </c>
      <c r="H9990" t="str">
        <v>Orthographic</v>
      </c>
      <c r="I9990" t="str">
        <v>Puck (2015) - Sphere / Ocentric / Orthographic, clon = 0</v>
      </c>
      <c r="J9990" t="str">
        <v>Not specified.</v>
      </c>
      <c r="K9990" s="11">
        <v>0</v>
      </c>
    </row>
    <row r="9991" spans="5:11" x14ac:dyDescent="0.35">
      <c r="E9991" s="9" t="str">
        <v>IAU_2015</v>
      </c>
      <c r="F9991" s="7" t="str">
        <v>71570</v>
      </c>
      <c r="G9991" t="str">
        <v>ProjectedCrs</v>
      </c>
      <c r="H9991" t="str">
        <v>Orthographic</v>
      </c>
      <c r="I9991" t="str">
        <v>Puck (2015) - Sphere / Ocentric / Orthographic, clon = 180</v>
      </c>
      <c r="J9991" t="str">
        <v>Not specified.</v>
      </c>
      <c r="K9991" s="11">
        <v>0</v>
      </c>
    </row>
    <row r="9992" spans="5:11" x14ac:dyDescent="0.35">
      <c r="E9992" s="9" t="str">
        <v>IAU_2015</v>
      </c>
      <c r="F9992" s="7" t="str">
        <v>71575</v>
      </c>
      <c r="G9992" t="str">
        <v>ProjectedCrs</v>
      </c>
      <c r="H9992" t="str">
        <v>Lambert Conic Conformal (2SP)</v>
      </c>
      <c r="I9992" t="str">
        <v>Puck (2015) - Sphere / Ocentric / Lambert Conic Conformal</v>
      </c>
      <c r="J9992" t="str">
        <v>Not specified.</v>
      </c>
      <c r="K9992" s="11">
        <v>0</v>
      </c>
    </row>
    <row r="9993" spans="5:11" x14ac:dyDescent="0.35">
      <c r="E9993" s="9" t="str">
        <v>IAU_2015</v>
      </c>
      <c r="F9993" s="7" t="str">
        <v>71580</v>
      </c>
      <c r="G9993" t="str">
        <v>ProjectedCrs</v>
      </c>
      <c r="H9993" t="str">
        <v>Lambert Azimuthal Equal Area</v>
      </c>
      <c r="I9993" t="str">
        <v>Puck (2015) - Sphere / Ocentric / Lambert Azimuthal Equal Area</v>
      </c>
      <c r="J9993" t="str">
        <v>Not specified.</v>
      </c>
      <c r="K9993" s="11">
        <v>0</v>
      </c>
    </row>
    <row r="9994" spans="5:11" x14ac:dyDescent="0.35">
      <c r="E9994" s="9" t="str">
        <v>IAU_2015</v>
      </c>
      <c r="F9994" s="7" t="str">
        <v>71585</v>
      </c>
      <c r="G9994" t="str">
        <v>ProjectedCrs</v>
      </c>
      <c r="H9994" t="str">
        <v>Albers Equal Area</v>
      </c>
      <c r="I9994" t="str">
        <v>Puck (2015) - Sphere / Ocentric / Albers Equal Area</v>
      </c>
      <c r="J9994" t="str">
        <v>Not specified.</v>
      </c>
      <c r="K9994" s="11">
        <v>0</v>
      </c>
    </row>
    <row r="9995" spans="5:11" x14ac:dyDescent="0.35">
      <c r="E9995" s="9" t="str">
        <v>IAU_2015</v>
      </c>
      <c r="F9995" s="7" t="str">
        <v>71590</v>
      </c>
      <c r="G9995" t="str">
        <v>ProjectedCrs</v>
      </c>
      <c r="H9995" t="str">
        <v>Mercator (Spherical)</v>
      </c>
      <c r="I9995" t="str">
        <v>Puck (2015) - Sphere / Ocentric / Mercator</v>
      </c>
      <c r="J9995" t="str">
        <v>Not specified.</v>
      </c>
      <c r="K9995" s="11">
        <v>0</v>
      </c>
    </row>
    <row r="9996" spans="5:11" x14ac:dyDescent="0.35">
      <c r="E9996" s="9" t="str">
        <v>IAU_2015</v>
      </c>
      <c r="F9996" s="7" t="str">
        <v>79900</v>
      </c>
      <c r="G9996" t="str">
        <v>Geographic2DCrs</v>
      </c>
      <c r="H9996" t="str">
        <v>&lt;undefined&gt;</v>
      </c>
      <c r="I9996" t="str">
        <v>Uranus (2015) - Sphere / Ocentric</v>
      </c>
      <c r="J9996" t="str">
        <v>Not specified.</v>
      </c>
      <c r="K9996" s="11">
        <v>0</v>
      </c>
    </row>
    <row r="9997" spans="5:11" x14ac:dyDescent="0.35">
      <c r="E9997" s="9" t="str">
        <v>IAU_2015</v>
      </c>
      <c r="F9997" s="7" t="str">
        <v>79901</v>
      </c>
      <c r="G9997" t="str">
        <v>Geographic2DCrs</v>
      </c>
      <c r="H9997" t="str">
        <v>&lt;undefined&gt;</v>
      </c>
      <c r="I9997" t="str">
        <v>Uranus (2015) / Ographic</v>
      </c>
      <c r="J9997" t="str">
        <v>Not specified.</v>
      </c>
      <c r="K9997" s="11">
        <v>0</v>
      </c>
    </row>
    <row r="9998" spans="5:11" x14ac:dyDescent="0.35">
      <c r="E9998" s="9" t="str">
        <v>IAU_2015</v>
      </c>
      <c r="F9998" s="7" t="str">
        <v>79902</v>
      </c>
      <c r="G9998" t="str">
        <v>GeodeticCrs</v>
      </c>
      <c r="H9998" t="str">
        <v>&lt;undefined&gt;</v>
      </c>
      <c r="I9998" t="str">
        <v>Uranus (2015) / Ocentric</v>
      </c>
      <c r="J9998" t="str">
        <v>Not specified.</v>
      </c>
      <c r="K9998" s="11">
        <v>0</v>
      </c>
    </row>
    <row r="9999" spans="5:11" x14ac:dyDescent="0.35">
      <c r="E9999" s="9" t="str">
        <v>IAU_2015</v>
      </c>
      <c r="F9999" s="7" t="str">
        <v>79910</v>
      </c>
      <c r="G9999" t="str">
        <v>ProjectedCrs</v>
      </c>
      <c r="H9999" t="str">
        <v>Equidistant Cylindrical</v>
      </c>
      <c r="I9999" t="str">
        <v>Uranus (2015) - Sphere / Ocentric / Equirectangular, clon = 0</v>
      </c>
      <c r="J9999" t="str">
        <v>Not specified.</v>
      </c>
      <c r="K9999" s="11">
        <v>0</v>
      </c>
    </row>
    <row r="10000" spans="5:11" x14ac:dyDescent="0.35">
      <c r="E10000" s="9" t="str">
        <v>IAU_2015</v>
      </c>
      <c r="F10000" s="7" t="str">
        <v>79911</v>
      </c>
      <c r="G10000" t="str">
        <v>ProjectedCrs</v>
      </c>
      <c r="H10000" t="str">
        <v>Equidistant Cylindrical</v>
      </c>
      <c r="I10000" t="str">
        <v>Uranus (2015) / Ographic / Equirectangular, clon = 0</v>
      </c>
      <c r="J10000" t="str">
        <v>Not specified.</v>
      </c>
      <c r="K10000" s="11">
        <v>0</v>
      </c>
    </row>
    <row r="10001" spans="5:11" x14ac:dyDescent="0.35">
      <c r="E10001" s="9" t="str">
        <v>IAU_2015</v>
      </c>
      <c r="F10001" s="7" t="str">
        <v>79915</v>
      </c>
      <c r="G10001" t="str">
        <v>ProjectedCrs</v>
      </c>
      <c r="H10001" t="str">
        <v>Equidistant Cylindrical</v>
      </c>
      <c r="I10001" t="str">
        <v>Uranus (2015) - Sphere / Ocentric / Equirectangular, clon = 180</v>
      </c>
      <c r="J10001" t="str">
        <v>Not specified.</v>
      </c>
      <c r="K10001" s="11">
        <v>0</v>
      </c>
    </row>
    <row r="10002" spans="5:11" x14ac:dyDescent="0.35">
      <c r="E10002" s="9" t="str">
        <v>IAU_2015</v>
      </c>
      <c r="F10002" s="7" t="str">
        <v>79916</v>
      </c>
      <c r="G10002" t="str">
        <v>ProjectedCrs</v>
      </c>
      <c r="H10002" t="str">
        <v>Equidistant Cylindrical</v>
      </c>
      <c r="I10002" t="str">
        <v>Uranus (2015) / Ographic / Equirectangular, clon = 180</v>
      </c>
      <c r="J10002" t="str">
        <v>Not specified.</v>
      </c>
      <c r="K10002" s="11">
        <v>0</v>
      </c>
    </row>
    <row r="10003" spans="5:11" x14ac:dyDescent="0.35">
      <c r="E10003" s="9" t="str">
        <v>IAU_2015</v>
      </c>
      <c r="F10003" s="7" t="str">
        <v>79920</v>
      </c>
      <c r="G10003" t="str">
        <v>ProjectedCrs</v>
      </c>
      <c r="H10003" t="str">
        <v>Sinusoidal</v>
      </c>
      <c r="I10003" t="str">
        <v>Uranus (2015) - Sphere / Ocentric / Sinusoidal, clon = 0</v>
      </c>
      <c r="J10003" t="str">
        <v>Not specified.</v>
      </c>
      <c r="K10003" s="11">
        <v>0</v>
      </c>
    </row>
    <row r="10004" spans="5:11" x14ac:dyDescent="0.35">
      <c r="E10004" s="9" t="str">
        <v>IAU_2015</v>
      </c>
      <c r="F10004" s="7" t="str">
        <v>79921</v>
      </c>
      <c r="G10004" t="str">
        <v>ProjectedCrs</v>
      </c>
      <c r="H10004" t="str">
        <v>Sinusoidal</v>
      </c>
      <c r="I10004" t="str">
        <v>Uranus (2015) / Ographic / Sinusoidal, clon = 0</v>
      </c>
      <c r="J10004" t="str">
        <v>Not specified.</v>
      </c>
      <c r="K10004" s="11">
        <v>0</v>
      </c>
    </row>
    <row r="10005" spans="5:11" x14ac:dyDescent="0.35">
      <c r="E10005" s="9" t="str">
        <v>IAU_2015</v>
      </c>
      <c r="F10005" s="7" t="str">
        <v>79925</v>
      </c>
      <c r="G10005" t="str">
        <v>ProjectedCrs</v>
      </c>
      <c r="H10005" t="str">
        <v>Sinusoidal</v>
      </c>
      <c r="I10005" t="str">
        <v>Uranus (2015) - Sphere / Ocentric / Sinusoidal, clon = 180</v>
      </c>
      <c r="J10005" t="str">
        <v>Not specified.</v>
      </c>
      <c r="K10005" s="11">
        <v>0</v>
      </c>
    </row>
    <row r="10006" spans="5:11" x14ac:dyDescent="0.35">
      <c r="E10006" s="9" t="str">
        <v>IAU_2015</v>
      </c>
      <c r="F10006" s="7" t="str">
        <v>79926</v>
      </c>
      <c r="G10006" t="str">
        <v>ProjectedCrs</v>
      </c>
      <c r="H10006" t="str">
        <v>Sinusoidal</v>
      </c>
      <c r="I10006" t="str">
        <v>Uranus (2015) / Ographic / Sinusoidal, clon = 180</v>
      </c>
      <c r="J10006" t="str">
        <v>Not specified.</v>
      </c>
      <c r="K10006" s="11">
        <v>0</v>
      </c>
    </row>
    <row r="10007" spans="5:11" x14ac:dyDescent="0.35">
      <c r="E10007" s="9" t="str">
        <v>IAU_2015</v>
      </c>
      <c r="F10007" s="7" t="str">
        <v>79930</v>
      </c>
      <c r="G10007" t="str">
        <v>ProjectedCrs</v>
      </c>
      <c r="H10007" t="str">
        <v>Polar Stereographic (variant A)</v>
      </c>
      <c r="I10007" t="str">
        <v>Uranus (2015) - Sphere / Ocentric / North Polar</v>
      </c>
      <c r="J10007" t="str">
        <v>Not specified.</v>
      </c>
      <c r="K10007" s="11">
        <v>0</v>
      </c>
    </row>
    <row r="10008" spans="5:11" x14ac:dyDescent="0.35">
      <c r="E10008" s="9" t="str">
        <v>IAU_2015</v>
      </c>
      <c r="F10008" s="7" t="str">
        <v>79931</v>
      </c>
      <c r="G10008" t="str">
        <v>ProjectedCrs</v>
      </c>
      <c r="H10008" t="str">
        <v>Polar Stereographic (variant A)</v>
      </c>
      <c r="I10008" t="str">
        <v>Uranus (2015) / Ographic / North Polar</v>
      </c>
      <c r="J10008" t="str">
        <v>Not specified.</v>
      </c>
      <c r="K10008" s="11">
        <v>0</v>
      </c>
    </row>
    <row r="10009" spans="5:11" x14ac:dyDescent="0.35">
      <c r="E10009" s="9" t="str">
        <v>IAU_2015</v>
      </c>
      <c r="F10009" s="7" t="str">
        <v>79935</v>
      </c>
      <c r="G10009" t="str">
        <v>ProjectedCrs</v>
      </c>
      <c r="H10009" t="str">
        <v>Polar Stereographic (variant A)</v>
      </c>
      <c r="I10009" t="str">
        <v>Uranus (2015) - Sphere / Ocentric / South Polar</v>
      </c>
      <c r="J10009" t="str">
        <v>Not specified.</v>
      </c>
      <c r="K10009" s="11">
        <v>0</v>
      </c>
    </row>
    <row r="10010" spans="5:11" x14ac:dyDescent="0.35">
      <c r="E10010" s="9" t="str">
        <v>IAU_2015</v>
      </c>
      <c r="F10010" s="7" t="str">
        <v>79936</v>
      </c>
      <c r="G10010" t="str">
        <v>ProjectedCrs</v>
      </c>
      <c r="H10010" t="str">
        <v>Polar Stereographic (variant A)</v>
      </c>
      <c r="I10010" t="str">
        <v>Uranus (2015) / Ographic / South Polar</v>
      </c>
      <c r="J10010" t="str">
        <v>Not specified.</v>
      </c>
      <c r="K10010" s="11">
        <v>0</v>
      </c>
    </row>
    <row r="10011" spans="5:11" x14ac:dyDescent="0.35">
      <c r="E10011" s="9" t="str">
        <v>IAU_2015</v>
      </c>
      <c r="F10011" s="7" t="str">
        <v>79940</v>
      </c>
      <c r="G10011" t="str">
        <v>ProjectedCrs</v>
      </c>
      <c r="H10011" t="str">
        <v>Mollweide</v>
      </c>
      <c r="I10011" t="str">
        <v>Uranus (2015) - Sphere / Ocentric / Mollweide, clon = 0</v>
      </c>
      <c r="J10011" t="str">
        <v>Not specified.</v>
      </c>
      <c r="K10011" s="11">
        <v>0</v>
      </c>
    </row>
    <row r="10012" spans="5:11" x14ac:dyDescent="0.35">
      <c r="E10012" s="9" t="str">
        <v>IAU_2015</v>
      </c>
      <c r="F10012" s="7" t="str">
        <v>79941</v>
      </c>
      <c r="G10012" t="str">
        <v>ProjectedCrs</v>
      </c>
      <c r="H10012" t="str">
        <v>Mollweide</v>
      </c>
      <c r="I10012" t="str">
        <v>Uranus (2015) / Ographic / Mollweide, clon = 0</v>
      </c>
      <c r="J10012" t="str">
        <v>Not specified.</v>
      </c>
      <c r="K10012" s="11">
        <v>0</v>
      </c>
    </row>
    <row r="10013" spans="5:11" x14ac:dyDescent="0.35">
      <c r="E10013" s="9" t="str">
        <v>IAU_2015</v>
      </c>
      <c r="F10013" s="7" t="str">
        <v>79945</v>
      </c>
      <c r="G10013" t="str">
        <v>ProjectedCrs</v>
      </c>
      <c r="H10013" t="str">
        <v>Mollweide</v>
      </c>
      <c r="I10013" t="str">
        <v>Uranus (2015) - Sphere / Ocentric / Mollweide, clon = 180</v>
      </c>
      <c r="J10013" t="str">
        <v>Not specified.</v>
      </c>
      <c r="K10013" s="11">
        <v>0</v>
      </c>
    </row>
    <row r="10014" spans="5:11" x14ac:dyDescent="0.35">
      <c r="E10014" s="9" t="str">
        <v>IAU_2015</v>
      </c>
      <c r="F10014" s="7" t="str">
        <v>79946</v>
      </c>
      <c r="G10014" t="str">
        <v>ProjectedCrs</v>
      </c>
      <c r="H10014" t="str">
        <v>Mollweide</v>
      </c>
      <c r="I10014" t="str">
        <v>Uranus (2015) / Ographic / Mollweide, clon = 180</v>
      </c>
      <c r="J10014" t="str">
        <v>Not specified.</v>
      </c>
      <c r="K10014" s="11">
        <v>0</v>
      </c>
    </row>
    <row r="10015" spans="5:11" x14ac:dyDescent="0.35">
      <c r="E10015" s="9" t="str">
        <v>IAU_2015</v>
      </c>
      <c r="F10015" s="7" t="str">
        <v>79950</v>
      </c>
      <c r="G10015" t="str">
        <v>ProjectedCrs</v>
      </c>
      <c r="H10015" t="str">
        <v>Robinson</v>
      </c>
      <c r="I10015" t="str">
        <v>Uranus (2015) - Sphere / Ocentric / Robinson, clon = 0</v>
      </c>
      <c r="J10015" t="str">
        <v>Not specified.</v>
      </c>
      <c r="K10015" s="11">
        <v>0</v>
      </c>
    </row>
    <row r="10016" spans="5:11" x14ac:dyDescent="0.35">
      <c r="E10016" s="9" t="str">
        <v>IAU_2015</v>
      </c>
      <c r="F10016" s="7" t="str">
        <v>79951</v>
      </c>
      <c r="G10016" t="str">
        <v>ProjectedCrs</v>
      </c>
      <c r="H10016" t="str">
        <v>Robinson</v>
      </c>
      <c r="I10016" t="str">
        <v>Uranus (2015) / Ographic / Robinson, clon = 0</v>
      </c>
      <c r="J10016" t="str">
        <v>Not specified.</v>
      </c>
      <c r="K10016" s="11">
        <v>0</v>
      </c>
    </row>
    <row r="10017" spans="5:11" x14ac:dyDescent="0.35">
      <c r="E10017" s="9" t="str">
        <v>IAU_2015</v>
      </c>
      <c r="F10017" s="7" t="str">
        <v>79955</v>
      </c>
      <c r="G10017" t="str">
        <v>ProjectedCrs</v>
      </c>
      <c r="H10017" t="str">
        <v>Robinson</v>
      </c>
      <c r="I10017" t="str">
        <v>Uranus (2015) - Sphere / Ocentric / Robinson, clon = 180</v>
      </c>
      <c r="J10017" t="str">
        <v>Not specified.</v>
      </c>
      <c r="K10017" s="11">
        <v>0</v>
      </c>
    </row>
    <row r="10018" spans="5:11" x14ac:dyDescent="0.35">
      <c r="E10018" s="9" t="str">
        <v>IAU_2015</v>
      </c>
      <c r="F10018" s="7" t="str">
        <v>79956</v>
      </c>
      <c r="G10018" t="str">
        <v>ProjectedCrs</v>
      </c>
      <c r="H10018" t="str">
        <v>Robinson</v>
      </c>
      <c r="I10018" t="str">
        <v>Uranus (2015) / Ographic / Robinson, clon = 180</v>
      </c>
      <c r="J10018" t="str">
        <v>Not specified.</v>
      </c>
      <c r="K10018" s="11">
        <v>0</v>
      </c>
    </row>
    <row r="10019" spans="5:11" x14ac:dyDescent="0.35">
      <c r="E10019" s="9" t="str">
        <v>IAU_2015</v>
      </c>
      <c r="F10019" s="7" t="str">
        <v>79960</v>
      </c>
      <c r="G10019" t="str">
        <v>ProjectedCrs</v>
      </c>
      <c r="H10019" t="str">
        <v>Transverse Mercator</v>
      </c>
      <c r="I10019" t="str">
        <v>Uranus (2015) - Sphere / Ocentric / Tranverse Mercator</v>
      </c>
      <c r="J10019" t="str">
        <v>Not specified.</v>
      </c>
      <c r="K10019" s="11">
        <v>0</v>
      </c>
    </row>
    <row r="10020" spans="5:11" x14ac:dyDescent="0.35">
      <c r="E10020" s="9" t="str">
        <v>IAU_2015</v>
      </c>
      <c r="F10020" s="7" t="str">
        <v>79961</v>
      </c>
      <c r="G10020" t="str">
        <v>ProjectedCrs</v>
      </c>
      <c r="H10020" t="str">
        <v>Transverse Mercator</v>
      </c>
      <c r="I10020" t="str">
        <v>Uranus (2015) / Ographic / Tranverse Mercator</v>
      </c>
      <c r="J10020" t="str">
        <v>Not specified.</v>
      </c>
      <c r="K10020" s="11">
        <v>0</v>
      </c>
    </row>
    <row r="10021" spans="5:11" x14ac:dyDescent="0.35">
      <c r="E10021" s="9" t="str">
        <v>IAU_2015</v>
      </c>
      <c r="F10021" s="7" t="str">
        <v>79965</v>
      </c>
      <c r="G10021" t="str">
        <v>ProjectedCrs</v>
      </c>
      <c r="H10021" t="str">
        <v>Orthographic</v>
      </c>
      <c r="I10021" t="str">
        <v>Uranus (2015) - Sphere / Ocentric / Orthographic, clon = 0</v>
      </c>
      <c r="J10021" t="str">
        <v>Not specified.</v>
      </c>
      <c r="K10021" s="11">
        <v>0</v>
      </c>
    </row>
    <row r="10022" spans="5:11" x14ac:dyDescent="0.35">
      <c r="E10022" s="9" t="str">
        <v>IAU_2015</v>
      </c>
      <c r="F10022" s="7" t="str">
        <v>79966</v>
      </c>
      <c r="G10022" t="str">
        <v>ProjectedCrs</v>
      </c>
      <c r="H10022" t="str">
        <v>Orthographic</v>
      </c>
      <c r="I10022" t="str">
        <v>Uranus (2015) / Ographic / Orthographic, clon = 0</v>
      </c>
      <c r="J10022" t="str">
        <v>Not specified.</v>
      </c>
      <c r="K10022" s="11">
        <v>0</v>
      </c>
    </row>
    <row r="10023" spans="5:11" x14ac:dyDescent="0.35">
      <c r="E10023" s="9" t="str">
        <v>IAU_2015</v>
      </c>
      <c r="F10023" s="7" t="str">
        <v>79970</v>
      </c>
      <c r="G10023" t="str">
        <v>ProjectedCrs</v>
      </c>
      <c r="H10023" t="str">
        <v>Orthographic</v>
      </c>
      <c r="I10023" t="str">
        <v>Uranus (2015) - Sphere / Ocentric / Orthographic, clon = 180</v>
      </c>
      <c r="J10023" t="str">
        <v>Not specified.</v>
      </c>
      <c r="K10023" s="11">
        <v>0</v>
      </c>
    </row>
    <row r="10024" spans="5:11" x14ac:dyDescent="0.35">
      <c r="E10024" s="9" t="str">
        <v>IAU_2015</v>
      </c>
      <c r="F10024" s="7" t="str">
        <v>79971</v>
      </c>
      <c r="G10024" t="str">
        <v>ProjectedCrs</v>
      </c>
      <c r="H10024" t="str">
        <v>Orthographic</v>
      </c>
      <c r="I10024" t="str">
        <v>Uranus (2015) / Ographic / Orthographic, clon = 180</v>
      </c>
      <c r="J10024" t="str">
        <v>Not specified.</v>
      </c>
      <c r="K10024" s="11">
        <v>0</v>
      </c>
    </row>
    <row r="10025" spans="5:11" x14ac:dyDescent="0.35">
      <c r="E10025" s="9" t="str">
        <v>IAU_2015</v>
      </c>
      <c r="F10025" s="7" t="str">
        <v>79975</v>
      </c>
      <c r="G10025" t="str">
        <v>ProjectedCrs</v>
      </c>
      <c r="H10025" t="str">
        <v>Lambert Conic Conformal (2SP)</v>
      </c>
      <c r="I10025" t="str">
        <v>Uranus (2015) - Sphere / Ocentric / Lambert Conic Conformal</v>
      </c>
      <c r="J10025" t="str">
        <v>Not specified.</v>
      </c>
      <c r="K10025" s="11">
        <v>0</v>
      </c>
    </row>
    <row r="10026" spans="5:11" x14ac:dyDescent="0.35">
      <c r="E10026" s="9" t="str">
        <v>IAU_2015</v>
      </c>
      <c r="F10026" s="7" t="str">
        <v>79976</v>
      </c>
      <c r="G10026" t="str">
        <v>ProjectedCrs</v>
      </c>
      <c r="H10026" t="str">
        <v>Lambert Conic Conformal (2SP)</v>
      </c>
      <c r="I10026" t="str">
        <v>Uranus (2015) / Ographic / Lambert Conic Conformal</v>
      </c>
      <c r="J10026" t="str">
        <v>Not specified.</v>
      </c>
      <c r="K10026" s="11">
        <v>0</v>
      </c>
    </row>
    <row r="10027" spans="5:11" x14ac:dyDescent="0.35">
      <c r="E10027" s="9" t="str">
        <v>IAU_2015</v>
      </c>
      <c r="F10027" s="7" t="str">
        <v>79980</v>
      </c>
      <c r="G10027" t="str">
        <v>ProjectedCrs</v>
      </c>
      <c r="H10027" t="str">
        <v>Lambert Azimuthal Equal Area</v>
      </c>
      <c r="I10027" t="str">
        <v>Uranus (2015) - Sphere / Ocentric / Lambert Azimuthal Equal Area</v>
      </c>
      <c r="J10027" t="str">
        <v>Not specified.</v>
      </c>
      <c r="K10027" s="11">
        <v>0</v>
      </c>
    </row>
    <row r="10028" spans="5:11" x14ac:dyDescent="0.35">
      <c r="E10028" s="9" t="str">
        <v>IAU_2015</v>
      </c>
      <c r="F10028" s="7" t="str">
        <v>79981</v>
      </c>
      <c r="G10028" t="str">
        <v>ProjectedCrs</v>
      </c>
      <c r="H10028" t="str">
        <v>Lambert Azimuthal Equal Area</v>
      </c>
      <c r="I10028" t="str">
        <v>Uranus (2015) / Ographic / Lambert Azimuthal Equal Area</v>
      </c>
      <c r="J10028" t="str">
        <v>Not specified.</v>
      </c>
      <c r="K10028" s="11">
        <v>0</v>
      </c>
    </row>
    <row r="10029" spans="5:11" x14ac:dyDescent="0.35">
      <c r="E10029" s="9" t="str">
        <v>IAU_2015</v>
      </c>
      <c r="F10029" s="7" t="str">
        <v>79985</v>
      </c>
      <c r="G10029" t="str">
        <v>ProjectedCrs</v>
      </c>
      <c r="H10029" t="str">
        <v>Albers Equal Area</v>
      </c>
      <c r="I10029" t="str">
        <v>Uranus (2015) - Sphere / Ocentric / Albers Equal Area</v>
      </c>
      <c r="J10029" t="str">
        <v>Not specified.</v>
      </c>
      <c r="K10029" s="11">
        <v>0</v>
      </c>
    </row>
    <row r="10030" spans="5:11" x14ac:dyDescent="0.35">
      <c r="E10030" s="9" t="str">
        <v>IAU_2015</v>
      </c>
      <c r="F10030" s="7" t="str">
        <v>79986</v>
      </c>
      <c r="G10030" t="str">
        <v>ProjectedCrs</v>
      </c>
      <c r="H10030" t="str">
        <v>Albers Equal Area</v>
      </c>
      <c r="I10030" t="str">
        <v>Uranus (2015) / Ographic / Albers Equal Area</v>
      </c>
      <c r="J10030" t="str">
        <v>Not specified.</v>
      </c>
      <c r="K10030" s="11">
        <v>0</v>
      </c>
    </row>
    <row r="10031" spans="5:11" x14ac:dyDescent="0.35">
      <c r="E10031" s="9" t="str">
        <v>IAU_2015</v>
      </c>
      <c r="F10031" s="7" t="str">
        <v>79990</v>
      </c>
      <c r="G10031" t="str">
        <v>ProjectedCrs</v>
      </c>
      <c r="H10031" t="str">
        <v>Mercator (Spherical)</v>
      </c>
      <c r="I10031" t="str">
        <v>Uranus (2015) - Sphere / Ocentric / Mercator</v>
      </c>
      <c r="J10031" t="str">
        <v>Not specified.</v>
      </c>
      <c r="K10031" s="11">
        <v>0</v>
      </c>
    </row>
    <row r="10032" spans="5:11" x14ac:dyDescent="0.35">
      <c r="E10032" s="9" t="str">
        <v>IAU_2015</v>
      </c>
      <c r="F10032" s="7" t="str">
        <v>79991</v>
      </c>
      <c r="G10032" t="str">
        <v>ProjectedCrs</v>
      </c>
      <c r="H10032" t="str">
        <v>Mercator (Spherical)</v>
      </c>
      <c r="I10032" t="str">
        <v>Uranus (2015) / Ographic / Mercator</v>
      </c>
      <c r="J10032" t="str">
        <v>Not specified.</v>
      </c>
      <c r="K10032" s="11">
        <v>0</v>
      </c>
    </row>
    <row r="10033" spans="5:11" x14ac:dyDescent="0.35">
      <c r="E10033" s="9" t="str">
        <v>IAU_2015</v>
      </c>
      <c r="F10033" s="7" t="str">
        <v>80100</v>
      </c>
      <c r="G10033" t="str">
        <v>Geographic2DCrs</v>
      </c>
      <c r="H10033" t="str">
        <v>&lt;undefined&gt;</v>
      </c>
      <c r="I10033" t="str">
        <v>Triton (2015) - Sphere / Ocentric</v>
      </c>
      <c r="J10033" t="str">
        <v>Not specified.</v>
      </c>
      <c r="K10033" s="11">
        <v>0</v>
      </c>
    </row>
    <row r="10034" spans="5:11" x14ac:dyDescent="0.35">
      <c r="E10034" s="9" t="str">
        <v>IAU_2015</v>
      </c>
      <c r="F10034" s="7" t="str">
        <v>80110</v>
      </c>
      <c r="G10034" t="str">
        <v>ProjectedCrs</v>
      </c>
      <c r="H10034" t="str">
        <v>Equidistant Cylindrical</v>
      </c>
      <c r="I10034" t="str">
        <v>Triton (2015) - Sphere / Ocentric / Equirectangular, clon = 0</v>
      </c>
      <c r="J10034" t="str">
        <v>Not specified.</v>
      </c>
      <c r="K10034" s="11">
        <v>0</v>
      </c>
    </row>
    <row r="10035" spans="5:11" x14ac:dyDescent="0.35">
      <c r="E10035" s="9" t="str">
        <v>IAU_2015</v>
      </c>
      <c r="F10035" s="7" t="str">
        <v>80115</v>
      </c>
      <c r="G10035" t="str">
        <v>ProjectedCrs</v>
      </c>
      <c r="H10035" t="str">
        <v>Equidistant Cylindrical</v>
      </c>
      <c r="I10035" t="str">
        <v>Triton (2015) - Sphere / Ocentric / Equirectangular, clon = 180</v>
      </c>
      <c r="J10035" t="str">
        <v>Not specified.</v>
      </c>
      <c r="K10035" s="11">
        <v>0</v>
      </c>
    </row>
    <row r="10036" spans="5:11" x14ac:dyDescent="0.35">
      <c r="E10036" s="9" t="str">
        <v>IAU_2015</v>
      </c>
      <c r="F10036" s="7" t="str">
        <v>80120</v>
      </c>
      <c r="G10036" t="str">
        <v>ProjectedCrs</v>
      </c>
      <c r="H10036" t="str">
        <v>Sinusoidal</v>
      </c>
      <c r="I10036" t="str">
        <v>Triton (2015) - Sphere / Ocentric / Sinusoidal, clon = 0</v>
      </c>
      <c r="J10036" t="str">
        <v>Not specified.</v>
      </c>
      <c r="K10036" s="11">
        <v>0</v>
      </c>
    </row>
    <row r="10037" spans="5:11" x14ac:dyDescent="0.35">
      <c r="E10037" s="9" t="str">
        <v>IAU_2015</v>
      </c>
      <c r="F10037" s="7" t="str">
        <v>80125</v>
      </c>
      <c r="G10037" t="str">
        <v>ProjectedCrs</v>
      </c>
      <c r="H10037" t="str">
        <v>Sinusoidal</v>
      </c>
      <c r="I10037" t="str">
        <v>Triton (2015) - Sphere / Ocentric / Sinusoidal, clon = 180</v>
      </c>
      <c r="J10037" t="str">
        <v>Not specified.</v>
      </c>
      <c r="K10037" s="11">
        <v>0</v>
      </c>
    </row>
    <row r="10038" spans="5:11" x14ac:dyDescent="0.35">
      <c r="E10038" s="9" t="str">
        <v>IAU_2015</v>
      </c>
      <c r="F10038" s="7" t="str">
        <v>80130</v>
      </c>
      <c r="G10038" t="str">
        <v>ProjectedCrs</v>
      </c>
      <c r="H10038" t="str">
        <v>Polar Stereographic (variant A)</v>
      </c>
      <c r="I10038" t="str">
        <v>Triton (2015) - Sphere / Ocentric / North Polar</v>
      </c>
      <c r="J10038" t="str">
        <v>Not specified.</v>
      </c>
      <c r="K10038" s="11">
        <v>0</v>
      </c>
    </row>
    <row r="10039" spans="5:11" x14ac:dyDescent="0.35">
      <c r="E10039" s="9" t="str">
        <v>IAU_2015</v>
      </c>
      <c r="F10039" s="7" t="str">
        <v>80135</v>
      </c>
      <c r="G10039" t="str">
        <v>ProjectedCrs</v>
      </c>
      <c r="H10039" t="str">
        <v>Polar Stereographic (variant A)</v>
      </c>
      <c r="I10039" t="str">
        <v>Triton (2015) - Sphere / Ocentric / South Polar</v>
      </c>
      <c r="J10039" t="str">
        <v>Not specified.</v>
      </c>
      <c r="K10039" s="11">
        <v>0</v>
      </c>
    </row>
    <row r="10040" spans="5:11" x14ac:dyDescent="0.35">
      <c r="E10040" s="9" t="str">
        <v>IAU_2015</v>
      </c>
      <c r="F10040" s="7" t="str">
        <v>80140</v>
      </c>
      <c r="G10040" t="str">
        <v>ProjectedCrs</v>
      </c>
      <c r="H10040" t="str">
        <v>Mollweide</v>
      </c>
      <c r="I10040" t="str">
        <v>Triton (2015) - Sphere / Ocentric / Mollweide, clon = 0</v>
      </c>
      <c r="J10040" t="str">
        <v>Not specified.</v>
      </c>
      <c r="K10040" s="11">
        <v>0</v>
      </c>
    </row>
    <row r="10041" spans="5:11" x14ac:dyDescent="0.35">
      <c r="E10041" s="9" t="str">
        <v>IAU_2015</v>
      </c>
      <c r="F10041" s="7" t="str">
        <v>80145</v>
      </c>
      <c r="G10041" t="str">
        <v>ProjectedCrs</v>
      </c>
      <c r="H10041" t="str">
        <v>Mollweide</v>
      </c>
      <c r="I10041" t="str">
        <v>Triton (2015) - Sphere / Ocentric / Mollweide, clon = 180</v>
      </c>
      <c r="J10041" t="str">
        <v>Not specified.</v>
      </c>
      <c r="K10041" s="11">
        <v>0</v>
      </c>
    </row>
    <row r="10042" spans="5:11" x14ac:dyDescent="0.35">
      <c r="E10042" s="9" t="str">
        <v>IAU_2015</v>
      </c>
      <c r="F10042" s="7" t="str">
        <v>80150</v>
      </c>
      <c r="G10042" t="str">
        <v>ProjectedCrs</v>
      </c>
      <c r="H10042" t="str">
        <v>Robinson</v>
      </c>
      <c r="I10042" t="str">
        <v>Triton (2015) - Sphere / Ocentric / Robinson, clon = 0</v>
      </c>
      <c r="J10042" t="str">
        <v>Not specified.</v>
      </c>
      <c r="K10042" s="11">
        <v>0</v>
      </c>
    </row>
    <row r="10043" spans="5:11" x14ac:dyDescent="0.35">
      <c r="E10043" s="9" t="str">
        <v>IAU_2015</v>
      </c>
      <c r="F10043" s="7" t="str">
        <v>80155</v>
      </c>
      <c r="G10043" t="str">
        <v>ProjectedCrs</v>
      </c>
      <c r="H10043" t="str">
        <v>Robinson</v>
      </c>
      <c r="I10043" t="str">
        <v>Triton (2015) - Sphere / Ocentric / Robinson, clon = 180</v>
      </c>
      <c r="J10043" t="str">
        <v>Not specified.</v>
      </c>
      <c r="K10043" s="11">
        <v>0</v>
      </c>
    </row>
    <row r="10044" spans="5:11" x14ac:dyDescent="0.35">
      <c r="E10044" s="9" t="str">
        <v>IAU_2015</v>
      </c>
      <c r="F10044" s="7" t="str">
        <v>80160</v>
      </c>
      <c r="G10044" t="str">
        <v>ProjectedCrs</v>
      </c>
      <c r="H10044" t="str">
        <v>Transverse Mercator</v>
      </c>
      <c r="I10044" t="str">
        <v>Triton (2015) - Sphere / Ocentric / Tranverse Mercator</v>
      </c>
      <c r="J10044" t="str">
        <v>Not specified.</v>
      </c>
      <c r="K10044" s="11">
        <v>0</v>
      </c>
    </row>
    <row r="10045" spans="5:11" x14ac:dyDescent="0.35">
      <c r="E10045" s="9" t="str">
        <v>IAU_2015</v>
      </c>
      <c r="F10045" s="7" t="str">
        <v>80165</v>
      </c>
      <c r="G10045" t="str">
        <v>ProjectedCrs</v>
      </c>
      <c r="H10045" t="str">
        <v>Orthographic</v>
      </c>
      <c r="I10045" t="str">
        <v>Triton (2015) - Sphere / Ocentric / Orthographic, clon = 0</v>
      </c>
      <c r="J10045" t="str">
        <v>Not specified.</v>
      </c>
      <c r="K10045" s="11">
        <v>0</v>
      </c>
    </row>
    <row r="10046" spans="5:11" x14ac:dyDescent="0.35">
      <c r="E10046" s="9" t="str">
        <v>IAU_2015</v>
      </c>
      <c r="F10046" s="7" t="str">
        <v>80170</v>
      </c>
      <c r="G10046" t="str">
        <v>ProjectedCrs</v>
      </c>
      <c r="H10046" t="str">
        <v>Orthographic</v>
      </c>
      <c r="I10046" t="str">
        <v>Triton (2015) - Sphere / Ocentric / Orthographic, clon = 180</v>
      </c>
      <c r="J10046" t="str">
        <v>Not specified.</v>
      </c>
      <c r="K10046" s="11">
        <v>0</v>
      </c>
    </row>
    <row r="10047" spans="5:11" x14ac:dyDescent="0.35">
      <c r="E10047" s="9" t="str">
        <v>IAU_2015</v>
      </c>
      <c r="F10047" s="7" t="str">
        <v>80175</v>
      </c>
      <c r="G10047" t="str">
        <v>ProjectedCrs</v>
      </c>
      <c r="H10047" t="str">
        <v>Lambert Conic Conformal (2SP)</v>
      </c>
      <c r="I10047" t="str">
        <v>Triton (2015) - Sphere / Ocentric / Lambert Conic Conformal</v>
      </c>
      <c r="J10047" t="str">
        <v>Not specified.</v>
      </c>
      <c r="K10047" s="11">
        <v>0</v>
      </c>
    </row>
    <row r="10048" spans="5:11" x14ac:dyDescent="0.35">
      <c r="E10048" s="9" t="str">
        <v>IAU_2015</v>
      </c>
      <c r="F10048" s="7" t="str">
        <v>80180</v>
      </c>
      <c r="G10048" t="str">
        <v>ProjectedCrs</v>
      </c>
      <c r="H10048" t="str">
        <v>Lambert Azimuthal Equal Area</v>
      </c>
      <c r="I10048" t="str">
        <v>Triton (2015) - Sphere / Ocentric / Lambert Azimuthal Equal Area</v>
      </c>
      <c r="J10048" t="str">
        <v>Not specified.</v>
      </c>
      <c r="K10048" s="11">
        <v>0</v>
      </c>
    </row>
    <row r="10049" spans="5:11" x14ac:dyDescent="0.35">
      <c r="E10049" s="9" t="str">
        <v>IAU_2015</v>
      </c>
      <c r="F10049" s="7" t="str">
        <v>80185</v>
      </c>
      <c r="G10049" t="str">
        <v>ProjectedCrs</v>
      </c>
      <c r="H10049" t="str">
        <v>Albers Equal Area</v>
      </c>
      <c r="I10049" t="str">
        <v>Triton (2015) - Sphere / Ocentric / Albers Equal Area</v>
      </c>
      <c r="J10049" t="str">
        <v>Not specified.</v>
      </c>
      <c r="K10049" s="11">
        <v>0</v>
      </c>
    </row>
    <row r="10050" spans="5:11" x14ac:dyDescent="0.35">
      <c r="E10050" s="9" t="str">
        <v>IAU_2015</v>
      </c>
      <c r="F10050" s="7" t="str">
        <v>80190</v>
      </c>
      <c r="G10050" t="str">
        <v>ProjectedCrs</v>
      </c>
      <c r="H10050" t="str">
        <v>Mercator (Spherical)</v>
      </c>
      <c r="I10050" t="str">
        <v>Triton (2015) - Sphere / Ocentric / Mercator</v>
      </c>
      <c r="J10050" t="str">
        <v>Not specified.</v>
      </c>
      <c r="K10050" s="11">
        <v>0</v>
      </c>
    </row>
    <row r="10051" spans="5:11" x14ac:dyDescent="0.35">
      <c r="E10051" s="9" t="str">
        <v>IAU_2015</v>
      </c>
      <c r="F10051" s="7" t="str">
        <v>80200</v>
      </c>
      <c r="G10051" t="str">
        <v>Geographic2DCrs</v>
      </c>
      <c r="H10051" t="str">
        <v>&lt;undefined&gt;</v>
      </c>
      <c r="I10051" t="str">
        <v>Nereid (2015) - Sphere / Ocentric</v>
      </c>
      <c r="J10051" t="str">
        <v>Not specified.</v>
      </c>
      <c r="K10051" s="11">
        <v>0</v>
      </c>
    </row>
    <row r="10052" spans="5:11" x14ac:dyDescent="0.35">
      <c r="E10052" s="9" t="str">
        <v>IAU_2015</v>
      </c>
      <c r="F10052" s="7" t="str">
        <v>80210</v>
      </c>
      <c r="G10052" t="str">
        <v>ProjectedCrs</v>
      </c>
      <c r="H10052" t="str">
        <v>Equidistant Cylindrical</v>
      </c>
      <c r="I10052" t="str">
        <v>Nereid (2015) - Sphere / Ocentric / Equirectangular, clon = 0</v>
      </c>
      <c r="J10052" t="str">
        <v>Not specified.</v>
      </c>
      <c r="K10052" s="11">
        <v>0</v>
      </c>
    </row>
    <row r="10053" spans="5:11" x14ac:dyDescent="0.35">
      <c r="E10053" s="9" t="str">
        <v>IAU_2015</v>
      </c>
      <c r="F10053" s="7" t="str">
        <v>80215</v>
      </c>
      <c r="G10053" t="str">
        <v>ProjectedCrs</v>
      </c>
      <c r="H10053" t="str">
        <v>Equidistant Cylindrical</v>
      </c>
      <c r="I10053" t="str">
        <v>Nereid (2015) - Sphere / Ocentric / Equirectangular, clon = 180</v>
      </c>
      <c r="J10053" t="str">
        <v>Not specified.</v>
      </c>
      <c r="K10053" s="11">
        <v>0</v>
      </c>
    </row>
    <row r="10054" spans="5:11" x14ac:dyDescent="0.35">
      <c r="E10054" s="9" t="str">
        <v>IAU_2015</v>
      </c>
      <c r="F10054" s="7" t="str">
        <v>80220</v>
      </c>
      <c r="G10054" t="str">
        <v>ProjectedCrs</v>
      </c>
      <c r="H10054" t="str">
        <v>Sinusoidal</v>
      </c>
      <c r="I10054" t="str">
        <v>Nereid (2015) - Sphere / Ocentric / Sinusoidal, clon = 0</v>
      </c>
      <c r="J10054" t="str">
        <v>Not specified.</v>
      </c>
      <c r="K10054" s="11">
        <v>0</v>
      </c>
    </row>
    <row r="10055" spans="5:11" x14ac:dyDescent="0.35">
      <c r="E10055" s="9" t="str">
        <v>IAU_2015</v>
      </c>
      <c r="F10055" s="7" t="str">
        <v>80225</v>
      </c>
      <c r="G10055" t="str">
        <v>ProjectedCrs</v>
      </c>
      <c r="H10055" t="str">
        <v>Sinusoidal</v>
      </c>
      <c r="I10055" t="str">
        <v>Nereid (2015) - Sphere / Ocentric / Sinusoidal, clon = 180</v>
      </c>
      <c r="J10055" t="str">
        <v>Not specified.</v>
      </c>
      <c r="K10055" s="11">
        <v>0</v>
      </c>
    </row>
    <row r="10056" spans="5:11" x14ac:dyDescent="0.35">
      <c r="E10056" s="9" t="str">
        <v>IAU_2015</v>
      </c>
      <c r="F10056" s="7" t="str">
        <v>80230</v>
      </c>
      <c r="G10056" t="str">
        <v>ProjectedCrs</v>
      </c>
      <c r="H10056" t="str">
        <v>Polar Stereographic (variant A)</v>
      </c>
      <c r="I10056" t="str">
        <v>Nereid (2015) - Sphere / Ocentric / North Polar</v>
      </c>
      <c r="J10056" t="str">
        <v>Not specified.</v>
      </c>
      <c r="K10056" s="11">
        <v>0</v>
      </c>
    </row>
    <row r="10057" spans="5:11" x14ac:dyDescent="0.35">
      <c r="E10057" s="9" t="str">
        <v>IAU_2015</v>
      </c>
      <c r="F10057" s="7" t="str">
        <v>80235</v>
      </c>
      <c r="G10057" t="str">
        <v>ProjectedCrs</v>
      </c>
      <c r="H10057" t="str">
        <v>Polar Stereographic (variant A)</v>
      </c>
      <c r="I10057" t="str">
        <v>Nereid (2015) - Sphere / Ocentric / South Polar</v>
      </c>
      <c r="J10057" t="str">
        <v>Not specified.</v>
      </c>
      <c r="K10057" s="11">
        <v>0</v>
      </c>
    </row>
    <row r="10058" spans="5:11" x14ac:dyDescent="0.35">
      <c r="E10058" s="9" t="str">
        <v>IAU_2015</v>
      </c>
      <c r="F10058" s="7" t="str">
        <v>80240</v>
      </c>
      <c r="G10058" t="str">
        <v>ProjectedCrs</v>
      </c>
      <c r="H10058" t="str">
        <v>Mollweide</v>
      </c>
      <c r="I10058" t="str">
        <v>Nereid (2015) - Sphere / Ocentric / Mollweide, clon = 0</v>
      </c>
      <c r="J10058" t="str">
        <v>Not specified.</v>
      </c>
      <c r="K10058" s="11">
        <v>0</v>
      </c>
    </row>
    <row r="10059" spans="5:11" x14ac:dyDescent="0.35">
      <c r="E10059" s="9" t="str">
        <v>IAU_2015</v>
      </c>
      <c r="F10059" s="7" t="str">
        <v>80245</v>
      </c>
      <c r="G10059" t="str">
        <v>ProjectedCrs</v>
      </c>
      <c r="H10059" t="str">
        <v>Mollweide</v>
      </c>
      <c r="I10059" t="str">
        <v>Nereid (2015) - Sphere / Ocentric / Mollweide, clon = 180</v>
      </c>
      <c r="J10059" t="str">
        <v>Not specified.</v>
      </c>
      <c r="K10059" s="11">
        <v>0</v>
      </c>
    </row>
    <row r="10060" spans="5:11" x14ac:dyDescent="0.35">
      <c r="E10060" s="9" t="str">
        <v>IAU_2015</v>
      </c>
      <c r="F10060" s="7" t="str">
        <v>80250</v>
      </c>
      <c r="G10060" t="str">
        <v>ProjectedCrs</v>
      </c>
      <c r="H10060" t="str">
        <v>Robinson</v>
      </c>
      <c r="I10060" t="str">
        <v>Nereid (2015) - Sphere / Ocentric / Robinson, clon = 0</v>
      </c>
      <c r="J10060" t="str">
        <v>Not specified.</v>
      </c>
      <c r="K10060" s="11">
        <v>0</v>
      </c>
    </row>
    <row r="10061" spans="5:11" x14ac:dyDescent="0.35">
      <c r="E10061" s="9" t="str">
        <v>IAU_2015</v>
      </c>
      <c r="F10061" s="7" t="str">
        <v>80255</v>
      </c>
      <c r="G10061" t="str">
        <v>ProjectedCrs</v>
      </c>
      <c r="H10061" t="str">
        <v>Robinson</v>
      </c>
      <c r="I10061" t="str">
        <v>Nereid (2015) - Sphere / Ocentric / Robinson, clon = 180</v>
      </c>
      <c r="J10061" t="str">
        <v>Not specified.</v>
      </c>
      <c r="K10061" s="11">
        <v>0</v>
      </c>
    </row>
    <row r="10062" spans="5:11" x14ac:dyDescent="0.35">
      <c r="E10062" s="9" t="str">
        <v>IAU_2015</v>
      </c>
      <c r="F10062" s="7" t="str">
        <v>80260</v>
      </c>
      <c r="G10062" t="str">
        <v>ProjectedCrs</v>
      </c>
      <c r="H10062" t="str">
        <v>Transverse Mercator</v>
      </c>
      <c r="I10062" t="str">
        <v>Nereid (2015) - Sphere / Ocentric / Tranverse Mercator</v>
      </c>
      <c r="J10062" t="str">
        <v>Not specified.</v>
      </c>
      <c r="K10062" s="11">
        <v>0</v>
      </c>
    </row>
    <row r="10063" spans="5:11" x14ac:dyDescent="0.35">
      <c r="E10063" s="9" t="str">
        <v>IAU_2015</v>
      </c>
      <c r="F10063" s="7" t="str">
        <v>80265</v>
      </c>
      <c r="G10063" t="str">
        <v>ProjectedCrs</v>
      </c>
      <c r="H10063" t="str">
        <v>Orthographic</v>
      </c>
      <c r="I10063" t="str">
        <v>Nereid (2015) - Sphere / Ocentric / Orthographic, clon = 0</v>
      </c>
      <c r="J10063" t="str">
        <v>Not specified.</v>
      </c>
      <c r="K10063" s="11">
        <v>0</v>
      </c>
    </row>
    <row r="10064" spans="5:11" x14ac:dyDescent="0.35">
      <c r="E10064" s="9" t="str">
        <v>IAU_2015</v>
      </c>
      <c r="F10064" s="7" t="str">
        <v>80270</v>
      </c>
      <c r="G10064" t="str">
        <v>ProjectedCrs</v>
      </c>
      <c r="H10064" t="str">
        <v>Orthographic</v>
      </c>
      <c r="I10064" t="str">
        <v>Nereid (2015) - Sphere / Ocentric / Orthographic, clon = 180</v>
      </c>
      <c r="J10064" t="str">
        <v>Not specified.</v>
      </c>
      <c r="K10064" s="11">
        <v>0</v>
      </c>
    </row>
    <row r="10065" spans="5:11" x14ac:dyDescent="0.35">
      <c r="E10065" s="9" t="str">
        <v>IAU_2015</v>
      </c>
      <c r="F10065" s="7" t="str">
        <v>80275</v>
      </c>
      <c r="G10065" t="str">
        <v>ProjectedCrs</v>
      </c>
      <c r="H10065" t="str">
        <v>Lambert Conic Conformal (2SP)</v>
      </c>
      <c r="I10065" t="str">
        <v>Nereid (2015) - Sphere / Ocentric / Lambert Conic Conformal</v>
      </c>
      <c r="J10065" t="str">
        <v>Not specified.</v>
      </c>
      <c r="K10065" s="11">
        <v>0</v>
      </c>
    </row>
    <row r="10066" spans="5:11" x14ac:dyDescent="0.35">
      <c r="E10066" s="9" t="str">
        <v>IAU_2015</v>
      </c>
      <c r="F10066" s="7" t="str">
        <v>80280</v>
      </c>
      <c r="G10066" t="str">
        <v>ProjectedCrs</v>
      </c>
      <c r="H10066" t="str">
        <v>Lambert Azimuthal Equal Area</v>
      </c>
      <c r="I10066" t="str">
        <v>Nereid (2015) - Sphere / Ocentric / Lambert Azimuthal Equal Area</v>
      </c>
      <c r="J10066" t="str">
        <v>Not specified.</v>
      </c>
      <c r="K10066" s="11">
        <v>0</v>
      </c>
    </row>
    <row r="10067" spans="5:11" x14ac:dyDescent="0.35">
      <c r="E10067" s="9" t="str">
        <v>IAU_2015</v>
      </c>
      <c r="F10067" s="7" t="str">
        <v>80285</v>
      </c>
      <c r="G10067" t="str">
        <v>ProjectedCrs</v>
      </c>
      <c r="H10067" t="str">
        <v>Albers Equal Area</v>
      </c>
      <c r="I10067" t="str">
        <v>Nereid (2015) - Sphere / Ocentric / Albers Equal Area</v>
      </c>
      <c r="J10067" t="str">
        <v>Not specified.</v>
      </c>
      <c r="K10067" s="11">
        <v>0</v>
      </c>
    </row>
    <row r="10068" spans="5:11" x14ac:dyDescent="0.35">
      <c r="E10068" s="9" t="str">
        <v>IAU_2015</v>
      </c>
      <c r="F10068" s="7" t="str">
        <v>80290</v>
      </c>
      <c r="G10068" t="str">
        <v>ProjectedCrs</v>
      </c>
      <c r="H10068" t="str">
        <v>Mercator (Spherical)</v>
      </c>
      <c r="I10068" t="str">
        <v>Nereid (2015) - Sphere / Ocentric / Mercator</v>
      </c>
      <c r="J10068" t="str">
        <v>Not specified.</v>
      </c>
      <c r="K10068" s="11">
        <v>0</v>
      </c>
    </row>
    <row r="10069" spans="5:11" x14ac:dyDescent="0.35">
      <c r="E10069" s="9" t="str">
        <v>IAU_2015</v>
      </c>
      <c r="F10069" s="7" t="str">
        <v>80300</v>
      </c>
      <c r="G10069" t="str">
        <v>Geographic2DCrs</v>
      </c>
      <c r="H10069" t="str">
        <v>&lt;undefined&gt;</v>
      </c>
      <c r="I10069" t="str">
        <v>Naiad (2015) - Sphere / Ocentric</v>
      </c>
      <c r="J10069" t="str">
        <v>Not specified.</v>
      </c>
      <c r="K10069" s="11">
        <v>0</v>
      </c>
    </row>
    <row r="10070" spans="5:11" x14ac:dyDescent="0.35">
      <c r="E10070" s="9" t="str">
        <v>IAU_2015</v>
      </c>
      <c r="F10070" s="7" t="str">
        <v>80301</v>
      </c>
      <c r="G10070" t="str">
        <v>Geographic2DCrs</v>
      </c>
      <c r="H10070" t="str">
        <v>&lt;undefined&gt;</v>
      </c>
      <c r="I10070" t="str">
        <v>Naiad (2015) / Ographic</v>
      </c>
      <c r="J10070" t="str">
        <v>Not specified.</v>
      </c>
      <c r="K10070" s="11">
        <v>0</v>
      </c>
    </row>
    <row r="10071" spans="5:11" x14ac:dyDescent="0.35">
      <c r="E10071" s="9" t="str">
        <v>IAU_2015</v>
      </c>
      <c r="F10071" s="7" t="str">
        <v>80310</v>
      </c>
      <c r="G10071" t="str">
        <v>ProjectedCrs</v>
      </c>
      <c r="H10071" t="str">
        <v>Equidistant Cylindrical</v>
      </c>
      <c r="I10071" t="str">
        <v>Naiad (2015) - Sphere / Ocentric / Equirectangular, clon = 0</v>
      </c>
      <c r="J10071" t="str">
        <v>Not specified.</v>
      </c>
      <c r="K10071" s="11">
        <v>0</v>
      </c>
    </row>
    <row r="10072" spans="5:11" x14ac:dyDescent="0.35">
      <c r="E10072" s="9" t="str">
        <v>IAU_2015</v>
      </c>
      <c r="F10072" s="7" t="str">
        <v>80311</v>
      </c>
      <c r="G10072" t="str">
        <v>ProjectedCrs</v>
      </c>
      <c r="H10072" t="str">
        <v>Equidistant Cylindrical</v>
      </c>
      <c r="I10072" t="str">
        <v>Naiad (2015) / Ographic / Equirectangular, clon = 0</v>
      </c>
      <c r="J10072" t="str">
        <v>Not specified.</v>
      </c>
      <c r="K10072" s="11">
        <v>0</v>
      </c>
    </row>
    <row r="10073" spans="5:11" x14ac:dyDescent="0.35">
      <c r="E10073" s="9" t="str">
        <v>IAU_2015</v>
      </c>
      <c r="F10073" s="7" t="str">
        <v>80315</v>
      </c>
      <c r="G10073" t="str">
        <v>ProjectedCrs</v>
      </c>
      <c r="H10073" t="str">
        <v>Equidistant Cylindrical</v>
      </c>
      <c r="I10073" t="str">
        <v>Naiad (2015) - Sphere / Ocentric / Equirectangular, clon = 180</v>
      </c>
      <c r="J10073" t="str">
        <v>Not specified.</v>
      </c>
      <c r="K10073" s="11">
        <v>0</v>
      </c>
    </row>
    <row r="10074" spans="5:11" x14ac:dyDescent="0.35">
      <c r="E10074" s="9" t="str">
        <v>IAU_2015</v>
      </c>
      <c r="F10074" s="7" t="str">
        <v>80316</v>
      </c>
      <c r="G10074" t="str">
        <v>ProjectedCrs</v>
      </c>
      <c r="H10074" t="str">
        <v>Equidistant Cylindrical</v>
      </c>
      <c r="I10074" t="str">
        <v>Naiad (2015) / Ographic / Equirectangular, clon = 180</v>
      </c>
      <c r="J10074" t="str">
        <v>Not specified.</v>
      </c>
      <c r="K10074" s="11">
        <v>0</v>
      </c>
    </row>
    <row r="10075" spans="5:11" x14ac:dyDescent="0.35">
      <c r="E10075" s="9" t="str">
        <v>IAU_2015</v>
      </c>
      <c r="F10075" s="7" t="str">
        <v>80320</v>
      </c>
      <c r="G10075" t="str">
        <v>ProjectedCrs</v>
      </c>
      <c r="H10075" t="str">
        <v>Sinusoidal</v>
      </c>
      <c r="I10075" t="str">
        <v>Naiad (2015) - Sphere / Ocentric / Sinusoidal, clon = 0</v>
      </c>
      <c r="J10075" t="str">
        <v>Not specified.</v>
      </c>
      <c r="K10075" s="11">
        <v>0</v>
      </c>
    </row>
    <row r="10076" spans="5:11" x14ac:dyDescent="0.35">
      <c r="E10076" s="9" t="str">
        <v>IAU_2015</v>
      </c>
      <c r="F10076" s="7" t="str">
        <v>80321</v>
      </c>
      <c r="G10076" t="str">
        <v>ProjectedCrs</v>
      </c>
      <c r="H10076" t="str">
        <v>Sinusoidal</v>
      </c>
      <c r="I10076" t="str">
        <v>Naiad (2015) / Ographic / Sinusoidal, clon = 0</v>
      </c>
      <c r="J10076" t="str">
        <v>Not specified.</v>
      </c>
      <c r="K10076" s="11">
        <v>0</v>
      </c>
    </row>
    <row r="10077" spans="5:11" x14ac:dyDescent="0.35">
      <c r="E10077" s="9" t="str">
        <v>IAU_2015</v>
      </c>
      <c r="F10077" s="7" t="str">
        <v>80325</v>
      </c>
      <c r="G10077" t="str">
        <v>ProjectedCrs</v>
      </c>
      <c r="H10077" t="str">
        <v>Sinusoidal</v>
      </c>
      <c r="I10077" t="str">
        <v>Naiad (2015) - Sphere / Ocentric / Sinusoidal, clon = 180</v>
      </c>
      <c r="J10077" t="str">
        <v>Not specified.</v>
      </c>
      <c r="K10077" s="11">
        <v>0</v>
      </c>
    </row>
    <row r="10078" spans="5:11" x14ac:dyDescent="0.35">
      <c r="E10078" s="9" t="str">
        <v>IAU_2015</v>
      </c>
      <c r="F10078" s="7" t="str">
        <v>80326</v>
      </c>
      <c r="G10078" t="str">
        <v>ProjectedCrs</v>
      </c>
      <c r="H10078" t="str">
        <v>Sinusoidal</v>
      </c>
      <c r="I10078" t="str">
        <v>Naiad (2015) / Ographic / Sinusoidal, clon = 180</v>
      </c>
      <c r="J10078" t="str">
        <v>Not specified.</v>
      </c>
      <c r="K10078" s="11">
        <v>0</v>
      </c>
    </row>
    <row r="10079" spans="5:11" x14ac:dyDescent="0.35">
      <c r="E10079" s="9" t="str">
        <v>IAU_2015</v>
      </c>
      <c r="F10079" s="7" t="str">
        <v>80330</v>
      </c>
      <c r="G10079" t="str">
        <v>ProjectedCrs</v>
      </c>
      <c r="H10079" t="str">
        <v>Polar Stereographic (variant A)</v>
      </c>
      <c r="I10079" t="str">
        <v>Naiad (2015) - Sphere / Ocentric / North Polar</v>
      </c>
      <c r="J10079" t="str">
        <v>Not specified.</v>
      </c>
      <c r="K10079" s="11">
        <v>0</v>
      </c>
    </row>
    <row r="10080" spans="5:11" x14ac:dyDescent="0.35">
      <c r="E10080" s="9" t="str">
        <v>IAU_2015</v>
      </c>
      <c r="F10080" s="7" t="str">
        <v>80331</v>
      </c>
      <c r="G10080" t="str">
        <v>ProjectedCrs</v>
      </c>
      <c r="H10080" t="str">
        <v>Polar Stereographic (variant A)</v>
      </c>
      <c r="I10080" t="str">
        <v>Naiad (2015) / Ographic / North Polar</v>
      </c>
      <c r="J10080" t="str">
        <v>Not specified.</v>
      </c>
      <c r="K10080" s="11">
        <v>0</v>
      </c>
    </row>
    <row r="10081" spans="5:11" x14ac:dyDescent="0.35">
      <c r="E10081" s="9" t="str">
        <v>IAU_2015</v>
      </c>
      <c r="F10081" s="7" t="str">
        <v>80335</v>
      </c>
      <c r="G10081" t="str">
        <v>ProjectedCrs</v>
      </c>
      <c r="H10081" t="str">
        <v>Polar Stereographic (variant A)</v>
      </c>
      <c r="I10081" t="str">
        <v>Naiad (2015) - Sphere / Ocentric / South Polar</v>
      </c>
      <c r="J10081" t="str">
        <v>Not specified.</v>
      </c>
      <c r="K10081" s="11">
        <v>0</v>
      </c>
    </row>
    <row r="10082" spans="5:11" x14ac:dyDescent="0.35">
      <c r="E10082" s="9" t="str">
        <v>IAU_2015</v>
      </c>
      <c r="F10082" s="7" t="str">
        <v>80336</v>
      </c>
      <c r="G10082" t="str">
        <v>ProjectedCrs</v>
      </c>
      <c r="H10082" t="str">
        <v>Polar Stereographic (variant A)</v>
      </c>
      <c r="I10082" t="str">
        <v>Naiad (2015) / Ographic / South Polar</v>
      </c>
      <c r="J10082" t="str">
        <v>Not specified.</v>
      </c>
      <c r="K10082" s="11">
        <v>0</v>
      </c>
    </row>
    <row r="10083" spans="5:11" x14ac:dyDescent="0.35">
      <c r="E10083" s="9" t="str">
        <v>IAU_2015</v>
      </c>
      <c r="F10083" s="7" t="str">
        <v>80340</v>
      </c>
      <c r="G10083" t="str">
        <v>ProjectedCrs</v>
      </c>
      <c r="H10083" t="str">
        <v>Mollweide</v>
      </c>
      <c r="I10083" t="str">
        <v>Naiad (2015) - Sphere / Ocentric / Mollweide, clon = 0</v>
      </c>
      <c r="J10083" t="str">
        <v>Not specified.</v>
      </c>
      <c r="K10083" s="11">
        <v>0</v>
      </c>
    </row>
    <row r="10084" spans="5:11" x14ac:dyDescent="0.35">
      <c r="E10084" s="9" t="str">
        <v>IAU_2015</v>
      </c>
      <c r="F10084" s="7" t="str">
        <v>80341</v>
      </c>
      <c r="G10084" t="str">
        <v>ProjectedCrs</v>
      </c>
      <c r="H10084" t="str">
        <v>Mollweide</v>
      </c>
      <c r="I10084" t="str">
        <v>Naiad (2015) / Ographic / Mollweide, clon = 0</v>
      </c>
      <c r="J10084" t="str">
        <v>Not specified.</v>
      </c>
      <c r="K10084" s="11">
        <v>0</v>
      </c>
    </row>
    <row r="10085" spans="5:11" x14ac:dyDescent="0.35">
      <c r="E10085" s="9" t="str">
        <v>IAU_2015</v>
      </c>
      <c r="F10085" s="7" t="str">
        <v>80345</v>
      </c>
      <c r="G10085" t="str">
        <v>ProjectedCrs</v>
      </c>
      <c r="H10085" t="str">
        <v>Mollweide</v>
      </c>
      <c r="I10085" t="str">
        <v>Naiad (2015) - Sphere / Ocentric / Mollweide, clon = 180</v>
      </c>
      <c r="J10085" t="str">
        <v>Not specified.</v>
      </c>
      <c r="K10085" s="11">
        <v>0</v>
      </c>
    </row>
    <row r="10086" spans="5:11" x14ac:dyDescent="0.35">
      <c r="E10086" s="9" t="str">
        <v>IAU_2015</v>
      </c>
      <c r="F10086" s="7" t="str">
        <v>80346</v>
      </c>
      <c r="G10086" t="str">
        <v>ProjectedCrs</v>
      </c>
      <c r="H10086" t="str">
        <v>Mollweide</v>
      </c>
      <c r="I10086" t="str">
        <v>Naiad (2015) / Ographic / Mollweide, clon = 180</v>
      </c>
      <c r="J10086" t="str">
        <v>Not specified.</v>
      </c>
      <c r="K10086" s="11">
        <v>0</v>
      </c>
    </row>
    <row r="10087" spans="5:11" x14ac:dyDescent="0.35">
      <c r="E10087" s="9" t="str">
        <v>IAU_2015</v>
      </c>
      <c r="F10087" s="7" t="str">
        <v>80350</v>
      </c>
      <c r="G10087" t="str">
        <v>ProjectedCrs</v>
      </c>
      <c r="H10087" t="str">
        <v>Robinson</v>
      </c>
      <c r="I10087" t="str">
        <v>Naiad (2015) - Sphere / Ocentric / Robinson, clon = 0</v>
      </c>
      <c r="J10087" t="str">
        <v>Not specified.</v>
      </c>
      <c r="K10087" s="11">
        <v>0</v>
      </c>
    </row>
    <row r="10088" spans="5:11" x14ac:dyDescent="0.35">
      <c r="E10088" s="9" t="str">
        <v>IAU_2015</v>
      </c>
      <c r="F10088" s="7" t="str">
        <v>80351</v>
      </c>
      <c r="G10088" t="str">
        <v>ProjectedCrs</v>
      </c>
      <c r="H10088" t="str">
        <v>Robinson</v>
      </c>
      <c r="I10088" t="str">
        <v>Naiad (2015) / Ographic / Robinson, clon = 0</v>
      </c>
      <c r="J10088" t="str">
        <v>Not specified.</v>
      </c>
      <c r="K10088" s="11">
        <v>0</v>
      </c>
    </row>
    <row r="10089" spans="5:11" x14ac:dyDescent="0.35">
      <c r="E10089" s="9" t="str">
        <v>IAU_2015</v>
      </c>
      <c r="F10089" s="7" t="str">
        <v>80355</v>
      </c>
      <c r="G10089" t="str">
        <v>ProjectedCrs</v>
      </c>
      <c r="H10089" t="str">
        <v>Robinson</v>
      </c>
      <c r="I10089" t="str">
        <v>Naiad (2015) - Sphere / Ocentric / Robinson, clon = 180</v>
      </c>
      <c r="J10089" t="str">
        <v>Not specified.</v>
      </c>
      <c r="K10089" s="11">
        <v>0</v>
      </c>
    </row>
    <row r="10090" spans="5:11" x14ac:dyDescent="0.35">
      <c r="E10090" s="9" t="str">
        <v>IAU_2015</v>
      </c>
      <c r="F10090" s="7" t="str">
        <v>80356</v>
      </c>
      <c r="G10090" t="str">
        <v>ProjectedCrs</v>
      </c>
      <c r="H10090" t="str">
        <v>Robinson</v>
      </c>
      <c r="I10090" t="str">
        <v>Naiad (2015) / Ographic / Robinson, clon = 180</v>
      </c>
      <c r="J10090" t="str">
        <v>Not specified.</v>
      </c>
      <c r="K10090" s="11">
        <v>0</v>
      </c>
    </row>
    <row r="10091" spans="5:11" x14ac:dyDescent="0.35">
      <c r="E10091" s="9" t="str">
        <v>IAU_2015</v>
      </c>
      <c r="F10091" s="7" t="str">
        <v>80360</v>
      </c>
      <c r="G10091" t="str">
        <v>ProjectedCrs</v>
      </c>
      <c r="H10091" t="str">
        <v>Transverse Mercator</v>
      </c>
      <c r="I10091" t="str">
        <v>Naiad (2015) - Sphere / Ocentric / Tranverse Mercator</v>
      </c>
      <c r="J10091" t="str">
        <v>Not specified.</v>
      </c>
      <c r="K10091" s="11">
        <v>0</v>
      </c>
    </row>
    <row r="10092" spans="5:11" x14ac:dyDescent="0.35">
      <c r="E10092" s="9" t="str">
        <v>IAU_2015</v>
      </c>
      <c r="F10092" s="7" t="str">
        <v>80361</v>
      </c>
      <c r="G10092" t="str">
        <v>ProjectedCrs</v>
      </c>
      <c r="H10092" t="str">
        <v>Transverse Mercator</v>
      </c>
      <c r="I10092" t="str">
        <v>Naiad (2015) / Ographic / Tranverse Mercator</v>
      </c>
      <c r="J10092" t="str">
        <v>Not specified.</v>
      </c>
      <c r="K10092" s="11">
        <v>0</v>
      </c>
    </row>
    <row r="10093" spans="5:11" x14ac:dyDescent="0.35">
      <c r="E10093" s="9" t="str">
        <v>IAU_2015</v>
      </c>
      <c r="F10093" s="7" t="str">
        <v>80365</v>
      </c>
      <c r="G10093" t="str">
        <v>ProjectedCrs</v>
      </c>
      <c r="H10093" t="str">
        <v>Orthographic</v>
      </c>
      <c r="I10093" t="str">
        <v>Naiad (2015) - Sphere / Ocentric / Orthographic, clon = 0</v>
      </c>
      <c r="J10093" t="str">
        <v>Not specified.</v>
      </c>
      <c r="K10093" s="11">
        <v>0</v>
      </c>
    </row>
    <row r="10094" spans="5:11" x14ac:dyDescent="0.35">
      <c r="E10094" s="9" t="str">
        <v>IAU_2015</v>
      </c>
      <c r="F10094" s="7" t="str">
        <v>80366</v>
      </c>
      <c r="G10094" t="str">
        <v>ProjectedCrs</v>
      </c>
      <c r="H10094" t="str">
        <v>Orthographic</v>
      </c>
      <c r="I10094" t="str">
        <v>Naiad (2015) / Ographic / Orthographic, clon = 0</v>
      </c>
      <c r="J10094" t="str">
        <v>Not specified.</v>
      </c>
      <c r="K10094" s="11">
        <v>0</v>
      </c>
    </row>
    <row r="10095" spans="5:11" x14ac:dyDescent="0.35">
      <c r="E10095" s="9" t="str">
        <v>IAU_2015</v>
      </c>
      <c r="F10095" s="7" t="str">
        <v>80370</v>
      </c>
      <c r="G10095" t="str">
        <v>ProjectedCrs</v>
      </c>
      <c r="H10095" t="str">
        <v>Orthographic</v>
      </c>
      <c r="I10095" t="str">
        <v>Naiad (2015) - Sphere / Ocentric / Orthographic, clon = 180</v>
      </c>
      <c r="J10095" t="str">
        <v>Not specified.</v>
      </c>
      <c r="K10095" s="11">
        <v>0</v>
      </c>
    </row>
    <row r="10096" spans="5:11" x14ac:dyDescent="0.35">
      <c r="E10096" s="9" t="str">
        <v>IAU_2015</v>
      </c>
      <c r="F10096" s="7" t="str">
        <v>80371</v>
      </c>
      <c r="G10096" t="str">
        <v>ProjectedCrs</v>
      </c>
      <c r="H10096" t="str">
        <v>Orthographic</v>
      </c>
      <c r="I10096" t="str">
        <v>Naiad (2015) / Ographic / Orthographic, clon = 180</v>
      </c>
      <c r="J10096" t="str">
        <v>Not specified.</v>
      </c>
      <c r="K10096" s="11">
        <v>0</v>
      </c>
    </row>
    <row r="10097" spans="5:11" x14ac:dyDescent="0.35">
      <c r="E10097" s="9" t="str">
        <v>IAU_2015</v>
      </c>
      <c r="F10097" s="7" t="str">
        <v>80375</v>
      </c>
      <c r="G10097" t="str">
        <v>ProjectedCrs</v>
      </c>
      <c r="H10097" t="str">
        <v>Lambert Conic Conformal (2SP)</v>
      </c>
      <c r="I10097" t="str">
        <v>Naiad (2015) - Sphere / Ocentric / Lambert Conic Conformal</v>
      </c>
      <c r="J10097" t="str">
        <v>Not specified.</v>
      </c>
      <c r="K10097" s="11">
        <v>0</v>
      </c>
    </row>
    <row r="10098" spans="5:11" x14ac:dyDescent="0.35">
      <c r="E10098" s="9" t="str">
        <v>IAU_2015</v>
      </c>
      <c r="F10098" s="7" t="str">
        <v>80376</v>
      </c>
      <c r="G10098" t="str">
        <v>ProjectedCrs</v>
      </c>
      <c r="H10098" t="str">
        <v>Lambert Conic Conformal (2SP)</v>
      </c>
      <c r="I10098" t="str">
        <v>Naiad (2015) / Ographic / Lambert Conic Conformal</v>
      </c>
      <c r="J10098" t="str">
        <v>Not specified.</v>
      </c>
      <c r="K10098" s="11">
        <v>0</v>
      </c>
    </row>
    <row r="10099" spans="5:11" x14ac:dyDescent="0.35">
      <c r="E10099" s="9" t="str">
        <v>IAU_2015</v>
      </c>
      <c r="F10099" s="7" t="str">
        <v>80380</v>
      </c>
      <c r="G10099" t="str">
        <v>ProjectedCrs</v>
      </c>
      <c r="H10099" t="str">
        <v>Lambert Azimuthal Equal Area</v>
      </c>
      <c r="I10099" t="str">
        <v>Naiad (2015) - Sphere / Ocentric / Lambert Azimuthal Equal Area</v>
      </c>
      <c r="J10099" t="str">
        <v>Not specified.</v>
      </c>
      <c r="K10099" s="11">
        <v>0</v>
      </c>
    </row>
    <row r="10100" spans="5:11" x14ac:dyDescent="0.35">
      <c r="E10100" s="9" t="str">
        <v>IAU_2015</v>
      </c>
      <c r="F10100" s="7" t="str">
        <v>80381</v>
      </c>
      <c r="G10100" t="str">
        <v>ProjectedCrs</v>
      </c>
      <c r="H10100" t="str">
        <v>Lambert Azimuthal Equal Area</v>
      </c>
      <c r="I10100" t="str">
        <v>Naiad (2015) / Ographic / Lambert Azimuthal Equal Area</v>
      </c>
      <c r="J10100" t="str">
        <v>Not specified.</v>
      </c>
      <c r="K10100" s="11">
        <v>0</v>
      </c>
    </row>
    <row r="10101" spans="5:11" x14ac:dyDescent="0.35">
      <c r="E10101" s="9" t="str">
        <v>IAU_2015</v>
      </c>
      <c r="F10101" s="7" t="str">
        <v>80385</v>
      </c>
      <c r="G10101" t="str">
        <v>ProjectedCrs</v>
      </c>
      <c r="H10101" t="str">
        <v>Albers Equal Area</v>
      </c>
      <c r="I10101" t="str">
        <v>Naiad (2015) - Sphere / Ocentric / Albers Equal Area</v>
      </c>
      <c r="J10101" t="str">
        <v>Not specified.</v>
      </c>
      <c r="K10101" s="11">
        <v>0</v>
      </c>
    </row>
    <row r="10102" spans="5:11" x14ac:dyDescent="0.35">
      <c r="E10102" s="9" t="str">
        <v>IAU_2015</v>
      </c>
      <c r="F10102" s="7" t="str">
        <v>80386</v>
      </c>
      <c r="G10102" t="str">
        <v>ProjectedCrs</v>
      </c>
      <c r="H10102" t="str">
        <v>Albers Equal Area</v>
      </c>
      <c r="I10102" t="str">
        <v>Naiad (2015) / Ographic / Albers Equal Area</v>
      </c>
      <c r="J10102" t="str">
        <v>Not specified.</v>
      </c>
      <c r="K10102" s="11">
        <v>0</v>
      </c>
    </row>
    <row r="10103" spans="5:11" x14ac:dyDescent="0.35">
      <c r="E10103" s="9" t="str">
        <v>IAU_2015</v>
      </c>
      <c r="F10103" s="7" t="str">
        <v>80390</v>
      </c>
      <c r="G10103" t="str">
        <v>ProjectedCrs</v>
      </c>
      <c r="H10103" t="str">
        <v>Mercator (Spherical)</v>
      </c>
      <c r="I10103" t="str">
        <v>Naiad (2015) - Sphere / Ocentric / Mercator</v>
      </c>
      <c r="J10103" t="str">
        <v>Not specified.</v>
      </c>
      <c r="K10103" s="11">
        <v>0</v>
      </c>
    </row>
    <row r="10104" spans="5:11" x14ac:dyDescent="0.35">
      <c r="E10104" s="9" t="str">
        <v>IAU_2015</v>
      </c>
      <c r="F10104" s="7" t="str">
        <v>80391</v>
      </c>
      <c r="G10104" t="str">
        <v>ProjectedCrs</v>
      </c>
      <c r="H10104" t="str">
        <v>Mercator (Spherical)</v>
      </c>
      <c r="I10104" t="str">
        <v>Naiad (2015) / Ographic / Mercator</v>
      </c>
      <c r="J10104" t="str">
        <v>Not specified.</v>
      </c>
      <c r="K10104" s="11">
        <v>0</v>
      </c>
    </row>
    <row r="10105" spans="5:11" x14ac:dyDescent="0.35">
      <c r="E10105" s="9" t="str">
        <v>IAU_2015</v>
      </c>
      <c r="F10105" s="7" t="str">
        <v>80400</v>
      </c>
      <c r="G10105" t="str">
        <v>Geographic2DCrs</v>
      </c>
      <c r="H10105" t="str">
        <v>&lt;undefined&gt;</v>
      </c>
      <c r="I10105" t="str">
        <v>Thalassa (2015) - Sphere / Ocentric</v>
      </c>
      <c r="J10105" t="str">
        <v>Not specified.</v>
      </c>
      <c r="K10105" s="11">
        <v>0</v>
      </c>
    </row>
    <row r="10106" spans="5:11" x14ac:dyDescent="0.35">
      <c r="E10106" s="9" t="str">
        <v>IAU_2015</v>
      </c>
      <c r="F10106" s="7" t="str">
        <v>80401</v>
      </c>
      <c r="G10106" t="str">
        <v>Geographic2DCrs</v>
      </c>
      <c r="H10106" t="str">
        <v>&lt;undefined&gt;</v>
      </c>
      <c r="I10106" t="str">
        <v>Thalassa (2015) / Ographic</v>
      </c>
      <c r="J10106" t="str">
        <v>Not specified.</v>
      </c>
      <c r="K10106" s="11">
        <v>0</v>
      </c>
    </row>
    <row r="10107" spans="5:11" x14ac:dyDescent="0.35">
      <c r="E10107" s="9" t="str">
        <v>IAU_2015</v>
      </c>
      <c r="F10107" s="7" t="str">
        <v>80410</v>
      </c>
      <c r="G10107" t="str">
        <v>ProjectedCrs</v>
      </c>
      <c r="H10107" t="str">
        <v>Equidistant Cylindrical</v>
      </c>
      <c r="I10107" t="str">
        <v>Thalassa (2015) - Sphere / Ocentric / Equirectangular, clon = 0</v>
      </c>
      <c r="J10107" t="str">
        <v>Not specified.</v>
      </c>
      <c r="K10107" s="11">
        <v>0</v>
      </c>
    </row>
    <row r="10108" spans="5:11" x14ac:dyDescent="0.35">
      <c r="E10108" s="9" t="str">
        <v>IAU_2015</v>
      </c>
      <c r="F10108" s="7" t="str">
        <v>80411</v>
      </c>
      <c r="G10108" t="str">
        <v>ProjectedCrs</v>
      </c>
      <c r="H10108" t="str">
        <v>Equidistant Cylindrical</v>
      </c>
      <c r="I10108" t="str">
        <v>Thalassa (2015) / Ographic / Equirectangular, clon = 0</v>
      </c>
      <c r="J10108" t="str">
        <v>Not specified.</v>
      </c>
      <c r="K10108" s="11">
        <v>0</v>
      </c>
    </row>
    <row r="10109" spans="5:11" x14ac:dyDescent="0.35">
      <c r="E10109" s="9" t="str">
        <v>IAU_2015</v>
      </c>
      <c r="F10109" s="7" t="str">
        <v>80415</v>
      </c>
      <c r="G10109" t="str">
        <v>ProjectedCrs</v>
      </c>
      <c r="H10109" t="str">
        <v>Equidistant Cylindrical</v>
      </c>
      <c r="I10109" t="str">
        <v>Thalassa (2015) - Sphere / Ocentric / Equirectangular, clon = 180</v>
      </c>
      <c r="J10109" t="str">
        <v>Not specified.</v>
      </c>
      <c r="K10109" s="11">
        <v>0</v>
      </c>
    </row>
    <row r="10110" spans="5:11" x14ac:dyDescent="0.35">
      <c r="E10110" s="9" t="str">
        <v>IAU_2015</v>
      </c>
      <c r="F10110" s="7" t="str">
        <v>80416</v>
      </c>
      <c r="G10110" t="str">
        <v>ProjectedCrs</v>
      </c>
      <c r="H10110" t="str">
        <v>Equidistant Cylindrical</v>
      </c>
      <c r="I10110" t="str">
        <v>Thalassa (2015) / Ographic / Equirectangular, clon = 180</v>
      </c>
      <c r="J10110" t="str">
        <v>Not specified.</v>
      </c>
      <c r="K10110" s="11">
        <v>0</v>
      </c>
    </row>
    <row r="10111" spans="5:11" x14ac:dyDescent="0.35">
      <c r="E10111" s="9" t="str">
        <v>IAU_2015</v>
      </c>
      <c r="F10111" s="7" t="str">
        <v>80420</v>
      </c>
      <c r="G10111" t="str">
        <v>ProjectedCrs</v>
      </c>
      <c r="H10111" t="str">
        <v>Sinusoidal</v>
      </c>
      <c r="I10111" t="str">
        <v>Thalassa (2015) - Sphere / Ocentric / Sinusoidal, clon = 0</v>
      </c>
      <c r="J10111" t="str">
        <v>Not specified.</v>
      </c>
      <c r="K10111" s="11">
        <v>0</v>
      </c>
    </row>
    <row r="10112" spans="5:11" x14ac:dyDescent="0.35">
      <c r="E10112" s="9" t="str">
        <v>IAU_2015</v>
      </c>
      <c r="F10112" s="7" t="str">
        <v>80421</v>
      </c>
      <c r="G10112" t="str">
        <v>ProjectedCrs</v>
      </c>
      <c r="H10112" t="str">
        <v>Sinusoidal</v>
      </c>
      <c r="I10112" t="str">
        <v>Thalassa (2015) / Ographic / Sinusoidal, clon = 0</v>
      </c>
      <c r="J10112" t="str">
        <v>Not specified.</v>
      </c>
      <c r="K10112" s="11">
        <v>0</v>
      </c>
    </row>
    <row r="10113" spans="5:11" x14ac:dyDescent="0.35">
      <c r="E10113" s="9" t="str">
        <v>IAU_2015</v>
      </c>
      <c r="F10113" s="7" t="str">
        <v>80425</v>
      </c>
      <c r="G10113" t="str">
        <v>ProjectedCrs</v>
      </c>
      <c r="H10113" t="str">
        <v>Sinusoidal</v>
      </c>
      <c r="I10113" t="str">
        <v>Thalassa (2015) - Sphere / Ocentric / Sinusoidal, clon = 180</v>
      </c>
      <c r="J10113" t="str">
        <v>Not specified.</v>
      </c>
      <c r="K10113" s="11">
        <v>0</v>
      </c>
    </row>
    <row r="10114" spans="5:11" x14ac:dyDescent="0.35">
      <c r="E10114" s="9" t="str">
        <v>IAU_2015</v>
      </c>
      <c r="F10114" s="7" t="str">
        <v>80426</v>
      </c>
      <c r="G10114" t="str">
        <v>ProjectedCrs</v>
      </c>
      <c r="H10114" t="str">
        <v>Sinusoidal</v>
      </c>
      <c r="I10114" t="str">
        <v>Thalassa (2015) / Ographic / Sinusoidal, clon = 180</v>
      </c>
      <c r="J10114" t="str">
        <v>Not specified.</v>
      </c>
      <c r="K10114" s="11">
        <v>0</v>
      </c>
    </row>
    <row r="10115" spans="5:11" x14ac:dyDescent="0.35">
      <c r="E10115" s="9" t="str">
        <v>IAU_2015</v>
      </c>
      <c r="F10115" s="7" t="str">
        <v>80430</v>
      </c>
      <c r="G10115" t="str">
        <v>ProjectedCrs</v>
      </c>
      <c r="H10115" t="str">
        <v>Polar Stereographic (variant A)</v>
      </c>
      <c r="I10115" t="str">
        <v>Thalassa (2015) - Sphere / Ocentric / North Polar</v>
      </c>
      <c r="J10115" t="str">
        <v>Not specified.</v>
      </c>
      <c r="K10115" s="11">
        <v>0</v>
      </c>
    </row>
    <row r="10116" spans="5:11" x14ac:dyDescent="0.35">
      <c r="E10116" s="9" t="str">
        <v>IAU_2015</v>
      </c>
      <c r="F10116" s="7" t="str">
        <v>80431</v>
      </c>
      <c r="G10116" t="str">
        <v>ProjectedCrs</v>
      </c>
      <c r="H10116" t="str">
        <v>Polar Stereographic (variant A)</v>
      </c>
      <c r="I10116" t="str">
        <v>Thalassa (2015) / Ographic / North Polar</v>
      </c>
      <c r="J10116" t="str">
        <v>Not specified.</v>
      </c>
      <c r="K10116" s="11">
        <v>0</v>
      </c>
    </row>
    <row r="10117" spans="5:11" x14ac:dyDescent="0.35">
      <c r="E10117" s="9" t="str">
        <v>IAU_2015</v>
      </c>
      <c r="F10117" s="7" t="str">
        <v>80435</v>
      </c>
      <c r="G10117" t="str">
        <v>ProjectedCrs</v>
      </c>
      <c r="H10117" t="str">
        <v>Polar Stereographic (variant A)</v>
      </c>
      <c r="I10117" t="str">
        <v>Thalassa (2015) - Sphere / Ocentric / South Polar</v>
      </c>
      <c r="J10117" t="str">
        <v>Not specified.</v>
      </c>
      <c r="K10117" s="11">
        <v>0</v>
      </c>
    </row>
    <row r="10118" spans="5:11" x14ac:dyDescent="0.35">
      <c r="E10118" s="9" t="str">
        <v>IAU_2015</v>
      </c>
      <c r="F10118" s="7" t="str">
        <v>80436</v>
      </c>
      <c r="G10118" t="str">
        <v>ProjectedCrs</v>
      </c>
      <c r="H10118" t="str">
        <v>Polar Stereographic (variant A)</v>
      </c>
      <c r="I10118" t="str">
        <v>Thalassa (2015) / Ographic / South Polar</v>
      </c>
      <c r="J10118" t="str">
        <v>Not specified.</v>
      </c>
      <c r="K10118" s="11">
        <v>0</v>
      </c>
    </row>
    <row r="10119" spans="5:11" x14ac:dyDescent="0.35">
      <c r="E10119" s="9" t="str">
        <v>IAU_2015</v>
      </c>
      <c r="F10119" s="7" t="str">
        <v>80440</v>
      </c>
      <c r="G10119" t="str">
        <v>ProjectedCrs</v>
      </c>
      <c r="H10119" t="str">
        <v>Mollweide</v>
      </c>
      <c r="I10119" t="str">
        <v>Thalassa (2015) - Sphere / Ocentric / Mollweide, clon = 0</v>
      </c>
      <c r="J10119" t="str">
        <v>Not specified.</v>
      </c>
      <c r="K10119" s="11">
        <v>0</v>
      </c>
    </row>
    <row r="10120" spans="5:11" x14ac:dyDescent="0.35">
      <c r="E10120" s="9" t="str">
        <v>IAU_2015</v>
      </c>
      <c r="F10120" s="7" t="str">
        <v>80441</v>
      </c>
      <c r="G10120" t="str">
        <v>ProjectedCrs</v>
      </c>
      <c r="H10120" t="str">
        <v>Mollweide</v>
      </c>
      <c r="I10120" t="str">
        <v>Thalassa (2015) / Ographic / Mollweide, clon = 0</v>
      </c>
      <c r="J10120" t="str">
        <v>Not specified.</v>
      </c>
      <c r="K10120" s="11">
        <v>0</v>
      </c>
    </row>
    <row r="10121" spans="5:11" x14ac:dyDescent="0.35">
      <c r="E10121" s="9" t="str">
        <v>IAU_2015</v>
      </c>
      <c r="F10121" s="7" t="str">
        <v>80445</v>
      </c>
      <c r="G10121" t="str">
        <v>ProjectedCrs</v>
      </c>
      <c r="H10121" t="str">
        <v>Mollweide</v>
      </c>
      <c r="I10121" t="str">
        <v>Thalassa (2015) - Sphere / Ocentric / Mollweide, clon = 180</v>
      </c>
      <c r="J10121" t="str">
        <v>Not specified.</v>
      </c>
      <c r="K10121" s="11">
        <v>0</v>
      </c>
    </row>
    <row r="10122" spans="5:11" x14ac:dyDescent="0.35">
      <c r="E10122" s="9" t="str">
        <v>IAU_2015</v>
      </c>
      <c r="F10122" s="7" t="str">
        <v>80446</v>
      </c>
      <c r="G10122" t="str">
        <v>ProjectedCrs</v>
      </c>
      <c r="H10122" t="str">
        <v>Mollweide</v>
      </c>
      <c r="I10122" t="str">
        <v>Thalassa (2015) / Ographic / Mollweide, clon = 180</v>
      </c>
      <c r="J10122" t="str">
        <v>Not specified.</v>
      </c>
      <c r="K10122" s="11">
        <v>0</v>
      </c>
    </row>
    <row r="10123" spans="5:11" x14ac:dyDescent="0.35">
      <c r="E10123" s="9" t="str">
        <v>IAU_2015</v>
      </c>
      <c r="F10123" s="7" t="str">
        <v>80450</v>
      </c>
      <c r="G10123" t="str">
        <v>ProjectedCrs</v>
      </c>
      <c r="H10123" t="str">
        <v>Robinson</v>
      </c>
      <c r="I10123" t="str">
        <v>Thalassa (2015) - Sphere / Ocentric / Robinson, clon = 0</v>
      </c>
      <c r="J10123" t="str">
        <v>Not specified.</v>
      </c>
      <c r="K10123" s="11">
        <v>0</v>
      </c>
    </row>
    <row r="10124" spans="5:11" x14ac:dyDescent="0.35">
      <c r="E10124" s="9" t="str">
        <v>IAU_2015</v>
      </c>
      <c r="F10124" s="7" t="str">
        <v>80451</v>
      </c>
      <c r="G10124" t="str">
        <v>ProjectedCrs</v>
      </c>
      <c r="H10124" t="str">
        <v>Robinson</v>
      </c>
      <c r="I10124" t="str">
        <v>Thalassa (2015) / Ographic / Robinson, clon = 0</v>
      </c>
      <c r="J10124" t="str">
        <v>Not specified.</v>
      </c>
      <c r="K10124" s="11">
        <v>0</v>
      </c>
    </row>
    <row r="10125" spans="5:11" x14ac:dyDescent="0.35">
      <c r="E10125" s="9" t="str">
        <v>IAU_2015</v>
      </c>
      <c r="F10125" s="7" t="str">
        <v>80455</v>
      </c>
      <c r="G10125" t="str">
        <v>ProjectedCrs</v>
      </c>
      <c r="H10125" t="str">
        <v>Robinson</v>
      </c>
      <c r="I10125" t="str">
        <v>Thalassa (2015) - Sphere / Ocentric / Robinson, clon = 180</v>
      </c>
      <c r="J10125" t="str">
        <v>Not specified.</v>
      </c>
      <c r="K10125" s="11">
        <v>0</v>
      </c>
    </row>
    <row r="10126" spans="5:11" x14ac:dyDescent="0.35">
      <c r="E10126" s="9" t="str">
        <v>IAU_2015</v>
      </c>
      <c r="F10126" s="7" t="str">
        <v>80456</v>
      </c>
      <c r="G10126" t="str">
        <v>ProjectedCrs</v>
      </c>
      <c r="H10126" t="str">
        <v>Robinson</v>
      </c>
      <c r="I10126" t="str">
        <v>Thalassa (2015) / Ographic / Robinson, clon = 180</v>
      </c>
      <c r="J10126" t="str">
        <v>Not specified.</v>
      </c>
      <c r="K10126" s="11">
        <v>0</v>
      </c>
    </row>
    <row r="10127" spans="5:11" x14ac:dyDescent="0.35">
      <c r="E10127" s="9" t="str">
        <v>IAU_2015</v>
      </c>
      <c r="F10127" s="7" t="str">
        <v>80460</v>
      </c>
      <c r="G10127" t="str">
        <v>ProjectedCrs</v>
      </c>
      <c r="H10127" t="str">
        <v>Transverse Mercator</v>
      </c>
      <c r="I10127" t="str">
        <v>Thalassa (2015) - Sphere / Ocentric / Tranverse Mercator</v>
      </c>
      <c r="J10127" t="str">
        <v>Not specified.</v>
      </c>
      <c r="K10127" s="11">
        <v>0</v>
      </c>
    </row>
    <row r="10128" spans="5:11" x14ac:dyDescent="0.35">
      <c r="E10128" s="9" t="str">
        <v>IAU_2015</v>
      </c>
      <c r="F10128" s="7" t="str">
        <v>80461</v>
      </c>
      <c r="G10128" t="str">
        <v>ProjectedCrs</v>
      </c>
      <c r="H10128" t="str">
        <v>Transverse Mercator</v>
      </c>
      <c r="I10128" t="str">
        <v>Thalassa (2015) / Ographic / Tranverse Mercator</v>
      </c>
      <c r="J10128" t="str">
        <v>Not specified.</v>
      </c>
      <c r="K10128" s="11">
        <v>0</v>
      </c>
    </row>
    <row r="10129" spans="5:11" x14ac:dyDescent="0.35">
      <c r="E10129" s="9" t="str">
        <v>IAU_2015</v>
      </c>
      <c r="F10129" s="7" t="str">
        <v>80465</v>
      </c>
      <c r="G10129" t="str">
        <v>ProjectedCrs</v>
      </c>
      <c r="H10129" t="str">
        <v>Orthographic</v>
      </c>
      <c r="I10129" t="str">
        <v>Thalassa (2015) - Sphere / Ocentric / Orthographic, clon = 0</v>
      </c>
      <c r="J10129" t="str">
        <v>Not specified.</v>
      </c>
      <c r="K10129" s="11">
        <v>0</v>
      </c>
    </row>
    <row r="10130" spans="5:11" x14ac:dyDescent="0.35">
      <c r="E10130" s="9" t="str">
        <v>IAU_2015</v>
      </c>
      <c r="F10130" s="7" t="str">
        <v>80466</v>
      </c>
      <c r="G10130" t="str">
        <v>ProjectedCrs</v>
      </c>
      <c r="H10130" t="str">
        <v>Orthographic</v>
      </c>
      <c r="I10130" t="str">
        <v>Thalassa (2015) / Ographic / Orthographic, clon = 0</v>
      </c>
      <c r="J10130" t="str">
        <v>Not specified.</v>
      </c>
      <c r="K10130" s="11">
        <v>0</v>
      </c>
    </row>
    <row r="10131" spans="5:11" x14ac:dyDescent="0.35">
      <c r="E10131" s="9" t="str">
        <v>IAU_2015</v>
      </c>
      <c r="F10131" s="7" t="str">
        <v>80470</v>
      </c>
      <c r="G10131" t="str">
        <v>ProjectedCrs</v>
      </c>
      <c r="H10131" t="str">
        <v>Orthographic</v>
      </c>
      <c r="I10131" t="str">
        <v>Thalassa (2015) - Sphere / Ocentric / Orthographic, clon = 180</v>
      </c>
      <c r="J10131" t="str">
        <v>Not specified.</v>
      </c>
      <c r="K10131" s="11">
        <v>0</v>
      </c>
    </row>
    <row r="10132" spans="5:11" x14ac:dyDescent="0.35">
      <c r="E10132" s="9" t="str">
        <v>IAU_2015</v>
      </c>
      <c r="F10132" s="7" t="str">
        <v>80471</v>
      </c>
      <c r="G10132" t="str">
        <v>ProjectedCrs</v>
      </c>
      <c r="H10132" t="str">
        <v>Orthographic</v>
      </c>
      <c r="I10132" t="str">
        <v>Thalassa (2015) / Ographic / Orthographic, clon = 180</v>
      </c>
      <c r="J10132" t="str">
        <v>Not specified.</v>
      </c>
      <c r="K10132" s="11">
        <v>0</v>
      </c>
    </row>
    <row r="10133" spans="5:11" x14ac:dyDescent="0.35">
      <c r="E10133" s="9" t="str">
        <v>IAU_2015</v>
      </c>
      <c r="F10133" s="7" t="str">
        <v>80475</v>
      </c>
      <c r="G10133" t="str">
        <v>ProjectedCrs</v>
      </c>
      <c r="H10133" t="str">
        <v>Lambert Conic Conformal (2SP)</v>
      </c>
      <c r="I10133" t="str">
        <v>Thalassa (2015) - Sphere / Ocentric / Lambert Conic Conformal</v>
      </c>
      <c r="J10133" t="str">
        <v>Not specified.</v>
      </c>
      <c r="K10133" s="11">
        <v>0</v>
      </c>
    </row>
    <row r="10134" spans="5:11" x14ac:dyDescent="0.35">
      <c r="E10134" s="9" t="str">
        <v>IAU_2015</v>
      </c>
      <c r="F10134" s="7" t="str">
        <v>80476</v>
      </c>
      <c r="G10134" t="str">
        <v>ProjectedCrs</v>
      </c>
      <c r="H10134" t="str">
        <v>Lambert Conic Conformal (2SP)</v>
      </c>
      <c r="I10134" t="str">
        <v>Thalassa (2015) / Ographic / Lambert Conic Conformal</v>
      </c>
      <c r="J10134" t="str">
        <v>Not specified.</v>
      </c>
      <c r="K10134" s="11">
        <v>0</v>
      </c>
    </row>
    <row r="10135" spans="5:11" x14ac:dyDescent="0.35">
      <c r="E10135" s="9" t="str">
        <v>IAU_2015</v>
      </c>
      <c r="F10135" s="7" t="str">
        <v>80480</v>
      </c>
      <c r="G10135" t="str">
        <v>ProjectedCrs</v>
      </c>
      <c r="H10135" t="str">
        <v>Lambert Azimuthal Equal Area</v>
      </c>
      <c r="I10135" t="str">
        <v>Thalassa (2015) - Sphere / Ocentric / Lambert Azimuthal Equal Area</v>
      </c>
      <c r="J10135" t="str">
        <v>Not specified.</v>
      </c>
      <c r="K10135" s="11">
        <v>0</v>
      </c>
    </row>
    <row r="10136" spans="5:11" x14ac:dyDescent="0.35">
      <c r="E10136" s="9" t="str">
        <v>IAU_2015</v>
      </c>
      <c r="F10136" s="7" t="str">
        <v>80481</v>
      </c>
      <c r="G10136" t="str">
        <v>ProjectedCrs</v>
      </c>
      <c r="H10136" t="str">
        <v>Lambert Azimuthal Equal Area</v>
      </c>
      <c r="I10136" t="str">
        <v>Thalassa (2015) / Ographic / Lambert Azimuthal Equal Area</v>
      </c>
      <c r="J10136" t="str">
        <v>Not specified.</v>
      </c>
      <c r="K10136" s="11">
        <v>0</v>
      </c>
    </row>
    <row r="10137" spans="5:11" x14ac:dyDescent="0.35">
      <c r="E10137" s="9" t="str">
        <v>IAU_2015</v>
      </c>
      <c r="F10137" s="7" t="str">
        <v>80485</v>
      </c>
      <c r="G10137" t="str">
        <v>ProjectedCrs</v>
      </c>
      <c r="H10137" t="str">
        <v>Albers Equal Area</v>
      </c>
      <c r="I10137" t="str">
        <v>Thalassa (2015) - Sphere / Ocentric / Albers Equal Area</v>
      </c>
      <c r="J10137" t="str">
        <v>Not specified.</v>
      </c>
      <c r="K10137" s="11">
        <v>0</v>
      </c>
    </row>
    <row r="10138" spans="5:11" x14ac:dyDescent="0.35">
      <c r="E10138" s="9" t="str">
        <v>IAU_2015</v>
      </c>
      <c r="F10138" s="7" t="str">
        <v>80486</v>
      </c>
      <c r="G10138" t="str">
        <v>ProjectedCrs</v>
      </c>
      <c r="H10138" t="str">
        <v>Albers Equal Area</v>
      </c>
      <c r="I10138" t="str">
        <v>Thalassa (2015) / Ographic / Albers Equal Area</v>
      </c>
      <c r="J10138" t="str">
        <v>Not specified.</v>
      </c>
      <c r="K10138" s="11">
        <v>0</v>
      </c>
    </row>
    <row r="10139" spans="5:11" x14ac:dyDescent="0.35">
      <c r="E10139" s="9" t="str">
        <v>IAU_2015</v>
      </c>
      <c r="F10139" s="7" t="str">
        <v>80490</v>
      </c>
      <c r="G10139" t="str">
        <v>ProjectedCrs</v>
      </c>
      <c r="H10139" t="str">
        <v>Mercator (Spherical)</v>
      </c>
      <c r="I10139" t="str">
        <v>Thalassa (2015) - Sphere / Ocentric / Mercator</v>
      </c>
      <c r="J10139" t="str">
        <v>Not specified.</v>
      </c>
      <c r="K10139" s="11">
        <v>0</v>
      </c>
    </row>
    <row r="10140" spans="5:11" x14ac:dyDescent="0.35">
      <c r="E10140" s="9" t="str">
        <v>IAU_2015</v>
      </c>
      <c r="F10140" s="7" t="str">
        <v>80491</v>
      </c>
      <c r="G10140" t="str">
        <v>ProjectedCrs</v>
      </c>
      <c r="H10140" t="str">
        <v>Mercator (Spherical)</v>
      </c>
      <c r="I10140" t="str">
        <v>Thalassa (2015) / Ographic / Mercator</v>
      </c>
      <c r="J10140" t="str">
        <v>Not specified.</v>
      </c>
      <c r="K10140" s="11">
        <v>0</v>
      </c>
    </row>
    <row r="10141" spans="5:11" x14ac:dyDescent="0.35">
      <c r="E10141" s="9" t="str">
        <v>IAU_2015</v>
      </c>
      <c r="F10141" s="7" t="str">
        <v>80500</v>
      </c>
      <c r="G10141" t="str">
        <v>Geographic2DCrs</v>
      </c>
      <c r="H10141" t="str">
        <v>&lt;undefined&gt;</v>
      </c>
      <c r="I10141" t="str">
        <v>Despina (2015) - Sphere / Ocentric</v>
      </c>
      <c r="J10141" t="str">
        <v>Not specified.</v>
      </c>
      <c r="K10141" s="11">
        <v>0</v>
      </c>
    </row>
    <row r="10142" spans="5:11" x14ac:dyDescent="0.35">
      <c r="E10142" s="9" t="str">
        <v>IAU_2015</v>
      </c>
      <c r="F10142" s="7" t="str">
        <v>80501</v>
      </c>
      <c r="G10142" t="str">
        <v>Geographic2DCrs</v>
      </c>
      <c r="H10142" t="str">
        <v>&lt;undefined&gt;</v>
      </c>
      <c r="I10142" t="str">
        <v>Despina (2015) / Ographic</v>
      </c>
      <c r="J10142" t="str">
        <v>Not specified.</v>
      </c>
      <c r="K10142" s="11">
        <v>0</v>
      </c>
    </row>
    <row r="10143" spans="5:11" x14ac:dyDescent="0.35">
      <c r="E10143" s="9" t="str">
        <v>IAU_2015</v>
      </c>
      <c r="F10143" s="7" t="str">
        <v>80510</v>
      </c>
      <c r="G10143" t="str">
        <v>ProjectedCrs</v>
      </c>
      <c r="H10143" t="str">
        <v>Equidistant Cylindrical</v>
      </c>
      <c r="I10143" t="str">
        <v>Despina (2015) - Sphere / Ocentric / Equirectangular, clon = 0</v>
      </c>
      <c r="J10143" t="str">
        <v>Not specified.</v>
      </c>
      <c r="K10143" s="11">
        <v>0</v>
      </c>
    </row>
    <row r="10144" spans="5:11" x14ac:dyDescent="0.35">
      <c r="E10144" s="9" t="str">
        <v>IAU_2015</v>
      </c>
      <c r="F10144" s="7" t="str">
        <v>80511</v>
      </c>
      <c r="G10144" t="str">
        <v>ProjectedCrs</v>
      </c>
      <c r="H10144" t="str">
        <v>Equidistant Cylindrical</v>
      </c>
      <c r="I10144" t="str">
        <v>Despina (2015) / Ographic / Equirectangular, clon = 0</v>
      </c>
      <c r="J10144" t="str">
        <v>Not specified.</v>
      </c>
      <c r="K10144" s="11">
        <v>0</v>
      </c>
    </row>
    <row r="10145" spans="5:11" x14ac:dyDescent="0.35">
      <c r="E10145" s="9" t="str">
        <v>IAU_2015</v>
      </c>
      <c r="F10145" s="7" t="str">
        <v>80515</v>
      </c>
      <c r="G10145" t="str">
        <v>ProjectedCrs</v>
      </c>
      <c r="H10145" t="str">
        <v>Equidistant Cylindrical</v>
      </c>
      <c r="I10145" t="str">
        <v>Despina (2015) - Sphere / Ocentric / Equirectangular, clon = 180</v>
      </c>
      <c r="J10145" t="str">
        <v>Not specified.</v>
      </c>
      <c r="K10145" s="11">
        <v>0</v>
      </c>
    </row>
    <row r="10146" spans="5:11" x14ac:dyDescent="0.35">
      <c r="E10146" s="9" t="str">
        <v>IAU_2015</v>
      </c>
      <c r="F10146" s="7" t="str">
        <v>80516</v>
      </c>
      <c r="G10146" t="str">
        <v>ProjectedCrs</v>
      </c>
      <c r="H10146" t="str">
        <v>Equidistant Cylindrical</v>
      </c>
      <c r="I10146" t="str">
        <v>Despina (2015) / Ographic / Equirectangular, clon = 180</v>
      </c>
      <c r="J10146" t="str">
        <v>Not specified.</v>
      </c>
      <c r="K10146" s="11">
        <v>0</v>
      </c>
    </row>
    <row r="10147" spans="5:11" x14ac:dyDescent="0.35">
      <c r="E10147" s="9" t="str">
        <v>IAU_2015</v>
      </c>
      <c r="F10147" s="7" t="str">
        <v>80520</v>
      </c>
      <c r="G10147" t="str">
        <v>ProjectedCrs</v>
      </c>
      <c r="H10147" t="str">
        <v>Sinusoidal</v>
      </c>
      <c r="I10147" t="str">
        <v>Despina (2015) - Sphere / Ocentric / Sinusoidal, clon = 0</v>
      </c>
      <c r="J10147" t="str">
        <v>Not specified.</v>
      </c>
      <c r="K10147" s="11">
        <v>0</v>
      </c>
    </row>
    <row r="10148" spans="5:11" x14ac:dyDescent="0.35">
      <c r="E10148" s="9" t="str">
        <v>IAU_2015</v>
      </c>
      <c r="F10148" s="7" t="str">
        <v>80521</v>
      </c>
      <c r="G10148" t="str">
        <v>ProjectedCrs</v>
      </c>
      <c r="H10148" t="str">
        <v>Sinusoidal</v>
      </c>
      <c r="I10148" t="str">
        <v>Despina (2015) / Ographic / Sinusoidal, clon = 0</v>
      </c>
      <c r="J10148" t="str">
        <v>Not specified.</v>
      </c>
      <c r="K10148" s="11">
        <v>0</v>
      </c>
    </row>
    <row r="10149" spans="5:11" x14ac:dyDescent="0.35">
      <c r="E10149" s="9" t="str">
        <v>IAU_2015</v>
      </c>
      <c r="F10149" s="7" t="str">
        <v>80525</v>
      </c>
      <c r="G10149" t="str">
        <v>ProjectedCrs</v>
      </c>
      <c r="H10149" t="str">
        <v>Sinusoidal</v>
      </c>
      <c r="I10149" t="str">
        <v>Despina (2015) - Sphere / Ocentric / Sinusoidal, clon = 180</v>
      </c>
      <c r="J10149" t="str">
        <v>Not specified.</v>
      </c>
      <c r="K10149" s="11">
        <v>0</v>
      </c>
    </row>
    <row r="10150" spans="5:11" x14ac:dyDescent="0.35">
      <c r="E10150" s="9" t="str">
        <v>IAU_2015</v>
      </c>
      <c r="F10150" s="7" t="str">
        <v>80526</v>
      </c>
      <c r="G10150" t="str">
        <v>ProjectedCrs</v>
      </c>
      <c r="H10150" t="str">
        <v>Sinusoidal</v>
      </c>
      <c r="I10150" t="str">
        <v>Despina (2015) / Ographic / Sinusoidal, clon = 180</v>
      </c>
      <c r="J10150" t="str">
        <v>Not specified.</v>
      </c>
      <c r="K10150" s="11">
        <v>0</v>
      </c>
    </row>
    <row r="10151" spans="5:11" x14ac:dyDescent="0.35">
      <c r="E10151" s="9" t="str">
        <v>IAU_2015</v>
      </c>
      <c r="F10151" s="7" t="str">
        <v>80530</v>
      </c>
      <c r="G10151" t="str">
        <v>ProjectedCrs</v>
      </c>
      <c r="H10151" t="str">
        <v>Polar Stereographic (variant A)</v>
      </c>
      <c r="I10151" t="str">
        <v>Despina (2015) - Sphere / Ocentric / North Polar</v>
      </c>
      <c r="J10151" t="str">
        <v>Not specified.</v>
      </c>
      <c r="K10151" s="11">
        <v>0</v>
      </c>
    </row>
    <row r="10152" spans="5:11" x14ac:dyDescent="0.35">
      <c r="E10152" s="9" t="str">
        <v>IAU_2015</v>
      </c>
      <c r="F10152" s="7" t="str">
        <v>80531</v>
      </c>
      <c r="G10152" t="str">
        <v>ProjectedCrs</v>
      </c>
      <c r="H10152" t="str">
        <v>Polar Stereographic (variant A)</v>
      </c>
      <c r="I10152" t="str">
        <v>Despina (2015) / Ographic / North Polar</v>
      </c>
      <c r="J10152" t="str">
        <v>Not specified.</v>
      </c>
      <c r="K10152" s="11">
        <v>0</v>
      </c>
    </row>
    <row r="10153" spans="5:11" x14ac:dyDescent="0.35">
      <c r="E10153" s="9" t="str">
        <v>IAU_2015</v>
      </c>
      <c r="F10153" s="7" t="str">
        <v>80535</v>
      </c>
      <c r="G10153" t="str">
        <v>ProjectedCrs</v>
      </c>
      <c r="H10153" t="str">
        <v>Polar Stereographic (variant A)</v>
      </c>
      <c r="I10153" t="str">
        <v>Despina (2015) - Sphere / Ocentric / South Polar</v>
      </c>
      <c r="J10153" t="str">
        <v>Not specified.</v>
      </c>
      <c r="K10153" s="11">
        <v>0</v>
      </c>
    </row>
    <row r="10154" spans="5:11" x14ac:dyDescent="0.35">
      <c r="E10154" s="9" t="str">
        <v>IAU_2015</v>
      </c>
      <c r="F10154" s="7" t="str">
        <v>80536</v>
      </c>
      <c r="G10154" t="str">
        <v>ProjectedCrs</v>
      </c>
      <c r="H10154" t="str">
        <v>Polar Stereographic (variant A)</v>
      </c>
      <c r="I10154" t="str">
        <v>Despina (2015) / Ographic / South Polar</v>
      </c>
      <c r="J10154" t="str">
        <v>Not specified.</v>
      </c>
      <c r="K10154" s="11">
        <v>0</v>
      </c>
    </row>
    <row r="10155" spans="5:11" x14ac:dyDescent="0.35">
      <c r="E10155" s="9" t="str">
        <v>IAU_2015</v>
      </c>
      <c r="F10155" s="7" t="str">
        <v>80540</v>
      </c>
      <c r="G10155" t="str">
        <v>ProjectedCrs</v>
      </c>
      <c r="H10155" t="str">
        <v>Mollweide</v>
      </c>
      <c r="I10155" t="str">
        <v>Despina (2015) - Sphere / Ocentric / Mollweide, clon = 0</v>
      </c>
      <c r="J10155" t="str">
        <v>Not specified.</v>
      </c>
      <c r="K10155" s="11">
        <v>0</v>
      </c>
    </row>
    <row r="10156" spans="5:11" x14ac:dyDescent="0.35">
      <c r="E10156" s="9" t="str">
        <v>IAU_2015</v>
      </c>
      <c r="F10156" s="7" t="str">
        <v>80541</v>
      </c>
      <c r="G10156" t="str">
        <v>ProjectedCrs</v>
      </c>
      <c r="H10156" t="str">
        <v>Mollweide</v>
      </c>
      <c r="I10156" t="str">
        <v>Despina (2015) / Ographic / Mollweide, clon = 0</v>
      </c>
      <c r="J10156" t="str">
        <v>Not specified.</v>
      </c>
      <c r="K10156" s="11">
        <v>0</v>
      </c>
    </row>
    <row r="10157" spans="5:11" x14ac:dyDescent="0.35">
      <c r="E10157" s="9" t="str">
        <v>IAU_2015</v>
      </c>
      <c r="F10157" s="7" t="str">
        <v>80545</v>
      </c>
      <c r="G10157" t="str">
        <v>ProjectedCrs</v>
      </c>
      <c r="H10157" t="str">
        <v>Mollweide</v>
      </c>
      <c r="I10157" t="str">
        <v>Despina (2015) - Sphere / Ocentric / Mollweide, clon = 180</v>
      </c>
      <c r="J10157" t="str">
        <v>Not specified.</v>
      </c>
      <c r="K10157" s="11">
        <v>0</v>
      </c>
    </row>
    <row r="10158" spans="5:11" x14ac:dyDescent="0.35">
      <c r="E10158" s="9" t="str">
        <v>IAU_2015</v>
      </c>
      <c r="F10158" s="7" t="str">
        <v>80546</v>
      </c>
      <c r="G10158" t="str">
        <v>ProjectedCrs</v>
      </c>
      <c r="H10158" t="str">
        <v>Mollweide</v>
      </c>
      <c r="I10158" t="str">
        <v>Despina (2015) / Ographic / Mollweide, clon = 180</v>
      </c>
      <c r="J10158" t="str">
        <v>Not specified.</v>
      </c>
      <c r="K10158" s="11">
        <v>0</v>
      </c>
    </row>
    <row r="10159" spans="5:11" x14ac:dyDescent="0.35">
      <c r="E10159" s="9" t="str">
        <v>IAU_2015</v>
      </c>
      <c r="F10159" s="7" t="str">
        <v>80550</v>
      </c>
      <c r="G10159" t="str">
        <v>ProjectedCrs</v>
      </c>
      <c r="H10159" t="str">
        <v>Robinson</v>
      </c>
      <c r="I10159" t="str">
        <v>Despina (2015) - Sphere / Ocentric / Robinson, clon = 0</v>
      </c>
      <c r="J10159" t="str">
        <v>Not specified.</v>
      </c>
      <c r="K10159" s="11">
        <v>0</v>
      </c>
    </row>
    <row r="10160" spans="5:11" x14ac:dyDescent="0.35">
      <c r="E10160" s="9" t="str">
        <v>IAU_2015</v>
      </c>
      <c r="F10160" s="7" t="str">
        <v>80551</v>
      </c>
      <c r="G10160" t="str">
        <v>ProjectedCrs</v>
      </c>
      <c r="H10160" t="str">
        <v>Robinson</v>
      </c>
      <c r="I10160" t="str">
        <v>Despina (2015) / Ographic / Robinson, clon = 0</v>
      </c>
      <c r="J10160" t="str">
        <v>Not specified.</v>
      </c>
      <c r="K10160" s="11">
        <v>0</v>
      </c>
    </row>
    <row r="10161" spans="5:11" x14ac:dyDescent="0.35">
      <c r="E10161" s="9" t="str">
        <v>IAU_2015</v>
      </c>
      <c r="F10161" s="7" t="str">
        <v>80555</v>
      </c>
      <c r="G10161" t="str">
        <v>ProjectedCrs</v>
      </c>
      <c r="H10161" t="str">
        <v>Robinson</v>
      </c>
      <c r="I10161" t="str">
        <v>Despina (2015) - Sphere / Ocentric / Robinson, clon = 180</v>
      </c>
      <c r="J10161" t="str">
        <v>Not specified.</v>
      </c>
      <c r="K10161" s="11">
        <v>0</v>
      </c>
    </row>
    <row r="10162" spans="5:11" x14ac:dyDescent="0.35">
      <c r="E10162" s="9" t="str">
        <v>IAU_2015</v>
      </c>
      <c r="F10162" s="7" t="str">
        <v>80556</v>
      </c>
      <c r="G10162" t="str">
        <v>ProjectedCrs</v>
      </c>
      <c r="H10162" t="str">
        <v>Robinson</v>
      </c>
      <c r="I10162" t="str">
        <v>Despina (2015) / Ographic / Robinson, clon = 180</v>
      </c>
      <c r="J10162" t="str">
        <v>Not specified.</v>
      </c>
      <c r="K10162" s="11">
        <v>0</v>
      </c>
    </row>
    <row r="10163" spans="5:11" x14ac:dyDescent="0.35">
      <c r="E10163" s="9" t="str">
        <v>IAU_2015</v>
      </c>
      <c r="F10163" s="7" t="str">
        <v>80560</v>
      </c>
      <c r="G10163" t="str">
        <v>ProjectedCrs</v>
      </c>
      <c r="H10163" t="str">
        <v>Transverse Mercator</v>
      </c>
      <c r="I10163" t="str">
        <v>Despina (2015) - Sphere / Ocentric / Tranverse Mercator</v>
      </c>
      <c r="J10163" t="str">
        <v>Not specified.</v>
      </c>
      <c r="K10163" s="11">
        <v>0</v>
      </c>
    </row>
    <row r="10164" spans="5:11" x14ac:dyDescent="0.35">
      <c r="E10164" s="9" t="str">
        <v>IAU_2015</v>
      </c>
      <c r="F10164" s="7" t="str">
        <v>80561</v>
      </c>
      <c r="G10164" t="str">
        <v>ProjectedCrs</v>
      </c>
      <c r="H10164" t="str">
        <v>Transverse Mercator</v>
      </c>
      <c r="I10164" t="str">
        <v>Despina (2015) / Ographic / Tranverse Mercator</v>
      </c>
      <c r="J10164" t="str">
        <v>Not specified.</v>
      </c>
      <c r="K10164" s="11">
        <v>0</v>
      </c>
    </row>
    <row r="10165" spans="5:11" x14ac:dyDescent="0.35">
      <c r="E10165" s="9" t="str">
        <v>IAU_2015</v>
      </c>
      <c r="F10165" s="7" t="str">
        <v>80565</v>
      </c>
      <c r="G10165" t="str">
        <v>ProjectedCrs</v>
      </c>
      <c r="H10165" t="str">
        <v>Orthographic</v>
      </c>
      <c r="I10165" t="str">
        <v>Despina (2015) - Sphere / Ocentric / Orthographic, clon = 0</v>
      </c>
      <c r="J10165" t="str">
        <v>Not specified.</v>
      </c>
      <c r="K10165" s="11">
        <v>0</v>
      </c>
    </row>
    <row r="10166" spans="5:11" x14ac:dyDescent="0.35">
      <c r="E10166" s="9" t="str">
        <v>IAU_2015</v>
      </c>
      <c r="F10166" s="7" t="str">
        <v>80566</v>
      </c>
      <c r="G10166" t="str">
        <v>ProjectedCrs</v>
      </c>
      <c r="H10166" t="str">
        <v>Orthographic</v>
      </c>
      <c r="I10166" t="str">
        <v>Despina (2015) / Ographic / Orthographic, clon = 0</v>
      </c>
      <c r="J10166" t="str">
        <v>Not specified.</v>
      </c>
      <c r="K10166" s="11">
        <v>0</v>
      </c>
    </row>
    <row r="10167" spans="5:11" x14ac:dyDescent="0.35">
      <c r="E10167" s="9" t="str">
        <v>IAU_2015</v>
      </c>
      <c r="F10167" s="7" t="str">
        <v>80570</v>
      </c>
      <c r="G10167" t="str">
        <v>ProjectedCrs</v>
      </c>
      <c r="H10167" t="str">
        <v>Orthographic</v>
      </c>
      <c r="I10167" t="str">
        <v>Despina (2015) - Sphere / Ocentric / Orthographic, clon = 180</v>
      </c>
      <c r="J10167" t="str">
        <v>Not specified.</v>
      </c>
      <c r="K10167" s="11">
        <v>0</v>
      </c>
    </row>
    <row r="10168" spans="5:11" x14ac:dyDescent="0.35">
      <c r="E10168" s="9" t="str">
        <v>IAU_2015</v>
      </c>
      <c r="F10168" s="7" t="str">
        <v>80571</v>
      </c>
      <c r="G10168" t="str">
        <v>ProjectedCrs</v>
      </c>
      <c r="H10168" t="str">
        <v>Orthographic</v>
      </c>
      <c r="I10168" t="str">
        <v>Despina (2015) / Ographic / Orthographic, clon = 180</v>
      </c>
      <c r="J10168" t="str">
        <v>Not specified.</v>
      </c>
      <c r="K10168" s="11">
        <v>0</v>
      </c>
    </row>
    <row r="10169" spans="5:11" x14ac:dyDescent="0.35">
      <c r="E10169" s="9" t="str">
        <v>IAU_2015</v>
      </c>
      <c r="F10169" s="7" t="str">
        <v>80575</v>
      </c>
      <c r="G10169" t="str">
        <v>ProjectedCrs</v>
      </c>
      <c r="H10169" t="str">
        <v>Lambert Conic Conformal (2SP)</v>
      </c>
      <c r="I10169" t="str">
        <v>Despina (2015) - Sphere / Ocentric / Lambert Conic Conformal</v>
      </c>
      <c r="J10169" t="str">
        <v>Not specified.</v>
      </c>
      <c r="K10169" s="11">
        <v>0</v>
      </c>
    </row>
    <row r="10170" spans="5:11" x14ac:dyDescent="0.35">
      <c r="E10170" s="9" t="str">
        <v>IAU_2015</v>
      </c>
      <c r="F10170" s="7" t="str">
        <v>80576</v>
      </c>
      <c r="G10170" t="str">
        <v>ProjectedCrs</v>
      </c>
      <c r="H10170" t="str">
        <v>Lambert Conic Conformal (2SP)</v>
      </c>
      <c r="I10170" t="str">
        <v>Despina (2015) / Ographic / Lambert Conic Conformal</v>
      </c>
      <c r="J10170" t="str">
        <v>Not specified.</v>
      </c>
      <c r="K10170" s="11">
        <v>0</v>
      </c>
    </row>
    <row r="10171" spans="5:11" x14ac:dyDescent="0.35">
      <c r="E10171" s="9" t="str">
        <v>IAU_2015</v>
      </c>
      <c r="F10171" s="7" t="str">
        <v>80580</v>
      </c>
      <c r="G10171" t="str">
        <v>ProjectedCrs</v>
      </c>
      <c r="H10171" t="str">
        <v>Lambert Azimuthal Equal Area</v>
      </c>
      <c r="I10171" t="str">
        <v>Despina (2015) - Sphere / Ocentric / Lambert Azimuthal Equal Area</v>
      </c>
      <c r="J10171" t="str">
        <v>Not specified.</v>
      </c>
      <c r="K10171" s="11">
        <v>0</v>
      </c>
    </row>
    <row r="10172" spans="5:11" x14ac:dyDescent="0.35">
      <c r="E10172" s="9" t="str">
        <v>IAU_2015</v>
      </c>
      <c r="F10172" s="7" t="str">
        <v>80581</v>
      </c>
      <c r="G10172" t="str">
        <v>ProjectedCrs</v>
      </c>
      <c r="H10172" t="str">
        <v>Lambert Azimuthal Equal Area</v>
      </c>
      <c r="I10172" t="str">
        <v>Despina (2015) / Ographic / Lambert Azimuthal Equal Area</v>
      </c>
      <c r="J10172" t="str">
        <v>Not specified.</v>
      </c>
      <c r="K10172" s="11">
        <v>0</v>
      </c>
    </row>
    <row r="10173" spans="5:11" x14ac:dyDescent="0.35">
      <c r="E10173" s="9" t="str">
        <v>IAU_2015</v>
      </c>
      <c r="F10173" s="7" t="str">
        <v>80585</v>
      </c>
      <c r="G10173" t="str">
        <v>ProjectedCrs</v>
      </c>
      <c r="H10173" t="str">
        <v>Albers Equal Area</v>
      </c>
      <c r="I10173" t="str">
        <v>Despina (2015) - Sphere / Ocentric / Albers Equal Area</v>
      </c>
      <c r="J10173" t="str">
        <v>Not specified.</v>
      </c>
      <c r="K10173" s="11">
        <v>0</v>
      </c>
    </row>
    <row r="10174" spans="5:11" x14ac:dyDescent="0.35">
      <c r="E10174" s="9" t="str">
        <v>IAU_2015</v>
      </c>
      <c r="F10174" s="7" t="str">
        <v>80586</v>
      </c>
      <c r="G10174" t="str">
        <v>ProjectedCrs</v>
      </c>
      <c r="H10174" t="str">
        <v>Albers Equal Area</v>
      </c>
      <c r="I10174" t="str">
        <v>Despina (2015) / Ographic / Albers Equal Area</v>
      </c>
      <c r="J10174" t="str">
        <v>Not specified.</v>
      </c>
      <c r="K10174" s="11">
        <v>0</v>
      </c>
    </row>
    <row r="10175" spans="5:11" x14ac:dyDescent="0.35">
      <c r="E10175" s="9" t="str">
        <v>IAU_2015</v>
      </c>
      <c r="F10175" s="7" t="str">
        <v>80590</v>
      </c>
      <c r="G10175" t="str">
        <v>ProjectedCrs</v>
      </c>
      <c r="H10175" t="str">
        <v>Mercator (Spherical)</v>
      </c>
      <c r="I10175" t="str">
        <v>Despina (2015) - Sphere / Ocentric / Mercator</v>
      </c>
      <c r="J10175" t="str">
        <v>Not specified.</v>
      </c>
      <c r="K10175" s="11">
        <v>0</v>
      </c>
    </row>
    <row r="10176" spans="5:11" x14ac:dyDescent="0.35">
      <c r="E10176" s="9" t="str">
        <v>IAU_2015</v>
      </c>
      <c r="F10176" s="7" t="str">
        <v>80591</v>
      </c>
      <c r="G10176" t="str">
        <v>ProjectedCrs</v>
      </c>
      <c r="H10176" t="str">
        <v>Mercator (Spherical)</v>
      </c>
      <c r="I10176" t="str">
        <v>Despina (2015) / Ographic / Mercator</v>
      </c>
      <c r="J10176" t="str">
        <v>Not specified.</v>
      </c>
      <c r="K10176" s="11">
        <v>0</v>
      </c>
    </row>
    <row r="10177" spans="5:11" x14ac:dyDescent="0.35">
      <c r="E10177" s="9" t="str">
        <v>IAU_2015</v>
      </c>
      <c r="F10177" s="7" t="str">
        <v>80600</v>
      </c>
      <c r="G10177" t="str">
        <v>Geographic2DCrs</v>
      </c>
      <c r="H10177" t="str">
        <v>&lt;undefined&gt;</v>
      </c>
      <c r="I10177" t="str">
        <v>Galatea (2015) - Sphere / Ocentric</v>
      </c>
      <c r="J10177" t="str">
        <v>Not specified.</v>
      </c>
      <c r="K10177" s="11">
        <v>0</v>
      </c>
    </row>
    <row r="10178" spans="5:11" x14ac:dyDescent="0.35">
      <c r="E10178" s="9" t="str">
        <v>IAU_2015</v>
      </c>
      <c r="F10178" s="7" t="str">
        <v>80601</v>
      </c>
      <c r="G10178" t="str">
        <v>Geographic2DCrs</v>
      </c>
      <c r="H10178" t="str">
        <v>&lt;undefined&gt;</v>
      </c>
      <c r="I10178" t="str">
        <v>Galatea (2015) / Ographic</v>
      </c>
      <c r="J10178" t="str">
        <v>Not specified.</v>
      </c>
      <c r="K10178" s="11">
        <v>0</v>
      </c>
    </row>
    <row r="10179" spans="5:11" x14ac:dyDescent="0.35">
      <c r="E10179" s="9" t="str">
        <v>IAU_2015</v>
      </c>
      <c r="F10179" s="7" t="str">
        <v>80610</v>
      </c>
      <c r="G10179" t="str">
        <v>ProjectedCrs</v>
      </c>
      <c r="H10179" t="str">
        <v>Equidistant Cylindrical</v>
      </c>
      <c r="I10179" t="str">
        <v>Galatea (2015) - Sphere / Ocentric / Equirectangular, clon = 0</v>
      </c>
      <c r="J10179" t="str">
        <v>Not specified.</v>
      </c>
      <c r="K10179" s="11">
        <v>0</v>
      </c>
    </row>
    <row r="10180" spans="5:11" x14ac:dyDescent="0.35">
      <c r="E10180" s="9" t="str">
        <v>IAU_2015</v>
      </c>
      <c r="F10180" s="7" t="str">
        <v>80611</v>
      </c>
      <c r="G10180" t="str">
        <v>ProjectedCrs</v>
      </c>
      <c r="H10180" t="str">
        <v>Equidistant Cylindrical</v>
      </c>
      <c r="I10180" t="str">
        <v>Galatea (2015) / Ographic / Equirectangular, clon = 0</v>
      </c>
      <c r="J10180" t="str">
        <v>Not specified.</v>
      </c>
      <c r="K10180" s="11">
        <v>0</v>
      </c>
    </row>
    <row r="10181" spans="5:11" x14ac:dyDescent="0.35">
      <c r="E10181" s="9" t="str">
        <v>IAU_2015</v>
      </c>
      <c r="F10181" s="7" t="str">
        <v>80615</v>
      </c>
      <c r="G10181" t="str">
        <v>ProjectedCrs</v>
      </c>
      <c r="H10181" t="str">
        <v>Equidistant Cylindrical</v>
      </c>
      <c r="I10181" t="str">
        <v>Galatea (2015) - Sphere / Ocentric / Equirectangular, clon = 180</v>
      </c>
      <c r="J10181" t="str">
        <v>Not specified.</v>
      </c>
      <c r="K10181" s="11">
        <v>0</v>
      </c>
    </row>
    <row r="10182" spans="5:11" x14ac:dyDescent="0.35">
      <c r="E10182" s="9" t="str">
        <v>IAU_2015</v>
      </c>
      <c r="F10182" s="7" t="str">
        <v>80616</v>
      </c>
      <c r="G10182" t="str">
        <v>ProjectedCrs</v>
      </c>
      <c r="H10182" t="str">
        <v>Equidistant Cylindrical</v>
      </c>
      <c r="I10182" t="str">
        <v>Galatea (2015) / Ographic / Equirectangular, clon = 180</v>
      </c>
      <c r="J10182" t="str">
        <v>Not specified.</v>
      </c>
      <c r="K10182" s="11">
        <v>0</v>
      </c>
    </row>
    <row r="10183" spans="5:11" x14ac:dyDescent="0.35">
      <c r="E10183" s="9" t="str">
        <v>IAU_2015</v>
      </c>
      <c r="F10183" s="7" t="str">
        <v>80620</v>
      </c>
      <c r="G10183" t="str">
        <v>ProjectedCrs</v>
      </c>
      <c r="H10183" t="str">
        <v>Sinusoidal</v>
      </c>
      <c r="I10183" t="str">
        <v>Galatea (2015) - Sphere / Ocentric / Sinusoidal, clon = 0</v>
      </c>
      <c r="J10183" t="str">
        <v>Not specified.</v>
      </c>
      <c r="K10183" s="11">
        <v>0</v>
      </c>
    </row>
    <row r="10184" spans="5:11" x14ac:dyDescent="0.35">
      <c r="E10184" s="9" t="str">
        <v>IAU_2015</v>
      </c>
      <c r="F10184" s="7" t="str">
        <v>80621</v>
      </c>
      <c r="G10184" t="str">
        <v>ProjectedCrs</v>
      </c>
      <c r="H10184" t="str">
        <v>Sinusoidal</v>
      </c>
      <c r="I10184" t="str">
        <v>Galatea (2015) / Ographic / Sinusoidal, clon = 0</v>
      </c>
      <c r="J10184" t="str">
        <v>Not specified.</v>
      </c>
      <c r="K10184" s="11">
        <v>0</v>
      </c>
    </row>
    <row r="10185" spans="5:11" x14ac:dyDescent="0.35">
      <c r="E10185" s="9" t="str">
        <v>IAU_2015</v>
      </c>
      <c r="F10185" s="7" t="str">
        <v>80625</v>
      </c>
      <c r="G10185" t="str">
        <v>ProjectedCrs</v>
      </c>
      <c r="H10185" t="str">
        <v>Sinusoidal</v>
      </c>
      <c r="I10185" t="str">
        <v>Galatea (2015) - Sphere / Ocentric / Sinusoidal, clon = 180</v>
      </c>
      <c r="J10185" t="str">
        <v>Not specified.</v>
      </c>
      <c r="K10185" s="11">
        <v>0</v>
      </c>
    </row>
    <row r="10186" spans="5:11" x14ac:dyDescent="0.35">
      <c r="E10186" s="9" t="str">
        <v>IAU_2015</v>
      </c>
      <c r="F10186" s="7" t="str">
        <v>80626</v>
      </c>
      <c r="G10186" t="str">
        <v>ProjectedCrs</v>
      </c>
      <c r="H10186" t="str">
        <v>Sinusoidal</v>
      </c>
      <c r="I10186" t="str">
        <v>Galatea (2015) / Ographic / Sinusoidal, clon = 180</v>
      </c>
      <c r="J10186" t="str">
        <v>Not specified.</v>
      </c>
      <c r="K10186" s="11">
        <v>0</v>
      </c>
    </row>
    <row r="10187" spans="5:11" x14ac:dyDescent="0.35">
      <c r="E10187" s="9" t="str">
        <v>IAU_2015</v>
      </c>
      <c r="F10187" s="7" t="str">
        <v>80630</v>
      </c>
      <c r="G10187" t="str">
        <v>ProjectedCrs</v>
      </c>
      <c r="H10187" t="str">
        <v>Polar Stereographic (variant A)</v>
      </c>
      <c r="I10187" t="str">
        <v>Galatea (2015) - Sphere / Ocentric / North Polar</v>
      </c>
      <c r="J10187" t="str">
        <v>Not specified.</v>
      </c>
      <c r="K10187" s="11">
        <v>0</v>
      </c>
    </row>
    <row r="10188" spans="5:11" x14ac:dyDescent="0.35">
      <c r="E10188" s="9" t="str">
        <v>IAU_2015</v>
      </c>
      <c r="F10188" s="7" t="str">
        <v>80631</v>
      </c>
      <c r="G10188" t="str">
        <v>ProjectedCrs</v>
      </c>
      <c r="H10188" t="str">
        <v>Polar Stereographic (variant A)</v>
      </c>
      <c r="I10188" t="str">
        <v>Galatea (2015) / Ographic / North Polar</v>
      </c>
      <c r="J10188" t="str">
        <v>Not specified.</v>
      </c>
      <c r="K10188" s="11">
        <v>0</v>
      </c>
    </row>
    <row r="10189" spans="5:11" x14ac:dyDescent="0.35">
      <c r="E10189" s="9" t="str">
        <v>IAU_2015</v>
      </c>
      <c r="F10189" s="7" t="str">
        <v>80635</v>
      </c>
      <c r="G10189" t="str">
        <v>ProjectedCrs</v>
      </c>
      <c r="H10189" t="str">
        <v>Polar Stereographic (variant A)</v>
      </c>
      <c r="I10189" t="str">
        <v>Galatea (2015) - Sphere / Ocentric / South Polar</v>
      </c>
      <c r="J10189" t="str">
        <v>Not specified.</v>
      </c>
      <c r="K10189" s="11">
        <v>0</v>
      </c>
    </row>
    <row r="10190" spans="5:11" x14ac:dyDescent="0.35">
      <c r="E10190" s="9" t="str">
        <v>IAU_2015</v>
      </c>
      <c r="F10190" s="7" t="str">
        <v>80636</v>
      </c>
      <c r="G10190" t="str">
        <v>ProjectedCrs</v>
      </c>
      <c r="H10190" t="str">
        <v>Polar Stereographic (variant A)</v>
      </c>
      <c r="I10190" t="str">
        <v>Galatea (2015) / Ographic / South Polar</v>
      </c>
      <c r="J10190" t="str">
        <v>Not specified.</v>
      </c>
      <c r="K10190" s="11">
        <v>0</v>
      </c>
    </row>
    <row r="10191" spans="5:11" x14ac:dyDescent="0.35">
      <c r="E10191" s="9" t="str">
        <v>IAU_2015</v>
      </c>
      <c r="F10191" s="7" t="str">
        <v>80640</v>
      </c>
      <c r="G10191" t="str">
        <v>ProjectedCrs</v>
      </c>
      <c r="H10191" t="str">
        <v>Mollweide</v>
      </c>
      <c r="I10191" t="str">
        <v>Galatea (2015) - Sphere / Ocentric / Mollweide, clon = 0</v>
      </c>
      <c r="J10191" t="str">
        <v>Not specified.</v>
      </c>
      <c r="K10191" s="11">
        <v>0</v>
      </c>
    </row>
    <row r="10192" spans="5:11" x14ac:dyDescent="0.35">
      <c r="E10192" s="9" t="str">
        <v>IAU_2015</v>
      </c>
      <c r="F10192" s="7" t="str">
        <v>80641</v>
      </c>
      <c r="G10192" t="str">
        <v>ProjectedCrs</v>
      </c>
      <c r="H10192" t="str">
        <v>Mollweide</v>
      </c>
      <c r="I10192" t="str">
        <v>Galatea (2015) / Ographic / Mollweide, clon = 0</v>
      </c>
      <c r="J10192" t="str">
        <v>Not specified.</v>
      </c>
      <c r="K10192" s="11">
        <v>0</v>
      </c>
    </row>
    <row r="10193" spans="5:11" x14ac:dyDescent="0.35">
      <c r="E10193" s="9" t="str">
        <v>IAU_2015</v>
      </c>
      <c r="F10193" s="7" t="str">
        <v>80645</v>
      </c>
      <c r="G10193" t="str">
        <v>ProjectedCrs</v>
      </c>
      <c r="H10193" t="str">
        <v>Mollweide</v>
      </c>
      <c r="I10193" t="str">
        <v>Galatea (2015) - Sphere / Ocentric / Mollweide, clon = 180</v>
      </c>
      <c r="J10193" t="str">
        <v>Not specified.</v>
      </c>
      <c r="K10193" s="11">
        <v>0</v>
      </c>
    </row>
    <row r="10194" spans="5:11" x14ac:dyDescent="0.35">
      <c r="E10194" s="9" t="str">
        <v>IAU_2015</v>
      </c>
      <c r="F10194" s="7" t="str">
        <v>80646</v>
      </c>
      <c r="G10194" t="str">
        <v>ProjectedCrs</v>
      </c>
      <c r="H10194" t="str">
        <v>Mollweide</v>
      </c>
      <c r="I10194" t="str">
        <v>Galatea (2015) / Ographic / Mollweide, clon = 180</v>
      </c>
      <c r="J10194" t="str">
        <v>Not specified.</v>
      </c>
      <c r="K10194" s="11">
        <v>0</v>
      </c>
    </row>
    <row r="10195" spans="5:11" x14ac:dyDescent="0.35">
      <c r="E10195" s="9" t="str">
        <v>IAU_2015</v>
      </c>
      <c r="F10195" s="7" t="str">
        <v>80650</v>
      </c>
      <c r="G10195" t="str">
        <v>ProjectedCrs</v>
      </c>
      <c r="H10195" t="str">
        <v>Robinson</v>
      </c>
      <c r="I10195" t="str">
        <v>Galatea (2015) - Sphere / Ocentric / Robinson, clon = 0</v>
      </c>
      <c r="J10195" t="str">
        <v>Not specified.</v>
      </c>
      <c r="K10195" s="11">
        <v>0</v>
      </c>
    </row>
    <row r="10196" spans="5:11" x14ac:dyDescent="0.35">
      <c r="E10196" s="9" t="str">
        <v>IAU_2015</v>
      </c>
      <c r="F10196" s="7" t="str">
        <v>80651</v>
      </c>
      <c r="G10196" t="str">
        <v>ProjectedCrs</v>
      </c>
      <c r="H10196" t="str">
        <v>Robinson</v>
      </c>
      <c r="I10196" t="str">
        <v>Galatea (2015) / Ographic / Robinson, clon = 0</v>
      </c>
      <c r="J10196" t="str">
        <v>Not specified.</v>
      </c>
      <c r="K10196" s="11">
        <v>0</v>
      </c>
    </row>
    <row r="10197" spans="5:11" x14ac:dyDescent="0.35">
      <c r="E10197" s="9" t="str">
        <v>IAU_2015</v>
      </c>
      <c r="F10197" s="7" t="str">
        <v>80655</v>
      </c>
      <c r="G10197" t="str">
        <v>ProjectedCrs</v>
      </c>
      <c r="H10197" t="str">
        <v>Robinson</v>
      </c>
      <c r="I10197" t="str">
        <v>Galatea (2015) - Sphere / Ocentric / Robinson, clon = 180</v>
      </c>
      <c r="J10197" t="str">
        <v>Not specified.</v>
      </c>
      <c r="K10197" s="11">
        <v>0</v>
      </c>
    </row>
    <row r="10198" spans="5:11" x14ac:dyDescent="0.35">
      <c r="E10198" s="9" t="str">
        <v>IAU_2015</v>
      </c>
      <c r="F10198" s="7" t="str">
        <v>80656</v>
      </c>
      <c r="G10198" t="str">
        <v>ProjectedCrs</v>
      </c>
      <c r="H10198" t="str">
        <v>Robinson</v>
      </c>
      <c r="I10198" t="str">
        <v>Galatea (2015) / Ographic / Robinson, clon = 180</v>
      </c>
      <c r="J10198" t="str">
        <v>Not specified.</v>
      </c>
      <c r="K10198" s="11">
        <v>0</v>
      </c>
    </row>
    <row r="10199" spans="5:11" x14ac:dyDescent="0.35">
      <c r="E10199" s="9" t="str">
        <v>IAU_2015</v>
      </c>
      <c r="F10199" s="7" t="str">
        <v>80660</v>
      </c>
      <c r="G10199" t="str">
        <v>ProjectedCrs</v>
      </c>
      <c r="H10199" t="str">
        <v>Transverse Mercator</v>
      </c>
      <c r="I10199" t="str">
        <v>Galatea (2015) - Sphere / Ocentric / Tranverse Mercator</v>
      </c>
      <c r="J10199" t="str">
        <v>Not specified.</v>
      </c>
      <c r="K10199" s="11">
        <v>0</v>
      </c>
    </row>
    <row r="10200" spans="5:11" x14ac:dyDescent="0.35">
      <c r="E10200" s="9" t="str">
        <v>IAU_2015</v>
      </c>
      <c r="F10200" s="7" t="str">
        <v>80661</v>
      </c>
      <c r="G10200" t="str">
        <v>ProjectedCrs</v>
      </c>
      <c r="H10200" t="str">
        <v>Transverse Mercator</v>
      </c>
      <c r="I10200" t="str">
        <v>Galatea (2015) / Ographic / Tranverse Mercator</v>
      </c>
      <c r="J10200" t="str">
        <v>Not specified.</v>
      </c>
      <c r="K10200" s="11">
        <v>0</v>
      </c>
    </row>
    <row r="10201" spans="5:11" x14ac:dyDescent="0.35">
      <c r="E10201" s="9" t="str">
        <v>IAU_2015</v>
      </c>
      <c r="F10201" s="7" t="str">
        <v>80665</v>
      </c>
      <c r="G10201" t="str">
        <v>ProjectedCrs</v>
      </c>
      <c r="H10201" t="str">
        <v>Orthographic</v>
      </c>
      <c r="I10201" t="str">
        <v>Galatea (2015) - Sphere / Ocentric / Orthographic, clon = 0</v>
      </c>
      <c r="J10201" t="str">
        <v>Not specified.</v>
      </c>
      <c r="K10201" s="11">
        <v>0</v>
      </c>
    </row>
    <row r="10202" spans="5:11" x14ac:dyDescent="0.35">
      <c r="E10202" s="9" t="str">
        <v>IAU_2015</v>
      </c>
      <c r="F10202" s="7" t="str">
        <v>80666</v>
      </c>
      <c r="G10202" t="str">
        <v>ProjectedCrs</v>
      </c>
      <c r="H10202" t="str">
        <v>Orthographic</v>
      </c>
      <c r="I10202" t="str">
        <v>Galatea (2015) / Ographic / Orthographic, clon = 0</v>
      </c>
      <c r="J10202" t="str">
        <v>Not specified.</v>
      </c>
      <c r="K10202" s="11">
        <v>0</v>
      </c>
    </row>
    <row r="10203" spans="5:11" x14ac:dyDescent="0.35">
      <c r="E10203" s="9" t="str">
        <v>IAU_2015</v>
      </c>
      <c r="F10203" s="7" t="str">
        <v>80670</v>
      </c>
      <c r="G10203" t="str">
        <v>ProjectedCrs</v>
      </c>
      <c r="H10203" t="str">
        <v>Orthographic</v>
      </c>
      <c r="I10203" t="str">
        <v>Galatea (2015) - Sphere / Ocentric / Orthographic, clon = 180</v>
      </c>
      <c r="J10203" t="str">
        <v>Not specified.</v>
      </c>
      <c r="K10203" s="11">
        <v>0</v>
      </c>
    </row>
    <row r="10204" spans="5:11" x14ac:dyDescent="0.35">
      <c r="E10204" s="9" t="str">
        <v>IAU_2015</v>
      </c>
      <c r="F10204" s="7" t="str">
        <v>80671</v>
      </c>
      <c r="G10204" t="str">
        <v>ProjectedCrs</v>
      </c>
      <c r="H10204" t="str">
        <v>Orthographic</v>
      </c>
      <c r="I10204" t="str">
        <v>Galatea (2015) / Ographic / Orthographic, clon = 180</v>
      </c>
      <c r="J10204" t="str">
        <v>Not specified.</v>
      </c>
      <c r="K10204" s="11">
        <v>0</v>
      </c>
    </row>
    <row r="10205" spans="5:11" x14ac:dyDescent="0.35">
      <c r="E10205" s="9" t="str">
        <v>IAU_2015</v>
      </c>
      <c r="F10205" s="7" t="str">
        <v>80675</v>
      </c>
      <c r="G10205" t="str">
        <v>ProjectedCrs</v>
      </c>
      <c r="H10205" t="str">
        <v>Lambert Conic Conformal (2SP)</v>
      </c>
      <c r="I10205" t="str">
        <v>Galatea (2015) - Sphere / Ocentric / Lambert Conic Conformal</v>
      </c>
      <c r="J10205" t="str">
        <v>Not specified.</v>
      </c>
      <c r="K10205" s="11">
        <v>0</v>
      </c>
    </row>
    <row r="10206" spans="5:11" x14ac:dyDescent="0.35">
      <c r="E10206" s="9" t="str">
        <v>IAU_2015</v>
      </c>
      <c r="F10206" s="7" t="str">
        <v>80676</v>
      </c>
      <c r="G10206" t="str">
        <v>ProjectedCrs</v>
      </c>
      <c r="H10206" t="str">
        <v>Lambert Conic Conformal (2SP)</v>
      </c>
      <c r="I10206" t="str">
        <v>Galatea (2015) / Ographic / Lambert Conic Conformal</v>
      </c>
      <c r="J10206" t="str">
        <v>Not specified.</v>
      </c>
      <c r="K10206" s="11">
        <v>0</v>
      </c>
    </row>
    <row r="10207" spans="5:11" x14ac:dyDescent="0.35">
      <c r="E10207" s="9" t="str">
        <v>IAU_2015</v>
      </c>
      <c r="F10207" s="7" t="str">
        <v>80680</v>
      </c>
      <c r="G10207" t="str">
        <v>ProjectedCrs</v>
      </c>
      <c r="H10207" t="str">
        <v>Lambert Azimuthal Equal Area</v>
      </c>
      <c r="I10207" t="str">
        <v>Galatea (2015) - Sphere / Ocentric / Lambert Azimuthal Equal Area</v>
      </c>
      <c r="J10207" t="str">
        <v>Not specified.</v>
      </c>
      <c r="K10207" s="11">
        <v>0</v>
      </c>
    </row>
    <row r="10208" spans="5:11" x14ac:dyDescent="0.35">
      <c r="E10208" s="9" t="str">
        <v>IAU_2015</v>
      </c>
      <c r="F10208" s="7" t="str">
        <v>80681</v>
      </c>
      <c r="G10208" t="str">
        <v>ProjectedCrs</v>
      </c>
      <c r="H10208" t="str">
        <v>Lambert Azimuthal Equal Area</v>
      </c>
      <c r="I10208" t="str">
        <v>Galatea (2015) / Ographic / Lambert Azimuthal Equal Area</v>
      </c>
      <c r="J10208" t="str">
        <v>Not specified.</v>
      </c>
      <c r="K10208" s="11">
        <v>0</v>
      </c>
    </row>
    <row r="10209" spans="5:11" x14ac:dyDescent="0.35">
      <c r="E10209" s="9" t="str">
        <v>IAU_2015</v>
      </c>
      <c r="F10209" s="7" t="str">
        <v>80685</v>
      </c>
      <c r="G10209" t="str">
        <v>ProjectedCrs</v>
      </c>
      <c r="H10209" t="str">
        <v>Albers Equal Area</v>
      </c>
      <c r="I10209" t="str">
        <v>Galatea (2015) - Sphere / Ocentric / Albers Equal Area</v>
      </c>
      <c r="J10209" t="str">
        <v>Not specified.</v>
      </c>
      <c r="K10209" s="11">
        <v>0</v>
      </c>
    </row>
    <row r="10210" spans="5:11" x14ac:dyDescent="0.35">
      <c r="E10210" s="9" t="str">
        <v>IAU_2015</v>
      </c>
      <c r="F10210" s="7" t="str">
        <v>80686</v>
      </c>
      <c r="G10210" t="str">
        <v>ProjectedCrs</v>
      </c>
      <c r="H10210" t="str">
        <v>Albers Equal Area</v>
      </c>
      <c r="I10210" t="str">
        <v>Galatea (2015) / Ographic / Albers Equal Area</v>
      </c>
      <c r="J10210" t="str">
        <v>Not specified.</v>
      </c>
      <c r="K10210" s="11">
        <v>0</v>
      </c>
    </row>
    <row r="10211" spans="5:11" x14ac:dyDescent="0.35">
      <c r="E10211" s="9" t="str">
        <v>IAU_2015</v>
      </c>
      <c r="F10211" s="7" t="str">
        <v>80690</v>
      </c>
      <c r="G10211" t="str">
        <v>ProjectedCrs</v>
      </c>
      <c r="H10211" t="str">
        <v>Mercator (Spherical)</v>
      </c>
      <c r="I10211" t="str">
        <v>Galatea (2015) - Sphere / Ocentric / Mercator</v>
      </c>
      <c r="J10211" t="str">
        <v>Not specified.</v>
      </c>
      <c r="K10211" s="11">
        <v>0</v>
      </c>
    </row>
    <row r="10212" spans="5:11" x14ac:dyDescent="0.35">
      <c r="E10212" s="9" t="str">
        <v>IAU_2015</v>
      </c>
      <c r="F10212" s="7" t="str">
        <v>80691</v>
      </c>
      <c r="G10212" t="str">
        <v>ProjectedCrs</v>
      </c>
      <c r="H10212" t="str">
        <v>Mercator (Spherical)</v>
      </c>
      <c r="I10212" t="str">
        <v>Galatea (2015) / Ographic / Mercator</v>
      </c>
      <c r="J10212" t="str">
        <v>Not specified.</v>
      </c>
      <c r="K10212" s="11">
        <v>0</v>
      </c>
    </row>
    <row r="10213" spans="5:11" x14ac:dyDescent="0.35">
      <c r="E10213" s="9" t="str">
        <v>IAU_2015</v>
      </c>
      <c r="F10213" s="7" t="str">
        <v>80700</v>
      </c>
      <c r="G10213" t="str">
        <v>Geographic2DCrs</v>
      </c>
      <c r="H10213" t="str">
        <v>&lt;undefined&gt;</v>
      </c>
      <c r="I10213" t="str">
        <v>Larissa (2015) - Sphere / Ocentric</v>
      </c>
      <c r="J10213" t="str">
        <v>Not specified.</v>
      </c>
      <c r="K10213" s="11">
        <v>0</v>
      </c>
    </row>
    <row r="10214" spans="5:11" x14ac:dyDescent="0.35">
      <c r="E10214" s="9" t="str">
        <v>IAU_2015</v>
      </c>
      <c r="F10214" s="7" t="str">
        <v>80701</v>
      </c>
      <c r="G10214" t="str">
        <v>Geographic2DCrs</v>
      </c>
      <c r="H10214" t="str">
        <v>&lt;undefined&gt;</v>
      </c>
      <c r="I10214" t="str">
        <v>Larissa (2015) / Ographic</v>
      </c>
      <c r="J10214" t="str">
        <v>Not specified.</v>
      </c>
      <c r="K10214" s="11">
        <v>0</v>
      </c>
    </row>
    <row r="10215" spans="5:11" x14ac:dyDescent="0.35">
      <c r="E10215" s="9" t="str">
        <v>IAU_2015</v>
      </c>
      <c r="F10215" s="7" t="str">
        <v>80702</v>
      </c>
      <c r="G10215" t="str">
        <v>GeodeticCrs</v>
      </c>
      <c r="H10215" t="str">
        <v>&lt;undefined&gt;</v>
      </c>
      <c r="I10215" t="str">
        <v>Larissa (2015) / Ocentric</v>
      </c>
      <c r="J10215" t="str">
        <v>Not specified.</v>
      </c>
      <c r="K10215" s="11">
        <v>0</v>
      </c>
    </row>
    <row r="10216" spans="5:11" x14ac:dyDescent="0.35">
      <c r="E10216" s="9" t="str">
        <v>IAU_2015</v>
      </c>
      <c r="F10216" s="7" t="str">
        <v>80710</v>
      </c>
      <c r="G10216" t="str">
        <v>ProjectedCrs</v>
      </c>
      <c r="H10216" t="str">
        <v>Equidistant Cylindrical</v>
      </c>
      <c r="I10216" t="str">
        <v>Larissa (2015) - Sphere / Ocentric / Equirectangular, clon = 0</v>
      </c>
      <c r="J10216" t="str">
        <v>Not specified.</v>
      </c>
      <c r="K10216" s="11">
        <v>0</v>
      </c>
    </row>
    <row r="10217" spans="5:11" x14ac:dyDescent="0.35">
      <c r="E10217" s="9" t="str">
        <v>IAU_2015</v>
      </c>
      <c r="F10217" s="7" t="str">
        <v>80711</v>
      </c>
      <c r="G10217" t="str">
        <v>ProjectedCrs</v>
      </c>
      <c r="H10217" t="str">
        <v>Equidistant Cylindrical</v>
      </c>
      <c r="I10217" t="str">
        <v>Larissa (2015) / Ographic / Equirectangular, clon = 0</v>
      </c>
      <c r="J10217" t="str">
        <v>Not specified.</v>
      </c>
      <c r="K10217" s="11">
        <v>0</v>
      </c>
    </row>
    <row r="10218" spans="5:11" x14ac:dyDescent="0.35">
      <c r="E10218" s="9" t="str">
        <v>IAU_2015</v>
      </c>
      <c r="F10218" s="7" t="str">
        <v>80712</v>
      </c>
      <c r="G10218" t="str">
        <v>ProjectedCrs</v>
      </c>
      <c r="H10218" t="str">
        <v>Equidistant Cylindrical</v>
      </c>
      <c r="I10218" t="str">
        <v>Larissa (2015) / Ocentric / Equirectangular, clon = 0</v>
      </c>
      <c r="J10218" t="str">
        <v>Not specified.</v>
      </c>
      <c r="K10218" s="11">
        <v>0</v>
      </c>
    </row>
    <row r="10219" spans="5:11" x14ac:dyDescent="0.35">
      <c r="E10219" s="9" t="str">
        <v>IAU_2015</v>
      </c>
      <c r="F10219" s="7" t="str">
        <v>80715</v>
      </c>
      <c r="G10219" t="str">
        <v>ProjectedCrs</v>
      </c>
      <c r="H10219" t="str">
        <v>Equidistant Cylindrical</v>
      </c>
      <c r="I10219" t="str">
        <v>Larissa (2015) - Sphere / Ocentric / Equirectangular, clon = 180</v>
      </c>
      <c r="J10219" t="str">
        <v>Not specified.</v>
      </c>
      <c r="K10219" s="11">
        <v>0</v>
      </c>
    </row>
    <row r="10220" spans="5:11" x14ac:dyDescent="0.35">
      <c r="E10220" s="9" t="str">
        <v>IAU_2015</v>
      </c>
      <c r="F10220" s="7" t="str">
        <v>80716</v>
      </c>
      <c r="G10220" t="str">
        <v>ProjectedCrs</v>
      </c>
      <c r="H10220" t="str">
        <v>Equidistant Cylindrical</v>
      </c>
      <c r="I10220" t="str">
        <v>Larissa (2015) / Ographic / Equirectangular, clon = 180</v>
      </c>
      <c r="J10220" t="str">
        <v>Not specified.</v>
      </c>
      <c r="K10220" s="11">
        <v>0</v>
      </c>
    </row>
    <row r="10221" spans="5:11" x14ac:dyDescent="0.35">
      <c r="E10221" s="9" t="str">
        <v>IAU_2015</v>
      </c>
      <c r="F10221" s="7" t="str">
        <v>80717</v>
      </c>
      <c r="G10221" t="str">
        <v>ProjectedCrs</v>
      </c>
      <c r="H10221" t="str">
        <v>Equidistant Cylindrical</v>
      </c>
      <c r="I10221" t="str">
        <v>Larissa (2015) / Ocentric / Equirectangular, clon = 180</v>
      </c>
      <c r="J10221" t="str">
        <v>Not specified.</v>
      </c>
      <c r="K10221" s="11">
        <v>0</v>
      </c>
    </row>
    <row r="10222" spans="5:11" x14ac:dyDescent="0.35">
      <c r="E10222" s="9" t="str">
        <v>IAU_2015</v>
      </c>
      <c r="F10222" s="7" t="str">
        <v>80720</v>
      </c>
      <c r="G10222" t="str">
        <v>ProjectedCrs</v>
      </c>
      <c r="H10222" t="str">
        <v>Sinusoidal</v>
      </c>
      <c r="I10222" t="str">
        <v>Larissa (2015) - Sphere / Ocentric / Sinusoidal, clon = 0</v>
      </c>
      <c r="J10222" t="str">
        <v>Not specified.</v>
      </c>
      <c r="K10222" s="11">
        <v>0</v>
      </c>
    </row>
    <row r="10223" spans="5:11" x14ac:dyDescent="0.35">
      <c r="E10223" s="9" t="str">
        <v>IAU_2015</v>
      </c>
      <c r="F10223" s="7" t="str">
        <v>80721</v>
      </c>
      <c r="G10223" t="str">
        <v>ProjectedCrs</v>
      </c>
      <c r="H10223" t="str">
        <v>Sinusoidal</v>
      </c>
      <c r="I10223" t="str">
        <v>Larissa (2015) / Ographic / Sinusoidal, clon = 0</v>
      </c>
      <c r="J10223" t="str">
        <v>Not specified.</v>
      </c>
      <c r="K10223" s="11">
        <v>0</v>
      </c>
    </row>
    <row r="10224" spans="5:11" x14ac:dyDescent="0.35">
      <c r="E10224" s="9" t="str">
        <v>IAU_2015</v>
      </c>
      <c r="F10224" s="7" t="str">
        <v>80722</v>
      </c>
      <c r="G10224" t="str">
        <v>ProjectedCrs</v>
      </c>
      <c r="H10224" t="str">
        <v>Sinusoidal</v>
      </c>
      <c r="I10224" t="str">
        <v>Larissa (2015) / Ocentric / Sinusoidal, clon = 0</v>
      </c>
      <c r="J10224" t="str">
        <v>Not specified.</v>
      </c>
      <c r="K10224" s="11">
        <v>0</v>
      </c>
    </row>
    <row r="10225" spans="5:11" x14ac:dyDescent="0.35">
      <c r="E10225" s="9" t="str">
        <v>IAU_2015</v>
      </c>
      <c r="F10225" s="7" t="str">
        <v>80725</v>
      </c>
      <c r="G10225" t="str">
        <v>ProjectedCrs</v>
      </c>
      <c r="H10225" t="str">
        <v>Sinusoidal</v>
      </c>
      <c r="I10225" t="str">
        <v>Larissa (2015) - Sphere / Ocentric / Sinusoidal, clon = 180</v>
      </c>
      <c r="J10225" t="str">
        <v>Not specified.</v>
      </c>
      <c r="K10225" s="11">
        <v>0</v>
      </c>
    </row>
    <row r="10226" spans="5:11" x14ac:dyDescent="0.35">
      <c r="E10226" s="9" t="str">
        <v>IAU_2015</v>
      </c>
      <c r="F10226" s="7" t="str">
        <v>80726</v>
      </c>
      <c r="G10226" t="str">
        <v>ProjectedCrs</v>
      </c>
      <c r="H10226" t="str">
        <v>Sinusoidal</v>
      </c>
      <c r="I10226" t="str">
        <v>Larissa (2015) / Ographic / Sinusoidal, clon = 180</v>
      </c>
      <c r="J10226" t="str">
        <v>Not specified.</v>
      </c>
      <c r="K10226" s="11">
        <v>0</v>
      </c>
    </row>
    <row r="10227" spans="5:11" x14ac:dyDescent="0.35">
      <c r="E10227" s="9" t="str">
        <v>IAU_2015</v>
      </c>
      <c r="F10227" s="7" t="str">
        <v>80727</v>
      </c>
      <c r="G10227" t="str">
        <v>ProjectedCrs</v>
      </c>
      <c r="H10227" t="str">
        <v>Sinusoidal</v>
      </c>
      <c r="I10227" t="str">
        <v>Larissa (2015) / Ocentric / Sinusoidal, clon = 180</v>
      </c>
      <c r="J10227" t="str">
        <v>Not specified.</v>
      </c>
      <c r="K10227" s="11">
        <v>0</v>
      </c>
    </row>
    <row r="10228" spans="5:11" x14ac:dyDescent="0.35">
      <c r="E10228" s="9" t="str">
        <v>IAU_2015</v>
      </c>
      <c r="F10228" s="7" t="str">
        <v>80730</v>
      </c>
      <c r="G10228" t="str">
        <v>ProjectedCrs</v>
      </c>
      <c r="H10228" t="str">
        <v>Polar Stereographic (variant A)</v>
      </c>
      <c r="I10228" t="str">
        <v>Larissa (2015) - Sphere / Ocentric / North Polar</v>
      </c>
      <c r="J10228" t="str">
        <v>Not specified.</v>
      </c>
      <c r="K10228" s="11">
        <v>0</v>
      </c>
    </row>
    <row r="10229" spans="5:11" x14ac:dyDescent="0.35">
      <c r="E10229" s="9" t="str">
        <v>IAU_2015</v>
      </c>
      <c r="F10229" s="7" t="str">
        <v>80731</v>
      </c>
      <c r="G10229" t="str">
        <v>ProjectedCrs</v>
      </c>
      <c r="H10229" t="str">
        <v>Polar Stereographic (variant A)</v>
      </c>
      <c r="I10229" t="str">
        <v>Larissa (2015) / Ographic / North Polar</v>
      </c>
      <c r="J10229" t="str">
        <v>Not specified.</v>
      </c>
      <c r="K10229" s="11">
        <v>0</v>
      </c>
    </row>
    <row r="10230" spans="5:11" x14ac:dyDescent="0.35">
      <c r="E10230" s="9" t="str">
        <v>IAU_2015</v>
      </c>
      <c r="F10230" s="7" t="str">
        <v>80732</v>
      </c>
      <c r="G10230" t="str">
        <v>ProjectedCrs</v>
      </c>
      <c r="H10230" t="str">
        <v>Polar Stereographic (variant A)</v>
      </c>
      <c r="I10230" t="str">
        <v>Larissa (2015) / Ocentric / North Polar</v>
      </c>
      <c r="J10230" t="str">
        <v>Not specified.</v>
      </c>
      <c r="K10230" s="11">
        <v>0</v>
      </c>
    </row>
    <row r="10231" spans="5:11" x14ac:dyDescent="0.35">
      <c r="E10231" s="9" t="str">
        <v>IAU_2015</v>
      </c>
      <c r="F10231" s="7" t="str">
        <v>80735</v>
      </c>
      <c r="G10231" t="str">
        <v>ProjectedCrs</v>
      </c>
      <c r="H10231" t="str">
        <v>Polar Stereographic (variant A)</v>
      </c>
      <c r="I10231" t="str">
        <v>Larissa (2015) - Sphere / Ocentric / South Polar</v>
      </c>
      <c r="J10231" t="str">
        <v>Not specified.</v>
      </c>
      <c r="K10231" s="11">
        <v>0</v>
      </c>
    </row>
    <row r="10232" spans="5:11" x14ac:dyDescent="0.35">
      <c r="E10232" s="9" t="str">
        <v>IAU_2015</v>
      </c>
      <c r="F10232" s="7" t="str">
        <v>80736</v>
      </c>
      <c r="G10232" t="str">
        <v>ProjectedCrs</v>
      </c>
      <c r="H10232" t="str">
        <v>Polar Stereographic (variant A)</v>
      </c>
      <c r="I10232" t="str">
        <v>Larissa (2015) / Ographic / South Polar</v>
      </c>
      <c r="J10232" t="str">
        <v>Not specified.</v>
      </c>
      <c r="K10232" s="11">
        <v>0</v>
      </c>
    </row>
    <row r="10233" spans="5:11" x14ac:dyDescent="0.35">
      <c r="E10233" s="9" t="str">
        <v>IAU_2015</v>
      </c>
      <c r="F10233" s="7" t="str">
        <v>80737</v>
      </c>
      <c r="G10233" t="str">
        <v>ProjectedCrs</v>
      </c>
      <c r="H10233" t="str">
        <v>Polar Stereographic (variant A)</v>
      </c>
      <c r="I10233" t="str">
        <v>Larissa (2015) / Ocentric / South Polar</v>
      </c>
      <c r="J10233" t="str">
        <v>Not specified.</v>
      </c>
      <c r="K10233" s="11">
        <v>0</v>
      </c>
    </row>
    <row r="10234" spans="5:11" x14ac:dyDescent="0.35">
      <c r="E10234" s="9" t="str">
        <v>IAU_2015</v>
      </c>
      <c r="F10234" s="7" t="str">
        <v>80740</v>
      </c>
      <c r="G10234" t="str">
        <v>ProjectedCrs</v>
      </c>
      <c r="H10234" t="str">
        <v>Mollweide</v>
      </c>
      <c r="I10234" t="str">
        <v>Larissa (2015) - Sphere / Ocentric / Mollweide, clon = 0</v>
      </c>
      <c r="J10234" t="str">
        <v>Not specified.</v>
      </c>
      <c r="K10234" s="11">
        <v>0</v>
      </c>
    </row>
    <row r="10235" spans="5:11" x14ac:dyDescent="0.35">
      <c r="E10235" s="9" t="str">
        <v>IAU_2015</v>
      </c>
      <c r="F10235" s="7" t="str">
        <v>80741</v>
      </c>
      <c r="G10235" t="str">
        <v>ProjectedCrs</v>
      </c>
      <c r="H10235" t="str">
        <v>Mollweide</v>
      </c>
      <c r="I10235" t="str">
        <v>Larissa (2015) / Ographic / Mollweide, clon = 0</v>
      </c>
      <c r="J10235" t="str">
        <v>Not specified.</v>
      </c>
      <c r="K10235" s="11">
        <v>0</v>
      </c>
    </row>
    <row r="10236" spans="5:11" x14ac:dyDescent="0.35">
      <c r="E10236" s="9" t="str">
        <v>IAU_2015</v>
      </c>
      <c r="F10236" s="7" t="str">
        <v>80742</v>
      </c>
      <c r="G10236" t="str">
        <v>ProjectedCrs</v>
      </c>
      <c r="H10236" t="str">
        <v>Mollweide</v>
      </c>
      <c r="I10236" t="str">
        <v>Larissa (2015) / Ocentric / Mollweide, clon = 0</v>
      </c>
      <c r="J10236" t="str">
        <v>Not specified.</v>
      </c>
      <c r="K10236" s="11">
        <v>0</v>
      </c>
    </row>
    <row r="10237" spans="5:11" x14ac:dyDescent="0.35">
      <c r="E10237" s="9" t="str">
        <v>IAU_2015</v>
      </c>
      <c r="F10237" s="7" t="str">
        <v>80745</v>
      </c>
      <c r="G10237" t="str">
        <v>ProjectedCrs</v>
      </c>
      <c r="H10237" t="str">
        <v>Mollweide</v>
      </c>
      <c r="I10237" t="str">
        <v>Larissa (2015) - Sphere / Ocentric / Mollweide, clon = 180</v>
      </c>
      <c r="J10237" t="str">
        <v>Not specified.</v>
      </c>
      <c r="K10237" s="11">
        <v>0</v>
      </c>
    </row>
    <row r="10238" spans="5:11" x14ac:dyDescent="0.35">
      <c r="E10238" s="9" t="str">
        <v>IAU_2015</v>
      </c>
      <c r="F10238" s="7" t="str">
        <v>80746</v>
      </c>
      <c r="G10238" t="str">
        <v>ProjectedCrs</v>
      </c>
      <c r="H10238" t="str">
        <v>Mollweide</v>
      </c>
      <c r="I10238" t="str">
        <v>Larissa (2015) / Ographic / Mollweide, clon = 180</v>
      </c>
      <c r="J10238" t="str">
        <v>Not specified.</v>
      </c>
      <c r="K10238" s="11">
        <v>0</v>
      </c>
    </row>
    <row r="10239" spans="5:11" x14ac:dyDescent="0.35">
      <c r="E10239" s="9" t="str">
        <v>IAU_2015</v>
      </c>
      <c r="F10239" s="7" t="str">
        <v>80747</v>
      </c>
      <c r="G10239" t="str">
        <v>ProjectedCrs</v>
      </c>
      <c r="H10239" t="str">
        <v>Mollweide</v>
      </c>
      <c r="I10239" t="str">
        <v>Larissa (2015) / Ocentric / Mollweide, clon = 180</v>
      </c>
      <c r="J10239" t="str">
        <v>Not specified.</v>
      </c>
      <c r="K10239" s="11">
        <v>0</v>
      </c>
    </row>
    <row r="10240" spans="5:11" x14ac:dyDescent="0.35">
      <c r="E10240" s="9" t="str">
        <v>IAU_2015</v>
      </c>
      <c r="F10240" s="7" t="str">
        <v>80750</v>
      </c>
      <c r="G10240" t="str">
        <v>ProjectedCrs</v>
      </c>
      <c r="H10240" t="str">
        <v>Robinson</v>
      </c>
      <c r="I10240" t="str">
        <v>Larissa (2015) - Sphere / Ocentric / Robinson, clon = 0</v>
      </c>
      <c r="J10240" t="str">
        <v>Not specified.</v>
      </c>
      <c r="K10240" s="11">
        <v>0</v>
      </c>
    </row>
    <row r="10241" spans="5:11" x14ac:dyDescent="0.35">
      <c r="E10241" s="9" t="str">
        <v>IAU_2015</v>
      </c>
      <c r="F10241" s="7" t="str">
        <v>80751</v>
      </c>
      <c r="G10241" t="str">
        <v>ProjectedCrs</v>
      </c>
      <c r="H10241" t="str">
        <v>Robinson</v>
      </c>
      <c r="I10241" t="str">
        <v>Larissa (2015) / Ographic / Robinson, clon = 0</v>
      </c>
      <c r="J10241" t="str">
        <v>Not specified.</v>
      </c>
      <c r="K10241" s="11">
        <v>0</v>
      </c>
    </row>
    <row r="10242" spans="5:11" x14ac:dyDescent="0.35">
      <c r="E10242" s="9" t="str">
        <v>IAU_2015</v>
      </c>
      <c r="F10242" s="7" t="str">
        <v>80752</v>
      </c>
      <c r="G10242" t="str">
        <v>ProjectedCrs</v>
      </c>
      <c r="H10242" t="str">
        <v>Robinson</v>
      </c>
      <c r="I10242" t="str">
        <v>Larissa (2015) / Ocentric / Robinson, clon = 0</v>
      </c>
      <c r="J10242" t="str">
        <v>Not specified.</v>
      </c>
      <c r="K10242" s="11">
        <v>0</v>
      </c>
    </row>
    <row r="10243" spans="5:11" x14ac:dyDescent="0.35">
      <c r="E10243" s="9" t="str">
        <v>IAU_2015</v>
      </c>
      <c r="F10243" s="7" t="str">
        <v>80755</v>
      </c>
      <c r="G10243" t="str">
        <v>ProjectedCrs</v>
      </c>
      <c r="H10243" t="str">
        <v>Robinson</v>
      </c>
      <c r="I10243" t="str">
        <v>Larissa (2015) - Sphere / Ocentric / Robinson, clon = 180</v>
      </c>
      <c r="J10243" t="str">
        <v>Not specified.</v>
      </c>
      <c r="K10243" s="11">
        <v>0</v>
      </c>
    </row>
    <row r="10244" spans="5:11" x14ac:dyDescent="0.35">
      <c r="E10244" s="9" t="str">
        <v>IAU_2015</v>
      </c>
      <c r="F10244" s="7" t="str">
        <v>80756</v>
      </c>
      <c r="G10244" t="str">
        <v>ProjectedCrs</v>
      </c>
      <c r="H10244" t="str">
        <v>Robinson</v>
      </c>
      <c r="I10244" t="str">
        <v>Larissa (2015) / Ographic / Robinson, clon = 180</v>
      </c>
      <c r="J10244" t="str">
        <v>Not specified.</v>
      </c>
      <c r="K10244" s="11">
        <v>0</v>
      </c>
    </row>
    <row r="10245" spans="5:11" x14ac:dyDescent="0.35">
      <c r="E10245" s="9" t="str">
        <v>IAU_2015</v>
      </c>
      <c r="F10245" s="7" t="str">
        <v>80757</v>
      </c>
      <c r="G10245" t="str">
        <v>ProjectedCrs</v>
      </c>
      <c r="H10245" t="str">
        <v>Robinson</v>
      </c>
      <c r="I10245" t="str">
        <v>Larissa (2015) / Ocentric / Robinson, clon = 180</v>
      </c>
      <c r="J10245" t="str">
        <v>Not specified.</v>
      </c>
      <c r="K10245" s="11">
        <v>0</v>
      </c>
    </row>
    <row r="10246" spans="5:11" x14ac:dyDescent="0.35">
      <c r="E10246" s="9" t="str">
        <v>IAU_2015</v>
      </c>
      <c r="F10246" s="7" t="str">
        <v>80760</v>
      </c>
      <c r="G10246" t="str">
        <v>ProjectedCrs</v>
      </c>
      <c r="H10246" t="str">
        <v>Transverse Mercator</v>
      </c>
      <c r="I10246" t="str">
        <v>Larissa (2015) - Sphere / Ocentric / Tranverse Mercator</v>
      </c>
      <c r="J10246" t="str">
        <v>Not specified.</v>
      </c>
      <c r="K10246" s="11">
        <v>0</v>
      </c>
    </row>
    <row r="10247" spans="5:11" x14ac:dyDescent="0.35">
      <c r="E10247" s="9" t="str">
        <v>IAU_2015</v>
      </c>
      <c r="F10247" s="7" t="str">
        <v>80761</v>
      </c>
      <c r="G10247" t="str">
        <v>ProjectedCrs</v>
      </c>
      <c r="H10247" t="str">
        <v>Transverse Mercator</v>
      </c>
      <c r="I10247" t="str">
        <v>Larissa (2015) / Ographic / Tranverse Mercator</v>
      </c>
      <c r="J10247" t="str">
        <v>Not specified.</v>
      </c>
      <c r="K10247" s="11">
        <v>0</v>
      </c>
    </row>
    <row r="10248" spans="5:11" x14ac:dyDescent="0.35">
      <c r="E10248" s="9" t="str">
        <v>IAU_2015</v>
      </c>
      <c r="F10248" s="7" t="str">
        <v>80762</v>
      </c>
      <c r="G10248" t="str">
        <v>ProjectedCrs</v>
      </c>
      <c r="H10248" t="str">
        <v>Transverse Mercator</v>
      </c>
      <c r="I10248" t="str">
        <v>Larissa (2015) / Ocentric / Tranverse Mercator</v>
      </c>
      <c r="J10248" t="str">
        <v>Not specified.</v>
      </c>
      <c r="K10248" s="11">
        <v>0</v>
      </c>
    </row>
    <row r="10249" spans="5:11" x14ac:dyDescent="0.35">
      <c r="E10249" s="9" t="str">
        <v>IAU_2015</v>
      </c>
      <c r="F10249" s="7" t="str">
        <v>80765</v>
      </c>
      <c r="G10249" t="str">
        <v>ProjectedCrs</v>
      </c>
      <c r="H10249" t="str">
        <v>Orthographic</v>
      </c>
      <c r="I10249" t="str">
        <v>Larissa (2015) - Sphere / Ocentric / Orthographic, clon = 0</v>
      </c>
      <c r="J10249" t="str">
        <v>Not specified.</v>
      </c>
      <c r="K10249" s="11">
        <v>0</v>
      </c>
    </row>
    <row r="10250" spans="5:11" x14ac:dyDescent="0.35">
      <c r="E10250" s="9" t="str">
        <v>IAU_2015</v>
      </c>
      <c r="F10250" s="7" t="str">
        <v>80766</v>
      </c>
      <c r="G10250" t="str">
        <v>ProjectedCrs</v>
      </c>
      <c r="H10250" t="str">
        <v>Orthographic</v>
      </c>
      <c r="I10250" t="str">
        <v>Larissa (2015) / Ographic / Orthographic, clon = 0</v>
      </c>
      <c r="J10250" t="str">
        <v>Not specified.</v>
      </c>
      <c r="K10250" s="11">
        <v>0</v>
      </c>
    </row>
    <row r="10251" spans="5:11" x14ac:dyDescent="0.35">
      <c r="E10251" s="9" t="str">
        <v>IAU_2015</v>
      </c>
      <c r="F10251" s="7" t="str">
        <v>80767</v>
      </c>
      <c r="G10251" t="str">
        <v>ProjectedCrs</v>
      </c>
      <c r="H10251" t="str">
        <v>Orthographic</v>
      </c>
      <c r="I10251" t="str">
        <v>Larissa (2015) / Ocentric / Orthographic, clon = 0</v>
      </c>
      <c r="J10251" t="str">
        <v>Not specified.</v>
      </c>
      <c r="K10251" s="11">
        <v>0</v>
      </c>
    </row>
    <row r="10252" spans="5:11" x14ac:dyDescent="0.35">
      <c r="E10252" s="9" t="str">
        <v>IAU_2015</v>
      </c>
      <c r="F10252" s="7" t="str">
        <v>80770</v>
      </c>
      <c r="G10252" t="str">
        <v>ProjectedCrs</v>
      </c>
      <c r="H10252" t="str">
        <v>Orthographic</v>
      </c>
      <c r="I10252" t="str">
        <v>Larissa (2015) - Sphere / Ocentric / Orthographic, clon = 180</v>
      </c>
      <c r="J10252" t="str">
        <v>Not specified.</v>
      </c>
      <c r="K10252" s="11">
        <v>0</v>
      </c>
    </row>
    <row r="10253" spans="5:11" x14ac:dyDescent="0.35">
      <c r="E10253" s="9" t="str">
        <v>IAU_2015</v>
      </c>
      <c r="F10253" s="7" t="str">
        <v>80771</v>
      </c>
      <c r="G10253" t="str">
        <v>ProjectedCrs</v>
      </c>
      <c r="H10253" t="str">
        <v>Orthographic</v>
      </c>
      <c r="I10253" t="str">
        <v>Larissa (2015) / Ographic / Orthographic, clon = 180</v>
      </c>
      <c r="J10253" t="str">
        <v>Not specified.</v>
      </c>
      <c r="K10253" s="11">
        <v>0</v>
      </c>
    </row>
    <row r="10254" spans="5:11" x14ac:dyDescent="0.35">
      <c r="E10254" s="9" t="str">
        <v>IAU_2015</v>
      </c>
      <c r="F10254" s="7" t="str">
        <v>80772</v>
      </c>
      <c r="G10254" t="str">
        <v>ProjectedCrs</v>
      </c>
      <c r="H10254" t="str">
        <v>Orthographic</v>
      </c>
      <c r="I10254" t="str">
        <v>Larissa (2015) / Ocentric / Orthographic, clon = 180</v>
      </c>
      <c r="J10254" t="str">
        <v>Not specified.</v>
      </c>
      <c r="K10254" s="11">
        <v>0</v>
      </c>
    </row>
    <row r="10255" spans="5:11" x14ac:dyDescent="0.35">
      <c r="E10255" s="9" t="str">
        <v>IAU_2015</v>
      </c>
      <c r="F10255" s="7" t="str">
        <v>80775</v>
      </c>
      <c r="G10255" t="str">
        <v>ProjectedCrs</v>
      </c>
      <c r="H10255" t="str">
        <v>Lambert Conic Conformal (2SP)</v>
      </c>
      <c r="I10255" t="str">
        <v>Larissa (2015) - Sphere / Ocentric / Lambert Conic Conformal</v>
      </c>
      <c r="J10255" t="str">
        <v>Not specified.</v>
      </c>
      <c r="K10255" s="11">
        <v>0</v>
      </c>
    </row>
    <row r="10256" spans="5:11" x14ac:dyDescent="0.35">
      <c r="E10256" s="9" t="str">
        <v>IAU_2015</v>
      </c>
      <c r="F10256" s="7" t="str">
        <v>80776</v>
      </c>
      <c r="G10256" t="str">
        <v>ProjectedCrs</v>
      </c>
      <c r="H10256" t="str">
        <v>Lambert Conic Conformal (2SP)</v>
      </c>
      <c r="I10256" t="str">
        <v>Larissa (2015) / Ographic / Lambert Conic Conformal</v>
      </c>
      <c r="J10256" t="str">
        <v>Not specified.</v>
      </c>
      <c r="K10256" s="11">
        <v>0</v>
      </c>
    </row>
    <row r="10257" spans="5:11" x14ac:dyDescent="0.35">
      <c r="E10257" s="9" t="str">
        <v>IAU_2015</v>
      </c>
      <c r="F10257" s="7" t="str">
        <v>80777</v>
      </c>
      <c r="G10257" t="str">
        <v>ProjectedCrs</v>
      </c>
      <c r="H10257" t="str">
        <v>Lambert Conic Conformal (2SP)</v>
      </c>
      <c r="I10257" t="str">
        <v>Larissa (2015) / Ocentric / Lambert Conic Conformal</v>
      </c>
      <c r="J10257" t="str">
        <v>Not specified.</v>
      </c>
      <c r="K10257" s="11">
        <v>0</v>
      </c>
    </row>
    <row r="10258" spans="5:11" x14ac:dyDescent="0.35">
      <c r="E10258" s="9" t="str">
        <v>IAU_2015</v>
      </c>
      <c r="F10258" s="7" t="str">
        <v>80780</v>
      </c>
      <c r="G10258" t="str">
        <v>ProjectedCrs</v>
      </c>
      <c r="H10258" t="str">
        <v>Lambert Azimuthal Equal Area</v>
      </c>
      <c r="I10258" t="str">
        <v>Larissa (2015) - Sphere / Ocentric / Lambert Azimuthal Equal Area</v>
      </c>
      <c r="J10258" t="str">
        <v>Not specified.</v>
      </c>
      <c r="K10258" s="11">
        <v>0</v>
      </c>
    </row>
    <row r="10259" spans="5:11" x14ac:dyDescent="0.35">
      <c r="E10259" s="9" t="str">
        <v>IAU_2015</v>
      </c>
      <c r="F10259" s="7" t="str">
        <v>80781</v>
      </c>
      <c r="G10259" t="str">
        <v>ProjectedCrs</v>
      </c>
      <c r="H10259" t="str">
        <v>Lambert Azimuthal Equal Area</v>
      </c>
      <c r="I10259" t="str">
        <v>Larissa (2015) / Ographic / Lambert Azimuthal Equal Area</v>
      </c>
      <c r="J10259" t="str">
        <v>Not specified.</v>
      </c>
      <c r="K10259" s="11">
        <v>0</v>
      </c>
    </row>
    <row r="10260" spans="5:11" x14ac:dyDescent="0.35">
      <c r="E10260" s="9" t="str">
        <v>IAU_2015</v>
      </c>
      <c r="F10260" s="7" t="str">
        <v>80782</v>
      </c>
      <c r="G10260" t="str">
        <v>ProjectedCrs</v>
      </c>
      <c r="H10260" t="str">
        <v>Lambert Azimuthal Equal Area</v>
      </c>
      <c r="I10260" t="str">
        <v>Larissa (2015) / Ocentric / Lambert Azimuthal Equal Area</v>
      </c>
      <c r="J10260" t="str">
        <v>Not specified.</v>
      </c>
      <c r="K10260" s="11">
        <v>0</v>
      </c>
    </row>
    <row r="10261" spans="5:11" x14ac:dyDescent="0.35">
      <c r="E10261" s="9" t="str">
        <v>IAU_2015</v>
      </c>
      <c r="F10261" s="7" t="str">
        <v>80785</v>
      </c>
      <c r="G10261" t="str">
        <v>ProjectedCrs</v>
      </c>
      <c r="H10261" t="str">
        <v>Albers Equal Area</v>
      </c>
      <c r="I10261" t="str">
        <v>Larissa (2015) - Sphere / Ocentric / Albers Equal Area</v>
      </c>
      <c r="J10261" t="str">
        <v>Not specified.</v>
      </c>
      <c r="K10261" s="11">
        <v>0</v>
      </c>
    </row>
    <row r="10262" spans="5:11" x14ac:dyDescent="0.35">
      <c r="E10262" s="9" t="str">
        <v>IAU_2015</v>
      </c>
      <c r="F10262" s="7" t="str">
        <v>80786</v>
      </c>
      <c r="G10262" t="str">
        <v>ProjectedCrs</v>
      </c>
      <c r="H10262" t="str">
        <v>Albers Equal Area</v>
      </c>
      <c r="I10262" t="str">
        <v>Larissa (2015) / Ographic / Albers Equal Area</v>
      </c>
      <c r="J10262" t="str">
        <v>Not specified.</v>
      </c>
      <c r="K10262" s="11">
        <v>0</v>
      </c>
    </row>
    <row r="10263" spans="5:11" x14ac:dyDescent="0.35">
      <c r="E10263" s="9" t="str">
        <v>IAU_2015</v>
      </c>
      <c r="F10263" s="7" t="str">
        <v>80787</v>
      </c>
      <c r="G10263" t="str">
        <v>ProjectedCrs</v>
      </c>
      <c r="H10263" t="str">
        <v>Albers Equal Area</v>
      </c>
      <c r="I10263" t="str">
        <v>Larissa (2015) / Ocentric / Albers Equal Area</v>
      </c>
      <c r="J10263" t="str">
        <v>Not specified.</v>
      </c>
      <c r="K10263" s="11">
        <v>0</v>
      </c>
    </row>
    <row r="10264" spans="5:11" x14ac:dyDescent="0.35">
      <c r="E10264" s="9" t="str">
        <v>IAU_2015</v>
      </c>
      <c r="F10264" s="7" t="str">
        <v>80790</v>
      </c>
      <c r="G10264" t="str">
        <v>ProjectedCrs</v>
      </c>
      <c r="H10264" t="str">
        <v>Mercator (Spherical)</v>
      </c>
      <c r="I10264" t="str">
        <v>Larissa (2015) - Sphere / Ocentric / Mercator</v>
      </c>
      <c r="J10264" t="str">
        <v>Not specified.</v>
      </c>
      <c r="K10264" s="11">
        <v>0</v>
      </c>
    </row>
    <row r="10265" spans="5:11" x14ac:dyDescent="0.35">
      <c r="E10265" s="9" t="str">
        <v>IAU_2015</v>
      </c>
      <c r="F10265" s="7" t="str">
        <v>80791</v>
      </c>
      <c r="G10265" t="str">
        <v>ProjectedCrs</v>
      </c>
      <c r="H10265" t="str">
        <v>Mercator (Spherical)</v>
      </c>
      <c r="I10265" t="str">
        <v>Larissa (2015) / Ographic / Mercator</v>
      </c>
      <c r="J10265" t="str">
        <v>Not specified.</v>
      </c>
      <c r="K10265" s="11">
        <v>0</v>
      </c>
    </row>
    <row r="10266" spans="5:11" x14ac:dyDescent="0.35">
      <c r="E10266" s="9" t="str">
        <v>IAU_2015</v>
      </c>
      <c r="F10266" s="7" t="str">
        <v>80792</v>
      </c>
      <c r="G10266" t="str">
        <v>ProjectedCrs</v>
      </c>
      <c r="H10266" t="str">
        <v>Mercator (Spherical)</v>
      </c>
      <c r="I10266" t="str">
        <v>Larissa (2015) / Ocentric / Mercator</v>
      </c>
      <c r="J10266" t="str">
        <v>Not specified.</v>
      </c>
      <c r="K10266" s="11">
        <v>0</v>
      </c>
    </row>
    <row r="10267" spans="5:11" x14ac:dyDescent="0.35">
      <c r="E10267" s="9" t="str">
        <v>IAU_2015</v>
      </c>
      <c r="F10267" s="7" t="str">
        <v>80800</v>
      </c>
      <c r="G10267" t="str">
        <v>Geographic2DCrs</v>
      </c>
      <c r="H10267" t="str">
        <v>&lt;undefined&gt;</v>
      </c>
      <c r="I10267" t="str">
        <v>Proteus (2015) - Sphere / Ocentric</v>
      </c>
      <c r="J10267" t="str">
        <v>Not specified.</v>
      </c>
      <c r="K10267" s="11">
        <v>0</v>
      </c>
    </row>
    <row r="10268" spans="5:11" x14ac:dyDescent="0.35">
      <c r="E10268" s="9" t="str">
        <v>IAU_2015</v>
      </c>
      <c r="F10268" s="7" t="str">
        <v>80810</v>
      </c>
      <c r="G10268" t="str">
        <v>ProjectedCrs</v>
      </c>
      <c r="H10268" t="str">
        <v>Equidistant Cylindrical</v>
      </c>
      <c r="I10268" t="str">
        <v>Proteus (2015) - Sphere / Ocentric / Equirectangular, clon = 0</v>
      </c>
      <c r="J10268" t="str">
        <v>Not specified.</v>
      </c>
      <c r="K10268" s="11">
        <v>0</v>
      </c>
    </row>
    <row r="10269" spans="5:11" x14ac:dyDescent="0.35">
      <c r="E10269" s="9" t="str">
        <v>IAU_2015</v>
      </c>
      <c r="F10269" s="7" t="str">
        <v>80815</v>
      </c>
      <c r="G10269" t="str">
        <v>ProjectedCrs</v>
      </c>
      <c r="H10269" t="str">
        <v>Equidistant Cylindrical</v>
      </c>
      <c r="I10269" t="str">
        <v>Proteus (2015) - Sphere / Ocentric / Equirectangular, clon = 180</v>
      </c>
      <c r="J10269" t="str">
        <v>Not specified.</v>
      </c>
      <c r="K10269" s="11">
        <v>0</v>
      </c>
    </row>
    <row r="10270" spans="5:11" x14ac:dyDescent="0.35">
      <c r="E10270" s="9" t="str">
        <v>IAU_2015</v>
      </c>
      <c r="F10270" s="7" t="str">
        <v>80820</v>
      </c>
      <c r="G10270" t="str">
        <v>ProjectedCrs</v>
      </c>
      <c r="H10270" t="str">
        <v>Sinusoidal</v>
      </c>
      <c r="I10270" t="str">
        <v>Proteus (2015) - Sphere / Ocentric / Sinusoidal, clon = 0</v>
      </c>
      <c r="J10270" t="str">
        <v>Not specified.</v>
      </c>
      <c r="K10270" s="11">
        <v>0</v>
      </c>
    </row>
    <row r="10271" spans="5:11" x14ac:dyDescent="0.35">
      <c r="E10271" s="9" t="str">
        <v>IAU_2015</v>
      </c>
      <c r="F10271" s="7" t="str">
        <v>80825</v>
      </c>
      <c r="G10271" t="str">
        <v>ProjectedCrs</v>
      </c>
      <c r="H10271" t="str">
        <v>Sinusoidal</v>
      </c>
      <c r="I10271" t="str">
        <v>Proteus (2015) - Sphere / Ocentric / Sinusoidal, clon = 180</v>
      </c>
      <c r="J10271" t="str">
        <v>Not specified.</v>
      </c>
      <c r="K10271" s="11">
        <v>0</v>
      </c>
    </row>
    <row r="10272" spans="5:11" x14ac:dyDescent="0.35">
      <c r="E10272" s="9" t="str">
        <v>IAU_2015</v>
      </c>
      <c r="F10272" s="7" t="str">
        <v>80830</v>
      </c>
      <c r="G10272" t="str">
        <v>ProjectedCrs</v>
      </c>
      <c r="H10272" t="str">
        <v>Polar Stereographic (variant A)</v>
      </c>
      <c r="I10272" t="str">
        <v>Proteus (2015) - Sphere / Ocentric / North Polar</v>
      </c>
      <c r="J10272" t="str">
        <v>Not specified.</v>
      </c>
      <c r="K10272" s="11">
        <v>0</v>
      </c>
    </row>
    <row r="10273" spans="5:11" x14ac:dyDescent="0.35">
      <c r="E10273" s="9" t="str">
        <v>IAU_2015</v>
      </c>
      <c r="F10273" s="7" t="str">
        <v>80835</v>
      </c>
      <c r="G10273" t="str">
        <v>ProjectedCrs</v>
      </c>
      <c r="H10273" t="str">
        <v>Polar Stereographic (variant A)</v>
      </c>
      <c r="I10273" t="str">
        <v>Proteus (2015) - Sphere / Ocentric / South Polar</v>
      </c>
      <c r="J10273" t="str">
        <v>Not specified.</v>
      </c>
      <c r="K10273" s="11">
        <v>0</v>
      </c>
    </row>
    <row r="10274" spans="5:11" x14ac:dyDescent="0.35">
      <c r="E10274" s="9" t="str">
        <v>IAU_2015</v>
      </c>
      <c r="F10274" s="7" t="str">
        <v>80840</v>
      </c>
      <c r="G10274" t="str">
        <v>ProjectedCrs</v>
      </c>
      <c r="H10274" t="str">
        <v>Mollweide</v>
      </c>
      <c r="I10274" t="str">
        <v>Proteus (2015) - Sphere / Ocentric / Mollweide, clon = 0</v>
      </c>
      <c r="J10274" t="str">
        <v>Not specified.</v>
      </c>
      <c r="K10274" s="11">
        <v>0</v>
      </c>
    </row>
    <row r="10275" spans="5:11" x14ac:dyDescent="0.35">
      <c r="E10275" s="9" t="str">
        <v>IAU_2015</v>
      </c>
      <c r="F10275" s="7" t="str">
        <v>80845</v>
      </c>
      <c r="G10275" t="str">
        <v>ProjectedCrs</v>
      </c>
      <c r="H10275" t="str">
        <v>Mollweide</v>
      </c>
      <c r="I10275" t="str">
        <v>Proteus (2015) - Sphere / Ocentric / Mollweide, clon = 180</v>
      </c>
      <c r="J10275" t="str">
        <v>Not specified.</v>
      </c>
      <c r="K10275" s="11">
        <v>0</v>
      </c>
    </row>
    <row r="10276" spans="5:11" x14ac:dyDescent="0.35">
      <c r="E10276" s="9" t="str">
        <v>IAU_2015</v>
      </c>
      <c r="F10276" s="7" t="str">
        <v>80850</v>
      </c>
      <c r="G10276" t="str">
        <v>ProjectedCrs</v>
      </c>
      <c r="H10276" t="str">
        <v>Robinson</v>
      </c>
      <c r="I10276" t="str">
        <v>Proteus (2015) - Sphere / Ocentric / Robinson, clon = 0</v>
      </c>
      <c r="J10276" t="str">
        <v>Not specified.</v>
      </c>
      <c r="K10276" s="11">
        <v>0</v>
      </c>
    </row>
    <row r="10277" spans="5:11" x14ac:dyDescent="0.35">
      <c r="E10277" s="9" t="str">
        <v>IAU_2015</v>
      </c>
      <c r="F10277" s="7" t="str">
        <v>80855</v>
      </c>
      <c r="G10277" t="str">
        <v>ProjectedCrs</v>
      </c>
      <c r="H10277" t="str">
        <v>Robinson</v>
      </c>
      <c r="I10277" t="str">
        <v>Proteus (2015) - Sphere / Ocentric / Robinson, clon = 180</v>
      </c>
      <c r="J10277" t="str">
        <v>Not specified.</v>
      </c>
      <c r="K10277" s="11">
        <v>0</v>
      </c>
    </row>
    <row r="10278" spans="5:11" x14ac:dyDescent="0.35">
      <c r="E10278" s="9" t="str">
        <v>IAU_2015</v>
      </c>
      <c r="F10278" s="7" t="str">
        <v>80860</v>
      </c>
      <c r="G10278" t="str">
        <v>ProjectedCrs</v>
      </c>
      <c r="H10278" t="str">
        <v>Transverse Mercator</v>
      </c>
      <c r="I10278" t="str">
        <v>Proteus (2015) - Sphere / Ocentric / Tranverse Mercator</v>
      </c>
      <c r="J10278" t="str">
        <v>Not specified.</v>
      </c>
      <c r="K10278" s="11">
        <v>0</v>
      </c>
    </row>
    <row r="10279" spans="5:11" x14ac:dyDescent="0.35">
      <c r="E10279" s="9" t="str">
        <v>IAU_2015</v>
      </c>
      <c r="F10279" s="7" t="str">
        <v>80865</v>
      </c>
      <c r="G10279" t="str">
        <v>ProjectedCrs</v>
      </c>
      <c r="H10279" t="str">
        <v>Orthographic</v>
      </c>
      <c r="I10279" t="str">
        <v>Proteus (2015) - Sphere / Ocentric / Orthographic, clon = 0</v>
      </c>
      <c r="J10279" t="str">
        <v>Not specified.</v>
      </c>
      <c r="K10279" s="11">
        <v>0</v>
      </c>
    </row>
    <row r="10280" spans="5:11" x14ac:dyDescent="0.35">
      <c r="E10280" s="9" t="str">
        <v>IAU_2015</v>
      </c>
      <c r="F10280" s="7" t="str">
        <v>80870</v>
      </c>
      <c r="G10280" t="str">
        <v>ProjectedCrs</v>
      </c>
      <c r="H10280" t="str">
        <v>Orthographic</v>
      </c>
      <c r="I10280" t="str">
        <v>Proteus (2015) - Sphere / Ocentric / Orthographic, clon = 180</v>
      </c>
      <c r="J10280" t="str">
        <v>Not specified.</v>
      </c>
      <c r="K10280" s="11">
        <v>0</v>
      </c>
    </row>
    <row r="10281" spans="5:11" x14ac:dyDescent="0.35">
      <c r="E10281" s="9" t="str">
        <v>IAU_2015</v>
      </c>
      <c r="F10281" s="7" t="str">
        <v>80875</v>
      </c>
      <c r="G10281" t="str">
        <v>ProjectedCrs</v>
      </c>
      <c r="H10281" t="str">
        <v>Lambert Conic Conformal (2SP)</v>
      </c>
      <c r="I10281" t="str">
        <v>Proteus (2015) - Sphere / Ocentric / Lambert Conic Conformal</v>
      </c>
      <c r="J10281" t="str">
        <v>Not specified.</v>
      </c>
      <c r="K10281" s="11">
        <v>0</v>
      </c>
    </row>
    <row r="10282" spans="5:11" x14ac:dyDescent="0.35">
      <c r="E10282" s="9" t="str">
        <v>IAU_2015</v>
      </c>
      <c r="F10282" s="7" t="str">
        <v>80880</v>
      </c>
      <c r="G10282" t="str">
        <v>ProjectedCrs</v>
      </c>
      <c r="H10282" t="str">
        <v>Lambert Azimuthal Equal Area</v>
      </c>
      <c r="I10282" t="str">
        <v>Proteus (2015) - Sphere / Ocentric / Lambert Azimuthal Equal Area</v>
      </c>
      <c r="J10282" t="str">
        <v>Not specified.</v>
      </c>
      <c r="K10282" s="11">
        <v>0</v>
      </c>
    </row>
    <row r="10283" spans="5:11" x14ac:dyDescent="0.35">
      <c r="E10283" s="9" t="str">
        <v>IAU_2015</v>
      </c>
      <c r="F10283" s="7" t="str">
        <v>80885</v>
      </c>
      <c r="G10283" t="str">
        <v>ProjectedCrs</v>
      </c>
      <c r="H10283" t="str">
        <v>Albers Equal Area</v>
      </c>
      <c r="I10283" t="str">
        <v>Proteus (2015) - Sphere / Ocentric / Albers Equal Area</v>
      </c>
      <c r="J10283" t="str">
        <v>Not specified.</v>
      </c>
      <c r="K10283" s="11">
        <v>0</v>
      </c>
    </row>
    <row r="10284" spans="5:11" x14ac:dyDescent="0.35">
      <c r="E10284" s="9" t="str">
        <v>IAU_2015</v>
      </c>
      <c r="F10284" s="7" t="str">
        <v>80890</v>
      </c>
      <c r="G10284" t="str">
        <v>ProjectedCrs</v>
      </c>
      <c r="H10284" t="str">
        <v>Mercator (Spherical)</v>
      </c>
      <c r="I10284" t="str">
        <v>Proteus (2015) - Sphere / Ocentric / Mercator</v>
      </c>
      <c r="J10284" t="str">
        <v>Not specified.</v>
      </c>
      <c r="K10284" s="11">
        <v>0</v>
      </c>
    </row>
    <row r="10285" spans="5:11" x14ac:dyDescent="0.35">
      <c r="E10285" s="9" t="str">
        <v>IAU_2015</v>
      </c>
      <c r="F10285" s="7" t="str">
        <v>89900</v>
      </c>
      <c r="G10285" t="str">
        <v>Geographic2DCrs</v>
      </c>
      <c r="H10285" t="str">
        <v>&lt;undefined&gt;</v>
      </c>
      <c r="I10285" t="str">
        <v>Neptune (2015) - Sphere / Ocentric</v>
      </c>
      <c r="J10285" t="str">
        <v>Not specified.</v>
      </c>
      <c r="K10285" s="11">
        <v>0</v>
      </c>
    </row>
    <row r="10286" spans="5:11" x14ac:dyDescent="0.35">
      <c r="E10286" s="9" t="str">
        <v>IAU_2015</v>
      </c>
      <c r="F10286" s="7" t="str">
        <v>89901</v>
      </c>
      <c r="G10286" t="str">
        <v>Geographic2DCrs</v>
      </c>
      <c r="H10286" t="str">
        <v>&lt;undefined&gt;</v>
      </c>
      <c r="I10286" t="str">
        <v>Neptune (2015) / Ographic</v>
      </c>
      <c r="J10286" t="str">
        <v>Not specified.</v>
      </c>
      <c r="K10286" s="11">
        <v>0</v>
      </c>
    </row>
    <row r="10287" spans="5:11" x14ac:dyDescent="0.35">
      <c r="E10287" s="9" t="str">
        <v>IAU_2015</v>
      </c>
      <c r="F10287" s="7" t="str">
        <v>89902</v>
      </c>
      <c r="G10287" t="str">
        <v>GeodeticCrs</v>
      </c>
      <c r="H10287" t="str">
        <v>&lt;undefined&gt;</v>
      </c>
      <c r="I10287" t="str">
        <v>Neptune (2015) / Ocentric</v>
      </c>
      <c r="J10287" t="str">
        <v>Not specified.</v>
      </c>
      <c r="K10287" s="11">
        <v>0</v>
      </c>
    </row>
    <row r="10288" spans="5:11" x14ac:dyDescent="0.35">
      <c r="E10288" s="9" t="str">
        <v>IAU_2015</v>
      </c>
      <c r="F10288" s="7" t="str">
        <v>89910</v>
      </c>
      <c r="G10288" t="str">
        <v>ProjectedCrs</v>
      </c>
      <c r="H10288" t="str">
        <v>Equidistant Cylindrical</v>
      </c>
      <c r="I10288" t="str">
        <v>Neptune (2015) - Sphere / Ocentric / Equirectangular, clon = 0</v>
      </c>
      <c r="J10288" t="str">
        <v>Not specified.</v>
      </c>
      <c r="K10288" s="11">
        <v>0</v>
      </c>
    </row>
    <row r="10289" spans="5:11" x14ac:dyDescent="0.35">
      <c r="E10289" s="9" t="str">
        <v>IAU_2015</v>
      </c>
      <c r="F10289" s="7" t="str">
        <v>89911</v>
      </c>
      <c r="G10289" t="str">
        <v>ProjectedCrs</v>
      </c>
      <c r="H10289" t="str">
        <v>Equidistant Cylindrical</v>
      </c>
      <c r="I10289" t="str">
        <v>Neptune (2015) / Ographic / Equirectangular, clon = 0</v>
      </c>
      <c r="J10289" t="str">
        <v>Not specified.</v>
      </c>
      <c r="K10289" s="11">
        <v>0</v>
      </c>
    </row>
    <row r="10290" spans="5:11" x14ac:dyDescent="0.35">
      <c r="E10290" s="9" t="str">
        <v>IAU_2015</v>
      </c>
      <c r="F10290" s="7" t="str">
        <v>89912</v>
      </c>
      <c r="G10290" t="str">
        <v>ProjectedCrs</v>
      </c>
      <c r="H10290" t="str">
        <v>Equidistant Cylindrical</v>
      </c>
      <c r="I10290" t="str">
        <v>Neptune (2015) / Ocentric / Equirectangular, clon = 0</v>
      </c>
      <c r="J10290" t="str">
        <v>Not specified.</v>
      </c>
      <c r="K10290" s="11">
        <v>0</v>
      </c>
    </row>
    <row r="10291" spans="5:11" x14ac:dyDescent="0.35">
      <c r="E10291" s="9" t="str">
        <v>IAU_2015</v>
      </c>
      <c r="F10291" s="7" t="str">
        <v>89915</v>
      </c>
      <c r="G10291" t="str">
        <v>ProjectedCrs</v>
      </c>
      <c r="H10291" t="str">
        <v>Equidistant Cylindrical</v>
      </c>
      <c r="I10291" t="str">
        <v>Neptune (2015) - Sphere / Ocentric / Equirectangular, clon = 180</v>
      </c>
      <c r="J10291" t="str">
        <v>Not specified.</v>
      </c>
      <c r="K10291" s="11">
        <v>0</v>
      </c>
    </row>
    <row r="10292" spans="5:11" x14ac:dyDescent="0.35">
      <c r="E10292" s="9" t="str">
        <v>IAU_2015</v>
      </c>
      <c r="F10292" s="7" t="str">
        <v>89916</v>
      </c>
      <c r="G10292" t="str">
        <v>ProjectedCrs</v>
      </c>
      <c r="H10292" t="str">
        <v>Equidistant Cylindrical</v>
      </c>
      <c r="I10292" t="str">
        <v>Neptune (2015) / Ographic / Equirectangular, clon = 180</v>
      </c>
      <c r="J10292" t="str">
        <v>Not specified.</v>
      </c>
      <c r="K10292" s="11">
        <v>0</v>
      </c>
    </row>
    <row r="10293" spans="5:11" x14ac:dyDescent="0.35">
      <c r="E10293" s="9" t="str">
        <v>IAU_2015</v>
      </c>
      <c r="F10293" s="7" t="str">
        <v>89917</v>
      </c>
      <c r="G10293" t="str">
        <v>ProjectedCrs</v>
      </c>
      <c r="H10293" t="str">
        <v>Equidistant Cylindrical</v>
      </c>
      <c r="I10293" t="str">
        <v>Neptune (2015) / Ocentric / Equirectangular, clon = 180</v>
      </c>
      <c r="J10293" t="str">
        <v>Not specified.</v>
      </c>
      <c r="K10293" s="11">
        <v>0</v>
      </c>
    </row>
    <row r="10294" spans="5:11" x14ac:dyDescent="0.35">
      <c r="E10294" s="9" t="str">
        <v>IAU_2015</v>
      </c>
      <c r="F10294" s="7" t="str">
        <v>89920</v>
      </c>
      <c r="G10294" t="str">
        <v>ProjectedCrs</v>
      </c>
      <c r="H10294" t="str">
        <v>Sinusoidal</v>
      </c>
      <c r="I10294" t="str">
        <v>Neptune (2015) - Sphere / Ocentric / Sinusoidal, clon = 0</v>
      </c>
      <c r="J10294" t="str">
        <v>Not specified.</v>
      </c>
      <c r="K10294" s="11">
        <v>0</v>
      </c>
    </row>
    <row r="10295" spans="5:11" x14ac:dyDescent="0.35">
      <c r="E10295" s="9" t="str">
        <v>IAU_2015</v>
      </c>
      <c r="F10295" s="7" t="str">
        <v>89921</v>
      </c>
      <c r="G10295" t="str">
        <v>ProjectedCrs</v>
      </c>
      <c r="H10295" t="str">
        <v>Sinusoidal</v>
      </c>
      <c r="I10295" t="str">
        <v>Neptune (2015) / Ographic / Sinusoidal, clon = 0</v>
      </c>
      <c r="J10295" t="str">
        <v>Not specified.</v>
      </c>
      <c r="K10295" s="11">
        <v>0</v>
      </c>
    </row>
    <row r="10296" spans="5:11" x14ac:dyDescent="0.35">
      <c r="E10296" s="9" t="str">
        <v>IAU_2015</v>
      </c>
      <c r="F10296" s="7" t="str">
        <v>89922</v>
      </c>
      <c r="G10296" t="str">
        <v>ProjectedCrs</v>
      </c>
      <c r="H10296" t="str">
        <v>Sinusoidal</v>
      </c>
      <c r="I10296" t="str">
        <v>Neptune (2015) / Ocentric / Sinusoidal, clon = 0</v>
      </c>
      <c r="J10296" t="str">
        <v>Not specified.</v>
      </c>
      <c r="K10296" s="11">
        <v>0</v>
      </c>
    </row>
    <row r="10297" spans="5:11" x14ac:dyDescent="0.35">
      <c r="E10297" s="9" t="str">
        <v>IAU_2015</v>
      </c>
      <c r="F10297" s="7" t="str">
        <v>89925</v>
      </c>
      <c r="G10297" t="str">
        <v>ProjectedCrs</v>
      </c>
      <c r="H10297" t="str">
        <v>Sinusoidal</v>
      </c>
      <c r="I10297" t="str">
        <v>Neptune (2015) - Sphere / Ocentric / Sinusoidal, clon = 180</v>
      </c>
      <c r="J10297" t="str">
        <v>Not specified.</v>
      </c>
      <c r="K10297" s="11">
        <v>0</v>
      </c>
    </row>
    <row r="10298" spans="5:11" x14ac:dyDescent="0.35">
      <c r="E10298" s="9" t="str">
        <v>IAU_2015</v>
      </c>
      <c r="F10298" s="7" t="str">
        <v>89926</v>
      </c>
      <c r="G10298" t="str">
        <v>ProjectedCrs</v>
      </c>
      <c r="H10298" t="str">
        <v>Sinusoidal</v>
      </c>
      <c r="I10298" t="str">
        <v>Neptune (2015) / Ographic / Sinusoidal, clon = 180</v>
      </c>
      <c r="J10298" t="str">
        <v>Not specified.</v>
      </c>
      <c r="K10298" s="11">
        <v>0</v>
      </c>
    </row>
    <row r="10299" spans="5:11" x14ac:dyDescent="0.35">
      <c r="E10299" s="9" t="str">
        <v>IAU_2015</v>
      </c>
      <c r="F10299" s="7" t="str">
        <v>89927</v>
      </c>
      <c r="G10299" t="str">
        <v>ProjectedCrs</v>
      </c>
      <c r="H10299" t="str">
        <v>Sinusoidal</v>
      </c>
      <c r="I10299" t="str">
        <v>Neptune (2015) / Ocentric / Sinusoidal, clon = 180</v>
      </c>
      <c r="J10299" t="str">
        <v>Not specified.</v>
      </c>
      <c r="K10299" s="11">
        <v>0</v>
      </c>
    </row>
    <row r="10300" spans="5:11" x14ac:dyDescent="0.35">
      <c r="E10300" s="9" t="str">
        <v>IAU_2015</v>
      </c>
      <c r="F10300" s="7" t="str">
        <v>89930</v>
      </c>
      <c r="G10300" t="str">
        <v>ProjectedCrs</v>
      </c>
      <c r="H10300" t="str">
        <v>Polar Stereographic (variant A)</v>
      </c>
      <c r="I10300" t="str">
        <v>Neptune (2015) - Sphere / Ocentric / North Polar</v>
      </c>
      <c r="J10300" t="str">
        <v>Not specified.</v>
      </c>
      <c r="K10300" s="11">
        <v>0</v>
      </c>
    </row>
    <row r="10301" spans="5:11" x14ac:dyDescent="0.35">
      <c r="E10301" s="9" t="str">
        <v>IAU_2015</v>
      </c>
      <c r="F10301" s="7" t="str">
        <v>89931</v>
      </c>
      <c r="G10301" t="str">
        <v>ProjectedCrs</v>
      </c>
      <c r="H10301" t="str">
        <v>Polar Stereographic (variant A)</v>
      </c>
      <c r="I10301" t="str">
        <v>Neptune (2015) / Ographic / North Polar</v>
      </c>
      <c r="J10301" t="str">
        <v>Not specified.</v>
      </c>
      <c r="K10301" s="11">
        <v>0</v>
      </c>
    </row>
    <row r="10302" spans="5:11" x14ac:dyDescent="0.35">
      <c r="E10302" s="9" t="str">
        <v>IAU_2015</v>
      </c>
      <c r="F10302" s="7" t="str">
        <v>89932</v>
      </c>
      <c r="G10302" t="str">
        <v>ProjectedCrs</v>
      </c>
      <c r="H10302" t="str">
        <v>Polar Stereographic (variant A)</v>
      </c>
      <c r="I10302" t="str">
        <v>Neptune (2015) / Ocentric / North Polar</v>
      </c>
      <c r="J10302" t="str">
        <v>Not specified.</v>
      </c>
      <c r="K10302" s="11">
        <v>0</v>
      </c>
    </row>
    <row r="10303" spans="5:11" x14ac:dyDescent="0.35">
      <c r="E10303" s="9" t="str">
        <v>IAU_2015</v>
      </c>
      <c r="F10303" s="7" t="str">
        <v>89935</v>
      </c>
      <c r="G10303" t="str">
        <v>ProjectedCrs</v>
      </c>
      <c r="H10303" t="str">
        <v>Polar Stereographic (variant A)</v>
      </c>
      <c r="I10303" t="str">
        <v>Neptune (2015) - Sphere / Ocentric / South Polar</v>
      </c>
      <c r="J10303" t="str">
        <v>Not specified.</v>
      </c>
      <c r="K10303" s="11">
        <v>0</v>
      </c>
    </row>
    <row r="10304" spans="5:11" x14ac:dyDescent="0.35">
      <c r="E10304" s="9" t="str">
        <v>IAU_2015</v>
      </c>
      <c r="F10304" s="7" t="str">
        <v>89936</v>
      </c>
      <c r="G10304" t="str">
        <v>ProjectedCrs</v>
      </c>
      <c r="H10304" t="str">
        <v>Polar Stereographic (variant A)</v>
      </c>
      <c r="I10304" t="str">
        <v>Neptune (2015) / Ographic / South Polar</v>
      </c>
      <c r="J10304" t="str">
        <v>Not specified.</v>
      </c>
      <c r="K10304" s="11">
        <v>0</v>
      </c>
    </row>
    <row r="10305" spans="5:11" x14ac:dyDescent="0.35">
      <c r="E10305" s="9" t="str">
        <v>IAU_2015</v>
      </c>
      <c r="F10305" s="7" t="str">
        <v>89937</v>
      </c>
      <c r="G10305" t="str">
        <v>ProjectedCrs</v>
      </c>
      <c r="H10305" t="str">
        <v>Polar Stereographic (variant A)</v>
      </c>
      <c r="I10305" t="str">
        <v>Neptune (2015) / Ocentric / South Polar</v>
      </c>
      <c r="J10305" t="str">
        <v>Not specified.</v>
      </c>
      <c r="K10305" s="11">
        <v>0</v>
      </c>
    </row>
    <row r="10306" spans="5:11" x14ac:dyDescent="0.35">
      <c r="E10306" s="9" t="str">
        <v>IAU_2015</v>
      </c>
      <c r="F10306" s="7" t="str">
        <v>89940</v>
      </c>
      <c r="G10306" t="str">
        <v>ProjectedCrs</v>
      </c>
      <c r="H10306" t="str">
        <v>Mollweide</v>
      </c>
      <c r="I10306" t="str">
        <v>Neptune (2015) - Sphere / Ocentric / Mollweide, clon = 0</v>
      </c>
      <c r="J10306" t="str">
        <v>Not specified.</v>
      </c>
      <c r="K10306" s="11">
        <v>0</v>
      </c>
    </row>
    <row r="10307" spans="5:11" x14ac:dyDescent="0.35">
      <c r="E10307" s="9" t="str">
        <v>IAU_2015</v>
      </c>
      <c r="F10307" s="7" t="str">
        <v>89941</v>
      </c>
      <c r="G10307" t="str">
        <v>ProjectedCrs</v>
      </c>
      <c r="H10307" t="str">
        <v>Mollweide</v>
      </c>
      <c r="I10307" t="str">
        <v>Neptune (2015) / Ographic / Mollweide, clon = 0</v>
      </c>
      <c r="J10307" t="str">
        <v>Not specified.</v>
      </c>
      <c r="K10307" s="11">
        <v>0</v>
      </c>
    </row>
    <row r="10308" spans="5:11" x14ac:dyDescent="0.35">
      <c r="E10308" s="9" t="str">
        <v>IAU_2015</v>
      </c>
      <c r="F10308" s="7" t="str">
        <v>89942</v>
      </c>
      <c r="G10308" t="str">
        <v>ProjectedCrs</v>
      </c>
      <c r="H10308" t="str">
        <v>Mollweide</v>
      </c>
      <c r="I10308" t="str">
        <v>Neptune (2015) / Ocentric / Mollweide, clon = 0</v>
      </c>
      <c r="J10308" t="str">
        <v>Not specified.</v>
      </c>
      <c r="K10308" s="11">
        <v>0</v>
      </c>
    </row>
    <row r="10309" spans="5:11" x14ac:dyDescent="0.35">
      <c r="E10309" s="9" t="str">
        <v>IAU_2015</v>
      </c>
      <c r="F10309" s="7" t="str">
        <v>89945</v>
      </c>
      <c r="G10309" t="str">
        <v>ProjectedCrs</v>
      </c>
      <c r="H10309" t="str">
        <v>Mollweide</v>
      </c>
      <c r="I10309" t="str">
        <v>Neptune (2015) - Sphere / Ocentric / Mollweide, clon = 180</v>
      </c>
      <c r="J10309" t="str">
        <v>Not specified.</v>
      </c>
      <c r="K10309" s="11">
        <v>0</v>
      </c>
    </row>
    <row r="10310" spans="5:11" x14ac:dyDescent="0.35">
      <c r="E10310" s="9" t="str">
        <v>IAU_2015</v>
      </c>
      <c r="F10310" s="7" t="str">
        <v>89946</v>
      </c>
      <c r="G10310" t="str">
        <v>ProjectedCrs</v>
      </c>
      <c r="H10310" t="str">
        <v>Mollweide</v>
      </c>
      <c r="I10310" t="str">
        <v>Neptune (2015) / Ographic / Mollweide, clon = 180</v>
      </c>
      <c r="J10310" t="str">
        <v>Not specified.</v>
      </c>
      <c r="K10310" s="11">
        <v>0</v>
      </c>
    </row>
    <row r="10311" spans="5:11" x14ac:dyDescent="0.35">
      <c r="E10311" s="9" t="str">
        <v>IAU_2015</v>
      </c>
      <c r="F10311" s="7" t="str">
        <v>89947</v>
      </c>
      <c r="G10311" t="str">
        <v>ProjectedCrs</v>
      </c>
      <c r="H10311" t="str">
        <v>Mollweide</v>
      </c>
      <c r="I10311" t="str">
        <v>Neptune (2015) / Ocentric / Mollweide, clon = 180</v>
      </c>
      <c r="J10311" t="str">
        <v>Not specified.</v>
      </c>
      <c r="K10311" s="11">
        <v>0</v>
      </c>
    </row>
    <row r="10312" spans="5:11" x14ac:dyDescent="0.35">
      <c r="E10312" s="9" t="str">
        <v>IAU_2015</v>
      </c>
      <c r="F10312" s="7" t="str">
        <v>89950</v>
      </c>
      <c r="G10312" t="str">
        <v>ProjectedCrs</v>
      </c>
      <c r="H10312" t="str">
        <v>Robinson</v>
      </c>
      <c r="I10312" t="str">
        <v>Neptune (2015) - Sphere / Ocentric / Robinson, clon = 0</v>
      </c>
      <c r="J10312" t="str">
        <v>Not specified.</v>
      </c>
      <c r="K10312" s="11">
        <v>0</v>
      </c>
    </row>
    <row r="10313" spans="5:11" x14ac:dyDescent="0.35">
      <c r="E10313" s="9" t="str">
        <v>IAU_2015</v>
      </c>
      <c r="F10313" s="7" t="str">
        <v>89951</v>
      </c>
      <c r="G10313" t="str">
        <v>ProjectedCrs</v>
      </c>
      <c r="H10313" t="str">
        <v>Robinson</v>
      </c>
      <c r="I10313" t="str">
        <v>Neptune (2015) / Ographic / Robinson, clon = 0</v>
      </c>
      <c r="J10313" t="str">
        <v>Not specified.</v>
      </c>
      <c r="K10313" s="11">
        <v>0</v>
      </c>
    </row>
    <row r="10314" spans="5:11" x14ac:dyDescent="0.35">
      <c r="E10314" s="9" t="str">
        <v>IAU_2015</v>
      </c>
      <c r="F10314" s="7" t="str">
        <v>89952</v>
      </c>
      <c r="G10314" t="str">
        <v>ProjectedCrs</v>
      </c>
      <c r="H10314" t="str">
        <v>Robinson</v>
      </c>
      <c r="I10314" t="str">
        <v>Neptune (2015) / Ocentric / Robinson, clon = 0</v>
      </c>
      <c r="J10314" t="str">
        <v>Not specified.</v>
      </c>
      <c r="K10314" s="11">
        <v>0</v>
      </c>
    </row>
    <row r="10315" spans="5:11" x14ac:dyDescent="0.35">
      <c r="E10315" s="9" t="str">
        <v>IAU_2015</v>
      </c>
      <c r="F10315" s="7" t="str">
        <v>89955</v>
      </c>
      <c r="G10315" t="str">
        <v>ProjectedCrs</v>
      </c>
      <c r="H10315" t="str">
        <v>Robinson</v>
      </c>
      <c r="I10315" t="str">
        <v>Neptune (2015) - Sphere / Ocentric / Robinson, clon = 180</v>
      </c>
      <c r="J10315" t="str">
        <v>Not specified.</v>
      </c>
      <c r="K10315" s="11">
        <v>0</v>
      </c>
    </row>
    <row r="10316" spans="5:11" x14ac:dyDescent="0.35">
      <c r="E10316" s="9" t="str">
        <v>IAU_2015</v>
      </c>
      <c r="F10316" s="7" t="str">
        <v>89956</v>
      </c>
      <c r="G10316" t="str">
        <v>ProjectedCrs</v>
      </c>
      <c r="H10316" t="str">
        <v>Robinson</v>
      </c>
      <c r="I10316" t="str">
        <v>Neptune (2015) / Ographic / Robinson, clon = 180</v>
      </c>
      <c r="J10316" t="str">
        <v>Not specified.</v>
      </c>
      <c r="K10316" s="11">
        <v>0</v>
      </c>
    </row>
    <row r="10317" spans="5:11" x14ac:dyDescent="0.35">
      <c r="E10317" s="9" t="str">
        <v>IAU_2015</v>
      </c>
      <c r="F10317" s="7" t="str">
        <v>89957</v>
      </c>
      <c r="G10317" t="str">
        <v>ProjectedCrs</v>
      </c>
      <c r="H10317" t="str">
        <v>Robinson</v>
      </c>
      <c r="I10317" t="str">
        <v>Neptune (2015) / Ocentric / Robinson, clon = 180</v>
      </c>
      <c r="J10317" t="str">
        <v>Not specified.</v>
      </c>
      <c r="K10317" s="11">
        <v>0</v>
      </c>
    </row>
    <row r="10318" spans="5:11" x14ac:dyDescent="0.35">
      <c r="E10318" s="9" t="str">
        <v>IAU_2015</v>
      </c>
      <c r="F10318" s="7" t="str">
        <v>89960</v>
      </c>
      <c r="G10318" t="str">
        <v>ProjectedCrs</v>
      </c>
      <c r="H10318" t="str">
        <v>Transverse Mercator</v>
      </c>
      <c r="I10318" t="str">
        <v>Neptune (2015) - Sphere / Ocentric / Tranverse Mercator</v>
      </c>
      <c r="J10318" t="str">
        <v>Not specified.</v>
      </c>
      <c r="K10318" s="11">
        <v>0</v>
      </c>
    </row>
    <row r="10319" spans="5:11" x14ac:dyDescent="0.35">
      <c r="E10319" s="9" t="str">
        <v>IAU_2015</v>
      </c>
      <c r="F10319" s="7" t="str">
        <v>89961</v>
      </c>
      <c r="G10319" t="str">
        <v>ProjectedCrs</v>
      </c>
      <c r="H10319" t="str">
        <v>Transverse Mercator</v>
      </c>
      <c r="I10319" t="str">
        <v>Neptune (2015) / Ographic / Tranverse Mercator</v>
      </c>
      <c r="J10319" t="str">
        <v>Not specified.</v>
      </c>
      <c r="K10319" s="11">
        <v>0</v>
      </c>
    </row>
    <row r="10320" spans="5:11" x14ac:dyDescent="0.35">
      <c r="E10320" s="9" t="str">
        <v>IAU_2015</v>
      </c>
      <c r="F10320" s="7" t="str">
        <v>89962</v>
      </c>
      <c r="G10320" t="str">
        <v>ProjectedCrs</v>
      </c>
      <c r="H10320" t="str">
        <v>Transverse Mercator</v>
      </c>
      <c r="I10320" t="str">
        <v>Neptune (2015) / Ocentric / Tranverse Mercator</v>
      </c>
      <c r="J10320" t="str">
        <v>Not specified.</v>
      </c>
      <c r="K10320" s="11">
        <v>0</v>
      </c>
    </row>
    <row r="10321" spans="5:11" x14ac:dyDescent="0.35">
      <c r="E10321" s="9" t="str">
        <v>IAU_2015</v>
      </c>
      <c r="F10321" s="7" t="str">
        <v>89965</v>
      </c>
      <c r="G10321" t="str">
        <v>ProjectedCrs</v>
      </c>
      <c r="H10321" t="str">
        <v>Orthographic</v>
      </c>
      <c r="I10321" t="str">
        <v>Neptune (2015) - Sphere / Ocentric / Orthographic, clon = 0</v>
      </c>
      <c r="J10321" t="str">
        <v>Not specified.</v>
      </c>
      <c r="K10321" s="11">
        <v>0</v>
      </c>
    </row>
    <row r="10322" spans="5:11" x14ac:dyDescent="0.35">
      <c r="E10322" s="9" t="str">
        <v>IAU_2015</v>
      </c>
      <c r="F10322" s="7" t="str">
        <v>89966</v>
      </c>
      <c r="G10322" t="str">
        <v>ProjectedCrs</v>
      </c>
      <c r="H10322" t="str">
        <v>Orthographic</v>
      </c>
      <c r="I10322" t="str">
        <v>Neptune (2015) / Ographic / Orthographic, clon = 0</v>
      </c>
      <c r="J10322" t="str">
        <v>Not specified.</v>
      </c>
      <c r="K10322" s="11">
        <v>0</v>
      </c>
    </row>
    <row r="10323" spans="5:11" x14ac:dyDescent="0.35">
      <c r="E10323" s="9" t="str">
        <v>IAU_2015</v>
      </c>
      <c r="F10323" s="7" t="str">
        <v>89967</v>
      </c>
      <c r="G10323" t="str">
        <v>ProjectedCrs</v>
      </c>
      <c r="H10323" t="str">
        <v>Orthographic</v>
      </c>
      <c r="I10323" t="str">
        <v>Neptune (2015) / Ocentric / Orthographic, clon = 0</v>
      </c>
      <c r="J10323" t="str">
        <v>Not specified.</v>
      </c>
      <c r="K10323" s="11">
        <v>0</v>
      </c>
    </row>
    <row r="10324" spans="5:11" x14ac:dyDescent="0.35">
      <c r="E10324" s="9" t="str">
        <v>IAU_2015</v>
      </c>
      <c r="F10324" s="7" t="str">
        <v>89970</v>
      </c>
      <c r="G10324" t="str">
        <v>ProjectedCrs</v>
      </c>
      <c r="H10324" t="str">
        <v>Orthographic</v>
      </c>
      <c r="I10324" t="str">
        <v>Neptune (2015) - Sphere / Ocentric / Orthographic, clon = 180</v>
      </c>
      <c r="J10324" t="str">
        <v>Not specified.</v>
      </c>
      <c r="K10324" s="11">
        <v>0</v>
      </c>
    </row>
    <row r="10325" spans="5:11" x14ac:dyDescent="0.35">
      <c r="E10325" s="9" t="str">
        <v>IAU_2015</v>
      </c>
      <c r="F10325" s="7" t="str">
        <v>89971</v>
      </c>
      <c r="G10325" t="str">
        <v>ProjectedCrs</v>
      </c>
      <c r="H10325" t="str">
        <v>Orthographic</v>
      </c>
      <c r="I10325" t="str">
        <v>Neptune (2015) / Ographic / Orthographic, clon = 180</v>
      </c>
      <c r="J10325" t="str">
        <v>Not specified.</v>
      </c>
      <c r="K10325" s="11">
        <v>0</v>
      </c>
    </row>
    <row r="10326" spans="5:11" x14ac:dyDescent="0.35">
      <c r="E10326" s="9" t="str">
        <v>IAU_2015</v>
      </c>
      <c r="F10326" s="7" t="str">
        <v>89972</v>
      </c>
      <c r="G10326" t="str">
        <v>ProjectedCrs</v>
      </c>
      <c r="H10326" t="str">
        <v>Orthographic</v>
      </c>
      <c r="I10326" t="str">
        <v>Neptune (2015) / Ocentric / Orthographic, clon = 180</v>
      </c>
      <c r="J10326" t="str">
        <v>Not specified.</v>
      </c>
      <c r="K10326" s="11">
        <v>0</v>
      </c>
    </row>
    <row r="10327" spans="5:11" x14ac:dyDescent="0.35">
      <c r="E10327" s="9" t="str">
        <v>IAU_2015</v>
      </c>
      <c r="F10327" s="7" t="str">
        <v>89975</v>
      </c>
      <c r="G10327" t="str">
        <v>ProjectedCrs</v>
      </c>
      <c r="H10327" t="str">
        <v>Lambert Conic Conformal (2SP)</v>
      </c>
      <c r="I10327" t="str">
        <v>Neptune (2015) - Sphere / Ocentric / Lambert Conic Conformal</v>
      </c>
      <c r="J10327" t="str">
        <v>Not specified.</v>
      </c>
      <c r="K10327" s="11">
        <v>0</v>
      </c>
    </row>
    <row r="10328" spans="5:11" x14ac:dyDescent="0.35">
      <c r="E10328" s="9" t="str">
        <v>IAU_2015</v>
      </c>
      <c r="F10328" s="7" t="str">
        <v>89976</v>
      </c>
      <c r="G10328" t="str">
        <v>ProjectedCrs</v>
      </c>
      <c r="H10328" t="str">
        <v>Lambert Conic Conformal (2SP)</v>
      </c>
      <c r="I10328" t="str">
        <v>Neptune (2015) / Ographic / Lambert Conic Conformal</v>
      </c>
      <c r="J10328" t="str">
        <v>Not specified.</v>
      </c>
      <c r="K10328" s="11">
        <v>0</v>
      </c>
    </row>
    <row r="10329" spans="5:11" x14ac:dyDescent="0.35">
      <c r="E10329" s="9" t="str">
        <v>IAU_2015</v>
      </c>
      <c r="F10329" s="7" t="str">
        <v>89977</v>
      </c>
      <c r="G10329" t="str">
        <v>ProjectedCrs</v>
      </c>
      <c r="H10329" t="str">
        <v>Lambert Conic Conformal (2SP)</v>
      </c>
      <c r="I10329" t="str">
        <v>Neptune (2015) / Ocentric / Lambert Conic Conformal</v>
      </c>
      <c r="J10329" t="str">
        <v>Not specified.</v>
      </c>
      <c r="K10329" s="11">
        <v>0</v>
      </c>
    </row>
    <row r="10330" spans="5:11" x14ac:dyDescent="0.35">
      <c r="E10330" s="9" t="str">
        <v>IAU_2015</v>
      </c>
      <c r="F10330" s="7" t="str">
        <v>89980</v>
      </c>
      <c r="G10330" t="str">
        <v>ProjectedCrs</v>
      </c>
      <c r="H10330" t="str">
        <v>Lambert Azimuthal Equal Area</v>
      </c>
      <c r="I10330" t="str">
        <v>Neptune (2015) - Sphere / Ocentric / Lambert Azimuthal Equal Area</v>
      </c>
      <c r="J10330" t="str">
        <v>Not specified.</v>
      </c>
      <c r="K10330" s="11">
        <v>0</v>
      </c>
    </row>
    <row r="10331" spans="5:11" x14ac:dyDescent="0.35">
      <c r="E10331" s="9" t="str">
        <v>IAU_2015</v>
      </c>
      <c r="F10331" s="7" t="str">
        <v>89981</v>
      </c>
      <c r="G10331" t="str">
        <v>ProjectedCrs</v>
      </c>
      <c r="H10331" t="str">
        <v>Lambert Azimuthal Equal Area</v>
      </c>
      <c r="I10331" t="str">
        <v>Neptune (2015) / Ographic / Lambert Azimuthal Equal Area</v>
      </c>
      <c r="J10331" t="str">
        <v>Not specified.</v>
      </c>
      <c r="K10331" s="11">
        <v>0</v>
      </c>
    </row>
    <row r="10332" spans="5:11" x14ac:dyDescent="0.35">
      <c r="E10332" s="9" t="str">
        <v>IAU_2015</v>
      </c>
      <c r="F10332" s="7" t="str">
        <v>89982</v>
      </c>
      <c r="G10332" t="str">
        <v>ProjectedCrs</v>
      </c>
      <c r="H10332" t="str">
        <v>Lambert Azimuthal Equal Area</v>
      </c>
      <c r="I10332" t="str">
        <v>Neptune (2015) / Ocentric / Lambert Azimuthal Equal Area</v>
      </c>
      <c r="J10332" t="str">
        <v>Not specified.</v>
      </c>
      <c r="K10332" s="11">
        <v>0</v>
      </c>
    </row>
    <row r="10333" spans="5:11" x14ac:dyDescent="0.35">
      <c r="E10333" s="9" t="str">
        <v>IAU_2015</v>
      </c>
      <c r="F10333" s="7" t="str">
        <v>89985</v>
      </c>
      <c r="G10333" t="str">
        <v>ProjectedCrs</v>
      </c>
      <c r="H10333" t="str">
        <v>Albers Equal Area</v>
      </c>
      <c r="I10333" t="str">
        <v>Neptune (2015) - Sphere / Ocentric / Albers Equal Area</v>
      </c>
      <c r="J10333" t="str">
        <v>Not specified.</v>
      </c>
      <c r="K10333" s="11">
        <v>0</v>
      </c>
    </row>
    <row r="10334" spans="5:11" x14ac:dyDescent="0.35">
      <c r="E10334" s="9" t="str">
        <v>IAU_2015</v>
      </c>
      <c r="F10334" s="7" t="str">
        <v>89986</v>
      </c>
      <c r="G10334" t="str">
        <v>ProjectedCrs</v>
      </c>
      <c r="H10334" t="str">
        <v>Albers Equal Area</v>
      </c>
      <c r="I10334" t="str">
        <v>Neptune (2015) / Ographic / Albers Equal Area</v>
      </c>
      <c r="J10334" t="str">
        <v>Not specified.</v>
      </c>
      <c r="K10334" s="11">
        <v>0</v>
      </c>
    </row>
    <row r="10335" spans="5:11" x14ac:dyDescent="0.35">
      <c r="E10335" s="9" t="str">
        <v>IAU_2015</v>
      </c>
      <c r="F10335" s="7" t="str">
        <v>89987</v>
      </c>
      <c r="G10335" t="str">
        <v>ProjectedCrs</v>
      </c>
      <c r="H10335" t="str">
        <v>Albers Equal Area</v>
      </c>
      <c r="I10335" t="str">
        <v>Neptune (2015) / Ocentric / Albers Equal Area</v>
      </c>
      <c r="J10335" t="str">
        <v>Not specified.</v>
      </c>
      <c r="K10335" s="11">
        <v>0</v>
      </c>
    </row>
    <row r="10336" spans="5:11" x14ac:dyDescent="0.35">
      <c r="E10336" s="9" t="str">
        <v>IAU_2015</v>
      </c>
      <c r="F10336" s="7" t="str">
        <v>89990</v>
      </c>
      <c r="G10336" t="str">
        <v>ProjectedCrs</v>
      </c>
      <c r="H10336" t="str">
        <v>Mercator (Spherical)</v>
      </c>
      <c r="I10336" t="str">
        <v>Neptune (2015) - Sphere / Ocentric / Mercator</v>
      </c>
      <c r="J10336" t="str">
        <v>Not specified.</v>
      </c>
      <c r="K10336" s="11">
        <v>0</v>
      </c>
    </row>
    <row r="10337" spans="5:11" x14ac:dyDescent="0.35">
      <c r="E10337" s="9" t="str">
        <v>IAU_2015</v>
      </c>
      <c r="F10337" s="7" t="str">
        <v>89991</v>
      </c>
      <c r="G10337" t="str">
        <v>ProjectedCrs</v>
      </c>
      <c r="H10337" t="str">
        <v>Mercator (Spherical)</v>
      </c>
      <c r="I10337" t="str">
        <v>Neptune (2015) / Ographic / Mercator</v>
      </c>
      <c r="J10337" t="str">
        <v>Not specified.</v>
      </c>
      <c r="K10337" s="11">
        <v>0</v>
      </c>
    </row>
    <row r="10338" spans="5:11" x14ac:dyDescent="0.35">
      <c r="E10338" s="9" t="str">
        <v>IAU_2015</v>
      </c>
      <c r="F10338" s="7" t="str">
        <v>89992</v>
      </c>
      <c r="G10338" t="str">
        <v>ProjectedCrs</v>
      </c>
      <c r="H10338" t="str">
        <v>Mercator (Spherical)</v>
      </c>
      <c r="I10338" t="str">
        <v>Neptune (2015) / Ocentric / Mercator</v>
      </c>
      <c r="J10338" t="str">
        <v>Not specified.</v>
      </c>
      <c r="K10338" s="11">
        <v>0</v>
      </c>
    </row>
    <row r="10339" spans="5:11" x14ac:dyDescent="0.35">
      <c r="E10339" s="9" t="str">
        <v>IAU_2015</v>
      </c>
      <c r="F10339" s="7" t="str">
        <v>90100</v>
      </c>
      <c r="G10339" t="str">
        <v>Geographic2DCrs</v>
      </c>
      <c r="H10339" t="str">
        <v>&lt;undefined&gt;</v>
      </c>
      <c r="I10339" t="str">
        <v>Charon (2015) - Sphere / Ocentric</v>
      </c>
      <c r="J10339" t="str">
        <v>Not specified.</v>
      </c>
      <c r="K10339" s="11">
        <v>0</v>
      </c>
    </row>
    <row r="10340" spans="5:11" x14ac:dyDescent="0.35">
      <c r="E10340" s="9" t="str">
        <v>IAU_2015</v>
      </c>
      <c r="F10340" s="7" t="str">
        <v>90110</v>
      </c>
      <c r="G10340" t="str">
        <v>ProjectedCrs</v>
      </c>
      <c r="H10340" t="str">
        <v>Equidistant Cylindrical</v>
      </c>
      <c r="I10340" t="str">
        <v>Charon (2015) - Sphere / Ocentric / Equirectangular, clon = 0</v>
      </c>
      <c r="J10340" t="str">
        <v>Not specified.</v>
      </c>
      <c r="K10340" s="11">
        <v>0</v>
      </c>
    </row>
    <row r="10341" spans="5:11" x14ac:dyDescent="0.35">
      <c r="E10341" s="9" t="str">
        <v>IAU_2015</v>
      </c>
      <c r="F10341" s="7" t="str">
        <v>90115</v>
      </c>
      <c r="G10341" t="str">
        <v>ProjectedCrs</v>
      </c>
      <c r="H10341" t="str">
        <v>Equidistant Cylindrical</v>
      </c>
      <c r="I10341" t="str">
        <v>Charon (2015) - Sphere / Ocentric / Equirectangular, clon = 180</v>
      </c>
      <c r="J10341" t="str">
        <v>Not specified.</v>
      </c>
      <c r="K10341" s="11">
        <v>0</v>
      </c>
    </row>
    <row r="10342" spans="5:11" x14ac:dyDescent="0.35">
      <c r="E10342" s="9" t="str">
        <v>IAU_2015</v>
      </c>
      <c r="F10342" s="7" t="str">
        <v>90120</v>
      </c>
      <c r="G10342" t="str">
        <v>ProjectedCrs</v>
      </c>
      <c r="H10342" t="str">
        <v>Sinusoidal</v>
      </c>
      <c r="I10342" t="str">
        <v>Charon (2015) - Sphere / Ocentric / Sinusoidal, clon = 0</v>
      </c>
      <c r="J10342" t="str">
        <v>Not specified.</v>
      </c>
      <c r="K10342" s="11">
        <v>0</v>
      </c>
    </row>
    <row r="10343" spans="5:11" x14ac:dyDescent="0.35">
      <c r="E10343" s="9" t="str">
        <v>IAU_2015</v>
      </c>
      <c r="F10343" s="7" t="str">
        <v>90125</v>
      </c>
      <c r="G10343" t="str">
        <v>ProjectedCrs</v>
      </c>
      <c r="H10343" t="str">
        <v>Sinusoidal</v>
      </c>
      <c r="I10343" t="str">
        <v>Charon (2015) - Sphere / Ocentric / Sinusoidal, clon = 180</v>
      </c>
      <c r="J10343" t="str">
        <v>Not specified.</v>
      </c>
      <c r="K10343" s="11">
        <v>0</v>
      </c>
    </row>
    <row r="10344" spans="5:11" x14ac:dyDescent="0.35">
      <c r="E10344" s="9" t="str">
        <v>IAU_2015</v>
      </c>
      <c r="F10344" s="7" t="str">
        <v>90130</v>
      </c>
      <c r="G10344" t="str">
        <v>ProjectedCrs</v>
      </c>
      <c r="H10344" t="str">
        <v>Polar Stereographic (variant A)</v>
      </c>
      <c r="I10344" t="str">
        <v>Charon (2015) - Sphere / Ocentric / North Polar</v>
      </c>
      <c r="J10344" t="str">
        <v>Not specified.</v>
      </c>
      <c r="K10344" s="11">
        <v>0</v>
      </c>
    </row>
    <row r="10345" spans="5:11" x14ac:dyDescent="0.35">
      <c r="E10345" s="9" t="str">
        <v>IAU_2015</v>
      </c>
      <c r="F10345" s="7" t="str">
        <v>90135</v>
      </c>
      <c r="G10345" t="str">
        <v>ProjectedCrs</v>
      </c>
      <c r="H10345" t="str">
        <v>Polar Stereographic (variant A)</v>
      </c>
      <c r="I10345" t="str">
        <v>Charon (2015) - Sphere / Ocentric / South Polar</v>
      </c>
      <c r="J10345" t="str">
        <v>Not specified.</v>
      </c>
      <c r="K10345" s="11">
        <v>0</v>
      </c>
    </row>
    <row r="10346" spans="5:11" x14ac:dyDescent="0.35">
      <c r="E10346" s="9" t="str">
        <v>IAU_2015</v>
      </c>
      <c r="F10346" s="7" t="str">
        <v>90140</v>
      </c>
      <c r="G10346" t="str">
        <v>ProjectedCrs</v>
      </c>
      <c r="H10346" t="str">
        <v>Mollweide</v>
      </c>
      <c r="I10346" t="str">
        <v>Charon (2015) - Sphere / Ocentric / Mollweide, clon = 0</v>
      </c>
      <c r="J10346" t="str">
        <v>Not specified.</v>
      </c>
      <c r="K10346" s="11">
        <v>0</v>
      </c>
    </row>
    <row r="10347" spans="5:11" x14ac:dyDescent="0.35">
      <c r="E10347" s="9" t="str">
        <v>IAU_2015</v>
      </c>
      <c r="F10347" s="7" t="str">
        <v>90145</v>
      </c>
      <c r="G10347" t="str">
        <v>ProjectedCrs</v>
      </c>
      <c r="H10347" t="str">
        <v>Mollweide</v>
      </c>
      <c r="I10347" t="str">
        <v>Charon (2015) - Sphere / Ocentric / Mollweide, clon = 180</v>
      </c>
      <c r="J10347" t="str">
        <v>Not specified.</v>
      </c>
      <c r="K10347" s="11">
        <v>0</v>
      </c>
    </row>
    <row r="10348" spans="5:11" x14ac:dyDescent="0.35">
      <c r="E10348" s="9" t="str">
        <v>IAU_2015</v>
      </c>
      <c r="F10348" s="7" t="str">
        <v>90150</v>
      </c>
      <c r="G10348" t="str">
        <v>ProjectedCrs</v>
      </c>
      <c r="H10348" t="str">
        <v>Robinson</v>
      </c>
      <c r="I10348" t="str">
        <v>Charon (2015) - Sphere / Ocentric / Robinson, clon = 0</v>
      </c>
      <c r="J10348" t="str">
        <v>Not specified.</v>
      </c>
      <c r="K10348" s="11">
        <v>0</v>
      </c>
    </row>
    <row r="10349" spans="5:11" x14ac:dyDescent="0.35">
      <c r="E10349" s="9" t="str">
        <v>IAU_2015</v>
      </c>
      <c r="F10349" s="7" t="str">
        <v>90155</v>
      </c>
      <c r="G10349" t="str">
        <v>ProjectedCrs</v>
      </c>
      <c r="H10349" t="str">
        <v>Robinson</v>
      </c>
      <c r="I10349" t="str">
        <v>Charon (2015) - Sphere / Ocentric / Robinson, clon = 180</v>
      </c>
      <c r="J10349" t="str">
        <v>Not specified.</v>
      </c>
      <c r="K10349" s="11">
        <v>0</v>
      </c>
    </row>
    <row r="10350" spans="5:11" x14ac:dyDescent="0.35">
      <c r="E10350" s="9" t="str">
        <v>IAU_2015</v>
      </c>
      <c r="F10350" s="7" t="str">
        <v>90160</v>
      </c>
      <c r="G10350" t="str">
        <v>ProjectedCrs</v>
      </c>
      <c r="H10350" t="str">
        <v>Transverse Mercator</v>
      </c>
      <c r="I10350" t="str">
        <v>Charon (2015) - Sphere / Ocentric / Tranverse Mercator</v>
      </c>
      <c r="J10350" t="str">
        <v>Not specified.</v>
      </c>
      <c r="K10350" s="11">
        <v>0</v>
      </c>
    </row>
    <row r="10351" spans="5:11" x14ac:dyDescent="0.35">
      <c r="E10351" s="9" t="str">
        <v>IAU_2015</v>
      </c>
      <c r="F10351" s="7" t="str">
        <v>90165</v>
      </c>
      <c r="G10351" t="str">
        <v>ProjectedCrs</v>
      </c>
      <c r="H10351" t="str">
        <v>Orthographic</v>
      </c>
      <c r="I10351" t="str">
        <v>Charon (2015) - Sphere / Ocentric / Orthographic, clon = 0</v>
      </c>
      <c r="J10351" t="str">
        <v>Not specified.</v>
      </c>
      <c r="K10351" s="11">
        <v>0</v>
      </c>
    </row>
    <row r="10352" spans="5:11" x14ac:dyDescent="0.35">
      <c r="E10352" s="9" t="str">
        <v>IAU_2015</v>
      </c>
      <c r="F10352" s="7" t="str">
        <v>90170</v>
      </c>
      <c r="G10352" t="str">
        <v>ProjectedCrs</v>
      </c>
      <c r="H10352" t="str">
        <v>Orthographic</v>
      </c>
      <c r="I10352" t="str">
        <v>Charon (2015) - Sphere / Ocentric / Orthographic, clon = 180</v>
      </c>
      <c r="J10352" t="str">
        <v>Not specified.</v>
      </c>
      <c r="K10352" s="11">
        <v>0</v>
      </c>
    </row>
    <row r="10353" spans="5:11" x14ac:dyDescent="0.35">
      <c r="E10353" s="9" t="str">
        <v>IAU_2015</v>
      </c>
      <c r="F10353" s="7" t="str">
        <v>90175</v>
      </c>
      <c r="G10353" t="str">
        <v>ProjectedCrs</v>
      </c>
      <c r="H10353" t="str">
        <v>Lambert Conic Conformal (2SP)</v>
      </c>
      <c r="I10353" t="str">
        <v>Charon (2015) - Sphere / Ocentric / Lambert Conic Conformal</v>
      </c>
      <c r="J10353" t="str">
        <v>Not specified.</v>
      </c>
      <c r="K10353" s="11">
        <v>0</v>
      </c>
    </row>
    <row r="10354" spans="5:11" x14ac:dyDescent="0.35">
      <c r="E10354" s="9" t="str">
        <v>IAU_2015</v>
      </c>
      <c r="F10354" s="7" t="str">
        <v>90180</v>
      </c>
      <c r="G10354" t="str">
        <v>ProjectedCrs</v>
      </c>
      <c r="H10354" t="str">
        <v>Lambert Azimuthal Equal Area</v>
      </c>
      <c r="I10354" t="str">
        <v>Charon (2015) - Sphere / Ocentric / Lambert Azimuthal Equal Area</v>
      </c>
      <c r="J10354" t="str">
        <v>Not specified.</v>
      </c>
      <c r="K10354" s="11">
        <v>0</v>
      </c>
    </row>
    <row r="10355" spans="5:11" x14ac:dyDescent="0.35">
      <c r="E10355" s="9" t="str">
        <v>IAU_2015</v>
      </c>
      <c r="F10355" s="7" t="str">
        <v>90185</v>
      </c>
      <c r="G10355" t="str">
        <v>ProjectedCrs</v>
      </c>
      <c r="H10355" t="str">
        <v>Albers Equal Area</v>
      </c>
      <c r="I10355" t="str">
        <v>Charon (2015) - Sphere / Ocentric / Albers Equal Area</v>
      </c>
      <c r="J10355" t="str">
        <v>Not specified.</v>
      </c>
      <c r="K10355" s="11">
        <v>0</v>
      </c>
    </row>
    <row r="10356" spans="5:11" x14ac:dyDescent="0.35">
      <c r="E10356" s="9" t="str">
        <v>IAU_2015</v>
      </c>
      <c r="F10356" s="7" t="str">
        <v>90190</v>
      </c>
      <c r="G10356" t="str">
        <v>ProjectedCrs</v>
      </c>
      <c r="H10356" t="str">
        <v>Mercator (Spherical)</v>
      </c>
      <c r="I10356" t="str">
        <v>Charon (2015) - Sphere / Ocentric / Mercator</v>
      </c>
      <c r="J10356" t="str">
        <v>Not specified.</v>
      </c>
      <c r="K10356" s="11">
        <v>0</v>
      </c>
    </row>
    <row r="10357" spans="5:11" x14ac:dyDescent="0.35">
      <c r="E10357" s="9" t="str">
        <v>IAU_2015</v>
      </c>
      <c r="F10357" s="7" t="str">
        <v>99900</v>
      </c>
      <c r="G10357" t="str">
        <v>Geographic2DCrs</v>
      </c>
      <c r="H10357" t="str">
        <v>&lt;undefined&gt;</v>
      </c>
      <c r="I10357" t="str">
        <v>Pluto (2015) - Sphere / Ocentric</v>
      </c>
      <c r="J10357" t="str">
        <v>Not specified.</v>
      </c>
      <c r="K10357" s="11">
        <v>0</v>
      </c>
    </row>
    <row r="10358" spans="5:11" x14ac:dyDescent="0.35">
      <c r="E10358" s="9" t="str">
        <v>IAU_2015</v>
      </c>
      <c r="F10358" s="7" t="str">
        <v>99910</v>
      </c>
      <c r="G10358" t="str">
        <v>ProjectedCrs</v>
      </c>
      <c r="H10358" t="str">
        <v>Equidistant Cylindrical</v>
      </c>
      <c r="I10358" t="str">
        <v>Pluto (2015) - Sphere / Ocentric / Equirectangular, clon = 0</v>
      </c>
      <c r="J10358" t="str">
        <v>Not specified.</v>
      </c>
      <c r="K10358" s="11">
        <v>0</v>
      </c>
    </row>
    <row r="10359" spans="5:11" x14ac:dyDescent="0.35">
      <c r="E10359" s="9" t="str">
        <v>IAU_2015</v>
      </c>
      <c r="F10359" s="7" t="str">
        <v>99915</v>
      </c>
      <c r="G10359" t="str">
        <v>ProjectedCrs</v>
      </c>
      <c r="H10359" t="str">
        <v>Equidistant Cylindrical</v>
      </c>
      <c r="I10359" t="str">
        <v>Pluto (2015) - Sphere / Ocentric / Equirectangular, clon = 180</v>
      </c>
      <c r="J10359" t="str">
        <v>Not specified.</v>
      </c>
      <c r="K10359" s="11">
        <v>0</v>
      </c>
    </row>
    <row r="10360" spans="5:11" x14ac:dyDescent="0.35">
      <c r="E10360" s="9" t="str">
        <v>IAU_2015</v>
      </c>
      <c r="F10360" s="7" t="str">
        <v>99920</v>
      </c>
      <c r="G10360" t="str">
        <v>ProjectedCrs</v>
      </c>
      <c r="H10360" t="str">
        <v>Sinusoidal</v>
      </c>
      <c r="I10360" t="str">
        <v>Pluto (2015) - Sphere / Ocentric / Sinusoidal, clon = 0</v>
      </c>
      <c r="J10360" t="str">
        <v>Not specified.</v>
      </c>
      <c r="K10360" s="11">
        <v>0</v>
      </c>
    </row>
    <row r="10361" spans="5:11" x14ac:dyDescent="0.35">
      <c r="E10361" s="9" t="str">
        <v>IAU_2015</v>
      </c>
      <c r="F10361" s="7" t="str">
        <v>99925</v>
      </c>
      <c r="G10361" t="str">
        <v>ProjectedCrs</v>
      </c>
      <c r="H10361" t="str">
        <v>Sinusoidal</v>
      </c>
      <c r="I10361" t="str">
        <v>Pluto (2015) - Sphere / Ocentric / Sinusoidal, clon = 180</v>
      </c>
      <c r="J10361" t="str">
        <v>Not specified.</v>
      </c>
      <c r="K10361" s="11">
        <v>0</v>
      </c>
    </row>
    <row r="10362" spans="5:11" x14ac:dyDescent="0.35">
      <c r="E10362" s="9" t="str">
        <v>IAU_2015</v>
      </c>
      <c r="F10362" s="7" t="str">
        <v>99930</v>
      </c>
      <c r="G10362" t="str">
        <v>ProjectedCrs</v>
      </c>
      <c r="H10362" t="str">
        <v>Polar Stereographic (variant A)</v>
      </c>
      <c r="I10362" t="str">
        <v>Pluto (2015) - Sphere / Ocentric / North Polar</v>
      </c>
      <c r="J10362" t="str">
        <v>Not specified.</v>
      </c>
      <c r="K10362" s="11">
        <v>0</v>
      </c>
    </row>
    <row r="10363" spans="5:11" x14ac:dyDescent="0.35">
      <c r="E10363" s="9" t="str">
        <v>IAU_2015</v>
      </c>
      <c r="F10363" s="7" t="str">
        <v>99935</v>
      </c>
      <c r="G10363" t="str">
        <v>ProjectedCrs</v>
      </c>
      <c r="H10363" t="str">
        <v>Polar Stereographic (variant A)</v>
      </c>
      <c r="I10363" t="str">
        <v>Pluto (2015) - Sphere / Ocentric / South Polar</v>
      </c>
      <c r="J10363" t="str">
        <v>Not specified.</v>
      </c>
      <c r="K10363" s="11">
        <v>0</v>
      </c>
    </row>
    <row r="10364" spans="5:11" x14ac:dyDescent="0.35">
      <c r="E10364" s="9" t="str">
        <v>IAU_2015</v>
      </c>
      <c r="F10364" s="7" t="str">
        <v>99940</v>
      </c>
      <c r="G10364" t="str">
        <v>ProjectedCrs</v>
      </c>
      <c r="H10364" t="str">
        <v>Mollweide</v>
      </c>
      <c r="I10364" t="str">
        <v>Pluto (2015) - Sphere / Ocentric / Mollweide, clon = 0</v>
      </c>
      <c r="J10364" t="str">
        <v>Not specified.</v>
      </c>
      <c r="K10364" s="11">
        <v>0</v>
      </c>
    </row>
    <row r="10365" spans="5:11" x14ac:dyDescent="0.35">
      <c r="E10365" s="9" t="str">
        <v>IAU_2015</v>
      </c>
      <c r="F10365" s="7" t="str">
        <v>99945</v>
      </c>
      <c r="G10365" t="str">
        <v>ProjectedCrs</v>
      </c>
      <c r="H10365" t="str">
        <v>Mollweide</v>
      </c>
      <c r="I10365" t="str">
        <v>Pluto (2015) - Sphere / Ocentric / Mollweide, clon = 180</v>
      </c>
      <c r="J10365" t="str">
        <v>Not specified.</v>
      </c>
      <c r="K10365" s="11">
        <v>0</v>
      </c>
    </row>
    <row r="10366" spans="5:11" x14ac:dyDescent="0.35">
      <c r="E10366" s="9" t="str">
        <v>IAU_2015</v>
      </c>
      <c r="F10366" s="7" t="str">
        <v>99950</v>
      </c>
      <c r="G10366" t="str">
        <v>ProjectedCrs</v>
      </c>
      <c r="H10366" t="str">
        <v>Robinson</v>
      </c>
      <c r="I10366" t="str">
        <v>Pluto (2015) - Sphere / Ocentric / Robinson, clon = 0</v>
      </c>
      <c r="J10366" t="str">
        <v>Not specified.</v>
      </c>
      <c r="K10366" s="11">
        <v>0</v>
      </c>
    </row>
    <row r="10367" spans="5:11" x14ac:dyDescent="0.35">
      <c r="E10367" s="9" t="str">
        <v>IAU_2015</v>
      </c>
      <c r="F10367" s="7" t="str">
        <v>99955</v>
      </c>
      <c r="G10367" t="str">
        <v>ProjectedCrs</v>
      </c>
      <c r="H10367" t="str">
        <v>Robinson</v>
      </c>
      <c r="I10367" t="str">
        <v>Pluto (2015) - Sphere / Ocentric / Robinson, clon = 180</v>
      </c>
      <c r="J10367" t="str">
        <v>Not specified.</v>
      </c>
      <c r="K10367" s="11">
        <v>0</v>
      </c>
    </row>
    <row r="10368" spans="5:11" x14ac:dyDescent="0.35">
      <c r="E10368" s="9" t="str">
        <v>IAU_2015</v>
      </c>
      <c r="F10368" s="7" t="str">
        <v>99960</v>
      </c>
      <c r="G10368" t="str">
        <v>ProjectedCrs</v>
      </c>
      <c r="H10368" t="str">
        <v>Transverse Mercator</v>
      </c>
      <c r="I10368" t="str">
        <v>Pluto (2015) - Sphere / Ocentric / Tranverse Mercator</v>
      </c>
      <c r="J10368" t="str">
        <v>Not specified.</v>
      </c>
      <c r="K10368" s="11">
        <v>0</v>
      </c>
    </row>
    <row r="10369" spans="5:11" x14ac:dyDescent="0.35">
      <c r="E10369" s="9" t="str">
        <v>IAU_2015</v>
      </c>
      <c r="F10369" s="7" t="str">
        <v>99965</v>
      </c>
      <c r="G10369" t="str">
        <v>ProjectedCrs</v>
      </c>
      <c r="H10369" t="str">
        <v>Orthographic</v>
      </c>
      <c r="I10369" t="str">
        <v>Pluto (2015) - Sphere / Ocentric / Orthographic, clon = 0</v>
      </c>
      <c r="J10369" t="str">
        <v>Not specified.</v>
      </c>
      <c r="K10369" s="11">
        <v>0</v>
      </c>
    </row>
    <row r="10370" spans="5:11" x14ac:dyDescent="0.35">
      <c r="E10370" s="9" t="str">
        <v>IAU_2015</v>
      </c>
      <c r="F10370" s="7" t="str">
        <v>99970</v>
      </c>
      <c r="G10370" t="str">
        <v>ProjectedCrs</v>
      </c>
      <c r="H10370" t="str">
        <v>Orthographic</v>
      </c>
      <c r="I10370" t="str">
        <v>Pluto (2015) - Sphere / Ocentric / Orthographic, clon = 180</v>
      </c>
      <c r="J10370" t="str">
        <v>Not specified.</v>
      </c>
      <c r="K10370" s="11">
        <v>0</v>
      </c>
    </row>
    <row r="10371" spans="5:11" x14ac:dyDescent="0.35">
      <c r="E10371" s="9" t="str">
        <v>IAU_2015</v>
      </c>
      <c r="F10371" s="7" t="str">
        <v>99975</v>
      </c>
      <c r="G10371" t="str">
        <v>ProjectedCrs</v>
      </c>
      <c r="H10371" t="str">
        <v>Lambert Conic Conformal (2SP)</v>
      </c>
      <c r="I10371" t="str">
        <v>Pluto (2015) - Sphere / Ocentric / Lambert Conic Conformal</v>
      </c>
      <c r="J10371" t="str">
        <v>Not specified.</v>
      </c>
      <c r="K10371" s="11">
        <v>0</v>
      </c>
    </row>
    <row r="10372" spans="5:11" x14ac:dyDescent="0.35">
      <c r="E10372" s="9" t="str">
        <v>IAU_2015</v>
      </c>
      <c r="F10372" s="7" t="str">
        <v>99980</v>
      </c>
      <c r="G10372" t="str">
        <v>ProjectedCrs</v>
      </c>
      <c r="H10372" t="str">
        <v>Lambert Azimuthal Equal Area</v>
      </c>
      <c r="I10372" t="str">
        <v>Pluto (2015) - Sphere / Ocentric / Lambert Azimuthal Equal Area</v>
      </c>
      <c r="J10372" t="str">
        <v>Not specified.</v>
      </c>
      <c r="K10372" s="11">
        <v>0</v>
      </c>
    </row>
    <row r="10373" spans="5:11" x14ac:dyDescent="0.35">
      <c r="E10373" s="9" t="str">
        <v>IAU_2015</v>
      </c>
      <c r="F10373" s="7" t="str">
        <v>99985</v>
      </c>
      <c r="G10373" t="str">
        <v>ProjectedCrs</v>
      </c>
      <c r="H10373" t="str">
        <v>Albers Equal Area</v>
      </c>
      <c r="I10373" t="str">
        <v>Pluto (2015) - Sphere / Ocentric / Albers Equal Area</v>
      </c>
      <c r="J10373" t="str">
        <v>Not specified.</v>
      </c>
      <c r="K10373" s="11">
        <v>0</v>
      </c>
    </row>
    <row r="10374" spans="5:11" x14ac:dyDescent="0.35">
      <c r="E10374" s="9" t="str">
        <v>IAU_2015</v>
      </c>
      <c r="F10374" s="7" t="str">
        <v>99990</v>
      </c>
      <c r="G10374" t="str">
        <v>ProjectedCrs</v>
      </c>
      <c r="H10374" t="str">
        <v>Mercator (Spherical)</v>
      </c>
      <c r="I10374" t="str">
        <v>Pluto (2015) - Sphere / Ocentric / Mercator</v>
      </c>
      <c r="J10374" t="str">
        <v>Not specified.</v>
      </c>
      <c r="K10374" s="11">
        <v>0</v>
      </c>
    </row>
    <row r="10375" spans="5:11" x14ac:dyDescent="0.35">
      <c r="E10375" s="9" t="str">
        <v>IAU_2015</v>
      </c>
      <c r="F10375" s="7" t="str">
        <v>100000500</v>
      </c>
      <c r="G10375" t="str">
        <v>Geographic2DCrs</v>
      </c>
      <c r="H10375" t="str">
        <v>&lt;undefined&gt;</v>
      </c>
      <c r="I10375" t="str">
        <v>Borrelly (2015) - Sphere / Ocentric</v>
      </c>
      <c r="J10375" t="str">
        <v>Not specified.</v>
      </c>
      <c r="K10375" s="11">
        <v>0</v>
      </c>
    </row>
    <row r="10376" spans="5:11" x14ac:dyDescent="0.35">
      <c r="E10376" s="9" t="str">
        <v>IAU_2015</v>
      </c>
      <c r="F10376" s="7" t="str">
        <v>100000510</v>
      </c>
      <c r="G10376" t="str">
        <v>ProjectedCrs</v>
      </c>
      <c r="H10376" t="str">
        <v>Equidistant Cylindrical</v>
      </c>
      <c r="I10376" t="str">
        <v>Borrelly (2015) - Sphere / Ocentric / Equirectangular, clon = 0</v>
      </c>
      <c r="J10376" t="str">
        <v>Not specified.</v>
      </c>
      <c r="K10376" s="11">
        <v>0</v>
      </c>
    </row>
    <row r="10377" spans="5:11" x14ac:dyDescent="0.35">
      <c r="E10377" s="9" t="str">
        <v>IAU_2015</v>
      </c>
      <c r="F10377" s="7" t="str">
        <v>100000515</v>
      </c>
      <c r="G10377" t="str">
        <v>ProjectedCrs</v>
      </c>
      <c r="H10377" t="str">
        <v>Equidistant Cylindrical</v>
      </c>
      <c r="I10377" t="str">
        <v>Borrelly (2015) - Sphere / Ocentric / Equirectangular, clon = 180</v>
      </c>
      <c r="J10377" t="str">
        <v>Not specified.</v>
      </c>
      <c r="K10377" s="11">
        <v>0</v>
      </c>
    </row>
    <row r="10378" spans="5:11" x14ac:dyDescent="0.35">
      <c r="E10378" s="9" t="str">
        <v>IAU_2015</v>
      </c>
      <c r="F10378" s="7" t="str">
        <v>100000520</v>
      </c>
      <c r="G10378" t="str">
        <v>ProjectedCrs</v>
      </c>
      <c r="H10378" t="str">
        <v>Sinusoidal</v>
      </c>
      <c r="I10378" t="str">
        <v>Borrelly (2015) - Sphere / Ocentric / Sinusoidal, clon = 0</v>
      </c>
      <c r="J10378" t="str">
        <v>Not specified.</v>
      </c>
      <c r="K10378" s="11">
        <v>0</v>
      </c>
    </row>
    <row r="10379" spans="5:11" x14ac:dyDescent="0.35">
      <c r="E10379" s="9" t="str">
        <v>IAU_2015</v>
      </c>
      <c r="F10379" s="7" t="str">
        <v>100000525</v>
      </c>
      <c r="G10379" t="str">
        <v>ProjectedCrs</v>
      </c>
      <c r="H10379" t="str">
        <v>Sinusoidal</v>
      </c>
      <c r="I10379" t="str">
        <v>Borrelly (2015) - Sphere / Ocentric / Sinusoidal, clon = 180</v>
      </c>
      <c r="J10379" t="str">
        <v>Not specified.</v>
      </c>
      <c r="K10379" s="11">
        <v>0</v>
      </c>
    </row>
    <row r="10380" spans="5:11" x14ac:dyDescent="0.35">
      <c r="E10380" s="9" t="str">
        <v>IAU_2015</v>
      </c>
      <c r="F10380" s="7" t="str">
        <v>100000530</v>
      </c>
      <c r="G10380" t="str">
        <v>ProjectedCrs</v>
      </c>
      <c r="H10380" t="str">
        <v>Polar Stereographic (variant A)</v>
      </c>
      <c r="I10380" t="str">
        <v>Borrelly (2015) - Sphere / Ocentric / North Polar</v>
      </c>
      <c r="J10380" t="str">
        <v>Not specified.</v>
      </c>
      <c r="K10380" s="11">
        <v>0</v>
      </c>
    </row>
    <row r="10381" spans="5:11" x14ac:dyDescent="0.35">
      <c r="E10381" s="9" t="str">
        <v>IAU_2015</v>
      </c>
      <c r="F10381" s="7" t="str">
        <v>100000535</v>
      </c>
      <c r="G10381" t="str">
        <v>ProjectedCrs</v>
      </c>
      <c r="H10381" t="str">
        <v>Polar Stereographic (variant A)</v>
      </c>
      <c r="I10381" t="str">
        <v>Borrelly (2015) - Sphere / Ocentric / South Polar</v>
      </c>
      <c r="J10381" t="str">
        <v>Not specified.</v>
      </c>
      <c r="K10381" s="11">
        <v>0</v>
      </c>
    </row>
    <row r="10382" spans="5:11" x14ac:dyDescent="0.35">
      <c r="E10382" s="9" t="str">
        <v>IAU_2015</v>
      </c>
      <c r="F10382" s="7" t="str">
        <v>100000540</v>
      </c>
      <c r="G10382" t="str">
        <v>ProjectedCrs</v>
      </c>
      <c r="H10382" t="str">
        <v>Mollweide</v>
      </c>
      <c r="I10382" t="str">
        <v>Borrelly (2015) - Sphere / Ocentric / Mollweide, clon = 0</v>
      </c>
      <c r="J10382" t="str">
        <v>Not specified.</v>
      </c>
      <c r="K10382" s="11">
        <v>0</v>
      </c>
    </row>
    <row r="10383" spans="5:11" x14ac:dyDescent="0.35">
      <c r="E10383" s="9" t="str">
        <v>IAU_2015</v>
      </c>
      <c r="F10383" s="7" t="str">
        <v>100000545</v>
      </c>
      <c r="G10383" t="str">
        <v>ProjectedCrs</v>
      </c>
      <c r="H10383" t="str">
        <v>Mollweide</v>
      </c>
      <c r="I10383" t="str">
        <v>Borrelly (2015) - Sphere / Ocentric / Mollweide, clon = 180</v>
      </c>
      <c r="J10383" t="str">
        <v>Not specified.</v>
      </c>
      <c r="K10383" s="11">
        <v>0</v>
      </c>
    </row>
    <row r="10384" spans="5:11" x14ac:dyDescent="0.35">
      <c r="E10384" s="9" t="str">
        <v>IAU_2015</v>
      </c>
      <c r="F10384" s="7" t="str">
        <v>100000550</v>
      </c>
      <c r="G10384" t="str">
        <v>ProjectedCrs</v>
      </c>
      <c r="H10384" t="str">
        <v>Robinson</v>
      </c>
      <c r="I10384" t="str">
        <v>Borrelly (2015) - Sphere / Ocentric / Robinson, clon = 0</v>
      </c>
      <c r="J10384" t="str">
        <v>Not specified.</v>
      </c>
      <c r="K10384" s="11">
        <v>0</v>
      </c>
    </row>
    <row r="10385" spans="5:11" x14ac:dyDescent="0.35">
      <c r="E10385" s="9" t="str">
        <v>IAU_2015</v>
      </c>
      <c r="F10385" s="7" t="str">
        <v>100000555</v>
      </c>
      <c r="G10385" t="str">
        <v>ProjectedCrs</v>
      </c>
      <c r="H10385" t="str">
        <v>Robinson</v>
      </c>
      <c r="I10385" t="str">
        <v>Borrelly (2015) - Sphere / Ocentric / Robinson, clon = 180</v>
      </c>
      <c r="J10385" t="str">
        <v>Not specified.</v>
      </c>
      <c r="K10385" s="11">
        <v>0</v>
      </c>
    </row>
    <row r="10386" spans="5:11" x14ac:dyDescent="0.35">
      <c r="E10386" s="9" t="str">
        <v>IAU_2015</v>
      </c>
      <c r="F10386" s="7" t="str">
        <v>100000560</v>
      </c>
      <c r="G10386" t="str">
        <v>ProjectedCrs</v>
      </c>
      <c r="H10386" t="str">
        <v>Transverse Mercator</v>
      </c>
      <c r="I10386" t="str">
        <v>Borrelly (2015) - Sphere / Ocentric / Tranverse Mercator</v>
      </c>
      <c r="J10386" t="str">
        <v>Not specified.</v>
      </c>
      <c r="K10386" s="11">
        <v>0</v>
      </c>
    </row>
    <row r="10387" spans="5:11" x14ac:dyDescent="0.35">
      <c r="E10387" s="9" t="str">
        <v>IAU_2015</v>
      </c>
      <c r="F10387" s="7" t="str">
        <v>100000565</v>
      </c>
      <c r="G10387" t="str">
        <v>ProjectedCrs</v>
      </c>
      <c r="H10387" t="str">
        <v>Orthographic</v>
      </c>
      <c r="I10387" t="str">
        <v>Borrelly (2015) - Sphere / Ocentric / Orthographic, clon = 0</v>
      </c>
      <c r="J10387" t="str">
        <v>Not specified.</v>
      </c>
      <c r="K10387" s="11">
        <v>0</v>
      </c>
    </row>
    <row r="10388" spans="5:11" x14ac:dyDescent="0.35">
      <c r="E10388" s="9" t="str">
        <v>IAU_2015</v>
      </c>
      <c r="F10388" s="7" t="str">
        <v>100000570</v>
      </c>
      <c r="G10388" t="str">
        <v>ProjectedCrs</v>
      </c>
      <c r="H10388" t="str">
        <v>Orthographic</v>
      </c>
      <c r="I10388" t="str">
        <v>Borrelly (2015) - Sphere / Ocentric / Orthographic, clon = 180</v>
      </c>
      <c r="J10388" t="str">
        <v>Not specified.</v>
      </c>
      <c r="K10388" s="11">
        <v>0</v>
      </c>
    </row>
    <row r="10389" spans="5:11" x14ac:dyDescent="0.35">
      <c r="E10389" s="9" t="str">
        <v>IAU_2015</v>
      </c>
      <c r="F10389" s="7" t="str">
        <v>100000575</v>
      </c>
      <c r="G10389" t="str">
        <v>ProjectedCrs</v>
      </c>
      <c r="H10389" t="str">
        <v>Lambert Conic Conformal (2SP)</v>
      </c>
      <c r="I10389" t="str">
        <v>Borrelly (2015) - Sphere / Ocentric / Lambert Conic Conformal</v>
      </c>
      <c r="J10389" t="str">
        <v>Not specified.</v>
      </c>
      <c r="K10389" s="11">
        <v>0</v>
      </c>
    </row>
    <row r="10390" spans="5:11" x14ac:dyDescent="0.35">
      <c r="E10390" s="9" t="str">
        <v>IAU_2015</v>
      </c>
      <c r="F10390" s="7" t="str">
        <v>100000580</v>
      </c>
      <c r="G10390" t="str">
        <v>ProjectedCrs</v>
      </c>
      <c r="H10390" t="str">
        <v>Lambert Azimuthal Equal Area</v>
      </c>
      <c r="I10390" t="str">
        <v>Borrelly (2015) - Sphere / Ocentric / Lambert Azimuthal Equal Area</v>
      </c>
      <c r="J10390" t="str">
        <v>Not specified.</v>
      </c>
      <c r="K10390" s="11">
        <v>0</v>
      </c>
    </row>
    <row r="10391" spans="5:11" x14ac:dyDescent="0.35">
      <c r="E10391" s="9" t="str">
        <v>IAU_2015</v>
      </c>
      <c r="F10391" s="7" t="str">
        <v>100000585</v>
      </c>
      <c r="G10391" t="str">
        <v>ProjectedCrs</v>
      </c>
      <c r="H10391" t="str">
        <v>Albers Equal Area</v>
      </c>
      <c r="I10391" t="str">
        <v>Borrelly (2015) - Sphere / Ocentric / Albers Equal Area</v>
      </c>
      <c r="J10391" t="str">
        <v>Not specified.</v>
      </c>
      <c r="K10391" s="11">
        <v>0</v>
      </c>
    </row>
    <row r="10392" spans="5:11" x14ac:dyDescent="0.35">
      <c r="E10392" s="9" t="str">
        <v>IAU_2015</v>
      </c>
      <c r="F10392" s="7" t="str">
        <v>100000590</v>
      </c>
      <c r="G10392" t="str">
        <v>ProjectedCrs</v>
      </c>
      <c r="H10392" t="str">
        <v>Mercator (Spherical)</v>
      </c>
      <c r="I10392" t="str">
        <v>Borrelly (2015) - Sphere / Ocentric / Mercator</v>
      </c>
      <c r="J10392" t="str">
        <v>Not specified.</v>
      </c>
      <c r="K10392" s="11">
        <v>0</v>
      </c>
    </row>
    <row r="10393" spans="5:11" x14ac:dyDescent="0.35">
      <c r="E10393" s="9" t="str">
        <v>IAU_2015</v>
      </c>
      <c r="F10393" s="7" t="str">
        <v>100001200</v>
      </c>
      <c r="G10393" t="str">
        <v>Geographic2DCrs</v>
      </c>
      <c r="H10393" t="str">
        <v>&lt;undefined&gt;</v>
      </c>
      <c r="I10393" t="str">
        <v>Churyumov-Gerasimenko (2015) - Sphere / Ocentric</v>
      </c>
      <c r="J10393" t="str">
        <v>Not specified.</v>
      </c>
      <c r="K10393" s="11">
        <v>0</v>
      </c>
    </row>
    <row r="10394" spans="5:11" x14ac:dyDescent="0.35">
      <c r="E10394" s="9" t="str">
        <v>IAU_2015</v>
      </c>
      <c r="F10394" s="7" t="str">
        <v>100001210</v>
      </c>
      <c r="G10394" t="str">
        <v>ProjectedCrs</v>
      </c>
      <c r="H10394" t="str">
        <v>Equidistant Cylindrical</v>
      </c>
      <c r="I10394" t="str">
        <v>Churyumov-Gerasimenko (2015) - Sphere / Ocentric / Equirectangular, clon = 0</v>
      </c>
      <c r="J10394" t="str">
        <v>Not specified.</v>
      </c>
      <c r="K10394" s="11">
        <v>0</v>
      </c>
    </row>
    <row r="10395" spans="5:11" x14ac:dyDescent="0.35">
      <c r="E10395" s="9" t="str">
        <v>IAU_2015</v>
      </c>
      <c r="F10395" s="7" t="str">
        <v>100001215</v>
      </c>
      <c r="G10395" t="str">
        <v>ProjectedCrs</v>
      </c>
      <c r="H10395" t="str">
        <v>Equidistant Cylindrical</v>
      </c>
      <c r="I10395" t="str">
        <v>Churyumov-Gerasimenko (2015) - Sphere / Ocentric / Equirectangular, clon = 180</v>
      </c>
      <c r="J10395" t="str">
        <v>Not specified.</v>
      </c>
      <c r="K10395" s="11">
        <v>0</v>
      </c>
    </row>
    <row r="10396" spans="5:11" x14ac:dyDescent="0.35">
      <c r="E10396" s="9" t="str">
        <v>IAU_2015</v>
      </c>
      <c r="F10396" s="7" t="str">
        <v>100001220</v>
      </c>
      <c r="G10396" t="str">
        <v>ProjectedCrs</v>
      </c>
      <c r="H10396" t="str">
        <v>Sinusoidal</v>
      </c>
      <c r="I10396" t="str">
        <v>Churyumov-Gerasimenko (2015) - Sphere / Ocentric / Sinusoidal, clon = 0</v>
      </c>
      <c r="J10396" t="str">
        <v>Not specified.</v>
      </c>
      <c r="K10396" s="11">
        <v>0</v>
      </c>
    </row>
    <row r="10397" spans="5:11" x14ac:dyDescent="0.35">
      <c r="E10397" s="9" t="str">
        <v>IAU_2015</v>
      </c>
      <c r="F10397" s="7" t="str">
        <v>100001225</v>
      </c>
      <c r="G10397" t="str">
        <v>ProjectedCrs</v>
      </c>
      <c r="H10397" t="str">
        <v>Sinusoidal</v>
      </c>
      <c r="I10397" t="str">
        <v>Churyumov-Gerasimenko (2015) - Sphere / Ocentric / Sinusoidal, clon = 180</v>
      </c>
      <c r="J10397" t="str">
        <v>Not specified.</v>
      </c>
      <c r="K10397" s="11">
        <v>0</v>
      </c>
    </row>
    <row r="10398" spans="5:11" x14ac:dyDescent="0.35">
      <c r="E10398" s="9" t="str">
        <v>IAU_2015</v>
      </c>
      <c r="F10398" s="7" t="str">
        <v>100001230</v>
      </c>
      <c r="G10398" t="str">
        <v>ProjectedCrs</v>
      </c>
      <c r="H10398" t="str">
        <v>Polar Stereographic (variant A)</v>
      </c>
      <c r="I10398" t="str">
        <v>Churyumov-Gerasimenko (2015) - Sphere / Ocentric / North Polar</v>
      </c>
      <c r="J10398" t="str">
        <v>Not specified.</v>
      </c>
      <c r="K10398" s="11">
        <v>0</v>
      </c>
    </row>
    <row r="10399" spans="5:11" x14ac:dyDescent="0.35">
      <c r="E10399" s="9" t="str">
        <v>IAU_2015</v>
      </c>
      <c r="F10399" s="7" t="str">
        <v>100001235</v>
      </c>
      <c r="G10399" t="str">
        <v>ProjectedCrs</v>
      </c>
      <c r="H10399" t="str">
        <v>Polar Stereographic (variant A)</v>
      </c>
      <c r="I10399" t="str">
        <v>Churyumov-Gerasimenko (2015) - Sphere / Ocentric / South Polar</v>
      </c>
      <c r="J10399" t="str">
        <v>Not specified.</v>
      </c>
      <c r="K10399" s="11">
        <v>0</v>
      </c>
    </row>
    <row r="10400" spans="5:11" x14ac:dyDescent="0.35">
      <c r="E10400" s="9" t="str">
        <v>IAU_2015</v>
      </c>
      <c r="F10400" s="7" t="str">
        <v>100001240</v>
      </c>
      <c r="G10400" t="str">
        <v>ProjectedCrs</v>
      </c>
      <c r="H10400" t="str">
        <v>Mollweide</v>
      </c>
      <c r="I10400" t="str">
        <v>Churyumov-Gerasimenko (2015) - Sphere / Ocentric / Mollweide, clon = 0</v>
      </c>
      <c r="J10400" t="str">
        <v>Not specified.</v>
      </c>
      <c r="K10400" s="11">
        <v>0</v>
      </c>
    </row>
    <row r="10401" spans="5:11" x14ac:dyDescent="0.35">
      <c r="E10401" s="9" t="str">
        <v>IAU_2015</v>
      </c>
      <c r="F10401" s="7" t="str">
        <v>100001245</v>
      </c>
      <c r="G10401" t="str">
        <v>ProjectedCrs</v>
      </c>
      <c r="H10401" t="str">
        <v>Mollweide</v>
      </c>
      <c r="I10401" t="str">
        <v>Churyumov-Gerasimenko (2015) - Sphere / Ocentric / Mollweide, clon = 180</v>
      </c>
      <c r="J10401" t="str">
        <v>Not specified.</v>
      </c>
      <c r="K10401" s="11">
        <v>0</v>
      </c>
    </row>
    <row r="10402" spans="5:11" x14ac:dyDescent="0.35">
      <c r="E10402" s="9" t="str">
        <v>IAU_2015</v>
      </c>
      <c r="F10402" s="7" t="str">
        <v>100001250</v>
      </c>
      <c r="G10402" t="str">
        <v>ProjectedCrs</v>
      </c>
      <c r="H10402" t="str">
        <v>Robinson</v>
      </c>
      <c r="I10402" t="str">
        <v>Churyumov-Gerasimenko (2015) - Sphere / Ocentric / Robinson, clon = 0</v>
      </c>
      <c r="J10402" t="str">
        <v>Not specified.</v>
      </c>
      <c r="K10402" s="11">
        <v>0</v>
      </c>
    </row>
    <row r="10403" spans="5:11" x14ac:dyDescent="0.35">
      <c r="E10403" s="9" t="str">
        <v>IAU_2015</v>
      </c>
      <c r="F10403" s="7" t="str">
        <v>100001255</v>
      </c>
      <c r="G10403" t="str">
        <v>ProjectedCrs</v>
      </c>
      <c r="H10403" t="str">
        <v>Robinson</v>
      </c>
      <c r="I10403" t="str">
        <v>Churyumov-Gerasimenko (2015) - Sphere / Ocentric / Robinson, clon = 180</v>
      </c>
      <c r="J10403" t="str">
        <v>Not specified.</v>
      </c>
      <c r="K10403" s="11">
        <v>0</v>
      </c>
    </row>
    <row r="10404" spans="5:11" x14ac:dyDescent="0.35">
      <c r="E10404" s="9" t="str">
        <v>IAU_2015</v>
      </c>
      <c r="F10404" s="7" t="str">
        <v>100001260</v>
      </c>
      <c r="G10404" t="str">
        <v>ProjectedCrs</v>
      </c>
      <c r="H10404" t="str">
        <v>Transverse Mercator</v>
      </c>
      <c r="I10404" t="str">
        <v>Churyumov-Gerasimenko (2015) - Sphere / Ocentric / Tranverse Mercator</v>
      </c>
      <c r="J10404" t="str">
        <v>Not specified.</v>
      </c>
      <c r="K10404" s="11">
        <v>0</v>
      </c>
    </row>
    <row r="10405" spans="5:11" x14ac:dyDescent="0.35">
      <c r="E10405" s="9" t="str">
        <v>IAU_2015</v>
      </c>
      <c r="F10405" s="7" t="str">
        <v>100001265</v>
      </c>
      <c r="G10405" t="str">
        <v>ProjectedCrs</v>
      </c>
      <c r="H10405" t="str">
        <v>Orthographic</v>
      </c>
      <c r="I10405" t="str">
        <v>Churyumov-Gerasimenko (2015) - Sphere / Ocentric / Orthographic, clon = 0</v>
      </c>
      <c r="J10405" t="str">
        <v>Not specified.</v>
      </c>
      <c r="K10405" s="11">
        <v>0</v>
      </c>
    </row>
    <row r="10406" spans="5:11" x14ac:dyDescent="0.35">
      <c r="E10406" s="9" t="str">
        <v>IAU_2015</v>
      </c>
      <c r="F10406" s="7" t="str">
        <v>100001270</v>
      </c>
      <c r="G10406" t="str">
        <v>ProjectedCrs</v>
      </c>
      <c r="H10406" t="str">
        <v>Orthographic</v>
      </c>
      <c r="I10406" t="str">
        <v>Churyumov-Gerasimenko (2015) - Sphere / Ocentric / Orthographic, clon = 180</v>
      </c>
      <c r="J10406" t="str">
        <v>Not specified.</v>
      </c>
      <c r="K10406" s="11">
        <v>0</v>
      </c>
    </row>
    <row r="10407" spans="5:11" x14ac:dyDescent="0.35">
      <c r="E10407" s="9" t="str">
        <v>IAU_2015</v>
      </c>
      <c r="F10407" s="7" t="str">
        <v>100001275</v>
      </c>
      <c r="G10407" t="str">
        <v>ProjectedCrs</v>
      </c>
      <c r="H10407" t="str">
        <v>Lambert Conic Conformal (2SP)</v>
      </c>
      <c r="I10407" t="str">
        <v>Churyumov-Gerasimenko (2015) - Sphere / Ocentric / Lambert Conic Conformal</v>
      </c>
      <c r="J10407" t="str">
        <v>Not specified.</v>
      </c>
      <c r="K10407" s="11">
        <v>0</v>
      </c>
    </row>
    <row r="10408" spans="5:11" x14ac:dyDescent="0.35">
      <c r="E10408" s="9" t="str">
        <v>IAU_2015</v>
      </c>
      <c r="F10408" s="7" t="str">
        <v>100001280</v>
      </c>
      <c r="G10408" t="str">
        <v>ProjectedCrs</v>
      </c>
      <c r="H10408" t="str">
        <v>Lambert Azimuthal Equal Area</v>
      </c>
      <c r="I10408" t="str">
        <v>Churyumov-Gerasimenko (2015) - Sphere / Ocentric / Lambert Azimuthal Equal Area</v>
      </c>
      <c r="J10408" t="str">
        <v>Not specified.</v>
      </c>
      <c r="K10408" s="11">
        <v>0</v>
      </c>
    </row>
    <row r="10409" spans="5:11" x14ac:dyDescent="0.35">
      <c r="E10409" s="9" t="str">
        <v>IAU_2015</v>
      </c>
      <c r="F10409" s="7" t="str">
        <v>100001285</v>
      </c>
      <c r="G10409" t="str">
        <v>ProjectedCrs</v>
      </c>
      <c r="H10409" t="str">
        <v>Albers Equal Area</v>
      </c>
      <c r="I10409" t="str">
        <v>Churyumov-Gerasimenko (2015) - Sphere / Ocentric / Albers Equal Area</v>
      </c>
      <c r="J10409" t="str">
        <v>Not specified.</v>
      </c>
      <c r="K10409" s="11">
        <v>0</v>
      </c>
    </row>
    <row r="10410" spans="5:11" x14ac:dyDescent="0.35">
      <c r="E10410" s="9" t="str">
        <v>IAU_2015</v>
      </c>
      <c r="F10410" s="7" t="str">
        <v>100001290</v>
      </c>
      <c r="G10410" t="str">
        <v>ProjectedCrs</v>
      </c>
      <c r="H10410" t="str">
        <v>Mercator (Spherical)</v>
      </c>
      <c r="I10410" t="str">
        <v>Churyumov-Gerasimenko (2015) - Sphere / Ocentric / Mercator</v>
      </c>
      <c r="J10410" t="str">
        <v>Not specified.</v>
      </c>
      <c r="K10410" s="11">
        <v>0</v>
      </c>
    </row>
    <row r="10411" spans="5:11" x14ac:dyDescent="0.35">
      <c r="E10411" s="9" t="str">
        <v>IAU_2015</v>
      </c>
      <c r="F10411" s="7" t="str">
        <v>100003600</v>
      </c>
      <c r="G10411" t="str">
        <v>Geographic2DCrs</v>
      </c>
      <c r="H10411" t="str">
        <v>&lt;undefined&gt;</v>
      </c>
      <c r="I10411" t="str">
        <v>Halley (2015) - Sphere / Ocentric</v>
      </c>
      <c r="J10411" t="str">
        <v>Not specified.</v>
      </c>
      <c r="K10411" s="11">
        <v>0</v>
      </c>
    </row>
    <row r="10412" spans="5:11" x14ac:dyDescent="0.35">
      <c r="E10412" s="9" t="str">
        <v>IAU_2015</v>
      </c>
      <c r="F10412" s="7" t="str">
        <v>100003601</v>
      </c>
      <c r="G10412" t="str">
        <v>Geographic2DCrs</v>
      </c>
      <c r="H10412" t="str">
        <v>&lt;undefined&gt;</v>
      </c>
      <c r="I10412" t="str">
        <v>Halley (2015) / Ographic</v>
      </c>
      <c r="J10412" t="str">
        <v>Not specified.</v>
      </c>
      <c r="K10412" s="11">
        <v>0</v>
      </c>
    </row>
    <row r="10413" spans="5:11" x14ac:dyDescent="0.35">
      <c r="E10413" s="9" t="str">
        <v>IAU_2015</v>
      </c>
      <c r="F10413" s="7" t="str">
        <v>100003602</v>
      </c>
      <c r="G10413" t="str">
        <v>GeodeticCrs</v>
      </c>
      <c r="H10413" t="str">
        <v>&lt;undefined&gt;</v>
      </c>
      <c r="I10413" t="str">
        <v>Halley (2015) / Ocentric</v>
      </c>
      <c r="J10413" t="str">
        <v>Not specified.</v>
      </c>
      <c r="K10413" s="11">
        <v>0</v>
      </c>
    </row>
    <row r="10414" spans="5:11" x14ac:dyDescent="0.35">
      <c r="E10414" s="9" t="str">
        <v>IAU_2015</v>
      </c>
      <c r="F10414" s="7" t="str">
        <v>100003610</v>
      </c>
      <c r="G10414" t="str">
        <v>ProjectedCrs</v>
      </c>
      <c r="H10414" t="str">
        <v>Equidistant Cylindrical</v>
      </c>
      <c r="I10414" t="str">
        <v>Halley (2015) - Sphere / Ocentric / Equirectangular, clon = 0</v>
      </c>
      <c r="J10414" t="str">
        <v>Not specified.</v>
      </c>
      <c r="K10414" s="11">
        <v>0</v>
      </c>
    </row>
    <row r="10415" spans="5:11" x14ac:dyDescent="0.35">
      <c r="E10415" s="9" t="str">
        <v>IAU_2015</v>
      </c>
      <c r="F10415" s="7" t="str">
        <v>100003611</v>
      </c>
      <c r="G10415" t="str">
        <v>ProjectedCrs</v>
      </c>
      <c r="H10415" t="str">
        <v>Equidistant Cylindrical</v>
      </c>
      <c r="I10415" t="str">
        <v>Halley (2015) / Ographic / Equirectangular, clon = 0</v>
      </c>
      <c r="J10415" t="str">
        <v>Not specified.</v>
      </c>
      <c r="K10415" s="11">
        <v>0</v>
      </c>
    </row>
    <row r="10416" spans="5:11" x14ac:dyDescent="0.35">
      <c r="E10416" s="9" t="str">
        <v>IAU_2015</v>
      </c>
      <c r="F10416" s="7" t="str">
        <v>100003615</v>
      </c>
      <c r="G10416" t="str">
        <v>ProjectedCrs</v>
      </c>
      <c r="H10416" t="str">
        <v>Equidistant Cylindrical</v>
      </c>
      <c r="I10416" t="str">
        <v>Halley (2015) - Sphere / Ocentric / Equirectangular, clon = 180</v>
      </c>
      <c r="J10416" t="str">
        <v>Not specified.</v>
      </c>
      <c r="K10416" s="11">
        <v>0</v>
      </c>
    </row>
    <row r="10417" spans="5:11" x14ac:dyDescent="0.35">
      <c r="E10417" s="9" t="str">
        <v>IAU_2015</v>
      </c>
      <c r="F10417" s="7" t="str">
        <v>100003616</v>
      </c>
      <c r="G10417" t="str">
        <v>ProjectedCrs</v>
      </c>
      <c r="H10417" t="str">
        <v>Equidistant Cylindrical</v>
      </c>
      <c r="I10417" t="str">
        <v>Halley (2015) / Ographic / Equirectangular, clon = 180</v>
      </c>
      <c r="J10417" t="str">
        <v>Not specified.</v>
      </c>
      <c r="K10417" s="11">
        <v>0</v>
      </c>
    </row>
    <row r="10418" spans="5:11" x14ac:dyDescent="0.35">
      <c r="E10418" s="9" t="str">
        <v>IAU_2015</v>
      </c>
      <c r="F10418" s="7" t="str">
        <v>100003620</v>
      </c>
      <c r="G10418" t="str">
        <v>ProjectedCrs</v>
      </c>
      <c r="H10418" t="str">
        <v>Sinusoidal</v>
      </c>
      <c r="I10418" t="str">
        <v>Halley (2015) - Sphere / Ocentric / Sinusoidal, clon = 0</v>
      </c>
      <c r="J10418" t="str">
        <v>Not specified.</v>
      </c>
      <c r="K10418" s="11">
        <v>0</v>
      </c>
    </row>
    <row r="10419" spans="5:11" x14ac:dyDescent="0.35">
      <c r="E10419" s="9" t="str">
        <v>IAU_2015</v>
      </c>
      <c r="F10419" s="7" t="str">
        <v>100003621</v>
      </c>
      <c r="G10419" t="str">
        <v>ProjectedCrs</v>
      </c>
      <c r="H10419" t="str">
        <v>Sinusoidal</v>
      </c>
      <c r="I10419" t="str">
        <v>Halley (2015) / Ographic / Sinusoidal, clon = 0</v>
      </c>
      <c r="J10419" t="str">
        <v>Not specified.</v>
      </c>
      <c r="K10419" s="11">
        <v>0</v>
      </c>
    </row>
    <row r="10420" spans="5:11" x14ac:dyDescent="0.35">
      <c r="E10420" s="9" t="str">
        <v>IAU_2015</v>
      </c>
      <c r="F10420" s="7" t="str">
        <v>100003625</v>
      </c>
      <c r="G10420" t="str">
        <v>ProjectedCrs</v>
      </c>
      <c r="H10420" t="str">
        <v>Sinusoidal</v>
      </c>
      <c r="I10420" t="str">
        <v>Halley (2015) - Sphere / Ocentric / Sinusoidal, clon = 180</v>
      </c>
      <c r="J10420" t="str">
        <v>Not specified.</v>
      </c>
      <c r="K10420" s="11">
        <v>0</v>
      </c>
    </row>
    <row r="10421" spans="5:11" x14ac:dyDescent="0.35">
      <c r="E10421" s="9" t="str">
        <v>IAU_2015</v>
      </c>
      <c r="F10421" s="7" t="str">
        <v>100003626</v>
      </c>
      <c r="G10421" t="str">
        <v>ProjectedCrs</v>
      </c>
      <c r="H10421" t="str">
        <v>Sinusoidal</v>
      </c>
      <c r="I10421" t="str">
        <v>Halley (2015) / Ographic / Sinusoidal, clon = 180</v>
      </c>
      <c r="J10421" t="str">
        <v>Not specified.</v>
      </c>
      <c r="K10421" s="11">
        <v>0</v>
      </c>
    </row>
    <row r="10422" spans="5:11" x14ac:dyDescent="0.35">
      <c r="E10422" s="9" t="str">
        <v>IAU_2015</v>
      </c>
      <c r="F10422" s="7" t="str">
        <v>100003630</v>
      </c>
      <c r="G10422" t="str">
        <v>ProjectedCrs</v>
      </c>
      <c r="H10422" t="str">
        <v>Polar Stereographic (variant A)</v>
      </c>
      <c r="I10422" t="str">
        <v>Halley (2015) - Sphere / Ocentric / North Polar</v>
      </c>
      <c r="J10422" t="str">
        <v>Not specified.</v>
      </c>
      <c r="K10422" s="11">
        <v>0</v>
      </c>
    </row>
    <row r="10423" spans="5:11" x14ac:dyDescent="0.35">
      <c r="E10423" s="9" t="str">
        <v>IAU_2015</v>
      </c>
      <c r="F10423" s="7" t="str">
        <v>100003631</v>
      </c>
      <c r="G10423" t="str">
        <v>ProjectedCrs</v>
      </c>
      <c r="H10423" t="str">
        <v>Polar Stereographic (variant A)</v>
      </c>
      <c r="I10423" t="str">
        <v>Halley (2015) / Ographic / North Polar</v>
      </c>
      <c r="J10423" t="str">
        <v>Not specified.</v>
      </c>
      <c r="K10423" s="11">
        <v>0</v>
      </c>
    </row>
    <row r="10424" spans="5:11" x14ac:dyDescent="0.35">
      <c r="E10424" s="9" t="str">
        <v>IAU_2015</v>
      </c>
      <c r="F10424" s="7" t="str">
        <v>100003635</v>
      </c>
      <c r="G10424" t="str">
        <v>ProjectedCrs</v>
      </c>
      <c r="H10424" t="str">
        <v>Polar Stereographic (variant A)</v>
      </c>
      <c r="I10424" t="str">
        <v>Halley (2015) - Sphere / Ocentric / South Polar</v>
      </c>
      <c r="J10424" t="str">
        <v>Not specified.</v>
      </c>
      <c r="K10424" s="11">
        <v>0</v>
      </c>
    </row>
    <row r="10425" spans="5:11" x14ac:dyDescent="0.35">
      <c r="E10425" s="9" t="str">
        <v>IAU_2015</v>
      </c>
      <c r="F10425" s="7" t="str">
        <v>100003636</v>
      </c>
      <c r="G10425" t="str">
        <v>ProjectedCrs</v>
      </c>
      <c r="H10425" t="str">
        <v>Polar Stereographic (variant A)</v>
      </c>
      <c r="I10425" t="str">
        <v>Halley (2015) / Ographic / South Polar</v>
      </c>
      <c r="J10425" t="str">
        <v>Not specified.</v>
      </c>
      <c r="K10425" s="11">
        <v>0</v>
      </c>
    </row>
    <row r="10426" spans="5:11" x14ac:dyDescent="0.35">
      <c r="E10426" s="9" t="str">
        <v>IAU_2015</v>
      </c>
      <c r="F10426" s="7" t="str">
        <v>100003640</v>
      </c>
      <c r="G10426" t="str">
        <v>ProjectedCrs</v>
      </c>
      <c r="H10426" t="str">
        <v>Mollweide</v>
      </c>
      <c r="I10426" t="str">
        <v>Halley (2015) - Sphere / Ocentric / Mollweide, clon = 0</v>
      </c>
      <c r="J10426" t="str">
        <v>Not specified.</v>
      </c>
      <c r="K10426" s="11">
        <v>0</v>
      </c>
    </row>
    <row r="10427" spans="5:11" x14ac:dyDescent="0.35">
      <c r="E10427" s="9" t="str">
        <v>IAU_2015</v>
      </c>
      <c r="F10427" s="7" t="str">
        <v>100003641</v>
      </c>
      <c r="G10427" t="str">
        <v>ProjectedCrs</v>
      </c>
      <c r="H10427" t="str">
        <v>Mollweide</v>
      </c>
      <c r="I10427" t="str">
        <v>Halley (2015) / Ographic / Mollweide, clon = 0</v>
      </c>
      <c r="J10427" t="str">
        <v>Not specified.</v>
      </c>
      <c r="K10427" s="11">
        <v>0</v>
      </c>
    </row>
    <row r="10428" spans="5:11" x14ac:dyDescent="0.35">
      <c r="E10428" s="9" t="str">
        <v>IAU_2015</v>
      </c>
      <c r="F10428" s="7" t="str">
        <v>100003645</v>
      </c>
      <c r="G10428" t="str">
        <v>ProjectedCrs</v>
      </c>
      <c r="H10428" t="str">
        <v>Mollweide</v>
      </c>
      <c r="I10428" t="str">
        <v>Halley (2015) - Sphere / Ocentric / Mollweide, clon = 180</v>
      </c>
      <c r="J10428" t="str">
        <v>Not specified.</v>
      </c>
      <c r="K10428" s="11">
        <v>0</v>
      </c>
    </row>
    <row r="10429" spans="5:11" x14ac:dyDescent="0.35">
      <c r="E10429" s="9" t="str">
        <v>IAU_2015</v>
      </c>
      <c r="F10429" s="7" t="str">
        <v>100003646</v>
      </c>
      <c r="G10429" t="str">
        <v>ProjectedCrs</v>
      </c>
      <c r="H10429" t="str">
        <v>Mollweide</v>
      </c>
      <c r="I10429" t="str">
        <v>Halley (2015) / Ographic / Mollweide, clon = 180</v>
      </c>
      <c r="J10429" t="str">
        <v>Not specified.</v>
      </c>
      <c r="K10429" s="11">
        <v>0</v>
      </c>
    </row>
    <row r="10430" spans="5:11" x14ac:dyDescent="0.35">
      <c r="E10430" s="9" t="str">
        <v>IAU_2015</v>
      </c>
      <c r="F10430" s="7" t="str">
        <v>100003650</v>
      </c>
      <c r="G10430" t="str">
        <v>ProjectedCrs</v>
      </c>
      <c r="H10430" t="str">
        <v>Robinson</v>
      </c>
      <c r="I10430" t="str">
        <v>Halley (2015) - Sphere / Ocentric / Robinson, clon = 0</v>
      </c>
      <c r="J10430" t="str">
        <v>Not specified.</v>
      </c>
      <c r="K10430" s="11">
        <v>0</v>
      </c>
    </row>
    <row r="10431" spans="5:11" x14ac:dyDescent="0.35">
      <c r="E10431" s="9" t="str">
        <v>IAU_2015</v>
      </c>
      <c r="F10431" s="7" t="str">
        <v>100003651</v>
      </c>
      <c r="G10431" t="str">
        <v>ProjectedCrs</v>
      </c>
      <c r="H10431" t="str">
        <v>Robinson</v>
      </c>
      <c r="I10431" t="str">
        <v>Halley (2015) / Ographic / Robinson, clon = 0</v>
      </c>
      <c r="J10431" t="str">
        <v>Not specified.</v>
      </c>
      <c r="K10431" s="11">
        <v>0</v>
      </c>
    </row>
    <row r="10432" spans="5:11" x14ac:dyDescent="0.35">
      <c r="E10432" s="9" t="str">
        <v>IAU_2015</v>
      </c>
      <c r="F10432" s="7" t="str">
        <v>100003655</v>
      </c>
      <c r="G10432" t="str">
        <v>ProjectedCrs</v>
      </c>
      <c r="H10432" t="str">
        <v>Robinson</v>
      </c>
      <c r="I10432" t="str">
        <v>Halley (2015) - Sphere / Ocentric / Robinson, clon = 180</v>
      </c>
      <c r="J10432" t="str">
        <v>Not specified.</v>
      </c>
      <c r="K10432" s="11">
        <v>0</v>
      </c>
    </row>
    <row r="10433" spans="5:11" x14ac:dyDescent="0.35">
      <c r="E10433" s="9" t="str">
        <v>IAU_2015</v>
      </c>
      <c r="F10433" s="7" t="str">
        <v>100003656</v>
      </c>
      <c r="G10433" t="str">
        <v>ProjectedCrs</v>
      </c>
      <c r="H10433" t="str">
        <v>Robinson</v>
      </c>
      <c r="I10433" t="str">
        <v>Halley (2015) / Ographic / Robinson, clon = 180</v>
      </c>
      <c r="J10433" t="str">
        <v>Not specified.</v>
      </c>
      <c r="K10433" s="11">
        <v>0</v>
      </c>
    </row>
    <row r="10434" spans="5:11" x14ac:dyDescent="0.35">
      <c r="E10434" s="9" t="str">
        <v>IAU_2015</v>
      </c>
      <c r="F10434" s="7" t="str">
        <v>100003660</v>
      </c>
      <c r="G10434" t="str">
        <v>ProjectedCrs</v>
      </c>
      <c r="H10434" t="str">
        <v>Transverse Mercator</v>
      </c>
      <c r="I10434" t="str">
        <v>Halley (2015) - Sphere / Ocentric / Tranverse Mercator</v>
      </c>
      <c r="J10434" t="str">
        <v>Not specified.</v>
      </c>
      <c r="K10434" s="11">
        <v>0</v>
      </c>
    </row>
    <row r="10435" spans="5:11" x14ac:dyDescent="0.35">
      <c r="E10435" s="9" t="str">
        <v>IAU_2015</v>
      </c>
      <c r="F10435" s="7" t="str">
        <v>100003661</v>
      </c>
      <c r="G10435" t="str">
        <v>ProjectedCrs</v>
      </c>
      <c r="H10435" t="str">
        <v>Transverse Mercator</v>
      </c>
      <c r="I10435" t="str">
        <v>Halley (2015) / Ographic / Tranverse Mercator</v>
      </c>
      <c r="J10435" t="str">
        <v>Not specified.</v>
      </c>
      <c r="K10435" s="11">
        <v>0</v>
      </c>
    </row>
    <row r="10436" spans="5:11" x14ac:dyDescent="0.35">
      <c r="E10436" s="9" t="str">
        <v>IAU_2015</v>
      </c>
      <c r="F10436" s="7" t="str">
        <v>100003665</v>
      </c>
      <c r="G10436" t="str">
        <v>ProjectedCrs</v>
      </c>
      <c r="H10436" t="str">
        <v>Orthographic</v>
      </c>
      <c r="I10436" t="str">
        <v>Halley (2015) - Sphere / Ocentric / Orthographic, clon = 0</v>
      </c>
      <c r="J10436" t="str">
        <v>Not specified.</v>
      </c>
      <c r="K10436" s="11">
        <v>0</v>
      </c>
    </row>
    <row r="10437" spans="5:11" x14ac:dyDescent="0.35">
      <c r="E10437" s="9" t="str">
        <v>IAU_2015</v>
      </c>
      <c r="F10437" s="7" t="str">
        <v>100003666</v>
      </c>
      <c r="G10437" t="str">
        <v>ProjectedCrs</v>
      </c>
      <c r="H10437" t="str">
        <v>Orthographic</v>
      </c>
      <c r="I10437" t="str">
        <v>Halley (2015) / Ographic / Orthographic, clon = 0</v>
      </c>
      <c r="J10437" t="str">
        <v>Not specified.</v>
      </c>
      <c r="K10437" s="11">
        <v>0</v>
      </c>
    </row>
    <row r="10438" spans="5:11" x14ac:dyDescent="0.35">
      <c r="E10438" s="9" t="str">
        <v>IAU_2015</v>
      </c>
      <c r="F10438" s="7" t="str">
        <v>100003670</v>
      </c>
      <c r="G10438" t="str">
        <v>ProjectedCrs</v>
      </c>
      <c r="H10438" t="str">
        <v>Orthographic</v>
      </c>
      <c r="I10438" t="str">
        <v>Halley (2015) - Sphere / Ocentric / Orthographic, clon = 180</v>
      </c>
      <c r="J10438" t="str">
        <v>Not specified.</v>
      </c>
      <c r="K10438" s="11">
        <v>0</v>
      </c>
    </row>
    <row r="10439" spans="5:11" x14ac:dyDescent="0.35">
      <c r="E10439" s="9" t="str">
        <v>IAU_2015</v>
      </c>
      <c r="F10439" s="7" t="str">
        <v>100003671</v>
      </c>
      <c r="G10439" t="str">
        <v>ProjectedCrs</v>
      </c>
      <c r="H10439" t="str">
        <v>Orthographic</v>
      </c>
      <c r="I10439" t="str">
        <v>Halley (2015) / Ographic / Orthographic, clon = 180</v>
      </c>
      <c r="J10439" t="str">
        <v>Not specified.</v>
      </c>
      <c r="K10439" s="11">
        <v>0</v>
      </c>
    </row>
    <row r="10440" spans="5:11" x14ac:dyDescent="0.35">
      <c r="E10440" s="9" t="str">
        <v>IAU_2015</v>
      </c>
      <c r="F10440" s="7" t="str">
        <v>100003675</v>
      </c>
      <c r="G10440" t="str">
        <v>ProjectedCrs</v>
      </c>
      <c r="H10440" t="str">
        <v>Lambert Conic Conformal (2SP)</v>
      </c>
      <c r="I10440" t="str">
        <v>Halley (2015) - Sphere / Ocentric / Lambert Conic Conformal</v>
      </c>
      <c r="J10440" t="str">
        <v>Not specified.</v>
      </c>
      <c r="K10440" s="11">
        <v>0</v>
      </c>
    </row>
    <row r="10441" spans="5:11" x14ac:dyDescent="0.35">
      <c r="E10441" s="9" t="str">
        <v>IAU_2015</v>
      </c>
      <c r="F10441" s="7" t="str">
        <v>100003676</v>
      </c>
      <c r="G10441" t="str">
        <v>ProjectedCrs</v>
      </c>
      <c r="H10441" t="str">
        <v>Lambert Conic Conformal (2SP)</v>
      </c>
      <c r="I10441" t="str">
        <v>Halley (2015) / Ographic / Lambert Conic Conformal</v>
      </c>
      <c r="J10441" t="str">
        <v>Not specified.</v>
      </c>
      <c r="K10441" s="11">
        <v>0</v>
      </c>
    </row>
    <row r="10442" spans="5:11" x14ac:dyDescent="0.35">
      <c r="E10442" s="9" t="str">
        <v>IAU_2015</v>
      </c>
      <c r="F10442" s="7" t="str">
        <v>100003680</v>
      </c>
      <c r="G10442" t="str">
        <v>ProjectedCrs</v>
      </c>
      <c r="H10442" t="str">
        <v>Lambert Azimuthal Equal Area</v>
      </c>
      <c r="I10442" t="str">
        <v>Halley (2015) - Sphere / Ocentric / Lambert Azimuthal Equal Area</v>
      </c>
      <c r="J10442" t="str">
        <v>Not specified.</v>
      </c>
      <c r="K10442" s="11">
        <v>0</v>
      </c>
    </row>
    <row r="10443" spans="5:11" x14ac:dyDescent="0.35">
      <c r="E10443" s="9" t="str">
        <v>IAU_2015</v>
      </c>
      <c r="F10443" s="7" t="str">
        <v>100003681</v>
      </c>
      <c r="G10443" t="str">
        <v>ProjectedCrs</v>
      </c>
      <c r="H10443" t="str">
        <v>Lambert Azimuthal Equal Area</v>
      </c>
      <c r="I10443" t="str">
        <v>Halley (2015) / Ographic / Lambert Azimuthal Equal Area</v>
      </c>
      <c r="J10443" t="str">
        <v>Not specified.</v>
      </c>
      <c r="K10443" s="11">
        <v>0</v>
      </c>
    </row>
    <row r="10444" spans="5:11" x14ac:dyDescent="0.35">
      <c r="E10444" s="9" t="str">
        <v>IAU_2015</v>
      </c>
      <c r="F10444" s="7" t="str">
        <v>100003685</v>
      </c>
      <c r="G10444" t="str">
        <v>ProjectedCrs</v>
      </c>
      <c r="H10444" t="str">
        <v>Albers Equal Area</v>
      </c>
      <c r="I10444" t="str">
        <v>Halley (2015) - Sphere / Ocentric / Albers Equal Area</v>
      </c>
      <c r="J10444" t="str">
        <v>Not specified.</v>
      </c>
      <c r="K10444" s="11">
        <v>0</v>
      </c>
    </row>
    <row r="10445" spans="5:11" x14ac:dyDescent="0.35">
      <c r="E10445" s="9" t="str">
        <v>IAU_2015</v>
      </c>
      <c r="F10445" s="7" t="str">
        <v>100003686</v>
      </c>
      <c r="G10445" t="str">
        <v>ProjectedCrs</v>
      </c>
      <c r="H10445" t="str">
        <v>Albers Equal Area</v>
      </c>
      <c r="I10445" t="str">
        <v>Halley (2015) / Ographic / Albers Equal Area</v>
      </c>
      <c r="J10445" t="str">
        <v>Not specified.</v>
      </c>
      <c r="K10445" s="11">
        <v>0</v>
      </c>
    </row>
    <row r="10446" spans="5:11" x14ac:dyDescent="0.35">
      <c r="E10446" s="9" t="str">
        <v>IAU_2015</v>
      </c>
      <c r="F10446" s="7" t="str">
        <v>100003690</v>
      </c>
      <c r="G10446" t="str">
        <v>ProjectedCrs</v>
      </c>
      <c r="H10446" t="str">
        <v>Mercator (Spherical)</v>
      </c>
      <c r="I10446" t="str">
        <v>Halley (2015) - Sphere / Ocentric / Mercator</v>
      </c>
      <c r="J10446" t="str">
        <v>Not specified.</v>
      </c>
      <c r="K10446" s="11">
        <v>0</v>
      </c>
    </row>
    <row r="10447" spans="5:11" x14ac:dyDescent="0.35">
      <c r="E10447" s="9" t="str">
        <v>IAU_2015</v>
      </c>
      <c r="F10447" s="7" t="str">
        <v>100003691</v>
      </c>
      <c r="G10447" t="str">
        <v>ProjectedCrs</v>
      </c>
      <c r="H10447" t="str">
        <v>Mercator (Spherical)</v>
      </c>
      <c r="I10447" t="str">
        <v>Halley (2015) / Ographic / Mercator</v>
      </c>
      <c r="J10447" t="str">
        <v>Not specified.</v>
      </c>
      <c r="K10447" s="11">
        <v>0</v>
      </c>
    </row>
    <row r="10448" spans="5:11" x14ac:dyDescent="0.35">
      <c r="E10448" s="9" t="str">
        <v>IAU_2015</v>
      </c>
      <c r="F10448" s="7" t="str">
        <v>100004100</v>
      </c>
      <c r="G10448" t="str">
        <v>Geographic2DCrs</v>
      </c>
      <c r="H10448" t="str">
        <v>&lt;undefined&gt;</v>
      </c>
      <c r="I10448" t="str">
        <v>Hartley 2 (2015) - Sphere / Ocentric</v>
      </c>
      <c r="J10448" t="str">
        <v>Not specified.</v>
      </c>
      <c r="K10448" s="11">
        <v>0</v>
      </c>
    </row>
    <row r="10449" spans="5:11" x14ac:dyDescent="0.35">
      <c r="E10449" s="9" t="str">
        <v>IAU_2015</v>
      </c>
      <c r="F10449" s="7" t="str">
        <v>100004110</v>
      </c>
      <c r="G10449" t="str">
        <v>ProjectedCrs</v>
      </c>
      <c r="H10449" t="str">
        <v>Equidistant Cylindrical</v>
      </c>
      <c r="I10449" t="str">
        <v>Hartley 2 (2015) - Sphere / Ocentric / Equirectangular, clon = 0</v>
      </c>
      <c r="J10449" t="str">
        <v>Not specified.</v>
      </c>
      <c r="K10449" s="11">
        <v>0</v>
      </c>
    </row>
    <row r="10450" spans="5:11" x14ac:dyDescent="0.35">
      <c r="E10450" s="9" t="str">
        <v>IAU_2015</v>
      </c>
      <c r="F10450" s="7" t="str">
        <v>100004115</v>
      </c>
      <c r="G10450" t="str">
        <v>ProjectedCrs</v>
      </c>
      <c r="H10450" t="str">
        <v>Equidistant Cylindrical</v>
      </c>
      <c r="I10450" t="str">
        <v>Hartley 2 (2015) - Sphere / Ocentric / Equirectangular, clon = 180</v>
      </c>
      <c r="J10450" t="str">
        <v>Not specified.</v>
      </c>
      <c r="K10450" s="11">
        <v>0</v>
      </c>
    </row>
    <row r="10451" spans="5:11" x14ac:dyDescent="0.35">
      <c r="E10451" s="9" t="str">
        <v>IAU_2015</v>
      </c>
      <c r="F10451" s="7" t="str">
        <v>100004120</v>
      </c>
      <c r="G10451" t="str">
        <v>ProjectedCrs</v>
      </c>
      <c r="H10451" t="str">
        <v>Sinusoidal</v>
      </c>
      <c r="I10451" t="str">
        <v>Hartley 2 (2015) - Sphere / Ocentric / Sinusoidal, clon = 0</v>
      </c>
      <c r="J10451" t="str">
        <v>Not specified.</v>
      </c>
      <c r="K10451" s="11">
        <v>0</v>
      </c>
    </row>
    <row r="10452" spans="5:11" x14ac:dyDescent="0.35">
      <c r="E10452" s="9" t="str">
        <v>IAU_2015</v>
      </c>
      <c r="F10452" s="7" t="str">
        <v>100004125</v>
      </c>
      <c r="G10452" t="str">
        <v>ProjectedCrs</v>
      </c>
      <c r="H10452" t="str">
        <v>Sinusoidal</v>
      </c>
      <c r="I10452" t="str">
        <v>Hartley 2 (2015) - Sphere / Ocentric / Sinusoidal, clon = 180</v>
      </c>
      <c r="J10452" t="str">
        <v>Not specified.</v>
      </c>
      <c r="K10452" s="11">
        <v>0</v>
      </c>
    </row>
    <row r="10453" spans="5:11" x14ac:dyDescent="0.35">
      <c r="E10453" s="9" t="str">
        <v>IAU_2015</v>
      </c>
      <c r="F10453" s="7" t="str">
        <v>100004130</v>
      </c>
      <c r="G10453" t="str">
        <v>ProjectedCrs</v>
      </c>
      <c r="H10453" t="str">
        <v>Polar Stereographic (variant A)</v>
      </c>
      <c r="I10453" t="str">
        <v>Hartley 2 (2015) - Sphere / Ocentric / North Polar</v>
      </c>
      <c r="J10453" t="str">
        <v>Not specified.</v>
      </c>
      <c r="K10453" s="11">
        <v>0</v>
      </c>
    </row>
    <row r="10454" spans="5:11" x14ac:dyDescent="0.35">
      <c r="E10454" s="9" t="str">
        <v>IAU_2015</v>
      </c>
      <c r="F10454" s="7" t="str">
        <v>100004135</v>
      </c>
      <c r="G10454" t="str">
        <v>ProjectedCrs</v>
      </c>
      <c r="H10454" t="str">
        <v>Polar Stereographic (variant A)</v>
      </c>
      <c r="I10454" t="str">
        <v>Hartley 2 (2015) - Sphere / Ocentric / South Polar</v>
      </c>
      <c r="J10454" t="str">
        <v>Not specified.</v>
      </c>
      <c r="K10454" s="11">
        <v>0</v>
      </c>
    </row>
    <row r="10455" spans="5:11" x14ac:dyDescent="0.35">
      <c r="E10455" s="9" t="str">
        <v>IAU_2015</v>
      </c>
      <c r="F10455" s="7" t="str">
        <v>100004140</v>
      </c>
      <c r="G10455" t="str">
        <v>ProjectedCrs</v>
      </c>
      <c r="H10455" t="str">
        <v>Mollweide</v>
      </c>
      <c r="I10455" t="str">
        <v>Hartley 2 (2015) - Sphere / Ocentric / Mollweide, clon = 0</v>
      </c>
      <c r="J10455" t="str">
        <v>Not specified.</v>
      </c>
      <c r="K10455" s="11">
        <v>0</v>
      </c>
    </row>
    <row r="10456" spans="5:11" x14ac:dyDescent="0.35">
      <c r="E10456" s="9" t="str">
        <v>IAU_2015</v>
      </c>
      <c r="F10456" s="7" t="str">
        <v>100004145</v>
      </c>
      <c r="G10456" t="str">
        <v>ProjectedCrs</v>
      </c>
      <c r="H10456" t="str">
        <v>Mollweide</v>
      </c>
      <c r="I10456" t="str">
        <v>Hartley 2 (2015) - Sphere / Ocentric / Mollweide, clon = 180</v>
      </c>
      <c r="J10456" t="str">
        <v>Not specified.</v>
      </c>
      <c r="K10456" s="11">
        <v>0</v>
      </c>
    </row>
    <row r="10457" spans="5:11" x14ac:dyDescent="0.35">
      <c r="E10457" s="9" t="str">
        <v>IAU_2015</v>
      </c>
      <c r="F10457" s="7" t="str">
        <v>100004150</v>
      </c>
      <c r="G10457" t="str">
        <v>ProjectedCrs</v>
      </c>
      <c r="H10457" t="str">
        <v>Robinson</v>
      </c>
      <c r="I10457" t="str">
        <v>Hartley 2 (2015) - Sphere / Ocentric / Robinson, clon = 0</v>
      </c>
      <c r="J10457" t="str">
        <v>Not specified.</v>
      </c>
      <c r="K10457" s="11">
        <v>0</v>
      </c>
    </row>
    <row r="10458" spans="5:11" x14ac:dyDescent="0.35">
      <c r="E10458" s="9" t="str">
        <v>IAU_2015</v>
      </c>
      <c r="F10458" s="7" t="str">
        <v>100004155</v>
      </c>
      <c r="G10458" t="str">
        <v>ProjectedCrs</v>
      </c>
      <c r="H10458" t="str">
        <v>Robinson</v>
      </c>
      <c r="I10458" t="str">
        <v>Hartley 2 (2015) - Sphere / Ocentric / Robinson, clon = 180</v>
      </c>
      <c r="J10458" t="str">
        <v>Not specified.</v>
      </c>
      <c r="K10458" s="11">
        <v>0</v>
      </c>
    </row>
    <row r="10459" spans="5:11" x14ac:dyDescent="0.35">
      <c r="E10459" s="9" t="str">
        <v>IAU_2015</v>
      </c>
      <c r="F10459" s="7" t="str">
        <v>100004160</v>
      </c>
      <c r="G10459" t="str">
        <v>ProjectedCrs</v>
      </c>
      <c r="H10459" t="str">
        <v>Transverse Mercator</v>
      </c>
      <c r="I10459" t="str">
        <v>Hartley 2 (2015) - Sphere / Ocentric / Tranverse Mercator</v>
      </c>
      <c r="J10459" t="str">
        <v>Not specified.</v>
      </c>
      <c r="K10459" s="11">
        <v>0</v>
      </c>
    </row>
    <row r="10460" spans="5:11" x14ac:dyDescent="0.35">
      <c r="E10460" s="9" t="str">
        <v>IAU_2015</v>
      </c>
      <c r="F10460" s="7" t="str">
        <v>100004165</v>
      </c>
      <c r="G10460" t="str">
        <v>ProjectedCrs</v>
      </c>
      <c r="H10460" t="str">
        <v>Orthographic</v>
      </c>
      <c r="I10460" t="str">
        <v>Hartley 2 (2015) - Sphere / Ocentric / Orthographic, clon = 0</v>
      </c>
      <c r="J10460" t="str">
        <v>Not specified.</v>
      </c>
      <c r="K10460" s="11">
        <v>0</v>
      </c>
    </row>
    <row r="10461" spans="5:11" x14ac:dyDescent="0.35">
      <c r="E10461" s="9" t="str">
        <v>IAU_2015</v>
      </c>
      <c r="F10461" s="7" t="str">
        <v>100004170</v>
      </c>
      <c r="G10461" t="str">
        <v>ProjectedCrs</v>
      </c>
      <c r="H10461" t="str">
        <v>Orthographic</v>
      </c>
      <c r="I10461" t="str">
        <v>Hartley 2 (2015) - Sphere / Ocentric / Orthographic, clon = 180</v>
      </c>
      <c r="J10461" t="str">
        <v>Not specified.</v>
      </c>
      <c r="K10461" s="11">
        <v>0</v>
      </c>
    </row>
    <row r="10462" spans="5:11" x14ac:dyDescent="0.35">
      <c r="E10462" s="9" t="str">
        <v>IAU_2015</v>
      </c>
      <c r="F10462" s="7" t="str">
        <v>100004175</v>
      </c>
      <c r="G10462" t="str">
        <v>ProjectedCrs</v>
      </c>
      <c r="H10462" t="str">
        <v>Lambert Conic Conformal (2SP)</v>
      </c>
      <c r="I10462" t="str">
        <v>Hartley 2 (2015) - Sphere / Ocentric / Lambert Conic Conformal</v>
      </c>
      <c r="J10462" t="str">
        <v>Not specified.</v>
      </c>
      <c r="K10462" s="11">
        <v>0</v>
      </c>
    </row>
    <row r="10463" spans="5:11" x14ac:dyDescent="0.35">
      <c r="E10463" s="9" t="str">
        <v>IAU_2015</v>
      </c>
      <c r="F10463" s="7" t="str">
        <v>100004180</v>
      </c>
      <c r="G10463" t="str">
        <v>ProjectedCrs</v>
      </c>
      <c r="H10463" t="str">
        <v>Lambert Azimuthal Equal Area</v>
      </c>
      <c r="I10463" t="str">
        <v>Hartley 2 (2015) - Sphere / Ocentric / Lambert Azimuthal Equal Area</v>
      </c>
      <c r="J10463" t="str">
        <v>Not specified.</v>
      </c>
      <c r="K10463" s="11">
        <v>0</v>
      </c>
    </row>
    <row r="10464" spans="5:11" x14ac:dyDescent="0.35">
      <c r="E10464" s="9" t="str">
        <v>IAU_2015</v>
      </c>
      <c r="F10464" s="7" t="str">
        <v>100004185</v>
      </c>
      <c r="G10464" t="str">
        <v>ProjectedCrs</v>
      </c>
      <c r="H10464" t="str">
        <v>Albers Equal Area</v>
      </c>
      <c r="I10464" t="str">
        <v>Hartley 2 (2015) - Sphere / Ocentric / Albers Equal Area</v>
      </c>
      <c r="J10464" t="str">
        <v>Not specified.</v>
      </c>
      <c r="K10464" s="11">
        <v>0</v>
      </c>
    </row>
    <row r="10465" spans="5:11" x14ac:dyDescent="0.35">
      <c r="E10465" s="9" t="str">
        <v>IAU_2015</v>
      </c>
      <c r="F10465" s="7" t="str">
        <v>100004190</v>
      </c>
      <c r="G10465" t="str">
        <v>ProjectedCrs</v>
      </c>
      <c r="H10465" t="str">
        <v>Mercator (Spherical)</v>
      </c>
      <c r="I10465" t="str">
        <v>Hartley 2 (2015) - Sphere / Ocentric / Mercator</v>
      </c>
      <c r="J10465" t="str">
        <v>Not specified.</v>
      </c>
      <c r="K10465" s="11">
        <v>0</v>
      </c>
    </row>
    <row r="10466" spans="5:11" x14ac:dyDescent="0.35">
      <c r="E10466" s="9" t="str">
        <v>IAU_2015</v>
      </c>
      <c r="F10466" s="7" t="str">
        <v>100009300</v>
      </c>
      <c r="G10466" t="str">
        <v>Geographic2DCrs</v>
      </c>
      <c r="H10466" t="str">
        <v>&lt;undefined&gt;</v>
      </c>
      <c r="I10466" t="str">
        <v>Tempel 1 (2015) - Sphere / Ocentric</v>
      </c>
      <c r="J10466" t="str">
        <v>Not specified.</v>
      </c>
      <c r="K10466" s="11">
        <v>0</v>
      </c>
    </row>
    <row r="10467" spans="5:11" x14ac:dyDescent="0.35">
      <c r="E10467" s="9" t="str">
        <v>IAU_2015</v>
      </c>
      <c r="F10467" s="7" t="str">
        <v>100009310</v>
      </c>
      <c r="G10467" t="str">
        <v>ProjectedCrs</v>
      </c>
      <c r="H10467" t="str">
        <v>Equidistant Cylindrical</v>
      </c>
      <c r="I10467" t="str">
        <v>Tempel 1 (2015) - Sphere / Ocentric / Equirectangular, clon = 0</v>
      </c>
      <c r="J10467" t="str">
        <v>Not specified.</v>
      </c>
      <c r="K10467" s="11">
        <v>0</v>
      </c>
    </row>
    <row r="10468" spans="5:11" x14ac:dyDescent="0.35">
      <c r="E10468" s="9" t="str">
        <v>IAU_2015</v>
      </c>
      <c r="F10468" s="7" t="str">
        <v>100009315</v>
      </c>
      <c r="G10468" t="str">
        <v>ProjectedCrs</v>
      </c>
      <c r="H10468" t="str">
        <v>Equidistant Cylindrical</v>
      </c>
      <c r="I10468" t="str">
        <v>Tempel 1 (2015) - Sphere / Ocentric / Equirectangular, clon = 180</v>
      </c>
      <c r="J10468" t="str">
        <v>Not specified.</v>
      </c>
      <c r="K10468" s="11">
        <v>0</v>
      </c>
    </row>
    <row r="10469" spans="5:11" x14ac:dyDescent="0.35">
      <c r="E10469" s="9" t="str">
        <v>IAU_2015</v>
      </c>
      <c r="F10469" s="7" t="str">
        <v>100009320</v>
      </c>
      <c r="G10469" t="str">
        <v>ProjectedCrs</v>
      </c>
      <c r="H10469" t="str">
        <v>Sinusoidal</v>
      </c>
      <c r="I10469" t="str">
        <v>Tempel 1 (2015) - Sphere / Ocentric / Sinusoidal, clon = 0</v>
      </c>
      <c r="J10469" t="str">
        <v>Not specified.</v>
      </c>
      <c r="K10469" s="11">
        <v>0</v>
      </c>
    </row>
    <row r="10470" spans="5:11" x14ac:dyDescent="0.35">
      <c r="E10470" s="9" t="str">
        <v>IAU_2015</v>
      </c>
      <c r="F10470" s="7" t="str">
        <v>100009325</v>
      </c>
      <c r="G10470" t="str">
        <v>ProjectedCrs</v>
      </c>
      <c r="H10470" t="str">
        <v>Sinusoidal</v>
      </c>
      <c r="I10470" t="str">
        <v>Tempel 1 (2015) - Sphere / Ocentric / Sinusoidal, clon = 180</v>
      </c>
      <c r="J10470" t="str">
        <v>Not specified.</v>
      </c>
      <c r="K10470" s="11">
        <v>0</v>
      </c>
    </row>
    <row r="10471" spans="5:11" x14ac:dyDescent="0.35">
      <c r="E10471" s="9" t="str">
        <v>IAU_2015</v>
      </c>
      <c r="F10471" s="7" t="str">
        <v>100009330</v>
      </c>
      <c r="G10471" t="str">
        <v>ProjectedCrs</v>
      </c>
      <c r="H10471" t="str">
        <v>Polar Stereographic (variant A)</v>
      </c>
      <c r="I10471" t="str">
        <v>Tempel 1 (2015) - Sphere / Ocentric / North Polar</v>
      </c>
      <c r="J10471" t="str">
        <v>Not specified.</v>
      </c>
      <c r="K10471" s="11">
        <v>0</v>
      </c>
    </row>
    <row r="10472" spans="5:11" x14ac:dyDescent="0.35">
      <c r="E10472" s="9" t="str">
        <v>IAU_2015</v>
      </c>
      <c r="F10472" s="7" t="str">
        <v>100009335</v>
      </c>
      <c r="G10472" t="str">
        <v>ProjectedCrs</v>
      </c>
      <c r="H10472" t="str">
        <v>Polar Stereographic (variant A)</v>
      </c>
      <c r="I10472" t="str">
        <v>Tempel 1 (2015) - Sphere / Ocentric / South Polar</v>
      </c>
      <c r="J10472" t="str">
        <v>Not specified.</v>
      </c>
      <c r="K10472" s="11">
        <v>0</v>
      </c>
    </row>
    <row r="10473" spans="5:11" x14ac:dyDescent="0.35">
      <c r="E10473" s="9" t="str">
        <v>IAU_2015</v>
      </c>
      <c r="F10473" s="7" t="str">
        <v>100009340</v>
      </c>
      <c r="G10473" t="str">
        <v>ProjectedCrs</v>
      </c>
      <c r="H10473" t="str">
        <v>Mollweide</v>
      </c>
      <c r="I10473" t="str">
        <v>Tempel 1 (2015) - Sphere / Ocentric / Mollweide, clon = 0</v>
      </c>
      <c r="J10473" t="str">
        <v>Not specified.</v>
      </c>
      <c r="K10473" s="11">
        <v>0</v>
      </c>
    </row>
    <row r="10474" spans="5:11" x14ac:dyDescent="0.35">
      <c r="E10474" s="9" t="str">
        <v>IAU_2015</v>
      </c>
      <c r="F10474" s="7" t="str">
        <v>100009345</v>
      </c>
      <c r="G10474" t="str">
        <v>ProjectedCrs</v>
      </c>
      <c r="H10474" t="str">
        <v>Mollweide</v>
      </c>
      <c r="I10474" t="str">
        <v>Tempel 1 (2015) - Sphere / Ocentric / Mollweide, clon = 180</v>
      </c>
      <c r="J10474" t="str">
        <v>Not specified.</v>
      </c>
      <c r="K10474" s="11">
        <v>0</v>
      </c>
    </row>
    <row r="10475" spans="5:11" x14ac:dyDescent="0.35">
      <c r="E10475" s="9" t="str">
        <v>IAU_2015</v>
      </c>
      <c r="F10475" s="7" t="str">
        <v>100009350</v>
      </c>
      <c r="G10475" t="str">
        <v>ProjectedCrs</v>
      </c>
      <c r="H10475" t="str">
        <v>Robinson</v>
      </c>
      <c r="I10475" t="str">
        <v>Tempel 1 (2015) - Sphere / Ocentric / Robinson, clon = 0</v>
      </c>
      <c r="J10475" t="str">
        <v>Not specified.</v>
      </c>
      <c r="K10475" s="11">
        <v>0</v>
      </c>
    </row>
    <row r="10476" spans="5:11" x14ac:dyDescent="0.35">
      <c r="E10476" s="9" t="str">
        <v>IAU_2015</v>
      </c>
      <c r="F10476" s="7" t="str">
        <v>100009355</v>
      </c>
      <c r="G10476" t="str">
        <v>ProjectedCrs</v>
      </c>
      <c r="H10476" t="str">
        <v>Robinson</v>
      </c>
      <c r="I10476" t="str">
        <v>Tempel 1 (2015) - Sphere / Ocentric / Robinson, clon = 180</v>
      </c>
      <c r="J10476" t="str">
        <v>Not specified.</v>
      </c>
      <c r="K10476" s="11">
        <v>0</v>
      </c>
    </row>
    <row r="10477" spans="5:11" x14ac:dyDescent="0.35">
      <c r="E10477" s="9" t="str">
        <v>IAU_2015</v>
      </c>
      <c r="F10477" s="7" t="str">
        <v>100009360</v>
      </c>
      <c r="G10477" t="str">
        <v>ProjectedCrs</v>
      </c>
      <c r="H10477" t="str">
        <v>Transverse Mercator</v>
      </c>
      <c r="I10477" t="str">
        <v>Tempel 1 (2015) - Sphere / Ocentric / Tranverse Mercator</v>
      </c>
      <c r="J10477" t="str">
        <v>Not specified.</v>
      </c>
      <c r="K10477" s="11">
        <v>0</v>
      </c>
    </row>
    <row r="10478" spans="5:11" x14ac:dyDescent="0.35">
      <c r="E10478" s="9" t="str">
        <v>IAU_2015</v>
      </c>
      <c r="F10478" s="7" t="str">
        <v>100009365</v>
      </c>
      <c r="G10478" t="str">
        <v>ProjectedCrs</v>
      </c>
      <c r="H10478" t="str">
        <v>Orthographic</v>
      </c>
      <c r="I10478" t="str">
        <v>Tempel 1 (2015) - Sphere / Ocentric / Orthographic, clon = 0</v>
      </c>
      <c r="J10478" t="str">
        <v>Not specified.</v>
      </c>
      <c r="K10478" s="11">
        <v>0</v>
      </c>
    </row>
    <row r="10479" spans="5:11" x14ac:dyDescent="0.35">
      <c r="E10479" s="9" t="str">
        <v>IAU_2015</v>
      </c>
      <c r="F10479" s="7" t="str">
        <v>100009370</v>
      </c>
      <c r="G10479" t="str">
        <v>ProjectedCrs</v>
      </c>
      <c r="H10479" t="str">
        <v>Orthographic</v>
      </c>
      <c r="I10479" t="str">
        <v>Tempel 1 (2015) - Sphere / Ocentric / Orthographic, clon = 180</v>
      </c>
      <c r="J10479" t="str">
        <v>Not specified.</v>
      </c>
      <c r="K10479" s="11">
        <v>0</v>
      </c>
    </row>
    <row r="10480" spans="5:11" x14ac:dyDescent="0.35">
      <c r="E10480" s="9" t="str">
        <v>IAU_2015</v>
      </c>
      <c r="F10480" s="7" t="str">
        <v>100009375</v>
      </c>
      <c r="G10480" t="str">
        <v>ProjectedCrs</v>
      </c>
      <c r="H10480" t="str">
        <v>Lambert Conic Conformal (2SP)</v>
      </c>
      <c r="I10480" t="str">
        <v>Tempel 1 (2015) - Sphere / Ocentric / Lambert Conic Conformal</v>
      </c>
      <c r="J10480" t="str">
        <v>Not specified.</v>
      </c>
      <c r="K10480" s="11">
        <v>0</v>
      </c>
    </row>
    <row r="10481" spans="5:11" x14ac:dyDescent="0.35">
      <c r="E10481" s="9" t="str">
        <v>IAU_2015</v>
      </c>
      <c r="F10481" s="7" t="str">
        <v>100009380</v>
      </c>
      <c r="G10481" t="str">
        <v>ProjectedCrs</v>
      </c>
      <c r="H10481" t="str">
        <v>Lambert Azimuthal Equal Area</v>
      </c>
      <c r="I10481" t="str">
        <v>Tempel 1 (2015) - Sphere / Ocentric / Lambert Azimuthal Equal Area</v>
      </c>
      <c r="J10481" t="str">
        <v>Not specified.</v>
      </c>
      <c r="K10481" s="11">
        <v>0</v>
      </c>
    </row>
    <row r="10482" spans="5:11" x14ac:dyDescent="0.35">
      <c r="E10482" s="9" t="str">
        <v>IAU_2015</v>
      </c>
      <c r="F10482" s="7" t="str">
        <v>100009385</v>
      </c>
      <c r="G10482" t="str">
        <v>ProjectedCrs</v>
      </c>
      <c r="H10482" t="str">
        <v>Albers Equal Area</v>
      </c>
      <c r="I10482" t="str">
        <v>Tempel 1 (2015) - Sphere / Ocentric / Albers Equal Area</v>
      </c>
      <c r="J10482" t="str">
        <v>Not specified.</v>
      </c>
      <c r="K10482" s="11">
        <v>0</v>
      </c>
    </row>
    <row r="10483" spans="5:11" x14ac:dyDescent="0.35">
      <c r="E10483" s="9" t="str">
        <v>IAU_2015</v>
      </c>
      <c r="F10483" s="7" t="str">
        <v>100009390</v>
      </c>
      <c r="G10483" t="str">
        <v>ProjectedCrs</v>
      </c>
      <c r="H10483" t="str">
        <v>Mercator (Spherical)</v>
      </c>
      <c r="I10483" t="str">
        <v>Tempel 1 (2015) - Sphere / Ocentric / Mercator</v>
      </c>
      <c r="J10483" t="str">
        <v>Not specified.</v>
      </c>
      <c r="K10483" s="11">
        <v>0</v>
      </c>
    </row>
    <row r="10484" spans="5:11" x14ac:dyDescent="0.35">
      <c r="E10484" s="9" t="str">
        <v>IAU_2015</v>
      </c>
      <c r="F10484" s="7" t="str">
        <v>100010700</v>
      </c>
      <c r="G10484" t="str">
        <v>Geographic2DCrs</v>
      </c>
      <c r="H10484" t="str">
        <v>&lt;undefined&gt;</v>
      </c>
      <c r="I10484" t="str">
        <v>Wild 2 (2015) - Sphere / Ocentric</v>
      </c>
      <c r="J10484" t="str">
        <v>Not specified.</v>
      </c>
      <c r="K10484" s="11">
        <v>0</v>
      </c>
    </row>
    <row r="10485" spans="5:11" x14ac:dyDescent="0.35">
      <c r="E10485" s="9" t="str">
        <v>IAU_2015</v>
      </c>
      <c r="F10485" s="7" t="str">
        <v>100010710</v>
      </c>
      <c r="G10485" t="str">
        <v>ProjectedCrs</v>
      </c>
      <c r="H10485" t="str">
        <v>Equidistant Cylindrical</v>
      </c>
      <c r="I10485" t="str">
        <v>Wild 2 (2015) - Sphere / Ocentric / Equirectangular, clon = 0</v>
      </c>
      <c r="J10485" t="str">
        <v>Not specified.</v>
      </c>
      <c r="K10485" s="11">
        <v>0</v>
      </c>
    </row>
    <row r="10486" spans="5:11" x14ac:dyDescent="0.35">
      <c r="E10486" s="9" t="str">
        <v>IAU_2015</v>
      </c>
      <c r="F10486" s="7" t="str">
        <v>100010715</v>
      </c>
      <c r="G10486" t="str">
        <v>ProjectedCrs</v>
      </c>
      <c r="H10486" t="str">
        <v>Equidistant Cylindrical</v>
      </c>
      <c r="I10486" t="str">
        <v>Wild 2 (2015) - Sphere / Ocentric / Equirectangular, clon = 180</v>
      </c>
      <c r="J10486" t="str">
        <v>Not specified.</v>
      </c>
      <c r="K10486" s="11">
        <v>0</v>
      </c>
    </row>
    <row r="10487" spans="5:11" x14ac:dyDescent="0.35">
      <c r="E10487" s="9" t="str">
        <v>IAU_2015</v>
      </c>
      <c r="F10487" s="7" t="str">
        <v>100010720</v>
      </c>
      <c r="G10487" t="str">
        <v>ProjectedCrs</v>
      </c>
      <c r="H10487" t="str">
        <v>Sinusoidal</v>
      </c>
      <c r="I10487" t="str">
        <v>Wild 2 (2015) - Sphere / Ocentric / Sinusoidal, clon = 0</v>
      </c>
      <c r="J10487" t="str">
        <v>Not specified.</v>
      </c>
      <c r="K10487" s="11">
        <v>0</v>
      </c>
    </row>
    <row r="10488" spans="5:11" x14ac:dyDescent="0.35">
      <c r="E10488" s="9" t="str">
        <v>IAU_2015</v>
      </c>
      <c r="F10488" s="7" t="str">
        <v>100010725</v>
      </c>
      <c r="G10488" t="str">
        <v>ProjectedCrs</v>
      </c>
      <c r="H10488" t="str">
        <v>Sinusoidal</v>
      </c>
      <c r="I10488" t="str">
        <v>Wild 2 (2015) - Sphere / Ocentric / Sinusoidal, clon = 180</v>
      </c>
      <c r="J10488" t="str">
        <v>Not specified.</v>
      </c>
      <c r="K10488" s="11">
        <v>0</v>
      </c>
    </row>
    <row r="10489" spans="5:11" x14ac:dyDescent="0.35">
      <c r="E10489" s="9" t="str">
        <v>IAU_2015</v>
      </c>
      <c r="F10489" s="7" t="str">
        <v>100010730</v>
      </c>
      <c r="G10489" t="str">
        <v>ProjectedCrs</v>
      </c>
      <c r="H10489" t="str">
        <v>Polar Stereographic (variant A)</v>
      </c>
      <c r="I10489" t="str">
        <v>Wild 2 (2015) - Sphere / Ocentric / North Polar</v>
      </c>
      <c r="J10489" t="str">
        <v>Not specified.</v>
      </c>
      <c r="K10489" s="11">
        <v>0</v>
      </c>
    </row>
    <row r="10490" spans="5:11" x14ac:dyDescent="0.35">
      <c r="E10490" s="9" t="str">
        <v>IAU_2015</v>
      </c>
      <c r="F10490" s="7" t="str">
        <v>100010735</v>
      </c>
      <c r="G10490" t="str">
        <v>ProjectedCrs</v>
      </c>
      <c r="H10490" t="str">
        <v>Polar Stereographic (variant A)</v>
      </c>
      <c r="I10490" t="str">
        <v>Wild 2 (2015) - Sphere / Ocentric / South Polar</v>
      </c>
      <c r="J10490" t="str">
        <v>Not specified.</v>
      </c>
      <c r="K10490" s="11">
        <v>0</v>
      </c>
    </row>
    <row r="10491" spans="5:11" x14ac:dyDescent="0.35">
      <c r="E10491" s="9" t="str">
        <v>IAU_2015</v>
      </c>
      <c r="F10491" s="7" t="str">
        <v>100010740</v>
      </c>
      <c r="G10491" t="str">
        <v>ProjectedCrs</v>
      </c>
      <c r="H10491" t="str">
        <v>Mollweide</v>
      </c>
      <c r="I10491" t="str">
        <v>Wild 2 (2015) - Sphere / Ocentric / Mollweide, clon = 0</v>
      </c>
      <c r="J10491" t="str">
        <v>Not specified.</v>
      </c>
      <c r="K10491" s="11">
        <v>0</v>
      </c>
    </row>
    <row r="10492" spans="5:11" x14ac:dyDescent="0.35">
      <c r="E10492" s="9" t="str">
        <v>IAU_2015</v>
      </c>
      <c r="F10492" s="7" t="str">
        <v>100010745</v>
      </c>
      <c r="G10492" t="str">
        <v>ProjectedCrs</v>
      </c>
      <c r="H10492" t="str">
        <v>Mollweide</v>
      </c>
      <c r="I10492" t="str">
        <v>Wild 2 (2015) - Sphere / Ocentric / Mollweide, clon = 180</v>
      </c>
      <c r="J10492" t="str">
        <v>Not specified.</v>
      </c>
      <c r="K10492" s="11">
        <v>0</v>
      </c>
    </row>
    <row r="10493" spans="5:11" x14ac:dyDescent="0.35">
      <c r="E10493" s="9" t="str">
        <v>IAU_2015</v>
      </c>
      <c r="F10493" s="7" t="str">
        <v>100010750</v>
      </c>
      <c r="G10493" t="str">
        <v>ProjectedCrs</v>
      </c>
      <c r="H10493" t="str">
        <v>Robinson</v>
      </c>
      <c r="I10493" t="str">
        <v>Wild 2 (2015) - Sphere / Ocentric / Robinson, clon = 0</v>
      </c>
      <c r="J10493" t="str">
        <v>Not specified.</v>
      </c>
      <c r="K10493" s="11">
        <v>0</v>
      </c>
    </row>
    <row r="10494" spans="5:11" x14ac:dyDescent="0.35">
      <c r="E10494" s="9" t="str">
        <v>IAU_2015</v>
      </c>
      <c r="F10494" s="7" t="str">
        <v>100010755</v>
      </c>
      <c r="G10494" t="str">
        <v>ProjectedCrs</v>
      </c>
      <c r="H10494" t="str">
        <v>Robinson</v>
      </c>
      <c r="I10494" t="str">
        <v>Wild 2 (2015) - Sphere / Ocentric / Robinson, clon = 180</v>
      </c>
      <c r="J10494" t="str">
        <v>Not specified.</v>
      </c>
      <c r="K10494" s="11">
        <v>0</v>
      </c>
    </row>
    <row r="10495" spans="5:11" x14ac:dyDescent="0.35">
      <c r="E10495" s="9" t="str">
        <v>IAU_2015</v>
      </c>
      <c r="F10495" s="7" t="str">
        <v>100010760</v>
      </c>
      <c r="G10495" t="str">
        <v>ProjectedCrs</v>
      </c>
      <c r="H10495" t="str">
        <v>Transverse Mercator</v>
      </c>
      <c r="I10495" t="str">
        <v>Wild 2 (2015) - Sphere / Ocentric / Tranverse Mercator</v>
      </c>
      <c r="J10495" t="str">
        <v>Not specified.</v>
      </c>
      <c r="K10495" s="11">
        <v>0</v>
      </c>
    </row>
    <row r="10496" spans="5:11" x14ac:dyDescent="0.35">
      <c r="E10496" s="9" t="str">
        <v>IAU_2015</v>
      </c>
      <c r="F10496" s="7" t="str">
        <v>100010765</v>
      </c>
      <c r="G10496" t="str">
        <v>ProjectedCrs</v>
      </c>
      <c r="H10496" t="str">
        <v>Orthographic</v>
      </c>
      <c r="I10496" t="str">
        <v>Wild 2 (2015) - Sphere / Ocentric / Orthographic, clon = 0</v>
      </c>
      <c r="J10496" t="str">
        <v>Not specified.</v>
      </c>
      <c r="K10496" s="11">
        <v>0</v>
      </c>
    </row>
    <row r="10497" spans="5:11" x14ac:dyDescent="0.35">
      <c r="E10497" s="9" t="str">
        <v>IAU_2015</v>
      </c>
      <c r="F10497" s="7" t="str">
        <v>100010770</v>
      </c>
      <c r="G10497" t="str">
        <v>ProjectedCrs</v>
      </c>
      <c r="H10497" t="str">
        <v>Orthographic</v>
      </c>
      <c r="I10497" t="str">
        <v>Wild 2 (2015) - Sphere / Ocentric / Orthographic, clon = 180</v>
      </c>
      <c r="J10497" t="str">
        <v>Not specified.</v>
      </c>
      <c r="K10497" s="11">
        <v>0</v>
      </c>
    </row>
    <row r="10498" spans="5:11" x14ac:dyDescent="0.35">
      <c r="E10498" s="9" t="str">
        <v>IAU_2015</v>
      </c>
      <c r="F10498" s="7" t="str">
        <v>100010775</v>
      </c>
      <c r="G10498" t="str">
        <v>ProjectedCrs</v>
      </c>
      <c r="H10498" t="str">
        <v>Lambert Conic Conformal (2SP)</v>
      </c>
      <c r="I10498" t="str">
        <v>Wild 2 (2015) - Sphere / Ocentric / Lambert Conic Conformal</v>
      </c>
      <c r="J10498" t="str">
        <v>Not specified.</v>
      </c>
      <c r="K10498" s="11">
        <v>0</v>
      </c>
    </row>
    <row r="10499" spans="5:11" x14ac:dyDescent="0.35">
      <c r="E10499" s="9" t="str">
        <v>IAU_2015</v>
      </c>
      <c r="F10499" s="7" t="str">
        <v>100010780</v>
      </c>
      <c r="G10499" t="str">
        <v>ProjectedCrs</v>
      </c>
      <c r="H10499" t="str">
        <v>Lambert Azimuthal Equal Area</v>
      </c>
      <c r="I10499" t="str">
        <v>Wild 2 (2015) - Sphere / Ocentric / Lambert Azimuthal Equal Area</v>
      </c>
      <c r="J10499" t="str">
        <v>Not specified.</v>
      </c>
      <c r="K10499" s="11">
        <v>0</v>
      </c>
    </row>
    <row r="10500" spans="5:11" x14ac:dyDescent="0.35">
      <c r="E10500" s="9" t="str">
        <v>IAU_2015</v>
      </c>
      <c r="F10500" s="7" t="str">
        <v>100010785</v>
      </c>
      <c r="G10500" t="str">
        <v>ProjectedCrs</v>
      </c>
      <c r="H10500" t="str">
        <v>Albers Equal Area</v>
      </c>
      <c r="I10500" t="str">
        <v>Wild 2 (2015) - Sphere / Ocentric / Albers Equal Area</v>
      </c>
      <c r="J10500" t="str">
        <v>Not specified.</v>
      </c>
      <c r="K10500" s="11">
        <v>0</v>
      </c>
    </row>
    <row r="10501" spans="5:11" x14ac:dyDescent="0.35">
      <c r="E10501" s="9" t="str">
        <v>IAU_2015</v>
      </c>
      <c r="F10501" s="7" t="str">
        <v>100010790</v>
      </c>
      <c r="G10501" t="str">
        <v>ProjectedCrs</v>
      </c>
      <c r="H10501" t="str">
        <v>Mercator (Spherical)</v>
      </c>
      <c r="I10501" t="str">
        <v>Wild 2 (2015) - Sphere / Ocentric / Mercator</v>
      </c>
      <c r="J10501" t="str">
        <v>Not specified.</v>
      </c>
      <c r="K10501" s="11">
        <v>0</v>
      </c>
    </row>
    <row r="10502" spans="5:11" x14ac:dyDescent="0.35">
      <c r="E10502" s="9" t="str">
        <v>IAU_2015</v>
      </c>
      <c r="F10502" s="7" t="str">
        <v>200000100</v>
      </c>
      <c r="G10502" t="str">
        <v>Geographic2DCrs</v>
      </c>
      <c r="H10502" t="str">
        <v>&lt;undefined&gt;</v>
      </c>
      <c r="I10502" t="str">
        <v>Ceres (2015) - Sphere / Ocentric</v>
      </c>
      <c r="J10502" t="str">
        <v>Not specified.</v>
      </c>
      <c r="K10502" s="11">
        <v>0</v>
      </c>
    </row>
    <row r="10503" spans="5:11" x14ac:dyDescent="0.35">
      <c r="E10503" s="9" t="str">
        <v>IAU_2015</v>
      </c>
      <c r="F10503" s="7" t="str">
        <v>200000101</v>
      </c>
      <c r="G10503" t="str">
        <v>Geographic2DCrs</v>
      </c>
      <c r="H10503" t="str">
        <v>&lt;undefined&gt;</v>
      </c>
      <c r="I10503" t="str">
        <v>Ceres (2015) / Ographic</v>
      </c>
      <c r="J10503" t="str">
        <v>Not specified.</v>
      </c>
      <c r="K10503" s="11">
        <v>0</v>
      </c>
    </row>
    <row r="10504" spans="5:11" x14ac:dyDescent="0.35">
      <c r="E10504" s="9" t="str">
        <v>IAU_2015</v>
      </c>
      <c r="F10504" s="7" t="str">
        <v>200000102</v>
      </c>
      <c r="G10504" t="str">
        <v>GeodeticCrs</v>
      </c>
      <c r="H10504" t="str">
        <v>&lt;undefined&gt;</v>
      </c>
      <c r="I10504" t="str">
        <v>Ceres (2015) / Ocentric</v>
      </c>
      <c r="J10504" t="str">
        <v>Not specified.</v>
      </c>
      <c r="K10504" s="11">
        <v>0</v>
      </c>
    </row>
    <row r="10505" spans="5:11" x14ac:dyDescent="0.35">
      <c r="E10505" s="9" t="str">
        <v>IAU_2015</v>
      </c>
      <c r="F10505" s="7" t="str">
        <v>200000110</v>
      </c>
      <c r="G10505" t="str">
        <v>ProjectedCrs</v>
      </c>
      <c r="H10505" t="str">
        <v>Equidistant Cylindrical</v>
      </c>
      <c r="I10505" t="str">
        <v>Ceres (2015) - Sphere / Ocentric / Equirectangular, clon = 0</v>
      </c>
      <c r="J10505" t="str">
        <v>Not specified.</v>
      </c>
      <c r="K10505" s="11">
        <v>0</v>
      </c>
    </row>
    <row r="10506" spans="5:11" x14ac:dyDescent="0.35">
      <c r="E10506" s="9" t="str">
        <v>IAU_2015</v>
      </c>
      <c r="F10506" s="7" t="str">
        <v>200000111</v>
      </c>
      <c r="G10506" t="str">
        <v>ProjectedCrs</v>
      </c>
      <c r="H10506" t="str">
        <v>Equidistant Cylindrical</v>
      </c>
      <c r="I10506" t="str">
        <v>Ceres (2015) / Ographic / Equirectangular, clon = 0</v>
      </c>
      <c r="J10506" t="str">
        <v>Not specified.</v>
      </c>
      <c r="K10506" s="11">
        <v>0</v>
      </c>
    </row>
    <row r="10507" spans="5:11" x14ac:dyDescent="0.35">
      <c r="E10507" s="9" t="str">
        <v>IAU_2015</v>
      </c>
      <c r="F10507" s="7" t="str">
        <v>200000115</v>
      </c>
      <c r="G10507" t="str">
        <v>ProjectedCrs</v>
      </c>
      <c r="H10507" t="str">
        <v>Equidistant Cylindrical</v>
      </c>
      <c r="I10507" t="str">
        <v>Ceres (2015) - Sphere / Ocentric / Equirectangular, clon = 180</v>
      </c>
      <c r="J10507" t="str">
        <v>Not specified.</v>
      </c>
      <c r="K10507" s="11">
        <v>0</v>
      </c>
    </row>
    <row r="10508" spans="5:11" x14ac:dyDescent="0.35">
      <c r="E10508" s="9" t="str">
        <v>IAU_2015</v>
      </c>
      <c r="F10508" s="7" t="str">
        <v>200000116</v>
      </c>
      <c r="G10508" t="str">
        <v>ProjectedCrs</v>
      </c>
      <c r="H10508" t="str">
        <v>Equidistant Cylindrical</v>
      </c>
      <c r="I10508" t="str">
        <v>Ceres (2015) / Ographic / Equirectangular, clon = 180</v>
      </c>
      <c r="J10508" t="str">
        <v>Not specified.</v>
      </c>
      <c r="K10508" s="11">
        <v>0</v>
      </c>
    </row>
    <row r="10509" spans="5:11" x14ac:dyDescent="0.35">
      <c r="E10509" s="9" t="str">
        <v>IAU_2015</v>
      </c>
      <c r="F10509" s="7" t="str">
        <v>200000120</v>
      </c>
      <c r="G10509" t="str">
        <v>ProjectedCrs</v>
      </c>
      <c r="H10509" t="str">
        <v>Sinusoidal</v>
      </c>
      <c r="I10509" t="str">
        <v>Ceres (2015) - Sphere / Ocentric / Sinusoidal, clon = 0</v>
      </c>
      <c r="J10509" t="str">
        <v>Not specified.</v>
      </c>
      <c r="K10509" s="11">
        <v>0</v>
      </c>
    </row>
    <row r="10510" spans="5:11" x14ac:dyDescent="0.35">
      <c r="E10510" s="9" t="str">
        <v>IAU_2015</v>
      </c>
      <c r="F10510" s="7" t="str">
        <v>200000121</v>
      </c>
      <c r="G10510" t="str">
        <v>ProjectedCrs</v>
      </c>
      <c r="H10510" t="str">
        <v>Sinusoidal</v>
      </c>
      <c r="I10510" t="str">
        <v>Ceres (2015) / Ographic / Sinusoidal, clon = 0</v>
      </c>
      <c r="J10510" t="str">
        <v>Not specified.</v>
      </c>
      <c r="K10510" s="11">
        <v>0</v>
      </c>
    </row>
    <row r="10511" spans="5:11" x14ac:dyDescent="0.35">
      <c r="E10511" s="9" t="str">
        <v>IAU_2015</v>
      </c>
      <c r="F10511" s="7" t="str">
        <v>200000125</v>
      </c>
      <c r="G10511" t="str">
        <v>ProjectedCrs</v>
      </c>
      <c r="H10511" t="str">
        <v>Sinusoidal</v>
      </c>
      <c r="I10511" t="str">
        <v>Ceres (2015) - Sphere / Ocentric / Sinusoidal, clon = 180</v>
      </c>
      <c r="J10511" t="str">
        <v>Not specified.</v>
      </c>
      <c r="K10511" s="11">
        <v>0</v>
      </c>
    </row>
    <row r="10512" spans="5:11" x14ac:dyDescent="0.35">
      <c r="E10512" s="9" t="str">
        <v>IAU_2015</v>
      </c>
      <c r="F10512" s="7" t="str">
        <v>200000126</v>
      </c>
      <c r="G10512" t="str">
        <v>ProjectedCrs</v>
      </c>
      <c r="H10512" t="str">
        <v>Sinusoidal</v>
      </c>
      <c r="I10512" t="str">
        <v>Ceres (2015) / Ographic / Sinusoidal, clon = 180</v>
      </c>
      <c r="J10512" t="str">
        <v>Not specified.</v>
      </c>
      <c r="K10512" s="11">
        <v>0</v>
      </c>
    </row>
    <row r="10513" spans="5:11" x14ac:dyDescent="0.35">
      <c r="E10513" s="9" t="str">
        <v>IAU_2015</v>
      </c>
      <c r="F10513" s="7" t="str">
        <v>200000130</v>
      </c>
      <c r="G10513" t="str">
        <v>ProjectedCrs</v>
      </c>
      <c r="H10513" t="str">
        <v>Polar Stereographic (variant A)</v>
      </c>
      <c r="I10513" t="str">
        <v>Ceres (2015) - Sphere / Ocentric / North Polar</v>
      </c>
      <c r="J10513" t="str">
        <v>Not specified.</v>
      </c>
      <c r="K10513" s="11">
        <v>0</v>
      </c>
    </row>
    <row r="10514" spans="5:11" x14ac:dyDescent="0.35">
      <c r="E10514" s="9" t="str">
        <v>IAU_2015</v>
      </c>
      <c r="F10514" s="7" t="str">
        <v>200000131</v>
      </c>
      <c r="G10514" t="str">
        <v>ProjectedCrs</v>
      </c>
      <c r="H10514" t="str">
        <v>Polar Stereographic (variant A)</v>
      </c>
      <c r="I10514" t="str">
        <v>Ceres (2015) / Ographic / North Polar</v>
      </c>
      <c r="J10514" t="str">
        <v>Not specified.</v>
      </c>
      <c r="K10514" s="11">
        <v>0</v>
      </c>
    </row>
    <row r="10515" spans="5:11" x14ac:dyDescent="0.35">
      <c r="E10515" s="9" t="str">
        <v>IAU_2015</v>
      </c>
      <c r="F10515" s="7" t="str">
        <v>200000135</v>
      </c>
      <c r="G10515" t="str">
        <v>ProjectedCrs</v>
      </c>
      <c r="H10515" t="str">
        <v>Polar Stereographic (variant A)</v>
      </c>
      <c r="I10515" t="str">
        <v>Ceres (2015) - Sphere / Ocentric / South Polar</v>
      </c>
      <c r="J10515" t="str">
        <v>Not specified.</v>
      </c>
      <c r="K10515" s="11">
        <v>0</v>
      </c>
    </row>
    <row r="10516" spans="5:11" x14ac:dyDescent="0.35">
      <c r="E10516" s="9" t="str">
        <v>IAU_2015</v>
      </c>
      <c r="F10516" s="7" t="str">
        <v>200000136</v>
      </c>
      <c r="G10516" t="str">
        <v>ProjectedCrs</v>
      </c>
      <c r="H10516" t="str">
        <v>Polar Stereographic (variant A)</v>
      </c>
      <c r="I10516" t="str">
        <v>Ceres (2015) / Ographic / South Polar</v>
      </c>
      <c r="J10516" t="str">
        <v>Not specified.</v>
      </c>
      <c r="K10516" s="11">
        <v>0</v>
      </c>
    </row>
    <row r="10517" spans="5:11" x14ac:dyDescent="0.35">
      <c r="E10517" s="9" t="str">
        <v>IAU_2015</v>
      </c>
      <c r="F10517" s="7" t="str">
        <v>200000140</v>
      </c>
      <c r="G10517" t="str">
        <v>ProjectedCrs</v>
      </c>
      <c r="H10517" t="str">
        <v>Mollweide</v>
      </c>
      <c r="I10517" t="str">
        <v>Ceres (2015) - Sphere / Ocentric / Mollweide, clon = 0</v>
      </c>
      <c r="J10517" t="str">
        <v>Not specified.</v>
      </c>
      <c r="K10517" s="11">
        <v>0</v>
      </c>
    </row>
    <row r="10518" spans="5:11" x14ac:dyDescent="0.35">
      <c r="E10518" s="9" t="str">
        <v>IAU_2015</v>
      </c>
      <c r="F10518" s="7" t="str">
        <v>200000141</v>
      </c>
      <c r="G10518" t="str">
        <v>ProjectedCrs</v>
      </c>
      <c r="H10518" t="str">
        <v>Mollweide</v>
      </c>
      <c r="I10518" t="str">
        <v>Ceres (2015) / Ographic / Mollweide, clon = 0</v>
      </c>
      <c r="J10518" t="str">
        <v>Not specified.</v>
      </c>
      <c r="K10518" s="11">
        <v>0</v>
      </c>
    </row>
    <row r="10519" spans="5:11" x14ac:dyDescent="0.35">
      <c r="E10519" s="9" t="str">
        <v>IAU_2015</v>
      </c>
      <c r="F10519" s="7" t="str">
        <v>200000145</v>
      </c>
      <c r="G10519" t="str">
        <v>ProjectedCrs</v>
      </c>
      <c r="H10519" t="str">
        <v>Mollweide</v>
      </c>
      <c r="I10519" t="str">
        <v>Ceres (2015) - Sphere / Ocentric / Mollweide, clon = 180</v>
      </c>
      <c r="J10519" t="str">
        <v>Not specified.</v>
      </c>
      <c r="K10519" s="11">
        <v>0</v>
      </c>
    </row>
    <row r="10520" spans="5:11" x14ac:dyDescent="0.35">
      <c r="E10520" s="9" t="str">
        <v>IAU_2015</v>
      </c>
      <c r="F10520" s="7" t="str">
        <v>200000146</v>
      </c>
      <c r="G10520" t="str">
        <v>ProjectedCrs</v>
      </c>
      <c r="H10520" t="str">
        <v>Mollweide</v>
      </c>
      <c r="I10520" t="str">
        <v>Ceres (2015) / Ographic / Mollweide, clon = 180</v>
      </c>
      <c r="J10520" t="str">
        <v>Not specified.</v>
      </c>
      <c r="K10520" s="11">
        <v>0</v>
      </c>
    </row>
    <row r="10521" spans="5:11" x14ac:dyDescent="0.35">
      <c r="E10521" s="9" t="str">
        <v>IAU_2015</v>
      </c>
      <c r="F10521" s="7" t="str">
        <v>200000150</v>
      </c>
      <c r="G10521" t="str">
        <v>ProjectedCrs</v>
      </c>
      <c r="H10521" t="str">
        <v>Robinson</v>
      </c>
      <c r="I10521" t="str">
        <v>Ceres (2015) - Sphere / Ocentric / Robinson, clon = 0</v>
      </c>
      <c r="J10521" t="str">
        <v>Not specified.</v>
      </c>
      <c r="K10521" s="11">
        <v>0</v>
      </c>
    </row>
    <row r="10522" spans="5:11" x14ac:dyDescent="0.35">
      <c r="E10522" s="9" t="str">
        <v>IAU_2015</v>
      </c>
      <c r="F10522" s="7" t="str">
        <v>200000151</v>
      </c>
      <c r="G10522" t="str">
        <v>ProjectedCrs</v>
      </c>
      <c r="H10522" t="str">
        <v>Robinson</v>
      </c>
      <c r="I10522" t="str">
        <v>Ceres (2015) / Ographic / Robinson, clon = 0</v>
      </c>
      <c r="J10522" t="str">
        <v>Not specified.</v>
      </c>
      <c r="K10522" s="11">
        <v>0</v>
      </c>
    </row>
    <row r="10523" spans="5:11" x14ac:dyDescent="0.35">
      <c r="E10523" s="9" t="str">
        <v>IAU_2015</v>
      </c>
      <c r="F10523" s="7" t="str">
        <v>200000155</v>
      </c>
      <c r="G10523" t="str">
        <v>ProjectedCrs</v>
      </c>
      <c r="H10523" t="str">
        <v>Robinson</v>
      </c>
      <c r="I10523" t="str">
        <v>Ceres (2015) - Sphere / Ocentric / Robinson, clon = 180</v>
      </c>
      <c r="J10523" t="str">
        <v>Not specified.</v>
      </c>
      <c r="K10523" s="11">
        <v>0</v>
      </c>
    </row>
    <row r="10524" spans="5:11" x14ac:dyDescent="0.35">
      <c r="E10524" s="9" t="str">
        <v>IAU_2015</v>
      </c>
      <c r="F10524" s="7" t="str">
        <v>200000156</v>
      </c>
      <c r="G10524" t="str">
        <v>ProjectedCrs</v>
      </c>
      <c r="H10524" t="str">
        <v>Robinson</v>
      </c>
      <c r="I10524" t="str">
        <v>Ceres (2015) / Ographic / Robinson, clon = 180</v>
      </c>
      <c r="J10524" t="str">
        <v>Not specified.</v>
      </c>
      <c r="K10524" s="11">
        <v>0</v>
      </c>
    </row>
    <row r="10525" spans="5:11" x14ac:dyDescent="0.35">
      <c r="E10525" s="9" t="str">
        <v>IAU_2015</v>
      </c>
      <c r="F10525" s="7" t="str">
        <v>200000160</v>
      </c>
      <c r="G10525" t="str">
        <v>ProjectedCrs</v>
      </c>
      <c r="H10525" t="str">
        <v>Transverse Mercator</v>
      </c>
      <c r="I10525" t="str">
        <v>Ceres (2015) - Sphere / Ocentric / Tranverse Mercator</v>
      </c>
      <c r="J10525" t="str">
        <v>Not specified.</v>
      </c>
      <c r="K10525" s="11">
        <v>0</v>
      </c>
    </row>
    <row r="10526" spans="5:11" x14ac:dyDescent="0.35">
      <c r="E10526" s="9" t="str">
        <v>IAU_2015</v>
      </c>
      <c r="F10526" s="7" t="str">
        <v>200000161</v>
      </c>
      <c r="G10526" t="str">
        <v>ProjectedCrs</v>
      </c>
      <c r="H10526" t="str">
        <v>Transverse Mercator</v>
      </c>
      <c r="I10526" t="str">
        <v>Ceres (2015) / Ographic / Tranverse Mercator</v>
      </c>
      <c r="J10526" t="str">
        <v>Not specified.</v>
      </c>
      <c r="K10526" s="11">
        <v>0</v>
      </c>
    </row>
    <row r="10527" spans="5:11" x14ac:dyDescent="0.35">
      <c r="E10527" s="9" t="str">
        <v>IAU_2015</v>
      </c>
      <c r="F10527" s="7" t="str">
        <v>200000165</v>
      </c>
      <c r="G10527" t="str">
        <v>ProjectedCrs</v>
      </c>
      <c r="H10527" t="str">
        <v>Orthographic</v>
      </c>
      <c r="I10527" t="str">
        <v>Ceres (2015) - Sphere / Ocentric / Orthographic, clon = 0</v>
      </c>
      <c r="J10527" t="str">
        <v>Not specified.</v>
      </c>
      <c r="K10527" s="11">
        <v>0</v>
      </c>
    </row>
    <row r="10528" spans="5:11" x14ac:dyDescent="0.35">
      <c r="E10528" s="9" t="str">
        <v>IAU_2015</v>
      </c>
      <c r="F10528" s="7" t="str">
        <v>200000166</v>
      </c>
      <c r="G10528" t="str">
        <v>ProjectedCrs</v>
      </c>
      <c r="H10528" t="str">
        <v>Orthographic</v>
      </c>
      <c r="I10528" t="str">
        <v>Ceres (2015) / Ographic / Orthographic, clon = 0</v>
      </c>
      <c r="J10528" t="str">
        <v>Not specified.</v>
      </c>
      <c r="K10528" s="11">
        <v>0</v>
      </c>
    </row>
    <row r="10529" spans="5:11" x14ac:dyDescent="0.35">
      <c r="E10529" s="9" t="str">
        <v>IAU_2015</v>
      </c>
      <c r="F10529" s="7" t="str">
        <v>200000170</v>
      </c>
      <c r="G10529" t="str">
        <v>ProjectedCrs</v>
      </c>
      <c r="H10529" t="str">
        <v>Orthographic</v>
      </c>
      <c r="I10529" t="str">
        <v>Ceres (2015) - Sphere / Ocentric / Orthographic, clon = 180</v>
      </c>
      <c r="J10529" t="str">
        <v>Not specified.</v>
      </c>
      <c r="K10529" s="11">
        <v>0</v>
      </c>
    </row>
    <row r="10530" spans="5:11" x14ac:dyDescent="0.35">
      <c r="E10530" s="9" t="str">
        <v>IAU_2015</v>
      </c>
      <c r="F10530" s="7" t="str">
        <v>200000171</v>
      </c>
      <c r="G10530" t="str">
        <v>ProjectedCrs</v>
      </c>
      <c r="H10530" t="str">
        <v>Orthographic</v>
      </c>
      <c r="I10530" t="str">
        <v>Ceres (2015) / Ographic / Orthographic, clon = 180</v>
      </c>
      <c r="J10530" t="str">
        <v>Not specified.</v>
      </c>
      <c r="K10530" s="11">
        <v>0</v>
      </c>
    </row>
    <row r="10531" spans="5:11" x14ac:dyDescent="0.35">
      <c r="E10531" s="9" t="str">
        <v>IAU_2015</v>
      </c>
      <c r="F10531" s="7" t="str">
        <v>200000175</v>
      </c>
      <c r="G10531" t="str">
        <v>ProjectedCrs</v>
      </c>
      <c r="H10531" t="str">
        <v>Lambert Conic Conformal (2SP)</v>
      </c>
      <c r="I10531" t="str">
        <v>Ceres (2015) - Sphere / Ocentric / Lambert Conic Conformal</v>
      </c>
      <c r="J10531" t="str">
        <v>Not specified.</v>
      </c>
      <c r="K10531" s="11">
        <v>0</v>
      </c>
    </row>
    <row r="10532" spans="5:11" x14ac:dyDescent="0.35">
      <c r="E10532" s="9" t="str">
        <v>IAU_2015</v>
      </c>
      <c r="F10532" s="7" t="str">
        <v>200000176</v>
      </c>
      <c r="G10532" t="str">
        <v>ProjectedCrs</v>
      </c>
      <c r="H10532" t="str">
        <v>Lambert Conic Conformal (2SP)</v>
      </c>
      <c r="I10532" t="str">
        <v>Ceres (2015) / Ographic / Lambert Conic Conformal</v>
      </c>
      <c r="J10532" t="str">
        <v>Not specified.</v>
      </c>
      <c r="K10532" s="11">
        <v>0</v>
      </c>
    </row>
    <row r="10533" spans="5:11" x14ac:dyDescent="0.35">
      <c r="E10533" s="9" t="str">
        <v>IAU_2015</v>
      </c>
      <c r="F10533" s="7" t="str">
        <v>200000180</v>
      </c>
      <c r="G10533" t="str">
        <v>ProjectedCrs</v>
      </c>
      <c r="H10533" t="str">
        <v>Lambert Azimuthal Equal Area</v>
      </c>
      <c r="I10533" t="str">
        <v>Ceres (2015) - Sphere / Ocentric / Lambert Azimuthal Equal Area</v>
      </c>
      <c r="J10533" t="str">
        <v>Not specified.</v>
      </c>
      <c r="K10533" s="11">
        <v>0</v>
      </c>
    </row>
    <row r="10534" spans="5:11" x14ac:dyDescent="0.35">
      <c r="E10534" s="9" t="str">
        <v>IAU_2015</v>
      </c>
      <c r="F10534" s="7" t="str">
        <v>200000181</v>
      </c>
      <c r="G10534" t="str">
        <v>ProjectedCrs</v>
      </c>
      <c r="H10534" t="str">
        <v>Lambert Azimuthal Equal Area</v>
      </c>
      <c r="I10534" t="str">
        <v>Ceres (2015) / Ographic / Lambert Azimuthal Equal Area</v>
      </c>
      <c r="J10534" t="str">
        <v>Not specified.</v>
      </c>
      <c r="K10534" s="11">
        <v>0</v>
      </c>
    </row>
    <row r="10535" spans="5:11" x14ac:dyDescent="0.35">
      <c r="E10535" s="9" t="str">
        <v>IAU_2015</v>
      </c>
      <c r="F10535" s="7" t="str">
        <v>200000185</v>
      </c>
      <c r="G10535" t="str">
        <v>ProjectedCrs</v>
      </c>
      <c r="H10535" t="str">
        <v>Albers Equal Area</v>
      </c>
      <c r="I10535" t="str">
        <v>Ceres (2015) - Sphere / Ocentric / Albers Equal Area</v>
      </c>
      <c r="J10535" t="str">
        <v>Not specified.</v>
      </c>
      <c r="K10535" s="11">
        <v>0</v>
      </c>
    </row>
    <row r="10536" spans="5:11" x14ac:dyDescent="0.35">
      <c r="E10536" s="9" t="str">
        <v>IAU_2015</v>
      </c>
      <c r="F10536" s="7" t="str">
        <v>200000186</v>
      </c>
      <c r="G10536" t="str">
        <v>ProjectedCrs</v>
      </c>
      <c r="H10536" t="str">
        <v>Albers Equal Area</v>
      </c>
      <c r="I10536" t="str">
        <v>Ceres (2015) / Ographic / Albers Equal Area</v>
      </c>
      <c r="J10536" t="str">
        <v>Not specified.</v>
      </c>
      <c r="K10536" s="11">
        <v>0</v>
      </c>
    </row>
    <row r="10537" spans="5:11" x14ac:dyDescent="0.35">
      <c r="E10537" s="9" t="str">
        <v>IAU_2015</v>
      </c>
      <c r="F10537" s="7" t="str">
        <v>200000190</v>
      </c>
      <c r="G10537" t="str">
        <v>ProjectedCrs</v>
      </c>
      <c r="H10537" t="str">
        <v>Mercator (Spherical)</v>
      </c>
      <c r="I10537" t="str">
        <v>Ceres (2015) - Sphere / Ocentric / Mercator</v>
      </c>
      <c r="J10537" t="str">
        <v>Not specified.</v>
      </c>
      <c r="K10537" s="11">
        <v>0</v>
      </c>
    </row>
    <row r="10538" spans="5:11" x14ac:dyDescent="0.35">
      <c r="E10538" s="9" t="str">
        <v>IAU_2015</v>
      </c>
      <c r="F10538" s="7" t="str">
        <v>200000191</v>
      </c>
      <c r="G10538" t="str">
        <v>ProjectedCrs</v>
      </c>
      <c r="H10538" t="str">
        <v>Mercator (Spherical)</v>
      </c>
      <c r="I10538" t="str">
        <v>Ceres (2015) / Ographic / Mercator</v>
      </c>
      <c r="J10538" t="str">
        <v>Not specified.</v>
      </c>
      <c r="K10538" s="11">
        <v>0</v>
      </c>
    </row>
    <row r="10539" spans="5:11" x14ac:dyDescent="0.35">
      <c r="E10539" s="9" t="str">
        <v>IAU_2015</v>
      </c>
      <c r="F10539" s="7" t="str">
        <v>200000400</v>
      </c>
      <c r="G10539" t="str">
        <v>Geographic2DCrs</v>
      </c>
      <c r="H10539" t="str">
        <v>&lt;undefined&gt;</v>
      </c>
      <c r="I10539" t="str">
        <v>Vesta (2015) - Sphere / Ocentric</v>
      </c>
      <c r="J10539" t="str">
        <v>Not specified.</v>
      </c>
      <c r="K10539" s="11">
        <v>0</v>
      </c>
    </row>
    <row r="10540" spans="5:11" x14ac:dyDescent="0.35">
      <c r="E10540" s="9" t="str">
        <v>IAU_2015</v>
      </c>
      <c r="F10540" s="7" t="str">
        <v>200000410</v>
      </c>
      <c r="G10540" t="str">
        <v>ProjectedCrs</v>
      </c>
      <c r="H10540" t="str">
        <v>Equidistant Cylindrical</v>
      </c>
      <c r="I10540" t="str">
        <v>Vesta (2015) - Sphere / Ocentric / Equirectangular, clon = 0</v>
      </c>
      <c r="J10540" t="str">
        <v>Not specified.</v>
      </c>
      <c r="K10540" s="11">
        <v>0</v>
      </c>
    </row>
    <row r="10541" spans="5:11" x14ac:dyDescent="0.35">
      <c r="E10541" s="9" t="str">
        <v>IAU_2015</v>
      </c>
      <c r="F10541" s="7" t="str">
        <v>200000415</v>
      </c>
      <c r="G10541" t="str">
        <v>ProjectedCrs</v>
      </c>
      <c r="H10541" t="str">
        <v>Equidistant Cylindrical</v>
      </c>
      <c r="I10541" t="str">
        <v>Vesta (2015) - Sphere / Ocentric / Equirectangular, clon = 180</v>
      </c>
      <c r="J10541" t="str">
        <v>Not specified.</v>
      </c>
      <c r="K10541" s="11">
        <v>0</v>
      </c>
    </row>
    <row r="10542" spans="5:11" x14ac:dyDescent="0.35">
      <c r="E10542" s="9" t="str">
        <v>IAU_2015</v>
      </c>
      <c r="F10542" s="7" t="str">
        <v>200000420</v>
      </c>
      <c r="G10542" t="str">
        <v>ProjectedCrs</v>
      </c>
      <c r="H10542" t="str">
        <v>Sinusoidal</v>
      </c>
      <c r="I10542" t="str">
        <v>Vesta (2015) - Sphere / Ocentric / Sinusoidal, clon = 0</v>
      </c>
      <c r="J10542" t="str">
        <v>Not specified.</v>
      </c>
      <c r="K10542" s="11">
        <v>0</v>
      </c>
    </row>
    <row r="10543" spans="5:11" x14ac:dyDescent="0.35">
      <c r="E10543" s="9" t="str">
        <v>IAU_2015</v>
      </c>
      <c r="F10543" s="7" t="str">
        <v>200000425</v>
      </c>
      <c r="G10543" t="str">
        <v>ProjectedCrs</v>
      </c>
      <c r="H10543" t="str">
        <v>Sinusoidal</v>
      </c>
      <c r="I10543" t="str">
        <v>Vesta (2015) - Sphere / Ocentric / Sinusoidal, clon = 180</v>
      </c>
      <c r="J10543" t="str">
        <v>Not specified.</v>
      </c>
      <c r="K10543" s="11">
        <v>0</v>
      </c>
    </row>
    <row r="10544" spans="5:11" x14ac:dyDescent="0.35">
      <c r="E10544" s="9" t="str">
        <v>IAU_2015</v>
      </c>
      <c r="F10544" s="7" t="str">
        <v>200000430</v>
      </c>
      <c r="G10544" t="str">
        <v>ProjectedCrs</v>
      </c>
      <c r="H10544" t="str">
        <v>Polar Stereographic (variant A)</v>
      </c>
      <c r="I10544" t="str">
        <v>Vesta (2015) - Sphere / Ocentric / North Polar</v>
      </c>
      <c r="J10544" t="str">
        <v>Not specified.</v>
      </c>
      <c r="K10544" s="11">
        <v>0</v>
      </c>
    </row>
    <row r="10545" spans="5:11" x14ac:dyDescent="0.35">
      <c r="E10545" s="9" t="str">
        <v>IAU_2015</v>
      </c>
      <c r="F10545" s="7" t="str">
        <v>200000435</v>
      </c>
      <c r="G10545" t="str">
        <v>ProjectedCrs</v>
      </c>
      <c r="H10545" t="str">
        <v>Polar Stereographic (variant A)</v>
      </c>
      <c r="I10545" t="str">
        <v>Vesta (2015) - Sphere / Ocentric / South Polar</v>
      </c>
      <c r="J10545" t="str">
        <v>Not specified.</v>
      </c>
      <c r="K10545" s="11">
        <v>0</v>
      </c>
    </row>
    <row r="10546" spans="5:11" x14ac:dyDescent="0.35">
      <c r="E10546" s="9" t="str">
        <v>IAU_2015</v>
      </c>
      <c r="F10546" s="7" t="str">
        <v>200000440</v>
      </c>
      <c r="G10546" t="str">
        <v>ProjectedCrs</v>
      </c>
      <c r="H10546" t="str">
        <v>Mollweide</v>
      </c>
      <c r="I10546" t="str">
        <v>Vesta (2015) - Sphere / Ocentric / Mollweide, clon = 0</v>
      </c>
      <c r="J10546" t="str">
        <v>Not specified.</v>
      </c>
      <c r="K10546" s="11">
        <v>0</v>
      </c>
    </row>
    <row r="10547" spans="5:11" x14ac:dyDescent="0.35">
      <c r="E10547" s="9" t="str">
        <v>IAU_2015</v>
      </c>
      <c r="F10547" s="7" t="str">
        <v>200000445</v>
      </c>
      <c r="G10547" t="str">
        <v>ProjectedCrs</v>
      </c>
      <c r="H10547" t="str">
        <v>Mollweide</v>
      </c>
      <c r="I10547" t="str">
        <v>Vesta (2015) - Sphere / Ocentric / Mollweide, clon = 180</v>
      </c>
      <c r="J10547" t="str">
        <v>Not specified.</v>
      </c>
      <c r="K10547" s="11">
        <v>0</v>
      </c>
    </row>
    <row r="10548" spans="5:11" x14ac:dyDescent="0.35">
      <c r="E10548" s="9" t="str">
        <v>IAU_2015</v>
      </c>
      <c r="F10548" s="7" t="str">
        <v>200000450</v>
      </c>
      <c r="G10548" t="str">
        <v>ProjectedCrs</v>
      </c>
      <c r="H10548" t="str">
        <v>Robinson</v>
      </c>
      <c r="I10548" t="str">
        <v>Vesta (2015) - Sphere / Ocentric / Robinson, clon = 0</v>
      </c>
      <c r="J10548" t="str">
        <v>Not specified.</v>
      </c>
      <c r="K10548" s="11">
        <v>0</v>
      </c>
    </row>
    <row r="10549" spans="5:11" x14ac:dyDescent="0.35">
      <c r="E10549" s="9" t="str">
        <v>IAU_2015</v>
      </c>
      <c r="F10549" s="7" t="str">
        <v>200000455</v>
      </c>
      <c r="G10549" t="str">
        <v>ProjectedCrs</v>
      </c>
      <c r="H10549" t="str">
        <v>Robinson</v>
      </c>
      <c r="I10549" t="str">
        <v>Vesta (2015) - Sphere / Ocentric / Robinson, clon = 180</v>
      </c>
      <c r="J10549" t="str">
        <v>Not specified.</v>
      </c>
      <c r="K10549" s="11">
        <v>0</v>
      </c>
    </row>
    <row r="10550" spans="5:11" x14ac:dyDescent="0.35">
      <c r="E10550" s="9" t="str">
        <v>IAU_2015</v>
      </c>
      <c r="F10550" s="7" t="str">
        <v>200000460</v>
      </c>
      <c r="G10550" t="str">
        <v>ProjectedCrs</v>
      </c>
      <c r="H10550" t="str">
        <v>Transverse Mercator</v>
      </c>
      <c r="I10550" t="str">
        <v>Vesta (2015) - Sphere / Ocentric / Tranverse Mercator</v>
      </c>
      <c r="J10550" t="str">
        <v>Not specified.</v>
      </c>
      <c r="K10550" s="11">
        <v>0</v>
      </c>
    </row>
    <row r="10551" spans="5:11" x14ac:dyDescent="0.35">
      <c r="E10551" s="9" t="str">
        <v>IAU_2015</v>
      </c>
      <c r="F10551" s="7" t="str">
        <v>200000465</v>
      </c>
      <c r="G10551" t="str">
        <v>ProjectedCrs</v>
      </c>
      <c r="H10551" t="str">
        <v>Orthographic</v>
      </c>
      <c r="I10551" t="str">
        <v>Vesta (2015) - Sphere / Ocentric / Orthographic, clon = 0</v>
      </c>
      <c r="J10551" t="str">
        <v>Not specified.</v>
      </c>
      <c r="K10551" s="11">
        <v>0</v>
      </c>
    </row>
    <row r="10552" spans="5:11" x14ac:dyDescent="0.35">
      <c r="E10552" s="9" t="str">
        <v>IAU_2015</v>
      </c>
      <c r="F10552" s="7" t="str">
        <v>200000470</v>
      </c>
      <c r="G10552" t="str">
        <v>ProjectedCrs</v>
      </c>
      <c r="H10552" t="str">
        <v>Orthographic</v>
      </c>
      <c r="I10552" t="str">
        <v>Vesta (2015) - Sphere / Ocentric / Orthographic, clon = 180</v>
      </c>
      <c r="J10552" t="str">
        <v>Not specified.</v>
      </c>
      <c r="K10552" s="11">
        <v>0</v>
      </c>
    </row>
    <row r="10553" spans="5:11" x14ac:dyDescent="0.35">
      <c r="E10553" s="9" t="str">
        <v>IAU_2015</v>
      </c>
      <c r="F10553" s="7" t="str">
        <v>200000475</v>
      </c>
      <c r="G10553" t="str">
        <v>ProjectedCrs</v>
      </c>
      <c r="H10553" t="str">
        <v>Lambert Conic Conformal (2SP)</v>
      </c>
      <c r="I10553" t="str">
        <v>Vesta (2015) - Sphere / Ocentric / Lambert Conic Conformal</v>
      </c>
      <c r="J10553" t="str">
        <v>Not specified.</v>
      </c>
      <c r="K10553" s="11">
        <v>0</v>
      </c>
    </row>
    <row r="10554" spans="5:11" x14ac:dyDescent="0.35">
      <c r="E10554" s="9" t="str">
        <v>IAU_2015</v>
      </c>
      <c r="F10554" s="7" t="str">
        <v>200000480</v>
      </c>
      <c r="G10554" t="str">
        <v>ProjectedCrs</v>
      </c>
      <c r="H10554" t="str">
        <v>Lambert Azimuthal Equal Area</v>
      </c>
      <c r="I10554" t="str">
        <v>Vesta (2015) - Sphere / Ocentric / Lambert Azimuthal Equal Area</v>
      </c>
      <c r="J10554" t="str">
        <v>Not specified.</v>
      </c>
      <c r="K10554" s="11">
        <v>0</v>
      </c>
    </row>
    <row r="10555" spans="5:11" x14ac:dyDescent="0.35">
      <c r="E10555" s="9" t="str">
        <v>IAU_2015</v>
      </c>
      <c r="F10555" s="7" t="str">
        <v>200000485</v>
      </c>
      <c r="G10555" t="str">
        <v>ProjectedCrs</v>
      </c>
      <c r="H10555" t="str">
        <v>Albers Equal Area</v>
      </c>
      <c r="I10555" t="str">
        <v>Vesta (2015) - Sphere / Ocentric / Albers Equal Area</v>
      </c>
      <c r="J10555" t="str">
        <v>Not specified.</v>
      </c>
      <c r="K10555" s="11">
        <v>0</v>
      </c>
    </row>
    <row r="10556" spans="5:11" x14ac:dyDescent="0.35">
      <c r="E10556" s="9" t="str">
        <v>IAU_2015</v>
      </c>
      <c r="F10556" s="7" t="str">
        <v>200000490</v>
      </c>
      <c r="G10556" t="str">
        <v>ProjectedCrs</v>
      </c>
      <c r="H10556" t="str">
        <v>Mercator (Spherical)</v>
      </c>
      <c r="I10556" t="str">
        <v>Vesta (2015) - Sphere / Ocentric / Mercator</v>
      </c>
      <c r="J10556" t="str">
        <v>Not specified.</v>
      </c>
      <c r="K10556" s="11">
        <v>0</v>
      </c>
    </row>
    <row r="10557" spans="5:11" x14ac:dyDescent="0.35">
      <c r="E10557" s="9" t="str">
        <v>IAU_2015</v>
      </c>
      <c r="F10557" s="7" t="str">
        <v>200001600</v>
      </c>
      <c r="G10557" t="str">
        <v>Geographic2DCrs</v>
      </c>
      <c r="H10557" t="str">
        <v>&lt;undefined&gt;</v>
      </c>
      <c r="I10557" t="str">
        <v>Psyche (2015) - Sphere / Ocentric</v>
      </c>
      <c r="J10557" t="str">
        <v>Not specified.</v>
      </c>
      <c r="K10557" s="11">
        <v>0</v>
      </c>
    </row>
    <row r="10558" spans="5:11" x14ac:dyDescent="0.35">
      <c r="E10558" s="9" t="str">
        <v>IAU_2015</v>
      </c>
      <c r="F10558" s="7" t="str">
        <v>200001610</v>
      </c>
      <c r="G10558" t="str">
        <v>ProjectedCrs</v>
      </c>
      <c r="H10558" t="str">
        <v>Equidistant Cylindrical</v>
      </c>
      <c r="I10558" t="str">
        <v>Psyche (2015) - Sphere / Ocentric / Equirectangular, clon = 0</v>
      </c>
      <c r="J10558" t="str">
        <v>Not specified.</v>
      </c>
      <c r="K10558" s="11">
        <v>0</v>
      </c>
    </row>
    <row r="10559" spans="5:11" x14ac:dyDescent="0.35">
      <c r="E10559" s="9" t="str">
        <v>IAU_2015</v>
      </c>
      <c r="F10559" s="7" t="str">
        <v>200001615</v>
      </c>
      <c r="G10559" t="str">
        <v>ProjectedCrs</v>
      </c>
      <c r="H10559" t="str">
        <v>Equidistant Cylindrical</v>
      </c>
      <c r="I10559" t="str">
        <v>Psyche (2015) - Sphere / Ocentric / Equirectangular, clon = 180</v>
      </c>
      <c r="J10559" t="str">
        <v>Not specified.</v>
      </c>
      <c r="K10559" s="11">
        <v>0</v>
      </c>
    </row>
    <row r="10560" spans="5:11" x14ac:dyDescent="0.35">
      <c r="E10560" s="9" t="str">
        <v>IAU_2015</v>
      </c>
      <c r="F10560" s="7" t="str">
        <v>200001620</v>
      </c>
      <c r="G10560" t="str">
        <v>ProjectedCrs</v>
      </c>
      <c r="H10560" t="str">
        <v>Sinusoidal</v>
      </c>
      <c r="I10560" t="str">
        <v>Psyche (2015) - Sphere / Ocentric / Sinusoidal, clon = 0</v>
      </c>
      <c r="J10560" t="str">
        <v>Not specified.</v>
      </c>
      <c r="K10560" s="11">
        <v>0</v>
      </c>
    </row>
    <row r="10561" spans="5:11" x14ac:dyDescent="0.35">
      <c r="E10561" s="9" t="str">
        <v>IAU_2015</v>
      </c>
      <c r="F10561" s="7" t="str">
        <v>200001625</v>
      </c>
      <c r="G10561" t="str">
        <v>ProjectedCrs</v>
      </c>
      <c r="H10561" t="str">
        <v>Sinusoidal</v>
      </c>
      <c r="I10561" t="str">
        <v>Psyche (2015) - Sphere / Ocentric / Sinusoidal, clon = 180</v>
      </c>
      <c r="J10561" t="str">
        <v>Not specified.</v>
      </c>
      <c r="K10561" s="11">
        <v>0</v>
      </c>
    </row>
    <row r="10562" spans="5:11" x14ac:dyDescent="0.35">
      <c r="E10562" s="9" t="str">
        <v>IAU_2015</v>
      </c>
      <c r="F10562" s="7" t="str">
        <v>200001630</v>
      </c>
      <c r="G10562" t="str">
        <v>ProjectedCrs</v>
      </c>
      <c r="H10562" t="str">
        <v>Polar Stereographic (variant A)</v>
      </c>
      <c r="I10562" t="str">
        <v>Psyche (2015) - Sphere / Ocentric / North Polar</v>
      </c>
      <c r="J10562" t="str">
        <v>Not specified.</v>
      </c>
      <c r="K10562" s="11">
        <v>0</v>
      </c>
    </row>
    <row r="10563" spans="5:11" x14ac:dyDescent="0.35">
      <c r="E10563" s="9" t="str">
        <v>IAU_2015</v>
      </c>
      <c r="F10563" s="7" t="str">
        <v>200001635</v>
      </c>
      <c r="G10563" t="str">
        <v>ProjectedCrs</v>
      </c>
      <c r="H10563" t="str">
        <v>Polar Stereographic (variant A)</v>
      </c>
      <c r="I10563" t="str">
        <v>Psyche (2015) - Sphere / Ocentric / South Polar</v>
      </c>
      <c r="J10563" t="str">
        <v>Not specified.</v>
      </c>
      <c r="K10563" s="11">
        <v>0</v>
      </c>
    </row>
    <row r="10564" spans="5:11" x14ac:dyDescent="0.35">
      <c r="E10564" s="9" t="str">
        <v>IAU_2015</v>
      </c>
      <c r="F10564" s="7" t="str">
        <v>200001640</v>
      </c>
      <c r="G10564" t="str">
        <v>ProjectedCrs</v>
      </c>
      <c r="H10564" t="str">
        <v>Mollweide</v>
      </c>
      <c r="I10564" t="str">
        <v>Psyche (2015) - Sphere / Ocentric / Mollweide, clon = 0</v>
      </c>
      <c r="J10564" t="str">
        <v>Not specified.</v>
      </c>
      <c r="K10564" s="11">
        <v>0</v>
      </c>
    </row>
    <row r="10565" spans="5:11" x14ac:dyDescent="0.35">
      <c r="E10565" s="9" t="str">
        <v>IAU_2015</v>
      </c>
      <c r="F10565" s="7" t="str">
        <v>200001645</v>
      </c>
      <c r="G10565" t="str">
        <v>ProjectedCrs</v>
      </c>
      <c r="H10565" t="str">
        <v>Mollweide</v>
      </c>
      <c r="I10565" t="str">
        <v>Psyche (2015) - Sphere / Ocentric / Mollweide, clon = 180</v>
      </c>
      <c r="J10565" t="str">
        <v>Not specified.</v>
      </c>
      <c r="K10565" s="11">
        <v>0</v>
      </c>
    </row>
    <row r="10566" spans="5:11" x14ac:dyDescent="0.35">
      <c r="E10566" s="9" t="str">
        <v>IAU_2015</v>
      </c>
      <c r="F10566" s="7" t="str">
        <v>200001650</v>
      </c>
      <c r="G10566" t="str">
        <v>ProjectedCrs</v>
      </c>
      <c r="H10566" t="str">
        <v>Robinson</v>
      </c>
      <c r="I10566" t="str">
        <v>Psyche (2015) - Sphere / Ocentric / Robinson, clon = 0</v>
      </c>
      <c r="J10566" t="str">
        <v>Not specified.</v>
      </c>
      <c r="K10566" s="11">
        <v>0</v>
      </c>
    </row>
    <row r="10567" spans="5:11" x14ac:dyDescent="0.35">
      <c r="E10567" s="9" t="str">
        <v>IAU_2015</v>
      </c>
      <c r="F10567" s="7" t="str">
        <v>200001655</v>
      </c>
      <c r="G10567" t="str">
        <v>ProjectedCrs</v>
      </c>
      <c r="H10567" t="str">
        <v>Robinson</v>
      </c>
      <c r="I10567" t="str">
        <v>Psyche (2015) - Sphere / Ocentric / Robinson, clon = 180</v>
      </c>
      <c r="J10567" t="str">
        <v>Not specified.</v>
      </c>
      <c r="K10567" s="11">
        <v>0</v>
      </c>
    </row>
    <row r="10568" spans="5:11" x14ac:dyDescent="0.35">
      <c r="E10568" s="9" t="str">
        <v>IAU_2015</v>
      </c>
      <c r="F10568" s="7" t="str">
        <v>200001660</v>
      </c>
      <c r="G10568" t="str">
        <v>ProjectedCrs</v>
      </c>
      <c r="H10568" t="str">
        <v>Transverse Mercator</v>
      </c>
      <c r="I10568" t="str">
        <v>Psyche (2015) - Sphere / Ocentric / Tranverse Mercator</v>
      </c>
      <c r="J10568" t="str">
        <v>Not specified.</v>
      </c>
      <c r="K10568" s="11">
        <v>0</v>
      </c>
    </row>
    <row r="10569" spans="5:11" x14ac:dyDescent="0.35">
      <c r="E10569" s="9" t="str">
        <v>IAU_2015</v>
      </c>
      <c r="F10569" s="7" t="str">
        <v>200001665</v>
      </c>
      <c r="G10569" t="str">
        <v>ProjectedCrs</v>
      </c>
      <c r="H10569" t="str">
        <v>Orthographic</v>
      </c>
      <c r="I10569" t="str">
        <v>Psyche (2015) - Sphere / Ocentric / Orthographic, clon = 0</v>
      </c>
      <c r="J10569" t="str">
        <v>Not specified.</v>
      </c>
      <c r="K10569" s="11">
        <v>0</v>
      </c>
    </row>
    <row r="10570" spans="5:11" x14ac:dyDescent="0.35">
      <c r="E10570" s="9" t="str">
        <v>IAU_2015</v>
      </c>
      <c r="F10570" s="7" t="str">
        <v>200001670</v>
      </c>
      <c r="G10570" t="str">
        <v>ProjectedCrs</v>
      </c>
      <c r="H10570" t="str">
        <v>Orthographic</v>
      </c>
      <c r="I10570" t="str">
        <v>Psyche (2015) - Sphere / Ocentric / Orthographic, clon = 180</v>
      </c>
      <c r="J10570" t="str">
        <v>Not specified.</v>
      </c>
      <c r="K10570" s="11">
        <v>0</v>
      </c>
    </row>
    <row r="10571" spans="5:11" x14ac:dyDescent="0.35">
      <c r="E10571" s="9" t="str">
        <v>IAU_2015</v>
      </c>
      <c r="F10571" s="7" t="str">
        <v>200001675</v>
      </c>
      <c r="G10571" t="str">
        <v>ProjectedCrs</v>
      </c>
      <c r="H10571" t="str">
        <v>Lambert Conic Conformal (2SP)</v>
      </c>
      <c r="I10571" t="str">
        <v>Psyche (2015) - Sphere / Ocentric / Lambert Conic Conformal</v>
      </c>
      <c r="J10571" t="str">
        <v>Not specified.</v>
      </c>
      <c r="K10571" s="11">
        <v>0</v>
      </c>
    </row>
    <row r="10572" spans="5:11" x14ac:dyDescent="0.35">
      <c r="E10572" s="9" t="str">
        <v>IAU_2015</v>
      </c>
      <c r="F10572" s="7" t="str">
        <v>200001680</v>
      </c>
      <c r="G10572" t="str">
        <v>ProjectedCrs</v>
      </c>
      <c r="H10572" t="str">
        <v>Lambert Azimuthal Equal Area</v>
      </c>
      <c r="I10572" t="str">
        <v>Psyche (2015) - Sphere / Ocentric / Lambert Azimuthal Equal Area</v>
      </c>
      <c r="J10572" t="str">
        <v>Not specified.</v>
      </c>
      <c r="K10572" s="11">
        <v>0</v>
      </c>
    </row>
    <row r="10573" spans="5:11" x14ac:dyDescent="0.35">
      <c r="E10573" s="9" t="str">
        <v>IAU_2015</v>
      </c>
      <c r="F10573" s="7" t="str">
        <v>200001685</v>
      </c>
      <c r="G10573" t="str">
        <v>ProjectedCrs</v>
      </c>
      <c r="H10573" t="str">
        <v>Albers Equal Area</v>
      </c>
      <c r="I10573" t="str">
        <v>Psyche (2015) - Sphere / Ocentric / Albers Equal Area</v>
      </c>
      <c r="J10573" t="str">
        <v>Not specified.</v>
      </c>
      <c r="K10573" s="11">
        <v>0</v>
      </c>
    </row>
    <row r="10574" spans="5:11" x14ac:dyDescent="0.35">
      <c r="E10574" s="9" t="str">
        <v>IAU_2015</v>
      </c>
      <c r="F10574" s="7" t="str">
        <v>200001690</v>
      </c>
      <c r="G10574" t="str">
        <v>ProjectedCrs</v>
      </c>
      <c r="H10574" t="str">
        <v>Mercator (Spherical)</v>
      </c>
      <c r="I10574" t="str">
        <v>Psyche (2015) - Sphere / Ocentric / Mercator</v>
      </c>
      <c r="J10574" t="str">
        <v>Not specified.</v>
      </c>
      <c r="K10574" s="11">
        <v>0</v>
      </c>
    </row>
    <row r="10575" spans="5:11" x14ac:dyDescent="0.35">
      <c r="E10575" s="9" t="str">
        <v>IAU_2015</v>
      </c>
      <c r="F10575" s="7" t="str">
        <v>200002100</v>
      </c>
      <c r="G10575" t="str">
        <v>Geographic2DCrs</v>
      </c>
      <c r="H10575" t="str">
        <v>&lt;undefined&gt;</v>
      </c>
      <c r="I10575" t="str">
        <v>Lutetia (2015) - Sphere / Ocentric</v>
      </c>
      <c r="J10575" t="str">
        <v>Not specified.</v>
      </c>
      <c r="K10575" s="11">
        <v>0</v>
      </c>
    </row>
    <row r="10576" spans="5:11" x14ac:dyDescent="0.35">
      <c r="E10576" s="9" t="str">
        <v>IAU_2015</v>
      </c>
      <c r="F10576" s="7" t="str">
        <v>200002110</v>
      </c>
      <c r="G10576" t="str">
        <v>ProjectedCrs</v>
      </c>
      <c r="H10576" t="str">
        <v>Equidistant Cylindrical</v>
      </c>
      <c r="I10576" t="str">
        <v>Lutetia (2015) - Sphere / Ocentric / Equirectangular, clon = 0</v>
      </c>
      <c r="J10576" t="str">
        <v>Not specified.</v>
      </c>
      <c r="K10576" s="11">
        <v>0</v>
      </c>
    </row>
    <row r="10577" spans="5:11" x14ac:dyDescent="0.35">
      <c r="E10577" s="9" t="str">
        <v>IAU_2015</v>
      </c>
      <c r="F10577" s="7" t="str">
        <v>200002115</v>
      </c>
      <c r="G10577" t="str">
        <v>ProjectedCrs</v>
      </c>
      <c r="H10577" t="str">
        <v>Equidistant Cylindrical</v>
      </c>
      <c r="I10577" t="str">
        <v>Lutetia (2015) - Sphere / Ocentric / Equirectangular, clon = 180</v>
      </c>
      <c r="J10577" t="str">
        <v>Not specified.</v>
      </c>
      <c r="K10577" s="11">
        <v>0</v>
      </c>
    </row>
    <row r="10578" spans="5:11" x14ac:dyDescent="0.35">
      <c r="E10578" s="9" t="str">
        <v>IAU_2015</v>
      </c>
      <c r="F10578" s="7" t="str">
        <v>200002120</v>
      </c>
      <c r="G10578" t="str">
        <v>ProjectedCrs</v>
      </c>
      <c r="H10578" t="str">
        <v>Sinusoidal</v>
      </c>
      <c r="I10578" t="str">
        <v>Lutetia (2015) - Sphere / Ocentric / Sinusoidal, clon = 0</v>
      </c>
      <c r="J10578" t="str">
        <v>Not specified.</v>
      </c>
      <c r="K10578" s="11">
        <v>0</v>
      </c>
    </row>
    <row r="10579" spans="5:11" x14ac:dyDescent="0.35">
      <c r="E10579" s="9" t="str">
        <v>IAU_2015</v>
      </c>
      <c r="F10579" s="7" t="str">
        <v>200002125</v>
      </c>
      <c r="G10579" t="str">
        <v>ProjectedCrs</v>
      </c>
      <c r="H10579" t="str">
        <v>Sinusoidal</v>
      </c>
      <c r="I10579" t="str">
        <v>Lutetia (2015) - Sphere / Ocentric / Sinusoidal, clon = 180</v>
      </c>
      <c r="J10579" t="str">
        <v>Not specified.</v>
      </c>
      <c r="K10579" s="11">
        <v>0</v>
      </c>
    </row>
    <row r="10580" spans="5:11" x14ac:dyDescent="0.35">
      <c r="E10580" s="9" t="str">
        <v>IAU_2015</v>
      </c>
      <c r="F10580" s="7" t="str">
        <v>200002130</v>
      </c>
      <c r="G10580" t="str">
        <v>ProjectedCrs</v>
      </c>
      <c r="H10580" t="str">
        <v>Polar Stereographic (variant A)</v>
      </c>
      <c r="I10580" t="str">
        <v>Lutetia (2015) - Sphere / Ocentric / North Polar</v>
      </c>
      <c r="J10580" t="str">
        <v>Not specified.</v>
      </c>
      <c r="K10580" s="11">
        <v>0</v>
      </c>
    </row>
    <row r="10581" spans="5:11" x14ac:dyDescent="0.35">
      <c r="E10581" s="9" t="str">
        <v>IAU_2015</v>
      </c>
      <c r="F10581" s="7" t="str">
        <v>200002135</v>
      </c>
      <c r="G10581" t="str">
        <v>ProjectedCrs</v>
      </c>
      <c r="H10581" t="str">
        <v>Polar Stereographic (variant A)</v>
      </c>
      <c r="I10581" t="str">
        <v>Lutetia (2015) - Sphere / Ocentric / South Polar</v>
      </c>
      <c r="J10581" t="str">
        <v>Not specified.</v>
      </c>
      <c r="K10581" s="11">
        <v>0</v>
      </c>
    </row>
    <row r="10582" spans="5:11" x14ac:dyDescent="0.35">
      <c r="E10582" s="9" t="str">
        <v>IAU_2015</v>
      </c>
      <c r="F10582" s="7" t="str">
        <v>200002140</v>
      </c>
      <c r="G10582" t="str">
        <v>ProjectedCrs</v>
      </c>
      <c r="H10582" t="str">
        <v>Mollweide</v>
      </c>
      <c r="I10582" t="str">
        <v>Lutetia (2015) - Sphere / Ocentric / Mollweide, clon = 0</v>
      </c>
      <c r="J10582" t="str">
        <v>Not specified.</v>
      </c>
      <c r="K10582" s="11">
        <v>0</v>
      </c>
    </row>
    <row r="10583" spans="5:11" x14ac:dyDescent="0.35">
      <c r="E10583" s="9" t="str">
        <v>IAU_2015</v>
      </c>
      <c r="F10583" s="7" t="str">
        <v>200002145</v>
      </c>
      <c r="G10583" t="str">
        <v>ProjectedCrs</v>
      </c>
      <c r="H10583" t="str">
        <v>Mollweide</v>
      </c>
      <c r="I10583" t="str">
        <v>Lutetia (2015) - Sphere / Ocentric / Mollweide, clon = 180</v>
      </c>
      <c r="J10583" t="str">
        <v>Not specified.</v>
      </c>
      <c r="K10583" s="11">
        <v>0</v>
      </c>
    </row>
    <row r="10584" spans="5:11" x14ac:dyDescent="0.35">
      <c r="E10584" s="9" t="str">
        <v>IAU_2015</v>
      </c>
      <c r="F10584" s="7" t="str">
        <v>200002150</v>
      </c>
      <c r="G10584" t="str">
        <v>ProjectedCrs</v>
      </c>
      <c r="H10584" t="str">
        <v>Robinson</v>
      </c>
      <c r="I10584" t="str">
        <v>Lutetia (2015) - Sphere / Ocentric / Robinson, clon = 0</v>
      </c>
      <c r="J10584" t="str">
        <v>Not specified.</v>
      </c>
      <c r="K10584" s="11">
        <v>0</v>
      </c>
    </row>
    <row r="10585" spans="5:11" x14ac:dyDescent="0.35">
      <c r="E10585" s="9" t="str">
        <v>IAU_2015</v>
      </c>
      <c r="F10585" s="7" t="str">
        <v>200002155</v>
      </c>
      <c r="G10585" t="str">
        <v>ProjectedCrs</v>
      </c>
      <c r="H10585" t="str">
        <v>Robinson</v>
      </c>
      <c r="I10585" t="str">
        <v>Lutetia (2015) - Sphere / Ocentric / Robinson, clon = 180</v>
      </c>
      <c r="J10585" t="str">
        <v>Not specified.</v>
      </c>
      <c r="K10585" s="11">
        <v>0</v>
      </c>
    </row>
    <row r="10586" spans="5:11" x14ac:dyDescent="0.35">
      <c r="E10586" s="9" t="str">
        <v>IAU_2015</v>
      </c>
      <c r="F10586" s="7" t="str">
        <v>200002160</v>
      </c>
      <c r="G10586" t="str">
        <v>ProjectedCrs</v>
      </c>
      <c r="H10586" t="str">
        <v>Transverse Mercator</v>
      </c>
      <c r="I10586" t="str">
        <v>Lutetia (2015) - Sphere / Ocentric / Tranverse Mercator</v>
      </c>
      <c r="J10586" t="str">
        <v>Not specified.</v>
      </c>
      <c r="K10586" s="11">
        <v>0</v>
      </c>
    </row>
    <row r="10587" spans="5:11" x14ac:dyDescent="0.35">
      <c r="E10587" s="9" t="str">
        <v>IAU_2015</v>
      </c>
      <c r="F10587" s="7" t="str">
        <v>200002165</v>
      </c>
      <c r="G10587" t="str">
        <v>ProjectedCrs</v>
      </c>
      <c r="H10587" t="str">
        <v>Orthographic</v>
      </c>
      <c r="I10587" t="str">
        <v>Lutetia (2015) - Sphere / Ocentric / Orthographic, clon = 0</v>
      </c>
      <c r="J10587" t="str">
        <v>Not specified.</v>
      </c>
      <c r="K10587" s="11">
        <v>0</v>
      </c>
    </row>
    <row r="10588" spans="5:11" x14ac:dyDescent="0.35">
      <c r="E10588" s="9" t="str">
        <v>IAU_2015</v>
      </c>
      <c r="F10588" s="7" t="str">
        <v>200002170</v>
      </c>
      <c r="G10588" t="str">
        <v>ProjectedCrs</v>
      </c>
      <c r="H10588" t="str">
        <v>Orthographic</v>
      </c>
      <c r="I10588" t="str">
        <v>Lutetia (2015) - Sphere / Ocentric / Orthographic, clon = 180</v>
      </c>
      <c r="J10588" t="str">
        <v>Not specified.</v>
      </c>
      <c r="K10588" s="11">
        <v>0</v>
      </c>
    </row>
    <row r="10589" spans="5:11" x14ac:dyDescent="0.35">
      <c r="E10589" s="9" t="str">
        <v>IAU_2015</v>
      </c>
      <c r="F10589" s="7" t="str">
        <v>200002175</v>
      </c>
      <c r="G10589" t="str">
        <v>ProjectedCrs</v>
      </c>
      <c r="H10589" t="str">
        <v>Lambert Conic Conformal (2SP)</v>
      </c>
      <c r="I10589" t="str">
        <v>Lutetia (2015) - Sphere / Ocentric / Lambert Conic Conformal</v>
      </c>
      <c r="J10589" t="str">
        <v>Not specified.</v>
      </c>
      <c r="K10589" s="11">
        <v>0</v>
      </c>
    </row>
    <row r="10590" spans="5:11" x14ac:dyDescent="0.35">
      <c r="E10590" s="9" t="str">
        <v>IAU_2015</v>
      </c>
      <c r="F10590" s="7" t="str">
        <v>200002180</v>
      </c>
      <c r="G10590" t="str">
        <v>ProjectedCrs</v>
      </c>
      <c r="H10590" t="str">
        <v>Lambert Azimuthal Equal Area</v>
      </c>
      <c r="I10590" t="str">
        <v>Lutetia (2015) - Sphere / Ocentric / Lambert Azimuthal Equal Area</v>
      </c>
      <c r="J10590" t="str">
        <v>Not specified.</v>
      </c>
      <c r="K10590" s="11">
        <v>0</v>
      </c>
    </row>
    <row r="10591" spans="5:11" x14ac:dyDescent="0.35">
      <c r="E10591" s="9" t="str">
        <v>IAU_2015</v>
      </c>
      <c r="F10591" s="7" t="str">
        <v>200002185</v>
      </c>
      <c r="G10591" t="str">
        <v>ProjectedCrs</v>
      </c>
      <c r="H10591" t="str">
        <v>Albers Equal Area</v>
      </c>
      <c r="I10591" t="str">
        <v>Lutetia (2015) - Sphere / Ocentric / Albers Equal Area</v>
      </c>
      <c r="J10591" t="str">
        <v>Not specified.</v>
      </c>
      <c r="K10591" s="11">
        <v>0</v>
      </c>
    </row>
    <row r="10592" spans="5:11" x14ac:dyDescent="0.35">
      <c r="E10592" s="9" t="str">
        <v>IAU_2015</v>
      </c>
      <c r="F10592" s="7" t="str">
        <v>200002190</v>
      </c>
      <c r="G10592" t="str">
        <v>ProjectedCrs</v>
      </c>
      <c r="H10592" t="str">
        <v>Mercator (Spherical)</v>
      </c>
      <c r="I10592" t="str">
        <v>Lutetia (2015) - Sphere / Ocentric / Mercator</v>
      </c>
      <c r="J10592" t="str">
        <v>Not specified.</v>
      </c>
      <c r="K10592" s="11">
        <v>0</v>
      </c>
    </row>
    <row r="10593" spans="5:11" x14ac:dyDescent="0.35">
      <c r="E10593" s="9" t="str">
        <v>IAU_2015</v>
      </c>
      <c r="F10593" s="7" t="str">
        <v>200005200</v>
      </c>
      <c r="G10593" t="str">
        <v>Geographic2DCrs</v>
      </c>
      <c r="H10593" t="str">
        <v>&lt;undefined&gt;</v>
      </c>
      <c r="I10593" t="str">
        <v>52 Europa (2015) - Sphere / Ocentric</v>
      </c>
      <c r="J10593" t="str">
        <v>Not specified.</v>
      </c>
      <c r="K10593" s="11">
        <v>0</v>
      </c>
    </row>
    <row r="10594" spans="5:11" x14ac:dyDescent="0.35">
      <c r="E10594" s="9" t="str">
        <v>IAU_2015</v>
      </c>
      <c r="F10594" s="7" t="str">
        <v>200005210</v>
      </c>
      <c r="G10594" t="str">
        <v>ProjectedCrs</v>
      </c>
      <c r="H10594" t="str">
        <v>Equidistant Cylindrical</v>
      </c>
      <c r="I10594" t="str">
        <v>52 Europa (2015) - Sphere / Ocentric / Equirectangular, clon = 0</v>
      </c>
      <c r="J10594" t="str">
        <v>Not specified.</v>
      </c>
      <c r="K10594" s="11">
        <v>0</v>
      </c>
    </row>
    <row r="10595" spans="5:11" x14ac:dyDescent="0.35">
      <c r="E10595" s="9" t="str">
        <v>IAU_2015</v>
      </c>
      <c r="F10595" s="7" t="str">
        <v>200005215</v>
      </c>
      <c r="G10595" t="str">
        <v>ProjectedCrs</v>
      </c>
      <c r="H10595" t="str">
        <v>Equidistant Cylindrical</v>
      </c>
      <c r="I10595" t="str">
        <v>52 Europa (2015) - Sphere / Ocentric / Equirectangular, clon = 180</v>
      </c>
      <c r="J10595" t="str">
        <v>Not specified.</v>
      </c>
      <c r="K10595" s="11">
        <v>0</v>
      </c>
    </row>
    <row r="10596" spans="5:11" x14ac:dyDescent="0.35">
      <c r="E10596" s="9" t="str">
        <v>IAU_2015</v>
      </c>
      <c r="F10596" s="7" t="str">
        <v>200005220</v>
      </c>
      <c r="G10596" t="str">
        <v>ProjectedCrs</v>
      </c>
      <c r="H10596" t="str">
        <v>Sinusoidal</v>
      </c>
      <c r="I10596" t="str">
        <v>52 Europa (2015) - Sphere / Ocentric / Sinusoidal, clon = 0</v>
      </c>
      <c r="J10596" t="str">
        <v>Not specified.</v>
      </c>
      <c r="K10596" s="11">
        <v>0</v>
      </c>
    </row>
    <row r="10597" spans="5:11" x14ac:dyDescent="0.35">
      <c r="E10597" s="9" t="str">
        <v>IAU_2015</v>
      </c>
      <c r="F10597" s="7" t="str">
        <v>200005225</v>
      </c>
      <c r="G10597" t="str">
        <v>ProjectedCrs</v>
      </c>
      <c r="H10597" t="str">
        <v>Sinusoidal</v>
      </c>
      <c r="I10597" t="str">
        <v>52 Europa (2015) - Sphere / Ocentric / Sinusoidal, clon = 180</v>
      </c>
      <c r="J10597" t="str">
        <v>Not specified.</v>
      </c>
      <c r="K10597" s="11">
        <v>0</v>
      </c>
    </row>
    <row r="10598" spans="5:11" x14ac:dyDescent="0.35">
      <c r="E10598" s="9" t="str">
        <v>IAU_2015</v>
      </c>
      <c r="F10598" s="7" t="str">
        <v>200005230</v>
      </c>
      <c r="G10598" t="str">
        <v>ProjectedCrs</v>
      </c>
      <c r="H10598" t="str">
        <v>Polar Stereographic (variant A)</v>
      </c>
      <c r="I10598" t="str">
        <v>52 Europa (2015) - Sphere / Ocentric / North Polar</v>
      </c>
      <c r="J10598" t="str">
        <v>Not specified.</v>
      </c>
      <c r="K10598" s="11">
        <v>0</v>
      </c>
    </row>
    <row r="10599" spans="5:11" x14ac:dyDescent="0.35">
      <c r="E10599" s="9" t="str">
        <v>IAU_2015</v>
      </c>
      <c r="F10599" s="7" t="str">
        <v>200005235</v>
      </c>
      <c r="G10599" t="str">
        <v>ProjectedCrs</v>
      </c>
      <c r="H10599" t="str">
        <v>Polar Stereographic (variant A)</v>
      </c>
      <c r="I10599" t="str">
        <v>52 Europa (2015) - Sphere / Ocentric / South Polar</v>
      </c>
      <c r="J10599" t="str">
        <v>Not specified.</v>
      </c>
      <c r="K10599" s="11">
        <v>0</v>
      </c>
    </row>
    <row r="10600" spans="5:11" x14ac:dyDescent="0.35">
      <c r="E10600" s="9" t="str">
        <v>IAU_2015</v>
      </c>
      <c r="F10600" s="7" t="str">
        <v>200005240</v>
      </c>
      <c r="G10600" t="str">
        <v>ProjectedCrs</v>
      </c>
      <c r="H10600" t="str">
        <v>Mollweide</v>
      </c>
      <c r="I10600" t="str">
        <v>52 Europa (2015) - Sphere / Ocentric / Mollweide, clon = 0</v>
      </c>
      <c r="J10600" t="str">
        <v>Not specified.</v>
      </c>
      <c r="K10600" s="11">
        <v>0</v>
      </c>
    </row>
    <row r="10601" spans="5:11" x14ac:dyDescent="0.35">
      <c r="E10601" s="9" t="str">
        <v>IAU_2015</v>
      </c>
      <c r="F10601" s="7" t="str">
        <v>200005245</v>
      </c>
      <c r="G10601" t="str">
        <v>ProjectedCrs</v>
      </c>
      <c r="H10601" t="str">
        <v>Mollweide</v>
      </c>
      <c r="I10601" t="str">
        <v>52 Europa (2015) - Sphere / Ocentric / Mollweide, clon = 180</v>
      </c>
      <c r="J10601" t="str">
        <v>Not specified.</v>
      </c>
      <c r="K10601" s="11">
        <v>0</v>
      </c>
    </row>
    <row r="10602" spans="5:11" x14ac:dyDescent="0.35">
      <c r="E10602" s="9" t="str">
        <v>IAU_2015</v>
      </c>
      <c r="F10602" s="7" t="str">
        <v>200005250</v>
      </c>
      <c r="G10602" t="str">
        <v>ProjectedCrs</v>
      </c>
      <c r="H10602" t="str">
        <v>Robinson</v>
      </c>
      <c r="I10602" t="str">
        <v>52 Europa (2015) - Sphere / Ocentric / Robinson, clon = 0</v>
      </c>
      <c r="J10602" t="str">
        <v>Not specified.</v>
      </c>
      <c r="K10602" s="11">
        <v>0</v>
      </c>
    </row>
    <row r="10603" spans="5:11" x14ac:dyDescent="0.35">
      <c r="E10603" s="9" t="str">
        <v>IAU_2015</v>
      </c>
      <c r="F10603" s="7" t="str">
        <v>200005255</v>
      </c>
      <c r="G10603" t="str">
        <v>ProjectedCrs</v>
      </c>
      <c r="H10603" t="str">
        <v>Robinson</v>
      </c>
      <c r="I10603" t="str">
        <v>52 Europa (2015) - Sphere / Ocentric / Robinson, clon = 180</v>
      </c>
      <c r="J10603" t="str">
        <v>Not specified.</v>
      </c>
      <c r="K10603" s="11">
        <v>0</v>
      </c>
    </row>
    <row r="10604" spans="5:11" x14ac:dyDescent="0.35">
      <c r="E10604" s="9" t="str">
        <v>IAU_2015</v>
      </c>
      <c r="F10604" s="7" t="str">
        <v>200005260</v>
      </c>
      <c r="G10604" t="str">
        <v>ProjectedCrs</v>
      </c>
      <c r="H10604" t="str">
        <v>Transverse Mercator</v>
      </c>
      <c r="I10604" t="str">
        <v>52 Europa (2015) - Sphere / Ocentric / Tranverse Mercator</v>
      </c>
      <c r="J10604" t="str">
        <v>Not specified.</v>
      </c>
      <c r="K10604" s="11">
        <v>0</v>
      </c>
    </row>
    <row r="10605" spans="5:11" x14ac:dyDescent="0.35">
      <c r="E10605" s="9" t="str">
        <v>IAU_2015</v>
      </c>
      <c r="F10605" s="7" t="str">
        <v>200005265</v>
      </c>
      <c r="G10605" t="str">
        <v>ProjectedCrs</v>
      </c>
      <c r="H10605" t="str">
        <v>Orthographic</v>
      </c>
      <c r="I10605" t="str">
        <v>52 Europa (2015) - Sphere / Ocentric / Orthographic, clon = 0</v>
      </c>
      <c r="J10605" t="str">
        <v>Not specified.</v>
      </c>
      <c r="K10605" s="11">
        <v>0</v>
      </c>
    </row>
    <row r="10606" spans="5:11" x14ac:dyDescent="0.35">
      <c r="E10606" s="9" t="str">
        <v>IAU_2015</v>
      </c>
      <c r="F10606" s="7" t="str">
        <v>200005270</v>
      </c>
      <c r="G10606" t="str">
        <v>ProjectedCrs</v>
      </c>
      <c r="H10606" t="str">
        <v>Orthographic</v>
      </c>
      <c r="I10606" t="str">
        <v>52 Europa (2015) - Sphere / Ocentric / Orthographic, clon = 180</v>
      </c>
      <c r="J10606" t="str">
        <v>Not specified.</v>
      </c>
      <c r="K10606" s="11">
        <v>0</v>
      </c>
    </row>
    <row r="10607" spans="5:11" x14ac:dyDescent="0.35">
      <c r="E10607" s="9" t="str">
        <v>IAU_2015</v>
      </c>
      <c r="F10607" s="7" t="str">
        <v>200005275</v>
      </c>
      <c r="G10607" t="str">
        <v>ProjectedCrs</v>
      </c>
      <c r="H10607" t="str">
        <v>Lambert Conic Conformal (2SP)</v>
      </c>
      <c r="I10607" t="str">
        <v>52 Europa (2015) - Sphere / Ocentric / Lambert Conic Conformal</v>
      </c>
      <c r="J10607" t="str">
        <v>Not specified.</v>
      </c>
      <c r="K10607" s="11">
        <v>0</v>
      </c>
    </row>
    <row r="10608" spans="5:11" x14ac:dyDescent="0.35">
      <c r="E10608" s="9" t="str">
        <v>IAU_2015</v>
      </c>
      <c r="F10608" s="7" t="str">
        <v>200005280</v>
      </c>
      <c r="G10608" t="str">
        <v>ProjectedCrs</v>
      </c>
      <c r="H10608" t="str">
        <v>Lambert Azimuthal Equal Area</v>
      </c>
      <c r="I10608" t="str">
        <v>52 Europa (2015) - Sphere / Ocentric / Lambert Azimuthal Equal Area</v>
      </c>
      <c r="J10608" t="str">
        <v>Not specified.</v>
      </c>
      <c r="K10608" s="11">
        <v>0</v>
      </c>
    </row>
    <row r="10609" spans="5:11" x14ac:dyDescent="0.35">
      <c r="E10609" s="9" t="str">
        <v>IAU_2015</v>
      </c>
      <c r="F10609" s="7" t="str">
        <v>200005285</v>
      </c>
      <c r="G10609" t="str">
        <v>ProjectedCrs</v>
      </c>
      <c r="H10609" t="str">
        <v>Albers Equal Area</v>
      </c>
      <c r="I10609" t="str">
        <v>52 Europa (2015) - Sphere / Ocentric / Albers Equal Area</v>
      </c>
      <c r="J10609" t="str">
        <v>Not specified.</v>
      </c>
      <c r="K10609" s="11">
        <v>0</v>
      </c>
    </row>
    <row r="10610" spans="5:11" x14ac:dyDescent="0.35">
      <c r="E10610" s="9" t="str">
        <v>IAU_2015</v>
      </c>
      <c r="F10610" s="7" t="str">
        <v>200005290</v>
      </c>
      <c r="G10610" t="str">
        <v>ProjectedCrs</v>
      </c>
      <c r="H10610" t="str">
        <v>Mercator (Spherical)</v>
      </c>
      <c r="I10610" t="str">
        <v>52 Europa (2015) - Sphere / Ocentric / Mercator</v>
      </c>
      <c r="J10610" t="str">
        <v>Not specified.</v>
      </c>
      <c r="K10610" s="11">
        <v>0</v>
      </c>
    </row>
    <row r="10611" spans="5:11" x14ac:dyDescent="0.35">
      <c r="E10611" s="9" t="str">
        <v>IAU_2015</v>
      </c>
      <c r="F10611" s="7" t="str">
        <v>200021600</v>
      </c>
      <c r="G10611" t="str">
        <v>Geographic2DCrs</v>
      </c>
      <c r="H10611" t="str">
        <v>&lt;undefined&gt;</v>
      </c>
      <c r="I10611" t="str">
        <v>Kleopatra (2015) - Sphere / Ocentric</v>
      </c>
      <c r="J10611" t="str">
        <v>Not specified.</v>
      </c>
      <c r="K10611" s="11">
        <v>0</v>
      </c>
    </row>
    <row r="10612" spans="5:11" x14ac:dyDescent="0.35">
      <c r="E10612" s="9" t="str">
        <v>IAU_2015</v>
      </c>
      <c r="F10612" s="7" t="str">
        <v>200021610</v>
      </c>
      <c r="G10612" t="str">
        <v>ProjectedCrs</v>
      </c>
      <c r="H10612" t="str">
        <v>Equidistant Cylindrical</v>
      </c>
      <c r="I10612" t="str">
        <v>Kleopatra (2015) - Sphere / Ocentric / Equirectangular, clon = 0</v>
      </c>
      <c r="J10612" t="str">
        <v>Not specified.</v>
      </c>
      <c r="K10612" s="11">
        <v>0</v>
      </c>
    </row>
    <row r="10613" spans="5:11" x14ac:dyDescent="0.35">
      <c r="E10613" s="9" t="str">
        <v>IAU_2015</v>
      </c>
      <c r="F10613" s="7" t="str">
        <v>200021615</v>
      </c>
      <c r="G10613" t="str">
        <v>ProjectedCrs</v>
      </c>
      <c r="H10613" t="str">
        <v>Equidistant Cylindrical</v>
      </c>
      <c r="I10613" t="str">
        <v>Kleopatra (2015) - Sphere / Ocentric / Equirectangular, clon = 180</v>
      </c>
      <c r="J10613" t="str">
        <v>Not specified.</v>
      </c>
      <c r="K10613" s="11">
        <v>0</v>
      </c>
    </row>
    <row r="10614" spans="5:11" x14ac:dyDescent="0.35">
      <c r="E10614" s="9" t="str">
        <v>IAU_2015</v>
      </c>
      <c r="F10614" s="7" t="str">
        <v>200021620</v>
      </c>
      <c r="G10614" t="str">
        <v>ProjectedCrs</v>
      </c>
      <c r="H10614" t="str">
        <v>Sinusoidal</v>
      </c>
      <c r="I10614" t="str">
        <v>Kleopatra (2015) - Sphere / Ocentric / Sinusoidal, clon = 0</v>
      </c>
      <c r="J10614" t="str">
        <v>Not specified.</v>
      </c>
      <c r="K10614" s="11">
        <v>0</v>
      </c>
    </row>
    <row r="10615" spans="5:11" x14ac:dyDescent="0.35">
      <c r="E10615" s="9" t="str">
        <v>IAU_2015</v>
      </c>
      <c r="F10615" s="7" t="str">
        <v>200021625</v>
      </c>
      <c r="G10615" t="str">
        <v>ProjectedCrs</v>
      </c>
      <c r="H10615" t="str">
        <v>Sinusoidal</v>
      </c>
      <c r="I10615" t="str">
        <v>Kleopatra (2015) - Sphere / Ocentric / Sinusoidal, clon = 180</v>
      </c>
      <c r="J10615" t="str">
        <v>Not specified.</v>
      </c>
      <c r="K10615" s="11">
        <v>0</v>
      </c>
    </row>
    <row r="10616" spans="5:11" x14ac:dyDescent="0.35">
      <c r="E10616" s="9" t="str">
        <v>IAU_2015</v>
      </c>
      <c r="F10616" s="7" t="str">
        <v>200021630</v>
      </c>
      <c r="G10616" t="str">
        <v>ProjectedCrs</v>
      </c>
      <c r="H10616" t="str">
        <v>Polar Stereographic (variant A)</v>
      </c>
      <c r="I10616" t="str">
        <v>Kleopatra (2015) - Sphere / Ocentric / North Polar</v>
      </c>
      <c r="J10616" t="str">
        <v>Not specified.</v>
      </c>
      <c r="K10616" s="11">
        <v>0</v>
      </c>
    </row>
    <row r="10617" spans="5:11" x14ac:dyDescent="0.35">
      <c r="E10617" s="9" t="str">
        <v>IAU_2015</v>
      </c>
      <c r="F10617" s="7" t="str">
        <v>200021635</v>
      </c>
      <c r="G10617" t="str">
        <v>ProjectedCrs</v>
      </c>
      <c r="H10617" t="str">
        <v>Polar Stereographic (variant A)</v>
      </c>
      <c r="I10617" t="str">
        <v>Kleopatra (2015) - Sphere / Ocentric / South Polar</v>
      </c>
      <c r="J10617" t="str">
        <v>Not specified.</v>
      </c>
      <c r="K10617" s="11">
        <v>0</v>
      </c>
    </row>
    <row r="10618" spans="5:11" x14ac:dyDescent="0.35">
      <c r="E10618" s="9" t="str">
        <v>IAU_2015</v>
      </c>
      <c r="F10618" s="7" t="str">
        <v>200021640</v>
      </c>
      <c r="G10618" t="str">
        <v>ProjectedCrs</v>
      </c>
      <c r="H10618" t="str">
        <v>Mollweide</v>
      </c>
      <c r="I10618" t="str">
        <v>Kleopatra (2015) - Sphere / Ocentric / Mollweide, clon = 0</v>
      </c>
      <c r="J10618" t="str">
        <v>Not specified.</v>
      </c>
      <c r="K10618" s="11">
        <v>0</v>
      </c>
    </row>
    <row r="10619" spans="5:11" x14ac:dyDescent="0.35">
      <c r="E10619" s="9" t="str">
        <v>IAU_2015</v>
      </c>
      <c r="F10619" s="7" t="str">
        <v>200021645</v>
      </c>
      <c r="G10619" t="str">
        <v>ProjectedCrs</v>
      </c>
      <c r="H10619" t="str">
        <v>Mollweide</v>
      </c>
      <c r="I10619" t="str">
        <v>Kleopatra (2015) - Sphere / Ocentric / Mollweide, clon = 180</v>
      </c>
      <c r="J10619" t="str">
        <v>Not specified.</v>
      </c>
      <c r="K10619" s="11">
        <v>0</v>
      </c>
    </row>
    <row r="10620" spans="5:11" x14ac:dyDescent="0.35">
      <c r="E10620" s="9" t="str">
        <v>IAU_2015</v>
      </c>
      <c r="F10620" s="7" t="str">
        <v>200021650</v>
      </c>
      <c r="G10620" t="str">
        <v>ProjectedCrs</v>
      </c>
      <c r="H10620" t="str">
        <v>Robinson</v>
      </c>
      <c r="I10620" t="str">
        <v>Kleopatra (2015) - Sphere / Ocentric / Robinson, clon = 0</v>
      </c>
      <c r="J10620" t="str">
        <v>Not specified.</v>
      </c>
      <c r="K10620" s="11">
        <v>0</v>
      </c>
    </row>
    <row r="10621" spans="5:11" x14ac:dyDescent="0.35">
      <c r="E10621" s="9" t="str">
        <v>IAU_2015</v>
      </c>
      <c r="F10621" s="7" t="str">
        <v>200021655</v>
      </c>
      <c r="G10621" t="str">
        <v>ProjectedCrs</v>
      </c>
      <c r="H10621" t="str">
        <v>Robinson</v>
      </c>
      <c r="I10621" t="str">
        <v>Kleopatra (2015) - Sphere / Ocentric / Robinson, clon = 180</v>
      </c>
      <c r="J10621" t="str">
        <v>Not specified.</v>
      </c>
      <c r="K10621" s="11">
        <v>0</v>
      </c>
    </row>
    <row r="10622" spans="5:11" x14ac:dyDescent="0.35">
      <c r="E10622" s="9" t="str">
        <v>IAU_2015</v>
      </c>
      <c r="F10622" s="7" t="str">
        <v>200021660</v>
      </c>
      <c r="G10622" t="str">
        <v>ProjectedCrs</v>
      </c>
      <c r="H10622" t="str">
        <v>Transverse Mercator</v>
      </c>
      <c r="I10622" t="str">
        <v>Kleopatra (2015) - Sphere / Ocentric / Tranverse Mercator</v>
      </c>
      <c r="J10622" t="str">
        <v>Not specified.</v>
      </c>
      <c r="K10622" s="11">
        <v>0</v>
      </c>
    </row>
    <row r="10623" spans="5:11" x14ac:dyDescent="0.35">
      <c r="E10623" s="9" t="str">
        <v>IAU_2015</v>
      </c>
      <c r="F10623" s="7" t="str">
        <v>200021665</v>
      </c>
      <c r="G10623" t="str">
        <v>ProjectedCrs</v>
      </c>
      <c r="H10623" t="str">
        <v>Orthographic</v>
      </c>
      <c r="I10623" t="str">
        <v>Kleopatra (2015) - Sphere / Ocentric / Orthographic, clon = 0</v>
      </c>
      <c r="J10623" t="str">
        <v>Not specified.</v>
      </c>
      <c r="K10623" s="11">
        <v>0</v>
      </c>
    </row>
    <row r="10624" spans="5:11" x14ac:dyDescent="0.35">
      <c r="E10624" s="9" t="str">
        <v>IAU_2015</v>
      </c>
      <c r="F10624" s="7" t="str">
        <v>200021670</v>
      </c>
      <c r="G10624" t="str">
        <v>ProjectedCrs</v>
      </c>
      <c r="H10624" t="str">
        <v>Orthographic</v>
      </c>
      <c r="I10624" t="str">
        <v>Kleopatra (2015) - Sphere / Ocentric / Orthographic, clon = 180</v>
      </c>
      <c r="J10624" t="str">
        <v>Not specified.</v>
      </c>
      <c r="K10624" s="11">
        <v>0</v>
      </c>
    </row>
    <row r="10625" spans="5:11" x14ac:dyDescent="0.35">
      <c r="E10625" s="9" t="str">
        <v>IAU_2015</v>
      </c>
      <c r="F10625" s="7" t="str">
        <v>200021675</v>
      </c>
      <c r="G10625" t="str">
        <v>ProjectedCrs</v>
      </c>
      <c r="H10625" t="str">
        <v>Lambert Conic Conformal (2SP)</v>
      </c>
      <c r="I10625" t="str">
        <v>Kleopatra (2015) - Sphere / Ocentric / Lambert Conic Conformal</v>
      </c>
      <c r="J10625" t="str">
        <v>Not specified.</v>
      </c>
      <c r="K10625" s="11">
        <v>0</v>
      </c>
    </row>
    <row r="10626" spans="5:11" x14ac:dyDescent="0.35">
      <c r="E10626" s="9" t="str">
        <v>IAU_2015</v>
      </c>
      <c r="F10626" s="7" t="str">
        <v>200021680</v>
      </c>
      <c r="G10626" t="str">
        <v>ProjectedCrs</v>
      </c>
      <c r="H10626" t="str">
        <v>Lambert Azimuthal Equal Area</v>
      </c>
      <c r="I10626" t="str">
        <v>Kleopatra (2015) - Sphere / Ocentric / Lambert Azimuthal Equal Area</v>
      </c>
      <c r="J10626" t="str">
        <v>Not specified.</v>
      </c>
      <c r="K10626" s="11">
        <v>0</v>
      </c>
    </row>
    <row r="10627" spans="5:11" x14ac:dyDescent="0.35">
      <c r="E10627" s="9" t="str">
        <v>IAU_2015</v>
      </c>
      <c r="F10627" s="7" t="str">
        <v>200021685</v>
      </c>
      <c r="G10627" t="str">
        <v>ProjectedCrs</v>
      </c>
      <c r="H10627" t="str">
        <v>Albers Equal Area</v>
      </c>
      <c r="I10627" t="str">
        <v>Kleopatra (2015) - Sphere / Ocentric / Albers Equal Area</v>
      </c>
      <c r="J10627" t="str">
        <v>Not specified.</v>
      </c>
      <c r="K10627" s="11">
        <v>0</v>
      </c>
    </row>
    <row r="10628" spans="5:11" x14ac:dyDescent="0.35">
      <c r="E10628" s="9" t="str">
        <v>IAU_2015</v>
      </c>
      <c r="F10628" s="7" t="str">
        <v>200021690</v>
      </c>
      <c r="G10628" t="str">
        <v>ProjectedCrs</v>
      </c>
      <c r="H10628" t="str">
        <v>Mercator (Spherical)</v>
      </c>
      <c r="I10628" t="str">
        <v>Kleopatra (2015) - Sphere / Ocentric / Mercator</v>
      </c>
      <c r="J10628" t="str">
        <v>Not specified.</v>
      </c>
      <c r="K10628" s="11">
        <v>0</v>
      </c>
    </row>
    <row r="10629" spans="5:11" x14ac:dyDescent="0.35">
      <c r="E10629" s="9" t="str">
        <v>IAU_2015</v>
      </c>
      <c r="F10629" s="7" t="str">
        <v>200025300</v>
      </c>
      <c r="G10629" t="str">
        <v>Geographic2DCrs</v>
      </c>
      <c r="H10629" t="str">
        <v>&lt;undefined&gt;</v>
      </c>
      <c r="I10629" t="str">
        <v>Mathilde (2015) - Sphere / Ocentric</v>
      </c>
      <c r="J10629" t="str">
        <v>Not specified.</v>
      </c>
      <c r="K10629" s="11">
        <v>0</v>
      </c>
    </row>
    <row r="10630" spans="5:11" x14ac:dyDescent="0.35">
      <c r="E10630" s="9" t="str">
        <v>IAU_2015</v>
      </c>
      <c r="F10630" s="7" t="str">
        <v>200025310</v>
      </c>
      <c r="G10630" t="str">
        <v>ProjectedCrs</v>
      </c>
      <c r="H10630" t="str">
        <v>Equidistant Cylindrical</v>
      </c>
      <c r="I10630" t="str">
        <v>Mathilde (2015) - Sphere / Ocentric / Equirectangular, clon = 0</v>
      </c>
      <c r="J10630" t="str">
        <v>Not specified.</v>
      </c>
      <c r="K10630" s="11">
        <v>0</v>
      </c>
    </row>
    <row r="10631" spans="5:11" x14ac:dyDescent="0.35">
      <c r="E10631" s="9" t="str">
        <v>IAU_2015</v>
      </c>
      <c r="F10631" s="7" t="str">
        <v>200025315</v>
      </c>
      <c r="G10631" t="str">
        <v>ProjectedCrs</v>
      </c>
      <c r="H10631" t="str">
        <v>Equidistant Cylindrical</v>
      </c>
      <c r="I10631" t="str">
        <v>Mathilde (2015) - Sphere / Ocentric / Equirectangular, clon = 180</v>
      </c>
      <c r="J10631" t="str">
        <v>Not specified.</v>
      </c>
      <c r="K10631" s="11">
        <v>0</v>
      </c>
    </row>
    <row r="10632" spans="5:11" x14ac:dyDescent="0.35">
      <c r="E10632" s="9" t="str">
        <v>IAU_2015</v>
      </c>
      <c r="F10632" s="7" t="str">
        <v>200025320</v>
      </c>
      <c r="G10632" t="str">
        <v>ProjectedCrs</v>
      </c>
      <c r="H10632" t="str">
        <v>Sinusoidal</v>
      </c>
      <c r="I10632" t="str">
        <v>Mathilde (2015) - Sphere / Ocentric / Sinusoidal, clon = 0</v>
      </c>
      <c r="J10632" t="str">
        <v>Not specified.</v>
      </c>
      <c r="K10632" s="11">
        <v>0</v>
      </c>
    </row>
    <row r="10633" spans="5:11" x14ac:dyDescent="0.35">
      <c r="E10633" s="9" t="str">
        <v>IAU_2015</v>
      </c>
      <c r="F10633" s="7" t="str">
        <v>200025325</v>
      </c>
      <c r="G10633" t="str">
        <v>ProjectedCrs</v>
      </c>
      <c r="H10633" t="str">
        <v>Sinusoidal</v>
      </c>
      <c r="I10633" t="str">
        <v>Mathilde (2015) - Sphere / Ocentric / Sinusoidal, clon = 180</v>
      </c>
      <c r="J10633" t="str">
        <v>Not specified.</v>
      </c>
      <c r="K10633" s="11">
        <v>0</v>
      </c>
    </row>
    <row r="10634" spans="5:11" x14ac:dyDescent="0.35">
      <c r="E10634" s="9" t="str">
        <v>IAU_2015</v>
      </c>
      <c r="F10634" s="7" t="str">
        <v>200025330</v>
      </c>
      <c r="G10634" t="str">
        <v>ProjectedCrs</v>
      </c>
      <c r="H10634" t="str">
        <v>Polar Stereographic (variant A)</v>
      </c>
      <c r="I10634" t="str">
        <v>Mathilde (2015) - Sphere / Ocentric / North Polar</v>
      </c>
      <c r="J10634" t="str">
        <v>Not specified.</v>
      </c>
      <c r="K10634" s="11">
        <v>0</v>
      </c>
    </row>
    <row r="10635" spans="5:11" x14ac:dyDescent="0.35">
      <c r="E10635" s="9" t="str">
        <v>IAU_2015</v>
      </c>
      <c r="F10635" s="7" t="str">
        <v>200025335</v>
      </c>
      <c r="G10635" t="str">
        <v>ProjectedCrs</v>
      </c>
      <c r="H10635" t="str">
        <v>Polar Stereographic (variant A)</v>
      </c>
      <c r="I10635" t="str">
        <v>Mathilde (2015) - Sphere / Ocentric / South Polar</v>
      </c>
      <c r="J10635" t="str">
        <v>Not specified.</v>
      </c>
      <c r="K10635" s="11">
        <v>0</v>
      </c>
    </row>
    <row r="10636" spans="5:11" x14ac:dyDescent="0.35">
      <c r="E10636" s="9" t="str">
        <v>IAU_2015</v>
      </c>
      <c r="F10636" s="7" t="str">
        <v>200025340</v>
      </c>
      <c r="G10636" t="str">
        <v>ProjectedCrs</v>
      </c>
      <c r="H10636" t="str">
        <v>Mollweide</v>
      </c>
      <c r="I10636" t="str">
        <v>Mathilde (2015) - Sphere / Ocentric / Mollweide, clon = 0</v>
      </c>
      <c r="J10636" t="str">
        <v>Not specified.</v>
      </c>
      <c r="K10636" s="11">
        <v>0</v>
      </c>
    </row>
    <row r="10637" spans="5:11" x14ac:dyDescent="0.35">
      <c r="E10637" s="9" t="str">
        <v>IAU_2015</v>
      </c>
      <c r="F10637" s="7" t="str">
        <v>200025345</v>
      </c>
      <c r="G10637" t="str">
        <v>ProjectedCrs</v>
      </c>
      <c r="H10637" t="str">
        <v>Mollweide</v>
      </c>
      <c r="I10637" t="str">
        <v>Mathilde (2015) - Sphere / Ocentric / Mollweide, clon = 180</v>
      </c>
      <c r="J10637" t="str">
        <v>Not specified.</v>
      </c>
      <c r="K10637" s="11">
        <v>0</v>
      </c>
    </row>
    <row r="10638" spans="5:11" x14ac:dyDescent="0.35">
      <c r="E10638" s="9" t="str">
        <v>IAU_2015</v>
      </c>
      <c r="F10638" s="7" t="str">
        <v>200025350</v>
      </c>
      <c r="G10638" t="str">
        <v>ProjectedCrs</v>
      </c>
      <c r="H10638" t="str">
        <v>Robinson</v>
      </c>
      <c r="I10638" t="str">
        <v>Mathilde (2015) - Sphere / Ocentric / Robinson, clon = 0</v>
      </c>
      <c r="J10638" t="str">
        <v>Not specified.</v>
      </c>
      <c r="K10638" s="11">
        <v>0</v>
      </c>
    </row>
    <row r="10639" spans="5:11" x14ac:dyDescent="0.35">
      <c r="E10639" s="9" t="str">
        <v>IAU_2015</v>
      </c>
      <c r="F10639" s="7" t="str">
        <v>200025355</v>
      </c>
      <c r="G10639" t="str">
        <v>ProjectedCrs</v>
      </c>
      <c r="H10639" t="str">
        <v>Robinson</v>
      </c>
      <c r="I10639" t="str">
        <v>Mathilde (2015) - Sphere / Ocentric / Robinson, clon = 180</v>
      </c>
      <c r="J10639" t="str">
        <v>Not specified.</v>
      </c>
      <c r="K10639" s="11">
        <v>0</v>
      </c>
    </row>
    <row r="10640" spans="5:11" x14ac:dyDescent="0.35">
      <c r="E10640" s="9" t="str">
        <v>IAU_2015</v>
      </c>
      <c r="F10640" s="7" t="str">
        <v>200025360</v>
      </c>
      <c r="G10640" t="str">
        <v>ProjectedCrs</v>
      </c>
      <c r="H10640" t="str">
        <v>Transverse Mercator</v>
      </c>
      <c r="I10640" t="str">
        <v>Mathilde (2015) - Sphere / Ocentric / Tranverse Mercator</v>
      </c>
      <c r="J10640" t="str">
        <v>Not specified.</v>
      </c>
      <c r="K10640" s="11">
        <v>0</v>
      </c>
    </row>
    <row r="10641" spans="5:11" x14ac:dyDescent="0.35">
      <c r="E10641" s="9" t="str">
        <v>IAU_2015</v>
      </c>
      <c r="F10641" s="7" t="str">
        <v>200025365</v>
      </c>
      <c r="G10641" t="str">
        <v>ProjectedCrs</v>
      </c>
      <c r="H10641" t="str">
        <v>Orthographic</v>
      </c>
      <c r="I10641" t="str">
        <v>Mathilde (2015) - Sphere / Ocentric / Orthographic, clon = 0</v>
      </c>
      <c r="J10641" t="str">
        <v>Not specified.</v>
      </c>
      <c r="K10641" s="11">
        <v>0</v>
      </c>
    </row>
    <row r="10642" spans="5:11" x14ac:dyDescent="0.35">
      <c r="E10642" s="9" t="str">
        <v>IAU_2015</v>
      </c>
      <c r="F10642" s="7" t="str">
        <v>200025370</v>
      </c>
      <c r="G10642" t="str">
        <v>ProjectedCrs</v>
      </c>
      <c r="H10642" t="str">
        <v>Orthographic</v>
      </c>
      <c r="I10642" t="str">
        <v>Mathilde (2015) - Sphere / Ocentric / Orthographic, clon = 180</v>
      </c>
      <c r="J10642" t="str">
        <v>Not specified.</v>
      </c>
      <c r="K10642" s="11">
        <v>0</v>
      </c>
    </row>
    <row r="10643" spans="5:11" x14ac:dyDescent="0.35">
      <c r="E10643" s="9" t="str">
        <v>IAU_2015</v>
      </c>
      <c r="F10643" s="7" t="str">
        <v>200025375</v>
      </c>
      <c r="G10643" t="str">
        <v>ProjectedCrs</v>
      </c>
      <c r="H10643" t="str">
        <v>Lambert Conic Conformal (2SP)</v>
      </c>
      <c r="I10643" t="str">
        <v>Mathilde (2015) - Sphere / Ocentric / Lambert Conic Conformal</v>
      </c>
      <c r="J10643" t="str">
        <v>Not specified.</v>
      </c>
      <c r="K10643" s="11">
        <v>0</v>
      </c>
    </row>
    <row r="10644" spans="5:11" x14ac:dyDescent="0.35">
      <c r="E10644" s="9" t="str">
        <v>IAU_2015</v>
      </c>
      <c r="F10644" s="7" t="str">
        <v>200025380</v>
      </c>
      <c r="G10644" t="str">
        <v>ProjectedCrs</v>
      </c>
      <c r="H10644" t="str">
        <v>Lambert Azimuthal Equal Area</v>
      </c>
      <c r="I10644" t="str">
        <v>Mathilde (2015) - Sphere / Ocentric / Lambert Azimuthal Equal Area</v>
      </c>
      <c r="J10644" t="str">
        <v>Not specified.</v>
      </c>
      <c r="K10644" s="11">
        <v>0</v>
      </c>
    </row>
    <row r="10645" spans="5:11" x14ac:dyDescent="0.35">
      <c r="E10645" s="9" t="str">
        <v>IAU_2015</v>
      </c>
      <c r="F10645" s="7" t="str">
        <v>200025385</v>
      </c>
      <c r="G10645" t="str">
        <v>ProjectedCrs</v>
      </c>
      <c r="H10645" t="str">
        <v>Albers Equal Area</v>
      </c>
      <c r="I10645" t="str">
        <v>Mathilde (2015) - Sphere / Ocentric / Albers Equal Area</v>
      </c>
      <c r="J10645" t="str">
        <v>Not specified.</v>
      </c>
      <c r="K10645" s="11">
        <v>0</v>
      </c>
    </row>
    <row r="10646" spans="5:11" x14ac:dyDescent="0.35">
      <c r="E10646" s="9" t="str">
        <v>IAU_2015</v>
      </c>
      <c r="F10646" s="7" t="str">
        <v>200025390</v>
      </c>
      <c r="G10646" t="str">
        <v>ProjectedCrs</v>
      </c>
      <c r="H10646" t="str">
        <v>Mercator (Spherical)</v>
      </c>
      <c r="I10646" t="str">
        <v>Mathilde (2015) - Sphere / Ocentric / Mercator</v>
      </c>
      <c r="J10646" t="str">
        <v>Not specified.</v>
      </c>
      <c r="K10646" s="11">
        <v>0</v>
      </c>
    </row>
    <row r="10647" spans="5:11" x14ac:dyDescent="0.35">
      <c r="E10647" s="9" t="str">
        <v>IAU_2015</v>
      </c>
      <c r="F10647" s="7" t="str">
        <v>200043300</v>
      </c>
      <c r="G10647" t="str">
        <v>Geographic2DCrs</v>
      </c>
      <c r="H10647" t="str">
        <v>&lt;undefined&gt;</v>
      </c>
      <c r="I10647" t="str">
        <v>Eros (2015) - Sphere / Ocentric</v>
      </c>
      <c r="J10647" t="str">
        <v>Not specified.</v>
      </c>
      <c r="K10647" s="11">
        <v>0</v>
      </c>
    </row>
    <row r="10648" spans="5:11" x14ac:dyDescent="0.35">
      <c r="E10648" s="9" t="str">
        <v>IAU_2015</v>
      </c>
      <c r="F10648" s="7" t="str">
        <v>200043301</v>
      </c>
      <c r="G10648" t="str">
        <v>Geographic2DCrs</v>
      </c>
      <c r="H10648" t="str">
        <v>&lt;undefined&gt;</v>
      </c>
      <c r="I10648" t="str">
        <v>Eros (2015) / Ographic</v>
      </c>
      <c r="J10648" t="str">
        <v>Not specified.</v>
      </c>
      <c r="K10648" s="11">
        <v>0</v>
      </c>
    </row>
    <row r="10649" spans="5:11" x14ac:dyDescent="0.35">
      <c r="E10649" s="9" t="str">
        <v>IAU_2015</v>
      </c>
      <c r="F10649" s="7" t="str">
        <v>200043302</v>
      </c>
      <c r="G10649" t="str">
        <v>GeodeticCrs</v>
      </c>
      <c r="H10649" t="str">
        <v>&lt;undefined&gt;</v>
      </c>
      <c r="I10649" t="str">
        <v>Eros (2015) / Ocentric</v>
      </c>
      <c r="J10649" t="str">
        <v>Not specified.</v>
      </c>
      <c r="K10649" s="11">
        <v>0</v>
      </c>
    </row>
    <row r="10650" spans="5:11" x14ac:dyDescent="0.35">
      <c r="E10650" s="9" t="str">
        <v>IAU_2015</v>
      </c>
      <c r="F10650" s="7" t="str">
        <v>200043310</v>
      </c>
      <c r="G10650" t="str">
        <v>ProjectedCrs</v>
      </c>
      <c r="H10650" t="str">
        <v>Equidistant Cylindrical</v>
      </c>
      <c r="I10650" t="str">
        <v>Eros (2015) - Sphere / Ocentric / Equirectangular, clon = 0</v>
      </c>
      <c r="J10650" t="str">
        <v>Not specified.</v>
      </c>
      <c r="K10650" s="11">
        <v>0</v>
      </c>
    </row>
    <row r="10651" spans="5:11" x14ac:dyDescent="0.35">
      <c r="E10651" s="9" t="str">
        <v>IAU_2015</v>
      </c>
      <c r="F10651" s="7" t="str">
        <v>200043311</v>
      </c>
      <c r="G10651" t="str">
        <v>ProjectedCrs</v>
      </c>
      <c r="H10651" t="str">
        <v>Equidistant Cylindrical</v>
      </c>
      <c r="I10651" t="str">
        <v>Eros (2015) / Ographic / Equirectangular, clon = 0</v>
      </c>
      <c r="J10651" t="str">
        <v>Not specified.</v>
      </c>
      <c r="K10651" s="11">
        <v>0</v>
      </c>
    </row>
    <row r="10652" spans="5:11" x14ac:dyDescent="0.35">
      <c r="E10652" s="9" t="str">
        <v>IAU_2015</v>
      </c>
      <c r="F10652" s="7" t="str">
        <v>200043315</v>
      </c>
      <c r="G10652" t="str">
        <v>ProjectedCrs</v>
      </c>
      <c r="H10652" t="str">
        <v>Equidistant Cylindrical</v>
      </c>
      <c r="I10652" t="str">
        <v>Eros (2015) - Sphere / Ocentric / Equirectangular, clon = 180</v>
      </c>
      <c r="J10652" t="str">
        <v>Not specified.</v>
      </c>
      <c r="K10652" s="11">
        <v>0</v>
      </c>
    </row>
    <row r="10653" spans="5:11" x14ac:dyDescent="0.35">
      <c r="E10653" s="9" t="str">
        <v>IAU_2015</v>
      </c>
      <c r="F10653" s="7" t="str">
        <v>200043316</v>
      </c>
      <c r="G10653" t="str">
        <v>ProjectedCrs</v>
      </c>
      <c r="H10653" t="str">
        <v>Equidistant Cylindrical</v>
      </c>
      <c r="I10653" t="str">
        <v>Eros (2015) / Ographic / Equirectangular, clon = 180</v>
      </c>
      <c r="J10653" t="str">
        <v>Not specified.</v>
      </c>
      <c r="K10653" s="11">
        <v>0</v>
      </c>
    </row>
    <row r="10654" spans="5:11" x14ac:dyDescent="0.35">
      <c r="E10654" s="9" t="str">
        <v>IAU_2015</v>
      </c>
      <c r="F10654" s="7" t="str">
        <v>200043320</v>
      </c>
      <c r="G10654" t="str">
        <v>ProjectedCrs</v>
      </c>
      <c r="H10654" t="str">
        <v>Sinusoidal</v>
      </c>
      <c r="I10654" t="str">
        <v>Eros (2015) - Sphere / Ocentric / Sinusoidal, clon = 0</v>
      </c>
      <c r="J10654" t="str">
        <v>Not specified.</v>
      </c>
      <c r="K10654" s="11">
        <v>0</v>
      </c>
    </row>
    <row r="10655" spans="5:11" x14ac:dyDescent="0.35">
      <c r="E10655" s="9" t="str">
        <v>IAU_2015</v>
      </c>
      <c r="F10655" s="7" t="str">
        <v>200043321</v>
      </c>
      <c r="G10655" t="str">
        <v>ProjectedCrs</v>
      </c>
      <c r="H10655" t="str">
        <v>Sinusoidal</v>
      </c>
      <c r="I10655" t="str">
        <v>Eros (2015) / Ographic / Sinusoidal, clon = 0</v>
      </c>
      <c r="J10655" t="str">
        <v>Not specified.</v>
      </c>
      <c r="K10655" s="11">
        <v>0</v>
      </c>
    </row>
    <row r="10656" spans="5:11" x14ac:dyDescent="0.35">
      <c r="E10656" s="9" t="str">
        <v>IAU_2015</v>
      </c>
      <c r="F10656" s="7" t="str">
        <v>200043325</v>
      </c>
      <c r="G10656" t="str">
        <v>ProjectedCrs</v>
      </c>
      <c r="H10656" t="str">
        <v>Sinusoidal</v>
      </c>
      <c r="I10656" t="str">
        <v>Eros (2015) - Sphere / Ocentric / Sinusoidal, clon = 180</v>
      </c>
      <c r="J10656" t="str">
        <v>Not specified.</v>
      </c>
      <c r="K10656" s="11">
        <v>0</v>
      </c>
    </row>
    <row r="10657" spans="5:11" x14ac:dyDescent="0.35">
      <c r="E10657" s="9" t="str">
        <v>IAU_2015</v>
      </c>
      <c r="F10657" s="7" t="str">
        <v>200043326</v>
      </c>
      <c r="G10657" t="str">
        <v>ProjectedCrs</v>
      </c>
      <c r="H10657" t="str">
        <v>Sinusoidal</v>
      </c>
      <c r="I10657" t="str">
        <v>Eros (2015) / Ographic / Sinusoidal, clon = 180</v>
      </c>
      <c r="J10657" t="str">
        <v>Not specified.</v>
      </c>
      <c r="K10657" s="11">
        <v>0</v>
      </c>
    </row>
    <row r="10658" spans="5:11" x14ac:dyDescent="0.35">
      <c r="E10658" s="9" t="str">
        <v>IAU_2015</v>
      </c>
      <c r="F10658" s="7" t="str">
        <v>200043330</v>
      </c>
      <c r="G10658" t="str">
        <v>ProjectedCrs</v>
      </c>
      <c r="H10658" t="str">
        <v>Polar Stereographic (variant A)</v>
      </c>
      <c r="I10658" t="str">
        <v>Eros (2015) - Sphere / Ocentric / North Polar</v>
      </c>
      <c r="J10658" t="str">
        <v>Not specified.</v>
      </c>
      <c r="K10658" s="11">
        <v>0</v>
      </c>
    </row>
    <row r="10659" spans="5:11" x14ac:dyDescent="0.35">
      <c r="E10659" s="9" t="str">
        <v>IAU_2015</v>
      </c>
      <c r="F10659" s="7" t="str">
        <v>200043331</v>
      </c>
      <c r="G10659" t="str">
        <v>ProjectedCrs</v>
      </c>
      <c r="H10659" t="str">
        <v>Polar Stereographic (variant A)</v>
      </c>
      <c r="I10659" t="str">
        <v>Eros (2015) / Ographic / North Polar</v>
      </c>
      <c r="J10659" t="str">
        <v>Not specified.</v>
      </c>
      <c r="K10659" s="11">
        <v>0</v>
      </c>
    </row>
    <row r="10660" spans="5:11" x14ac:dyDescent="0.35">
      <c r="E10660" s="9" t="str">
        <v>IAU_2015</v>
      </c>
      <c r="F10660" s="7" t="str">
        <v>200043335</v>
      </c>
      <c r="G10660" t="str">
        <v>ProjectedCrs</v>
      </c>
      <c r="H10660" t="str">
        <v>Polar Stereographic (variant A)</v>
      </c>
      <c r="I10660" t="str">
        <v>Eros (2015) - Sphere / Ocentric / South Polar</v>
      </c>
      <c r="J10660" t="str">
        <v>Not specified.</v>
      </c>
      <c r="K10660" s="11">
        <v>0</v>
      </c>
    </row>
    <row r="10661" spans="5:11" x14ac:dyDescent="0.35">
      <c r="E10661" s="9" t="str">
        <v>IAU_2015</v>
      </c>
      <c r="F10661" s="7" t="str">
        <v>200043336</v>
      </c>
      <c r="G10661" t="str">
        <v>ProjectedCrs</v>
      </c>
      <c r="H10661" t="str">
        <v>Polar Stereographic (variant A)</v>
      </c>
      <c r="I10661" t="str">
        <v>Eros (2015) / Ographic / South Polar</v>
      </c>
      <c r="J10661" t="str">
        <v>Not specified.</v>
      </c>
      <c r="K10661" s="11">
        <v>0</v>
      </c>
    </row>
    <row r="10662" spans="5:11" x14ac:dyDescent="0.35">
      <c r="E10662" s="9" t="str">
        <v>IAU_2015</v>
      </c>
      <c r="F10662" s="7" t="str">
        <v>200043340</v>
      </c>
      <c r="G10662" t="str">
        <v>ProjectedCrs</v>
      </c>
      <c r="H10662" t="str">
        <v>Mollweide</v>
      </c>
      <c r="I10662" t="str">
        <v>Eros (2015) - Sphere / Ocentric / Mollweide, clon = 0</v>
      </c>
      <c r="J10662" t="str">
        <v>Not specified.</v>
      </c>
      <c r="K10662" s="11">
        <v>0</v>
      </c>
    </row>
    <row r="10663" spans="5:11" x14ac:dyDescent="0.35">
      <c r="E10663" s="9" t="str">
        <v>IAU_2015</v>
      </c>
      <c r="F10663" s="7" t="str">
        <v>200043341</v>
      </c>
      <c r="G10663" t="str">
        <v>ProjectedCrs</v>
      </c>
      <c r="H10663" t="str">
        <v>Mollweide</v>
      </c>
      <c r="I10663" t="str">
        <v>Eros (2015) / Ographic / Mollweide, clon = 0</v>
      </c>
      <c r="J10663" t="str">
        <v>Not specified.</v>
      </c>
      <c r="K10663" s="11">
        <v>0</v>
      </c>
    </row>
    <row r="10664" spans="5:11" x14ac:dyDescent="0.35">
      <c r="E10664" s="9" t="str">
        <v>IAU_2015</v>
      </c>
      <c r="F10664" s="7" t="str">
        <v>200043345</v>
      </c>
      <c r="G10664" t="str">
        <v>ProjectedCrs</v>
      </c>
      <c r="H10664" t="str">
        <v>Mollweide</v>
      </c>
      <c r="I10664" t="str">
        <v>Eros (2015) - Sphere / Ocentric / Mollweide, clon = 180</v>
      </c>
      <c r="J10664" t="str">
        <v>Not specified.</v>
      </c>
      <c r="K10664" s="11">
        <v>0</v>
      </c>
    </row>
    <row r="10665" spans="5:11" x14ac:dyDescent="0.35">
      <c r="E10665" s="9" t="str">
        <v>IAU_2015</v>
      </c>
      <c r="F10665" s="7" t="str">
        <v>200043346</v>
      </c>
      <c r="G10665" t="str">
        <v>ProjectedCrs</v>
      </c>
      <c r="H10665" t="str">
        <v>Mollweide</v>
      </c>
      <c r="I10665" t="str">
        <v>Eros (2015) / Ographic / Mollweide, clon = 180</v>
      </c>
      <c r="J10665" t="str">
        <v>Not specified.</v>
      </c>
      <c r="K10665" s="11">
        <v>0</v>
      </c>
    </row>
    <row r="10666" spans="5:11" x14ac:dyDescent="0.35">
      <c r="E10666" s="9" t="str">
        <v>IAU_2015</v>
      </c>
      <c r="F10666" s="7" t="str">
        <v>200043350</v>
      </c>
      <c r="G10666" t="str">
        <v>ProjectedCrs</v>
      </c>
      <c r="H10666" t="str">
        <v>Robinson</v>
      </c>
      <c r="I10666" t="str">
        <v>Eros (2015) - Sphere / Ocentric / Robinson, clon = 0</v>
      </c>
      <c r="J10666" t="str">
        <v>Not specified.</v>
      </c>
      <c r="K10666" s="11">
        <v>0</v>
      </c>
    </row>
    <row r="10667" spans="5:11" x14ac:dyDescent="0.35">
      <c r="E10667" s="9" t="str">
        <v>IAU_2015</v>
      </c>
      <c r="F10667" s="7" t="str">
        <v>200043351</v>
      </c>
      <c r="G10667" t="str">
        <v>ProjectedCrs</v>
      </c>
      <c r="H10667" t="str">
        <v>Robinson</v>
      </c>
      <c r="I10667" t="str">
        <v>Eros (2015) / Ographic / Robinson, clon = 0</v>
      </c>
      <c r="J10667" t="str">
        <v>Not specified.</v>
      </c>
      <c r="K10667" s="11">
        <v>0</v>
      </c>
    </row>
    <row r="10668" spans="5:11" x14ac:dyDescent="0.35">
      <c r="E10668" s="9" t="str">
        <v>IAU_2015</v>
      </c>
      <c r="F10668" s="7" t="str">
        <v>200043355</v>
      </c>
      <c r="G10668" t="str">
        <v>ProjectedCrs</v>
      </c>
      <c r="H10668" t="str">
        <v>Robinson</v>
      </c>
      <c r="I10668" t="str">
        <v>Eros (2015) - Sphere / Ocentric / Robinson, clon = 180</v>
      </c>
      <c r="J10668" t="str">
        <v>Not specified.</v>
      </c>
      <c r="K10668" s="11">
        <v>0</v>
      </c>
    </row>
    <row r="10669" spans="5:11" x14ac:dyDescent="0.35">
      <c r="E10669" s="9" t="str">
        <v>IAU_2015</v>
      </c>
      <c r="F10669" s="7" t="str">
        <v>200043356</v>
      </c>
      <c r="G10669" t="str">
        <v>ProjectedCrs</v>
      </c>
      <c r="H10669" t="str">
        <v>Robinson</v>
      </c>
      <c r="I10669" t="str">
        <v>Eros (2015) / Ographic / Robinson, clon = 180</v>
      </c>
      <c r="J10669" t="str">
        <v>Not specified.</v>
      </c>
      <c r="K10669" s="11">
        <v>0</v>
      </c>
    </row>
    <row r="10670" spans="5:11" x14ac:dyDescent="0.35">
      <c r="E10670" s="9" t="str">
        <v>IAU_2015</v>
      </c>
      <c r="F10670" s="7" t="str">
        <v>200043360</v>
      </c>
      <c r="G10670" t="str">
        <v>ProjectedCrs</v>
      </c>
      <c r="H10670" t="str">
        <v>Transverse Mercator</v>
      </c>
      <c r="I10670" t="str">
        <v>Eros (2015) - Sphere / Ocentric / Tranverse Mercator</v>
      </c>
      <c r="J10670" t="str">
        <v>Not specified.</v>
      </c>
      <c r="K10670" s="11">
        <v>0</v>
      </c>
    </row>
    <row r="10671" spans="5:11" x14ac:dyDescent="0.35">
      <c r="E10671" s="9" t="str">
        <v>IAU_2015</v>
      </c>
      <c r="F10671" s="7" t="str">
        <v>200043361</v>
      </c>
      <c r="G10671" t="str">
        <v>ProjectedCrs</v>
      </c>
      <c r="H10671" t="str">
        <v>Transverse Mercator</v>
      </c>
      <c r="I10671" t="str">
        <v>Eros (2015) / Ographic / Tranverse Mercator</v>
      </c>
      <c r="J10671" t="str">
        <v>Not specified.</v>
      </c>
      <c r="K10671" s="11">
        <v>0</v>
      </c>
    </row>
    <row r="10672" spans="5:11" x14ac:dyDescent="0.35">
      <c r="E10672" s="9" t="str">
        <v>IAU_2015</v>
      </c>
      <c r="F10672" s="7" t="str">
        <v>200043365</v>
      </c>
      <c r="G10672" t="str">
        <v>ProjectedCrs</v>
      </c>
      <c r="H10672" t="str">
        <v>Orthographic</v>
      </c>
      <c r="I10672" t="str">
        <v>Eros (2015) - Sphere / Ocentric / Orthographic, clon = 0</v>
      </c>
      <c r="J10672" t="str">
        <v>Not specified.</v>
      </c>
      <c r="K10672" s="11">
        <v>0</v>
      </c>
    </row>
    <row r="10673" spans="5:11" x14ac:dyDescent="0.35">
      <c r="E10673" s="9" t="str">
        <v>IAU_2015</v>
      </c>
      <c r="F10673" s="7" t="str">
        <v>200043366</v>
      </c>
      <c r="G10673" t="str">
        <v>ProjectedCrs</v>
      </c>
      <c r="H10673" t="str">
        <v>Orthographic</v>
      </c>
      <c r="I10673" t="str">
        <v>Eros (2015) / Ographic / Orthographic, clon = 0</v>
      </c>
      <c r="J10673" t="str">
        <v>Not specified.</v>
      </c>
      <c r="K10673" s="11">
        <v>0</v>
      </c>
    </row>
    <row r="10674" spans="5:11" x14ac:dyDescent="0.35">
      <c r="E10674" s="9" t="str">
        <v>IAU_2015</v>
      </c>
      <c r="F10674" s="7" t="str">
        <v>200043370</v>
      </c>
      <c r="G10674" t="str">
        <v>ProjectedCrs</v>
      </c>
      <c r="H10674" t="str">
        <v>Orthographic</v>
      </c>
      <c r="I10674" t="str">
        <v>Eros (2015) - Sphere / Ocentric / Orthographic, clon = 180</v>
      </c>
      <c r="J10674" t="str">
        <v>Not specified.</v>
      </c>
      <c r="K10674" s="11">
        <v>0</v>
      </c>
    </row>
    <row r="10675" spans="5:11" x14ac:dyDescent="0.35">
      <c r="E10675" s="9" t="str">
        <v>IAU_2015</v>
      </c>
      <c r="F10675" s="7" t="str">
        <v>200043371</v>
      </c>
      <c r="G10675" t="str">
        <v>ProjectedCrs</v>
      </c>
      <c r="H10675" t="str">
        <v>Orthographic</v>
      </c>
      <c r="I10675" t="str">
        <v>Eros (2015) / Ographic / Orthographic, clon = 180</v>
      </c>
      <c r="J10675" t="str">
        <v>Not specified.</v>
      </c>
      <c r="K10675" s="11">
        <v>0</v>
      </c>
    </row>
    <row r="10676" spans="5:11" x14ac:dyDescent="0.35">
      <c r="E10676" s="9" t="str">
        <v>IAU_2015</v>
      </c>
      <c r="F10676" s="7" t="str">
        <v>200043375</v>
      </c>
      <c r="G10676" t="str">
        <v>ProjectedCrs</v>
      </c>
      <c r="H10676" t="str">
        <v>Lambert Conic Conformal (2SP)</v>
      </c>
      <c r="I10676" t="str">
        <v>Eros (2015) - Sphere / Ocentric / Lambert Conic Conformal</v>
      </c>
      <c r="J10676" t="str">
        <v>Not specified.</v>
      </c>
      <c r="K10676" s="11">
        <v>0</v>
      </c>
    </row>
    <row r="10677" spans="5:11" x14ac:dyDescent="0.35">
      <c r="E10677" s="9" t="str">
        <v>IAU_2015</v>
      </c>
      <c r="F10677" s="7" t="str">
        <v>200043376</v>
      </c>
      <c r="G10677" t="str">
        <v>ProjectedCrs</v>
      </c>
      <c r="H10677" t="str">
        <v>Lambert Conic Conformal (2SP)</v>
      </c>
      <c r="I10677" t="str">
        <v>Eros (2015) / Ographic / Lambert Conic Conformal</v>
      </c>
      <c r="J10677" t="str">
        <v>Not specified.</v>
      </c>
      <c r="K10677" s="11">
        <v>0</v>
      </c>
    </row>
    <row r="10678" spans="5:11" x14ac:dyDescent="0.35">
      <c r="E10678" s="9" t="str">
        <v>IAU_2015</v>
      </c>
      <c r="F10678" s="7" t="str">
        <v>200043380</v>
      </c>
      <c r="G10678" t="str">
        <v>ProjectedCrs</v>
      </c>
      <c r="H10678" t="str">
        <v>Lambert Azimuthal Equal Area</v>
      </c>
      <c r="I10678" t="str">
        <v>Eros (2015) - Sphere / Ocentric / Lambert Azimuthal Equal Area</v>
      </c>
      <c r="J10678" t="str">
        <v>Not specified.</v>
      </c>
      <c r="K10678" s="11">
        <v>0</v>
      </c>
    </row>
    <row r="10679" spans="5:11" x14ac:dyDescent="0.35">
      <c r="E10679" s="9" t="str">
        <v>IAU_2015</v>
      </c>
      <c r="F10679" s="7" t="str">
        <v>200043381</v>
      </c>
      <c r="G10679" t="str">
        <v>ProjectedCrs</v>
      </c>
      <c r="H10679" t="str">
        <v>Lambert Azimuthal Equal Area</v>
      </c>
      <c r="I10679" t="str">
        <v>Eros (2015) / Ographic / Lambert Azimuthal Equal Area</v>
      </c>
      <c r="J10679" t="str">
        <v>Not specified.</v>
      </c>
      <c r="K10679" s="11">
        <v>0</v>
      </c>
    </row>
    <row r="10680" spans="5:11" x14ac:dyDescent="0.35">
      <c r="E10680" s="9" t="str">
        <v>IAU_2015</v>
      </c>
      <c r="F10680" s="7" t="str">
        <v>200043385</v>
      </c>
      <c r="G10680" t="str">
        <v>ProjectedCrs</v>
      </c>
      <c r="H10680" t="str">
        <v>Albers Equal Area</v>
      </c>
      <c r="I10680" t="str">
        <v>Eros (2015) - Sphere / Ocentric / Albers Equal Area</v>
      </c>
      <c r="J10680" t="str">
        <v>Not specified.</v>
      </c>
      <c r="K10680" s="11">
        <v>0</v>
      </c>
    </row>
    <row r="10681" spans="5:11" x14ac:dyDescent="0.35">
      <c r="E10681" s="9" t="str">
        <v>IAU_2015</v>
      </c>
      <c r="F10681" s="7" t="str">
        <v>200043386</v>
      </c>
      <c r="G10681" t="str">
        <v>ProjectedCrs</v>
      </c>
      <c r="H10681" t="str">
        <v>Albers Equal Area</v>
      </c>
      <c r="I10681" t="str">
        <v>Eros (2015) / Ographic / Albers Equal Area</v>
      </c>
      <c r="J10681" t="str">
        <v>Not specified.</v>
      </c>
      <c r="K10681" s="11">
        <v>0</v>
      </c>
    </row>
    <row r="10682" spans="5:11" x14ac:dyDescent="0.35">
      <c r="E10682" s="9" t="str">
        <v>IAU_2015</v>
      </c>
      <c r="F10682" s="7" t="str">
        <v>200043390</v>
      </c>
      <c r="G10682" t="str">
        <v>ProjectedCrs</v>
      </c>
      <c r="H10682" t="str">
        <v>Mercator (Spherical)</v>
      </c>
      <c r="I10682" t="str">
        <v>Eros (2015) - Sphere / Ocentric / Mercator</v>
      </c>
      <c r="J10682" t="str">
        <v>Not specified.</v>
      </c>
      <c r="K10682" s="11">
        <v>0</v>
      </c>
    </row>
    <row r="10683" spans="5:11" x14ac:dyDescent="0.35">
      <c r="E10683" s="9" t="str">
        <v>IAU_2015</v>
      </c>
      <c r="F10683" s="7" t="str">
        <v>200043391</v>
      </c>
      <c r="G10683" t="str">
        <v>ProjectedCrs</v>
      </c>
      <c r="H10683" t="str">
        <v>Mercator (Spherical)</v>
      </c>
      <c r="I10683" t="str">
        <v>Eros (2015) / Ographic / Mercator</v>
      </c>
      <c r="J10683" t="str">
        <v>Not specified.</v>
      </c>
      <c r="K10683" s="11">
        <v>0</v>
      </c>
    </row>
    <row r="10684" spans="5:11" x14ac:dyDescent="0.35">
      <c r="E10684" s="9" t="str">
        <v>IAU_2015</v>
      </c>
      <c r="F10684" s="7" t="str">
        <v>200051100</v>
      </c>
      <c r="G10684" t="str">
        <v>Geographic2DCrs</v>
      </c>
      <c r="H10684" t="str">
        <v>&lt;undefined&gt;</v>
      </c>
      <c r="I10684" t="str">
        <v>Davida (2015) - Sphere / Ocentric</v>
      </c>
      <c r="J10684" t="str">
        <v>Not specified.</v>
      </c>
      <c r="K10684" s="11">
        <v>0</v>
      </c>
    </row>
    <row r="10685" spans="5:11" x14ac:dyDescent="0.35">
      <c r="E10685" s="9" t="str">
        <v>IAU_2015</v>
      </c>
      <c r="F10685" s="7" t="str">
        <v>200051110</v>
      </c>
      <c r="G10685" t="str">
        <v>ProjectedCrs</v>
      </c>
      <c r="H10685" t="str">
        <v>Equidistant Cylindrical</v>
      </c>
      <c r="I10685" t="str">
        <v>Davida (2015) - Sphere / Ocentric / Equirectangular, clon = 0</v>
      </c>
      <c r="J10685" t="str">
        <v>Not specified.</v>
      </c>
      <c r="K10685" s="11">
        <v>0</v>
      </c>
    </row>
    <row r="10686" spans="5:11" x14ac:dyDescent="0.35">
      <c r="E10686" s="9" t="str">
        <v>IAU_2015</v>
      </c>
      <c r="F10686" s="7" t="str">
        <v>200051115</v>
      </c>
      <c r="G10686" t="str">
        <v>ProjectedCrs</v>
      </c>
      <c r="H10686" t="str">
        <v>Equidistant Cylindrical</v>
      </c>
      <c r="I10686" t="str">
        <v>Davida (2015) - Sphere / Ocentric / Equirectangular, clon = 180</v>
      </c>
      <c r="J10686" t="str">
        <v>Not specified.</v>
      </c>
      <c r="K10686" s="11">
        <v>0</v>
      </c>
    </row>
    <row r="10687" spans="5:11" x14ac:dyDescent="0.35">
      <c r="E10687" s="9" t="str">
        <v>IAU_2015</v>
      </c>
      <c r="F10687" s="7" t="str">
        <v>200051120</v>
      </c>
      <c r="G10687" t="str">
        <v>ProjectedCrs</v>
      </c>
      <c r="H10687" t="str">
        <v>Sinusoidal</v>
      </c>
      <c r="I10687" t="str">
        <v>Davida (2015) - Sphere / Ocentric / Sinusoidal, clon = 0</v>
      </c>
      <c r="J10687" t="str">
        <v>Not specified.</v>
      </c>
      <c r="K10687" s="11">
        <v>0</v>
      </c>
    </row>
    <row r="10688" spans="5:11" x14ac:dyDescent="0.35">
      <c r="E10688" s="9" t="str">
        <v>IAU_2015</v>
      </c>
      <c r="F10688" s="7" t="str">
        <v>200051125</v>
      </c>
      <c r="G10688" t="str">
        <v>ProjectedCrs</v>
      </c>
      <c r="H10688" t="str">
        <v>Sinusoidal</v>
      </c>
      <c r="I10688" t="str">
        <v>Davida (2015) - Sphere / Ocentric / Sinusoidal, clon = 180</v>
      </c>
      <c r="J10688" t="str">
        <v>Not specified.</v>
      </c>
      <c r="K10688" s="11">
        <v>0</v>
      </c>
    </row>
    <row r="10689" spans="5:11" x14ac:dyDescent="0.35">
      <c r="E10689" s="9" t="str">
        <v>IAU_2015</v>
      </c>
      <c r="F10689" s="7" t="str">
        <v>200051130</v>
      </c>
      <c r="G10689" t="str">
        <v>ProjectedCrs</v>
      </c>
      <c r="H10689" t="str">
        <v>Polar Stereographic (variant A)</v>
      </c>
      <c r="I10689" t="str">
        <v>Davida (2015) - Sphere / Ocentric / North Polar</v>
      </c>
      <c r="J10689" t="str">
        <v>Not specified.</v>
      </c>
      <c r="K10689" s="11">
        <v>0</v>
      </c>
    </row>
    <row r="10690" spans="5:11" x14ac:dyDescent="0.35">
      <c r="E10690" s="9" t="str">
        <v>IAU_2015</v>
      </c>
      <c r="F10690" s="7" t="str">
        <v>200051135</v>
      </c>
      <c r="G10690" t="str">
        <v>ProjectedCrs</v>
      </c>
      <c r="H10690" t="str">
        <v>Polar Stereographic (variant A)</v>
      </c>
      <c r="I10690" t="str">
        <v>Davida (2015) - Sphere / Ocentric / South Polar</v>
      </c>
      <c r="J10690" t="str">
        <v>Not specified.</v>
      </c>
      <c r="K10690" s="11">
        <v>0</v>
      </c>
    </row>
    <row r="10691" spans="5:11" x14ac:dyDescent="0.35">
      <c r="E10691" s="9" t="str">
        <v>IAU_2015</v>
      </c>
      <c r="F10691" s="7" t="str">
        <v>200051140</v>
      </c>
      <c r="G10691" t="str">
        <v>ProjectedCrs</v>
      </c>
      <c r="H10691" t="str">
        <v>Mollweide</v>
      </c>
      <c r="I10691" t="str">
        <v>Davida (2015) - Sphere / Ocentric / Mollweide, clon = 0</v>
      </c>
      <c r="J10691" t="str">
        <v>Not specified.</v>
      </c>
      <c r="K10691" s="11">
        <v>0</v>
      </c>
    </row>
    <row r="10692" spans="5:11" x14ac:dyDescent="0.35">
      <c r="E10692" s="9" t="str">
        <v>IAU_2015</v>
      </c>
      <c r="F10692" s="7" t="str">
        <v>200051145</v>
      </c>
      <c r="G10692" t="str">
        <v>ProjectedCrs</v>
      </c>
      <c r="H10692" t="str">
        <v>Mollweide</v>
      </c>
      <c r="I10692" t="str">
        <v>Davida (2015) - Sphere / Ocentric / Mollweide, clon = 180</v>
      </c>
      <c r="J10692" t="str">
        <v>Not specified.</v>
      </c>
      <c r="K10692" s="11">
        <v>0</v>
      </c>
    </row>
    <row r="10693" spans="5:11" x14ac:dyDescent="0.35">
      <c r="E10693" s="9" t="str">
        <v>IAU_2015</v>
      </c>
      <c r="F10693" s="7" t="str">
        <v>200051150</v>
      </c>
      <c r="G10693" t="str">
        <v>ProjectedCrs</v>
      </c>
      <c r="H10693" t="str">
        <v>Robinson</v>
      </c>
      <c r="I10693" t="str">
        <v>Davida (2015) - Sphere / Ocentric / Robinson, clon = 0</v>
      </c>
      <c r="J10693" t="str">
        <v>Not specified.</v>
      </c>
      <c r="K10693" s="11">
        <v>0</v>
      </c>
    </row>
    <row r="10694" spans="5:11" x14ac:dyDescent="0.35">
      <c r="E10694" s="9" t="str">
        <v>IAU_2015</v>
      </c>
      <c r="F10694" s="7" t="str">
        <v>200051155</v>
      </c>
      <c r="G10694" t="str">
        <v>ProjectedCrs</v>
      </c>
      <c r="H10694" t="str">
        <v>Robinson</v>
      </c>
      <c r="I10694" t="str">
        <v>Davida (2015) - Sphere / Ocentric / Robinson, clon = 180</v>
      </c>
      <c r="J10694" t="str">
        <v>Not specified.</v>
      </c>
      <c r="K10694" s="11">
        <v>0</v>
      </c>
    </row>
    <row r="10695" spans="5:11" x14ac:dyDescent="0.35">
      <c r="E10695" s="9" t="str">
        <v>IAU_2015</v>
      </c>
      <c r="F10695" s="7" t="str">
        <v>200051160</v>
      </c>
      <c r="G10695" t="str">
        <v>ProjectedCrs</v>
      </c>
      <c r="H10695" t="str">
        <v>Transverse Mercator</v>
      </c>
      <c r="I10695" t="str">
        <v>Davida (2015) - Sphere / Ocentric / Tranverse Mercator</v>
      </c>
      <c r="J10695" t="str">
        <v>Not specified.</v>
      </c>
      <c r="K10695" s="11">
        <v>0</v>
      </c>
    </row>
    <row r="10696" spans="5:11" x14ac:dyDescent="0.35">
      <c r="E10696" s="9" t="str">
        <v>IAU_2015</v>
      </c>
      <c r="F10696" s="7" t="str">
        <v>200051165</v>
      </c>
      <c r="G10696" t="str">
        <v>ProjectedCrs</v>
      </c>
      <c r="H10696" t="str">
        <v>Orthographic</v>
      </c>
      <c r="I10696" t="str">
        <v>Davida (2015) - Sphere / Ocentric / Orthographic, clon = 0</v>
      </c>
      <c r="J10696" t="str">
        <v>Not specified.</v>
      </c>
      <c r="K10696" s="11">
        <v>0</v>
      </c>
    </row>
    <row r="10697" spans="5:11" x14ac:dyDescent="0.35">
      <c r="E10697" s="9" t="str">
        <v>IAU_2015</v>
      </c>
      <c r="F10697" s="7" t="str">
        <v>200051170</v>
      </c>
      <c r="G10697" t="str">
        <v>ProjectedCrs</v>
      </c>
      <c r="H10697" t="str">
        <v>Orthographic</v>
      </c>
      <c r="I10697" t="str">
        <v>Davida (2015) - Sphere / Ocentric / Orthographic, clon = 180</v>
      </c>
      <c r="J10697" t="str">
        <v>Not specified.</v>
      </c>
      <c r="K10697" s="11">
        <v>0</v>
      </c>
    </row>
    <row r="10698" spans="5:11" x14ac:dyDescent="0.35">
      <c r="E10698" s="9" t="str">
        <v>IAU_2015</v>
      </c>
      <c r="F10698" s="7" t="str">
        <v>200051175</v>
      </c>
      <c r="G10698" t="str">
        <v>ProjectedCrs</v>
      </c>
      <c r="H10698" t="str">
        <v>Lambert Conic Conformal (2SP)</v>
      </c>
      <c r="I10698" t="str">
        <v>Davida (2015) - Sphere / Ocentric / Lambert Conic Conformal</v>
      </c>
      <c r="J10698" t="str">
        <v>Not specified.</v>
      </c>
      <c r="K10698" s="11">
        <v>0</v>
      </c>
    </row>
    <row r="10699" spans="5:11" x14ac:dyDescent="0.35">
      <c r="E10699" s="9" t="str">
        <v>IAU_2015</v>
      </c>
      <c r="F10699" s="7" t="str">
        <v>200051180</v>
      </c>
      <c r="G10699" t="str">
        <v>ProjectedCrs</v>
      </c>
      <c r="H10699" t="str">
        <v>Lambert Azimuthal Equal Area</v>
      </c>
      <c r="I10699" t="str">
        <v>Davida (2015) - Sphere / Ocentric / Lambert Azimuthal Equal Area</v>
      </c>
      <c r="J10699" t="str">
        <v>Not specified.</v>
      </c>
      <c r="K10699" s="11">
        <v>0</v>
      </c>
    </row>
    <row r="10700" spans="5:11" x14ac:dyDescent="0.35">
      <c r="E10700" s="9" t="str">
        <v>IAU_2015</v>
      </c>
      <c r="F10700" s="7" t="str">
        <v>200051185</v>
      </c>
      <c r="G10700" t="str">
        <v>ProjectedCrs</v>
      </c>
      <c r="H10700" t="str">
        <v>Albers Equal Area</v>
      </c>
      <c r="I10700" t="str">
        <v>Davida (2015) - Sphere / Ocentric / Albers Equal Area</v>
      </c>
      <c r="J10700" t="str">
        <v>Not specified.</v>
      </c>
      <c r="K10700" s="11">
        <v>0</v>
      </c>
    </row>
    <row r="10701" spans="5:11" x14ac:dyDescent="0.35">
      <c r="E10701" s="9" t="str">
        <v>IAU_2015</v>
      </c>
      <c r="F10701" s="7" t="str">
        <v>200051190</v>
      </c>
      <c r="G10701" t="str">
        <v>ProjectedCrs</v>
      </c>
      <c r="H10701" t="str">
        <v>Mercator (Spherical)</v>
      </c>
      <c r="I10701" t="str">
        <v>Davida (2015) - Sphere / Ocentric / Mercator</v>
      </c>
      <c r="J10701" t="str">
        <v>Not specified.</v>
      </c>
      <c r="K10701" s="11">
        <v>0</v>
      </c>
    </row>
    <row r="10702" spans="5:11" x14ac:dyDescent="0.35">
      <c r="E10702" s="9" t="str">
        <v>IAU_2015</v>
      </c>
      <c r="F10702" s="7" t="str">
        <v>200286700</v>
      </c>
      <c r="G10702" t="str">
        <v>Geographic2DCrs</v>
      </c>
      <c r="H10702" t="str">
        <v>&lt;undefined&gt;</v>
      </c>
      <c r="I10702" t="str">
        <v>Steins (2015) - Sphere / Ocentric</v>
      </c>
      <c r="J10702" t="str">
        <v>Not specified.</v>
      </c>
      <c r="K10702" s="11">
        <v>0</v>
      </c>
    </row>
    <row r="10703" spans="5:11" x14ac:dyDescent="0.35">
      <c r="E10703" s="9" t="str">
        <v>IAU_2015</v>
      </c>
      <c r="F10703" s="7" t="str">
        <v>200286710</v>
      </c>
      <c r="G10703" t="str">
        <v>ProjectedCrs</v>
      </c>
      <c r="H10703" t="str">
        <v>Equidistant Cylindrical</v>
      </c>
      <c r="I10703" t="str">
        <v>Steins (2015) - Sphere / Ocentric / Equirectangular, clon = 0</v>
      </c>
      <c r="J10703" t="str">
        <v>Not specified.</v>
      </c>
      <c r="K10703" s="11">
        <v>0</v>
      </c>
    </row>
    <row r="10704" spans="5:11" x14ac:dyDescent="0.35">
      <c r="E10704" s="9" t="str">
        <v>IAU_2015</v>
      </c>
      <c r="F10704" s="7" t="str">
        <v>200286715</v>
      </c>
      <c r="G10704" t="str">
        <v>ProjectedCrs</v>
      </c>
      <c r="H10704" t="str">
        <v>Equidistant Cylindrical</v>
      </c>
      <c r="I10704" t="str">
        <v>Steins (2015) - Sphere / Ocentric / Equirectangular, clon = 180</v>
      </c>
      <c r="J10704" t="str">
        <v>Not specified.</v>
      </c>
      <c r="K10704" s="11">
        <v>0</v>
      </c>
    </row>
    <row r="10705" spans="5:11" x14ac:dyDescent="0.35">
      <c r="E10705" s="9" t="str">
        <v>IAU_2015</v>
      </c>
      <c r="F10705" s="7" t="str">
        <v>200286720</v>
      </c>
      <c r="G10705" t="str">
        <v>ProjectedCrs</v>
      </c>
      <c r="H10705" t="str">
        <v>Sinusoidal</v>
      </c>
      <c r="I10705" t="str">
        <v>Steins (2015) - Sphere / Ocentric / Sinusoidal, clon = 0</v>
      </c>
      <c r="J10705" t="str">
        <v>Not specified.</v>
      </c>
      <c r="K10705" s="11">
        <v>0</v>
      </c>
    </row>
    <row r="10706" spans="5:11" x14ac:dyDescent="0.35">
      <c r="E10706" s="9" t="str">
        <v>IAU_2015</v>
      </c>
      <c r="F10706" s="7" t="str">
        <v>200286725</v>
      </c>
      <c r="G10706" t="str">
        <v>ProjectedCrs</v>
      </c>
      <c r="H10706" t="str">
        <v>Sinusoidal</v>
      </c>
      <c r="I10706" t="str">
        <v>Steins (2015) - Sphere / Ocentric / Sinusoidal, clon = 180</v>
      </c>
      <c r="J10706" t="str">
        <v>Not specified.</v>
      </c>
      <c r="K10706" s="11">
        <v>0</v>
      </c>
    </row>
    <row r="10707" spans="5:11" x14ac:dyDescent="0.35">
      <c r="E10707" s="9" t="str">
        <v>IAU_2015</v>
      </c>
      <c r="F10707" s="7" t="str">
        <v>200286730</v>
      </c>
      <c r="G10707" t="str">
        <v>ProjectedCrs</v>
      </c>
      <c r="H10707" t="str">
        <v>Polar Stereographic (variant A)</v>
      </c>
      <c r="I10707" t="str">
        <v>Steins (2015) - Sphere / Ocentric / North Polar</v>
      </c>
      <c r="J10707" t="str">
        <v>Not specified.</v>
      </c>
      <c r="K10707" s="11">
        <v>0</v>
      </c>
    </row>
    <row r="10708" spans="5:11" x14ac:dyDescent="0.35">
      <c r="E10708" s="9" t="str">
        <v>IAU_2015</v>
      </c>
      <c r="F10708" s="7" t="str">
        <v>200286735</v>
      </c>
      <c r="G10708" t="str">
        <v>ProjectedCrs</v>
      </c>
      <c r="H10708" t="str">
        <v>Polar Stereographic (variant A)</v>
      </c>
      <c r="I10708" t="str">
        <v>Steins (2015) - Sphere / Ocentric / South Polar</v>
      </c>
      <c r="J10708" t="str">
        <v>Not specified.</v>
      </c>
      <c r="K10708" s="11">
        <v>0</v>
      </c>
    </row>
    <row r="10709" spans="5:11" x14ac:dyDescent="0.35">
      <c r="E10709" s="9" t="str">
        <v>IAU_2015</v>
      </c>
      <c r="F10709" s="7" t="str">
        <v>200286740</v>
      </c>
      <c r="G10709" t="str">
        <v>ProjectedCrs</v>
      </c>
      <c r="H10709" t="str">
        <v>Mollweide</v>
      </c>
      <c r="I10709" t="str">
        <v>Steins (2015) - Sphere / Ocentric / Mollweide, clon = 0</v>
      </c>
      <c r="J10709" t="str">
        <v>Not specified.</v>
      </c>
      <c r="K10709" s="11">
        <v>0</v>
      </c>
    </row>
    <row r="10710" spans="5:11" x14ac:dyDescent="0.35">
      <c r="E10710" s="9" t="str">
        <v>IAU_2015</v>
      </c>
      <c r="F10710" s="7" t="str">
        <v>200286745</v>
      </c>
      <c r="G10710" t="str">
        <v>ProjectedCrs</v>
      </c>
      <c r="H10710" t="str">
        <v>Mollweide</v>
      </c>
      <c r="I10710" t="str">
        <v>Steins (2015) - Sphere / Ocentric / Mollweide, clon = 180</v>
      </c>
      <c r="J10710" t="str">
        <v>Not specified.</v>
      </c>
      <c r="K10710" s="11">
        <v>0</v>
      </c>
    </row>
    <row r="10711" spans="5:11" x14ac:dyDescent="0.35">
      <c r="E10711" s="9" t="str">
        <v>IAU_2015</v>
      </c>
      <c r="F10711" s="7" t="str">
        <v>200286750</v>
      </c>
      <c r="G10711" t="str">
        <v>ProjectedCrs</v>
      </c>
      <c r="H10711" t="str">
        <v>Robinson</v>
      </c>
      <c r="I10711" t="str">
        <v>Steins (2015) - Sphere / Ocentric / Robinson, clon = 0</v>
      </c>
      <c r="J10711" t="str">
        <v>Not specified.</v>
      </c>
      <c r="K10711" s="11">
        <v>0</v>
      </c>
    </row>
    <row r="10712" spans="5:11" x14ac:dyDescent="0.35">
      <c r="E10712" s="9" t="str">
        <v>IAU_2015</v>
      </c>
      <c r="F10712" s="7" t="str">
        <v>200286755</v>
      </c>
      <c r="G10712" t="str">
        <v>ProjectedCrs</v>
      </c>
      <c r="H10712" t="str">
        <v>Robinson</v>
      </c>
      <c r="I10712" t="str">
        <v>Steins (2015) - Sphere / Ocentric / Robinson, clon = 180</v>
      </c>
      <c r="J10712" t="str">
        <v>Not specified.</v>
      </c>
      <c r="K10712" s="11">
        <v>0</v>
      </c>
    </row>
    <row r="10713" spans="5:11" x14ac:dyDescent="0.35">
      <c r="E10713" s="9" t="str">
        <v>IAU_2015</v>
      </c>
      <c r="F10713" s="7" t="str">
        <v>200286760</v>
      </c>
      <c r="G10713" t="str">
        <v>ProjectedCrs</v>
      </c>
      <c r="H10713" t="str">
        <v>Transverse Mercator</v>
      </c>
      <c r="I10713" t="str">
        <v>Steins (2015) - Sphere / Ocentric / Tranverse Mercator</v>
      </c>
      <c r="J10713" t="str">
        <v>Not specified.</v>
      </c>
      <c r="K10713" s="11">
        <v>0</v>
      </c>
    </row>
    <row r="10714" spans="5:11" x14ac:dyDescent="0.35">
      <c r="E10714" s="9" t="str">
        <v>IAU_2015</v>
      </c>
      <c r="F10714" s="7" t="str">
        <v>200286765</v>
      </c>
      <c r="G10714" t="str">
        <v>ProjectedCrs</v>
      </c>
      <c r="H10714" t="str">
        <v>Orthographic</v>
      </c>
      <c r="I10714" t="str">
        <v>Steins (2015) - Sphere / Ocentric / Orthographic, clon = 0</v>
      </c>
      <c r="J10714" t="str">
        <v>Not specified.</v>
      </c>
      <c r="K10714" s="11">
        <v>0</v>
      </c>
    </row>
    <row r="10715" spans="5:11" x14ac:dyDescent="0.35">
      <c r="E10715" s="9" t="str">
        <v>IAU_2015</v>
      </c>
      <c r="F10715" s="7" t="str">
        <v>200286770</v>
      </c>
      <c r="G10715" t="str">
        <v>ProjectedCrs</v>
      </c>
      <c r="H10715" t="str">
        <v>Orthographic</v>
      </c>
      <c r="I10715" t="str">
        <v>Steins (2015) - Sphere / Ocentric / Orthographic, clon = 180</v>
      </c>
      <c r="J10715" t="str">
        <v>Not specified.</v>
      </c>
      <c r="K10715" s="11">
        <v>0</v>
      </c>
    </row>
    <row r="10716" spans="5:11" x14ac:dyDescent="0.35">
      <c r="E10716" s="9" t="str">
        <v>IAU_2015</v>
      </c>
      <c r="F10716" s="7" t="str">
        <v>200286775</v>
      </c>
      <c r="G10716" t="str">
        <v>ProjectedCrs</v>
      </c>
      <c r="H10716" t="str">
        <v>Lambert Conic Conformal (2SP)</v>
      </c>
      <c r="I10716" t="str">
        <v>Steins (2015) - Sphere / Ocentric / Lambert Conic Conformal</v>
      </c>
      <c r="J10716" t="str">
        <v>Not specified.</v>
      </c>
      <c r="K10716" s="11">
        <v>0</v>
      </c>
    </row>
    <row r="10717" spans="5:11" x14ac:dyDescent="0.35">
      <c r="E10717" s="9" t="str">
        <v>IAU_2015</v>
      </c>
      <c r="F10717" s="7" t="str">
        <v>200286780</v>
      </c>
      <c r="G10717" t="str">
        <v>ProjectedCrs</v>
      </c>
      <c r="H10717" t="str">
        <v>Lambert Azimuthal Equal Area</v>
      </c>
      <c r="I10717" t="str">
        <v>Steins (2015) - Sphere / Ocentric / Lambert Azimuthal Equal Area</v>
      </c>
      <c r="J10717" t="str">
        <v>Not specified.</v>
      </c>
      <c r="K10717" s="11">
        <v>0</v>
      </c>
    </row>
    <row r="10718" spans="5:11" x14ac:dyDescent="0.35">
      <c r="E10718" s="9" t="str">
        <v>IAU_2015</v>
      </c>
      <c r="F10718" s="7" t="str">
        <v>200286785</v>
      </c>
      <c r="G10718" t="str">
        <v>ProjectedCrs</v>
      </c>
      <c r="H10718" t="str">
        <v>Albers Equal Area</v>
      </c>
      <c r="I10718" t="str">
        <v>Steins (2015) - Sphere / Ocentric / Albers Equal Area</v>
      </c>
      <c r="J10718" t="str">
        <v>Not specified.</v>
      </c>
      <c r="K10718" s="11">
        <v>0</v>
      </c>
    </row>
    <row r="10719" spans="5:11" x14ac:dyDescent="0.35">
      <c r="E10719" s="9" t="str">
        <v>IAU_2015</v>
      </c>
      <c r="F10719" s="7" t="str">
        <v>200286790</v>
      </c>
      <c r="G10719" t="str">
        <v>ProjectedCrs</v>
      </c>
      <c r="H10719" t="str">
        <v>Mercator (Spherical)</v>
      </c>
      <c r="I10719" t="str">
        <v>Steins (2015) - Sphere / Ocentric / Mercator</v>
      </c>
      <c r="J10719" t="str">
        <v>Not specified.</v>
      </c>
      <c r="K10719" s="11">
        <v>0</v>
      </c>
    </row>
    <row r="10720" spans="5:11" x14ac:dyDescent="0.35">
      <c r="E10720" s="9" t="str">
        <v>IAU_2015</v>
      </c>
      <c r="F10720" s="7" t="str">
        <v>200417900</v>
      </c>
      <c r="G10720" t="str">
        <v>Geographic2DCrs</v>
      </c>
      <c r="H10720" t="str">
        <v>&lt;undefined&gt;</v>
      </c>
      <c r="I10720" t="str">
        <v>Toutatis (2015) - Sphere / Ocentric</v>
      </c>
      <c r="J10720" t="str">
        <v>Not specified.</v>
      </c>
      <c r="K10720" s="11">
        <v>0</v>
      </c>
    </row>
    <row r="10721" spans="5:11" x14ac:dyDescent="0.35">
      <c r="E10721" s="9" t="str">
        <v>IAU_2015</v>
      </c>
      <c r="F10721" s="7" t="str">
        <v>200417910</v>
      </c>
      <c r="G10721" t="str">
        <v>ProjectedCrs</v>
      </c>
      <c r="H10721" t="str">
        <v>Equidistant Cylindrical</v>
      </c>
      <c r="I10721" t="str">
        <v>Toutatis (2015) - Sphere / Ocentric / Equirectangular, clon = 0</v>
      </c>
      <c r="J10721" t="str">
        <v>Not specified.</v>
      </c>
      <c r="K10721" s="11">
        <v>0</v>
      </c>
    </row>
    <row r="10722" spans="5:11" x14ac:dyDescent="0.35">
      <c r="E10722" s="9" t="str">
        <v>IAU_2015</v>
      </c>
      <c r="F10722" s="7" t="str">
        <v>200417915</v>
      </c>
      <c r="G10722" t="str">
        <v>ProjectedCrs</v>
      </c>
      <c r="H10722" t="str">
        <v>Equidistant Cylindrical</v>
      </c>
      <c r="I10722" t="str">
        <v>Toutatis (2015) - Sphere / Ocentric / Equirectangular, clon = 180</v>
      </c>
      <c r="J10722" t="str">
        <v>Not specified.</v>
      </c>
      <c r="K10722" s="11">
        <v>0</v>
      </c>
    </row>
    <row r="10723" spans="5:11" x14ac:dyDescent="0.35">
      <c r="E10723" s="9" t="str">
        <v>IAU_2015</v>
      </c>
      <c r="F10723" s="7" t="str">
        <v>200417920</v>
      </c>
      <c r="G10723" t="str">
        <v>ProjectedCrs</v>
      </c>
      <c r="H10723" t="str">
        <v>Sinusoidal</v>
      </c>
      <c r="I10723" t="str">
        <v>Toutatis (2015) - Sphere / Ocentric / Sinusoidal, clon = 0</v>
      </c>
      <c r="J10723" t="str">
        <v>Not specified.</v>
      </c>
      <c r="K10723" s="11">
        <v>0</v>
      </c>
    </row>
    <row r="10724" spans="5:11" x14ac:dyDescent="0.35">
      <c r="E10724" s="9" t="str">
        <v>IAU_2015</v>
      </c>
      <c r="F10724" s="7" t="str">
        <v>200417925</v>
      </c>
      <c r="G10724" t="str">
        <v>ProjectedCrs</v>
      </c>
      <c r="H10724" t="str">
        <v>Sinusoidal</v>
      </c>
      <c r="I10724" t="str">
        <v>Toutatis (2015) - Sphere / Ocentric / Sinusoidal, clon = 180</v>
      </c>
      <c r="J10724" t="str">
        <v>Not specified.</v>
      </c>
      <c r="K10724" s="11">
        <v>0</v>
      </c>
    </row>
    <row r="10725" spans="5:11" x14ac:dyDescent="0.35">
      <c r="E10725" s="9" t="str">
        <v>IAU_2015</v>
      </c>
      <c r="F10725" s="7" t="str">
        <v>200417930</v>
      </c>
      <c r="G10725" t="str">
        <v>ProjectedCrs</v>
      </c>
      <c r="H10725" t="str">
        <v>Polar Stereographic (variant A)</v>
      </c>
      <c r="I10725" t="str">
        <v>Toutatis (2015) - Sphere / Ocentric / North Polar</v>
      </c>
      <c r="J10725" t="str">
        <v>Not specified.</v>
      </c>
      <c r="K10725" s="11">
        <v>0</v>
      </c>
    </row>
    <row r="10726" spans="5:11" x14ac:dyDescent="0.35">
      <c r="E10726" s="9" t="str">
        <v>IAU_2015</v>
      </c>
      <c r="F10726" s="7" t="str">
        <v>200417935</v>
      </c>
      <c r="G10726" t="str">
        <v>ProjectedCrs</v>
      </c>
      <c r="H10726" t="str">
        <v>Polar Stereographic (variant A)</v>
      </c>
      <c r="I10726" t="str">
        <v>Toutatis (2015) - Sphere / Ocentric / South Polar</v>
      </c>
      <c r="J10726" t="str">
        <v>Not specified.</v>
      </c>
      <c r="K10726" s="11">
        <v>0</v>
      </c>
    </row>
    <row r="10727" spans="5:11" x14ac:dyDescent="0.35">
      <c r="E10727" s="9" t="str">
        <v>IAU_2015</v>
      </c>
      <c r="F10727" s="7" t="str">
        <v>200417940</v>
      </c>
      <c r="G10727" t="str">
        <v>ProjectedCrs</v>
      </c>
      <c r="H10727" t="str">
        <v>Mollweide</v>
      </c>
      <c r="I10727" t="str">
        <v>Toutatis (2015) - Sphere / Ocentric / Mollweide, clon = 0</v>
      </c>
      <c r="J10727" t="str">
        <v>Not specified.</v>
      </c>
      <c r="K10727" s="11">
        <v>0</v>
      </c>
    </row>
    <row r="10728" spans="5:11" x14ac:dyDescent="0.35">
      <c r="E10728" s="9" t="str">
        <v>IAU_2015</v>
      </c>
      <c r="F10728" s="7" t="str">
        <v>200417945</v>
      </c>
      <c r="G10728" t="str">
        <v>ProjectedCrs</v>
      </c>
      <c r="H10728" t="str">
        <v>Mollweide</v>
      </c>
      <c r="I10728" t="str">
        <v>Toutatis (2015) - Sphere / Ocentric / Mollweide, clon = 180</v>
      </c>
      <c r="J10728" t="str">
        <v>Not specified.</v>
      </c>
      <c r="K10728" s="11">
        <v>0</v>
      </c>
    </row>
    <row r="10729" spans="5:11" x14ac:dyDescent="0.35">
      <c r="E10729" s="9" t="str">
        <v>IAU_2015</v>
      </c>
      <c r="F10729" s="7" t="str">
        <v>200417950</v>
      </c>
      <c r="G10729" t="str">
        <v>ProjectedCrs</v>
      </c>
      <c r="H10729" t="str">
        <v>Robinson</v>
      </c>
      <c r="I10729" t="str">
        <v>Toutatis (2015) - Sphere / Ocentric / Robinson, clon = 0</v>
      </c>
      <c r="J10729" t="str">
        <v>Not specified.</v>
      </c>
      <c r="K10729" s="11">
        <v>0</v>
      </c>
    </row>
    <row r="10730" spans="5:11" x14ac:dyDescent="0.35">
      <c r="E10730" s="9" t="str">
        <v>IAU_2015</v>
      </c>
      <c r="F10730" s="7" t="str">
        <v>200417955</v>
      </c>
      <c r="G10730" t="str">
        <v>ProjectedCrs</v>
      </c>
      <c r="H10730" t="str">
        <v>Robinson</v>
      </c>
      <c r="I10730" t="str">
        <v>Toutatis (2015) - Sphere / Ocentric / Robinson, clon = 180</v>
      </c>
      <c r="J10730" t="str">
        <v>Not specified.</v>
      </c>
      <c r="K10730" s="11">
        <v>0</v>
      </c>
    </row>
    <row r="10731" spans="5:11" x14ac:dyDescent="0.35">
      <c r="E10731" s="9" t="str">
        <v>IAU_2015</v>
      </c>
      <c r="F10731" s="7" t="str">
        <v>200417960</v>
      </c>
      <c r="G10731" t="str">
        <v>ProjectedCrs</v>
      </c>
      <c r="H10731" t="str">
        <v>Transverse Mercator</v>
      </c>
      <c r="I10731" t="str">
        <v>Toutatis (2015) - Sphere / Ocentric / Tranverse Mercator</v>
      </c>
      <c r="J10731" t="str">
        <v>Not specified.</v>
      </c>
      <c r="K10731" s="11">
        <v>0</v>
      </c>
    </row>
    <row r="10732" spans="5:11" x14ac:dyDescent="0.35">
      <c r="E10732" s="9" t="str">
        <v>IAU_2015</v>
      </c>
      <c r="F10732" s="7" t="str">
        <v>200417965</v>
      </c>
      <c r="G10732" t="str">
        <v>ProjectedCrs</v>
      </c>
      <c r="H10732" t="str">
        <v>Orthographic</v>
      </c>
      <c r="I10732" t="str">
        <v>Toutatis (2015) - Sphere / Ocentric / Orthographic, clon = 0</v>
      </c>
      <c r="J10732" t="str">
        <v>Not specified.</v>
      </c>
      <c r="K10732" s="11">
        <v>0</v>
      </c>
    </row>
    <row r="10733" spans="5:11" x14ac:dyDescent="0.35">
      <c r="E10733" s="9" t="str">
        <v>IAU_2015</v>
      </c>
      <c r="F10733" s="7" t="str">
        <v>200417970</v>
      </c>
      <c r="G10733" t="str">
        <v>ProjectedCrs</v>
      </c>
      <c r="H10733" t="str">
        <v>Orthographic</v>
      </c>
      <c r="I10733" t="str">
        <v>Toutatis (2015) - Sphere / Ocentric / Orthographic, clon = 180</v>
      </c>
      <c r="J10733" t="str">
        <v>Not specified.</v>
      </c>
      <c r="K10733" s="11">
        <v>0</v>
      </c>
    </row>
    <row r="10734" spans="5:11" x14ac:dyDescent="0.35">
      <c r="E10734" s="9" t="str">
        <v>IAU_2015</v>
      </c>
      <c r="F10734" s="7" t="str">
        <v>200417975</v>
      </c>
      <c r="G10734" t="str">
        <v>ProjectedCrs</v>
      </c>
      <c r="H10734" t="str">
        <v>Lambert Conic Conformal (2SP)</v>
      </c>
      <c r="I10734" t="str">
        <v>Toutatis (2015) - Sphere / Ocentric / Lambert Conic Conformal</v>
      </c>
      <c r="J10734" t="str">
        <v>Not specified.</v>
      </c>
      <c r="K10734" s="11">
        <v>0</v>
      </c>
    </row>
    <row r="10735" spans="5:11" x14ac:dyDescent="0.35">
      <c r="E10735" s="9" t="str">
        <v>IAU_2015</v>
      </c>
      <c r="F10735" s="7" t="str">
        <v>200417980</v>
      </c>
      <c r="G10735" t="str">
        <v>ProjectedCrs</v>
      </c>
      <c r="H10735" t="str">
        <v>Lambert Azimuthal Equal Area</v>
      </c>
      <c r="I10735" t="str">
        <v>Toutatis (2015) - Sphere / Ocentric / Lambert Azimuthal Equal Area</v>
      </c>
      <c r="J10735" t="str">
        <v>Not specified.</v>
      </c>
      <c r="K10735" s="11">
        <v>0</v>
      </c>
    </row>
    <row r="10736" spans="5:11" x14ac:dyDescent="0.35">
      <c r="E10736" s="9" t="str">
        <v>IAU_2015</v>
      </c>
      <c r="F10736" s="7" t="str">
        <v>200417985</v>
      </c>
      <c r="G10736" t="str">
        <v>ProjectedCrs</v>
      </c>
      <c r="H10736" t="str">
        <v>Albers Equal Area</v>
      </c>
      <c r="I10736" t="str">
        <v>Toutatis (2015) - Sphere / Ocentric / Albers Equal Area</v>
      </c>
      <c r="J10736" t="str">
        <v>Not specified.</v>
      </c>
      <c r="K10736" s="11">
        <v>0</v>
      </c>
    </row>
    <row r="10737" spans="5:11" x14ac:dyDescent="0.35">
      <c r="E10737" s="9" t="str">
        <v>IAU_2015</v>
      </c>
      <c r="F10737" s="7" t="str">
        <v>200417990</v>
      </c>
      <c r="G10737" t="str">
        <v>ProjectedCrs</v>
      </c>
      <c r="H10737" t="str">
        <v>Mercator (Spherical)</v>
      </c>
      <c r="I10737" t="str">
        <v>Toutatis (2015) - Sphere / Ocentric / Mercator</v>
      </c>
      <c r="J10737" t="str">
        <v>Not specified.</v>
      </c>
      <c r="K10737" s="11">
        <v>0</v>
      </c>
    </row>
    <row r="10738" spans="5:11" x14ac:dyDescent="0.35">
      <c r="E10738" s="9" t="str">
        <v>IAU_2015</v>
      </c>
      <c r="F10738" s="7" t="str">
        <v>202514300</v>
      </c>
      <c r="G10738" t="str">
        <v>Geographic2DCrs</v>
      </c>
      <c r="H10738" t="str">
        <v>&lt;undefined&gt;</v>
      </c>
      <c r="I10738" t="str">
        <v>Itokawa (2015) - Sphere / Ocentric</v>
      </c>
      <c r="J10738" t="str">
        <v>Not specified.</v>
      </c>
      <c r="K10738" s="11">
        <v>0</v>
      </c>
    </row>
    <row r="10739" spans="5:11" x14ac:dyDescent="0.35">
      <c r="E10739" s="9" t="str">
        <v>IAU_2015</v>
      </c>
      <c r="F10739" s="7" t="str">
        <v>202514310</v>
      </c>
      <c r="G10739" t="str">
        <v>ProjectedCrs</v>
      </c>
      <c r="H10739" t="str">
        <v>Equidistant Cylindrical</v>
      </c>
      <c r="I10739" t="str">
        <v>Itokawa (2015) - Sphere / Ocentric / Equirectangular, clon = 0</v>
      </c>
      <c r="J10739" t="str">
        <v>Not specified.</v>
      </c>
      <c r="K10739" s="11">
        <v>0</v>
      </c>
    </row>
    <row r="10740" spans="5:11" x14ac:dyDescent="0.35">
      <c r="E10740" s="9" t="str">
        <v>IAU_2015</v>
      </c>
      <c r="F10740" s="7" t="str">
        <v>202514315</v>
      </c>
      <c r="G10740" t="str">
        <v>ProjectedCrs</v>
      </c>
      <c r="H10740" t="str">
        <v>Equidistant Cylindrical</v>
      </c>
      <c r="I10740" t="str">
        <v>Itokawa (2015) - Sphere / Ocentric / Equirectangular, clon = 180</v>
      </c>
      <c r="J10740" t="str">
        <v>Not specified.</v>
      </c>
      <c r="K10740" s="11">
        <v>0</v>
      </c>
    </row>
    <row r="10741" spans="5:11" x14ac:dyDescent="0.35">
      <c r="E10741" s="9" t="str">
        <v>IAU_2015</v>
      </c>
      <c r="F10741" s="7" t="str">
        <v>202514320</v>
      </c>
      <c r="G10741" t="str">
        <v>ProjectedCrs</v>
      </c>
      <c r="H10741" t="str">
        <v>Sinusoidal</v>
      </c>
      <c r="I10741" t="str">
        <v>Itokawa (2015) - Sphere / Ocentric / Sinusoidal, clon = 0</v>
      </c>
      <c r="J10741" t="str">
        <v>Not specified.</v>
      </c>
      <c r="K10741" s="11">
        <v>0</v>
      </c>
    </row>
    <row r="10742" spans="5:11" x14ac:dyDescent="0.35">
      <c r="E10742" s="9" t="str">
        <v>IAU_2015</v>
      </c>
      <c r="F10742" s="7" t="str">
        <v>202514325</v>
      </c>
      <c r="G10742" t="str">
        <v>ProjectedCrs</v>
      </c>
      <c r="H10742" t="str">
        <v>Sinusoidal</v>
      </c>
      <c r="I10742" t="str">
        <v>Itokawa (2015) - Sphere / Ocentric / Sinusoidal, clon = 180</v>
      </c>
      <c r="J10742" t="str">
        <v>Not specified.</v>
      </c>
      <c r="K10742" s="11">
        <v>0</v>
      </c>
    </row>
    <row r="10743" spans="5:11" x14ac:dyDescent="0.35">
      <c r="E10743" s="9" t="str">
        <v>IAU_2015</v>
      </c>
      <c r="F10743" s="7" t="str">
        <v>202514330</v>
      </c>
      <c r="G10743" t="str">
        <v>ProjectedCrs</v>
      </c>
      <c r="H10743" t="str">
        <v>Polar Stereographic (variant A)</v>
      </c>
      <c r="I10743" t="str">
        <v>Itokawa (2015) - Sphere / Ocentric / North Polar</v>
      </c>
      <c r="J10743" t="str">
        <v>Not specified.</v>
      </c>
      <c r="K10743" s="11">
        <v>0</v>
      </c>
    </row>
    <row r="10744" spans="5:11" x14ac:dyDescent="0.35">
      <c r="E10744" s="9" t="str">
        <v>IAU_2015</v>
      </c>
      <c r="F10744" s="7" t="str">
        <v>202514335</v>
      </c>
      <c r="G10744" t="str">
        <v>ProjectedCrs</v>
      </c>
      <c r="H10744" t="str">
        <v>Polar Stereographic (variant A)</v>
      </c>
      <c r="I10744" t="str">
        <v>Itokawa (2015) - Sphere / Ocentric / South Polar</v>
      </c>
      <c r="J10744" t="str">
        <v>Not specified.</v>
      </c>
      <c r="K10744" s="11">
        <v>0</v>
      </c>
    </row>
    <row r="10745" spans="5:11" x14ac:dyDescent="0.35">
      <c r="E10745" s="9" t="str">
        <v>IAU_2015</v>
      </c>
      <c r="F10745" s="7" t="str">
        <v>202514340</v>
      </c>
      <c r="G10745" t="str">
        <v>ProjectedCrs</v>
      </c>
      <c r="H10745" t="str">
        <v>Mollweide</v>
      </c>
      <c r="I10745" t="str">
        <v>Itokawa (2015) - Sphere / Ocentric / Mollweide, clon = 0</v>
      </c>
      <c r="J10745" t="str">
        <v>Not specified.</v>
      </c>
      <c r="K10745" s="11">
        <v>0</v>
      </c>
    </row>
    <row r="10746" spans="5:11" x14ac:dyDescent="0.35">
      <c r="E10746" s="9" t="str">
        <v>IAU_2015</v>
      </c>
      <c r="F10746" s="7" t="str">
        <v>202514345</v>
      </c>
      <c r="G10746" t="str">
        <v>ProjectedCrs</v>
      </c>
      <c r="H10746" t="str">
        <v>Mollweide</v>
      </c>
      <c r="I10746" t="str">
        <v>Itokawa (2015) - Sphere / Ocentric / Mollweide, clon = 180</v>
      </c>
      <c r="J10746" t="str">
        <v>Not specified.</v>
      </c>
      <c r="K10746" s="11">
        <v>0</v>
      </c>
    </row>
    <row r="10747" spans="5:11" x14ac:dyDescent="0.35">
      <c r="E10747" s="9" t="str">
        <v>IAU_2015</v>
      </c>
      <c r="F10747" s="7" t="str">
        <v>202514350</v>
      </c>
      <c r="G10747" t="str">
        <v>ProjectedCrs</v>
      </c>
      <c r="H10747" t="str">
        <v>Robinson</v>
      </c>
      <c r="I10747" t="str">
        <v>Itokawa (2015) - Sphere / Ocentric / Robinson, clon = 0</v>
      </c>
      <c r="J10747" t="str">
        <v>Not specified.</v>
      </c>
      <c r="K10747" s="11">
        <v>0</v>
      </c>
    </row>
    <row r="10748" spans="5:11" x14ac:dyDescent="0.35">
      <c r="E10748" s="9" t="str">
        <v>IAU_2015</v>
      </c>
      <c r="F10748" s="7" t="str">
        <v>202514355</v>
      </c>
      <c r="G10748" t="str">
        <v>ProjectedCrs</v>
      </c>
      <c r="H10748" t="str">
        <v>Robinson</v>
      </c>
      <c r="I10748" t="str">
        <v>Itokawa (2015) - Sphere / Ocentric / Robinson, clon = 180</v>
      </c>
      <c r="J10748" t="str">
        <v>Not specified.</v>
      </c>
      <c r="K10748" s="11">
        <v>0</v>
      </c>
    </row>
    <row r="10749" spans="5:11" x14ac:dyDescent="0.35">
      <c r="E10749" s="9" t="str">
        <v>IAU_2015</v>
      </c>
      <c r="F10749" s="7" t="str">
        <v>202514360</v>
      </c>
      <c r="G10749" t="str">
        <v>ProjectedCrs</v>
      </c>
      <c r="H10749" t="str">
        <v>Transverse Mercator</v>
      </c>
      <c r="I10749" t="str">
        <v>Itokawa (2015) - Sphere / Ocentric / Tranverse Mercator</v>
      </c>
      <c r="J10749" t="str">
        <v>Not specified.</v>
      </c>
      <c r="K10749" s="11">
        <v>0</v>
      </c>
    </row>
    <row r="10750" spans="5:11" x14ac:dyDescent="0.35">
      <c r="E10750" s="9" t="str">
        <v>IAU_2015</v>
      </c>
      <c r="F10750" s="7" t="str">
        <v>202514365</v>
      </c>
      <c r="G10750" t="str">
        <v>ProjectedCrs</v>
      </c>
      <c r="H10750" t="str">
        <v>Orthographic</v>
      </c>
      <c r="I10750" t="str">
        <v>Itokawa (2015) - Sphere / Ocentric / Orthographic, clon = 0</v>
      </c>
      <c r="J10750" t="str">
        <v>Not specified.</v>
      </c>
      <c r="K10750" s="11">
        <v>0</v>
      </c>
    </row>
    <row r="10751" spans="5:11" x14ac:dyDescent="0.35">
      <c r="E10751" s="9" t="str">
        <v>IAU_2015</v>
      </c>
      <c r="F10751" s="7" t="str">
        <v>202514370</v>
      </c>
      <c r="G10751" t="str">
        <v>ProjectedCrs</v>
      </c>
      <c r="H10751" t="str">
        <v>Orthographic</v>
      </c>
      <c r="I10751" t="str">
        <v>Itokawa (2015) - Sphere / Ocentric / Orthographic, clon = 180</v>
      </c>
      <c r="J10751" t="str">
        <v>Not specified.</v>
      </c>
      <c r="K10751" s="11">
        <v>0</v>
      </c>
    </row>
    <row r="10752" spans="5:11" x14ac:dyDescent="0.35">
      <c r="E10752" s="9" t="str">
        <v>IAU_2015</v>
      </c>
      <c r="F10752" s="7" t="str">
        <v>202514375</v>
      </c>
      <c r="G10752" t="str">
        <v>ProjectedCrs</v>
      </c>
      <c r="H10752" t="str">
        <v>Lambert Conic Conformal (2SP)</v>
      </c>
      <c r="I10752" t="str">
        <v>Itokawa (2015) - Sphere / Ocentric / Lambert Conic Conformal</v>
      </c>
      <c r="J10752" t="str">
        <v>Not specified.</v>
      </c>
      <c r="K10752" s="11">
        <v>0</v>
      </c>
    </row>
    <row r="10753" spans="5:11" x14ac:dyDescent="0.35">
      <c r="E10753" s="9" t="str">
        <v>IAU_2015</v>
      </c>
      <c r="F10753" s="7" t="str">
        <v>202514380</v>
      </c>
      <c r="G10753" t="str">
        <v>ProjectedCrs</v>
      </c>
      <c r="H10753" t="str">
        <v>Lambert Azimuthal Equal Area</v>
      </c>
      <c r="I10753" t="str">
        <v>Itokawa (2015) - Sphere / Ocentric / Lambert Azimuthal Equal Area</v>
      </c>
      <c r="J10753" t="str">
        <v>Not specified.</v>
      </c>
      <c r="K10753" s="11">
        <v>0</v>
      </c>
    </row>
    <row r="10754" spans="5:11" x14ac:dyDescent="0.35">
      <c r="E10754" s="9" t="str">
        <v>IAU_2015</v>
      </c>
      <c r="F10754" s="7" t="str">
        <v>202514385</v>
      </c>
      <c r="G10754" t="str">
        <v>ProjectedCrs</v>
      </c>
      <c r="H10754" t="str">
        <v>Albers Equal Area</v>
      </c>
      <c r="I10754" t="str">
        <v>Itokawa (2015) - Sphere / Ocentric / Albers Equal Area</v>
      </c>
      <c r="J10754" t="str">
        <v>Not specified.</v>
      </c>
      <c r="K10754" s="11">
        <v>0</v>
      </c>
    </row>
    <row r="10755" spans="5:11" x14ac:dyDescent="0.35">
      <c r="E10755" s="9" t="str">
        <v>IAU_2015</v>
      </c>
      <c r="F10755" s="7" t="str">
        <v>202514390</v>
      </c>
      <c r="G10755" t="str">
        <v>ProjectedCrs</v>
      </c>
      <c r="H10755" t="str">
        <v>Mercator (Spherical)</v>
      </c>
      <c r="I10755" t="str">
        <v>Itokawa (2015) - Sphere / Ocentric / Mercator</v>
      </c>
      <c r="J10755" t="str">
        <v>Not specified.</v>
      </c>
      <c r="K10755" s="11">
        <v>0</v>
      </c>
    </row>
    <row r="10756" spans="5:11" x14ac:dyDescent="0.35">
      <c r="E10756" s="9" t="str">
        <v>IAU_2015</v>
      </c>
      <c r="F10756" s="7" t="str">
        <v>243101000</v>
      </c>
      <c r="G10756" t="str">
        <v>Geographic2DCrs</v>
      </c>
      <c r="H10756" t="str">
        <v>&lt;undefined&gt;</v>
      </c>
      <c r="I10756" t="str">
        <v>Ida (2015) - Sphere / Ocentric</v>
      </c>
      <c r="J10756" t="str">
        <v>Not specified.</v>
      </c>
      <c r="K10756" s="11">
        <v>0</v>
      </c>
    </row>
    <row r="10757" spans="5:11" x14ac:dyDescent="0.35">
      <c r="E10757" s="9" t="str">
        <v>IAU_2015</v>
      </c>
      <c r="F10757" s="7" t="str">
        <v>243101010</v>
      </c>
      <c r="G10757" t="str">
        <v>ProjectedCrs</v>
      </c>
      <c r="H10757" t="str">
        <v>Equidistant Cylindrical</v>
      </c>
      <c r="I10757" t="str">
        <v>Ida (2015) - Sphere / Ocentric / Equirectangular, clon = 0</v>
      </c>
      <c r="J10757" t="str">
        <v>Not specified.</v>
      </c>
      <c r="K10757" s="11">
        <v>0</v>
      </c>
    </row>
    <row r="10758" spans="5:11" x14ac:dyDescent="0.35">
      <c r="E10758" s="9" t="str">
        <v>IAU_2015</v>
      </c>
      <c r="F10758" s="7" t="str">
        <v>243101015</v>
      </c>
      <c r="G10758" t="str">
        <v>ProjectedCrs</v>
      </c>
      <c r="H10758" t="str">
        <v>Equidistant Cylindrical</v>
      </c>
      <c r="I10758" t="str">
        <v>Ida (2015) - Sphere / Ocentric / Equirectangular, clon = 180</v>
      </c>
      <c r="J10758" t="str">
        <v>Not specified.</v>
      </c>
      <c r="K10758" s="11">
        <v>0</v>
      </c>
    </row>
    <row r="10759" spans="5:11" x14ac:dyDescent="0.35">
      <c r="E10759" s="9" t="str">
        <v>IAU_2015</v>
      </c>
      <c r="F10759" s="7" t="str">
        <v>243101020</v>
      </c>
      <c r="G10759" t="str">
        <v>ProjectedCrs</v>
      </c>
      <c r="H10759" t="str">
        <v>Sinusoidal</v>
      </c>
      <c r="I10759" t="str">
        <v>Ida (2015) - Sphere / Ocentric / Sinusoidal, clon = 0</v>
      </c>
      <c r="J10759" t="str">
        <v>Not specified.</v>
      </c>
      <c r="K10759" s="11">
        <v>0</v>
      </c>
    </row>
    <row r="10760" spans="5:11" x14ac:dyDescent="0.35">
      <c r="E10760" s="9" t="str">
        <v>IAU_2015</v>
      </c>
      <c r="F10760" s="7" t="str">
        <v>243101025</v>
      </c>
      <c r="G10760" t="str">
        <v>ProjectedCrs</v>
      </c>
      <c r="H10760" t="str">
        <v>Sinusoidal</v>
      </c>
      <c r="I10760" t="str">
        <v>Ida (2015) - Sphere / Ocentric / Sinusoidal, clon = 180</v>
      </c>
      <c r="J10760" t="str">
        <v>Not specified.</v>
      </c>
      <c r="K10760" s="11">
        <v>0</v>
      </c>
    </row>
    <row r="10761" spans="5:11" x14ac:dyDescent="0.35">
      <c r="E10761" s="9" t="str">
        <v>IAU_2015</v>
      </c>
      <c r="F10761" s="7" t="str">
        <v>243101030</v>
      </c>
      <c r="G10761" t="str">
        <v>ProjectedCrs</v>
      </c>
      <c r="H10761" t="str">
        <v>Polar Stereographic (variant A)</v>
      </c>
      <c r="I10761" t="str">
        <v>Ida (2015) - Sphere / Ocentric / North Polar</v>
      </c>
      <c r="J10761" t="str">
        <v>Not specified.</v>
      </c>
      <c r="K10761" s="11">
        <v>0</v>
      </c>
    </row>
    <row r="10762" spans="5:11" x14ac:dyDescent="0.35">
      <c r="E10762" s="9" t="str">
        <v>IAU_2015</v>
      </c>
      <c r="F10762" s="7" t="str">
        <v>243101035</v>
      </c>
      <c r="G10762" t="str">
        <v>ProjectedCrs</v>
      </c>
      <c r="H10762" t="str">
        <v>Polar Stereographic (variant A)</v>
      </c>
      <c r="I10762" t="str">
        <v>Ida (2015) - Sphere / Ocentric / South Polar</v>
      </c>
      <c r="J10762" t="str">
        <v>Not specified.</v>
      </c>
      <c r="K10762" s="11">
        <v>0</v>
      </c>
    </row>
    <row r="10763" spans="5:11" x14ac:dyDescent="0.35">
      <c r="E10763" s="9" t="str">
        <v>IAU_2015</v>
      </c>
      <c r="F10763" s="7" t="str">
        <v>243101040</v>
      </c>
      <c r="G10763" t="str">
        <v>ProjectedCrs</v>
      </c>
      <c r="H10763" t="str">
        <v>Mollweide</v>
      </c>
      <c r="I10763" t="str">
        <v>Ida (2015) - Sphere / Ocentric / Mollweide, clon = 0</v>
      </c>
      <c r="J10763" t="str">
        <v>Not specified.</v>
      </c>
      <c r="K10763" s="11">
        <v>0</v>
      </c>
    </row>
    <row r="10764" spans="5:11" x14ac:dyDescent="0.35">
      <c r="E10764" s="9" t="str">
        <v>IAU_2015</v>
      </c>
      <c r="F10764" s="7" t="str">
        <v>243101045</v>
      </c>
      <c r="G10764" t="str">
        <v>ProjectedCrs</v>
      </c>
      <c r="H10764" t="str">
        <v>Mollweide</v>
      </c>
      <c r="I10764" t="str">
        <v>Ida (2015) - Sphere / Ocentric / Mollweide, clon = 180</v>
      </c>
      <c r="J10764" t="str">
        <v>Not specified.</v>
      </c>
      <c r="K10764" s="11">
        <v>0</v>
      </c>
    </row>
    <row r="10765" spans="5:11" x14ac:dyDescent="0.35">
      <c r="E10765" s="9" t="str">
        <v>IAU_2015</v>
      </c>
      <c r="F10765" s="7" t="str">
        <v>243101050</v>
      </c>
      <c r="G10765" t="str">
        <v>ProjectedCrs</v>
      </c>
      <c r="H10765" t="str">
        <v>Robinson</v>
      </c>
      <c r="I10765" t="str">
        <v>Ida (2015) - Sphere / Ocentric / Robinson, clon = 0</v>
      </c>
      <c r="J10765" t="str">
        <v>Not specified.</v>
      </c>
      <c r="K10765" s="11">
        <v>0</v>
      </c>
    </row>
    <row r="10766" spans="5:11" x14ac:dyDescent="0.35">
      <c r="E10766" s="9" t="str">
        <v>IAU_2015</v>
      </c>
      <c r="F10766" s="7" t="str">
        <v>243101055</v>
      </c>
      <c r="G10766" t="str">
        <v>ProjectedCrs</v>
      </c>
      <c r="H10766" t="str">
        <v>Robinson</v>
      </c>
      <c r="I10766" t="str">
        <v>Ida (2015) - Sphere / Ocentric / Robinson, clon = 180</v>
      </c>
      <c r="J10766" t="str">
        <v>Not specified.</v>
      </c>
      <c r="K10766" s="11">
        <v>0</v>
      </c>
    </row>
    <row r="10767" spans="5:11" x14ac:dyDescent="0.35">
      <c r="E10767" s="9" t="str">
        <v>IAU_2015</v>
      </c>
      <c r="F10767" s="7" t="str">
        <v>243101060</v>
      </c>
      <c r="G10767" t="str">
        <v>ProjectedCrs</v>
      </c>
      <c r="H10767" t="str">
        <v>Transverse Mercator</v>
      </c>
      <c r="I10767" t="str">
        <v>Ida (2015) - Sphere / Ocentric / Tranverse Mercator</v>
      </c>
      <c r="J10767" t="str">
        <v>Not specified.</v>
      </c>
      <c r="K10767" s="11">
        <v>0</v>
      </c>
    </row>
    <row r="10768" spans="5:11" x14ac:dyDescent="0.35">
      <c r="E10768" s="9" t="str">
        <v>IAU_2015</v>
      </c>
      <c r="F10768" s="7" t="str">
        <v>243101065</v>
      </c>
      <c r="G10768" t="str">
        <v>ProjectedCrs</v>
      </c>
      <c r="H10768" t="str">
        <v>Orthographic</v>
      </c>
      <c r="I10768" t="str">
        <v>Ida (2015) - Sphere / Ocentric / Orthographic, clon = 0</v>
      </c>
      <c r="J10768" t="str">
        <v>Not specified.</v>
      </c>
      <c r="K10768" s="11">
        <v>0</v>
      </c>
    </row>
    <row r="10769" spans="5:11" x14ac:dyDescent="0.35">
      <c r="E10769" s="9" t="str">
        <v>IAU_2015</v>
      </c>
      <c r="F10769" s="7" t="str">
        <v>243101070</v>
      </c>
      <c r="G10769" t="str">
        <v>ProjectedCrs</v>
      </c>
      <c r="H10769" t="str">
        <v>Orthographic</v>
      </c>
      <c r="I10769" t="str">
        <v>Ida (2015) - Sphere / Ocentric / Orthographic, clon = 180</v>
      </c>
      <c r="J10769" t="str">
        <v>Not specified.</v>
      </c>
      <c r="K10769" s="11">
        <v>0</v>
      </c>
    </row>
    <row r="10770" spans="5:11" x14ac:dyDescent="0.35">
      <c r="E10770" s="9" t="str">
        <v>IAU_2015</v>
      </c>
      <c r="F10770" s="7" t="str">
        <v>243101075</v>
      </c>
      <c r="G10770" t="str">
        <v>ProjectedCrs</v>
      </c>
      <c r="H10770" t="str">
        <v>Lambert Conic Conformal (2SP)</v>
      </c>
      <c r="I10770" t="str">
        <v>Ida (2015) - Sphere / Ocentric / Lambert Conic Conformal</v>
      </c>
      <c r="J10770" t="str">
        <v>Not specified.</v>
      </c>
      <c r="K10770" s="11">
        <v>0</v>
      </c>
    </row>
    <row r="10771" spans="5:11" x14ac:dyDescent="0.35">
      <c r="E10771" s="9" t="str">
        <v>IAU_2015</v>
      </c>
      <c r="F10771" s="7" t="str">
        <v>243101080</v>
      </c>
      <c r="G10771" t="str">
        <v>ProjectedCrs</v>
      </c>
      <c r="H10771" t="str">
        <v>Lambert Azimuthal Equal Area</v>
      </c>
      <c r="I10771" t="str">
        <v>Ida (2015) - Sphere / Ocentric / Lambert Azimuthal Equal Area</v>
      </c>
      <c r="J10771" t="str">
        <v>Not specified.</v>
      </c>
      <c r="K10771" s="11">
        <v>0</v>
      </c>
    </row>
    <row r="10772" spans="5:11" x14ac:dyDescent="0.35">
      <c r="E10772" s="9" t="str">
        <v>IAU_2015</v>
      </c>
      <c r="F10772" s="7" t="str">
        <v>243101085</v>
      </c>
      <c r="G10772" t="str">
        <v>ProjectedCrs</v>
      </c>
      <c r="H10772" t="str">
        <v>Albers Equal Area</v>
      </c>
      <c r="I10772" t="str">
        <v>Ida (2015) - Sphere / Ocentric / Albers Equal Area</v>
      </c>
      <c r="J10772" t="str">
        <v>Not specified.</v>
      </c>
      <c r="K10772" s="11">
        <v>0</v>
      </c>
    </row>
    <row r="10773" spans="5:11" x14ac:dyDescent="0.35">
      <c r="E10773" s="9" t="str">
        <v>IAU_2015</v>
      </c>
      <c r="F10773" s="7" t="str">
        <v>243101090</v>
      </c>
      <c r="G10773" t="str">
        <v>ProjectedCrs</v>
      </c>
      <c r="H10773" t="str">
        <v>Mercator (Spherical)</v>
      </c>
      <c r="I10773" t="str">
        <v>Ida (2015) - Sphere / Ocentric / Mercator</v>
      </c>
      <c r="J10773" t="str">
        <v>Not specified.</v>
      </c>
      <c r="K10773" s="11">
        <v>0</v>
      </c>
    </row>
    <row r="10774" spans="5:11" x14ac:dyDescent="0.35">
      <c r="E10774" s="9" t="str">
        <v>IAU_2015</v>
      </c>
      <c r="F10774" s="7" t="str">
        <v>951101000</v>
      </c>
      <c r="G10774" t="str">
        <v>Geographic2DCrs</v>
      </c>
      <c r="H10774" t="str">
        <v>&lt;undefined&gt;</v>
      </c>
      <c r="I10774" t="str">
        <v>Gaspra (2015) - Sphere / Ocentric</v>
      </c>
      <c r="J10774" t="str">
        <v>Not specified.</v>
      </c>
      <c r="K10774" s="11">
        <v>0</v>
      </c>
    </row>
    <row r="10775" spans="5:11" x14ac:dyDescent="0.35">
      <c r="E10775" s="9" t="str">
        <v>IAU_2015</v>
      </c>
      <c r="F10775" s="7" t="str">
        <v>951101010</v>
      </c>
      <c r="G10775" t="str">
        <v>ProjectedCrs</v>
      </c>
      <c r="H10775" t="str">
        <v>Equidistant Cylindrical</v>
      </c>
      <c r="I10775" t="str">
        <v>Gaspra (2015) - Sphere / Ocentric / Equirectangular, clon = 0</v>
      </c>
      <c r="J10775" t="str">
        <v>Not specified.</v>
      </c>
      <c r="K10775" s="11">
        <v>0</v>
      </c>
    </row>
    <row r="10776" spans="5:11" x14ac:dyDescent="0.35">
      <c r="E10776" s="9" t="str">
        <v>IAU_2015</v>
      </c>
      <c r="F10776" s="7" t="str">
        <v>951101015</v>
      </c>
      <c r="G10776" t="str">
        <v>ProjectedCrs</v>
      </c>
      <c r="H10776" t="str">
        <v>Equidistant Cylindrical</v>
      </c>
      <c r="I10776" t="str">
        <v>Gaspra (2015) - Sphere / Ocentric / Equirectangular, clon = 180</v>
      </c>
      <c r="J10776" t="str">
        <v>Not specified.</v>
      </c>
      <c r="K10776" s="11">
        <v>0</v>
      </c>
    </row>
    <row r="10777" spans="5:11" x14ac:dyDescent="0.35">
      <c r="E10777" s="9" t="str">
        <v>IAU_2015</v>
      </c>
      <c r="F10777" s="7" t="str">
        <v>951101020</v>
      </c>
      <c r="G10777" t="str">
        <v>ProjectedCrs</v>
      </c>
      <c r="H10777" t="str">
        <v>Sinusoidal</v>
      </c>
      <c r="I10777" t="str">
        <v>Gaspra (2015) - Sphere / Ocentric / Sinusoidal, clon = 0</v>
      </c>
      <c r="J10777" t="str">
        <v>Not specified.</v>
      </c>
      <c r="K10777" s="11">
        <v>0</v>
      </c>
    </row>
    <row r="10778" spans="5:11" x14ac:dyDescent="0.35">
      <c r="E10778" s="9" t="str">
        <v>IAU_2015</v>
      </c>
      <c r="F10778" s="7" t="str">
        <v>951101025</v>
      </c>
      <c r="G10778" t="str">
        <v>ProjectedCrs</v>
      </c>
      <c r="H10778" t="str">
        <v>Sinusoidal</v>
      </c>
      <c r="I10778" t="str">
        <v>Gaspra (2015) - Sphere / Ocentric / Sinusoidal, clon = 180</v>
      </c>
      <c r="J10778" t="str">
        <v>Not specified.</v>
      </c>
      <c r="K10778" s="11">
        <v>0</v>
      </c>
    </row>
    <row r="10779" spans="5:11" x14ac:dyDescent="0.35">
      <c r="E10779" s="9" t="str">
        <v>IAU_2015</v>
      </c>
      <c r="F10779" s="7" t="str">
        <v>951101030</v>
      </c>
      <c r="G10779" t="str">
        <v>ProjectedCrs</v>
      </c>
      <c r="H10779" t="str">
        <v>Polar Stereographic (variant A)</v>
      </c>
      <c r="I10779" t="str">
        <v>Gaspra (2015) - Sphere / Ocentric / North Polar</v>
      </c>
      <c r="J10779" t="str">
        <v>Not specified.</v>
      </c>
      <c r="K10779" s="11">
        <v>0</v>
      </c>
    </row>
    <row r="10780" spans="5:11" x14ac:dyDescent="0.35">
      <c r="E10780" s="9" t="str">
        <v>IAU_2015</v>
      </c>
      <c r="F10780" s="7" t="str">
        <v>951101035</v>
      </c>
      <c r="G10780" t="str">
        <v>ProjectedCrs</v>
      </c>
      <c r="H10780" t="str">
        <v>Polar Stereographic (variant A)</v>
      </c>
      <c r="I10780" t="str">
        <v>Gaspra (2015) - Sphere / Ocentric / South Polar</v>
      </c>
      <c r="J10780" t="str">
        <v>Not specified.</v>
      </c>
      <c r="K10780" s="11">
        <v>0</v>
      </c>
    </row>
    <row r="10781" spans="5:11" x14ac:dyDescent="0.35">
      <c r="E10781" s="9" t="str">
        <v>IAU_2015</v>
      </c>
      <c r="F10781" s="7" t="str">
        <v>951101040</v>
      </c>
      <c r="G10781" t="str">
        <v>ProjectedCrs</v>
      </c>
      <c r="H10781" t="str">
        <v>Mollweide</v>
      </c>
      <c r="I10781" t="str">
        <v>Gaspra (2015) - Sphere / Ocentric / Mollweide, clon = 0</v>
      </c>
      <c r="J10781" t="str">
        <v>Not specified.</v>
      </c>
      <c r="K10781" s="11">
        <v>0</v>
      </c>
    </row>
    <row r="10782" spans="5:11" x14ac:dyDescent="0.35">
      <c r="E10782" s="9" t="str">
        <v>IAU_2015</v>
      </c>
      <c r="F10782" s="7" t="str">
        <v>951101045</v>
      </c>
      <c r="G10782" t="str">
        <v>ProjectedCrs</v>
      </c>
      <c r="H10782" t="str">
        <v>Mollweide</v>
      </c>
      <c r="I10782" t="str">
        <v>Gaspra (2015) - Sphere / Ocentric / Mollweide, clon = 180</v>
      </c>
      <c r="J10782" t="str">
        <v>Not specified.</v>
      </c>
      <c r="K10782" s="11">
        <v>0</v>
      </c>
    </row>
    <row r="10783" spans="5:11" x14ac:dyDescent="0.35">
      <c r="E10783" s="9" t="str">
        <v>IAU_2015</v>
      </c>
      <c r="F10783" s="7" t="str">
        <v>951101050</v>
      </c>
      <c r="G10783" t="str">
        <v>ProjectedCrs</v>
      </c>
      <c r="H10783" t="str">
        <v>Robinson</v>
      </c>
      <c r="I10783" t="str">
        <v>Gaspra (2015) - Sphere / Ocentric / Robinson, clon = 0</v>
      </c>
      <c r="J10783" t="str">
        <v>Not specified.</v>
      </c>
      <c r="K10783" s="11">
        <v>0</v>
      </c>
    </row>
    <row r="10784" spans="5:11" x14ac:dyDescent="0.35">
      <c r="E10784" s="9" t="str">
        <v>IAU_2015</v>
      </c>
      <c r="F10784" s="7" t="str">
        <v>951101055</v>
      </c>
      <c r="G10784" t="str">
        <v>ProjectedCrs</v>
      </c>
      <c r="H10784" t="str">
        <v>Robinson</v>
      </c>
      <c r="I10784" t="str">
        <v>Gaspra (2015) - Sphere / Ocentric / Robinson, clon = 180</v>
      </c>
      <c r="J10784" t="str">
        <v>Not specified.</v>
      </c>
      <c r="K10784" s="11">
        <v>0</v>
      </c>
    </row>
    <row r="10785" spans="5:11" x14ac:dyDescent="0.35">
      <c r="E10785" s="9" t="str">
        <v>IAU_2015</v>
      </c>
      <c r="F10785" s="7" t="str">
        <v>951101060</v>
      </c>
      <c r="G10785" t="str">
        <v>ProjectedCrs</v>
      </c>
      <c r="H10785" t="str">
        <v>Transverse Mercator</v>
      </c>
      <c r="I10785" t="str">
        <v>Gaspra (2015) - Sphere / Ocentric / Tranverse Mercator</v>
      </c>
      <c r="J10785" t="str">
        <v>Not specified.</v>
      </c>
      <c r="K10785" s="11">
        <v>0</v>
      </c>
    </row>
    <row r="10786" spans="5:11" x14ac:dyDescent="0.35">
      <c r="E10786" s="9" t="str">
        <v>IAU_2015</v>
      </c>
      <c r="F10786" s="7" t="str">
        <v>951101065</v>
      </c>
      <c r="G10786" t="str">
        <v>ProjectedCrs</v>
      </c>
      <c r="H10786" t="str">
        <v>Orthographic</v>
      </c>
      <c r="I10786" t="str">
        <v>Gaspra (2015) - Sphere / Ocentric / Orthographic, clon = 0</v>
      </c>
      <c r="J10786" t="str">
        <v>Not specified.</v>
      </c>
      <c r="K10786" s="11">
        <v>0</v>
      </c>
    </row>
    <row r="10787" spans="5:11" x14ac:dyDescent="0.35">
      <c r="E10787" s="9" t="str">
        <v>IAU_2015</v>
      </c>
      <c r="F10787" s="7" t="str">
        <v>951101070</v>
      </c>
      <c r="G10787" t="str">
        <v>ProjectedCrs</v>
      </c>
      <c r="H10787" t="str">
        <v>Orthographic</v>
      </c>
      <c r="I10787" t="str">
        <v>Gaspra (2015) - Sphere / Ocentric / Orthographic, clon = 180</v>
      </c>
      <c r="J10787" t="str">
        <v>Not specified.</v>
      </c>
      <c r="K10787" s="11">
        <v>0</v>
      </c>
    </row>
    <row r="10788" spans="5:11" x14ac:dyDescent="0.35">
      <c r="E10788" s="9" t="str">
        <v>IAU_2015</v>
      </c>
      <c r="F10788" s="7" t="str">
        <v>951101075</v>
      </c>
      <c r="G10788" t="str">
        <v>ProjectedCrs</v>
      </c>
      <c r="H10788" t="str">
        <v>Lambert Conic Conformal (2SP)</v>
      </c>
      <c r="I10788" t="str">
        <v>Gaspra (2015) - Sphere / Ocentric / Lambert Conic Conformal</v>
      </c>
      <c r="J10788" t="str">
        <v>Not specified.</v>
      </c>
      <c r="K10788" s="11">
        <v>0</v>
      </c>
    </row>
    <row r="10789" spans="5:11" x14ac:dyDescent="0.35">
      <c r="E10789" s="9" t="str">
        <v>IAU_2015</v>
      </c>
      <c r="F10789" s="7" t="str">
        <v>951101080</v>
      </c>
      <c r="G10789" t="str">
        <v>ProjectedCrs</v>
      </c>
      <c r="H10789" t="str">
        <v>Lambert Azimuthal Equal Area</v>
      </c>
      <c r="I10789" t="str">
        <v>Gaspra (2015) - Sphere / Ocentric / Lambert Azimuthal Equal Area</v>
      </c>
      <c r="J10789" t="str">
        <v>Not specified.</v>
      </c>
      <c r="K10789" s="11">
        <v>0</v>
      </c>
    </row>
    <row r="10790" spans="5:11" x14ac:dyDescent="0.35">
      <c r="E10790" s="9" t="str">
        <v>IAU_2015</v>
      </c>
      <c r="F10790" s="7" t="str">
        <v>951101085</v>
      </c>
      <c r="G10790" t="str">
        <v>ProjectedCrs</v>
      </c>
      <c r="H10790" t="str">
        <v>Albers Equal Area</v>
      </c>
      <c r="I10790" t="str">
        <v>Gaspra (2015) - Sphere / Ocentric / Albers Equal Area</v>
      </c>
      <c r="J10790" t="str">
        <v>Not specified.</v>
      </c>
      <c r="K10790" s="11">
        <v>0</v>
      </c>
    </row>
    <row r="10791" spans="5:11" x14ac:dyDescent="0.35">
      <c r="E10791" s="9" t="str">
        <v>IAU_2015</v>
      </c>
      <c r="F10791" s="7" t="str">
        <v>951101090</v>
      </c>
      <c r="G10791" t="str">
        <v>ProjectedCrs</v>
      </c>
      <c r="H10791" t="str">
        <v>Mercator (Spherical)</v>
      </c>
      <c r="I10791" t="str">
        <v>Gaspra (2015) - Sphere / Ocentric / Mercator</v>
      </c>
      <c r="J10791" t="str">
        <v>Not specified.</v>
      </c>
      <c r="K10791" s="11">
        <v>0</v>
      </c>
    </row>
    <row r="10792" spans="5:11" x14ac:dyDescent="0.35">
      <c r="E10792" s="9" t="str">
        <v>IGNF</v>
      </c>
      <c r="F10792" s="7" t="str">
        <v>AMANU63G</v>
      </c>
      <c r="G10792" t="str">
        <v>Geographic2DCrs</v>
      </c>
      <c r="H10792" t="str">
        <v>&lt;undefined&gt;</v>
      </c>
      <c r="I10792" t="str">
        <v>Amanu (MHPF 1963) geographiques (dms)</v>
      </c>
      <c r="J10792" t="str">
        <v>AMANU (ARCHIPEL DES TUAMOTU)</v>
      </c>
      <c r="K10792" s="11">
        <v>0</v>
      </c>
    </row>
    <row r="10793" spans="5:11" x14ac:dyDescent="0.35">
      <c r="E10793" s="9" t="str">
        <v>IGNF</v>
      </c>
      <c r="F10793" s="7" t="str">
        <v>AMANU63UTM7S</v>
      </c>
      <c r="G10793" t="str">
        <v>ProjectedCrs</v>
      </c>
      <c r="H10793" t="str">
        <v>Transverse Mercator</v>
      </c>
      <c r="I10793" t="str">
        <v>Amanu (MHPF 1963) UTM Sud fuseau 7</v>
      </c>
      <c r="J10793" t="str">
        <v>AMANU (ARCHIPEL DES TUAMOTU) - UTM SUD FUSEAU 7</v>
      </c>
      <c r="K10793" s="11">
        <v>0</v>
      </c>
    </row>
    <row r="10794" spans="5:11" x14ac:dyDescent="0.35">
      <c r="E10794" s="9" t="str">
        <v>IGNF</v>
      </c>
      <c r="F10794" s="7" t="str">
        <v>AMANU49G</v>
      </c>
      <c r="G10794" t="str">
        <v>Geographic2DCrs</v>
      </c>
      <c r="H10794" t="str">
        <v>&lt;undefined&gt;</v>
      </c>
      <c r="I10794" t="str">
        <v>Amanu (NGT 1949) geographiques (dms)</v>
      </c>
      <c r="J10794" t="str">
        <v>AMANU (ARCHIPEL DES TUAMOTU)</v>
      </c>
      <c r="K10794" s="11">
        <v>0</v>
      </c>
    </row>
    <row r="10795" spans="5:11" x14ac:dyDescent="0.35">
      <c r="E10795" s="9" t="str">
        <v>IGNF</v>
      </c>
      <c r="F10795" s="7" t="str">
        <v>AMANU63</v>
      </c>
      <c r="G10795" t="str">
        <v>GeocentricCrs</v>
      </c>
      <c r="H10795" t="str">
        <v>&lt;undefined&gt;</v>
      </c>
      <c r="I10795" t="str">
        <v>Amanu MHPF 1963 cartesiennes geocent.</v>
      </c>
      <c r="J10795" t="str">
        <v>AMANU (ARCHIPEL DES TUAMOTU)</v>
      </c>
      <c r="K10795" s="11">
        <v>0</v>
      </c>
    </row>
    <row r="10796" spans="5:11" x14ac:dyDescent="0.35">
      <c r="E10796" s="9" t="str">
        <v>IGNF</v>
      </c>
      <c r="F10796" s="7" t="str">
        <v>AMANU49</v>
      </c>
      <c r="G10796" t="str">
        <v>GeocentricCrs</v>
      </c>
      <c r="H10796" t="str">
        <v>&lt;undefined&gt;</v>
      </c>
      <c r="I10796" t="str">
        <v>Amanu NGT 1949 cartesiennes geocentriques</v>
      </c>
      <c r="J10796" t="str">
        <v>AMANU (ARCHIPEL DES TUAMOTU)</v>
      </c>
      <c r="K10796" s="11">
        <v>0</v>
      </c>
    </row>
    <row r="10797" spans="5:11" x14ac:dyDescent="0.35">
      <c r="E10797" s="9" t="str">
        <v>IGNF</v>
      </c>
      <c r="F10797" s="7" t="str">
        <v>AMST63G</v>
      </c>
      <c r="G10797" t="str">
        <v>Geographic2DCrs</v>
      </c>
      <c r="H10797" t="str">
        <v>&lt;undefined&gt;</v>
      </c>
      <c r="I10797" t="str">
        <v>Amsterdam 1963 geographiques (dms)</v>
      </c>
      <c r="J10797" t="str">
        <v>ILE AMSTERDAM</v>
      </c>
      <c r="K10797" s="11">
        <v>0</v>
      </c>
    </row>
    <row r="10798" spans="5:11" x14ac:dyDescent="0.35">
      <c r="E10798" s="9" t="str">
        <v>IGNF</v>
      </c>
      <c r="F10798" s="7" t="str">
        <v>AMST63UTM43S</v>
      </c>
      <c r="G10798" t="str">
        <v>ProjectedCrs</v>
      </c>
      <c r="H10798" t="str">
        <v>Transverse Mercator</v>
      </c>
      <c r="I10798" t="str">
        <v>Amsterdam 1963 UTM Sud fuseau 43</v>
      </c>
      <c r="J10798" t="str">
        <v>ILE AMSTERDAM - UTM SUD FUSEAU 43</v>
      </c>
      <c r="K10798" s="11">
        <v>0</v>
      </c>
    </row>
    <row r="10799" spans="5:11" x14ac:dyDescent="0.35">
      <c r="E10799" s="9" t="str">
        <v>IGNF</v>
      </c>
      <c r="F10799" s="7" t="str">
        <v>WGS84EQGPASP</v>
      </c>
      <c r="G10799" t="str">
        <v>ProjectedCrs</v>
      </c>
      <c r="H10799" t="str">
        <v>Equidistant Cylindrical</v>
      </c>
      <c r="I10799" t="str">
        <v>Amsterdam Saint-Paul projection Geoportail</v>
      </c>
      <c r="J10799" t="str">
        <v>PLANETE TERRE ET SON ENVIRONNEMENT PROCHE - ILES AMSTERDAM ET SAINT-PAUL</v>
      </c>
      <c r="K10799" s="11">
        <v>0</v>
      </c>
    </row>
    <row r="10800" spans="5:11" x14ac:dyDescent="0.35">
      <c r="E10800" s="9" t="str">
        <v>IGNF</v>
      </c>
      <c r="F10800" s="7" t="str">
        <v>GEOPORTALASP</v>
      </c>
      <c r="G10800" t="str">
        <v>ProjectedCrs</v>
      </c>
      <c r="H10800" t="str">
        <v>Equidistant Cylindrical</v>
      </c>
      <c r="I10800" t="str">
        <v>Amsterdam Saint-Paul projection Geoportail</v>
      </c>
      <c r="J10800" t="str">
        <v>PLANETE TERRE ET SON ENVIRONNEMENT PROCHE - ILES AMSTERDAM ET SAINT-PAUL</v>
      </c>
      <c r="K10800" s="11">
        <v>0</v>
      </c>
    </row>
    <row r="10801" spans="5:11" x14ac:dyDescent="0.35">
      <c r="E10801" s="9" t="str">
        <v>IGNF</v>
      </c>
      <c r="F10801" s="7" t="str">
        <v>ANAA92</v>
      </c>
      <c r="G10801" t="str">
        <v>GeocentricCrs</v>
      </c>
      <c r="H10801" t="str">
        <v>&lt;undefined&gt;</v>
      </c>
      <c r="I10801" t="str">
        <v>Anaa (MOP92) cartesiennes geocentriques</v>
      </c>
      <c r="J10801" t="str">
        <v>ANAA (ARCHIPEL DES TUAMOTU)</v>
      </c>
      <c r="K10801" s="11">
        <v>0</v>
      </c>
    </row>
    <row r="10802" spans="5:11" x14ac:dyDescent="0.35">
      <c r="E10802" s="9" t="str">
        <v>IGNF</v>
      </c>
      <c r="F10802" s="7" t="str">
        <v>ANAA92GEO</v>
      </c>
      <c r="G10802" t="str">
        <v>Geographic3DCrs</v>
      </c>
      <c r="H10802" t="str">
        <v>&lt;undefined&gt;</v>
      </c>
      <c r="I10802" t="str">
        <v>Anaa (MOP92) geographiques (dms)</v>
      </c>
      <c r="J10802" t="str">
        <v>ANAA (ARCHIPEL DES TUAMOTU)</v>
      </c>
      <c r="K10802" s="11">
        <v>0</v>
      </c>
    </row>
    <row r="10803" spans="5:11" x14ac:dyDescent="0.35">
      <c r="E10803" s="9" t="str">
        <v>IGNF</v>
      </c>
      <c r="F10803" s="7" t="str">
        <v>ANAA92G</v>
      </c>
      <c r="G10803" t="str">
        <v>Geographic2DCrs</v>
      </c>
      <c r="H10803" t="str">
        <v>&lt;undefined&gt;</v>
      </c>
      <c r="I10803" t="str">
        <v>Anaa (MOP92) geographiques (dms)</v>
      </c>
      <c r="J10803" t="str">
        <v>ANAA (ARCHIPEL DES TUAMOTU)</v>
      </c>
      <c r="K10803" s="11">
        <v>0</v>
      </c>
    </row>
    <row r="10804" spans="5:11" x14ac:dyDescent="0.35">
      <c r="E10804" s="9" t="str">
        <v>IGNF</v>
      </c>
      <c r="F10804" s="7" t="str">
        <v>ANAA92UTM6S</v>
      </c>
      <c r="G10804" t="str">
        <v>ProjectedCrs</v>
      </c>
      <c r="H10804" t="str">
        <v>Transverse Mercator</v>
      </c>
      <c r="I10804" t="str">
        <v>Anaa (MOP92) UTM Sud fuseau 6</v>
      </c>
      <c r="J10804" t="str">
        <v>ANAA (ARCHIPEL DES TUAMOTU) - UTM SUD FUSEAU 6</v>
      </c>
      <c r="K10804" s="11">
        <v>0</v>
      </c>
    </row>
    <row r="10805" spans="5:11" x14ac:dyDescent="0.35">
      <c r="E10805" s="9" t="str">
        <v>IGNF</v>
      </c>
      <c r="F10805" s="7" t="str">
        <v>ANAA47G</v>
      </c>
      <c r="G10805" t="str">
        <v>Geographic2DCrs</v>
      </c>
      <c r="H10805" t="str">
        <v>&lt;undefined&gt;</v>
      </c>
      <c r="I10805" t="str">
        <v>Anaa (SHM 1947) geographiques (dms)</v>
      </c>
      <c r="J10805" t="str">
        <v>ANAA (ARCHIPEL DES TUAMOTU)</v>
      </c>
      <c r="K10805" s="11">
        <v>0</v>
      </c>
    </row>
    <row r="10806" spans="5:11" x14ac:dyDescent="0.35">
      <c r="E10806" s="9" t="str">
        <v>IGNF</v>
      </c>
      <c r="F10806" s="7" t="str">
        <v>ANAA47UTM6S</v>
      </c>
      <c r="G10806" t="str">
        <v>ProjectedCrs</v>
      </c>
      <c r="H10806" t="str">
        <v>Transverse Mercator</v>
      </c>
      <c r="I10806" t="str">
        <v>Anaa (SHM 1947) UTM Sud fuseau 6</v>
      </c>
      <c r="J10806" t="str">
        <v>ANAA (ARCHIPEL DES TUAMOTU) - UTM SUD FUSEAU 6</v>
      </c>
      <c r="K10806" s="11">
        <v>0</v>
      </c>
    </row>
    <row r="10807" spans="5:11" x14ac:dyDescent="0.35">
      <c r="E10807" s="9" t="str">
        <v>IGNF</v>
      </c>
      <c r="F10807" s="7" t="str">
        <v>ANAA47</v>
      </c>
      <c r="G10807" t="str">
        <v>GeocentricCrs</v>
      </c>
      <c r="H10807" t="str">
        <v>&lt;undefined&gt;</v>
      </c>
      <c r="I10807" t="str">
        <v>Anaa SHM 1947 cartesiennes geocentriques</v>
      </c>
      <c r="J10807" t="str">
        <v>ANAA (ARCHIPEL DES TUAMOTU)</v>
      </c>
      <c r="K10807" s="11">
        <v>0</v>
      </c>
    </row>
    <row r="10808" spans="5:11" x14ac:dyDescent="0.35">
      <c r="E10808" s="9" t="str">
        <v>IGNF</v>
      </c>
      <c r="F10808" s="7" t="str">
        <v>GEOPORTALANF</v>
      </c>
      <c r="G10808" t="str">
        <v>ProjectedCrs</v>
      </c>
      <c r="H10808" t="str">
        <v>Equidistant Cylindrical</v>
      </c>
      <c r="I10808" t="str">
        <v>ANTILLES FRANCAISES PROJECTION GEOPORTAIL</v>
      </c>
      <c r="J10808" t="str">
        <v>PLANETE TERRE ET SON ENVIRONNEMENT PROCHE - ANTILLES FRANCAISES</v>
      </c>
      <c r="K10808" s="11">
        <v>0</v>
      </c>
    </row>
    <row r="10809" spans="5:11" x14ac:dyDescent="0.35">
      <c r="E10809" s="9" t="str">
        <v>IGNF</v>
      </c>
      <c r="F10809" s="7" t="str">
        <v>WGS84GPAF</v>
      </c>
      <c r="G10809" t="str">
        <v>ProjectedCrs</v>
      </c>
      <c r="H10809" t="str">
        <v>Equidistant Cylindrical</v>
      </c>
      <c r="I10809" t="str">
        <v>ANTILLES FRANCAISES PROJECTION GEOPORTAIL</v>
      </c>
      <c r="J10809" t="str">
        <v>PLANETE TERRE ET SON ENVIRONNEMENT PROCHE - ANTILLES FRANCAISES</v>
      </c>
      <c r="K10809" s="11">
        <v>0</v>
      </c>
    </row>
    <row r="10810" spans="5:11" x14ac:dyDescent="0.35">
      <c r="E10810" s="9" t="str">
        <v>IGNF</v>
      </c>
      <c r="F10810" s="7" t="str">
        <v>APAT80G</v>
      </c>
      <c r="G10810" t="str">
        <v>Geographic2DCrs</v>
      </c>
      <c r="H10810" t="str">
        <v>&lt;undefined&gt;</v>
      </c>
      <c r="I10810" t="str">
        <v>Apataki (Cadastre 1980) geographiques (dms)</v>
      </c>
      <c r="J10810" t="str">
        <v>APATAKI (ARCHIPEL DES TUAMOTU)</v>
      </c>
      <c r="K10810" s="11">
        <v>0</v>
      </c>
    </row>
    <row r="10811" spans="5:11" x14ac:dyDescent="0.35">
      <c r="E10811" s="9" t="str">
        <v>IGNF</v>
      </c>
      <c r="F10811" s="7" t="str">
        <v>CADA80G</v>
      </c>
      <c r="G10811" t="str">
        <v>Geographic2DCrs</v>
      </c>
      <c r="H10811" t="str">
        <v>&lt;undefined&gt;</v>
      </c>
      <c r="I10811" t="str">
        <v>Apataki (Cadastre 1980) geographiques (dms)</v>
      </c>
      <c r="J10811" t="str">
        <v>APATAKI (ARCHIPEL DES TUAMOTU)</v>
      </c>
      <c r="K10811" s="11">
        <v>0</v>
      </c>
    </row>
    <row r="10812" spans="5:11" x14ac:dyDescent="0.35">
      <c r="E10812" s="9" t="str">
        <v>IGNF</v>
      </c>
      <c r="F10812" s="7" t="str">
        <v>APAT80UTM6S</v>
      </c>
      <c r="G10812" t="str">
        <v>ProjectedCrs</v>
      </c>
      <c r="H10812" t="str">
        <v>Transverse Mercator</v>
      </c>
      <c r="I10812" t="str">
        <v>Apataki (Cadastre 1980) UTM Sud fuseau 6</v>
      </c>
      <c r="J10812" t="str">
        <v>APATAKI (ARCHIPEL DES TUAMOTU) - UTM SUD FUSEAU 6</v>
      </c>
      <c r="K10812" s="11">
        <v>0</v>
      </c>
    </row>
    <row r="10813" spans="5:11" x14ac:dyDescent="0.35">
      <c r="E10813" s="9" t="str">
        <v>IGNF</v>
      </c>
      <c r="F10813" s="7" t="str">
        <v>APAT49G</v>
      </c>
      <c r="G10813" t="str">
        <v>Geographic2DCrs</v>
      </c>
      <c r="H10813" t="str">
        <v>&lt;undefined&gt;</v>
      </c>
      <c r="I10813" t="str">
        <v>Apataki (FG 1949) geographiques (dms)</v>
      </c>
      <c r="J10813" t="str">
        <v>APATAKI (ARCHIPEL DES TUAMOTU)</v>
      </c>
      <c r="K10813" s="11">
        <v>0</v>
      </c>
    </row>
    <row r="10814" spans="5:11" x14ac:dyDescent="0.35">
      <c r="E10814" s="9" t="str">
        <v>IGNF</v>
      </c>
      <c r="F10814" s="7" t="str">
        <v>APAT48G</v>
      </c>
      <c r="G10814" t="str">
        <v>Geographic2DCrs</v>
      </c>
      <c r="H10814" t="str">
        <v>&lt;undefined&gt;</v>
      </c>
      <c r="I10814" t="str">
        <v>Apataki (MGT 1948) geographiques (dms)</v>
      </c>
      <c r="J10814" t="str">
        <v>APATAKI (ARCHIPEL DES TUAMOTU)</v>
      </c>
      <c r="K10814" s="11">
        <v>0</v>
      </c>
    </row>
    <row r="10815" spans="5:11" x14ac:dyDescent="0.35">
      <c r="E10815" s="9" t="str">
        <v>IGNF</v>
      </c>
      <c r="F10815" s="7" t="str">
        <v>CADA80</v>
      </c>
      <c r="G10815" t="str">
        <v>GeocentricCrs</v>
      </c>
      <c r="H10815" t="str">
        <v>&lt;undefined&gt;</v>
      </c>
      <c r="I10815" t="str">
        <v>Apataki Cadastre 1980 cartesiennes geocentriques</v>
      </c>
      <c r="J10815" t="str">
        <v>APATAKI (ARCHIPEL DES TUAMOTU)</v>
      </c>
      <c r="K10815" s="11">
        <v>0</v>
      </c>
    </row>
    <row r="10816" spans="5:11" x14ac:dyDescent="0.35">
      <c r="E10816" s="9" t="str">
        <v>IGNF</v>
      </c>
      <c r="F10816" s="7" t="str">
        <v>APAT80</v>
      </c>
      <c r="G10816" t="str">
        <v>GeocentricCrs</v>
      </c>
      <c r="H10816" t="str">
        <v>&lt;undefined&gt;</v>
      </c>
      <c r="I10816" t="str">
        <v>Apataki Cadastre 1980 cartesiennes geocentriques</v>
      </c>
      <c r="J10816" t="str">
        <v>APATAKI (ARCHIPEL DES TUAMOTU)</v>
      </c>
      <c r="K10816" s="11">
        <v>0</v>
      </c>
    </row>
    <row r="10817" spans="5:11" x14ac:dyDescent="0.35">
      <c r="E10817" s="9" t="str">
        <v>IGNF</v>
      </c>
      <c r="F10817" s="7" t="str">
        <v>APAT49</v>
      </c>
      <c r="G10817" t="str">
        <v>GeocentricCrs</v>
      </c>
      <c r="H10817" t="str">
        <v>&lt;undefined&gt;</v>
      </c>
      <c r="I10817" t="str">
        <v>Apataki FG 1949 cartesiennes geocentriques</v>
      </c>
      <c r="J10817" t="str">
        <v>APATAKI (ARCHIPEL DES TUAMOTU)</v>
      </c>
      <c r="K10817" s="11">
        <v>0</v>
      </c>
    </row>
    <row r="10818" spans="5:11" x14ac:dyDescent="0.35">
      <c r="E10818" s="9" t="str">
        <v>IGNF</v>
      </c>
      <c r="F10818" s="7" t="str">
        <v>APAT48</v>
      </c>
      <c r="G10818" t="str">
        <v>GeocentricCrs</v>
      </c>
      <c r="H10818" t="str">
        <v>&lt;undefined&gt;</v>
      </c>
      <c r="I10818" t="str">
        <v>Apataki MGT 1948 cartesiennes geocentriques</v>
      </c>
      <c r="J10818" t="str">
        <v>APATAKI (ARCHIPEL DES TUAMOTU)</v>
      </c>
      <c r="K10818" s="11">
        <v>0</v>
      </c>
    </row>
    <row r="10819" spans="5:11" x14ac:dyDescent="0.35">
      <c r="E10819" s="9" t="str">
        <v>IGNF</v>
      </c>
      <c r="F10819" s="7" t="str">
        <v>ATIGBONNE</v>
      </c>
      <c r="G10819" t="str">
        <v>ProjectedCrs</v>
      </c>
      <c r="H10819" t="str">
        <v>Bonne</v>
      </c>
      <c r="I10819" t="str">
        <v>ATIG Bonne France Etat Major</v>
      </c>
      <c r="J10819" t="str">
        <v>FRANCE METROPOLITAINE (CORSE COMPRISE)</v>
      </c>
      <c r="K10819" s="11">
        <v>0</v>
      </c>
    </row>
    <row r="10820" spans="5:11" x14ac:dyDescent="0.35">
      <c r="E10820" s="9" t="str">
        <v>IGNF</v>
      </c>
      <c r="F10820" s="7" t="str">
        <v>ATIGBONNE.BOURD</v>
      </c>
      <c r="G10820" t="str">
        <v>CompoundCrs</v>
      </c>
      <c r="H10820" t="str">
        <v>&lt;undefined&gt;</v>
      </c>
      <c r="I10820" t="str">
        <v>ATIG Bonne France Etat Major et NGF-BOURDALOUE</v>
      </c>
      <c r="J10820" t="str">
        <v>FRANCE CONTINENTALE (CORSE EXCLUE)</v>
      </c>
      <c r="K10820" s="11">
        <v>0</v>
      </c>
    </row>
    <row r="10821" spans="5:11" x14ac:dyDescent="0.35">
      <c r="E10821" s="9" t="str">
        <v>IGNF</v>
      </c>
      <c r="F10821" s="7" t="str">
        <v>ATIGBONNE.NGF84</v>
      </c>
      <c r="G10821" t="str">
        <v>CompoundCrs</v>
      </c>
      <c r="H10821" t="str">
        <v>&lt;undefined&gt;</v>
      </c>
      <c r="I10821" t="str">
        <v>ATIG Bonne France Etat Major et NGF-LALLEMAND</v>
      </c>
      <c r="J10821" t="str">
        <v>FRANCE CONTINENTALE (CORSE EXCLUE)</v>
      </c>
      <c r="K10821" s="11">
        <v>0</v>
      </c>
    </row>
    <row r="10822" spans="5:11" x14ac:dyDescent="0.35">
      <c r="E10822" s="9" t="str">
        <v>IGNF</v>
      </c>
      <c r="F10822" s="7" t="str">
        <v>ATIG</v>
      </c>
      <c r="G10822" t="str">
        <v>GeocentricCrs</v>
      </c>
      <c r="H10822" t="str">
        <v>&lt;undefined&gt;</v>
      </c>
      <c r="I10822" t="str">
        <v>ATIG cartesiennes geocentriques</v>
      </c>
      <c r="J10822" t="str">
        <v>FRANCE METROPOLITAINE (CORSE COMPRISE)</v>
      </c>
      <c r="K10822" s="11">
        <v>0</v>
      </c>
    </row>
    <row r="10823" spans="5:11" x14ac:dyDescent="0.35">
      <c r="E10823" s="9" t="str">
        <v>IGNF</v>
      </c>
      <c r="F10823" s="7" t="str">
        <v>ATI</v>
      </c>
      <c r="G10823" t="str">
        <v>GeocentricCrs</v>
      </c>
      <c r="H10823" t="str">
        <v>&lt;undefined&gt;</v>
      </c>
      <c r="I10823" t="str">
        <v>ATIG cartesiennes geocentriques</v>
      </c>
      <c r="J10823" t="str">
        <v>FRANCE METROPOLITAINE (CORSE COMPRISE)</v>
      </c>
      <c r="K10823" s="11">
        <v>0</v>
      </c>
    </row>
    <row r="10824" spans="5:11" x14ac:dyDescent="0.35">
      <c r="E10824" s="9" t="str">
        <v>IGNF</v>
      </c>
      <c r="F10824" s="7" t="str">
        <v>ATIGG</v>
      </c>
      <c r="G10824" t="str">
        <v>Geographic2DCrs</v>
      </c>
      <c r="H10824" t="str">
        <v>&lt;undefined&gt;</v>
      </c>
      <c r="I10824" t="str">
        <v>ATIG geographiques grades Paris (gr)</v>
      </c>
      <c r="J10824" t="str">
        <v>FRANCE METROPOLITAINE (CORSE COMPRISE)</v>
      </c>
      <c r="K10824" s="11">
        <v>0</v>
      </c>
    </row>
    <row r="10825" spans="5:11" x14ac:dyDescent="0.35">
      <c r="E10825" s="9" t="str">
        <v>IGNF</v>
      </c>
      <c r="F10825" s="7" t="str">
        <v>ATIGG.BOURD</v>
      </c>
      <c r="G10825" t="str">
        <v>CompoundCrs</v>
      </c>
      <c r="H10825" t="str">
        <v>&lt;undefined&gt;</v>
      </c>
      <c r="I10825" t="str">
        <v>ATIG geographiques grades Paris (gr) et NGF-BOURDALOUE</v>
      </c>
      <c r="J10825" t="str">
        <v>FRANCE CONTINENTALE (CORSE EXCLUE)</v>
      </c>
      <c r="K10825" s="11">
        <v>0</v>
      </c>
    </row>
    <row r="10826" spans="5:11" x14ac:dyDescent="0.35">
      <c r="E10826" s="9" t="str">
        <v>IGNF</v>
      </c>
      <c r="F10826" s="7" t="str">
        <v>ATIGG.NGF84</v>
      </c>
      <c r="G10826" t="str">
        <v>CompoundCrs</v>
      </c>
      <c r="H10826" t="str">
        <v>&lt;undefined&gt;</v>
      </c>
      <c r="I10826" t="str">
        <v>ATIG geographiques grades Paris (gr) et NGF-LALLEMAND</v>
      </c>
      <c r="J10826" t="str">
        <v>FRANCE CONTINENTALE (CORSE EXCLUE)</v>
      </c>
      <c r="K10826" s="11">
        <v>0</v>
      </c>
    </row>
    <row r="10827" spans="5:11" x14ac:dyDescent="0.35">
      <c r="E10827" s="9" t="str">
        <v>IGNF</v>
      </c>
      <c r="F10827" s="7" t="str">
        <v>BORA01</v>
      </c>
      <c r="G10827" t="str">
        <v>VerticalCrs</v>
      </c>
      <c r="H10827" t="str">
        <v>&lt;undefined&gt;</v>
      </c>
      <c r="I10827" t="str">
        <v>BORA_SAU 2001</v>
      </c>
      <c r="J10827" t="str">
        <v>BORA BORA (ARCHIPEL DE LA SOCIETE)</v>
      </c>
      <c r="K10827" s="11">
        <v>0</v>
      </c>
    </row>
    <row r="10828" spans="5:11" x14ac:dyDescent="0.35">
      <c r="E10828" s="9" t="str">
        <v>IGNF</v>
      </c>
      <c r="F10828" s="7" t="str">
        <v>CAD97</v>
      </c>
      <c r="G10828" t="str">
        <v>GeocentricCrs</v>
      </c>
      <c r="H10828" t="str">
        <v>&lt;undefined&gt;</v>
      </c>
      <c r="I10828" t="str">
        <v>Cadastre 1997 cartesiennes geocentriques</v>
      </c>
      <c r="J10828" t="str">
        <v>ILE DE MAYOTTE</v>
      </c>
      <c r="K10828" s="11">
        <v>0</v>
      </c>
    </row>
    <row r="10829" spans="5:11" x14ac:dyDescent="0.35">
      <c r="E10829" s="9" t="str">
        <v>IGNF</v>
      </c>
      <c r="F10829" s="7" t="str">
        <v>CAD97GEO</v>
      </c>
      <c r="G10829" t="str">
        <v>Geographic3DCrs</v>
      </c>
      <c r="H10829" t="str">
        <v>&lt;undefined&gt;</v>
      </c>
      <c r="I10829" t="str">
        <v>Cadastre 1997 geographiques (dms)</v>
      </c>
      <c r="J10829" t="str">
        <v>ILE DE MAYOTTE</v>
      </c>
      <c r="K10829" s="11">
        <v>0</v>
      </c>
    </row>
    <row r="10830" spans="5:11" x14ac:dyDescent="0.35">
      <c r="E10830" s="9" t="str">
        <v>IGNF</v>
      </c>
      <c r="F10830" s="7" t="str">
        <v>CAD97G</v>
      </c>
      <c r="G10830" t="str">
        <v>Geographic2DCrs</v>
      </c>
      <c r="H10830" t="str">
        <v>&lt;undefined&gt;</v>
      </c>
      <c r="I10830" t="str">
        <v>Cadastre 1997 geographiques (dms)</v>
      </c>
      <c r="J10830" t="str">
        <v>ILE DE MAYOTTE</v>
      </c>
      <c r="K10830" s="11">
        <v>0</v>
      </c>
    </row>
    <row r="10831" spans="5:11" x14ac:dyDescent="0.35">
      <c r="E10831" s="9" t="str">
        <v>IGNF</v>
      </c>
      <c r="F10831" s="7" t="str">
        <v>CAD97G.MAYO53</v>
      </c>
      <c r="G10831" t="str">
        <v>CompoundCrs</v>
      </c>
      <c r="H10831" t="str">
        <v>&lt;undefined&gt;</v>
      </c>
      <c r="I10831" t="str">
        <v>Cadastre 1997 geographiques (dms) et SHOM 1953 (MAYOTTE)</v>
      </c>
      <c r="J10831" t="str">
        <v>ILE DE MAYOTTE</v>
      </c>
      <c r="K10831" s="11">
        <v>0</v>
      </c>
    </row>
    <row r="10832" spans="5:11" x14ac:dyDescent="0.35">
      <c r="E10832" s="9" t="str">
        <v>IGNF</v>
      </c>
      <c r="F10832" s="7" t="str">
        <v>CAD97UTM38S</v>
      </c>
      <c r="G10832" t="str">
        <v>ProjectedCrs</v>
      </c>
      <c r="H10832" t="str">
        <v>Transverse Mercator</v>
      </c>
      <c r="I10832" t="str">
        <v>Cadastre 1997 UTM Sud fuseau 38</v>
      </c>
      <c r="J10832" t="str">
        <v>ILE DE MAYOTTE - UTM SUD FUSEAU 38</v>
      </c>
      <c r="K10832" s="11">
        <v>0</v>
      </c>
    </row>
    <row r="10833" spans="5:11" x14ac:dyDescent="0.35">
      <c r="E10833" s="9" t="str">
        <v>IGNF</v>
      </c>
      <c r="F10833" s="7" t="str">
        <v>CAD97UTM38S.MAYO53</v>
      </c>
      <c r="G10833" t="str">
        <v>CompoundCrs</v>
      </c>
      <c r="H10833" t="str">
        <v>&lt;undefined&gt;</v>
      </c>
      <c r="I10833" t="str">
        <v>Cadastre 1997 UTM Sud fuseau 38 et SHOM 1953 (MAYOTTE)</v>
      </c>
      <c r="J10833" t="str">
        <v>ILE DE MAYOTTE</v>
      </c>
      <c r="K10833" s="11">
        <v>0</v>
      </c>
    </row>
    <row r="10834" spans="5:11" x14ac:dyDescent="0.35">
      <c r="E10834" s="9" t="str">
        <v>IGNF</v>
      </c>
      <c r="F10834" s="7" t="str">
        <v>CAPBP55</v>
      </c>
      <c r="G10834" t="str">
        <v>GeocentricCrs</v>
      </c>
      <c r="H10834" t="str">
        <v>&lt;undefined&gt;</v>
      </c>
      <c r="I10834" t="str">
        <v>Cap Bienvenue - Perroud 1955 cartesiennes</v>
      </c>
      <c r="J10834" t="str">
        <v>CAP BIENVENUE (TERRE ADELIE)</v>
      </c>
      <c r="K10834" s="11">
        <v>0</v>
      </c>
    </row>
    <row r="10835" spans="5:11" x14ac:dyDescent="0.35">
      <c r="E10835" s="9" t="str">
        <v>IGNF</v>
      </c>
      <c r="F10835" s="7" t="str">
        <v>BIEN55</v>
      </c>
      <c r="G10835" t="str">
        <v>GeocentricCrs</v>
      </c>
      <c r="H10835" t="str">
        <v>&lt;undefined&gt;</v>
      </c>
      <c r="I10835" t="str">
        <v>Cap Bienvenue - Perroud 1955 cartesiennes</v>
      </c>
      <c r="J10835" t="str">
        <v>CAP BIENVENUE (TERRE ADELIE)</v>
      </c>
      <c r="K10835" s="11">
        <v>0</v>
      </c>
    </row>
    <row r="10836" spans="5:11" x14ac:dyDescent="0.35">
      <c r="E10836" s="9" t="str">
        <v>IGNF</v>
      </c>
      <c r="F10836" s="7" t="str">
        <v>BIEN55G</v>
      </c>
      <c r="G10836" t="str">
        <v>Geographic2DCrs</v>
      </c>
      <c r="H10836" t="str">
        <v>&lt;undefined&gt;</v>
      </c>
      <c r="I10836" t="str">
        <v>Cap Bienvenue geographiques (dms)</v>
      </c>
      <c r="J10836" t="str">
        <v>CAP BIENVENUE (TERRE ADELIE)</v>
      </c>
      <c r="K10836" s="11">
        <v>0</v>
      </c>
    </row>
    <row r="10837" spans="5:11" x14ac:dyDescent="0.35">
      <c r="E10837" s="9" t="str">
        <v>IGNF</v>
      </c>
      <c r="F10837" s="7" t="str">
        <v>CAPBP55G</v>
      </c>
      <c r="G10837" t="str">
        <v>Geographic2DCrs</v>
      </c>
      <c r="H10837" t="str">
        <v>&lt;undefined&gt;</v>
      </c>
      <c r="I10837" t="str">
        <v>Cap Bienvenue geographiques (dms)</v>
      </c>
      <c r="J10837" t="str">
        <v>CAP BIENVENUE (TERRE ADELIE)</v>
      </c>
      <c r="K10837" s="11">
        <v>0</v>
      </c>
    </row>
    <row r="10838" spans="5:11" x14ac:dyDescent="0.35">
      <c r="E10838" s="9" t="str">
        <v>IGNF</v>
      </c>
      <c r="F10838" s="7" t="str">
        <v>CAPJP55</v>
      </c>
      <c r="G10838" t="str">
        <v>GeocentricCrs</v>
      </c>
      <c r="H10838" t="str">
        <v>&lt;undefined&gt;</v>
      </c>
      <c r="I10838" t="str">
        <v>Cap Jules - Perroud 1955 cartesiennes geocent.</v>
      </c>
      <c r="J10838" t="str">
        <v>CAP JULES (TERRE ADELIE)</v>
      </c>
      <c r="K10838" s="11">
        <v>0</v>
      </c>
    </row>
    <row r="10839" spans="5:11" x14ac:dyDescent="0.35">
      <c r="E10839" s="9" t="str">
        <v>IGNF</v>
      </c>
      <c r="F10839" s="7" t="str">
        <v>JULES55</v>
      </c>
      <c r="G10839" t="str">
        <v>GeocentricCrs</v>
      </c>
      <c r="H10839" t="str">
        <v>&lt;undefined&gt;</v>
      </c>
      <c r="I10839" t="str">
        <v>Cap Jules - Perroud 1955 cartesiennes geocent.</v>
      </c>
      <c r="J10839" t="str">
        <v>CAP JULES (TERRE ADELIE)</v>
      </c>
      <c r="K10839" s="11">
        <v>0</v>
      </c>
    </row>
    <row r="10840" spans="5:11" x14ac:dyDescent="0.35">
      <c r="E10840" s="9" t="str">
        <v>IGNF</v>
      </c>
      <c r="F10840" s="7" t="str">
        <v>CAPJP55G</v>
      </c>
      <c r="G10840" t="str">
        <v>Geographic2DCrs</v>
      </c>
      <c r="H10840" t="str">
        <v>&lt;undefined&gt;</v>
      </c>
      <c r="I10840" t="str">
        <v>Cap Jules geographiques (dms)</v>
      </c>
      <c r="J10840" t="str">
        <v>CAP JULES (TERRE ADELIE)</v>
      </c>
      <c r="K10840" s="11">
        <v>0</v>
      </c>
    </row>
    <row r="10841" spans="5:11" x14ac:dyDescent="0.35">
      <c r="E10841" s="9" t="str">
        <v>IGNF</v>
      </c>
      <c r="F10841" s="7" t="str">
        <v>JULES55G</v>
      </c>
      <c r="G10841" t="str">
        <v>Geographic2DCrs</v>
      </c>
      <c r="H10841" t="str">
        <v>&lt;undefined&gt;</v>
      </c>
      <c r="I10841" t="str">
        <v>Cap Jules geographiques (dms)</v>
      </c>
      <c r="J10841" t="str">
        <v>CAP JULES (TERRE ADELIE)</v>
      </c>
      <c r="K10841" s="11">
        <v>0</v>
      </c>
    </row>
    <row r="10842" spans="5:11" x14ac:dyDescent="0.35">
      <c r="E10842" s="9" t="str">
        <v>IGNF</v>
      </c>
      <c r="F10842" s="7" t="str">
        <v>CLIP67</v>
      </c>
      <c r="G10842" t="str">
        <v>GeocentricCrs</v>
      </c>
      <c r="H10842" t="str">
        <v>&lt;undefined&gt;</v>
      </c>
      <c r="I10842" t="str">
        <v>Clipperton (Marine 1967) cartesiennes geocent.</v>
      </c>
      <c r="J10842" t="str">
        <v>ILE CLIPPERTON</v>
      </c>
      <c r="K10842" s="11">
        <v>0</v>
      </c>
    </row>
    <row r="10843" spans="5:11" x14ac:dyDescent="0.35">
      <c r="E10843" s="9" t="str">
        <v>IGNF</v>
      </c>
      <c r="F10843" s="7" t="str">
        <v>CLIP67G</v>
      </c>
      <c r="G10843" t="str">
        <v>Geographic2DCrs</v>
      </c>
      <c r="H10843" t="str">
        <v>&lt;undefined&gt;</v>
      </c>
      <c r="I10843" t="str">
        <v>Clipperton 1967 geographiques (dms)</v>
      </c>
      <c r="J10843" t="str">
        <v>ILE CLIPPERTON</v>
      </c>
      <c r="K10843" s="11">
        <v>0</v>
      </c>
    </row>
    <row r="10844" spans="5:11" x14ac:dyDescent="0.35">
      <c r="E10844" s="9" t="str">
        <v>IGNF</v>
      </c>
      <c r="F10844" s="7" t="str">
        <v>CLIP57UTM12</v>
      </c>
      <c r="G10844" t="str">
        <v>ProjectedCrs</v>
      </c>
      <c r="H10844" t="str">
        <v>Transverse Mercator</v>
      </c>
      <c r="I10844" t="str">
        <v>Clipperton 1967 UTM Nord fuseau 12</v>
      </c>
      <c r="J10844" t="str">
        <v>ILE CLIPPERTON - UTM NORD FUSEAU 12</v>
      </c>
      <c r="K10844" s="11">
        <v>0</v>
      </c>
    </row>
    <row r="10845" spans="5:11" x14ac:dyDescent="0.35">
      <c r="E10845" s="9" t="str">
        <v>IGNF</v>
      </c>
      <c r="F10845" s="7" t="str">
        <v>CLIP67UTM12</v>
      </c>
      <c r="G10845" t="str">
        <v>ProjectedCrs</v>
      </c>
      <c r="H10845" t="str">
        <v>Transverse Mercator</v>
      </c>
      <c r="I10845" t="str">
        <v>Clipperton 1967 UTM Nord fuseau 12</v>
      </c>
      <c r="J10845" t="str">
        <v>ILE CLIPPERTON - UTM NORD FUSEAU 12</v>
      </c>
      <c r="K10845" s="11">
        <v>0</v>
      </c>
    </row>
    <row r="10846" spans="5:11" x14ac:dyDescent="0.35">
      <c r="E10846" s="9" t="str">
        <v>IGNF</v>
      </c>
      <c r="F10846" s="7" t="str">
        <v>MAYO50</v>
      </c>
      <c r="G10846" t="str">
        <v>GeocentricCrs</v>
      </c>
      <c r="H10846" t="str">
        <v>&lt;undefined&gt;</v>
      </c>
      <c r="I10846" t="str">
        <v>Combani cartesiennes</v>
      </c>
      <c r="J10846" t="str">
        <v>ILE DE MAYOTTE</v>
      </c>
      <c r="K10846" s="11">
        <v>0</v>
      </c>
    </row>
    <row r="10847" spans="5:11" x14ac:dyDescent="0.35">
      <c r="E10847" s="9" t="str">
        <v>IGNF</v>
      </c>
      <c r="F10847" s="7" t="str">
        <v>MAYO50GEO</v>
      </c>
      <c r="G10847" t="str">
        <v>Geographic3DCrs</v>
      </c>
      <c r="H10847" t="str">
        <v>&lt;undefined&gt;</v>
      </c>
      <c r="I10847" t="str">
        <v>Combani geographiques (dms)</v>
      </c>
      <c r="J10847" t="str">
        <v>ILE DE MAYOTTE</v>
      </c>
      <c r="K10847" s="11">
        <v>0</v>
      </c>
    </row>
    <row r="10848" spans="5:11" x14ac:dyDescent="0.35">
      <c r="E10848" s="9" t="str">
        <v>IGNF</v>
      </c>
      <c r="F10848" s="7" t="str">
        <v>MAYO50G</v>
      </c>
      <c r="G10848" t="str">
        <v>Geographic2DCrs</v>
      </c>
      <c r="H10848" t="str">
        <v>&lt;undefined&gt;</v>
      </c>
      <c r="I10848" t="str">
        <v>Combani triangulation IGN 1950 geographiques (dms)</v>
      </c>
      <c r="J10848" t="str">
        <v>ILE DE MAYOTTE</v>
      </c>
      <c r="K10848" s="11">
        <v>0</v>
      </c>
    </row>
    <row r="10849" spans="5:11" x14ac:dyDescent="0.35">
      <c r="E10849" s="9" t="str">
        <v>IGNF</v>
      </c>
      <c r="F10849" s="7" t="str">
        <v>MAYO50G.MAYO53</v>
      </c>
      <c r="G10849" t="str">
        <v>CompoundCrs</v>
      </c>
      <c r="H10849" t="str">
        <v>&lt;undefined&gt;</v>
      </c>
      <c r="I10849" t="str">
        <v>Combani triangulation IGN 1950 geographiques (dms) et SHOM 1953 (MAYOTTE)</v>
      </c>
      <c r="J10849" t="str">
        <v>ILE DE MAYOTTE</v>
      </c>
      <c r="K10849" s="11">
        <v>0</v>
      </c>
    </row>
    <row r="10850" spans="5:11" x14ac:dyDescent="0.35">
      <c r="E10850" s="9" t="str">
        <v>IGNF</v>
      </c>
      <c r="F10850" s="7" t="str">
        <v>MAYO50UTM38S</v>
      </c>
      <c r="G10850" t="str">
        <v>ProjectedCrs</v>
      </c>
      <c r="H10850" t="str">
        <v>Transverse Mercator</v>
      </c>
      <c r="I10850" t="str">
        <v>Combani UTM Sud fuseau 38</v>
      </c>
      <c r="J10850" t="str">
        <v>ILE DE MAYOTTE - UTM SUD FUSEAU 38</v>
      </c>
      <c r="K10850" s="11">
        <v>0</v>
      </c>
    </row>
    <row r="10851" spans="5:11" x14ac:dyDescent="0.35">
      <c r="E10851" s="9" t="str">
        <v>IGNF</v>
      </c>
      <c r="F10851" s="7" t="str">
        <v>MAYO50UTM38S.MAYO53</v>
      </c>
      <c r="G10851" t="str">
        <v>CompoundCrs</v>
      </c>
      <c r="H10851" t="str">
        <v>&lt;undefined&gt;</v>
      </c>
      <c r="I10851" t="str">
        <v>Combani UTM Sud fuseau 38 et SHOM 1953 (MAYOTTE)</v>
      </c>
      <c r="J10851" t="str">
        <v>ILE DE MAYOTTE</v>
      </c>
      <c r="K10851" s="11">
        <v>0</v>
      </c>
    </row>
    <row r="10852" spans="5:11" x14ac:dyDescent="0.35">
      <c r="E10852" s="9" t="str">
        <v>IGNF</v>
      </c>
      <c r="F10852" s="7" t="str">
        <v>CROZ63GEO</v>
      </c>
      <c r="G10852" t="str">
        <v>Geographic3DCrs</v>
      </c>
      <c r="H10852" t="str">
        <v>&lt;undefined&gt;</v>
      </c>
      <c r="I10852" t="str">
        <v>Crozet - Possession 1963 geographiques (dms)</v>
      </c>
      <c r="J10852" t="str">
        <v>ILES CROZET (ARCHIPEL)</v>
      </c>
      <c r="K10852" s="11">
        <v>0</v>
      </c>
    </row>
    <row r="10853" spans="5:11" x14ac:dyDescent="0.35">
      <c r="E10853" s="9" t="str">
        <v>IGNF</v>
      </c>
      <c r="F10853" s="7" t="str">
        <v>CROZ63G</v>
      </c>
      <c r="G10853" t="str">
        <v>Geographic2DCrs</v>
      </c>
      <c r="H10853" t="str">
        <v>&lt;undefined&gt;</v>
      </c>
      <c r="I10853" t="str">
        <v>Crozet Possession 1963 geographiques (dms)</v>
      </c>
      <c r="J10853" t="str">
        <v>ILES CROZET (ARCHIPEL)</v>
      </c>
      <c r="K10853" s="11">
        <v>0</v>
      </c>
    </row>
    <row r="10854" spans="5:11" x14ac:dyDescent="0.35">
      <c r="E10854" s="9" t="str">
        <v>IGNF</v>
      </c>
      <c r="F10854" s="7" t="str">
        <v>CROZ63UTM39S</v>
      </c>
      <c r="G10854" t="str">
        <v>ProjectedCrs</v>
      </c>
      <c r="H10854" t="str">
        <v>Transverse Mercator</v>
      </c>
      <c r="I10854" t="str">
        <v>CROZET POSSESSION 1963 UTM SUD FUSEAU 39</v>
      </c>
      <c r="J10854" t="str">
        <v>ILES CROZET (ARCHIPEL) - UTM SUD FUSEAU 39</v>
      </c>
      <c r="K10854" s="11">
        <v>0</v>
      </c>
    </row>
    <row r="10855" spans="5:11" x14ac:dyDescent="0.35">
      <c r="E10855" s="9" t="str">
        <v>IGNF</v>
      </c>
      <c r="F10855" s="7" t="str">
        <v>GEOPORTALCRZ</v>
      </c>
      <c r="G10855" t="str">
        <v>ProjectedCrs</v>
      </c>
      <c r="H10855" t="str">
        <v>Equidistant Cylindrical</v>
      </c>
      <c r="I10855" t="str">
        <v>Crozet projection Geoportail</v>
      </c>
      <c r="J10855" t="str">
        <v>PLANETE TERRE ET SON ENVIRONNEMENT PROCHE - ILES CROZET (ARCHIPEL)</v>
      </c>
      <c r="K10855" s="11">
        <v>0</v>
      </c>
    </row>
    <row r="10856" spans="5:11" x14ac:dyDescent="0.35">
      <c r="E10856" s="9" t="str">
        <v>IGNF</v>
      </c>
      <c r="F10856" s="7" t="str">
        <v>WGS84EQGPCRZ</v>
      </c>
      <c r="G10856" t="str">
        <v>ProjectedCrs</v>
      </c>
      <c r="H10856" t="str">
        <v>Equidistant Cylindrical</v>
      </c>
      <c r="I10856" t="str">
        <v>Crozet projection Geoportail</v>
      </c>
      <c r="J10856" t="str">
        <v>PLANETE TERRE ET SON ENVIRONNEMENT PROCHE - ILES CROZET (ARCHIPEL)</v>
      </c>
      <c r="K10856" s="11">
        <v>0</v>
      </c>
    </row>
    <row r="10857" spans="5:11" x14ac:dyDescent="0.35">
      <c r="E10857" s="9" t="str">
        <v>IGNF</v>
      </c>
      <c r="F10857" s="7" t="str">
        <v>CROZ63</v>
      </c>
      <c r="G10857" t="str">
        <v>GeocentricCrs</v>
      </c>
      <c r="H10857" t="str">
        <v>&lt;undefined&gt;</v>
      </c>
      <c r="I10857" t="str">
        <v>Crozet-Possession 1963 cartesiennes geocent.</v>
      </c>
      <c r="J10857" t="str">
        <v>ILES CROZET (ARCHIPEL)</v>
      </c>
      <c r="K10857" s="11">
        <v>0</v>
      </c>
    </row>
    <row r="10858" spans="5:11" x14ac:dyDescent="0.35">
      <c r="E10858" s="9" t="str">
        <v>IGNF</v>
      </c>
      <c r="F10858" s="7" t="str">
        <v>CSG67</v>
      </c>
      <c r="G10858" t="str">
        <v>GeocentricCrs</v>
      </c>
      <c r="H10858" t="str">
        <v>&lt;undefined&gt;</v>
      </c>
      <c r="I10858" t="str">
        <v>CSG 1967 cartesiennes geocentriques</v>
      </c>
      <c r="J10858" t="str">
        <v>GUYANE FRANCAISE</v>
      </c>
      <c r="K10858" s="11">
        <v>0</v>
      </c>
    </row>
    <row r="10859" spans="5:11" x14ac:dyDescent="0.35">
      <c r="E10859" s="9" t="str">
        <v>IGNF</v>
      </c>
      <c r="F10859" s="7" t="str">
        <v>C67I95</v>
      </c>
      <c r="G10859" t="str">
        <v>GeocentricCrs</v>
      </c>
      <c r="H10859" t="str">
        <v>&lt;undefined&gt;</v>
      </c>
      <c r="I10859" t="str">
        <v>CSG67 (IGN 1995) CARTESIENNES GEOCENTRIQUES</v>
      </c>
      <c r="J10859" t="str">
        <v>GUYANE FRANCAISE</v>
      </c>
      <c r="K10859" s="11">
        <v>0</v>
      </c>
    </row>
    <row r="10860" spans="5:11" x14ac:dyDescent="0.35">
      <c r="E10860" s="9" t="str">
        <v>IGNF</v>
      </c>
      <c r="F10860" s="7" t="str">
        <v>C67IG95G</v>
      </c>
      <c r="G10860" t="str">
        <v>Geographic2DCrs</v>
      </c>
      <c r="H10860" t="str">
        <v>&lt;undefined&gt;</v>
      </c>
      <c r="I10860" t="str">
        <v>CSG67 (IGN 1995) geographiques (dms)</v>
      </c>
      <c r="J10860" t="str">
        <v>GUYANE FRANCAISE</v>
      </c>
      <c r="K10860" s="11">
        <v>0</v>
      </c>
    </row>
    <row r="10861" spans="5:11" x14ac:dyDescent="0.35">
      <c r="E10861" s="9" t="str">
        <v>IGNF</v>
      </c>
      <c r="F10861" s="7" t="str">
        <v>C67IG95G.GUYA77</v>
      </c>
      <c r="G10861" t="str">
        <v>CompoundCrs</v>
      </c>
      <c r="H10861" t="str">
        <v>&lt;undefined&gt;</v>
      </c>
      <c r="I10861" t="str">
        <v>CSG67 (IGN 1995) geographiques (dms) et NIVELLEMENT GENERAL DE GUYANE (NGG) 1977</v>
      </c>
      <c r="J10861" t="str">
        <v>GUYANE FRANCAISE</v>
      </c>
      <c r="K10861" s="11">
        <v>0</v>
      </c>
    </row>
    <row r="10862" spans="5:11" x14ac:dyDescent="0.35">
      <c r="E10862" s="9" t="str">
        <v>IGNF</v>
      </c>
      <c r="F10862" s="7" t="str">
        <v>C67IG95UTM22</v>
      </c>
      <c r="G10862" t="str">
        <v>ProjectedCrs</v>
      </c>
      <c r="H10862" t="str">
        <v>Transverse Mercator</v>
      </c>
      <c r="I10862" t="str">
        <v>CSG67 (IGN 1995) UTM Nord fuseau 22</v>
      </c>
      <c r="J10862" t="str">
        <v>GUYANE FRANCAISE - UTM NORD FUSEAU 22</v>
      </c>
      <c r="K10862" s="11">
        <v>0</v>
      </c>
    </row>
    <row r="10863" spans="5:11" x14ac:dyDescent="0.35">
      <c r="E10863" s="9" t="str">
        <v>IGNF</v>
      </c>
      <c r="F10863" s="7" t="str">
        <v>C67IG95UTM22.GUYA77</v>
      </c>
      <c r="G10863" t="str">
        <v>CompoundCrs</v>
      </c>
      <c r="H10863" t="str">
        <v>&lt;undefined&gt;</v>
      </c>
      <c r="I10863" t="str">
        <v>CSG67 (IGN 1995) UTM Nord fuseau 22 et NIVELLEMENT GENERAL DE GUYANE (NGG) 1977</v>
      </c>
      <c r="J10863" t="str">
        <v>GUYANE FRANCAISE - UTM NORD FUSEAU 22</v>
      </c>
      <c r="K10863" s="11">
        <v>0</v>
      </c>
    </row>
    <row r="10864" spans="5:11" x14ac:dyDescent="0.35">
      <c r="E10864" s="9" t="str">
        <v>IGNF</v>
      </c>
      <c r="F10864" s="7" t="str">
        <v>CSG67G</v>
      </c>
      <c r="G10864" t="str">
        <v>Geographic2DCrs</v>
      </c>
      <c r="H10864" t="str">
        <v>&lt;undefined&gt;</v>
      </c>
      <c r="I10864" t="str">
        <v>CSG67 geographiques (dms)</v>
      </c>
      <c r="J10864" t="str">
        <v>GUYANE FRANCAISE</v>
      </c>
      <c r="K10864" s="11">
        <v>0</v>
      </c>
    </row>
    <row r="10865" spans="5:11" x14ac:dyDescent="0.35">
      <c r="E10865" s="9" t="str">
        <v>IGNF</v>
      </c>
      <c r="F10865" s="7" t="str">
        <v>CSG67GEO</v>
      </c>
      <c r="G10865" t="str">
        <v>Geographic3DCrs</v>
      </c>
      <c r="H10865" t="str">
        <v>&lt;undefined&gt;</v>
      </c>
      <c r="I10865" t="str">
        <v>CSG67 geographiques (dms)</v>
      </c>
      <c r="J10865" t="str">
        <v>GUYANE FRANCAISE</v>
      </c>
      <c r="K10865" s="11">
        <v>0</v>
      </c>
    </row>
    <row r="10866" spans="5:11" x14ac:dyDescent="0.35">
      <c r="E10866" s="9" t="str">
        <v>IGNF</v>
      </c>
      <c r="F10866" s="7" t="str">
        <v>CSG67G.GUYA77</v>
      </c>
      <c r="G10866" t="str">
        <v>CompoundCrs</v>
      </c>
      <c r="H10866" t="str">
        <v>&lt;undefined&gt;</v>
      </c>
      <c r="I10866" t="str">
        <v>CSG67 geographiques (dms) et NIVELLEMENT GENERAL DE GUYANE (NGG) 1977</v>
      </c>
      <c r="J10866" t="str">
        <v>GUYANE FRANCAISE</v>
      </c>
      <c r="K10866" s="11">
        <v>0</v>
      </c>
    </row>
    <row r="10867" spans="5:11" x14ac:dyDescent="0.35">
      <c r="E10867" s="9" t="str">
        <v>IGNF</v>
      </c>
      <c r="F10867" s="7" t="str">
        <v>CSG67UTM21</v>
      </c>
      <c r="G10867" t="str">
        <v>ProjectedCrs</v>
      </c>
      <c r="H10867" t="str">
        <v>Transverse Mercator</v>
      </c>
      <c r="I10867" t="str">
        <v>CSG67 UTM Nord fuseau 21</v>
      </c>
      <c r="J10867" t="str">
        <v>GUYANE FRANCAISE - UTM NORD FUSEAU 21</v>
      </c>
      <c r="K10867" s="11">
        <v>0</v>
      </c>
    </row>
    <row r="10868" spans="5:11" x14ac:dyDescent="0.35">
      <c r="E10868" s="9" t="str">
        <v>IGNF</v>
      </c>
      <c r="F10868" s="7" t="str">
        <v>CSG67UTM21.GUYA77</v>
      </c>
      <c r="G10868" t="str">
        <v>CompoundCrs</v>
      </c>
      <c r="H10868" t="str">
        <v>&lt;undefined&gt;</v>
      </c>
      <c r="I10868" t="str">
        <v>CSG67 UTM Nord fuseau 21 et NIVELLEMENT GENERAL DE GUYANE (NGG) 1977</v>
      </c>
      <c r="J10868" t="str">
        <v>GUYANE FRANCAISE - UTM NORD FUSEAU 21</v>
      </c>
      <c r="K10868" s="11">
        <v>0</v>
      </c>
    </row>
    <row r="10869" spans="5:11" x14ac:dyDescent="0.35">
      <c r="E10869" s="9" t="str">
        <v>IGNF</v>
      </c>
      <c r="F10869" s="7" t="str">
        <v>CSG67UTM22</v>
      </c>
      <c r="G10869" t="str">
        <v>ProjectedCrs</v>
      </c>
      <c r="H10869" t="str">
        <v>Transverse Mercator</v>
      </c>
      <c r="I10869" t="str">
        <v>CSG67 UTM Nord fuseau 22</v>
      </c>
      <c r="J10869" t="str">
        <v>GUYANE FRANCAISE - UTM NORD FUSEAU 22</v>
      </c>
      <c r="K10869" s="11">
        <v>0</v>
      </c>
    </row>
    <row r="10870" spans="5:11" x14ac:dyDescent="0.35">
      <c r="E10870" s="9" t="str">
        <v>IGNF</v>
      </c>
      <c r="F10870" s="7" t="str">
        <v>CSG67UTM22.GUYA77</v>
      </c>
      <c r="G10870" t="str">
        <v>CompoundCrs</v>
      </c>
      <c r="H10870" t="str">
        <v>&lt;undefined&gt;</v>
      </c>
      <c r="I10870" t="str">
        <v>CSG67 UTM Nord fuseau 22 et NIVELLEMENT GENERAL DE GUYANE (NGG) 1977</v>
      </c>
      <c r="J10870" t="str">
        <v>GUYANE FRANCAISE - UTM NORD FUSEAU 22</v>
      </c>
      <c r="K10870" s="11">
        <v>0</v>
      </c>
    </row>
    <row r="10871" spans="5:11" x14ac:dyDescent="0.35">
      <c r="E10871" s="9" t="str">
        <v>IGNF</v>
      </c>
      <c r="F10871" s="7" t="str">
        <v>C67IG95UTM21</v>
      </c>
      <c r="G10871" t="str">
        <v>ProjectedCrs</v>
      </c>
      <c r="H10871" t="str">
        <v>Transverse Mercator</v>
      </c>
      <c r="I10871" t="str">
        <v>CSG67(IGN 1995) UTM Nord fuseau 21</v>
      </c>
      <c r="J10871" t="str">
        <v>GUYANE FRANCAISE - UTM NORD FUSEAU 21</v>
      </c>
      <c r="K10871" s="11">
        <v>0</v>
      </c>
    </row>
    <row r="10872" spans="5:11" x14ac:dyDescent="0.35">
      <c r="E10872" s="9" t="str">
        <v>IGNF</v>
      </c>
      <c r="F10872" s="7" t="str">
        <v>C67IG95UTM21.GUYA77</v>
      </c>
      <c r="G10872" t="str">
        <v>CompoundCrs</v>
      </c>
      <c r="H10872" t="str">
        <v>&lt;undefined&gt;</v>
      </c>
      <c r="I10872" t="str">
        <v>CSG67(IGN 1995) UTM Nord fuseau 21 et NIVELLEMENT GENERAL DE GUYANE (NGG) 1977</v>
      </c>
      <c r="J10872" t="str">
        <v>GUYANE FRANCAISE - UTM NORD FUSEAU 21</v>
      </c>
      <c r="K10872" s="11">
        <v>0</v>
      </c>
    </row>
    <row r="10873" spans="5:11" x14ac:dyDescent="0.35">
      <c r="E10873" s="9" t="str">
        <v>IGNF</v>
      </c>
      <c r="F10873" s="7" t="str">
        <v>STPM50_V</v>
      </c>
      <c r="G10873" t="str">
        <v>VerticalCrs</v>
      </c>
      <c r="H10873" t="str">
        <v>&lt;undefined&gt;</v>
      </c>
      <c r="I10873" t="str">
        <v>DANGER 1950 (SAINT-PIERRE-ET-MIQUELON)</v>
      </c>
      <c r="J10873" t="str">
        <v>SAINT-PIERRE-ET-MIQUELON</v>
      </c>
      <c r="K10873" s="11">
        <v>0</v>
      </c>
    </row>
    <row r="10874" spans="5:11" x14ac:dyDescent="0.35">
      <c r="E10874" s="9" t="str">
        <v>IGNF</v>
      </c>
      <c r="F10874" s="7" t="str">
        <v>ED50</v>
      </c>
      <c r="G10874" t="str">
        <v>GeocentricCrs</v>
      </c>
      <c r="H10874" t="str">
        <v>&lt;undefined&gt;</v>
      </c>
      <c r="I10874" t="str">
        <v>ED50 CARTESIENNES GEOCENTRIQUES</v>
      </c>
      <c r="J10874" t="str">
        <v>EUROPE DE L'OUEST ED50</v>
      </c>
      <c r="K10874" s="11">
        <v>0</v>
      </c>
    </row>
    <row r="10875" spans="5:11" x14ac:dyDescent="0.35">
      <c r="E10875" s="9" t="str">
        <v>IGNF</v>
      </c>
      <c r="F10875" s="7" t="str">
        <v>ED50G</v>
      </c>
      <c r="G10875" t="str">
        <v>Geographic2DCrs</v>
      </c>
      <c r="H10875" t="str">
        <v>&lt;undefined&gt;</v>
      </c>
      <c r="I10875" t="str">
        <v>ED50 geographiques (dms)</v>
      </c>
      <c r="J10875" t="str">
        <v>EUROPE DE L'OUEST ED50</v>
      </c>
      <c r="K10875" s="11">
        <v>0</v>
      </c>
    </row>
    <row r="10876" spans="5:11" x14ac:dyDescent="0.35">
      <c r="E10876" s="9" t="str">
        <v>IGNF</v>
      </c>
      <c r="F10876" s="7" t="str">
        <v>ED50GEO</v>
      </c>
      <c r="G10876" t="str">
        <v>Geographic2DCrs</v>
      </c>
      <c r="H10876" t="str">
        <v>&lt;undefined&gt;</v>
      </c>
      <c r="I10876" t="str">
        <v>ED50 geographiques (dms)</v>
      </c>
      <c r="J10876" t="str">
        <v>EUROPE DE L'OUEST ED50</v>
      </c>
      <c r="K10876" s="11">
        <v>0</v>
      </c>
    </row>
    <row r="10877" spans="5:11" x14ac:dyDescent="0.35">
      <c r="E10877" s="9" t="str">
        <v>IGNF</v>
      </c>
      <c r="F10877" s="7" t="str">
        <v>ED50G.IGN69</v>
      </c>
      <c r="G10877" t="str">
        <v>CompoundCrs</v>
      </c>
      <c r="H10877" t="str">
        <v>&lt;undefined&gt;</v>
      </c>
      <c r="I10877" t="str">
        <v>ED50 geographiques (dms) et NGF-IGN 1969</v>
      </c>
      <c r="J10877" t="str">
        <v>FRANCE CONTINENTALE (CORSE EXCLUE)</v>
      </c>
      <c r="K10877" s="11">
        <v>0</v>
      </c>
    </row>
    <row r="10878" spans="5:11" x14ac:dyDescent="0.35">
      <c r="E10878" s="9" t="str">
        <v>IGNF</v>
      </c>
      <c r="F10878" s="7" t="str">
        <v>ED50G.IGN78C</v>
      </c>
      <c r="G10878" t="str">
        <v>CompoundCrs</v>
      </c>
      <c r="H10878" t="str">
        <v>&lt;undefined&gt;</v>
      </c>
      <c r="I10878" t="str">
        <v>ED50 geographiques (dms) et NGF-IGN 1978</v>
      </c>
      <c r="J10878" t="str">
        <v>CORSE</v>
      </c>
      <c r="K10878" s="11">
        <v>0</v>
      </c>
    </row>
    <row r="10879" spans="5:11" x14ac:dyDescent="0.35">
      <c r="E10879" s="9" t="str">
        <v>IGNF</v>
      </c>
      <c r="F10879" s="7" t="str">
        <v>ED50G.NGF84</v>
      </c>
      <c r="G10879" t="str">
        <v>CompoundCrs</v>
      </c>
      <c r="H10879" t="str">
        <v>&lt;undefined&gt;</v>
      </c>
      <c r="I10879" t="str">
        <v>ED50 geographiques (dms) et NGF-LALLEMAND</v>
      </c>
      <c r="J10879" t="str">
        <v>FRANCE CONTINENTALE (CORSE EXCLUE)</v>
      </c>
      <c r="K10879" s="11">
        <v>0</v>
      </c>
    </row>
    <row r="10880" spans="5:11" x14ac:dyDescent="0.35">
      <c r="E10880" s="9" t="str">
        <v>IGNF</v>
      </c>
      <c r="F10880" s="7" t="str">
        <v>ED50G.NGC48</v>
      </c>
      <c r="G10880" t="str">
        <v>CompoundCrs</v>
      </c>
      <c r="H10880" t="str">
        <v>&lt;undefined&gt;</v>
      </c>
      <c r="I10880" t="str">
        <v>ED50 geographiques (dms) et NIVELLEMENT GENERAL DE LA CORSE (NGC)</v>
      </c>
      <c r="J10880" t="str">
        <v>CORSE</v>
      </c>
      <c r="K10880" s="11">
        <v>0</v>
      </c>
    </row>
    <row r="10881" spans="5:11" x14ac:dyDescent="0.35">
      <c r="E10881" s="9" t="str">
        <v>IGNF</v>
      </c>
      <c r="F10881" s="7" t="str">
        <v>UTM30</v>
      </c>
      <c r="G10881" t="str">
        <v>ProjectedCrs</v>
      </c>
      <c r="H10881" t="str">
        <v>Transverse Mercator</v>
      </c>
      <c r="I10881" t="str">
        <v>ED50 UTM fuseau 30</v>
      </c>
      <c r="J10881" t="str">
        <v>EUROPE DE L'OUEST ED50 - UTM NORD FUSEAU 30</v>
      </c>
      <c r="K10881" s="11">
        <v>0</v>
      </c>
    </row>
    <row r="10882" spans="5:11" x14ac:dyDescent="0.35">
      <c r="E10882" s="9" t="str">
        <v>IGNF</v>
      </c>
      <c r="F10882" s="7" t="str">
        <v>ED50UTM30</v>
      </c>
      <c r="G10882" t="str">
        <v>ProjectedCrs</v>
      </c>
      <c r="H10882" t="str">
        <v>Transverse Mercator</v>
      </c>
      <c r="I10882" t="str">
        <v>ED50 UTM fuseau 30</v>
      </c>
      <c r="J10882" t="str">
        <v>EUROPE DE L'OUEST ED50 - UTM NORD FUSEAU 30</v>
      </c>
      <c r="K10882" s="11">
        <v>0</v>
      </c>
    </row>
    <row r="10883" spans="5:11" x14ac:dyDescent="0.35">
      <c r="E10883" s="9" t="str">
        <v>IGNF</v>
      </c>
      <c r="F10883" s="7" t="str">
        <v>ED50UTM30.IGN69</v>
      </c>
      <c r="G10883" t="str">
        <v>CompoundCrs</v>
      </c>
      <c r="H10883" t="str">
        <v>&lt;undefined&gt;</v>
      </c>
      <c r="I10883" t="str">
        <v>ED50 UTM fuseau 30 et NGF-IGN 1969</v>
      </c>
      <c r="J10883" t="str">
        <v>FRANCE CONTINENTALE (CORSE EXCLUE) - UTM NORD FUSEAU 30</v>
      </c>
      <c r="K10883" s="11">
        <v>0</v>
      </c>
    </row>
    <row r="10884" spans="5:11" x14ac:dyDescent="0.35">
      <c r="E10884" s="9" t="str">
        <v>IGNF</v>
      </c>
      <c r="F10884" s="7" t="str">
        <v>ED50UTM30.NGF84</v>
      </c>
      <c r="G10884" t="str">
        <v>CompoundCrs</v>
      </c>
      <c r="H10884" t="str">
        <v>&lt;undefined&gt;</v>
      </c>
      <c r="I10884" t="str">
        <v>ED50 UTM fuseau 30 et NGF-LALLEMAND</v>
      </c>
      <c r="J10884" t="str">
        <v>FRANCE CONTINENTALE (CORSE EXCLUE) - UTM NORD FUSEAU 30</v>
      </c>
      <c r="K10884" s="11">
        <v>0</v>
      </c>
    </row>
    <row r="10885" spans="5:11" x14ac:dyDescent="0.35">
      <c r="E10885" s="9" t="str">
        <v>IGNF</v>
      </c>
      <c r="F10885" s="7" t="str">
        <v>UTM32</v>
      </c>
      <c r="G10885" t="str">
        <v>ProjectedCrs</v>
      </c>
      <c r="H10885" t="str">
        <v>Transverse Mercator</v>
      </c>
      <c r="I10885" t="str">
        <v>ED50 UTM fuseau 32</v>
      </c>
      <c r="J10885" t="str">
        <v>EUROPE DE L'OUEST ED50 - UTM NORD FUSEAU 32</v>
      </c>
      <c r="K10885" s="11">
        <v>0</v>
      </c>
    </row>
    <row r="10886" spans="5:11" x14ac:dyDescent="0.35">
      <c r="E10886" s="9" t="str">
        <v>IGNF</v>
      </c>
      <c r="F10886" s="7" t="str">
        <v>ED50UTM32</v>
      </c>
      <c r="G10886" t="str">
        <v>ProjectedCrs</v>
      </c>
      <c r="H10886" t="str">
        <v>Transverse Mercator</v>
      </c>
      <c r="I10886" t="str">
        <v>ED50 UTM fuseau 32</v>
      </c>
      <c r="J10886" t="str">
        <v>EUROPE DE L'OUEST ED50 - UTM NORD FUSEAU 32</v>
      </c>
      <c r="K10886" s="11">
        <v>0</v>
      </c>
    </row>
    <row r="10887" spans="5:11" x14ac:dyDescent="0.35">
      <c r="E10887" s="9" t="str">
        <v>IGNF</v>
      </c>
      <c r="F10887" s="7" t="str">
        <v>ED50UTM32.IGN69</v>
      </c>
      <c r="G10887" t="str">
        <v>CompoundCrs</v>
      </c>
      <c r="H10887" t="str">
        <v>&lt;undefined&gt;</v>
      </c>
      <c r="I10887" t="str">
        <v>ED50 UTM fuseau 32 et NGF-IGN 1969</v>
      </c>
      <c r="J10887" t="str">
        <v>FRANCE CONTINENTALE (CORSE EXCLUE) - UTM NORD FUSEAU 32</v>
      </c>
      <c r="K10887" s="11">
        <v>0</v>
      </c>
    </row>
    <row r="10888" spans="5:11" x14ac:dyDescent="0.35">
      <c r="E10888" s="9" t="str">
        <v>IGNF</v>
      </c>
      <c r="F10888" s="7" t="str">
        <v>ED50UTM32.IGN78C</v>
      </c>
      <c r="G10888" t="str">
        <v>CompoundCrs</v>
      </c>
      <c r="H10888" t="str">
        <v>&lt;undefined&gt;</v>
      </c>
      <c r="I10888" t="str">
        <v>ED50 UTM fuseau 32 et NGF-IGN 1978</v>
      </c>
      <c r="J10888" t="str">
        <v>CORSE</v>
      </c>
      <c r="K10888" s="11">
        <v>0</v>
      </c>
    </row>
    <row r="10889" spans="5:11" x14ac:dyDescent="0.35">
      <c r="E10889" s="9" t="str">
        <v>IGNF</v>
      </c>
      <c r="F10889" s="7" t="str">
        <v>ED50UTM32.NGF84</v>
      </c>
      <c r="G10889" t="str">
        <v>CompoundCrs</v>
      </c>
      <c r="H10889" t="str">
        <v>&lt;undefined&gt;</v>
      </c>
      <c r="I10889" t="str">
        <v>ED50 UTM fuseau 32 et NGF-LALLEMAND</v>
      </c>
      <c r="J10889" t="str">
        <v>FRANCE CONTINENTALE (CORSE EXCLUE) - UTM NORD FUSEAU 32</v>
      </c>
      <c r="K10889" s="11">
        <v>0</v>
      </c>
    </row>
    <row r="10890" spans="5:11" x14ac:dyDescent="0.35">
      <c r="E10890" s="9" t="str">
        <v>IGNF</v>
      </c>
      <c r="F10890" s="7" t="str">
        <v>ED50UTM32.NGC48</v>
      </c>
      <c r="G10890" t="str">
        <v>CompoundCrs</v>
      </c>
      <c r="H10890" t="str">
        <v>&lt;undefined&gt;</v>
      </c>
      <c r="I10890" t="str">
        <v>ED50 UTM fuseau 32 et NIVELLEMENT GENERAL DE LA CORSE (NGC)</v>
      </c>
      <c r="J10890" t="str">
        <v>CORSE</v>
      </c>
      <c r="K10890" s="11">
        <v>0</v>
      </c>
    </row>
    <row r="10891" spans="5:11" x14ac:dyDescent="0.35">
      <c r="E10891" s="9" t="str">
        <v>IGNF</v>
      </c>
      <c r="F10891" s="7" t="str">
        <v>ED50UTM31</v>
      </c>
      <c r="G10891" t="str">
        <v>ProjectedCrs</v>
      </c>
      <c r="H10891" t="str">
        <v>Transverse Mercator</v>
      </c>
      <c r="I10891" t="str">
        <v>ED50 UTM NORD FUSEAU 31</v>
      </c>
      <c r="J10891" t="str">
        <v>EUROPE DE L'OUEST ED50 - UTM NORD FUSEAU 31</v>
      </c>
      <c r="K10891" s="11">
        <v>0</v>
      </c>
    </row>
    <row r="10892" spans="5:11" x14ac:dyDescent="0.35">
      <c r="E10892" s="9" t="str">
        <v>IGNF</v>
      </c>
      <c r="F10892" s="7" t="str">
        <v>UTM31</v>
      </c>
      <c r="G10892" t="str">
        <v>ProjectedCrs</v>
      </c>
      <c r="H10892" t="str">
        <v>Transverse Mercator</v>
      </c>
      <c r="I10892" t="str">
        <v>ED50 UTM NORD FUSEAU 31</v>
      </c>
      <c r="J10892" t="str">
        <v>EUROPE DE L'OUEST ED50 - UTM NORD FUSEAU 31</v>
      </c>
      <c r="K10892" s="11">
        <v>0</v>
      </c>
    </row>
    <row r="10893" spans="5:11" x14ac:dyDescent="0.35">
      <c r="E10893" s="9" t="str">
        <v>IGNF</v>
      </c>
      <c r="F10893" s="7" t="str">
        <v>ED50UTM31.IGN69</v>
      </c>
      <c r="G10893" t="str">
        <v>CompoundCrs</v>
      </c>
      <c r="H10893" t="str">
        <v>&lt;undefined&gt;</v>
      </c>
      <c r="I10893" t="str">
        <v>ED50 UTM NORD FUSEAU 31 et NGF-IGN 1969</v>
      </c>
      <c r="J10893" t="str">
        <v>FRANCE CONTINENTALE (CORSE EXCLUE) - UTM NORD FUSEAU 31</v>
      </c>
      <c r="K10893" s="11">
        <v>0</v>
      </c>
    </row>
    <row r="10894" spans="5:11" x14ac:dyDescent="0.35">
      <c r="E10894" s="9" t="str">
        <v>IGNF</v>
      </c>
      <c r="F10894" s="7" t="str">
        <v>ED50UTM31.NGF84</v>
      </c>
      <c r="G10894" t="str">
        <v>CompoundCrs</v>
      </c>
      <c r="H10894" t="str">
        <v>&lt;undefined&gt;</v>
      </c>
      <c r="I10894" t="str">
        <v>ED50 UTM NORD FUSEAU 31 et NGF-LALLEMAND</v>
      </c>
      <c r="J10894" t="str">
        <v>FRANCE CONTINENTALE (CORSE EXCLUE) - UTM NORD FUSEAU 31</v>
      </c>
      <c r="K10894" s="11">
        <v>0</v>
      </c>
    </row>
    <row r="10895" spans="5:11" x14ac:dyDescent="0.35">
      <c r="E10895" s="9" t="str">
        <v>IGNF</v>
      </c>
      <c r="F10895" s="7" t="str">
        <v>EFATE57</v>
      </c>
      <c r="G10895" t="str">
        <v>GeocentricCrs</v>
      </c>
      <c r="H10895" t="str">
        <v>&lt;undefined&gt;</v>
      </c>
      <c r="I10895" t="str">
        <v>Efate - IGN 1957 cartesiennes geocentriques</v>
      </c>
      <c r="J10895" t="str">
        <v>EFATE (ARCHIPEL DU VANUATU)</v>
      </c>
      <c r="K10895" s="11">
        <v>0</v>
      </c>
    </row>
    <row r="10896" spans="5:11" x14ac:dyDescent="0.35">
      <c r="E10896" s="9" t="str">
        <v>IGNF</v>
      </c>
      <c r="F10896" s="7" t="str">
        <v>EFATE57G</v>
      </c>
      <c r="G10896" t="str">
        <v>Geographic2DCrs</v>
      </c>
      <c r="H10896" t="str">
        <v>&lt;undefined&gt;</v>
      </c>
      <c r="I10896" t="str">
        <v>Efate geographiques (dms)</v>
      </c>
      <c r="J10896" t="str">
        <v>EFATE (ARCHIPEL DU VANUATU)</v>
      </c>
      <c r="K10896" s="11">
        <v>0</v>
      </c>
    </row>
    <row r="10897" spans="5:11" x14ac:dyDescent="0.35">
      <c r="E10897" s="9" t="str">
        <v>IGNF</v>
      </c>
      <c r="F10897" s="7" t="str">
        <v>EFATE57GEO</v>
      </c>
      <c r="G10897" t="str">
        <v>Geographic3DCrs</v>
      </c>
      <c r="H10897" t="str">
        <v>&lt;undefined&gt;</v>
      </c>
      <c r="I10897" t="str">
        <v>Efate geographiques (dms)</v>
      </c>
      <c r="J10897" t="str">
        <v>EFATE (ARCHIPEL DU VANUATU)</v>
      </c>
      <c r="K10897" s="11">
        <v>0</v>
      </c>
    </row>
    <row r="10898" spans="5:11" x14ac:dyDescent="0.35">
      <c r="E10898" s="9" t="str">
        <v>IGNF</v>
      </c>
      <c r="F10898" s="7" t="str">
        <v>EFATE57UT59S</v>
      </c>
      <c r="G10898" t="str">
        <v>ProjectedCrs</v>
      </c>
      <c r="H10898" t="str">
        <v>Transverse Mercator</v>
      </c>
      <c r="I10898" t="str">
        <v>Efate UTM Sud fuseau 59</v>
      </c>
      <c r="J10898" t="str">
        <v>EFATE (ARCHIPEL DU VANUATU) - UTM SUD FUSEAU 59</v>
      </c>
      <c r="K10898" s="11">
        <v>0</v>
      </c>
    </row>
    <row r="10899" spans="5:11" x14ac:dyDescent="0.35">
      <c r="E10899" s="9" t="str">
        <v>IGNF</v>
      </c>
      <c r="F10899" s="7" t="str">
        <v>EFAT57UTM59S</v>
      </c>
      <c r="G10899" t="str">
        <v>ProjectedCrs</v>
      </c>
      <c r="H10899" t="str">
        <v>Transverse Mercator</v>
      </c>
      <c r="I10899" t="str">
        <v>Efate UTM Sud fuseau 59</v>
      </c>
      <c r="J10899" t="str">
        <v>EFATE (ARCHIPEL DU VANUATU) - UTM SUD FUSEAU 59</v>
      </c>
      <c r="K10899" s="11">
        <v>0</v>
      </c>
    </row>
    <row r="10900" spans="5:11" x14ac:dyDescent="0.35">
      <c r="E10900" s="9" t="str">
        <v>IGNF</v>
      </c>
      <c r="F10900" s="7" t="str">
        <v>MARQUI72</v>
      </c>
      <c r="G10900" t="str">
        <v>GeocentricCrs</v>
      </c>
      <c r="H10900" t="str">
        <v>&lt;undefined&gt;</v>
      </c>
      <c r="I10900" t="str">
        <v>Eiao Hiva Oa Motohani cartesiennes geocent.</v>
      </c>
      <c r="J10900" t="str">
        <v>EIAO, HIVA OA, MOHOTANI (ARCHIPEL DES MARQUISES)</v>
      </c>
      <c r="K10900" s="11">
        <v>0</v>
      </c>
    </row>
    <row r="10901" spans="5:11" x14ac:dyDescent="0.35">
      <c r="E10901" s="9" t="str">
        <v>IGNF</v>
      </c>
      <c r="F10901" s="7" t="str">
        <v>PETRELS52</v>
      </c>
      <c r="G10901" t="str">
        <v>VerticalCrs</v>
      </c>
      <c r="H10901" t="str">
        <v>&lt;undefined&gt;</v>
      </c>
      <c r="I10901" t="str">
        <v>EPF 1952 (ILE DES PETRELS)</v>
      </c>
      <c r="J10901" t="str">
        <v>ILE DES PETRELS (TERRE ADELIE)</v>
      </c>
      <c r="K10901" s="11">
        <v>0</v>
      </c>
    </row>
    <row r="10902" spans="5:11" x14ac:dyDescent="0.35">
      <c r="E10902" s="9" t="str">
        <v>IGNF</v>
      </c>
      <c r="F10902" s="7" t="str">
        <v>ETRS89</v>
      </c>
      <c r="G10902" t="str">
        <v>GeocentricCrs</v>
      </c>
      <c r="H10902" t="str">
        <v>&lt;undefined&gt;</v>
      </c>
      <c r="I10902" t="str">
        <v>ETRS89 cartesiennes geocentriques</v>
      </c>
      <c r="J10902" t="str">
        <v>EUROPE (ETRS89)</v>
      </c>
      <c r="K10902" s="11">
        <v>0</v>
      </c>
    </row>
    <row r="10903" spans="5:11" x14ac:dyDescent="0.35">
      <c r="E10903" s="9" t="str">
        <v>IGNF</v>
      </c>
      <c r="F10903" s="7" t="str">
        <v>ETRS89G</v>
      </c>
      <c r="G10903" t="str">
        <v>Geographic2DCrs</v>
      </c>
      <c r="H10903" t="str">
        <v>&lt;undefined&gt;</v>
      </c>
      <c r="I10903" t="str">
        <v>ETRS89 geographiques (dms)</v>
      </c>
      <c r="J10903" t="str">
        <v>EUROPE (ETRS89)</v>
      </c>
      <c r="K10903" s="11">
        <v>0</v>
      </c>
    </row>
    <row r="10904" spans="5:11" x14ac:dyDescent="0.35">
      <c r="E10904" s="9" t="str">
        <v>IGNF</v>
      </c>
      <c r="F10904" s="7" t="str">
        <v>ETRS89GEO</v>
      </c>
      <c r="G10904" t="str">
        <v>Geographic3DCrs</v>
      </c>
      <c r="H10904" t="str">
        <v>&lt;undefined&gt;</v>
      </c>
      <c r="I10904" t="str">
        <v>ETRS89 geographiques (dms)</v>
      </c>
      <c r="J10904" t="str">
        <v>EUROPE (ETRS89)</v>
      </c>
      <c r="K10904" s="11">
        <v>0</v>
      </c>
    </row>
    <row r="10905" spans="5:11" x14ac:dyDescent="0.35">
      <c r="E10905" s="9" t="str">
        <v>IGNF</v>
      </c>
      <c r="F10905" s="7" t="str">
        <v>ETRS89G.EVRF2000</v>
      </c>
      <c r="G10905" t="str">
        <v>CompoundCrs</v>
      </c>
      <c r="H10905" t="str">
        <v>&lt;undefined&gt;</v>
      </c>
      <c r="I10905" t="str">
        <v>ETRS89 geographiques (dms) et EVRF2000 (UELN-95/98)(EUROPEAN VERTICAL REFERENCE FRAME)</v>
      </c>
      <c r="J10905" t="str">
        <v>EUROPE (RESEAU VERTICAL UNIFIE)</v>
      </c>
      <c r="K10905" s="11">
        <v>0</v>
      </c>
    </row>
    <row r="10906" spans="5:11" x14ac:dyDescent="0.35">
      <c r="E10906" s="9" t="str">
        <v>IGNF</v>
      </c>
      <c r="F10906" s="7" t="str">
        <v>ETRS89LAEA</v>
      </c>
      <c r="G10906" t="str">
        <v>ProjectedCrs</v>
      </c>
      <c r="H10906" t="str">
        <v>Lambert Azimuthal Equal Area</v>
      </c>
      <c r="I10906" t="str">
        <v>ETRS89 Lambert Azimutal Equal Area</v>
      </c>
      <c r="J10906" t="str">
        <v>EUROPE (ETRS89)</v>
      </c>
      <c r="K10906" s="11">
        <v>0</v>
      </c>
    </row>
    <row r="10907" spans="5:11" x14ac:dyDescent="0.35">
      <c r="E10907" s="9" t="str">
        <v>IGNF</v>
      </c>
      <c r="F10907" s="7" t="str">
        <v>ETRS89LAEA.EVRF2000</v>
      </c>
      <c r="G10907" t="str">
        <v>CompoundCrs</v>
      </c>
      <c r="H10907" t="str">
        <v>&lt;undefined&gt;</v>
      </c>
      <c r="I10907" t="str">
        <v>ETRS89 Lambert Azimutal Equal Area et EVRF2000 (UELN-95/98)(EUROPEAN VERTICAL REFERENCE FRAME)</v>
      </c>
      <c r="J10907" t="str">
        <v>EUROPE (RESEAU VERTICAL UNIFIE)</v>
      </c>
      <c r="K10907" s="11">
        <v>0</v>
      </c>
    </row>
    <row r="10908" spans="5:11" x14ac:dyDescent="0.35">
      <c r="E10908" s="9" t="str">
        <v>IGNF</v>
      </c>
      <c r="F10908" s="7" t="str">
        <v>ETRS89LCC</v>
      </c>
      <c r="G10908" t="str">
        <v>ProjectedCrs</v>
      </c>
      <c r="H10908" t="str">
        <v>Lambert Conic Conformal (2SP)</v>
      </c>
      <c r="I10908" t="str">
        <v>ETRS89 Lambert Conformal Conic</v>
      </c>
      <c r="J10908" t="str">
        <v>EUROPE (ETRS89)</v>
      </c>
      <c r="K10908" s="11">
        <v>0</v>
      </c>
    </row>
    <row r="10909" spans="5:11" x14ac:dyDescent="0.35">
      <c r="E10909" s="9" t="str">
        <v>IGNF</v>
      </c>
      <c r="F10909" s="7" t="str">
        <v>ETRS89LCC.EVRF2000</v>
      </c>
      <c r="G10909" t="str">
        <v>CompoundCrs</v>
      </c>
      <c r="H10909" t="str">
        <v>&lt;undefined&gt;</v>
      </c>
      <c r="I10909" t="str">
        <v>ETRS89 Lambert Conformal Conic et EVRF2000 (UELN-95/98)(EUROPEAN VERTICAL REFERENCE FRAME)</v>
      </c>
      <c r="J10909" t="str">
        <v>EUROPE (RESEAU VERTICAL UNIFIE)</v>
      </c>
      <c r="K10909" s="11">
        <v>0</v>
      </c>
    </row>
    <row r="10910" spans="5:11" x14ac:dyDescent="0.35">
      <c r="E10910" s="9" t="str">
        <v>IGNF</v>
      </c>
      <c r="F10910" s="7" t="str">
        <v>ETRS89UTM26</v>
      </c>
      <c r="G10910" t="str">
        <v>ProjectedCrs</v>
      </c>
      <c r="H10910" t="str">
        <v>Transverse Mercator</v>
      </c>
      <c r="I10910" t="str">
        <v>ETRS89 UTM Nord fuseau 26</v>
      </c>
      <c r="J10910" t="str">
        <v>EUROPE (ETRS89) - UTM NORD FUSEAU 26</v>
      </c>
      <c r="K10910" s="11">
        <v>0</v>
      </c>
    </row>
    <row r="10911" spans="5:11" x14ac:dyDescent="0.35">
      <c r="E10911" s="9" t="str">
        <v>IGNF</v>
      </c>
      <c r="F10911" s="7" t="str">
        <v>UTM26ETRS89</v>
      </c>
      <c r="G10911" t="str">
        <v>ProjectedCrs</v>
      </c>
      <c r="H10911" t="str">
        <v>Transverse Mercator</v>
      </c>
      <c r="I10911" t="str">
        <v>ETRS89 UTM Nord fuseau 26</v>
      </c>
      <c r="J10911" t="str">
        <v>EUROPE (ETRS89) - UTM NORD FUSEAU 26</v>
      </c>
      <c r="K10911" s="11">
        <v>0</v>
      </c>
    </row>
    <row r="10912" spans="5:11" x14ac:dyDescent="0.35">
      <c r="E10912" s="9" t="str">
        <v>IGNF</v>
      </c>
      <c r="F10912" s="7" t="str">
        <v>ETRS89UTM27</v>
      </c>
      <c r="G10912" t="str">
        <v>ProjectedCrs</v>
      </c>
      <c r="H10912" t="str">
        <v>Transverse Mercator</v>
      </c>
      <c r="I10912" t="str">
        <v>ETRS89 UTM Nord fuseau 27</v>
      </c>
      <c r="J10912" t="str">
        <v>EUROPE (ETRS89) - UTM NORD FUSEAU 27</v>
      </c>
      <c r="K10912" s="11">
        <v>0</v>
      </c>
    </row>
    <row r="10913" spans="5:11" x14ac:dyDescent="0.35">
      <c r="E10913" s="9" t="str">
        <v>IGNF</v>
      </c>
      <c r="F10913" s="7" t="str">
        <v>UTM27ETRS89</v>
      </c>
      <c r="G10913" t="str">
        <v>ProjectedCrs</v>
      </c>
      <c r="H10913" t="str">
        <v>Transverse Mercator</v>
      </c>
      <c r="I10913" t="str">
        <v>ETRS89 UTM Nord fuseau 27</v>
      </c>
      <c r="J10913" t="str">
        <v>EUROPE (ETRS89) - UTM NORD FUSEAU 27</v>
      </c>
      <c r="K10913" s="11">
        <v>0</v>
      </c>
    </row>
    <row r="10914" spans="5:11" x14ac:dyDescent="0.35">
      <c r="E10914" s="9" t="str">
        <v>IGNF</v>
      </c>
      <c r="F10914" s="7" t="str">
        <v>ETRS89UTM28</v>
      </c>
      <c r="G10914" t="str">
        <v>ProjectedCrs</v>
      </c>
      <c r="H10914" t="str">
        <v>Transverse Mercator</v>
      </c>
      <c r="I10914" t="str">
        <v>ETRS89 UTM Nord fuseau 28</v>
      </c>
      <c r="J10914" t="str">
        <v>EUROPE (ETRS89) - UTM NORD FUSEAU 28</v>
      </c>
      <c r="K10914" s="11">
        <v>0</v>
      </c>
    </row>
    <row r="10915" spans="5:11" x14ac:dyDescent="0.35">
      <c r="E10915" s="9" t="str">
        <v>IGNF</v>
      </c>
      <c r="F10915" s="7" t="str">
        <v>UTM28ETRS89</v>
      </c>
      <c r="G10915" t="str">
        <v>ProjectedCrs</v>
      </c>
      <c r="H10915" t="str">
        <v>Transverse Mercator</v>
      </c>
      <c r="I10915" t="str">
        <v>ETRS89 UTM Nord fuseau 28</v>
      </c>
      <c r="J10915" t="str">
        <v>EUROPE (ETRS89) - UTM NORD FUSEAU 28</v>
      </c>
      <c r="K10915" s="11">
        <v>0</v>
      </c>
    </row>
    <row r="10916" spans="5:11" x14ac:dyDescent="0.35">
      <c r="E10916" s="9" t="str">
        <v>IGNF</v>
      </c>
      <c r="F10916" s="7" t="str">
        <v>UTM29ETRS89</v>
      </c>
      <c r="G10916" t="str">
        <v>ProjectedCrs</v>
      </c>
      <c r="H10916" t="str">
        <v>Transverse Mercator</v>
      </c>
      <c r="I10916" t="str">
        <v>ETRS89 UTM Nord fuseau 29</v>
      </c>
      <c r="J10916" t="str">
        <v>EUROPE (ETRS89) - UTM NORD FUSEAU 29</v>
      </c>
      <c r="K10916" s="11">
        <v>0</v>
      </c>
    </row>
    <row r="10917" spans="5:11" x14ac:dyDescent="0.35">
      <c r="E10917" s="9" t="str">
        <v>IGNF</v>
      </c>
      <c r="F10917" s="7" t="str">
        <v>ETRS89UTM29</v>
      </c>
      <c r="G10917" t="str">
        <v>ProjectedCrs</v>
      </c>
      <c r="H10917" t="str">
        <v>Transverse Mercator</v>
      </c>
      <c r="I10917" t="str">
        <v>ETRS89 UTM Nord fuseau 29</v>
      </c>
      <c r="J10917" t="str">
        <v>EUROPE (ETRS89) - UTM NORD FUSEAU 29</v>
      </c>
      <c r="K10917" s="11">
        <v>0</v>
      </c>
    </row>
    <row r="10918" spans="5:11" x14ac:dyDescent="0.35">
      <c r="E10918" s="9" t="str">
        <v>IGNF</v>
      </c>
      <c r="F10918" s="7" t="str">
        <v>ETRS89UTM29.EVRF2000</v>
      </c>
      <c r="G10918" t="str">
        <v>CompoundCrs</v>
      </c>
      <c r="H10918" t="str">
        <v>&lt;undefined&gt;</v>
      </c>
      <c r="I10918" t="str">
        <v>ETRS89 UTM Nord fuseau 29 et EVRF2000 (UELN-95/98)(EUROPEAN VERTICAL REFERENCE FRAME)</v>
      </c>
      <c r="J10918" t="str">
        <v>EUROPE (RESEAU VERTICAL UNIFIE) - UTM NORD FUSEAU 29</v>
      </c>
      <c r="K10918" s="11">
        <v>0</v>
      </c>
    </row>
    <row r="10919" spans="5:11" x14ac:dyDescent="0.35">
      <c r="E10919" s="9" t="str">
        <v>IGNF</v>
      </c>
      <c r="F10919" s="7" t="str">
        <v>ETRS89UTM30</v>
      </c>
      <c r="G10919" t="str">
        <v>ProjectedCrs</v>
      </c>
      <c r="H10919" t="str">
        <v>Transverse Mercator</v>
      </c>
      <c r="I10919" t="str">
        <v>ETRS89 UTM Nord fuseau 30</v>
      </c>
      <c r="J10919" t="str">
        <v>EUROPE (ETRS89) - UTM NORD FUSEAU 30</v>
      </c>
      <c r="K10919" s="11">
        <v>0</v>
      </c>
    </row>
    <row r="10920" spans="5:11" x14ac:dyDescent="0.35">
      <c r="E10920" s="9" t="str">
        <v>IGNF</v>
      </c>
      <c r="F10920" s="7" t="str">
        <v>UTM30ETRS89</v>
      </c>
      <c r="G10920" t="str">
        <v>ProjectedCrs</v>
      </c>
      <c r="H10920" t="str">
        <v>Transverse Mercator</v>
      </c>
      <c r="I10920" t="str">
        <v>ETRS89 UTM Nord fuseau 30</v>
      </c>
      <c r="J10920" t="str">
        <v>EUROPE (ETRS89) - UTM NORD FUSEAU 30</v>
      </c>
      <c r="K10920" s="11">
        <v>0</v>
      </c>
    </row>
    <row r="10921" spans="5:11" x14ac:dyDescent="0.35">
      <c r="E10921" s="9" t="str">
        <v>IGNF</v>
      </c>
      <c r="F10921" s="7" t="str">
        <v>ETRS89UTM30.EVRF2000</v>
      </c>
      <c r="G10921" t="str">
        <v>CompoundCrs</v>
      </c>
      <c r="H10921" t="str">
        <v>&lt;undefined&gt;</v>
      </c>
      <c r="I10921" t="str">
        <v>ETRS89 UTM Nord fuseau 30 et EVRF2000 (UELN-95/98)(EUROPEAN VERTICAL REFERENCE FRAME)</v>
      </c>
      <c r="J10921" t="str">
        <v>EUROPE (RESEAU VERTICAL UNIFIE) - UTM NORD FUSEAU 30</v>
      </c>
      <c r="K10921" s="11">
        <v>0</v>
      </c>
    </row>
    <row r="10922" spans="5:11" x14ac:dyDescent="0.35">
      <c r="E10922" s="9" t="str">
        <v>IGNF</v>
      </c>
      <c r="F10922" s="7" t="str">
        <v>UTM31ETRS89</v>
      </c>
      <c r="G10922" t="str">
        <v>ProjectedCrs</v>
      </c>
      <c r="H10922" t="str">
        <v>Transverse Mercator</v>
      </c>
      <c r="I10922" t="str">
        <v>ETRS89 UTM Nord fuseau 31</v>
      </c>
      <c r="J10922" t="str">
        <v>EUROPE (ETRS89) - UTM NORD FUSEAU 31</v>
      </c>
      <c r="K10922" s="11">
        <v>0</v>
      </c>
    </row>
    <row r="10923" spans="5:11" x14ac:dyDescent="0.35">
      <c r="E10923" s="9" t="str">
        <v>IGNF</v>
      </c>
      <c r="F10923" s="7" t="str">
        <v>ETRS89UTM31</v>
      </c>
      <c r="G10923" t="str">
        <v>ProjectedCrs</v>
      </c>
      <c r="H10923" t="str">
        <v>Transverse Mercator</v>
      </c>
      <c r="I10923" t="str">
        <v>ETRS89 UTM Nord fuseau 31</v>
      </c>
      <c r="J10923" t="str">
        <v>EUROPE (ETRS89) - UTM NORD FUSEAU 31</v>
      </c>
      <c r="K10923" s="11">
        <v>0</v>
      </c>
    </row>
    <row r="10924" spans="5:11" x14ac:dyDescent="0.35">
      <c r="E10924" s="9" t="str">
        <v>IGNF</v>
      </c>
      <c r="F10924" s="7" t="str">
        <v>ETRS89UTM31.EVRF2000</v>
      </c>
      <c r="G10924" t="str">
        <v>CompoundCrs</v>
      </c>
      <c r="H10924" t="str">
        <v>&lt;undefined&gt;</v>
      </c>
      <c r="I10924" t="str">
        <v>ETRS89 UTM Nord fuseau 31 et EVRF2000 (UELN-95/98)(EUROPEAN VERTICAL REFERENCE FRAME)</v>
      </c>
      <c r="J10924" t="str">
        <v>EUROPE (RESEAU VERTICAL UNIFIE) - UTM NORD FUSEAU 31</v>
      </c>
      <c r="K10924" s="11">
        <v>0</v>
      </c>
    </row>
    <row r="10925" spans="5:11" x14ac:dyDescent="0.35">
      <c r="E10925" s="9" t="str">
        <v>IGNF</v>
      </c>
      <c r="F10925" s="7" t="str">
        <v>UTM32ETRS89</v>
      </c>
      <c r="G10925" t="str">
        <v>ProjectedCrs</v>
      </c>
      <c r="H10925" t="str">
        <v>Transverse Mercator</v>
      </c>
      <c r="I10925" t="str">
        <v>ETRS89 UTM Nord fuseau 32</v>
      </c>
      <c r="J10925" t="str">
        <v>EUROPE (ETRS89) - UTM NORD FUSEAU 32</v>
      </c>
      <c r="K10925" s="11">
        <v>0</v>
      </c>
    </row>
    <row r="10926" spans="5:11" x14ac:dyDescent="0.35">
      <c r="E10926" s="9" t="str">
        <v>IGNF</v>
      </c>
      <c r="F10926" s="7" t="str">
        <v>ETRS89UTM32</v>
      </c>
      <c r="G10926" t="str">
        <v>ProjectedCrs</v>
      </c>
      <c r="H10926" t="str">
        <v>Transverse Mercator</v>
      </c>
      <c r="I10926" t="str">
        <v>ETRS89 UTM Nord fuseau 32</v>
      </c>
      <c r="J10926" t="str">
        <v>EUROPE (ETRS89) - UTM NORD FUSEAU 32</v>
      </c>
      <c r="K10926" s="11">
        <v>0</v>
      </c>
    </row>
    <row r="10927" spans="5:11" x14ac:dyDescent="0.35">
      <c r="E10927" s="9" t="str">
        <v>IGNF</v>
      </c>
      <c r="F10927" s="7" t="str">
        <v>ETRS89UTM32.EVRF2000</v>
      </c>
      <c r="G10927" t="str">
        <v>CompoundCrs</v>
      </c>
      <c r="H10927" t="str">
        <v>&lt;undefined&gt;</v>
      </c>
      <c r="I10927" t="str">
        <v>ETRS89 UTM Nord fuseau 32 et EVRF2000 (UELN-95/98)(EUROPEAN VERTICAL REFERENCE FRAME)</v>
      </c>
      <c r="J10927" t="str">
        <v>EUROPE (RESEAU VERTICAL UNIFIE) - UTM NORD FUSEAU 32</v>
      </c>
      <c r="K10927" s="11">
        <v>0</v>
      </c>
    </row>
    <row r="10928" spans="5:11" x14ac:dyDescent="0.35">
      <c r="E10928" s="9" t="str">
        <v>IGNF</v>
      </c>
      <c r="F10928" s="7" t="str">
        <v>ETRS89UTM33</v>
      </c>
      <c r="G10928" t="str">
        <v>ProjectedCrs</v>
      </c>
      <c r="H10928" t="str">
        <v>Transverse Mercator</v>
      </c>
      <c r="I10928" t="str">
        <v>ETRS89 UTM Nord fuseau 33</v>
      </c>
      <c r="J10928" t="str">
        <v>EUROPE (ETRS89) - UTM NORD FUSEAU 33</v>
      </c>
      <c r="K10928" s="11">
        <v>0</v>
      </c>
    </row>
    <row r="10929" spans="5:11" x14ac:dyDescent="0.35">
      <c r="E10929" s="9" t="str">
        <v>IGNF</v>
      </c>
      <c r="F10929" s="7" t="str">
        <v>UTM33ETRS89</v>
      </c>
      <c r="G10929" t="str">
        <v>ProjectedCrs</v>
      </c>
      <c r="H10929" t="str">
        <v>Transverse Mercator</v>
      </c>
      <c r="I10929" t="str">
        <v>ETRS89 UTM Nord fuseau 33</v>
      </c>
      <c r="J10929" t="str">
        <v>EUROPE (ETRS89) - UTM NORD FUSEAU 33</v>
      </c>
      <c r="K10929" s="11">
        <v>0</v>
      </c>
    </row>
    <row r="10930" spans="5:11" x14ac:dyDescent="0.35">
      <c r="E10930" s="9" t="str">
        <v>IGNF</v>
      </c>
      <c r="F10930" s="7" t="str">
        <v>ETRS89UTM33.EVRF2000</v>
      </c>
      <c r="G10930" t="str">
        <v>CompoundCrs</v>
      </c>
      <c r="H10930" t="str">
        <v>&lt;undefined&gt;</v>
      </c>
      <c r="I10930" t="str">
        <v>ETRS89 UTM Nord fuseau 33 et EVRF2000 (UELN-95/98)(EUROPEAN VERTICAL REFERENCE FRAME)</v>
      </c>
      <c r="J10930" t="str">
        <v>EUROPE (RESEAU VERTICAL UNIFIE) - UTM NORD FUSEAU 33</v>
      </c>
      <c r="K10930" s="11">
        <v>0</v>
      </c>
    </row>
    <row r="10931" spans="5:11" x14ac:dyDescent="0.35">
      <c r="E10931" s="9" t="str">
        <v>IGNF</v>
      </c>
      <c r="F10931" s="7" t="str">
        <v>ETRS89UTM34</v>
      </c>
      <c r="G10931" t="str">
        <v>ProjectedCrs</v>
      </c>
      <c r="H10931" t="str">
        <v>Transverse Mercator</v>
      </c>
      <c r="I10931" t="str">
        <v>ETRS89 UTM Nord fuseau 34</v>
      </c>
      <c r="J10931" t="str">
        <v>EUROPE (ETRS89) - UTM NORD FUSEAU 34</v>
      </c>
      <c r="K10931" s="11">
        <v>0</v>
      </c>
    </row>
    <row r="10932" spans="5:11" x14ac:dyDescent="0.35">
      <c r="E10932" s="9" t="str">
        <v>IGNF</v>
      </c>
      <c r="F10932" s="7" t="str">
        <v>UTM34ETRS89</v>
      </c>
      <c r="G10932" t="str">
        <v>ProjectedCrs</v>
      </c>
      <c r="H10932" t="str">
        <v>Transverse Mercator</v>
      </c>
      <c r="I10932" t="str">
        <v>ETRS89 UTM Nord fuseau 34</v>
      </c>
      <c r="J10932" t="str">
        <v>EUROPE (ETRS89) - UTM NORD FUSEAU 34</v>
      </c>
      <c r="K10932" s="11">
        <v>0</v>
      </c>
    </row>
    <row r="10933" spans="5:11" x14ac:dyDescent="0.35">
      <c r="E10933" s="9" t="str">
        <v>IGNF</v>
      </c>
      <c r="F10933" s="7" t="str">
        <v>ETRS89UTM34.EVRF2000</v>
      </c>
      <c r="G10933" t="str">
        <v>CompoundCrs</v>
      </c>
      <c r="H10933" t="str">
        <v>&lt;undefined&gt;</v>
      </c>
      <c r="I10933" t="str">
        <v>ETRS89 UTM Nord fuseau 34 et EVRF2000 (UELN-95/98)(EUROPEAN VERTICAL REFERENCE FRAME)</v>
      </c>
      <c r="J10933" t="str">
        <v>EUROPE (RESEAU VERTICAL UNIFIE) - UTM NORD FUSEAU 34</v>
      </c>
      <c r="K10933" s="11">
        <v>0</v>
      </c>
    </row>
    <row r="10934" spans="5:11" x14ac:dyDescent="0.35">
      <c r="E10934" s="9" t="str">
        <v>IGNF</v>
      </c>
      <c r="F10934" s="7" t="str">
        <v>ETRS89UTM35</v>
      </c>
      <c r="G10934" t="str">
        <v>ProjectedCrs</v>
      </c>
      <c r="H10934" t="str">
        <v>Transverse Mercator</v>
      </c>
      <c r="I10934" t="str">
        <v>ETRS89 UTM Nord fuseau 35</v>
      </c>
      <c r="J10934" t="str">
        <v>EUROPE (ETRS89) - UTM NORD FUSEAU 35</v>
      </c>
      <c r="K10934" s="11">
        <v>0</v>
      </c>
    </row>
    <row r="10935" spans="5:11" x14ac:dyDescent="0.35">
      <c r="E10935" s="9" t="str">
        <v>IGNF</v>
      </c>
      <c r="F10935" s="7" t="str">
        <v>UTM35ETRS89</v>
      </c>
      <c r="G10935" t="str">
        <v>ProjectedCrs</v>
      </c>
      <c r="H10935" t="str">
        <v>Transverse Mercator</v>
      </c>
      <c r="I10935" t="str">
        <v>ETRS89 UTM Nord fuseau 35</v>
      </c>
      <c r="J10935" t="str">
        <v>EUROPE (ETRS89) - UTM NORD FUSEAU 35</v>
      </c>
      <c r="K10935" s="11">
        <v>0</v>
      </c>
    </row>
    <row r="10936" spans="5:11" x14ac:dyDescent="0.35">
      <c r="E10936" s="9" t="str">
        <v>IGNF</v>
      </c>
      <c r="F10936" s="7" t="str">
        <v>ETRS89UTM35.EVRF2000</v>
      </c>
      <c r="G10936" t="str">
        <v>CompoundCrs</v>
      </c>
      <c r="H10936" t="str">
        <v>&lt;undefined&gt;</v>
      </c>
      <c r="I10936" t="str">
        <v>ETRS89 UTM Nord fuseau 35 et EVRF2000 (UELN-95/98)(EUROPEAN VERTICAL REFERENCE FRAME)</v>
      </c>
      <c r="J10936" t="str">
        <v>EUROPE (RESEAU VERTICAL UNIFIE) - UTM NORD FUSEAU 35</v>
      </c>
      <c r="K10936" s="11">
        <v>0</v>
      </c>
    </row>
    <row r="10937" spans="5:11" x14ac:dyDescent="0.35">
      <c r="E10937" s="9" t="str">
        <v>IGNF</v>
      </c>
      <c r="F10937" s="7" t="str">
        <v>UTM36ETRS89</v>
      </c>
      <c r="G10937" t="str">
        <v>ProjectedCrs</v>
      </c>
      <c r="H10937" t="str">
        <v>Transverse Mercator</v>
      </c>
      <c r="I10937" t="str">
        <v>ETRS89 UTM Nord fuseau 36</v>
      </c>
      <c r="J10937" t="str">
        <v>EUROPE (ETRS89) - UTM NORD FUSEAU 36</v>
      </c>
      <c r="K10937" s="11">
        <v>0</v>
      </c>
    </row>
    <row r="10938" spans="5:11" x14ac:dyDescent="0.35">
      <c r="E10938" s="9" t="str">
        <v>IGNF</v>
      </c>
      <c r="F10938" s="7" t="str">
        <v>ETRS89UTM36</v>
      </c>
      <c r="G10938" t="str">
        <v>ProjectedCrs</v>
      </c>
      <c r="H10938" t="str">
        <v>Transverse Mercator</v>
      </c>
      <c r="I10938" t="str">
        <v>ETRS89 UTM Nord fuseau 36</v>
      </c>
      <c r="J10938" t="str">
        <v>EUROPE (ETRS89) - UTM NORD FUSEAU 36</v>
      </c>
      <c r="K10938" s="11">
        <v>0</v>
      </c>
    </row>
    <row r="10939" spans="5:11" x14ac:dyDescent="0.35">
      <c r="E10939" s="9" t="str">
        <v>IGNF</v>
      </c>
      <c r="F10939" s="7" t="str">
        <v>ETRS89UTM36.EVRF2000</v>
      </c>
      <c r="G10939" t="str">
        <v>CompoundCrs</v>
      </c>
      <c r="H10939" t="str">
        <v>&lt;undefined&gt;</v>
      </c>
      <c r="I10939" t="str">
        <v>ETRS89 UTM Nord fuseau 36 et EVRF2000 (UELN-95/98)(EUROPEAN VERTICAL REFERENCE FRAME)</v>
      </c>
      <c r="J10939" t="str">
        <v>EUROPE (RESEAU VERTICAL UNIFIE) - UTM NORD FUSEAU 36</v>
      </c>
      <c r="K10939" s="11">
        <v>0</v>
      </c>
    </row>
    <row r="10940" spans="5:11" x14ac:dyDescent="0.35">
      <c r="E10940" s="9" t="str">
        <v>IGNF</v>
      </c>
      <c r="F10940" s="7" t="str">
        <v>UTM37ETRS89</v>
      </c>
      <c r="G10940" t="str">
        <v>ProjectedCrs</v>
      </c>
      <c r="H10940" t="str">
        <v>Transverse Mercator</v>
      </c>
      <c r="I10940" t="str">
        <v>ETRS89 UTM Nord fuseau 37</v>
      </c>
      <c r="J10940" t="str">
        <v>EUROPE (ETRS89) - UTM NORD FUSEAU 37</v>
      </c>
      <c r="K10940" s="11">
        <v>0</v>
      </c>
    </row>
    <row r="10941" spans="5:11" x14ac:dyDescent="0.35">
      <c r="E10941" s="9" t="str">
        <v>IGNF</v>
      </c>
      <c r="F10941" s="7" t="str">
        <v>ETRS89UTM37</v>
      </c>
      <c r="G10941" t="str">
        <v>ProjectedCrs</v>
      </c>
      <c r="H10941" t="str">
        <v>Transverse Mercator</v>
      </c>
      <c r="I10941" t="str">
        <v>ETRS89 UTM Nord fuseau 37</v>
      </c>
      <c r="J10941" t="str">
        <v>EUROPE (ETRS89) - UTM NORD FUSEAU 37</v>
      </c>
      <c r="K10941" s="11">
        <v>0</v>
      </c>
    </row>
    <row r="10942" spans="5:11" x14ac:dyDescent="0.35">
      <c r="E10942" s="9" t="str">
        <v>IGNF</v>
      </c>
      <c r="F10942" s="7" t="str">
        <v>ETRS89UTM38</v>
      </c>
      <c r="G10942" t="str">
        <v>ProjectedCrs</v>
      </c>
      <c r="H10942" t="str">
        <v>Transverse Mercator</v>
      </c>
      <c r="I10942" t="str">
        <v>ETRS89 UTM Nord fuseau 38</v>
      </c>
      <c r="J10942" t="str">
        <v>EUROPE (ETRS89) - UTM NORD FUSEAU 38</v>
      </c>
      <c r="K10942" s="11">
        <v>0</v>
      </c>
    </row>
    <row r="10943" spans="5:11" x14ac:dyDescent="0.35">
      <c r="E10943" s="9" t="str">
        <v>IGNF</v>
      </c>
      <c r="F10943" s="7" t="str">
        <v>UTM38ETRS89</v>
      </c>
      <c r="G10943" t="str">
        <v>ProjectedCrs</v>
      </c>
      <c r="H10943" t="str">
        <v>Transverse Mercator</v>
      </c>
      <c r="I10943" t="str">
        <v>ETRS89 UTM Nord fuseau 38</v>
      </c>
      <c r="J10943" t="str">
        <v>EUROPE (ETRS89) - UTM NORD FUSEAU 38</v>
      </c>
      <c r="K10943" s="11">
        <v>0</v>
      </c>
    </row>
    <row r="10944" spans="5:11" x14ac:dyDescent="0.35">
      <c r="E10944" s="9" t="str">
        <v>IGNF</v>
      </c>
      <c r="F10944" s="7" t="str">
        <v>EUROPA54G</v>
      </c>
      <c r="G10944" t="str">
        <v>Geographic2DCrs</v>
      </c>
      <c r="H10944" t="str">
        <v>&lt;undefined&gt;</v>
      </c>
      <c r="I10944" t="str">
        <v>Europa geographiques (dms)</v>
      </c>
      <c r="J10944" t="str">
        <v>ILE EUROPA</v>
      </c>
      <c r="K10944" s="11">
        <v>0</v>
      </c>
    </row>
    <row r="10945" spans="5:11" x14ac:dyDescent="0.35">
      <c r="E10945" s="9" t="str">
        <v>IGNF</v>
      </c>
      <c r="F10945" s="7" t="str">
        <v>EUROPA54MD</v>
      </c>
      <c r="G10945" t="str">
        <v>ProjectedCrs</v>
      </c>
      <c r="H10945" t="str">
        <v>Mercator (variant A)</v>
      </c>
      <c r="I10945" t="str">
        <v>Europa Mercator directe</v>
      </c>
      <c r="J10945" t="str">
        <v>ILE EUROPA - MERCATOR DIRECTE</v>
      </c>
      <c r="K10945" s="11">
        <v>0</v>
      </c>
    </row>
    <row r="10946" spans="5:11" x14ac:dyDescent="0.35">
      <c r="E10946" s="9" t="str">
        <v>IGNF</v>
      </c>
      <c r="F10946" s="7" t="str">
        <v>EUROPA54</v>
      </c>
      <c r="G10946" t="str">
        <v>GeocentricCrs</v>
      </c>
      <c r="H10946" t="str">
        <v>&lt;undefined&gt;</v>
      </c>
      <c r="I10946" t="str">
        <v>Europa MHM 1954 cartesiennes geocentriques</v>
      </c>
      <c r="J10946" t="str">
        <v>ILE EUROPA</v>
      </c>
      <c r="K10946" s="11">
        <v>0</v>
      </c>
    </row>
    <row r="10947" spans="5:11" x14ac:dyDescent="0.35">
      <c r="E10947" s="9" t="str">
        <v>IGNF</v>
      </c>
      <c r="F10947" s="7" t="str">
        <v>EURO54UTM37S</v>
      </c>
      <c r="G10947" t="str">
        <v>ProjectedCrs</v>
      </c>
      <c r="H10947" t="str">
        <v>Transverse Mercator</v>
      </c>
      <c r="I10947" t="str">
        <v>EUROPA MHM 1954 UTM SUD FUSEAU 37</v>
      </c>
      <c r="J10947" t="str">
        <v>ILE EUROPA</v>
      </c>
      <c r="K10947" s="11">
        <v>0</v>
      </c>
    </row>
    <row r="10948" spans="5:11" x14ac:dyDescent="0.35">
      <c r="E10948" s="9" t="str">
        <v>IGNF</v>
      </c>
      <c r="F10948" s="7" t="str">
        <v>EVRF2000</v>
      </c>
      <c r="G10948" t="str">
        <v>VerticalCrs</v>
      </c>
      <c r="H10948" t="str">
        <v>&lt;undefined&gt;</v>
      </c>
      <c r="I10948" t="str">
        <v>EVRF2000 (UELN-95/98)(EUROPEAN VERTICAL REFERENCE FRAME)</v>
      </c>
      <c r="J10948" t="str">
        <v>EUROPE (RESEAU VERTICAL UNIFIE)</v>
      </c>
      <c r="K10948" s="11">
        <v>0</v>
      </c>
    </row>
    <row r="10949" spans="5:11" x14ac:dyDescent="0.35">
      <c r="E10949" s="9" t="str">
        <v>IGNF</v>
      </c>
      <c r="F10949" s="7" t="str">
        <v>EVRF2007</v>
      </c>
      <c r="G10949" t="str">
        <v>VerticalCrs</v>
      </c>
      <c r="H10949" t="str">
        <v>&lt;undefined&gt;</v>
      </c>
      <c r="I10949" t="str">
        <v>EVRF2007 (EUROPEAN VERTICAL REFERENCE FRAME 2007)</v>
      </c>
      <c r="J10949" t="str">
        <v>EUROPE (RESEAU VERTICAL UNIFIE)</v>
      </c>
      <c r="K10949" s="11">
        <v>0</v>
      </c>
    </row>
    <row r="10950" spans="5:11" x14ac:dyDescent="0.35">
      <c r="E10950" s="9" t="str">
        <v>IGNF</v>
      </c>
      <c r="F10950" s="7" t="str">
        <v>FAKA50G</v>
      </c>
      <c r="G10950" t="str">
        <v>Geographic2DCrs</v>
      </c>
      <c r="H10950" t="str">
        <v>&lt;undefined&gt;</v>
      </c>
      <c r="I10950" t="str">
        <v>Fakarava (SHM 1947-1950) geographiques (dms)</v>
      </c>
      <c r="J10950" t="str">
        <v>FAKARAVA (ARCHIPEL DES TUAMOTU)</v>
      </c>
      <c r="K10950" s="11">
        <v>0</v>
      </c>
    </row>
    <row r="10951" spans="5:11" x14ac:dyDescent="0.35">
      <c r="E10951" s="9" t="str">
        <v>IGNF</v>
      </c>
      <c r="F10951" s="7" t="str">
        <v>FAKA50UTM6S</v>
      </c>
      <c r="G10951" t="str">
        <v>ProjectedCrs</v>
      </c>
      <c r="H10951" t="str">
        <v>Transverse Mercator</v>
      </c>
      <c r="I10951" t="str">
        <v>Fakarava (SHM 1947-1950) UTM Sud fuseau 6</v>
      </c>
      <c r="J10951" t="str">
        <v>FAKARAVA (ARCHIPEL DES TUAMOTU) - UTM SUD FUSEAU 6</v>
      </c>
      <c r="K10951" s="11">
        <v>0</v>
      </c>
    </row>
    <row r="10952" spans="5:11" x14ac:dyDescent="0.35">
      <c r="E10952" s="9" t="str">
        <v>IGNF</v>
      </c>
      <c r="F10952" s="7" t="str">
        <v>FAKA50</v>
      </c>
      <c r="G10952" t="str">
        <v>GeocentricCrs</v>
      </c>
      <c r="H10952" t="str">
        <v>&lt;undefined&gt;</v>
      </c>
      <c r="I10952" t="str">
        <v>Fakarava SHM 1947-1950 cartesiennes</v>
      </c>
      <c r="J10952" t="str">
        <v>FAKARAVA (ARCHIPEL DES TUAMOTU)</v>
      </c>
      <c r="K10952" s="11">
        <v>0</v>
      </c>
    </row>
    <row r="10953" spans="5:11" x14ac:dyDescent="0.35">
      <c r="E10953" s="9" t="str">
        <v>IGNF</v>
      </c>
      <c r="F10953" s="7" t="str">
        <v>FANGA50G</v>
      </c>
      <c r="G10953" t="str">
        <v>Geographic2DCrs</v>
      </c>
      <c r="H10953" t="str">
        <v>&lt;undefined&gt;</v>
      </c>
      <c r="I10953" t="str">
        <v>Fangataufa (MGT 1950) geographiques (dms)</v>
      </c>
      <c r="J10953" t="str">
        <v>FANGATAUFA (ARCHIPEL DES TUAMOTU)</v>
      </c>
      <c r="K10953" s="11">
        <v>0</v>
      </c>
    </row>
    <row r="10954" spans="5:11" x14ac:dyDescent="0.35">
      <c r="E10954" s="9" t="str">
        <v>IGNF</v>
      </c>
      <c r="F10954" s="7" t="str">
        <v>FANGA64G</v>
      </c>
      <c r="G10954" t="str">
        <v>Geographic2DCrs</v>
      </c>
      <c r="H10954" t="str">
        <v>&lt;undefined&gt;</v>
      </c>
      <c r="I10954" t="str">
        <v>Fangataufa (MHPF 1964) geographiques (dms)</v>
      </c>
      <c r="J10954" t="str">
        <v>FANGATAUFA (ARCHIPEL DES TUAMOTU)</v>
      </c>
      <c r="K10954" s="11">
        <v>0</v>
      </c>
    </row>
    <row r="10955" spans="5:11" x14ac:dyDescent="0.35">
      <c r="E10955" s="9" t="str">
        <v>IGNF</v>
      </c>
      <c r="F10955" s="7" t="str">
        <v>FANGA64UTM7S</v>
      </c>
      <c r="G10955" t="str">
        <v>ProjectedCrs</v>
      </c>
      <c r="H10955" t="str">
        <v>Transverse Mercator</v>
      </c>
      <c r="I10955" t="str">
        <v>Fangataufa (MHPF 1964) UTM Sud fuseau 7</v>
      </c>
      <c r="J10955" t="str">
        <v>FANGATAUFA (ARCHIPEL DES TUAMOTU) - UTM SUD FUSEAU 7</v>
      </c>
      <c r="K10955" s="11">
        <v>0</v>
      </c>
    </row>
    <row r="10956" spans="5:11" x14ac:dyDescent="0.35">
      <c r="E10956" s="9" t="str">
        <v>IGNF</v>
      </c>
      <c r="F10956" s="7" t="str">
        <v>FANG651G</v>
      </c>
      <c r="G10956" t="str">
        <v>Geographic2DCrs</v>
      </c>
      <c r="H10956" t="str">
        <v>&lt;undefined&gt;</v>
      </c>
      <c r="I10956" t="str">
        <v>Fangataufa (MHPF 1965-1) geographiques (dms)</v>
      </c>
      <c r="J10956" t="str">
        <v>FANGATAUFA (ARCHIPEL DES TUAMOTU)</v>
      </c>
      <c r="K10956" s="11">
        <v>0</v>
      </c>
    </row>
    <row r="10957" spans="5:11" x14ac:dyDescent="0.35">
      <c r="E10957" s="9" t="str">
        <v>IGNF</v>
      </c>
      <c r="F10957" s="7" t="str">
        <v>FANGA651G</v>
      </c>
      <c r="G10957" t="str">
        <v>Geographic2DCrs</v>
      </c>
      <c r="H10957" t="str">
        <v>&lt;undefined&gt;</v>
      </c>
      <c r="I10957" t="str">
        <v>Fangataufa (MHPF 1965-1) geographiques (dms)</v>
      </c>
      <c r="J10957" t="str">
        <v>FANGATAUFA (ARCHIPEL DES TUAMOTU)</v>
      </c>
      <c r="K10957" s="11">
        <v>0</v>
      </c>
    </row>
    <row r="10958" spans="5:11" x14ac:dyDescent="0.35">
      <c r="E10958" s="9" t="str">
        <v>IGNF</v>
      </c>
      <c r="F10958" s="7" t="str">
        <v>FANG651UTM7S</v>
      </c>
      <c r="G10958" t="str">
        <v>ProjectedCrs</v>
      </c>
      <c r="H10958" t="str">
        <v>Transverse Mercator</v>
      </c>
      <c r="I10958" t="str">
        <v>Fangataufa (MHPF 1965-1) UTM Sud fuseau 7</v>
      </c>
      <c r="J10958" t="str">
        <v>FANGATAUFA (ARCHIPEL DES TUAMOTU) - UTM SUD FUSEAU 7</v>
      </c>
      <c r="K10958" s="11">
        <v>0</v>
      </c>
    </row>
    <row r="10959" spans="5:11" x14ac:dyDescent="0.35">
      <c r="E10959" s="9" t="str">
        <v>IGNF</v>
      </c>
      <c r="F10959" s="7" t="str">
        <v>FANGA651U7S</v>
      </c>
      <c r="G10959" t="str">
        <v>ProjectedCrs</v>
      </c>
      <c r="H10959" t="str">
        <v>Transverse Mercator</v>
      </c>
      <c r="I10959" t="str">
        <v>Fangataufa (MHPF 1965-1) UTM Sud fuseau 7</v>
      </c>
      <c r="J10959" t="str">
        <v>FANGATAUFA (ARCHIPEL DES TUAMOTU) - UTM SUD FUSEAU 7</v>
      </c>
      <c r="K10959" s="11">
        <v>0</v>
      </c>
    </row>
    <row r="10960" spans="5:11" x14ac:dyDescent="0.35">
      <c r="E10960" s="9" t="str">
        <v>IGNF</v>
      </c>
      <c r="F10960" s="7" t="str">
        <v>FANGA652G</v>
      </c>
      <c r="G10960" t="str">
        <v>Geographic2DCrs</v>
      </c>
      <c r="H10960" t="str">
        <v>&lt;undefined&gt;</v>
      </c>
      <c r="I10960" t="str">
        <v>Fangataufa (MHPF 1965-2) geographiques (dms)</v>
      </c>
      <c r="J10960" t="str">
        <v>FANGATAUFA (ARCHIPEL DES TUAMOTU)</v>
      </c>
      <c r="K10960" s="11">
        <v>0</v>
      </c>
    </row>
    <row r="10961" spans="5:11" x14ac:dyDescent="0.35">
      <c r="E10961" s="9" t="str">
        <v>IGNF</v>
      </c>
      <c r="F10961" s="7" t="str">
        <v>FANG652G</v>
      </c>
      <c r="G10961" t="str">
        <v>Geographic2DCrs</v>
      </c>
      <c r="H10961" t="str">
        <v>&lt;undefined&gt;</v>
      </c>
      <c r="I10961" t="str">
        <v>Fangataufa (MHPF 1965-2) geographiques (dms)</v>
      </c>
      <c r="J10961" t="str">
        <v>FANGATAUFA (ARCHIPEL DES TUAMOTU)</v>
      </c>
      <c r="K10961" s="11">
        <v>0</v>
      </c>
    </row>
    <row r="10962" spans="5:11" x14ac:dyDescent="0.35">
      <c r="E10962" s="9" t="str">
        <v>IGNF</v>
      </c>
      <c r="F10962" s="7" t="str">
        <v>FANG652UTM7S</v>
      </c>
      <c r="G10962" t="str">
        <v>ProjectedCrs</v>
      </c>
      <c r="H10962" t="str">
        <v>Transverse Mercator</v>
      </c>
      <c r="I10962" t="str">
        <v>Fangataufa (MHPF 1965-2) UTM Sud fuseau 7</v>
      </c>
      <c r="J10962" t="str">
        <v>FANGATAUFA (ARCHIPEL DES TUAMOTU) - UTM SUD FUSEAU 7</v>
      </c>
      <c r="K10962" s="11">
        <v>0</v>
      </c>
    </row>
    <row r="10963" spans="5:11" x14ac:dyDescent="0.35">
      <c r="E10963" s="9" t="str">
        <v>IGNF</v>
      </c>
      <c r="F10963" s="7" t="str">
        <v>FANGA652U7S</v>
      </c>
      <c r="G10963" t="str">
        <v>ProjectedCrs</v>
      </c>
      <c r="H10963" t="str">
        <v>Transverse Mercator</v>
      </c>
      <c r="I10963" t="str">
        <v>Fangataufa (MHPF 1965-2) UTM Sud fuseau 7</v>
      </c>
      <c r="J10963" t="str">
        <v>FANGATAUFA (ARCHIPEL DES TUAMOTU) - UTM SUD FUSEAU 7</v>
      </c>
      <c r="K10963" s="11">
        <v>0</v>
      </c>
    </row>
    <row r="10964" spans="5:11" x14ac:dyDescent="0.35">
      <c r="E10964" s="9" t="str">
        <v>IGNF</v>
      </c>
      <c r="F10964" s="7" t="str">
        <v>FANGA66G</v>
      </c>
      <c r="G10964" t="str">
        <v>Geographic2DCrs</v>
      </c>
      <c r="H10964" t="str">
        <v>&lt;undefined&gt;</v>
      </c>
      <c r="I10964" t="str">
        <v>Fangataufa (MHPF 1966) geographiques (dms)</v>
      </c>
      <c r="J10964" t="str">
        <v>FANGATAUFA (ARCHIPEL DES TUAMOTU)</v>
      </c>
      <c r="K10964" s="11">
        <v>0</v>
      </c>
    </row>
    <row r="10965" spans="5:11" x14ac:dyDescent="0.35">
      <c r="E10965" s="9" t="str">
        <v>IGNF</v>
      </c>
      <c r="F10965" s="7" t="str">
        <v>FANGA66UTM7S</v>
      </c>
      <c r="G10965" t="str">
        <v>ProjectedCrs</v>
      </c>
      <c r="H10965" t="str">
        <v>Transverse Mercator</v>
      </c>
      <c r="I10965" t="str">
        <v>Fangataufa (MHPF 1966) UTM Sud fuseau 7</v>
      </c>
      <c r="J10965" t="str">
        <v>FANGATAUFA (ARCHIPEL DES TUAMOTU) - UTM SUD FUSEAU 7</v>
      </c>
      <c r="K10965" s="11">
        <v>0</v>
      </c>
    </row>
    <row r="10966" spans="5:11" x14ac:dyDescent="0.35">
      <c r="E10966" s="9" t="str">
        <v>IGNF</v>
      </c>
      <c r="F10966" s="7" t="str">
        <v>FANGA84G</v>
      </c>
      <c r="G10966" t="str">
        <v>Geographic2DCrs</v>
      </c>
      <c r="H10966" t="str">
        <v>&lt;undefined&gt;</v>
      </c>
      <c r="I10966" t="str">
        <v>Fangataufa (MOP84) geographiques (dms)</v>
      </c>
      <c r="J10966" t="str">
        <v>FANGATAUFA (ARCHIPEL DES TUAMOTU)</v>
      </c>
      <c r="K10966" s="11">
        <v>0</v>
      </c>
    </row>
    <row r="10967" spans="5:11" x14ac:dyDescent="0.35">
      <c r="E10967" s="9" t="str">
        <v>IGNF</v>
      </c>
      <c r="F10967" s="7" t="str">
        <v>FANGA84UTM7S</v>
      </c>
      <c r="G10967" t="str">
        <v>ProjectedCrs</v>
      </c>
      <c r="H10967" t="str">
        <v>Transverse Mercator</v>
      </c>
      <c r="I10967" t="str">
        <v>Fangataufa (MOP84) UTM Sud fuseau 7</v>
      </c>
      <c r="J10967" t="str">
        <v>FANGATAUFA (ARCHIPEL DES TUAMOTU) - UTM SUD FUSEAU 7</v>
      </c>
      <c r="K10967" s="11">
        <v>0</v>
      </c>
    </row>
    <row r="10968" spans="5:11" x14ac:dyDescent="0.35">
      <c r="E10968" s="9" t="str">
        <v>IGNF</v>
      </c>
      <c r="F10968" s="7" t="str">
        <v>FANGA50</v>
      </c>
      <c r="G10968" t="str">
        <v>GeocentricCrs</v>
      </c>
      <c r="H10968" t="str">
        <v>&lt;undefined&gt;</v>
      </c>
      <c r="I10968" t="str">
        <v>Fangataufa MGT 1950 cartesiennes geocentriques</v>
      </c>
      <c r="J10968" t="str">
        <v>FANGATAUFA (ARCHIPEL DES TUAMOTU)</v>
      </c>
      <c r="K10968" s="11">
        <v>0</v>
      </c>
    </row>
    <row r="10969" spans="5:11" x14ac:dyDescent="0.35">
      <c r="E10969" s="9" t="str">
        <v>IGNF</v>
      </c>
      <c r="F10969" s="7" t="str">
        <v>FANGA64</v>
      </c>
      <c r="G10969" t="str">
        <v>GeocentricCrs</v>
      </c>
      <c r="H10969" t="str">
        <v>&lt;undefined&gt;</v>
      </c>
      <c r="I10969" t="str">
        <v>Fangataufa MHPF 1964 cartesiennes geocentriques</v>
      </c>
      <c r="J10969" t="str">
        <v>FANGATAUFA (ARCHIPEL DES TUAMOTU)</v>
      </c>
      <c r="K10969" s="11">
        <v>0</v>
      </c>
    </row>
    <row r="10970" spans="5:11" x14ac:dyDescent="0.35">
      <c r="E10970" s="9" t="str">
        <v>IGNF</v>
      </c>
      <c r="F10970" s="7" t="str">
        <v>FANGA651</v>
      </c>
      <c r="G10970" t="str">
        <v>GeocentricCrs</v>
      </c>
      <c r="H10970" t="str">
        <v>&lt;undefined&gt;</v>
      </c>
      <c r="I10970" t="str">
        <v>Fangataufa MHPF 1965-1 cartesiennes geocent.</v>
      </c>
      <c r="J10970" t="str">
        <v>FANGATAUFA (ARCHIPEL DES TUAMOTU)</v>
      </c>
      <c r="K10970" s="11">
        <v>0</v>
      </c>
    </row>
    <row r="10971" spans="5:11" x14ac:dyDescent="0.35">
      <c r="E10971" s="9" t="str">
        <v>IGNF</v>
      </c>
      <c r="F10971" s="7" t="str">
        <v>FANGA652</v>
      </c>
      <c r="G10971" t="str">
        <v>GeocentricCrs</v>
      </c>
      <c r="H10971" t="str">
        <v>&lt;undefined&gt;</v>
      </c>
      <c r="I10971" t="str">
        <v>Fangataufa MHPF 1965-2 cartesiennes geocent.</v>
      </c>
      <c r="J10971" t="str">
        <v>FANGATAUFA (ARCHIPEL DES TUAMOTU)</v>
      </c>
      <c r="K10971" s="11">
        <v>0</v>
      </c>
    </row>
    <row r="10972" spans="5:11" x14ac:dyDescent="0.35">
      <c r="E10972" s="9" t="str">
        <v>IGNF</v>
      </c>
      <c r="F10972" s="7" t="str">
        <v>FANGA66</v>
      </c>
      <c r="G10972" t="str">
        <v>GeocentricCrs</v>
      </c>
      <c r="H10972" t="str">
        <v>&lt;undefined&gt;</v>
      </c>
      <c r="I10972" t="str">
        <v>Fangataufa MHPF 1966 cartesiennes geocentriques</v>
      </c>
      <c r="J10972" t="str">
        <v>FANGATAUFA (ARCHIPEL DES TUAMOTU)</v>
      </c>
      <c r="K10972" s="11">
        <v>0</v>
      </c>
    </row>
    <row r="10973" spans="5:11" x14ac:dyDescent="0.35">
      <c r="E10973" s="9" t="str">
        <v>IGNF</v>
      </c>
      <c r="F10973" s="7" t="str">
        <v>FANGA84</v>
      </c>
      <c r="G10973" t="str">
        <v>GeocentricCrs</v>
      </c>
      <c r="H10973" t="str">
        <v>&lt;undefined&gt;</v>
      </c>
      <c r="I10973" t="str">
        <v>Fangataufa MOP 1984 cartesiennes geocentriques</v>
      </c>
      <c r="J10973" t="str">
        <v>FANGATAUFA (ARCHIPEL DES TUAMOTU)</v>
      </c>
      <c r="K10973" s="11">
        <v>0</v>
      </c>
    </row>
    <row r="10974" spans="5:11" x14ac:dyDescent="0.35">
      <c r="E10974" s="9" t="str">
        <v>IGNF</v>
      </c>
      <c r="F10974" s="7" t="str">
        <v>MHEFO55FG</v>
      </c>
      <c r="G10974" t="str">
        <v>Geographic2DCrs</v>
      </c>
      <c r="H10974" t="str">
        <v>&lt;undefined&gt;</v>
      </c>
      <c r="I10974" t="str">
        <v>Fatu Huku (MHEFO 1955) geographiques (dms)</v>
      </c>
      <c r="J10974" t="str">
        <v>FATU HUKU (ARCHIPEL DES MARQUISES)</v>
      </c>
      <c r="K10974" s="11">
        <v>0</v>
      </c>
    </row>
    <row r="10975" spans="5:11" x14ac:dyDescent="0.35">
      <c r="E10975" s="9" t="str">
        <v>IGNF</v>
      </c>
      <c r="F10975" s="7" t="str">
        <v>FATU55FG</v>
      </c>
      <c r="G10975" t="str">
        <v>Geographic2DCrs</v>
      </c>
      <c r="H10975" t="str">
        <v>&lt;undefined&gt;</v>
      </c>
      <c r="I10975" t="str">
        <v>Fatu Huku (MHEFO 1955) geographiques (dms)</v>
      </c>
      <c r="J10975" t="str">
        <v>FATU HUKU (ARCHIPEL DES MARQUISES)</v>
      </c>
      <c r="K10975" s="11">
        <v>0</v>
      </c>
    </row>
    <row r="10976" spans="5:11" x14ac:dyDescent="0.35">
      <c r="E10976" s="9" t="str">
        <v>IGNF</v>
      </c>
      <c r="F10976" s="7" t="str">
        <v>MHEFO55F</v>
      </c>
      <c r="G10976" t="str">
        <v>GeocentricCrs</v>
      </c>
      <c r="H10976" t="str">
        <v>&lt;undefined&gt;</v>
      </c>
      <c r="I10976" t="str">
        <v>Fatu Huku MHEFO 1955 cartesiennes geocent.</v>
      </c>
      <c r="J10976" t="str">
        <v>FATU HUKU (ARCHIPEL DES MARQUISES)</v>
      </c>
      <c r="K10976" s="11">
        <v>0</v>
      </c>
    </row>
    <row r="10977" spans="5:11" x14ac:dyDescent="0.35">
      <c r="E10977" s="9" t="str">
        <v>IGNF</v>
      </c>
      <c r="F10977" s="7" t="str">
        <v>FATU55</v>
      </c>
      <c r="G10977" t="str">
        <v>GeocentricCrs</v>
      </c>
      <c r="H10977" t="str">
        <v>&lt;undefined&gt;</v>
      </c>
      <c r="I10977" t="str">
        <v>Fatu Huku MHEFO 1955 cartesiennes geocent.</v>
      </c>
      <c r="J10977" t="str">
        <v>FATU HUKU (ARCHIPEL DES MARQUISES)</v>
      </c>
      <c r="K10977" s="11">
        <v>0</v>
      </c>
    </row>
    <row r="10978" spans="5:11" x14ac:dyDescent="0.35">
      <c r="E10978" s="9" t="str">
        <v>IGNF</v>
      </c>
      <c r="F10978" s="7" t="str">
        <v>RGF93EQGPFR</v>
      </c>
      <c r="G10978" t="str">
        <v>ProjectedCrs</v>
      </c>
      <c r="H10978" t="str">
        <v>Equidistant Cylindrical</v>
      </c>
      <c r="I10978" t="str">
        <v>France Metropolitaine projection Geoportail</v>
      </c>
      <c r="J10978" t="str">
        <v>FRANCE METROPOLITAINE (CORSE COMPRISE)</v>
      </c>
      <c r="K10978" s="11">
        <v>0</v>
      </c>
    </row>
    <row r="10979" spans="5:11" x14ac:dyDescent="0.35">
      <c r="E10979" s="9" t="str">
        <v>IGNF</v>
      </c>
      <c r="F10979" s="7" t="str">
        <v>GEOPORTALFXX</v>
      </c>
      <c r="G10979" t="str">
        <v>ProjectedCrs</v>
      </c>
      <c r="H10979" t="str">
        <v>Equidistant Cylindrical</v>
      </c>
      <c r="I10979" t="str">
        <v>France Metropolitaine projection Geoportail</v>
      </c>
      <c r="J10979" t="str">
        <v>FRANCE METROPOLITAINE (CORSE COMPRISE)</v>
      </c>
      <c r="K10979" s="11">
        <v>0</v>
      </c>
    </row>
    <row r="10980" spans="5:11" x14ac:dyDescent="0.35">
      <c r="E10980" s="9" t="str">
        <v>IGNF</v>
      </c>
      <c r="F10980" s="7" t="str">
        <v>MHPF67</v>
      </c>
      <c r="G10980" t="str">
        <v>GeocentricCrs</v>
      </c>
      <c r="H10980" t="str">
        <v>&lt;undefined&gt;</v>
      </c>
      <c r="I10980" t="str">
        <v>Gambier MHPF 1967 cartesiennes geocentriques</v>
      </c>
      <c r="J10980" t="str">
        <v>MANGAREVA, AGAKAUITAI, AUKENA, MEKIRO (ILES GAMBIER)</v>
      </c>
      <c r="K10980" s="11">
        <v>0</v>
      </c>
    </row>
    <row r="10981" spans="5:11" x14ac:dyDescent="0.35">
      <c r="E10981" s="9" t="str">
        <v>IGNF</v>
      </c>
      <c r="F10981" s="7" t="str">
        <v>GLOR77MHG</v>
      </c>
      <c r="G10981" t="str">
        <v>GeocentricCrs</v>
      </c>
      <c r="H10981" t="str">
        <v>&lt;undefined&gt;</v>
      </c>
      <c r="I10981" t="str">
        <v>Glorieuses (MHG 1977) cartesiennes geocent.</v>
      </c>
      <c r="J10981" t="str">
        <v>ILES GLORIEUSES</v>
      </c>
      <c r="K10981" s="11">
        <v>0</v>
      </c>
    </row>
    <row r="10982" spans="5:11" x14ac:dyDescent="0.35">
      <c r="E10982" s="9" t="str">
        <v>IGNF</v>
      </c>
      <c r="F10982" s="7" t="str">
        <v>GLOR77CAR</v>
      </c>
      <c r="G10982" t="str">
        <v>GeocentricCrs</v>
      </c>
      <c r="H10982" t="str">
        <v>&lt;undefined&gt;</v>
      </c>
      <c r="I10982" t="str">
        <v>Glorieuses (MHG 1977) cartesiennes geocent.</v>
      </c>
      <c r="J10982" t="str">
        <v>ILES GLORIEUSES</v>
      </c>
      <c r="K10982" s="11">
        <v>0</v>
      </c>
    </row>
    <row r="10983" spans="5:11" x14ac:dyDescent="0.35">
      <c r="E10983" s="9" t="str">
        <v>IGNF</v>
      </c>
      <c r="F10983" s="7" t="str">
        <v>GLOR77G</v>
      </c>
      <c r="G10983" t="str">
        <v>Geographic2DCrs</v>
      </c>
      <c r="H10983" t="str">
        <v>&lt;undefined&gt;</v>
      </c>
      <c r="I10983" t="str">
        <v>Glorieuses geographiques (dms)</v>
      </c>
      <c r="J10983" t="str">
        <v>ILES GLORIEUSES</v>
      </c>
      <c r="K10983" s="11">
        <v>0</v>
      </c>
    </row>
    <row r="10984" spans="5:11" x14ac:dyDescent="0.35">
      <c r="E10984" s="9" t="str">
        <v>IGNF</v>
      </c>
      <c r="F10984" s="7" t="str">
        <v>GLOR77G.GLOR77</v>
      </c>
      <c r="G10984" t="str">
        <v>CompoundCrs</v>
      </c>
      <c r="H10984" t="str">
        <v>&lt;undefined&gt;</v>
      </c>
      <c r="I10984" t="str">
        <v>Glorieuses geographiques (dms) et SHOM 1977 (ILES GLORIEUSES - CANAL DE MOZAMBIQUE)</v>
      </c>
      <c r="J10984" t="str">
        <v>ILES GLORIEUSES</v>
      </c>
      <c r="K10984" s="11">
        <v>0</v>
      </c>
    </row>
    <row r="10985" spans="5:11" x14ac:dyDescent="0.35">
      <c r="E10985" s="9" t="str">
        <v>IGNF</v>
      </c>
      <c r="F10985" s="7" t="str">
        <v>GLOR77MD</v>
      </c>
      <c r="G10985" t="str">
        <v>ProjectedCrs</v>
      </c>
      <c r="H10985" t="str">
        <v>Mercator (variant A)</v>
      </c>
      <c r="I10985" t="str">
        <v>Glorieuses Mercator directe</v>
      </c>
      <c r="J10985" t="str">
        <v>ILES GLORIEUSES - MERCATOR DIRECTE</v>
      </c>
      <c r="K10985" s="11">
        <v>0</v>
      </c>
    </row>
    <row r="10986" spans="5:11" x14ac:dyDescent="0.35">
      <c r="E10986" s="9" t="str">
        <v>IGNF</v>
      </c>
      <c r="F10986" s="7" t="str">
        <v>GLOR77MD.GLOR77</v>
      </c>
      <c r="G10986" t="str">
        <v>CompoundCrs</v>
      </c>
      <c r="H10986" t="str">
        <v>&lt;undefined&gt;</v>
      </c>
      <c r="I10986" t="str">
        <v>Glorieuses Mercator directe et SHOM 1977 (ILES GLORIEUSES - CANAL DE MOZAMBIQUE)</v>
      </c>
      <c r="J10986" t="str">
        <v>ILES GLORIEUSES</v>
      </c>
      <c r="K10986" s="11">
        <v>0</v>
      </c>
    </row>
    <row r="10987" spans="5:11" x14ac:dyDescent="0.35">
      <c r="E10987" s="9" t="str">
        <v>IGNF</v>
      </c>
      <c r="F10987" s="7" t="str">
        <v>GLOR77UTM38S</v>
      </c>
      <c r="G10987" t="str">
        <v>ProjectedCrs</v>
      </c>
      <c r="H10987" t="str">
        <v>Transverse Mercator</v>
      </c>
      <c r="I10987" t="str">
        <v>GLORIEUSES MHG 1977 UTM SUD FUSEAU 38</v>
      </c>
      <c r="J10987" t="str">
        <v>ILES GLORIEUSES - UTM SUD FUSEAU 38</v>
      </c>
      <c r="K10987" s="11">
        <v>0</v>
      </c>
    </row>
    <row r="10988" spans="5:11" x14ac:dyDescent="0.35">
      <c r="E10988" s="9" t="str">
        <v>IGNF</v>
      </c>
      <c r="F10988" s="7" t="str">
        <v>GLOR77UTM38S.GLOR77</v>
      </c>
      <c r="G10988" t="str">
        <v>CompoundCrs</v>
      </c>
      <c r="H10988" t="str">
        <v>&lt;undefined&gt;</v>
      </c>
      <c r="I10988" t="str">
        <v>GLORIEUSES MHG 1977 UTM SUD FUSEAU 38 et SHOM 1977 (ILES GLORIEUSES - CANAL DE MOZAMBIQUE)</v>
      </c>
      <c r="J10988" t="str">
        <v>ILES GLORIEUSES</v>
      </c>
      <c r="K10988" s="11">
        <v>0</v>
      </c>
    </row>
    <row r="10989" spans="5:11" x14ac:dyDescent="0.35">
      <c r="E10989" s="9" t="str">
        <v>IGNF</v>
      </c>
      <c r="F10989" s="7" t="str">
        <v>GTN51</v>
      </c>
      <c r="G10989" t="str">
        <v>GeocentricCrs</v>
      </c>
      <c r="H10989" t="str">
        <v>&lt;undefined&gt;</v>
      </c>
      <c r="I10989" t="str">
        <v>GOMEN TERME NORD 1951 CARTESIENNES</v>
      </c>
      <c r="J10989" t="str">
        <v>GRANDE TERRE (NOUVELLE-CALEDONIE)</v>
      </c>
      <c r="K10989" s="11">
        <v>0</v>
      </c>
    </row>
    <row r="10990" spans="5:11" x14ac:dyDescent="0.35">
      <c r="E10990" s="9" t="str">
        <v>IGNF</v>
      </c>
      <c r="F10990" s="7" t="str">
        <v>NC51</v>
      </c>
      <c r="G10990" t="str">
        <v>GeocentricCrs</v>
      </c>
      <c r="H10990" t="str">
        <v>&lt;undefined&gt;</v>
      </c>
      <c r="I10990" t="str">
        <v>GOMEN TERME NORD 1951 CARTESIENNES</v>
      </c>
      <c r="J10990" t="str">
        <v>GRANDE TERRE (NOUVELLE-CALEDONIE)</v>
      </c>
      <c r="K10990" s="11">
        <v>0</v>
      </c>
    </row>
    <row r="10991" spans="5:11" x14ac:dyDescent="0.35">
      <c r="E10991" s="9" t="str">
        <v>IGNF</v>
      </c>
      <c r="F10991" s="7" t="str">
        <v>NC51G</v>
      </c>
      <c r="G10991" t="str">
        <v>Geographic2DCrs</v>
      </c>
      <c r="H10991" t="str">
        <v>&lt;undefined&gt;</v>
      </c>
      <c r="I10991" t="str">
        <v>Gomen Terme Nord 1951 geographiques (dms)</v>
      </c>
      <c r="J10991" t="str">
        <v>GRANDE TERRE (NOUVELLE-CALEDONIE)</v>
      </c>
      <c r="K10991" s="11">
        <v>0</v>
      </c>
    </row>
    <row r="10992" spans="5:11" x14ac:dyDescent="0.35">
      <c r="E10992" s="9" t="str">
        <v>IGNF</v>
      </c>
      <c r="F10992" s="7" t="str">
        <v>GTN51G</v>
      </c>
      <c r="G10992" t="str">
        <v>Geographic2DCrs</v>
      </c>
      <c r="H10992" t="str">
        <v>&lt;undefined&gt;</v>
      </c>
      <c r="I10992" t="str">
        <v>Gomen Terme Nord 1951 geographiques (dms)</v>
      </c>
      <c r="J10992" t="str">
        <v>GRANDE TERRE (NOUVELLE-CALEDONIE)</v>
      </c>
      <c r="K10992" s="11">
        <v>0</v>
      </c>
    </row>
    <row r="10993" spans="5:11" x14ac:dyDescent="0.35">
      <c r="E10993" s="9" t="str">
        <v>IGNF</v>
      </c>
      <c r="F10993" s="7" t="str">
        <v>NC51UTM58S</v>
      </c>
      <c r="G10993" t="str">
        <v>ProjectedCrs</v>
      </c>
      <c r="H10993" t="str">
        <v>Transverse Mercator</v>
      </c>
      <c r="I10993" t="str">
        <v>GOMEN TERME NORD 1951 UTM SUD FUSEAU 58</v>
      </c>
      <c r="J10993" t="str">
        <v>GRANDE TERRE (NOUVELLE-CALEDONIE) - UTM SUD FUSEAU 58</v>
      </c>
      <c r="K10993" s="11">
        <v>0</v>
      </c>
    </row>
    <row r="10994" spans="5:11" x14ac:dyDescent="0.35">
      <c r="E10994" s="9" t="str">
        <v>IGNF</v>
      </c>
      <c r="F10994" s="7" t="str">
        <v>GTN51UTM58S</v>
      </c>
      <c r="G10994" t="str">
        <v>ProjectedCrs</v>
      </c>
      <c r="H10994" t="str">
        <v>Transverse Mercator</v>
      </c>
      <c r="I10994" t="str">
        <v>GOMEN TERME NORD 1951 UTM SUD FUSEAU 58</v>
      </c>
      <c r="J10994" t="str">
        <v>GRANDE TERRE (NOUVELLE-CALEDONIE) - UTM SUD FUSEAU 58</v>
      </c>
      <c r="K10994" s="11">
        <v>0</v>
      </c>
    </row>
    <row r="10995" spans="5:11" x14ac:dyDescent="0.35">
      <c r="E10995" s="9" t="str">
        <v>IGNF</v>
      </c>
      <c r="F10995" s="7" t="str">
        <v>IGN72</v>
      </c>
      <c r="G10995" t="str">
        <v>GeocentricCrs</v>
      </c>
      <c r="H10995" t="str">
        <v>&lt;undefined&gt;</v>
      </c>
      <c r="I10995" t="str">
        <v>Grande Terre - Ile des Pins IGN 72 cartesiennes</v>
      </c>
      <c r="J10995" t="str">
        <v>GRANDE TERRE (NOUVELLE-CALEDONIE)</v>
      </c>
      <c r="K10995" s="11">
        <v>0</v>
      </c>
    </row>
    <row r="10996" spans="5:11" x14ac:dyDescent="0.35">
      <c r="E10996" s="9" t="str">
        <v>IGNF</v>
      </c>
      <c r="F10996" s="7" t="str">
        <v>GUADFM49</v>
      </c>
      <c r="G10996" t="str">
        <v>GeocentricCrs</v>
      </c>
      <c r="H10996" t="str">
        <v>&lt;undefined&gt;</v>
      </c>
      <c r="I10996" t="str">
        <v>Guadeloupe Fort Marigot cartesiennes geocent.</v>
      </c>
      <c r="J10996" t="str">
        <v>ILES DE SAINT-MARTIN ET SAINT-BARTHELEMY (GUADELOUPE)</v>
      </c>
      <c r="K10996" s="11">
        <v>0</v>
      </c>
    </row>
    <row r="10997" spans="5:11" x14ac:dyDescent="0.35">
      <c r="E10997" s="9" t="str">
        <v>IGNF</v>
      </c>
      <c r="F10997" s="7" t="str">
        <v>GUADFM</v>
      </c>
      <c r="G10997" t="str">
        <v>GeocentricCrs</v>
      </c>
      <c r="H10997" t="str">
        <v>&lt;undefined&gt;</v>
      </c>
      <c r="I10997" t="str">
        <v>Guadeloupe Fort Marigot cartesiennes geocent.</v>
      </c>
      <c r="J10997" t="str">
        <v>ILES DE SAINT-MARTIN ET SAINT-BARTHELEMY (GUADELOUPE)</v>
      </c>
      <c r="K10997" s="11">
        <v>0</v>
      </c>
    </row>
    <row r="10998" spans="5:11" x14ac:dyDescent="0.35">
      <c r="E10998" s="9" t="str">
        <v>IGNF</v>
      </c>
      <c r="F10998" s="7" t="str">
        <v>GUADFMG</v>
      </c>
      <c r="G10998" t="str">
        <v>Geographic2DCrs</v>
      </c>
      <c r="H10998" t="str">
        <v>&lt;undefined&gt;</v>
      </c>
      <c r="I10998" t="str">
        <v>Guadeloupe Fort-Marigot geographiques (dms)</v>
      </c>
      <c r="J10998" t="str">
        <v>ILES DE SAINT-MARTIN ET SAINT-BARTHELEMY (GUADELOUPE)</v>
      </c>
      <c r="K10998" s="11">
        <v>0</v>
      </c>
    </row>
    <row r="10999" spans="5:11" x14ac:dyDescent="0.35">
      <c r="E10999" s="9" t="str">
        <v>IGNF</v>
      </c>
      <c r="F10999" s="7" t="str">
        <v>GUADFM49GEO</v>
      </c>
      <c r="G10999" t="str">
        <v>Geographic3DCrs</v>
      </c>
      <c r="H10999" t="str">
        <v>&lt;undefined&gt;</v>
      </c>
      <c r="I10999" t="str">
        <v>Guadeloupe Fort-Marigot geographiques (dms)</v>
      </c>
      <c r="J10999" t="str">
        <v>ILES DE SAINT-MARTIN ET SAINT-BARTHELEMY (GUADELOUPE)</v>
      </c>
      <c r="K10999" s="11">
        <v>0</v>
      </c>
    </row>
    <row r="11000" spans="5:11" x14ac:dyDescent="0.35">
      <c r="E11000" s="9" t="str">
        <v>IGNF</v>
      </c>
      <c r="F11000" s="7" t="str">
        <v>GUAFM48G</v>
      </c>
      <c r="G11000" t="str">
        <v>Geographic2DCrs</v>
      </c>
      <c r="H11000" t="str">
        <v>&lt;undefined&gt;</v>
      </c>
      <c r="I11000" t="str">
        <v>Guadeloupe Fort-Marigot geographiques (dms)</v>
      </c>
      <c r="J11000" t="str">
        <v>ILES DE SAINT-MARTIN ET SAINT-BARTHELEMY (GUADELOUPE)</v>
      </c>
      <c r="K11000" s="11">
        <v>0</v>
      </c>
    </row>
    <row r="11001" spans="5:11" x14ac:dyDescent="0.35">
      <c r="E11001" s="9" t="str">
        <v>IGNF</v>
      </c>
      <c r="F11001" s="7" t="str">
        <v>GUADFMG.GUAD88SB</v>
      </c>
      <c r="G11001" t="str">
        <v>CompoundCrs</v>
      </c>
      <c r="H11001" t="str">
        <v>&lt;undefined&gt;</v>
      </c>
      <c r="I11001" t="str">
        <v>Guadeloupe Fort-Marigot geographiques (dms) et IGN 1988 SB (GUADELOUPE / SAINT-BARTHELEMY)</v>
      </c>
      <c r="J11001" t="str">
        <v>ILE DE SAINT-BARTHELEMY</v>
      </c>
      <c r="K11001" s="11">
        <v>0</v>
      </c>
    </row>
    <row r="11002" spans="5:11" x14ac:dyDescent="0.35">
      <c r="E11002" s="9" t="str">
        <v>IGNF</v>
      </c>
      <c r="F11002" s="7" t="str">
        <v>GUADFMG.GUAD88SM</v>
      </c>
      <c r="G11002" t="str">
        <v>CompoundCrs</v>
      </c>
      <c r="H11002" t="str">
        <v>&lt;undefined&gt;</v>
      </c>
      <c r="I11002" t="str">
        <v>Guadeloupe Fort-Marigot geographiques (dms) et IGN 1988 SM (GUADELOUPE / SAINT-MARTIN)</v>
      </c>
      <c r="J11002" t="str">
        <v>ILE DE SAINT-MARTIN (GUADELOUPE)</v>
      </c>
      <c r="K11002" s="11">
        <v>0</v>
      </c>
    </row>
    <row r="11003" spans="5:11" x14ac:dyDescent="0.35">
      <c r="E11003" s="9" t="str">
        <v>IGNF</v>
      </c>
      <c r="F11003" s="7" t="str">
        <v>GUADFMUTM20</v>
      </c>
      <c r="G11003" t="str">
        <v>ProjectedCrs</v>
      </c>
      <c r="H11003" t="str">
        <v>Transverse Mercator</v>
      </c>
      <c r="I11003" t="str">
        <v>Guadeloupe Fort-Marigot UTM Nord fuseau 20</v>
      </c>
      <c r="J11003" t="str">
        <v>ILES DE SAINT-MARTIN ET SAINT-BARTHELEMY (GUADELOUPE) - UTM NORD FUSEAU 20</v>
      </c>
      <c r="K11003" s="11">
        <v>0</v>
      </c>
    </row>
    <row r="11004" spans="5:11" x14ac:dyDescent="0.35">
      <c r="E11004" s="9" t="str">
        <v>IGNF</v>
      </c>
      <c r="F11004" s="7" t="str">
        <v>GUADFM49U20</v>
      </c>
      <c r="G11004" t="str">
        <v>ProjectedCrs</v>
      </c>
      <c r="H11004" t="str">
        <v>Transverse Mercator</v>
      </c>
      <c r="I11004" t="str">
        <v>Guadeloupe Fort-Marigot UTM Nord fuseau 20</v>
      </c>
      <c r="J11004" t="str">
        <v>ILES DE SAINT-MARTIN ET SAINT-BARTHELEMY (GUADELOUPE) - UTM NORD FUSEAU 20</v>
      </c>
      <c r="K11004" s="11">
        <v>0</v>
      </c>
    </row>
    <row r="11005" spans="5:11" x14ac:dyDescent="0.35">
      <c r="E11005" s="9" t="str">
        <v>IGNF</v>
      </c>
      <c r="F11005" s="7" t="str">
        <v>GUADFMUTM20.GUAD88SB</v>
      </c>
      <c r="G11005" t="str">
        <v>CompoundCrs</v>
      </c>
      <c r="H11005" t="str">
        <v>&lt;undefined&gt;</v>
      </c>
      <c r="I11005" t="str">
        <v>Guadeloupe Fort-Marigot UTM Nord fuseau 20 et IGN 1988 SB (GUADELOUPE / SAINT-BARTHELEMY)</v>
      </c>
      <c r="J11005" t="str">
        <v>ILE DE SAINT-BARTHELEMY</v>
      </c>
      <c r="K11005" s="11">
        <v>0</v>
      </c>
    </row>
    <row r="11006" spans="5:11" x14ac:dyDescent="0.35">
      <c r="E11006" s="9" t="str">
        <v>IGNF</v>
      </c>
      <c r="F11006" s="7" t="str">
        <v>GUADFMUTM20.GUAD88SM</v>
      </c>
      <c r="G11006" t="str">
        <v>CompoundCrs</v>
      </c>
      <c r="H11006" t="str">
        <v>&lt;undefined&gt;</v>
      </c>
      <c r="I11006" t="str">
        <v>Guadeloupe Fort-Marigot UTM Nord fuseau 20 et IGN 1988 SM (GUADELOUPE / SAINT-MARTIN)</v>
      </c>
      <c r="J11006" t="str">
        <v>ILE DE SAINT-MARTIN (GUADELOUPE)</v>
      </c>
      <c r="K11006" s="11">
        <v>0</v>
      </c>
    </row>
    <row r="11007" spans="5:11" x14ac:dyDescent="0.35">
      <c r="E11007" s="9" t="str">
        <v>IGNF</v>
      </c>
      <c r="F11007" s="7" t="str">
        <v>GUAD48</v>
      </c>
      <c r="G11007" t="str">
        <v>GeocentricCrs</v>
      </c>
      <c r="H11007" t="str">
        <v>&lt;undefined&gt;</v>
      </c>
      <c r="I11007" t="str">
        <v>Guadeloupe Sainte-Anne cartesiennes</v>
      </c>
      <c r="J11007" t="str">
        <v>GRANDE-TERRE, BASSE-TERRE, MARIE-GALANTE, LA DESIRADE, LES SAINTES (GUADELOUPE)</v>
      </c>
      <c r="K11007" s="11">
        <v>0</v>
      </c>
    </row>
    <row r="11008" spans="5:11" x14ac:dyDescent="0.35">
      <c r="E11008" s="9" t="str">
        <v>IGNF</v>
      </c>
      <c r="F11008" s="7" t="str">
        <v>GUADANN</v>
      </c>
      <c r="G11008" t="str">
        <v>GeocentricCrs</v>
      </c>
      <c r="H11008" t="str">
        <v>&lt;undefined&gt;</v>
      </c>
      <c r="I11008" t="str">
        <v>Guadeloupe Sainte-Anne cartesiennes</v>
      </c>
      <c r="J11008" t="str">
        <v>GRANDE-TERRE, BASSE-TERRE, MARIE-GALANTE, LA DESIRADE, LES SAINTES (GUADELOUPE)</v>
      </c>
      <c r="K11008" s="11">
        <v>0</v>
      </c>
    </row>
    <row r="11009" spans="5:11" x14ac:dyDescent="0.35">
      <c r="E11009" s="9" t="str">
        <v>IGNF</v>
      </c>
      <c r="F11009" s="7" t="str">
        <v>GUAD48GEO</v>
      </c>
      <c r="G11009" t="str">
        <v>Geographic3DCrs</v>
      </c>
      <c r="H11009" t="str">
        <v>&lt;undefined&gt;</v>
      </c>
      <c r="I11009" t="str">
        <v>Guadeloupe Sainte-Anne geographiques (dms)</v>
      </c>
      <c r="J11009" t="str">
        <v>GRANDE-TERRE, BASSE-TERRE, MARIE-GALANTE, LA DESIRADE, LES SAINTES (GUADELOUPE)</v>
      </c>
      <c r="K11009" s="11">
        <v>0</v>
      </c>
    </row>
    <row r="11010" spans="5:11" x14ac:dyDescent="0.35">
      <c r="E11010" s="9" t="str">
        <v>IGNF</v>
      </c>
      <c r="F11010" s="7" t="str">
        <v>GUAD48G</v>
      </c>
      <c r="G11010" t="str">
        <v>Geographic2DCrs</v>
      </c>
      <c r="H11010" t="str">
        <v>&lt;undefined&gt;</v>
      </c>
      <c r="I11010" t="str">
        <v>Guadeloupe Sainte-Anne geographiques (dms)</v>
      </c>
      <c r="J11010" t="str">
        <v>GRANDE-TERRE, BASSE-TERRE, MARIE-GALANTE, LA DESIRADE, LES SAINTES (GUADELOUPE)</v>
      </c>
      <c r="K11010" s="11">
        <v>0</v>
      </c>
    </row>
    <row r="11011" spans="5:11" x14ac:dyDescent="0.35">
      <c r="E11011" s="9" t="str">
        <v>IGNF</v>
      </c>
      <c r="F11011" s="7" t="str">
        <v>GUADANNG</v>
      </c>
      <c r="G11011" t="str">
        <v>Geographic2DCrs</v>
      </c>
      <c r="H11011" t="str">
        <v>&lt;undefined&gt;</v>
      </c>
      <c r="I11011" t="str">
        <v>Guadeloupe Sainte-Anne geographiques (dms)</v>
      </c>
      <c r="J11011" t="str">
        <v>GRANDE-TERRE, BASSE-TERRE, MARIE-GALANTE, LA DESIRADE, LES SAINTES (GUADELOUPE)</v>
      </c>
      <c r="K11011" s="11">
        <v>0</v>
      </c>
    </row>
    <row r="11012" spans="5:11" x14ac:dyDescent="0.35">
      <c r="E11012" s="9" t="str">
        <v>IGNF</v>
      </c>
      <c r="F11012" s="7" t="str">
        <v>GUADANNG.GUAD88</v>
      </c>
      <c r="G11012" t="str">
        <v>CompoundCrs</v>
      </c>
      <c r="H11012" t="str">
        <v>&lt;undefined&gt;</v>
      </c>
      <c r="I11012" t="str">
        <v>Guadeloupe Sainte-Anne geographiques (dms) et IGN 1988 (GUADELOUPE)</v>
      </c>
      <c r="J11012" t="str">
        <v>GRANDE-TERRE ET BASSE-TERRE (GUADELOUPE)</v>
      </c>
      <c r="K11012" s="11">
        <v>0</v>
      </c>
    </row>
    <row r="11013" spans="5:11" x14ac:dyDescent="0.35">
      <c r="E11013" s="9" t="str">
        <v>IGNF</v>
      </c>
      <c r="F11013" s="7" t="str">
        <v>GUADANNG.GUAD88LS</v>
      </c>
      <c r="G11013" t="str">
        <v>CompoundCrs</v>
      </c>
      <c r="H11013" t="str">
        <v>&lt;undefined&gt;</v>
      </c>
      <c r="I11013" t="str">
        <v>Guadeloupe Sainte-Anne geographiques (dms) et IGN 1988 LS (GUADELOUPE / LES SAINTES)</v>
      </c>
      <c r="J11013" t="str">
        <v>ILE DES SAINTES (GUADELOUPE)</v>
      </c>
      <c r="K11013" s="11">
        <v>0</v>
      </c>
    </row>
    <row r="11014" spans="5:11" x14ac:dyDescent="0.35">
      <c r="E11014" s="9" t="str">
        <v>IGNF</v>
      </c>
      <c r="F11014" s="7" t="str">
        <v>GUADANNG.GUAD88MG</v>
      </c>
      <c r="G11014" t="str">
        <v>CompoundCrs</v>
      </c>
      <c r="H11014" t="str">
        <v>&lt;undefined&gt;</v>
      </c>
      <c r="I11014" t="str">
        <v>Guadeloupe Sainte-Anne geographiques (dms) et IGN 1988 MG (GUADELOUPE / MARIE-GALANTE)</v>
      </c>
      <c r="J11014" t="str">
        <v>ILE DE MARIE-GALANTE (GUADELOUPE)</v>
      </c>
      <c r="K11014" s="11">
        <v>0</v>
      </c>
    </row>
    <row r="11015" spans="5:11" x14ac:dyDescent="0.35">
      <c r="E11015" s="9" t="str">
        <v>IGNF</v>
      </c>
      <c r="F11015" s="7" t="str">
        <v>GUADANNG.GUAD92LD</v>
      </c>
      <c r="G11015" t="str">
        <v>CompoundCrs</v>
      </c>
      <c r="H11015" t="str">
        <v>&lt;undefined&gt;</v>
      </c>
      <c r="I11015" t="str">
        <v>Guadeloupe Sainte-Anne geographiques (dms) et IGN 1992 LD (GUADELOUPE / LA DESIRADE)</v>
      </c>
      <c r="J11015" t="str">
        <v>ILE DE LA DESIRADE (GUADELOUPE)</v>
      </c>
      <c r="K11015" s="11">
        <v>0</v>
      </c>
    </row>
    <row r="11016" spans="5:11" x14ac:dyDescent="0.35">
      <c r="E11016" s="9" t="str">
        <v>IGNF</v>
      </c>
      <c r="F11016" s="7" t="str">
        <v>GUADANNUTM20</v>
      </c>
      <c r="G11016" t="str">
        <v>ProjectedCrs</v>
      </c>
      <c r="H11016" t="str">
        <v>Transverse Mercator</v>
      </c>
      <c r="I11016" t="str">
        <v>Guadeloupe Ste Anne UTM Nord fuseau 20</v>
      </c>
      <c r="J11016" t="str">
        <v>GRANDE-TERRE, BASSE-TERRE, MARIE-GALANTE, LA DESIRADE, LES SAINTES (GUADELOUPE) - UTM NORD FUSEAU 20</v>
      </c>
      <c r="K11016" s="11">
        <v>0</v>
      </c>
    </row>
    <row r="11017" spans="5:11" x14ac:dyDescent="0.35">
      <c r="E11017" s="9" t="str">
        <v>IGNF</v>
      </c>
      <c r="F11017" s="7" t="str">
        <v>GUAD48UTM20</v>
      </c>
      <c r="G11017" t="str">
        <v>ProjectedCrs</v>
      </c>
      <c r="H11017" t="str">
        <v>Transverse Mercator</v>
      </c>
      <c r="I11017" t="str">
        <v>Guadeloupe Ste Anne UTM Nord fuseau 20</v>
      </c>
      <c r="J11017" t="str">
        <v>GRANDE-TERRE, BASSE-TERRE, MARIE-GALANTE, LA DESIRADE, LES SAINTES (GUADELOUPE) - UTM NORD FUSEAU 20</v>
      </c>
      <c r="K11017" s="11">
        <v>0</v>
      </c>
    </row>
    <row r="11018" spans="5:11" x14ac:dyDescent="0.35">
      <c r="E11018" s="9" t="str">
        <v>IGNF</v>
      </c>
      <c r="F11018" s="7" t="str">
        <v>GUADANNUTM20.GUAD88</v>
      </c>
      <c r="G11018" t="str">
        <v>CompoundCrs</v>
      </c>
      <c r="H11018" t="str">
        <v>&lt;undefined&gt;</v>
      </c>
      <c r="I11018" t="str">
        <v>Guadeloupe Ste Anne UTM Nord fuseau 20 et IGN 1988 (GUADELOUPE)</v>
      </c>
      <c r="J11018" t="str">
        <v>GRANDE-TERRE ET BASSE-TERRE (GUADELOUPE)</v>
      </c>
      <c r="K11018" s="11">
        <v>0</v>
      </c>
    </row>
    <row r="11019" spans="5:11" x14ac:dyDescent="0.35">
      <c r="E11019" s="9" t="str">
        <v>IGNF</v>
      </c>
      <c r="F11019" s="7" t="str">
        <v>GUADANNUTM20.GUAD88LS</v>
      </c>
      <c r="G11019" t="str">
        <v>CompoundCrs</v>
      </c>
      <c r="H11019" t="str">
        <v>&lt;undefined&gt;</v>
      </c>
      <c r="I11019" t="str">
        <v>Guadeloupe Ste Anne UTM Nord fuseau 20 et IGN 1988 LS (GUADELOUPE / LES SAINTES)</v>
      </c>
      <c r="J11019" t="str">
        <v>ILE DES SAINTES (GUADELOUPE)</v>
      </c>
      <c r="K11019" s="11">
        <v>0</v>
      </c>
    </row>
    <row r="11020" spans="5:11" x14ac:dyDescent="0.35">
      <c r="E11020" s="9" t="str">
        <v>IGNF</v>
      </c>
      <c r="F11020" s="7" t="str">
        <v>GUADANNUTM20.GUAD88MG</v>
      </c>
      <c r="G11020" t="str">
        <v>CompoundCrs</v>
      </c>
      <c r="H11020" t="str">
        <v>&lt;undefined&gt;</v>
      </c>
      <c r="I11020" t="str">
        <v>Guadeloupe Ste Anne UTM Nord fuseau 20 et IGN 1988 MG (GUADELOUPE / MARIE-GALANTE)</v>
      </c>
      <c r="J11020" t="str">
        <v>ILE DE MARIE-GALANTE (GUADELOUPE)</v>
      </c>
      <c r="K11020" s="11">
        <v>0</v>
      </c>
    </row>
    <row r="11021" spans="5:11" x14ac:dyDescent="0.35">
      <c r="E11021" s="9" t="str">
        <v>IGNF</v>
      </c>
      <c r="F11021" s="7" t="str">
        <v>GUADANNUTM20.GUAD92LD</v>
      </c>
      <c r="G11021" t="str">
        <v>CompoundCrs</v>
      </c>
      <c r="H11021" t="str">
        <v>&lt;undefined&gt;</v>
      </c>
      <c r="I11021" t="str">
        <v>Guadeloupe Ste Anne UTM Nord fuseau 20 et IGN 1992 LD (GUADELOUPE / LA DESIRADE)</v>
      </c>
      <c r="J11021" t="str">
        <v>ILE DE LA DESIRADE (GUADELOUPE)</v>
      </c>
      <c r="K11021" s="11">
        <v>0</v>
      </c>
    </row>
    <row r="11022" spans="5:11" x14ac:dyDescent="0.35">
      <c r="E11022" s="9" t="str">
        <v>IGNF</v>
      </c>
      <c r="F11022" s="7" t="str">
        <v>GEOPORTALGUF</v>
      </c>
      <c r="G11022" t="str">
        <v>ProjectedCrs</v>
      </c>
      <c r="H11022" t="str">
        <v>Equidistant Cylindrical</v>
      </c>
      <c r="I11022" t="str">
        <v>Guyane Francaise projection Geoportail</v>
      </c>
      <c r="J11022" t="str">
        <v>GUYANE FRANCAISE</v>
      </c>
      <c r="K11022" s="11">
        <v>0</v>
      </c>
    </row>
    <row r="11023" spans="5:11" x14ac:dyDescent="0.35">
      <c r="E11023" s="9" t="str">
        <v>IGNF</v>
      </c>
      <c r="F11023" s="7" t="str">
        <v>RGFG95EQGPGU</v>
      </c>
      <c r="G11023" t="str">
        <v>ProjectedCrs</v>
      </c>
      <c r="H11023" t="str">
        <v>Equidistant Cylindrical</v>
      </c>
      <c r="I11023" t="str">
        <v>Guyane Francaise projection Geoportail</v>
      </c>
      <c r="J11023" t="str">
        <v>GUYANE FRANCAISE</v>
      </c>
      <c r="K11023" s="11">
        <v>0</v>
      </c>
    </row>
    <row r="11024" spans="5:11" x14ac:dyDescent="0.35">
      <c r="E11024" s="9" t="str">
        <v>IGNF</v>
      </c>
      <c r="F11024" s="7" t="str">
        <v>HAO49G</v>
      </c>
      <c r="G11024" t="str">
        <v>Geographic2DCrs</v>
      </c>
      <c r="H11024" t="str">
        <v>&lt;undefined&gt;</v>
      </c>
      <c r="I11024" t="str">
        <v>Hao (MGT 1949) geographiques (dms)</v>
      </c>
      <c r="J11024" t="str">
        <v>HAO (ARCHIPEL DES TUAMOTU)</v>
      </c>
      <c r="K11024" s="11">
        <v>0</v>
      </c>
    </row>
    <row r="11025" spans="5:11" x14ac:dyDescent="0.35">
      <c r="E11025" s="9" t="str">
        <v>IGNF</v>
      </c>
      <c r="F11025" s="7" t="str">
        <v>HAO58G</v>
      </c>
      <c r="G11025" t="str">
        <v>Geographic2DCrs</v>
      </c>
      <c r="H11025" t="str">
        <v>&lt;undefined&gt;</v>
      </c>
      <c r="I11025" t="str">
        <v>Hao (MHPF 1958) geographiques (dms)</v>
      </c>
      <c r="J11025" t="str">
        <v>HAO (ARCHIPEL DES TUAMOTU)</v>
      </c>
      <c r="K11025" s="11">
        <v>0</v>
      </c>
    </row>
    <row r="11026" spans="5:11" x14ac:dyDescent="0.35">
      <c r="E11026" s="9" t="str">
        <v>IGNF</v>
      </c>
      <c r="F11026" s="7" t="str">
        <v>HAO58UTM7S</v>
      </c>
      <c r="G11026" t="str">
        <v>ProjectedCrs</v>
      </c>
      <c r="H11026" t="str">
        <v>Transverse Mercator</v>
      </c>
      <c r="I11026" t="str">
        <v>Hao (MHPF 1958) UTM Sud fuseau 7</v>
      </c>
      <c r="J11026" t="str">
        <v>HAO (ARCHIPEL DES TUAMOTU) - UTM SUD FUSEAU 7</v>
      </c>
      <c r="K11026" s="11">
        <v>0</v>
      </c>
    </row>
    <row r="11027" spans="5:11" x14ac:dyDescent="0.35">
      <c r="E11027" s="9" t="str">
        <v>IGNF</v>
      </c>
      <c r="F11027" s="7" t="str">
        <v>HAOAMA67G</v>
      </c>
      <c r="G11027" t="str">
        <v>Geographic2DCrs</v>
      </c>
      <c r="H11027" t="str">
        <v>&lt;undefined&gt;</v>
      </c>
      <c r="I11027" t="str">
        <v>Hao Amanu (MHPF 1967) geographiques (dms)</v>
      </c>
      <c r="J11027" t="str">
        <v>HAO ET AMANU (ARCHIPEL DES TUAMOTU)</v>
      </c>
      <c r="K11027" s="11">
        <v>0</v>
      </c>
    </row>
    <row r="11028" spans="5:11" x14ac:dyDescent="0.35">
      <c r="E11028" s="9" t="str">
        <v>IGNF</v>
      </c>
      <c r="F11028" s="7" t="str">
        <v>HAOAM67G</v>
      </c>
      <c r="G11028" t="str">
        <v>Geographic2DCrs</v>
      </c>
      <c r="H11028" t="str">
        <v>&lt;undefined&gt;</v>
      </c>
      <c r="I11028" t="str">
        <v>Hao Amanu (MHPF 1967) geographiques (dms)</v>
      </c>
      <c r="J11028" t="str">
        <v>HAO ET AMANU (ARCHIPEL DES TUAMOTU)</v>
      </c>
      <c r="K11028" s="11">
        <v>0</v>
      </c>
    </row>
    <row r="11029" spans="5:11" x14ac:dyDescent="0.35">
      <c r="E11029" s="9" t="str">
        <v>IGNF</v>
      </c>
      <c r="F11029" s="7" t="str">
        <v>HAOAM67UTM7S</v>
      </c>
      <c r="G11029" t="str">
        <v>ProjectedCrs</v>
      </c>
      <c r="H11029" t="str">
        <v>Transverse Mercator</v>
      </c>
      <c r="I11029" t="str">
        <v>Hao Amanu (MHPF 1967) UTM Sud fuseau 7</v>
      </c>
      <c r="J11029" t="str">
        <v>HAO ET AMANU (ARCHIPEL DES TUAMOTU) - UTM SUD FUSEAU 7</v>
      </c>
      <c r="K11029" s="11">
        <v>0</v>
      </c>
    </row>
    <row r="11030" spans="5:11" x14ac:dyDescent="0.35">
      <c r="E11030" s="9" t="str">
        <v>IGNF</v>
      </c>
      <c r="F11030" s="7" t="str">
        <v>HAO67UTM7S</v>
      </c>
      <c r="G11030" t="str">
        <v>ProjectedCrs</v>
      </c>
      <c r="H11030" t="str">
        <v>Transverse Mercator</v>
      </c>
      <c r="I11030" t="str">
        <v>Hao Amanu (MHPF 1967) UTM Sud fuseau 7</v>
      </c>
      <c r="J11030" t="str">
        <v>HAO ET AMANU (ARCHIPEL DES TUAMOTU) - UTM SUD FUSEAU 7</v>
      </c>
      <c r="K11030" s="11">
        <v>0</v>
      </c>
    </row>
    <row r="11031" spans="5:11" x14ac:dyDescent="0.35">
      <c r="E11031" s="9" t="str">
        <v>IGNF</v>
      </c>
      <c r="F11031" s="7" t="str">
        <v>HAO67</v>
      </c>
      <c r="G11031" t="str">
        <v>GeocentricCrs</v>
      </c>
      <c r="H11031" t="str">
        <v>&lt;undefined&gt;</v>
      </c>
      <c r="I11031" t="str">
        <v>Hao Amanu MHPF 1967 cartesiennes geocentriques</v>
      </c>
      <c r="J11031" t="str">
        <v>HAO ET AMANU (ARCHIPEL DES TUAMOTU)</v>
      </c>
      <c r="K11031" s="11">
        <v>0</v>
      </c>
    </row>
    <row r="11032" spans="5:11" x14ac:dyDescent="0.35">
      <c r="E11032" s="9" t="str">
        <v>IGNF</v>
      </c>
      <c r="F11032" s="7" t="str">
        <v>HAOAM67</v>
      </c>
      <c r="G11032" t="str">
        <v>GeocentricCrs</v>
      </c>
      <c r="H11032" t="str">
        <v>&lt;undefined&gt;</v>
      </c>
      <c r="I11032" t="str">
        <v>Hao Amanu MHPF 1967 cartesiennes geocentriques</v>
      </c>
      <c r="J11032" t="str">
        <v>HAO ET AMANU (ARCHIPEL DES TUAMOTU)</v>
      </c>
      <c r="K11032" s="11">
        <v>0</v>
      </c>
    </row>
    <row r="11033" spans="5:11" x14ac:dyDescent="0.35">
      <c r="E11033" s="9" t="str">
        <v>IGNF</v>
      </c>
      <c r="F11033" s="7" t="str">
        <v>HAO49</v>
      </c>
      <c r="G11033" t="str">
        <v>GeocentricCrs</v>
      </c>
      <c r="H11033" t="str">
        <v>&lt;undefined&gt;</v>
      </c>
      <c r="I11033" t="str">
        <v>Hao MGT 1949 cartesiennes geocentriques</v>
      </c>
      <c r="J11033" t="str">
        <v>HAO (ARCHIPEL DES TUAMOTU)</v>
      </c>
      <c r="K11033" s="11">
        <v>0</v>
      </c>
    </row>
    <row r="11034" spans="5:11" x14ac:dyDescent="0.35">
      <c r="E11034" s="9" t="str">
        <v>IGNF</v>
      </c>
      <c r="F11034" s="7" t="str">
        <v>HAO58</v>
      </c>
      <c r="G11034" t="str">
        <v>GeocentricCrs</v>
      </c>
      <c r="H11034" t="str">
        <v>&lt;undefined&gt;</v>
      </c>
      <c r="I11034" t="str">
        <v>Hao MHPF 1958 cartesiennes geocentriques</v>
      </c>
      <c r="J11034" t="str">
        <v>HAO (ARCHIPEL DES TUAMOTU)</v>
      </c>
      <c r="K11034" s="11">
        <v>0</v>
      </c>
    </row>
    <row r="11035" spans="5:11" x14ac:dyDescent="0.35">
      <c r="E11035" s="9" t="str">
        <v>IGNF</v>
      </c>
      <c r="F11035" s="7" t="str">
        <v>HARA49G</v>
      </c>
      <c r="G11035" t="str">
        <v>Geographic2DCrs</v>
      </c>
      <c r="H11035" t="str">
        <v>&lt;undefined&gt;</v>
      </c>
      <c r="I11035" t="str">
        <v>Haraiki (SHM 1949) geographiques (dms)</v>
      </c>
      <c r="J11035" t="str">
        <v>HARAIKI (ARCHIPEL DES TUAMOTU)</v>
      </c>
      <c r="K11035" s="11">
        <v>0</v>
      </c>
    </row>
    <row r="11036" spans="5:11" x14ac:dyDescent="0.35">
      <c r="E11036" s="9" t="str">
        <v>IGNF</v>
      </c>
      <c r="F11036" s="7" t="str">
        <v>HARA49UTM7S</v>
      </c>
      <c r="G11036" t="str">
        <v>ProjectedCrs</v>
      </c>
      <c r="H11036" t="str">
        <v>Transverse Mercator</v>
      </c>
      <c r="I11036" t="str">
        <v>Haraiki (SHM 1949) UTM Sud fuseau 7</v>
      </c>
      <c r="J11036" t="str">
        <v>HARAIKI (ARCHIPEL DES TUAMOTU) - UTM SUD FUSEAU 7</v>
      </c>
      <c r="K11036" s="11">
        <v>0</v>
      </c>
    </row>
    <row r="11037" spans="5:11" x14ac:dyDescent="0.35">
      <c r="E11037" s="9" t="str">
        <v>IGNF</v>
      </c>
      <c r="F11037" s="7" t="str">
        <v>HARA49</v>
      </c>
      <c r="G11037" t="str">
        <v>GeocentricCrs</v>
      </c>
      <c r="H11037" t="str">
        <v>&lt;undefined&gt;</v>
      </c>
      <c r="I11037" t="str">
        <v>Haraiki SHM 1949 cartesiennes geocentriques</v>
      </c>
      <c r="J11037" t="str">
        <v>HARAIKI (ARCHIPEL DES TUAMOTU)</v>
      </c>
      <c r="K11037" s="11">
        <v>0</v>
      </c>
    </row>
    <row r="11038" spans="5:11" x14ac:dyDescent="0.35">
      <c r="E11038" s="9" t="str">
        <v>IGNF</v>
      </c>
      <c r="F11038" s="7" t="str">
        <v>HIKU50G</v>
      </c>
      <c r="G11038" t="str">
        <v>Geographic2DCrs</v>
      </c>
      <c r="H11038" t="str">
        <v>&lt;undefined&gt;</v>
      </c>
      <c r="I11038" t="str">
        <v>Hikueru (SHM 1947-1950) geographiques (dms)</v>
      </c>
      <c r="J11038" t="str">
        <v>HIKUERU (ARCHIPEL DES TUAMOTU)</v>
      </c>
      <c r="K11038" s="11">
        <v>0</v>
      </c>
    </row>
    <row r="11039" spans="5:11" x14ac:dyDescent="0.35">
      <c r="E11039" s="9" t="str">
        <v>IGNF</v>
      </c>
      <c r="F11039" s="7" t="str">
        <v>HIKU50UTM7S</v>
      </c>
      <c r="G11039" t="str">
        <v>ProjectedCrs</v>
      </c>
      <c r="H11039" t="str">
        <v>Transverse Mercator</v>
      </c>
      <c r="I11039" t="str">
        <v>Hikueru (SHM 1947-1950) UTM Sud fuseau 7</v>
      </c>
      <c r="J11039" t="str">
        <v>HIKUERU (ARCHIPEL DES TUAMOTU) - UTM SUD FUSEAU 7</v>
      </c>
      <c r="K11039" s="11">
        <v>0</v>
      </c>
    </row>
    <row r="11040" spans="5:11" x14ac:dyDescent="0.35">
      <c r="E11040" s="9" t="str">
        <v>IGNF</v>
      </c>
      <c r="F11040" s="7" t="str">
        <v>HIKU50</v>
      </c>
      <c r="G11040" t="str">
        <v>GeocentricCrs</v>
      </c>
      <c r="H11040" t="str">
        <v>&lt;undefined&gt;</v>
      </c>
      <c r="I11040" t="str">
        <v>Hikureu SHM 1947-1950 cartesiennes</v>
      </c>
      <c r="J11040" t="str">
        <v>HIKUERU (ARCHIPEL DES TUAMOTU)</v>
      </c>
      <c r="K11040" s="11">
        <v>0</v>
      </c>
    </row>
    <row r="11041" spans="5:11" x14ac:dyDescent="0.35">
      <c r="E11041" s="9" t="str">
        <v>IGNF</v>
      </c>
      <c r="F11041" s="7" t="str">
        <v>HIVA60G</v>
      </c>
      <c r="G11041" t="str">
        <v>Geographic2DCrs</v>
      </c>
      <c r="H11041" t="str">
        <v>&lt;undefined&gt;</v>
      </c>
      <c r="I11041" t="str">
        <v>Hiva Oa (MHPF 1960) geographiques (dms)</v>
      </c>
      <c r="J11041" t="str">
        <v>HIVA OA (ARCHIPEL DES MARQUISES)</v>
      </c>
      <c r="K11041" s="11">
        <v>0</v>
      </c>
    </row>
    <row r="11042" spans="5:11" x14ac:dyDescent="0.35">
      <c r="E11042" s="9" t="str">
        <v>IGNF</v>
      </c>
      <c r="F11042" s="7" t="str">
        <v>HIVA60UTM7S</v>
      </c>
      <c r="G11042" t="str">
        <v>ProjectedCrs</v>
      </c>
      <c r="H11042" t="str">
        <v>Transverse Mercator</v>
      </c>
      <c r="I11042" t="str">
        <v>Hiva Oa (MHPF 1960) UTM Sud fuseau 7</v>
      </c>
      <c r="J11042" t="str">
        <v>HIVA OA (ARCHIPEL DES MARQUISES) - UTM SUD FUSEAU 7</v>
      </c>
      <c r="K11042" s="11">
        <v>0</v>
      </c>
    </row>
    <row r="11043" spans="5:11" x14ac:dyDescent="0.35">
      <c r="E11043" s="9" t="str">
        <v>IGNF</v>
      </c>
      <c r="F11043" s="7" t="str">
        <v>HIVA67G</v>
      </c>
      <c r="G11043" t="str">
        <v>Geographic2DCrs</v>
      </c>
      <c r="H11043" t="str">
        <v>&lt;undefined&gt;</v>
      </c>
      <c r="I11043" t="str">
        <v>Hiva Oa (MHPF 1967) geographiques (dms)</v>
      </c>
      <c r="J11043" t="str">
        <v>HIVA OA (ARCHIPEL DES MARQUISES)</v>
      </c>
      <c r="K11043" s="11">
        <v>0</v>
      </c>
    </row>
    <row r="11044" spans="5:11" x14ac:dyDescent="0.35">
      <c r="E11044" s="9" t="str">
        <v>IGNF</v>
      </c>
      <c r="F11044" s="7" t="str">
        <v>HIVA67UTM7S</v>
      </c>
      <c r="G11044" t="str">
        <v>ProjectedCrs</v>
      </c>
      <c r="H11044" t="str">
        <v>Transverse Mercator</v>
      </c>
      <c r="I11044" t="str">
        <v>Hiva Oa (MHPF 1967) UTM Sud fuseau 7</v>
      </c>
      <c r="J11044" t="str">
        <v>HIVA OA (ARCHIPEL DES MARQUISES) - UTM SUD FUSEAU 7</v>
      </c>
      <c r="K11044" s="11">
        <v>0</v>
      </c>
    </row>
    <row r="11045" spans="5:11" x14ac:dyDescent="0.35">
      <c r="E11045" s="9" t="str">
        <v>IGNF</v>
      </c>
      <c r="F11045" s="7" t="str">
        <v>HIVA60</v>
      </c>
      <c r="G11045" t="str">
        <v>GeocentricCrs</v>
      </c>
      <c r="H11045" t="str">
        <v>&lt;undefined&gt;</v>
      </c>
      <c r="I11045" t="str">
        <v>Hiva Oa MHPF 1960 cartesiennes geocentriques</v>
      </c>
      <c r="J11045" t="str">
        <v>HIVA OA (ARCHIPEL DES MARQUISES)</v>
      </c>
      <c r="K11045" s="11">
        <v>0</v>
      </c>
    </row>
    <row r="11046" spans="5:11" x14ac:dyDescent="0.35">
      <c r="E11046" s="9" t="str">
        <v>IGNF</v>
      </c>
      <c r="F11046" s="7" t="str">
        <v>HIVA67</v>
      </c>
      <c r="G11046" t="str">
        <v>GeocentricCrs</v>
      </c>
      <c r="H11046" t="str">
        <v>&lt;undefined&gt;</v>
      </c>
      <c r="I11046" t="str">
        <v>Hiva Oa MHPF 1967 cartesiennes geocentriques</v>
      </c>
      <c r="J11046" t="str">
        <v>HIVA OA (ARCHIPEL DES MARQUISES)</v>
      </c>
      <c r="K11046" s="11">
        <v>0</v>
      </c>
    </row>
    <row r="11047" spans="5:11" x14ac:dyDescent="0.35">
      <c r="E11047" s="9" t="str">
        <v>IGNF</v>
      </c>
      <c r="F11047" s="7" t="str">
        <v>IGN63</v>
      </c>
      <c r="G11047" t="str">
        <v>GeocentricCrs</v>
      </c>
      <c r="H11047" t="str">
        <v>&lt;undefined&gt;</v>
      </c>
      <c r="I11047" t="str">
        <v>Hiva Oa Tahuata Motohani IGN 1963 cartesiennes</v>
      </c>
      <c r="J11047" t="str">
        <v>HIVA OA, TAHUATA, MOHOTANI (ARCHIPEL DES MARQUISES)</v>
      </c>
      <c r="K11047" s="11">
        <v>0</v>
      </c>
    </row>
    <row r="11048" spans="5:11" x14ac:dyDescent="0.35">
      <c r="E11048" s="9" t="str">
        <v>IGNF</v>
      </c>
      <c r="F11048" s="7" t="str">
        <v>ATUO63</v>
      </c>
      <c r="G11048" t="str">
        <v>GeocentricCrs</v>
      </c>
      <c r="H11048" t="str">
        <v>&lt;undefined&gt;</v>
      </c>
      <c r="I11048" t="str">
        <v>Hiva Oa Tahuata Motohani IGN 1963 cartesiennes</v>
      </c>
      <c r="J11048" t="str">
        <v>HIVA OA, TAHUATA, MOHOTANI (ARCHIPEL DES MARQUISES)</v>
      </c>
      <c r="K11048" s="11">
        <v>0</v>
      </c>
    </row>
    <row r="11049" spans="5:11" x14ac:dyDescent="0.35">
      <c r="E11049" s="9" t="str">
        <v>IGNF</v>
      </c>
      <c r="F11049" s="7" t="str">
        <v>HUAH01</v>
      </c>
      <c r="G11049" t="str">
        <v>VerticalCrs</v>
      </c>
      <c r="H11049" t="str">
        <v>&lt;undefined&gt;</v>
      </c>
      <c r="I11049" t="str">
        <v>HUAHINE_SAU 2001</v>
      </c>
      <c r="J11049" t="str">
        <v>HUAHINE (ARCHIPEL DE LA SOCIETE)</v>
      </c>
      <c r="K11049" s="11">
        <v>0</v>
      </c>
    </row>
    <row r="11050" spans="5:11" x14ac:dyDescent="0.35">
      <c r="E11050" s="9" t="str">
        <v>IGNF</v>
      </c>
      <c r="F11050" s="7" t="str">
        <v>KERG62</v>
      </c>
      <c r="G11050" t="str">
        <v>VerticalCrs</v>
      </c>
      <c r="H11050" t="str">
        <v>&lt;undefined&gt;</v>
      </c>
      <c r="I11050" t="str">
        <v>IGN 1962 (KERGUELEN)</v>
      </c>
      <c r="J11050" t="str">
        <v>KERGUELEN</v>
      </c>
      <c r="K11050" s="11">
        <v>0</v>
      </c>
    </row>
    <row r="11051" spans="5:11" x14ac:dyDescent="0.35">
      <c r="E11051" s="9" t="str">
        <v>IGNF</v>
      </c>
      <c r="F11051" s="7" t="str">
        <v>ATUO63G</v>
      </c>
      <c r="G11051" t="str">
        <v>Geographic2DCrs</v>
      </c>
      <c r="H11051" t="str">
        <v>&lt;undefined&gt;</v>
      </c>
      <c r="I11051" t="str">
        <v>IGN 1963 geographiques (dms)</v>
      </c>
      <c r="J11051" t="str">
        <v>HIVA OA, TAHUATA, MOHOTANI (ARCHIPEL DES MARQUISES)</v>
      </c>
      <c r="K11051" s="11">
        <v>0</v>
      </c>
    </row>
    <row r="11052" spans="5:11" x14ac:dyDescent="0.35">
      <c r="E11052" s="9" t="str">
        <v>IGNF</v>
      </c>
      <c r="F11052" s="7" t="str">
        <v>IGN63G</v>
      </c>
      <c r="G11052" t="str">
        <v>Geographic2DCrs</v>
      </c>
      <c r="H11052" t="str">
        <v>&lt;undefined&gt;</v>
      </c>
      <c r="I11052" t="str">
        <v>IGN 1963 geographiques (dms)</v>
      </c>
      <c r="J11052" t="str">
        <v>HIVA OA, TAHUATA, MOHOTANI (ARCHIPEL DES MARQUISES)</v>
      </c>
      <c r="K11052" s="11">
        <v>0</v>
      </c>
    </row>
    <row r="11053" spans="5:11" x14ac:dyDescent="0.35">
      <c r="E11053" s="9" t="str">
        <v>IGNF</v>
      </c>
      <c r="F11053" s="7" t="str">
        <v>ATUO63UTM7S</v>
      </c>
      <c r="G11053" t="str">
        <v>ProjectedCrs</v>
      </c>
      <c r="H11053" t="str">
        <v>Transverse Mercator</v>
      </c>
      <c r="I11053" t="str">
        <v>IGN 1963 UTM Sud fuseau 7</v>
      </c>
      <c r="J11053" t="str">
        <v>HIVA OA, TAHUATA, MOHOTANI (ARCHIPEL DES MARQUISES) - UTM SUD FUSEAU 7</v>
      </c>
      <c r="K11053" s="11">
        <v>0</v>
      </c>
    </row>
    <row r="11054" spans="5:11" x14ac:dyDescent="0.35">
      <c r="E11054" s="9" t="str">
        <v>IGNF</v>
      </c>
      <c r="F11054" s="7" t="str">
        <v>IGN63UTM7S</v>
      </c>
      <c r="G11054" t="str">
        <v>ProjectedCrs</v>
      </c>
      <c r="H11054" t="str">
        <v>Transverse Mercator</v>
      </c>
      <c r="I11054" t="str">
        <v>IGN 1963 UTM Sud fuseau 7</v>
      </c>
      <c r="J11054" t="str">
        <v>HIVA OA, TAHUATA, MOHOTANI (ARCHIPEL DES MARQUISES) - UTM SUD FUSEAU 7</v>
      </c>
      <c r="K11054" s="11">
        <v>0</v>
      </c>
    </row>
    <row r="11055" spans="5:11" x14ac:dyDescent="0.35">
      <c r="E11055" s="9" t="str">
        <v>IGNF</v>
      </c>
      <c r="F11055" s="7" t="str">
        <v>TAHITI66</v>
      </c>
      <c r="G11055" t="str">
        <v>VerticalCrs</v>
      </c>
      <c r="H11055" t="str">
        <v>&lt;undefined&gt;</v>
      </c>
      <c r="I11055" t="str">
        <v>IGN 1966 (TAHITI)</v>
      </c>
      <c r="J11055" t="str">
        <v>TAHITI (ARCHIPEL DE LA SOCIETE)</v>
      </c>
      <c r="K11055" s="11">
        <v>0</v>
      </c>
    </row>
    <row r="11056" spans="5:11" x14ac:dyDescent="0.35">
      <c r="E11056" s="9" t="str">
        <v>IGNF</v>
      </c>
      <c r="F11056" s="7" t="str">
        <v>UVEA84</v>
      </c>
      <c r="G11056" t="str">
        <v>VerticalCrs</v>
      </c>
      <c r="H11056" t="str">
        <v>&lt;undefined&gt;</v>
      </c>
      <c r="I11056" t="str">
        <v>IGN 1984 (ILE UVEA)</v>
      </c>
      <c r="J11056" t="str">
        <v>ILE D'UVEA (WALLIS)</v>
      </c>
      <c r="K11056" s="11">
        <v>0</v>
      </c>
    </row>
    <row r="11057" spans="5:11" x14ac:dyDescent="0.35">
      <c r="E11057" s="9" t="str">
        <v>IGNF</v>
      </c>
      <c r="F11057" s="7" t="str">
        <v>MART87</v>
      </c>
      <c r="G11057" t="str">
        <v>VerticalCrs</v>
      </c>
      <c r="H11057" t="str">
        <v>&lt;undefined&gt;</v>
      </c>
      <c r="I11057" t="str">
        <v>IGN 1987 (MARTINIQUE)</v>
      </c>
      <c r="J11057" t="str">
        <v>MARTINIQUE</v>
      </c>
      <c r="K11057" s="11">
        <v>0</v>
      </c>
    </row>
    <row r="11058" spans="5:11" x14ac:dyDescent="0.35">
      <c r="E11058" s="9" t="str">
        <v>IGNF</v>
      </c>
      <c r="F11058" s="7" t="str">
        <v>GUAD88</v>
      </c>
      <c r="G11058" t="str">
        <v>VerticalCrs</v>
      </c>
      <c r="H11058" t="str">
        <v>&lt;undefined&gt;</v>
      </c>
      <c r="I11058" t="str">
        <v>IGN 1988 (GUADELOUPE)</v>
      </c>
      <c r="J11058" t="str">
        <v>GRANDE-TERRE ET BASSE-TERRE (GUADELOUPE)</v>
      </c>
      <c r="K11058" s="11">
        <v>0</v>
      </c>
    </row>
    <row r="11059" spans="5:11" x14ac:dyDescent="0.35">
      <c r="E11059" s="9" t="str">
        <v>IGNF</v>
      </c>
      <c r="F11059" s="7" t="str">
        <v>GUAD88LS</v>
      </c>
      <c r="G11059" t="str">
        <v>VerticalCrs</v>
      </c>
      <c r="H11059" t="str">
        <v>&lt;undefined&gt;</v>
      </c>
      <c r="I11059" t="str">
        <v>IGN 1988 LS (GUADELOUPE / LES SAINTES)</v>
      </c>
      <c r="J11059" t="str">
        <v>ILE DES SAINTES (GUADELOUPE)</v>
      </c>
      <c r="K11059" s="11">
        <v>0</v>
      </c>
    </row>
    <row r="11060" spans="5:11" x14ac:dyDescent="0.35">
      <c r="E11060" s="9" t="str">
        <v>IGNF</v>
      </c>
      <c r="F11060" s="7" t="str">
        <v>GUAD88MG</v>
      </c>
      <c r="G11060" t="str">
        <v>VerticalCrs</v>
      </c>
      <c r="H11060" t="str">
        <v>&lt;undefined&gt;</v>
      </c>
      <c r="I11060" t="str">
        <v>IGN 1988 MG (GUADELOUPE / MARIE-GALANTE)</v>
      </c>
      <c r="J11060" t="str">
        <v>ILE DE MARIE-GALANTE (GUADELOUPE)</v>
      </c>
      <c r="K11060" s="11">
        <v>0</v>
      </c>
    </row>
    <row r="11061" spans="5:11" x14ac:dyDescent="0.35">
      <c r="E11061" s="9" t="str">
        <v>IGNF</v>
      </c>
      <c r="F11061" s="7" t="str">
        <v>GUAD88SB</v>
      </c>
      <c r="G11061" t="str">
        <v>VerticalCrs</v>
      </c>
      <c r="H11061" t="str">
        <v>&lt;undefined&gt;</v>
      </c>
      <c r="I11061" t="str">
        <v>IGN 1988 SB (GUADELOUPE / SAINT-BARTHELEMY)</v>
      </c>
      <c r="J11061" t="str">
        <v>ILE DE SAINT-BARTHELEMY</v>
      </c>
      <c r="K11061" s="11">
        <v>0</v>
      </c>
    </row>
    <row r="11062" spans="5:11" x14ac:dyDescent="0.35">
      <c r="E11062" s="9" t="str">
        <v>IGNF</v>
      </c>
      <c r="F11062" s="7" t="str">
        <v>GUAD88SM</v>
      </c>
      <c r="G11062" t="str">
        <v>VerticalCrs</v>
      </c>
      <c r="H11062" t="str">
        <v>&lt;undefined&gt;</v>
      </c>
      <c r="I11062" t="str">
        <v>IGN 1988 SM (GUADELOUPE / SAINT-MARTIN)</v>
      </c>
      <c r="J11062" t="str">
        <v>ILE DE SAINT-MARTIN (GUADELOUPE)</v>
      </c>
      <c r="K11062" s="11">
        <v>0</v>
      </c>
    </row>
    <row r="11063" spans="5:11" x14ac:dyDescent="0.35">
      <c r="E11063" s="9" t="str">
        <v>IGNF</v>
      </c>
      <c r="F11063" s="7" t="str">
        <v>REUN89</v>
      </c>
      <c r="G11063" t="str">
        <v>VerticalCrs</v>
      </c>
      <c r="H11063" t="str">
        <v>&lt;undefined&gt;</v>
      </c>
      <c r="I11063" t="str">
        <v>IGN 1989 (REUNION)</v>
      </c>
      <c r="J11063" t="str">
        <v>ILE DE LA REUNION</v>
      </c>
      <c r="K11063" s="11">
        <v>0</v>
      </c>
    </row>
    <row r="11064" spans="5:11" x14ac:dyDescent="0.35">
      <c r="E11064" s="9" t="str">
        <v>IGNF</v>
      </c>
      <c r="F11064" s="7" t="str">
        <v>GUAD92LD</v>
      </c>
      <c r="G11064" t="str">
        <v>VerticalCrs</v>
      </c>
      <c r="H11064" t="str">
        <v>&lt;undefined&gt;</v>
      </c>
      <c r="I11064" t="str">
        <v>IGN 1992 LD (GUADELOUPE / LA DESIRADE)</v>
      </c>
      <c r="J11064" t="str">
        <v>ILE DE LA DESIRADE (GUADELOUPE)</v>
      </c>
      <c r="K11064" s="11">
        <v>0</v>
      </c>
    </row>
    <row r="11065" spans="5:11" x14ac:dyDescent="0.35">
      <c r="E11065" s="9" t="str">
        <v>IGNF</v>
      </c>
      <c r="F11065" s="7" t="str">
        <v>GUAD2008LD</v>
      </c>
      <c r="G11065" t="str">
        <v>VerticalCrs</v>
      </c>
      <c r="H11065" t="str">
        <v>&lt;undefined&gt;</v>
      </c>
      <c r="I11065" t="str">
        <v>IGN 2008 LD (GUADELOUPE / LA DESIRADE)</v>
      </c>
      <c r="J11065" t="str">
        <v>ILE DE LA DESIRADE (GUADELOUPE)</v>
      </c>
      <c r="K11065" s="11">
        <v>0</v>
      </c>
    </row>
    <row r="11066" spans="5:11" x14ac:dyDescent="0.35">
      <c r="E11066" s="9" t="str">
        <v>IGNF</v>
      </c>
      <c r="F11066" s="7" t="str">
        <v>TAHAA53G</v>
      </c>
      <c r="G11066" t="str">
        <v>Geographic2DCrs</v>
      </c>
      <c r="H11066" t="str">
        <v>&lt;undefined&gt;</v>
      </c>
      <c r="I11066" t="str">
        <v>IGN53 Societe geographiques (dms)</v>
      </c>
      <c r="J11066" t="str">
        <v>RAIATEA, TAHAA (ARCHIPEL DE LA SOCIETE)</v>
      </c>
      <c r="K11066" s="11">
        <v>0</v>
      </c>
    </row>
    <row r="11067" spans="5:11" x14ac:dyDescent="0.35">
      <c r="E11067" s="9" t="str">
        <v>IGNF</v>
      </c>
      <c r="F11067" s="7" t="str">
        <v>RAIA53G</v>
      </c>
      <c r="G11067" t="str">
        <v>Geographic2DCrs</v>
      </c>
      <c r="H11067" t="str">
        <v>&lt;undefined&gt;</v>
      </c>
      <c r="I11067" t="str">
        <v>IGN53 Societe geographiques (dms)</v>
      </c>
      <c r="J11067" t="str">
        <v>RAIATEA, TAHAA (ARCHIPEL DE LA SOCIETE)</v>
      </c>
      <c r="K11067" s="11">
        <v>0</v>
      </c>
    </row>
    <row r="11068" spans="5:11" x14ac:dyDescent="0.35">
      <c r="E11068" s="9" t="str">
        <v>IGNF</v>
      </c>
      <c r="F11068" s="7" t="str">
        <v>TAHAA53G.BORA01</v>
      </c>
      <c r="G11068" t="str">
        <v>CompoundCrs</v>
      </c>
      <c r="H11068" t="str">
        <v>&lt;undefined&gt;</v>
      </c>
      <c r="I11068" t="str">
        <v>IGN53 Societe geographiques (dms) et BORA_SAU 2001</v>
      </c>
      <c r="J11068" t="str">
        <v>BORA BORA (ARCHIPEL DE LA SOCIETE)</v>
      </c>
      <c r="K11068" s="11">
        <v>0</v>
      </c>
    </row>
    <row r="11069" spans="5:11" x14ac:dyDescent="0.35">
      <c r="E11069" s="9" t="str">
        <v>IGNF</v>
      </c>
      <c r="F11069" s="7" t="str">
        <v>TAHAA53G.HUAH01</v>
      </c>
      <c r="G11069" t="str">
        <v>CompoundCrs</v>
      </c>
      <c r="H11069" t="str">
        <v>&lt;undefined&gt;</v>
      </c>
      <c r="I11069" t="str">
        <v>IGN53 Societe geographiques (dms) et HUAHINE_SAU 2001</v>
      </c>
      <c r="J11069" t="str">
        <v>RAIATEA, TAHAA (ARCHIPEL DE LA SOCIETE)</v>
      </c>
      <c r="K11069" s="11">
        <v>0</v>
      </c>
    </row>
    <row r="11070" spans="5:11" x14ac:dyDescent="0.35">
      <c r="E11070" s="9" t="str">
        <v>IGNF</v>
      </c>
      <c r="F11070" s="7" t="str">
        <v>TAHAA53G.RAIA01</v>
      </c>
      <c r="G11070" t="str">
        <v>CompoundCrs</v>
      </c>
      <c r="H11070" t="str">
        <v>&lt;undefined&gt;</v>
      </c>
      <c r="I11070" t="str">
        <v>IGN53 Societe geographiques (dms) et RAIATEA_SAU 2001</v>
      </c>
      <c r="J11070" t="str">
        <v>RAIATEA, TAHAA (ARCHIPEL DE LA SOCIETE)</v>
      </c>
      <c r="K11070" s="11">
        <v>0</v>
      </c>
    </row>
    <row r="11071" spans="5:11" x14ac:dyDescent="0.35">
      <c r="E11071" s="9" t="str">
        <v>IGNF</v>
      </c>
      <c r="F11071" s="7" t="str">
        <v>TAHAA53UTM5S</v>
      </c>
      <c r="G11071" t="str">
        <v>ProjectedCrs</v>
      </c>
      <c r="H11071" t="str">
        <v>Transverse Mercator</v>
      </c>
      <c r="I11071" t="str">
        <v>IGN53 Societe UTM Sud fuseau 5</v>
      </c>
      <c r="J11071" t="str">
        <v>RAIATEA, TAHAA (ARCHIPEL DE LA SOCIETE) - UTM SUD FUSEAU 5</v>
      </c>
      <c r="K11071" s="11">
        <v>0</v>
      </c>
    </row>
    <row r="11072" spans="5:11" x14ac:dyDescent="0.35">
      <c r="E11072" s="9" t="str">
        <v>IGNF</v>
      </c>
      <c r="F11072" s="7" t="str">
        <v>RAIA53UTM5S</v>
      </c>
      <c r="G11072" t="str">
        <v>ProjectedCrs</v>
      </c>
      <c r="H11072" t="str">
        <v>Transverse Mercator</v>
      </c>
      <c r="I11072" t="str">
        <v>IGN53 Societe UTM Sud fuseau 5</v>
      </c>
      <c r="J11072" t="str">
        <v>RAIATEA, TAHAA (ARCHIPEL DE LA SOCIETE) - UTM SUD FUSEAU 5</v>
      </c>
      <c r="K11072" s="11">
        <v>0</v>
      </c>
    </row>
    <row r="11073" spans="5:11" x14ac:dyDescent="0.35">
      <c r="E11073" s="9" t="str">
        <v>IGNF</v>
      </c>
      <c r="F11073" s="7" t="str">
        <v>TAHAA53UTM5S.BORA01</v>
      </c>
      <c r="G11073" t="str">
        <v>CompoundCrs</v>
      </c>
      <c r="H11073" t="str">
        <v>&lt;undefined&gt;</v>
      </c>
      <c r="I11073" t="str">
        <v>IGN53 Societe UTM Sud fuseau 5 et BORA_SAU 2001</v>
      </c>
      <c r="J11073" t="str">
        <v>BORA BORA (ARCHIPEL DE LA SOCIETE)</v>
      </c>
      <c r="K11073" s="11">
        <v>0</v>
      </c>
    </row>
    <row r="11074" spans="5:11" x14ac:dyDescent="0.35">
      <c r="E11074" s="9" t="str">
        <v>IGNF</v>
      </c>
      <c r="F11074" s="7" t="str">
        <v>TAHAA53UTM5S.HUAH01</v>
      </c>
      <c r="G11074" t="str">
        <v>CompoundCrs</v>
      </c>
      <c r="H11074" t="str">
        <v>&lt;undefined&gt;</v>
      </c>
      <c r="I11074" t="str">
        <v>IGN53 Societe UTM Sud fuseau 5 et HUAHINE_SAU 2001</v>
      </c>
      <c r="J11074" t="str">
        <v>RAIATEA, TAHAA (ARCHIPEL DE LA SOCIETE)</v>
      </c>
      <c r="K11074" s="11">
        <v>0</v>
      </c>
    </row>
    <row r="11075" spans="5:11" x14ac:dyDescent="0.35">
      <c r="E11075" s="9" t="str">
        <v>IGNF</v>
      </c>
      <c r="F11075" s="7" t="str">
        <v>TAHAA53UTM5S.RAIA01</v>
      </c>
      <c r="G11075" t="str">
        <v>CompoundCrs</v>
      </c>
      <c r="H11075" t="str">
        <v>&lt;undefined&gt;</v>
      </c>
      <c r="I11075" t="str">
        <v>IGN53 Societe UTM Sud fuseau 5 et RAIATEA_SAU 2001</v>
      </c>
      <c r="J11075" t="str">
        <v>RAIATEA, TAHAA (ARCHIPEL DE LA SOCIETE)</v>
      </c>
      <c r="K11075" s="11">
        <v>0</v>
      </c>
    </row>
    <row r="11076" spans="5:11" x14ac:dyDescent="0.35">
      <c r="E11076" s="9" t="str">
        <v>IGNF</v>
      </c>
      <c r="F11076" s="7" t="str">
        <v>IGN63GEO</v>
      </c>
      <c r="G11076" t="str">
        <v>Geographic3DCrs</v>
      </c>
      <c r="H11076" t="str">
        <v>&lt;undefined&gt;</v>
      </c>
      <c r="I11076" t="str">
        <v>IGN63 geographiques (dms)</v>
      </c>
      <c r="J11076" t="str">
        <v>HIVA OA, TAHUATA, MOHOTANI (ARCHIPEL DES MARQUISES)</v>
      </c>
      <c r="K11076" s="11">
        <v>0</v>
      </c>
    </row>
    <row r="11077" spans="5:11" x14ac:dyDescent="0.35">
      <c r="E11077" s="9" t="str">
        <v>IGNF</v>
      </c>
      <c r="F11077" s="7" t="str">
        <v>IGN72G</v>
      </c>
      <c r="G11077" t="str">
        <v>Geographic2DCrs</v>
      </c>
      <c r="H11077" t="str">
        <v>&lt;undefined&gt;</v>
      </c>
      <c r="I11077" t="str">
        <v>IGN72 geographiques (dms)</v>
      </c>
      <c r="J11077" t="str">
        <v>GRANDE TERRE (NOUVELLE-CALEDONIE)</v>
      </c>
      <c r="K11077" s="11">
        <v>0</v>
      </c>
    </row>
    <row r="11078" spans="5:11" x14ac:dyDescent="0.35">
      <c r="E11078" s="9" t="str">
        <v>IGNF</v>
      </c>
      <c r="F11078" s="7" t="str">
        <v>IGN72GEO</v>
      </c>
      <c r="G11078" t="str">
        <v>Geographic3DCrs</v>
      </c>
      <c r="H11078" t="str">
        <v>&lt;undefined&gt;</v>
      </c>
      <c r="I11078" t="str">
        <v>IGN72 geographiques (dms)</v>
      </c>
      <c r="J11078" t="str">
        <v>GRANDE TERRE (NOUVELLE-CALEDONIE)</v>
      </c>
      <c r="K11078" s="11">
        <v>0</v>
      </c>
    </row>
    <row r="11079" spans="5:11" x14ac:dyDescent="0.35">
      <c r="E11079" s="9" t="str">
        <v>IGNF</v>
      </c>
      <c r="F11079" s="7" t="str">
        <v>IGN72G.NCAL69</v>
      </c>
      <c r="G11079" t="str">
        <v>CompoundCrs</v>
      </c>
      <c r="H11079" t="str">
        <v>&lt;undefined&gt;</v>
      </c>
      <c r="I11079" t="str">
        <v>IGN72 geographiques (dms) et NIVELLEMENT GENERAL DE NOUVELLE-CALEDONIE (NGNC)</v>
      </c>
      <c r="J11079" t="str">
        <v>GRANDE TERRE (NOUVELLE-CALEDONIE)</v>
      </c>
      <c r="K11079" s="11">
        <v>0</v>
      </c>
    </row>
    <row r="11080" spans="5:11" x14ac:dyDescent="0.35">
      <c r="E11080" s="9" t="str">
        <v>IGNF</v>
      </c>
      <c r="F11080" s="7" t="str">
        <v>IGN72LAM</v>
      </c>
      <c r="G11080" t="str">
        <v>ProjectedCrs</v>
      </c>
      <c r="H11080" t="str">
        <v>Lambert Conic Conformal (2SP)</v>
      </c>
      <c r="I11080" t="str">
        <v>IGN72 Lambert Nouvelle-Caledonie</v>
      </c>
      <c r="J11080" t="str">
        <v>GRANDE TERRE (NOUVELLE-CALEDONIE) - NOUVELLE-CALEDONIE</v>
      </c>
      <c r="K11080" s="11">
        <v>0</v>
      </c>
    </row>
    <row r="11081" spans="5:11" x14ac:dyDescent="0.35">
      <c r="E11081" s="9" t="str">
        <v>IGNF</v>
      </c>
      <c r="F11081" s="7" t="str">
        <v>IGN72LAMBNC</v>
      </c>
      <c r="G11081" t="str">
        <v>ProjectedCrs</v>
      </c>
      <c r="H11081" t="str">
        <v>Lambert Conic Conformal (2SP)</v>
      </c>
      <c r="I11081" t="str">
        <v>IGN72 Lambert Nouvelle-Caledonie</v>
      </c>
      <c r="J11081" t="str">
        <v>GRANDE TERRE (NOUVELLE-CALEDONIE) - NOUVELLE-CALEDONIE</v>
      </c>
      <c r="K11081" s="11">
        <v>0</v>
      </c>
    </row>
    <row r="11082" spans="5:11" x14ac:dyDescent="0.35">
      <c r="E11082" s="9" t="str">
        <v>IGNF</v>
      </c>
      <c r="F11082" s="7" t="str">
        <v>IGN72UTM58S</v>
      </c>
      <c r="G11082" t="str">
        <v>ProjectedCrs</v>
      </c>
      <c r="H11082" t="str">
        <v>Transverse Mercator</v>
      </c>
      <c r="I11082" t="str">
        <v>IGN72 UTM Sud fuseau 58</v>
      </c>
      <c r="J11082" t="str">
        <v>GRANDE TERRE (NOUVELLE-CALEDONIE) - UTM SUD FUSEAU 58</v>
      </c>
      <c r="K11082" s="11">
        <v>0</v>
      </c>
    </row>
    <row r="11083" spans="5:11" x14ac:dyDescent="0.35">
      <c r="E11083" s="9" t="str">
        <v>IGNF</v>
      </c>
      <c r="F11083" s="7" t="str">
        <v>IGN72UTM58S.NCAL69</v>
      </c>
      <c r="G11083" t="str">
        <v>CompoundCrs</v>
      </c>
      <c r="H11083" t="str">
        <v>&lt;undefined&gt;</v>
      </c>
      <c r="I11083" t="str">
        <v>IGN72 UTM Sud fuseau 58 et NIVELLEMENT GENERAL DE NOUVELLE-CALEDONIE (NGNC)</v>
      </c>
      <c r="J11083" t="str">
        <v>GRANDE TERRE (NOUVELLE-CALEDONIE)</v>
      </c>
      <c r="K11083" s="11">
        <v>0</v>
      </c>
    </row>
    <row r="11084" spans="5:11" x14ac:dyDescent="0.35">
      <c r="E11084" s="9" t="str">
        <v>IGNF</v>
      </c>
      <c r="F11084" s="7" t="str">
        <v>AMST63</v>
      </c>
      <c r="G11084" t="str">
        <v>GeocentricCrs</v>
      </c>
      <c r="H11084" t="str">
        <v>&lt;undefined&gt;</v>
      </c>
      <c r="I11084" t="str">
        <v>Ile Amsterdam 1963 cartesiennes geocentriques</v>
      </c>
      <c r="J11084" t="str">
        <v>ILE AMSTERDAM</v>
      </c>
      <c r="K11084" s="11">
        <v>0</v>
      </c>
    </row>
    <row r="11085" spans="5:11" x14ac:dyDescent="0.35">
      <c r="E11085" s="9" t="str">
        <v>IGNF</v>
      </c>
      <c r="F11085" s="7" t="str">
        <v>AMST63GEO</v>
      </c>
      <c r="G11085" t="str">
        <v>Geographic3DCrs</v>
      </c>
      <c r="H11085" t="str">
        <v>&lt;undefined&gt;</v>
      </c>
      <c r="I11085" t="str">
        <v>Ile Amsterdam 1963 geographiques (dms)</v>
      </c>
      <c r="J11085" t="str">
        <v>ILE AMSTERDAM</v>
      </c>
      <c r="K11085" s="11">
        <v>0</v>
      </c>
    </row>
    <row r="11086" spans="5:11" x14ac:dyDescent="0.35">
      <c r="E11086" s="9" t="str">
        <v>IGNF</v>
      </c>
      <c r="F11086" s="7" t="str">
        <v>ST84</v>
      </c>
      <c r="G11086" t="str">
        <v>GeocentricCrs</v>
      </c>
      <c r="H11086" t="str">
        <v>&lt;undefined&gt;</v>
      </c>
      <c r="I11086" t="str">
        <v>Ile des Pins ST84 cartesiennes geocentriques</v>
      </c>
      <c r="J11086" t="str">
        <v>ILE DES PINS (NOUVELLE-CALEDONIE)</v>
      </c>
      <c r="K11086" s="11">
        <v>0</v>
      </c>
    </row>
    <row r="11087" spans="5:11" x14ac:dyDescent="0.35">
      <c r="E11087" s="9" t="str">
        <v>IGNF</v>
      </c>
      <c r="F11087" s="7" t="str">
        <v>STPL69GEO</v>
      </c>
      <c r="G11087" t="str">
        <v>Geographic3DCrs</v>
      </c>
      <c r="H11087" t="str">
        <v>&lt;undefined&gt;</v>
      </c>
      <c r="I11087" t="str">
        <v>Ile Saint-Paul 1969 geographiques (dms)</v>
      </c>
      <c r="J11087" t="str">
        <v>ILE SAINT-PAUL</v>
      </c>
      <c r="K11087" s="11">
        <v>0</v>
      </c>
    </row>
    <row r="11088" spans="5:11" x14ac:dyDescent="0.35">
      <c r="E11088" s="9" t="str">
        <v>IGNF</v>
      </c>
      <c r="F11088" s="7" t="str">
        <v>NOVA53G</v>
      </c>
      <c r="G11088" t="str">
        <v>Geographic2DCrs</v>
      </c>
      <c r="H11088" t="str">
        <v>&lt;undefined&gt;</v>
      </c>
      <c r="I11088" t="str">
        <v>Juan de Nova  geographiques (dms)</v>
      </c>
      <c r="J11088" t="str">
        <v>ILE JUAN DE NOVA</v>
      </c>
      <c r="K11088" s="11">
        <v>0</v>
      </c>
    </row>
    <row r="11089" spans="5:11" x14ac:dyDescent="0.35">
      <c r="E11089" s="9" t="str">
        <v>IGNF</v>
      </c>
      <c r="F11089" s="7" t="str">
        <v>NOVA53</v>
      </c>
      <c r="G11089" t="str">
        <v>GeocentricCrs</v>
      </c>
      <c r="H11089" t="str">
        <v>&lt;undefined&gt;</v>
      </c>
      <c r="I11089" t="str">
        <v>Juan de Nova MHM 1953 cartesiennes geocentriques</v>
      </c>
      <c r="J11089" t="str">
        <v>ILE JUAN DE NOVA</v>
      </c>
      <c r="K11089" s="11">
        <v>0</v>
      </c>
    </row>
    <row r="11090" spans="5:11" x14ac:dyDescent="0.35">
      <c r="E11090" s="9" t="str">
        <v>IGNF</v>
      </c>
      <c r="F11090" s="7" t="str">
        <v>NOVA53UTM38S</v>
      </c>
      <c r="G11090" t="str">
        <v>ProjectedCrs</v>
      </c>
      <c r="H11090" t="str">
        <v>Transverse Mercator</v>
      </c>
      <c r="I11090" t="str">
        <v>JUAN DE NOVA MHM 1953 UTM SUD FUSEAU 38</v>
      </c>
      <c r="J11090" t="str">
        <v>ILE JUAN DE NOVA - UTM SUD FUSEAU 38</v>
      </c>
      <c r="K11090" s="11">
        <v>0</v>
      </c>
    </row>
    <row r="11091" spans="5:11" x14ac:dyDescent="0.35">
      <c r="E11091" s="9" t="str">
        <v>IGNF</v>
      </c>
      <c r="F11091" s="7" t="str">
        <v>KAUE70G</v>
      </c>
      <c r="G11091" t="str">
        <v>Geographic2DCrs</v>
      </c>
      <c r="H11091" t="str">
        <v>&lt;undefined&gt;</v>
      </c>
      <c r="I11091" t="str">
        <v>Kauehi (MHPF70) geographiques (dms)</v>
      </c>
      <c r="J11091" t="str">
        <v>KAUHEI (ARCHIPEL DES TUAMOTU)</v>
      </c>
      <c r="K11091" s="11">
        <v>0</v>
      </c>
    </row>
    <row r="11092" spans="5:11" x14ac:dyDescent="0.35">
      <c r="E11092" s="9" t="str">
        <v>IGNF</v>
      </c>
      <c r="F11092" s="7" t="str">
        <v>KAUE70UTM6S</v>
      </c>
      <c r="G11092" t="str">
        <v>ProjectedCrs</v>
      </c>
      <c r="H11092" t="str">
        <v>Transverse Mercator</v>
      </c>
      <c r="I11092" t="str">
        <v>Kauehi (MHPF70) UTM Sud fuseau 6</v>
      </c>
      <c r="J11092" t="str">
        <v>KAUHEI (ARCHIPEL DES TUAMOTU) - UTM SUD FUSEAU 6</v>
      </c>
      <c r="K11092" s="11">
        <v>0</v>
      </c>
    </row>
    <row r="11093" spans="5:11" x14ac:dyDescent="0.35">
      <c r="E11093" s="9" t="str">
        <v>IGNF</v>
      </c>
      <c r="F11093" s="7" t="str">
        <v>KAUE70</v>
      </c>
      <c r="G11093" t="str">
        <v>GeocentricCrs</v>
      </c>
      <c r="H11093" t="str">
        <v>&lt;undefined&gt;</v>
      </c>
      <c r="I11093" t="str">
        <v>Kauehi MHPF70 cartesiennes geocentriques</v>
      </c>
      <c r="J11093" t="str">
        <v>KAUHEI (ARCHIPEL DES TUAMOTU)</v>
      </c>
      <c r="K11093" s="11">
        <v>0</v>
      </c>
    </row>
    <row r="11094" spans="5:11" x14ac:dyDescent="0.35">
      <c r="E11094" s="9" t="str">
        <v>IGNF</v>
      </c>
      <c r="F11094" s="7" t="str">
        <v>KERG62GEO</v>
      </c>
      <c r="G11094" t="str">
        <v>Geographic3DCrs</v>
      </c>
      <c r="H11094" t="str">
        <v>&lt;undefined&gt;</v>
      </c>
      <c r="I11094" t="str">
        <v>Kerguelen - K0 geographiques (dms)</v>
      </c>
      <c r="J11094" t="str">
        <v>KERGUELEN</v>
      </c>
      <c r="K11094" s="11">
        <v>0</v>
      </c>
    </row>
    <row r="11095" spans="5:11" x14ac:dyDescent="0.35">
      <c r="E11095" s="9" t="str">
        <v>IGNF</v>
      </c>
      <c r="F11095" s="7" t="str">
        <v>KERG62CAR</v>
      </c>
      <c r="G11095" t="str">
        <v>GeocentricCrs</v>
      </c>
      <c r="H11095" t="str">
        <v>&lt;undefined&gt;</v>
      </c>
      <c r="I11095" t="str">
        <v>Kerguelen - K0 IGN 1962 cartesiennes geocent.</v>
      </c>
      <c r="J11095" t="str">
        <v>KERGUELEN</v>
      </c>
      <c r="K11095" s="11">
        <v>0</v>
      </c>
    </row>
    <row r="11096" spans="5:11" x14ac:dyDescent="0.35">
      <c r="E11096" s="9" t="str">
        <v>IGNF</v>
      </c>
      <c r="F11096" s="7" t="str">
        <v>KERG62K0</v>
      </c>
      <c r="G11096" t="str">
        <v>GeocentricCrs</v>
      </c>
      <c r="H11096" t="str">
        <v>&lt;undefined&gt;</v>
      </c>
      <c r="I11096" t="str">
        <v>Kerguelen - K0 IGN 1962 cartesiennes geocent.</v>
      </c>
      <c r="J11096" t="str">
        <v>KERGUELEN</v>
      </c>
      <c r="K11096" s="11">
        <v>0</v>
      </c>
    </row>
    <row r="11097" spans="5:11" x14ac:dyDescent="0.35">
      <c r="E11097" s="9" t="str">
        <v>IGNF</v>
      </c>
      <c r="F11097" s="7" t="str">
        <v>KERG62G</v>
      </c>
      <c r="G11097" t="str">
        <v>Geographic2DCrs</v>
      </c>
      <c r="H11097" t="str">
        <v>&lt;undefined&gt;</v>
      </c>
      <c r="I11097" t="str">
        <v>Kerguelen geographiques (dms)</v>
      </c>
      <c r="J11097" t="str">
        <v>KERGUELEN</v>
      </c>
      <c r="K11097" s="11">
        <v>0</v>
      </c>
    </row>
    <row r="11098" spans="5:11" x14ac:dyDescent="0.35">
      <c r="E11098" s="9" t="str">
        <v>IGNF</v>
      </c>
      <c r="F11098" s="7" t="str">
        <v>KERG62G.KERG62</v>
      </c>
      <c r="G11098" t="str">
        <v>CompoundCrs</v>
      </c>
      <c r="H11098" t="str">
        <v>&lt;undefined&gt;</v>
      </c>
      <c r="I11098" t="str">
        <v>Kerguelen geographiques (dms) et IGN 1962 (KERGUELEN)</v>
      </c>
      <c r="J11098" t="str">
        <v>KERGUELEN</v>
      </c>
      <c r="K11098" s="11">
        <v>0</v>
      </c>
    </row>
    <row r="11099" spans="5:11" x14ac:dyDescent="0.35">
      <c r="E11099" s="9" t="str">
        <v>IGNF</v>
      </c>
      <c r="F11099" s="7" t="str">
        <v>KERG62UTM42S</v>
      </c>
      <c r="G11099" t="str">
        <v>ProjectedCrs</v>
      </c>
      <c r="H11099" t="str">
        <v>Transverse Mercator</v>
      </c>
      <c r="I11099" t="str">
        <v>KERGUELEN K0 IGN 1962 UTM SUD FUSEAU 42</v>
      </c>
      <c r="J11099" t="str">
        <v>KERGUELEN - UTM SUD FUSEAU 42</v>
      </c>
      <c r="K11099" s="11">
        <v>0</v>
      </c>
    </row>
    <row r="11100" spans="5:11" x14ac:dyDescent="0.35">
      <c r="E11100" s="9" t="str">
        <v>IGNF</v>
      </c>
      <c r="F11100" s="7" t="str">
        <v>KERG62UTM42S.KERG62</v>
      </c>
      <c r="G11100" t="str">
        <v>CompoundCrs</v>
      </c>
      <c r="H11100" t="str">
        <v>&lt;undefined&gt;</v>
      </c>
      <c r="I11100" t="str">
        <v>KERGUELEN K0 IGN 1962 UTM SUD FUSEAU 42 et IGN 1962 (KERGUELEN)</v>
      </c>
      <c r="J11100" t="str">
        <v>KERGUELEN</v>
      </c>
      <c r="K11100" s="11">
        <v>0</v>
      </c>
    </row>
    <row r="11101" spans="5:11" x14ac:dyDescent="0.35">
      <c r="E11101" s="9" t="str">
        <v>IGNF</v>
      </c>
      <c r="F11101" s="7" t="str">
        <v>WGS84EQGPKER</v>
      </c>
      <c r="G11101" t="str">
        <v>ProjectedCrs</v>
      </c>
      <c r="H11101" t="str">
        <v>Equidistant Cylindrical</v>
      </c>
      <c r="I11101" t="str">
        <v>Kerguelen projection Geoportail</v>
      </c>
      <c r="J11101" t="str">
        <v>PLANETE TERRE ET SON ENVIRONNEMENT PROCHE - KERGUELEN</v>
      </c>
      <c r="K11101" s="11">
        <v>0</v>
      </c>
    </row>
    <row r="11102" spans="5:11" x14ac:dyDescent="0.35">
      <c r="E11102" s="9" t="str">
        <v>IGNF</v>
      </c>
      <c r="F11102" s="7" t="str">
        <v>GEOPORTALKER</v>
      </c>
      <c r="G11102" t="str">
        <v>ProjectedCrs</v>
      </c>
      <c r="H11102" t="str">
        <v>Equidistant Cylindrical</v>
      </c>
      <c r="I11102" t="str">
        <v>Kerguelen projection Geoportail</v>
      </c>
      <c r="J11102" t="str">
        <v>PLANETE TERRE ET SON ENVIRONNEMENT PROCHE - KERGUELEN</v>
      </c>
      <c r="K11102" s="11">
        <v>0</v>
      </c>
    </row>
    <row r="11103" spans="5:11" x14ac:dyDescent="0.35">
      <c r="E11103" s="9" t="str">
        <v>IGNF</v>
      </c>
      <c r="F11103" s="7" t="str">
        <v>LNGPGG</v>
      </c>
      <c r="G11103" t="str">
        <v>Geographic2DCrs</v>
      </c>
      <c r="H11103" t="str">
        <v>&lt;undefined&gt;</v>
      </c>
      <c r="I11103" t="str">
        <v>Lambert Nord de Guerre grades Paris</v>
      </c>
      <c r="J11103" t="str">
        <v>World.</v>
      </c>
      <c r="K11103" s="11">
        <v>0</v>
      </c>
    </row>
    <row r="11104" spans="5:11" x14ac:dyDescent="0.35">
      <c r="E11104" s="9" t="str">
        <v>IGNF</v>
      </c>
      <c r="F11104" s="7" t="str">
        <v>SYSLNG</v>
      </c>
      <c r="G11104" t="str">
        <v>Geographic2DCrs</v>
      </c>
      <c r="H11104" t="str">
        <v>&lt;undefined&gt;</v>
      </c>
      <c r="I11104" t="str">
        <v>Lambert Nord de Guerre grades Paris</v>
      </c>
      <c r="J11104" t="str">
        <v>World.</v>
      </c>
      <c r="K11104" s="11">
        <v>0</v>
      </c>
    </row>
    <row r="11105" spans="5:11" x14ac:dyDescent="0.35">
      <c r="E11105" s="9" t="str">
        <v>IGNF</v>
      </c>
      <c r="F11105" s="7" t="str">
        <v>LNGLNG</v>
      </c>
      <c r="G11105" t="str">
        <v>ProjectedCrs</v>
      </c>
      <c r="H11105" t="str">
        <v>Lambert Conic Conformal (1SP)</v>
      </c>
      <c r="I11105" t="str">
        <v>Lambert Nord de Guerre Lambert Nord de Guerre</v>
      </c>
      <c r="J11105" t="str">
        <v>World.</v>
      </c>
      <c r="K11105" s="11">
        <v>0</v>
      </c>
    </row>
    <row r="11106" spans="5:11" x14ac:dyDescent="0.35">
      <c r="E11106" s="9" t="str">
        <v>IGNF</v>
      </c>
      <c r="F11106" s="7" t="str">
        <v>SYSLN</v>
      </c>
      <c r="G11106" t="str">
        <v>ProjectedCrs</v>
      </c>
      <c r="H11106" t="str">
        <v>Lambert Conic Conformal (1SP)</v>
      </c>
      <c r="I11106" t="str">
        <v>Lambert Nord de Guerre Lambert Nord de Guerre</v>
      </c>
      <c r="J11106" t="str">
        <v>World.</v>
      </c>
      <c r="K11106" s="11">
        <v>0</v>
      </c>
    </row>
    <row r="11107" spans="5:11" x14ac:dyDescent="0.35">
      <c r="E11107" s="9" t="str">
        <v>IGNF</v>
      </c>
      <c r="F11107" s="7" t="str">
        <v>LIFOU56</v>
      </c>
      <c r="G11107" t="str">
        <v>GeocentricCrs</v>
      </c>
      <c r="H11107" t="str">
        <v>&lt;undefined&gt;</v>
      </c>
      <c r="I11107" t="str">
        <v>Lifou IGN 1956 cartesiennes geocentriques</v>
      </c>
      <c r="J11107" t="str">
        <v>LIFOU (ILES LOYAUTE)</v>
      </c>
      <c r="K11107" s="11">
        <v>0</v>
      </c>
    </row>
    <row r="11108" spans="5:11" x14ac:dyDescent="0.35">
      <c r="E11108" s="9" t="str">
        <v>IGNF</v>
      </c>
      <c r="F11108" s="7" t="str">
        <v>LIFOU56G</v>
      </c>
      <c r="G11108" t="str">
        <v>Geographic2DCrs</v>
      </c>
      <c r="H11108" t="str">
        <v>&lt;undefined&gt;</v>
      </c>
      <c r="I11108" t="str">
        <v>Lifou IGN 56 geographiques (dms)</v>
      </c>
      <c r="J11108" t="str">
        <v>LIFOU (ILES LOYAUTE)</v>
      </c>
      <c r="K11108" s="11">
        <v>0</v>
      </c>
    </row>
    <row r="11109" spans="5:11" x14ac:dyDescent="0.35">
      <c r="E11109" s="9" t="str">
        <v>IGNF</v>
      </c>
      <c r="F11109" s="7" t="str">
        <v>LIFOU56G.LIFOU91</v>
      </c>
      <c r="G11109" t="str">
        <v>CompoundCrs</v>
      </c>
      <c r="H11109" t="str">
        <v>&lt;undefined&gt;</v>
      </c>
      <c r="I11109" t="str">
        <v>Lifou IGN 56 geographiques (dms) et NIVELLEMENT GENERAL DE LIFOU (IGN 1991 LF)</v>
      </c>
      <c r="J11109" t="str">
        <v>LIFOU (ILES LOYAUTE)</v>
      </c>
      <c r="K11109" s="11">
        <v>0</v>
      </c>
    </row>
    <row r="11110" spans="5:11" x14ac:dyDescent="0.35">
      <c r="E11110" s="9" t="str">
        <v>IGNF</v>
      </c>
      <c r="F11110" s="7" t="str">
        <v>LIFOU56UT58S</v>
      </c>
      <c r="G11110" t="str">
        <v>ProjectedCrs</v>
      </c>
      <c r="H11110" t="str">
        <v>Transverse Mercator</v>
      </c>
      <c r="I11110" t="str">
        <v>Lifou IGN 56 UTM Sud fuseau 58</v>
      </c>
      <c r="J11110" t="str">
        <v>LIFOU (ILES LOYAUTE) - UTM SUD FUSEAU 58</v>
      </c>
      <c r="K11110" s="11">
        <v>0</v>
      </c>
    </row>
    <row r="11111" spans="5:11" x14ac:dyDescent="0.35">
      <c r="E11111" s="9" t="str">
        <v>IGNF</v>
      </c>
      <c r="F11111" s="7" t="str">
        <v>LIFOU56UT58S.LIFOU91</v>
      </c>
      <c r="G11111" t="str">
        <v>CompoundCrs</v>
      </c>
      <c r="H11111" t="str">
        <v>&lt;undefined&gt;</v>
      </c>
      <c r="I11111" t="str">
        <v>Lifou IGN 56 UTM Sud fuseau 58 et NIVELLEMENT GENERAL DE LIFOU (IGN 1991 LF)</v>
      </c>
      <c r="J11111" t="str">
        <v>LIFOU (ILES LOYAUTE)</v>
      </c>
      <c r="K11111" s="11">
        <v>0</v>
      </c>
    </row>
    <row r="11112" spans="5:11" x14ac:dyDescent="0.35">
      <c r="E11112" s="9" t="str">
        <v>IGNF</v>
      </c>
      <c r="F11112" s="7" t="str">
        <v>MAKE50G</v>
      </c>
      <c r="G11112" t="str">
        <v>Geographic2DCrs</v>
      </c>
      <c r="H11112" t="str">
        <v>&lt;undefined&gt;</v>
      </c>
      <c r="I11112" t="str">
        <v>Makemo (SHM 1947-1950) geographiques (dms)</v>
      </c>
      <c r="J11112" t="str">
        <v>MAKEMO (ARCHIPEL DES TUAMOTU)</v>
      </c>
      <c r="K11112" s="11">
        <v>0</v>
      </c>
    </row>
    <row r="11113" spans="5:11" x14ac:dyDescent="0.35">
      <c r="E11113" s="9" t="str">
        <v>IGNF</v>
      </c>
      <c r="F11113" s="7" t="str">
        <v>MAKE50UTM7S</v>
      </c>
      <c r="G11113" t="str">
        <v>ProjectedCrs</v>
      </c>
      <c r="H11113" t="str">
        <v>Transverse Mercator</v>
      </c>
      <c r="I11113" t="str">
        <v>Makemo (SHM 1947-1950) UTM Sud fuseau 7</v>
      </c>
      <c r="J11113" t="str">
        <v>MAKEMO (ARCHIPEL DES TUAMOTU) - UTM SUD FUSEAU 7</v>
      </c>
      <c r="K11113" s="11">
        <v>0</v>
      </c>
    </row>
    <row r="11114" spans="5:11" x14ac:dyDescent="0.35">
      <c r="E11114" s="9" t="str">
        <v>IGNF</v>
      </c>
      <c r="F11114" s="7" t="str">
        <v>MAKE50</v>
      </c>
      <c r="G11114" t="str">
        <v>GeocentricCrs</v>
      </c>
      <c r="H11114" t="str">
        <v>&lt;undefined&gt;</v>
      </c>
      <c r="I11114" t="str">
        <v>Makemo SHM 1947-1950 cartesiennes</v>
      </c>
      <c r="J11114" t="str">
        <v>MAKEMO (ARCHIPEL DES TUAMOTU)</v>
      </c>
      <c r="K11114" s="11">
        <v>0</v>
      </c>
    </row>
    <row r="11115" spans="5:11" x14ac:dyDescent="0.35">
      <c r="E11115" s="9" t="str">
        <v>IGNF</v>
      </c>
      <c r="F11115" s="7" t="str">
        <v>MANGA51</v>
      </c>
      <c r="G11115" t="str">
        <v>GeocentricCrs</v>
      </c>
      <c r="H11115" t="str">
        <v>&lt;undefined&gt;</v>
      </c>
      <c r="I11115" t="str">
        <v>Mangareva 1951 cartesiennes geocentriques</v>
      </c>
      <c r="J11115" t="str">
        <v>MANGAREVA (ILES GAMBIER)</v>
      </c>
      <c r="K11115" s="11">
        <v>0</v>
      </c>
    </row>
    <row r="11116" spans="5:11" x14ac:dyDescent="0.35">
      <c r="E11116" s="9" t="str">
        <v>IGNF</v>
      </c>
      <c r="F11116" s="7" t="str">
        <v>MANGA51G</v>
      </c>
      <c r="G11116" t="str">
        <v>Geographic2DCrs</v>
      </c>
      <c r="H11116" t="str">
        <v>&lt;undefined&gt;</v>
      </c>
      <c r="I11116" t="str">
        <v>Mangareva 1951 geographiques (dms)</v>
      </c>
      <c r="J11116" t="str">
        <v>MANGAREVA (ILES GAMBIER)</v>
      </c>
      <c r="K11116" s="11">
        <v>0</v>
      </c>
    </row>
    <row r="11117" spans="5:11" x14ac:dyDescent="0.35">
      <c r="E11117" s="9" t="str">
        <v>IGNF</v>
      </c>
      <c r="F11117" s="7" t="str">
        <v>MANGA51U8S</v>
      </c>
      <c r="G11117" t="str">
        <v>ProjectedCrs</v>
      </c>
      <c r="H11117" t="str">
        <v>Transverse Mercator</v>
      </c>
      <c r="I11117" t="str">
        <v>Mangareva 1951 UTM Sud fuseau 8</v>
      </c>
      <c r="J11117" t="str">
        <v>MANGAREVA (ILES GAMBIER) - UTM SUD FUSEAU 8</v>
      </c>
      <c r="K11117" s="11">
        <v>0</v>
      </c>
    </row>
    <row r="11118" spans="5:11" x14ac:dyDescent="0.35">
      <c r="E11118" s="9" t="str">
        <v>IGNF</v>
      </c>
      <c r="F11118" s="7" t="str">
        <v>MANGA51UTM8S</v>
      </c>
      <c r="G11118" t="str">
        <v>ProjectedCrs</v>
      </c>
      <c r="H11118" t="str">
        <v>Transverse Mercator</v>
      </c>
      <c r="I11118" t="str">
        <v>Mangareva 1951 UTM Sud fuseau 8</v>
      </c>
      <c r="J11118" t="str">
        <v>MANGAREVA (ILES GAMBIER) - UTM SUD FUSEAU 8</v>
      </c>
      <c r="K11118" s="11">
        <v>0</v>
      </c>
    </row>
    <row r="11119" spans="5:11" x14ac:dyDescent="0.35">
      <c r="E11119" s="9" t="str">
        <v>IGNF</v>
      </c>
      <c r="F11119" s="7" t="str">
        <v>MARE53</v>
      </c>
      <c r="G11119" t="str">
        <v>GeocentricCrs</v>
      </c>
      <c r="H11119" t="str">
        <v>&lt;undefined&gt;</v>
      </c>
      <c r="I11119" t="str">
        <v>Mare IGN 1953 cartesiennes geocentriques</v>
      </c>
      <c r="J11119" t="str">
        <v>MARE (ILES LOYAUTE)</v>
      </c>
      <c r="K11119" s="11">
        <v>0</v>
      </c>
    </row>
    <row r="11120" spans="5:11" x14ac:dyDescent="0.35">
      <c r="E11120" s="9" t="str">
        <v>IGNF</v>
      </c>
      <c r="F11120" s="7" t="str">
        <v>MARE53G</v>
      </c>
      <c r="G11120" t="str">
        <v>Geographic2DCrs</v>
      </c>
      <c r="H11120" t="str">
        <v>&lt;undefined&gt;</v>
      </c>
      <c r="I11120" t="str">
        <v>Mare IGN53 geographiques (dms)</v>
      </c>
      <c r="J11120" t="str">
        <v>MARE (ILES LOYAUTE)</v>
      </c>
      <c r="K11120" s="11">
        <v>0</v>
      </c>
    </row>
    <row r="11121" spans="5:11" x14ac:dyDescent="0.35">
      <c r="E11121" s="9" t="str">
        <v>IGNF</v>
      </c>
      <c r="F11121" s="7" t="str">
        <v>MARE53G.MARE91</v>
      </c>
      <c r="G11121" t="str">
        <v>CompoundCrs</v>
      </c>
      <c r="H11121" t="str">
        <v>&lt;undefined&gt;</v>
      </c>
      <c r="I11121" t="str">
        <v>Mare IGN53 geographiques (dms) et NIVELLEMENT GENERAL DE MARE (IGN 1991 MR)</v>
      </c>
      <c r="J11121" t="str">
        <v>MARE (ILES LOYAUTE)</v>
      </c>
      <c r="K11121" s="11">
        <v>0</v>
      </c>
    </row>
    <row r="11122" spans="5:11" x14ac:dyDescent="0.35">
      <c r="E11122" s="9" t="str">
        <v>IGNF</v>
      </c>
      <c r="F11122" s="7" t="str">
        <v>MARE53UTM58S</v>
      </c>
      <c r="G11122" t="str">
        <v>ProjectedCrs</v>
      </c>
      <c r="H11122" t="str">
        <v>Transverse Mercator</v>
      </c>
      <c r="I11122" t="str">
        <v>Mare IGN53 UTM Sud fuseau 58</v>
      </c>
      <c r="J11122" t="str">
        <v>MARE (ILES LOYAUTE) - UTM SUD FUSEAU 58</v>
      </c>
      <c r="K11122" s="11">
        <v>0</v>
      </c>
    </row>
    <row r="11123" spans="5:11" x14ac:dyDescent="0.35">
      <c r="E11123" s="9" t="str">
        <v>IGNF</v>
      </c>
      <c r="F11123" s="7" t="str">
        <v>MARE53UTM58S.MARE91</v>
      </c>
      <c r="G11123" t="str">
        <v>CompoundCrs</v>
      </c>
      <c r="H11123" t="str">
        <v>&lt;undefined&gt;</v>
      </c>
      <c r="I11123" t="str">
        <v>Mare IGN53 UTM Sud fuseau 58 et NIVELLEMENT GENERAL DE MARE (IGN 1991 MR)</v>
      </c>
      <c r="J11123" t="str">
        <v>MARE (ILES LOYAUTE) - UTM SUD FUSEAU 58</v>
      </c>
      <c r="K11123" s="11">
        <v>0</v>
      </c>
    </row>
    <row r="11124" spans="5:11" x14ac:dyDescent="0.35">
      <c r="E11124" s="9" t="str">
        <v>IGNF</v>
      </c>
      <c r="F11124" s="7" t="str">
        <v>MARQUI72G</v>
      </c>
      <c r="G11124" t="str">
        <v>Geographic2DCrs</v>
      </c>
      <c r="H11124" t="str">
        <v>&lt;undefined&gt;</v>
      </c>
      <c r="I11124" t="str">
        <v>Marquises (IGN72) geographiques (dms)</v>
      </c>
      <c r="J11124" t="str">
        <v>EIAO, HIVA OA, MOHOTANI (ARCHIPEL DES MARQUISES)</v>
      </c>
      <c r="K11124" s="11">
        <v>0</v>
      </c>
    </row>
    <row r="11125" spans="5:11" x14ac:dyDescent="0.35">
      <c r="E11125" s="9" t="str">
        <v>IGNF</v>
      </c>
      <c r="F11125" s="7" t="str">
        <v>MART38</v>
      </c>
      <c r="G11125" t="str">
        <v>GeocentricCrs</v>
      </c>
      <c r="H11125" t="str">
        <v>&lt;undefined&gt;</v>
      </c>
      <c r="I11125" t="str">
        <v>Martinique Fort-Desaix cartesiennes</v>
      </c>
      <c r="J11125" t="str">
        <v>MARTINIQUE</v>
      </c>
      <c r="K11125" s="11">
        <v>0</v>
      </c>
    </row>
    <row r="11126" spans="5:11" x14ac:dyDescent="0.35">
      <c r="E11126" s="9" t="str">
        <v>IGNF</v>
      </c>
      <c r="F11126" s="7" t="str">
        <v>MARTFD</v>
      </c>
      <c r="G11126" t="str">
        <v>GeocentricCrs</v>
      </c>
      <c r="H11126" t="str">
        <v>&lt;undefined&gt;</v>
      </c>
      <c r="I11126" t="str">
        <v>Martinique Fort-Desaix cartesiennes</v>
      </c>
      <c r="J11126" t="str">
        <v>MARTINIQUE</v>
      </c>
      <c r="K11126" s="11">
        <v>0</v>
      </c>
    </row>
    <row r="11127" spans="5:11" x14ac:dyDescent="0.35">
      <c r="E11127" s="9" t="str">
        <v>IGNF</v>
      </c>
      <c r="F11127" s="7" t="str">
        <v>MART38G</v>
      </c>
      <c r="G11127" t="str">
        <v>Geographic2DCrs</v>
      </c>
      <c r="H11127" t="str">
        <v>&lt;undefined&gt;</v>
      </c>
      <c r="I11127" t="str">
        <v>Martinique Fort-Desaix geographiques (dms)</v>
      </c>
      <c r="J11127" t="str">
        <v>MARTINIQUE</v>
      </c>
      <c r="K11127" s="11">
        <v>0</v>
      </c>
    </row>
    <row r="11128" spans="5:11" x14ac:dyDescent="0.35">
      <c r="E11128" s="9" t="str">
        <v>IGNF</v>
      </c>
      <c r="F11128" s="7" t="str">
        <v>MART38GEO</v>
      </c>
      <c r="G11128" t="str">
        <v>Geographic3DCrs</v>
      </c>
      <c r="H11128" t="str">
        <v>&lt;undefined&gt;</v>
      </c>
      <c r="I11128" t="str">
        <v>Martinique Fort-Desaix geographiques (dms)</v>
      </c>
      <c r="J11128" t="str">
        <v>MARTINIQUE</v>
      </c>
      <c r="K11128" s="11">
        <v>0</v>
      </c>
    </row>
    <row r="11129" spans="5:11" x14ac:dyDescent="0.35">
      <c r="E11129" s="9" t="str">
        <v>IGNF</v>
      </c>
      <c r="F11129" s="7" t="str">
        <v>MARTFDG</v>
      </c>
      <c r="G11129" t="str">
        <v>Geographic2DCrs</v>
      </c>
      <c r="H11129" t="str">
        <v>&lt;undefined&gt;</v>
      </c>
      <c r="I11129" t="str">
        <v>Martinique Fort-Desaix geographiques (dms)</v>
      </c>
      <c r="J11129" t="str">
        <v>MARTINIQUE</v>
      </c>
      <c r="K11129" s="11">
        <v>0</v>
      </c>
    </row>
    <row r="11130" spans="5:11" x14ac:dyDescent="0.35">
      <c r="E11130" s="9" t="str">
        <v>IGNF</v>
      </c>
      <c r="F11130" s="7" t="str">
        <v>MARTFDG.MART87</v>
      </c>
      <c r="G11130" t="str">
        <v>CompoundCrs</v>
      </c>
      <c r="H11130" t="str">
        <v>&lt;undefined&gt;</v>
      </c>
      <c r="I11130" t="str">
        <v>Martinique Fort-Desaix geographiques (dms) et IGN 1987 (MARTINIQUE)</v>
      </c>
      <c r="J11130" t="str">
        <v>MARTINIQUE</v>
      </c>
      <c r="K11130" s="11">
        <v>0</v>
      </c>
    </row>
    <row r="11131" spans="5:11" x14ac:dyDescent="0.35">
      <c r="E11131" s="9" t="str">
        <v>IGNF</v>
      </c>
      <c r="F11131" s="7" t="str">
        <v>MART38UTM20</v>
      </c>
      <c r="G11131" t="str">
        <v>ProjectedCrs</v>
      </c>
      <c r="H11131" t="str">
        <v>Transverse Mercator</v>
      </c>
      <c r="I11131" t="str">
        <v>Martinique Fort-Desaix UTM Nord fuseau 20</v>
      </c>
      <c r="J11131" t="str">
        <v>MARTINIQUE - UTM NORD FUSEAU 20</v>
      </c>
      <c r="K11131" s="11">
        <v>0</v>
      </c>
    </row>
    <row r="11132" spans="5:11" x14ac:dyDescent="0.35">
      <c r="E11132" s="9" t="str">
        <v>IGNF</v>
      </c>
      <c r="F11132" s="7" t="str">
        <v>MARTFDUTM20</v>
      </c>
      <c r="G11132" t="str">
        <v>ProjectedCrs</v>
      </c>
      <c r="H11132" t="str">
        <v>Transverse Mercator</v>
      </c>
      <c r="I11132" t="str">
        <v>Martinique Fort-Desaix UTM Nord fuseau 20</v>
      </c>
      <c r="J11132" t="str">
        <v>MARTINIQUE - UTM NORD FUSEAU 20</v>
      </c>
      <c r="K11132" s="11">
        <v>0</v>
      </c>
    </row>
    <row r="11133" spans="5:11" x14ac:dyDescent="0.35">
      <c r="E11133" s="9" t="str">
        <v>IGNF</v>
      </c>
      <c r="F11133" s="7" t="str">
        <v>MARTFDUTM20.MART87</v>
      </c>
      <c r="G11133" t="str">
        <v>CompoundCrs</v>
      </c>
      <c r="H11133" t="str">
        <v>&lt;undefined&gt;</v>
      </c>
      <c r="I11133" t="str">
        <v>Martinique Fort-Desaix UTM Nord fuseau 20 et IGN 1987 (MARTINIQUE)</v>
      </c>
      <c r="J11133" t="str">
        <v>MARTINIQUE</v>
      </c>
      <c r="K11133" s="11">
        <v>0</v>
      </c>
    </row>
    <row r="11134" spans="5:11" x14ac:dyDescent="0.35">
      <c r="E11134" s="9" t="str">
        <v>IGNF</v>
      </c>
      <c r="F11134" s="7" t="str">
        <v>MAUPITIG</v>
      </c>
      <c r="G11134" t="str">
        <v>Geographic2DCrs</v>
      </c>
      <c r="H11134" t="str">
        <v>&lt;undefined&gt;</v>
      </c>
      <c r="I11134" t="str">
        <v>Maupiti (MOP 1983) geographiques (dms)</v>
      </c>
      <c r="J11134" t="str">
        <v>MAUPITI</v>
      </c>
      <c r="K11134" s="11">
        <v>0</v>
      </c>
    </row>
    <row r="11135" spans="5:11" x14ac:dyDescent="0.35">
      <c r="E11135" s="9" t="str">
        <v>IGNF</v>
      </c>
      <c r="F11135" s="7" t="str">
        <v>MAUPITIG.MAUPITI01</v>
      </c>
      <c r="G11135" t="str">
        <v>CompoundCrs</v>
      </c>
      <c r="H11135" t="str">
        <v>&lt;undefined&gt;</v>
      </c>
      <c r="I11135" t="str">
        <v>Maupiti (MOP 1983) geographiques (dms) et MAUPITI_SAU 2001</v>
      </c>
      <c r="J11135" t="str">
        <v>MAUPITI</v>
      </c>
      <c r="K11135" s="11">
        <v>0</v>
      </c>
    </row>
    <row r="11136" spans="5:11" x14ac:dyDescent="0.35">
      <c r="E11136" s="9" t="str">
        <v>IGNF</v>
      </c>
      <c r="F11136" s="7" t="str">
        <v>MAUPITIUTM5S</v>
      </c>
      <c r="G11136" t="str">
        <v>ProjectedCrs</v>
      </c>
      <c r="H11136" t="str">
        <v>Transverse Mercator</v>
      </c>
      <c r="I11136" t="str">
        <v>Maupiti (MOP 1983) UTM Sud fuseau 5</v>
      </c>
      <c r="J11136" t="str">
        <v>MAUPITI - UTM SUD FUSEAU 5</v>
      </c>
      <c r="K11136" s="11">
        <v>0</v>
      </c>
    </row>
    <row r="11137" spans="5:11" x14ac:dyDescent="0.35">
      <c r="E11137" s="9" t="str">
        <v>IGNF</v>
      </c>
      <c r="F11137" s="7" t="str">
        <v>MAUPITIUTM5S.MAUPITI01</v>
      </c>
      <c r="G11137" t="str">
        <v>CompoundCrs</v>
      </c>
      <c r="H11137" t="str">
        <v>&lt;undefined&gt;</v>
      </c>
      <c r="I11137" t="str">
        <v>Maupiti (MOP 1983) UTM Sud fuseau 5 et MAUPITI_SAU 2001</v>
      </c>
      <c r="J11137" t="str">
        <v>MAUPITI</v>
      </c>
      <c r="K11137" s="11">
        <v>0</v>
      </c>
    </row>
    <row r="11138" spans="5:11" x14ac:dyDescent="0.35">
      <c r="E11138" s="9" t="str">
        <v>IGNF</v>
      </c>
      <c r="F11138" s="7" t="str">
        <v>MAUPITI</v>
      </c>
      <c r="G11138" t="str">
        <v>GeocentricCrs</v>
      </c>
      <c r="H11138" t="str">
        <v>&lt;undefined&gt;</v>
      </c>
      <c r="I11138" t="str">
        <v>Maupiti MOP 1983 cartesiennes geocentriques</v>
      </c>
      <c r="J11138" t="str">
        <v>MAUPITI</v>
      </c>
      <c r="K11138" s="11">
        <v>0</v>
      </c>
    </row>
    <row r="11139" spans="5:11" x14ac:dyDescent="0.35">
      <c r="E11139" s="9" t="str">
        <v>IGNF</v>
      </c>
      <c r="F11139" s="7" t="str">
        <v>MAUPITI01</v>
      </c>
      <c r="G11139" t="str">
        <v>VerticalCrs</v>
      </c>
      <c r="H11139" t="str">
        <v>&lt;undefined&gt;</v>
      </c>
      <c r="I11139" t="str">
        <v>MAUPITI_SAU 2001</v>
      </c>
      <c r="J11139" t="str">
        <v>MAUPITI</v>
      </c>
      <c r="K11139" s="11">
        <v>0</v>
      </c>
    </row>
    <row r="11140" spans="5:11" x14ac:dyDescent="0.35">
      <c r="E11140" s="9" t="str">
        <v>IGNF</v>
      </c>
      <c r="F11140" s="7" t="str">
        <v>GEOPORTALMYT</v>
      </c>
      <c r="G11140" t="str">
        <v>ProjectedCrs</v>
      </c>
      <c r="H11140" t="str">
        <v>Equidistant Cylindrical</v>
      </c>
      <c r="I11140" t="str">
        <v>Mayotte projection Geoportail</v>
      </c>
      <c r="J11140" t="str">
        <v>ILE DE MAYOTTE</v>
      </c>
      <c r="K11140" s="11">
        <v>0</v>
      </c>
    </row>
    <row r="11141" spans="5:11" x14ac:dyDescent="0.35">
      <c r="E11141" s="9" t="str">
        <v>IGNF</v>
      </c>
      <c r="F11141" s="7" t="str">
        <v>RGM04EQGPMYT</v>
      </c>
      <c r="G11141" t="str">
        <v>ProjectedCrs</v>
      </c>
      <c r="H11141" t="str">
        <v>Equidistant Cylindrical</v>
      </c>
      <c r="I11141" t="str">
        <v>Mayotte projection Geoportail</v>
      </c>
      <c r="J11141" t="str">
        <v>ILE DE MAYOTTE</v>
      </c>
      <c r="K11141" s="11">
        <v>0</v>
      </c>
    </row>
    <row r="11142" spans="5:11" x14ac:dyDescent="0.35">
      <c r="E11142" s="9" t="str">
        <v>IGNF</v>
      </c>
      <c r="F11142" s="7" t="str">
        <v>RANGI47GEO</v>
      </c>
      <c r="G11142" t="str">
        <v>Geographic3DCrs</v>
      </c>
      <c r="H11142" t="str">
        <v>&lt;undefined&gt;</v>
      </c>
      <c r="I11142" t="str">
        <v>MGT 1947 geographiques (dms)</v>
      </c>
      <c r="J11142" t="str">
        <v>RANGIROA (ARCHIPEL DES TUAMOTU)</v>
      </c>
      <c r="K11142" s="11">
        <v>0</v>
      </c>
    </row>
    <row r="11143" spans="5:11" x14ac:dyDescent="0.35">
      <c r="E11143" s="9" t="str">
        <v>IGNF</v>
      </c>
      <c r="F11143" s="7" t="str">
        <v>MHPF67G</v>
      </c>
      <c r="G11143" t="str">
        <v>Geographic2DCrs</v>
      </c>
      <c r="H11143" t="str">
        <v>&lt;undefined&gt;</v>
      </c>
      <c r="I11143" t="str">
        <v>MHPF 1967 GEOGRAPHIQUES (DMS)</v>
      </c>
      <c r="J11143" t="str">
        <v>MANGAREVA, AGAKAUITAI, AUKENA, MEKIRO (ILES GAMBIER)</v>
      </c>
      <c r="K11143" s="11">
        <v>0</v>
      </c>
    </row>
    <row r="11144" spans="5:11" x14ac:dyDescent="0.35">
      <c r="E11144" s="9" t="str">
        <v>IGNF</v>
      </c>
      <c r="F11144" s="7" t="str">
        <v>MHPF67UTM8S</v>
      </c>
      <c r="G11144" t="str">
        <v>ProjectedCrs</v>
      </c>
      <c r="H11144" t="str">
        <v>Transverse Mercator</v>
      </c>
      <c r="I11144" t="str">
        <v>MHPF 1967 UTM SUD FUSEAU 8</v>
      </c>
      <c r="J11144" t="str">
        <v>MANGAREVA, AGAKAUITAI, AUKENA, MEKIRO (ILES GAMBIER) - UTM SUD FUSEAU 8</v>
      </c>
      <c r="K11144" s="11">
        <v>0</v>
      </c>
    </row>
    <row r="11145" spans="5:11" x14ac:dyDescent="0.35">
      <c r="E11145" s="9" t="str">
        <v>IGNF</v>
      </c>
      <c r="F11145" s="7" t="str">
        <v>MOHO55G</v>
      </c>
      <c r="G11145" t="str">
        <v>Geographic2DCrs</v>
      </c>
      <c r="H11145" t="str">
        <v>&lt;undefined&gt;</v>
      </c>
      <c r="I11145" t="str">
        <v>Mohotani (MHEFO 1955) geographiques (dms)</v>
      </c>
      <c r="J11145" t="str">
        <v>MOHOTANI (ARCHIPEL DES MARQUISES)</v>
      </c>
      <c r="K11145" s="11">
        <v>0</v>
      </c>
    </row>
    <row r="11146" spans="5:11" x14ac:dyDescent="0.35">
      <c r="E11146" s="9" t="str">
        <v>IGNF</v>
      </c>
      <c r="F11146" s="7" t="str">
        <v>MHEFO55MG</v>
      </c>
      <c r="G11146" t="str">
        <v>Geographic2DCrs</v>
      </c>
      <c r="H11146" t="str">
        <v>&lt;undefined&gt;</v>
      </c>
      <c r="I11146" t="str">
        <v>Mohotani (MHEFO 1955) geographiques (dms)</v>
      </c>
      <c r="J11146" t="str">
        <v>MOHOTANI (ARCHIPEL DES MARQUISES)</v>
      </c>
      <c r="K11146" s="11">
        <v>0</v>
      </c>
    </row>
    <row r="11147" spans="5:11" x14ac:dyDescent="0.35">
      <c r="E11147" s="9" t="str">
        <v>IGNF</v>
      </c>
      <c r="F11147" s="7" t="str">
        <v>MHEFO55M</v>
      </c>
      <c r="G11147" t="str">
        <v>GeocentricCrs</v>
      </c>
      <c r="H11147" t="str">
        <v>&lt;undefined&gt;</v>
      </c>
      <c r="I11147" t="str">
        <v>Mohotani MHEFO 1955 cartesiennes geocent.</v>
      </c>
      <c r="J11147" t="str">
        <v>MOHOTANI (ARCHIPEL DES MARQUISES)</v>
      </c>
      <c r="K11147" s="11">
        <v>0</v>
      </c>
    </row>
    <row r="11148" spans="5:11" x14ac:dyDescent="0.35">
      <c r="E11148" s="9" t="str">
        <v>IGNF</v>
      </c>
      <c r="F11148" s="7" t="str">
        <v>MOHO55</v>
      </c>
      <c r="G11148" t="str">
        <v>GeocentricCrs</v>
      </c>
      <c r="H11148" t="str">
        <v>&lt;undefined&gt;</v>
      </c>
      <c r="I11148" t="str">
        <v>Mohotani MHEFO 1955 cartesiennes geocent.</v>
      </c>
      <c r="J11148" t="str">
        <v>MOHOTANI (ARCHIPEL DES MARQUISES)</v>
      </c>
      <c r="K11148" s="11">
        <v>0</v>
      </c>
    </row>
    <row r="11149" spans="5:11" x14ac:dyDescent="0.35">
      <c r="E11149" s="9" t="str">
        <v>IGNF</v>
      </c>
      <c r="F11149" s="7" t="str">
        <v>MOOREA81</v>
      </c>
      <c r="G11149" t="str">
        <v>VerticalCrs</v>
      </c>
      <c r="H11149" t="str">
        <v>&lt;undefined&gt;</v>
      </c>
      <c r="I11149" t="str">
        <v>MOOREA 1981 (MOOREA_SAU 2001)</v>
      </c>
      <c r="J11149" t="str">
        <v>MOOREA (ARCHIPEL DE LA SOCIETE)</v>
      </c>
      <c r="K11149" s="11">
        <v>0</v>
      </c>
    </row>
    <row r="11150" spans="5:11" x14ac:dyDescent="0.35">
      <c r="E11150" s="9" t="str">
        <v>IGNF</v>
      </c>
      <c r="F11150" s="7" t="str">
        <v>MOOREA87</v>
      </c>
      <c r="G11150" t="str">
        <v>GeocentricCrs</v>
      </c>
      <c r="H11150" t="str">
        <v>&lt;undefined&gt;</v>
      </c>
      <c r="I11150" t="str">
        <v>MOOREA 1987 CARTESIENNES GEOCENTRIQUES</v>
      </c>
      <c r="J11150" t="str">
        <v>MOOREA (ARCHIPEL DE LA SOCIETE)</v>
      </c>
      <c r="K11150" s="11">
        <v>0</v>
      </c>
    </row>
    <row r="11151" spans="5:11" x14ac:dyDescent="0.35">
      <c r="E11151" s="9" t="str">
        <v>IGNF</v>
      </c>
      <c r="F11151" s="7" t="str">
        <v>MOOREA87GEO</v>
      </c>
      <c r="G11151" t="str">
        <v>Geographic3DCrs</v>
      </c>
      <c r="H11151" t="str">
        <v>&lt;undefined&gt;</v>
      </c>
      <c r="I11151" t="str">
        <v>Moorea 1987 geographiques (dms)</v>
      </c>
      <c r="J11151" t="str">
        <v>MOOREA (ARCHIPEL DE LA SOCIETE)</v>
      </c>
      <c r="K11151" s="11">
        <v>0</v>
      </c>
    </row>
    <row r="11152" spans="5:11" x14ac:dyDescent="0.35">
      <c r="E11152" s="9" t="str">
        <v>IGNF</v>
      </c>
      <c r="F11152" s="7" t="str">
        <v>MOOREA87G</v>
      </c>
      <c r="G11152" t="str">
        <v>Geographic2DCrs</v>
      </c>
      <c r="H11152" t="str">
        <v>&lt;undefined&gt;</v>
      </c>
      <c r="I11152" t="str">
        <v>Moorea 1987 geographiques (dms)</v>
      </c>
      <c r="J11152" t="str">
        <v>MOOREA (ARCHIPEL DE LA SOCIETE)</v>
      </c>
      <c r="K11152" s="11">
        <v>0</v>
      </c>
    </row>
    <row r="11153" spans="5:11" x14ac:dyDescent="0.35">
      <c r="E11153" s="9" t="str">
        <v>IGNF</v>
      </c>
      <c r="F11153" s="7" t="str">
        <v>MOOREA87G.MOOREA81</v>
      </c>
      <c r="G11153" t="str">
        <v>CompoundCrs</v>
      </c>
      <c r="H11153" t="str">
        <v>&lt;undefined&gt;</v>
      </c>
      <c r="I11153" t="str">
        <v>Moorea 1987 geographiques (dms) et MOOREA 1981 (MOOREA_SAU 2001)</v>
      </c>
      <c r="J11153" t="str">
        <v>MOOREA (ARCHIPEL DE LA SOCIETE)</v>
      </c>
      <c r="K11153" s="11">
        <v>0</v>
      </c>
    </row>
    <row r="11154" spans="5:11" x14ac:dyDescent="0.35">
      <c r="E11154" s="9" t="str">
        <v>IGNF</v>
      </c>
      <c r="F11154" s="7" t="str">
        <v>MOORE87UTM6S</v>
      </c>
      <c r="G11154" t="str">
        <v>ProjectedCrs</v>
      </c>
      <c r="H11154" t="str">
        <v>Transverse Mercator</v>
      </c>
      <c r="I11154" t="str">
        <v>Moorea 1987 UTM Sud fuseau 6</v>
      </c>
      <c r="J11154" t="str">
        <v>MOOREA (ARCHIPEL DE LA SOCIETE) - UTM SUD FUSEAU 6</v>
      </c>
      <c r="K11154" s="11">
        <v>0</v>
      </c>
    </row>
    <row r="11155" spans="5:11" x14ac:dyDescent="0.35">
      <c r="E11155" s="9" t="str">
        <v>IGNF</v>
      </c>
      <c r="F11155" s="7" t="str">
        <v>MOOREA87U6S</v>
      </c>
      <c r="G11155" t="str">
        <v>ProjectedCrs</v>
      </c>
      <c r="H11155" t="str">
        <v>Transverse Mercator</v>
      </c>
      <c r="I11155" t="str">
        <v>Moorea 1987 UTM Sud fuseau 6</v>
      </c>
      <c r="J11155" t="str">
        <v>MOOREA (ARCHIPEL DE LA SOCIETE) - UTM SUD FUSEAU 6</v>
      </c>
      <c r="K11155" s="11">
        <v>0</v>
      </c>
    </row>
    <row r="11156" spans="5:11" x14ac:dyDescent="0.35">
      <c r="E11156" s="9" t="str">
        <v>IGNF</v>
      </c>
      <c r="F11156" s="7" t="str">
        <v>MOORE87UTM6S.MOOREA81</v>
      </c>
      <c r="G11156" t="str">
        <v>CompoundCrs</v>
      </c>
      <c r="H11156" t="str">
        <v>&lt;undefined&gt;</v>
      </c>
      <c r="I11156" t="str">
        <v>Moorea 1987 UTM Sud fuseau 6 et MOOREA 1981 (MOOREA_SAU 2001)</v>
      </c>
      <c r="J11156" t="str">
        <v>MOOREA (ARCHIPEL DE LA SOCIETE)</v>
      </c>
      <c r="K11156" s="11">
        <v>0</v>
      </c>
    </row>
    <row r="11157" spans="5:11" x14ac:dyDescent="0.35">
      <c r="E11157" s="9" t="str">
        <v>IGNF</v>
      </c>
      <c r="F11157" s="7" t="str">
        <v>WALL78GEO</v>
      </c>
      <c r="G11157" t="str">
        <v>Geographic3DCrs</v>
      </c>
      <c r="H11157" t="str">
        <v>&lt;undefined&gt;</v>
      </c>
      <c r="I11157" t="str">
        <v>MOP 1978 geographiques (dms)</v>
      </c>
      <c r="J11157" t="str">
        <v>ILE D'UVEA (WALLIS)</v>
      </c>
      <c r="K11157" s="11">
        <v>0</v>
      </c>
    </row>
    <row r="11158" spans="5:11" x14ac:dyDescent="0.35">
      <c r="E11158" s="9" t="str">
        <v>IGNF</v>
      </c>
      <c r="F11158" s="7" t="str">
        <v>MURU78G</v>
      </c>
      <c r="G11158" t="str">
        <v>Geographic2DCrs</v>
      </c>
      <c r="H11158" t="str">
        <v>&lt;undefined&gt;</v>
      </c>
      <c r="I11158" t="str">
        <v>Mururoa (IGN 1978) geographiques (dms)</v>
      </c>
      <c r="J11158" t="str">
        <v>MURUROA (ARCHIPEL DES TUAMOTU)</v>
      </c>
      <c r="K11158" s="11">
        <v>0</v>
      </c>
    </row>
    <row r="11159" spans="5:11" x14ac:dyDescent="0.35">
      <c r="E11159" s="9" t="str">
        <v>IGNF</v>
      </c>
      <c r="F11159" s="7" t="str">
        <v>MURU78UTM7S</v>
      </c>
      <c r="G11159" t="str">
        <v>ProjectedCrs</v>
      </c>
      <c r="H11159" t="str">
        <v>Transverse Mercator</v>
      </c>
      <c r="I11159" t="str">
        <v>Mururoa (IGN 1978) UTM Sud fuseau 7</v>
      </c>
      <c r="J11159" t="str">
        <v>MURUROA (ARCHIPEL DES TUAMOTU) - UTM SUD FUSEAU 7</v>
      </c>
      <c r="K11159" s="11">
        <v>0</v>
      </c>
    </row>
    <row r="11160" spans="5:11" x14ac:dyDescent="0.35">
      <c r="E11160" s="9" t="str">
        <v>IGNF</v>
      </c>
      <c r="F11160" s="7" t="str">
        <v>MURU51G</v>
      </c>
      <c r="G11160" t="str">
        <v>Geographic2DCrs</v>
      </c>
      <c r="H11160" t="str">
        <v>&lt;undefined&gt;</v>
      </c>
      <c r="I11160" t="str">
        <v>Mururoa (MGT 1951) geographiques (dms)</v>
      </c>
      <c r="J11160" t="str">
        <v>MURUROA (ARCHIPEL DES TUAMOTU)</v>
      </c>
      <c r="K11160" s="11">
        <v>0</v>
      </c>
    </row>
    <row r="11161" spans="5:11" x14ac:dyDescent="0.35">
      <c r="E11161" s="9" t="str">
        <v>IGNF</v>
      </c>
      <c r="F11161" s="7" t="str">
        <v>MURU62G</v>
      </c>
      <c r="G11161" t="str">
        <v>Geographic2DCrs</v>
      </c>
      <c r="H11161" t="str">
        <v>&lt;undefined&gt;</v>
      </c>
      <c r="I11161" t="str">
        <v>Mururoa (MHOI 1962) geographiques (dms)</v>
      </c>
      <c r="J11161" t="str">
        <v>MURUROA (ARCHIPEL DES TUAMOTU)</v>
      </c>
      <c r="K11161" s="11">
        <v>0</v>
      </c>
    </row>
    <row r="11162" spans="5:11" x14ac:dyDescent="0.35">
      <c r="E11162" s="9" t="str">
        <v>IGNF</v>
      </c>
      <c r="F11162" s="7" t="str">
        <v>MURU62UTM7S</v>
      </c>
      <c r="G11162" t="str">
        <v>ProjectedCrs</v>
      </c>
      <c r="H11162" t="str">
        <v>Transverse Mercator</v>
      </c>
      <c r="I11162" t="str">
        <v>Mururoa (MHOI 1962) UTM Sud fuseau 7</v>
      </c>
      <c r="J11162" t="str">
        <v>MURUROA (ARCHIPEL DES TUAMOTU) - UTM SUD FUSEAU 7</v>
      </c>
      <c r="K11162" s="11">
        <v>0</v>
      </c>
    </row>
    <row r="11163" spans="5:11" x14ac:dyDescent="0.35">
      <c r="E11163" s="9" t="str">
        <v>IGNF</v>
      </c>
      <c r="F11163" s="7" t="str">
        <v>MURU59G</v>
      </c>
      <c r="G11163" t="str">
        <v>Geographic2DCrs</v>
      </c>
      <c r="H11163" t="str">
        <v>&lt;undefined&gt;</v>
      </c>
      <c r="I11163" t="str">
        <v>Mururoa (MHPF 1959) geographiques (dms)</v>
      </c>
      <c r="J11163" t="str">
        <v>MURUROA (ARCHIPEL DES TUAMOTU)</v>
      </c>
      <c r="K11163" s="11">
        <v>0</v>
      </c>
    </row>
    <row r="11164" spans="5:11" x14ac:dyDescent="0.35">
      <c r="E11164" s="9" t="str">
        <v>IGNF</v>
      </c>
      <c r="F11164" s="7" t="str">
        <v>MURU59UTM7S</v>
      </c>
      <c r="G11164" t="str">
        <v>ProjectedCrs</v>
      </c>
      <c r="H11164" t="str">
        <v>Transverse Mercator</v>
      </c>
      <c r="I11164" t="str">
        <v>Mururoa (MHPF 1959) UTM Sud fuseau 7</v>
      </c>
      <c r="J11164" t="str">
        <v>MURUROA (ARCHIPEL DES TUAMOTU) - UTM SUD FUSEAU 7</v>
      </c>
      <c r="K11164" s="11">
        <v>0</v>
      </c>
    </row>
    <row r="11165" spans="5:11" x14ac:dyDescent="0.35">
      <c r="E11165" s="9" t="str">
        <v>IGNF</v>
      </c>
      <c r="F11165" s="7" t="str">
        <v>MURU78</v>
      </c>
      <c r="G11165" t="str">
        <v>GeocentricCrs</v>
      </c>
      <c r="H11165" t="str">
        <v>&lt;undefined&gt;</v>
      </c>
      <c r="I11165" t="str">
        <v>Mururoa IGN 1978 cartesiennes geocentriques</v>
      </c>
      <c r="J11165" t="str">
        <v>MURUROA (ARCHIPEL DES TUAMOTU)</v>
      </c>
      <c r="K11165" s="11">
        <v>0</v>
      </c>
    </row>
    <row r="11166" spans="5:11" x14ac:dyDescent="0.35">
      <c r="E11166" s="9" t="str">
        <v>IGNF</v>
      </c>
      <c r="F11166" s="7" t="str">
        <v>MURU51</v>
      </c>
      <c r="G11166" t="str">
        <v>GeocentricCrs</v>
      </c>
      <c r="H11166" t="str">
        <v>&lt;undefined&gt;</v>
      </c>
      <c r="I11166" t="str">
        <v>Mururoa MGT 1951 cartesiennes geocentriques</v>
      </c>
      <c r="J11166" t="str">
        <v>MURUROA (ARCHIPEL DES TUAMOTU)</v>
      </c>
      <c r="K11166" s="11">
        <v>0</v>
      </c>
    </row>
    <row r="11167" spans="5:11" x14ac:dyDescent="0.35">
      <c r="E11167" s="9" t="str">
        <v>IGNF</v>
      </c>
      <c r="F11167" s="7" t="str">
        <v>MURU62</v>
      </c>
      <c r="G11167" t="str">
        <v>GeocentricCrs</v>
      </c>
      <c r="H11167" t="str">
        <v>&lt;undefined&gt;</v>
      </c>
      <c r="I11167" t="str">
        <v>Mururoa MHOI 1962 cartesiennes geocentriques</v>
      </c>
      <c r="J11167" t="str">
        <v>MURUROA (ARCHIPEL DES TUAMOTU)</v>
      </c>
      <c r="K11167" s="11">
        <v>0</v>
      </c>
    </row>
    <row r="11168" spans="5:11" x14ac:dyDescent="0.35">
      <c r="E11168" s="9" t="str">
        <v>IGNF</v>
      </c>
      <c r="F11168" s="7" t="str">
        <v>MURU59</v>
      </c>
      <c r="G11168" t="str">
        <v>GeocentricCrs</v>
      </c>
      <c r="H11168" t="str">
        <v>&lt;undefined&gt;</v>
      </c>
      <c r="I11168" t="str">
        <v>Mururoa MHPF 1959 cartesiennes geocentriques</v>
      </c>
      <c r="J11168" t="str">
        <v>MURUROA (ARCHIPEL DES TUAMOTU)</v>
      </c>
      <c r="K11168" s="11">
        <v>0</v>
      </c>
    </row>
    <row r="11169" spans="5:11" x14ac:dyDescent="0.35">
      <c r="E11169" s="9" t="str">
        <v>IGNF</v>
      </c>
      <c r="F11169" s="7" t="str">
        <v>NEA74G</v>
      </c>
      <c r="G11169" t="str">
        <v>Geographic2DCrs</v>
      </c>
      <c r="H11169" t="str">
        <v>&lt;undefined&gt;</v>
      </c>
      <c r="I11169" t="str">
        <v>NEA74 NOUMEA geographiques (dms)</v>
      </c>
      <c r="J11169" t="str">
        <v>NOUMEA (NOUVELLE-CALEDONIE)</v>
      </c>
      <c r="K11169" s="11">
        <v>0</v>
      </c>
    </row>
    <row r="11170" spans="5:11" x14ac:dyDescent="0.35">
      <c r="E11170" s="9" t="str">
        <v>IGNF</v>
      </c>
      <c r="F11170" s="7" t="str">
        <v>NEA74G.NCAL69</v>
      </c>
      <c r="G11170" t="str">
        <v>CompoundCrs</v>
      </c>
      <c r="H11170" t="str">
        <v>&lt;undefined&gt;</v>
      </c>
      <c r="I11170" t="str">
        <v>NEA74 NOUMEA geographiques (dms) et NIVELLEMENT GENERAL DE NOUVELLE-CALEDONIE (NGNC)</v>
      </c>
      <c r="J11170" t="str">
        <v>NOUMEA (NOUVELLE-CALEDONIE)</v>
      </c>
      <c r="K11170" s="11">
        <v>0</v>
      </c>
    </row>
    <row r="11171" spans="5:11" x14ac:dyDescent="0.35">
      <c r="E11171" s="9" t="str">
        <v>IGNF</v>
      </c>
      <c r="F11171" s="7" t="str">
        <v>NEA74LBTNM2</v>
      </c>
      <c r="G11171" t="str">
        <v>ProjectedCrs</v>
      </c>
      <c r="H11171" t="str">
        <v>Lambert Conic Conformal (2SP)</v>
      </c>
      <c r="I11171" t="str">
        <v>NEA74 NOUMEA Lambert Noumea 2</v>
      </c>
      <c r="J11171" t="str">
        <v>NOUMEA (NOUVELLE-CALEDONIE)</v>
      </c>
      <c r="K11171" s="11">
        <v>0</v>
      </c>
    </row>
    <row r="11172" spans="5:11" x14ac:dyDescent="0.35">
      <c r="E11172" s="9" t="str">
        <v>IGNF</v>
      </c>
      <c r="F11172" s="7" t="str">
        <v>NEA74LBTNM2.NCAL69</v>
      </c>
      <c r="G11172" t="str">
        <v>CompoundCrs</v>
      </c>
      <c r="H11172" t="str">
        <v>&lt;undefined&gt;</v>
      </c>
      <c r="I11172" t="str">
        <v>NEA74 NOUMEA Lambert Noumea 2 et NIVELLEMENT GENERAL DE NOUVELLE-CALEDONIE (NGNC)</v>
      </c>
      <c r="J11172" t="str">
        <v>NOUMEA (NOUVELLE-CALEDONIE)</v>
      </c>
      <c r="K11172" s="11">
        <v>0</v>
      </c>
    </row>
    <row r="11173" spans="5:11" x14ac:dyDescent="0.35">
      <c r="E11173" s="9" t="str">
        <v>IGNF</v>
      </c>
      <c r="F11173" s="7" t="str">
        <v>BOURD</v>
      </c>
      <c r="G11173" t="str">
        <v>VerticalCrs</v>
      </c>
      <c r="H11173" t="str">
        <v>&lt;undefined&gt;</v>
      </c>
      <c r="I11173" t="str">
        <v>NGF-BOURDALOUE</v>
      </c>
      <c r="J11173" t="str">
        <v>FRANCE CONTINENTALE (CORSE EXCLUE)</v>
      </c>
      <c r="K11173" s="11">
        <v>0</v>
      </c>
    </row>
    <row r="11174" spans="5:11" x14ac:dyDescent="0.35">
      <c r="E11174" s="9" t="str">
        <v>IGNF</v>
      </c>
      <c r="F11174" s="7" t="str">
        <v>IGN69</v>
      </c>
      <c r="G11174" t="str">
        <v>VerticalCrs</v>
      </c>
      <c r="H11174" t="str">
        <v>&lt;undefined&gt;</v>
      </c>
      <c r="I11174" t="str">
        <v>NGF-IGN 1969</v>
      </c>
      <c r="J11174" t="str">
        <v>FRANCE CONTINENTALE (CORSE EXCLUE)</v>
      </c>
      <c r="K11174" s="11">
        <v>0</v>
      </c>
    </row>
    <row r="11175" spans="5:11" x14ac:dyDescent="0.35">
      <c r="E11175" s="9" t="str">
        <v>IGNF</v>
      </c>
      <c r="F11175" s="7" t="str">
        <v>IGN78C</v>
      </c>
      <c r="G11175" t="str">
        <v>VerticalCrs</v>
      </c>
      <c r="H11175" t="str">
        <v>&lt;undefined&gt;</v>
      </c>
      <c r="I11175" t="str">
        <v>NGF-IGN 1978</v>
      </c>
      <c r="J11175" t="str">
        <v>CORSE</v>
      </c>
      <c r="K11175" s="11">
        <v>0</v>
      </c>
    </row>
    <row r="11176" spans="5:11" x14ac:dyDescent="0.35">
      <c r="E11176" s="9" t="str">
        <v>IGNF</v>
      </c>
      <c r="F11176" s="7" t="str">
        <v>NGF84</v>
      </c>
      <c r="G11176" t="str">
        <v>VerticalCrs</v>
      </c>
      <c r="H11176" t="str">
        <v>&lt;undefined&gt;</v>
      </c>
      <c r="I11176" t="str">
        <v>NGF-LALLEMAND</v>
      </c>
      <c r="J11176" t="str">
        <v>FRANCE CONTINENTALE (CORSE EXCLUE)</v>
      </c>
      <c r="K11176" s="11">
        <v>0</v>
      </c>
    </row>
    <row r="11177" spans="5:11" x14ac:dyDescent="0.35">
      <c r="E11177" s="9" t="str">
        <v>IGNF</v>
      </c>
      <c r="F11177" s="7" t="str">
        <v>FUTUNA1997</v>
      </c>
      <c r="G11177" t="str">
        <v>VerticalCrs</v>
      </c>
      <c r="H11177" t="str">
        <v>&lt;undefined&gt;</v>
      </c>
      <c r="I11177" t="str">
        <v>NGWF ILES HORN (FUTUNA ET ALOFI)</v>
      </c>
      <c r="J11177" t="str">
        <v>ILES FUTUNA ET ALOFI (ILES HORN)</v>
      </c>
      <c r="K11177" s="11">
        <v>0</v>
      </c>
    </row>
    <row r="11178" spans="5:11" x14ac:dyDescent="0.35">
      <c r="E11178" s="9" t="str">
        <v>IGNF</v>
      </c>
      <c r="F11178" s="7" t="str">
        <v>WALLIS96</v>
      </c>
      <c r="G11178" t="str">
        <v>VerticalCrs</v>
      </c>
      <c r="H11178" t="str">
        <v>&lt;undefined&gt;</v>
      </c>
      <c r="I11178" t="str">
        <v>NGWF WALLIS (MOP 1996)</v>
      </c>
      <c r="J11178" t="str">
        <v>ILE D'UVEA (WALLIS)</v>
      </c>
      <c r="K11178" s="11">
        <v>0</v>
      </c>
    </row>
    <row r="11179" spans="5:11" x14ac:dyDescent="0.35">
      <c r="E11179" s="9" t="str">
        <v>IGNF</v>
      </c>
      <c r="F11179" s="7" t="str">
        <v>GUYA77</v>
      </c>
      <c r="G11179" t="str">
        <v>VerticalCrs</v>
      </c>
      <c r="H11179" t="str">
        <v>&lt;undefined&gt;</v>
      </c>
      <c r="I11179" t="str">
        <v>NIVELLEMENT GENERAL DE GUYANE (NGG) 1977</v>
      </c>
      <c r="J11179" t="str">
        <v>GUYANE FRANCAISE</v>
      </c>
      <c r="K11179" s="11">
        <v>0</v>
      </c>
    </row>
    <row r="11180" spans="5:11" x14ac:dyDescent="0.35">
      <c r="E11180" s="9" t="str">
        <v>IGNF</v>
      </c>
      <c r="F11180" s="7" t="str">
        <v>NGC48</v>
      </c>
      <c r="G11180" t="str">
        <v>VerticalCrs</v>
      </c>
      <c r="H11180" t="str">
        <v>&lt;undefined&gt;</v>
      </c>
      <c r="I11180" t="str">
        <v>NIVELLEMENT GENERAL DE LA CORSE (NGC)</v>
      </c>
      <c r="J11180" t="str">
        <v>CORSE</v>
      </c>
      <c r="K11180" s="11">
        <v>0</v>
      </c>
    </row>
    <row r="11181" spans="5:11" x14ac:dyDescent="0.35">
      <c r="E11181" s="9" t="str">
        <v>IGNF</v>
      </c>
      <c r="F11181" s="7" t="str">
        <v>LIFOU91</v>
      </c>
      <c r="G11181" t="str">
        <v>VerticalCrs</v>
      </c>
      <c r="H11181" t="str">
        <v>&lt;undefined&gt;</v>
      </c>
      <c r="I11181" t="str">
        <v>NIVELLEMENT GENERAL DE LIFOU (IGN 1991 LF)</v>
      </c>
      <c r="J11181" t="str">
        <v>LIFOU (ILES LOYAUTE)</v>
      </c>
      <c r="K11181" s="11">
        <v>0</v>
      </c>
    </row>
    <row r="11182" spans="5:11" x14ac:dyDescent="0.35">
      <c r="E11182" s="9" t="str">
        <v>IGNF</v>
      </c>
      <c r="F11182" s="7" t="str">
        <v>MARE91</v>
      </c>
      <c r="G11182" t="str">
        <v>VerticalCrs</v>
      </c>
      <c r="H11182" t="str">
        <v>&lt;undefined&gt;</v>
      </c>
      <c r="I11182" t="str">
        <v>NIVELLEMENT GENERAL DE MARE (IGN 1991 MR)</v>
      </c>
      <c r="J11182" t="str">
        <v>MARE (ILES LOYAUTE)</v>
      </c>
      <c r="K11182" s="11">
        <v>0</v>
      </c>
    </row>
    <row r="11183" spans="5:11" x14ac:dyDescent="0.35">
      <c r="E11183" s="9" t="str">
        <v>IGNF</v>
      </c>
      <c r="F11183" s="7" t="str">
        <v>NCAL69</v>
      </c>
      <c r="G11183" t="str">
        <v>VerticalCrs</v>
      </c>
      <c r="H11183" t="str">
        <v>&lt;undefined&gt;</v>
      </c>
      <c r="I11183" t="str">
        <v>NIVELLEMENT GENERAL DE NOUVELLE-CALEDONIE (NGNC)</v>
      </c>
      <c r="J11183" t="str">
        <v>GRANDE TERRE (NOUVELLE-CALEDONIE)</v>
      </c>
      <c r="K11183" s="11">
        <v>0</v>
      </c>
    </row>
    <row r="11184" spans="5:11" x14ac:dyDescent="0.35">
      <c r="E11184" s="9" t="str">
        <v>IGNF</v>
      </c>
      <c r="F11184" s="7" t="str">
        <v>NNLUX</v>
      </c>
      <c r="G11184" t="str">
        <v>VerticalCrs</v>
      </c>
      <c r="H11184" t="str">
        <v>&lt;undefined&gt;</v>
      </c>
      <c r="I11184" t="str">
        <v>NIVELLEMENT GENERAL DU LUXEMBOURG</v>
      </c>
      <c r="J11184" t="str">
        <v>LUXEMBOURG (pays_cid : 137)</v>
      </c>
      <c r="K11184" s="11">
        <v>0</v>
      </c>
    </row>
    <row r="11185" spans="5:11" x14ac:dyDescent="0.35">
      <c r="E11185" s="9" t="str">
        <v>IGNF</v>
      </c>
      <c r="F11185" s="7" t="str">
        <v>NEA74</v>
      </c>
      <c r="G11185" t="str">
        <v>GeocentricCrs</v>
      </c>
      <c r="H11185" t="str">
        <v>&lt;undefined&gt;</v>
      </c>
      <c r="I11185" t="str">
        <v>Noumea 1974 cartesiennes geocentriques</v>
      </c>
      <c r="J11185" t="str">
        <v>NOUMEA (NOUVELLE-CALEDONIE)</v>
      </c>
      <c r="K11185" s="11">
        <v>0</v>
      </c>
    </row>
    <row r="11186" spans="5:11" x14ac:dyDescent="0.35">
      <c r="E11186" s="9" t="str">
        <v>IGNF</v>
      </c>
      <c r="F11186" s="7" t="str">
        <v>RGNC91EQGPNC</v>
      </c>
      <c r="G11186" t="str">
        <v>ProjectedCrs</v>
      </c>
      <c r="H11186" t="str">
        <v>Equidistant Cylindrical</v>
      </c>
      <c r="I11186" t="str">
        <v>Nouvelle Caledonie projection Geoportail</v>
      </c>
      <c r="J11186" t="str">
        <v>NOUVELLE-CALEDONIE</v>
      </c>
      <c r="K11186" s="11">
        <v>0</v>
      </c>
    </row>
    <row r="11187" spans="5:11" x14ac:dyDescent="0.35">
      <c r="E11187" s="9" t="str">
        <v>IGNF</v>
      </c>
      <c r="F11187" s="7" t="str">
        <v>GEOPORTALNCL</v>
      </c>
      <c r="G11187" t="str">
        <v>ProjectedCrs</v>
      </c>
      <c r="H11187" t="str">
        <v>Equidistant Cylindrical</v>
      </c>
      <c r="I11187" t="str">
        <v>Nouvelle Caledonie projection Geoportail</v>
      </c>
      <c r="J11187" t="str">
        <v>NOUVELLE-CALEDONIE</v>
      </c>
      <c r="K11187" s="11">
        <v>0</v>
      </c>
    </row>
    <row r="11188" spans="5:11" x14ac:dyDescent="0.35">
      <c r="E11188" s="9" t="str">
        <v>IGNF</v>
      </c>
      <c r="F11188" s="7" t="str">
        <v>LUXGAUSSK</v>
      </c>
      <c r="G11188" t="str">
        <v>ProjectedCrs</v>
      </c>
      <c r="H11188" t="str">
        <v>Transverse Mercator</v>
      </c>
      <c r="I11188" t="str">
        <v>NOUVELLE TRIANGULATION DU DUCHE DU LUXEMBOURG GAUSS KRUGER LUXEMBOURG</v>
      </c>
      <c r="J11188" t="str">
        <v>LUXEMBOURG (pays_cid : 137)</v>
      </c>
      <c r="K11188" s="11">
        <v>0</v>
      </c>
    </row>
    <row r="11189" spans="5:11" x14ac:dyDescent="0.35">
      <c r="E11189" s="9" t="str">
        <v>IGNF</v>
      </c>
      <c r="F11189" s="7" t="str">
        <v>LURESGKL</v>
      </c>
      <c r="G11189" t="str">
        <v>ProjectedCrs</v>
      </c>
      <c r="H11189" t="str">
        <v>Transverse Mercator</v>
      </c>
      <c r="I11189" t="str">
        <v>NOUVELLE TRIANGULATION DU DUCHE DU LUXEMBOURG GAUSS KRUGER LUXEMBOURG</v>
      </c>
      <c r="J11189" t="str">
        <v>LUXEMBOURG (pays_cid : 137)</v>
      </c>
      <c r="K11189" s="11">
        <v>0</v>
      </c>
    </row>
    <row r="11190" spans="5:11" x14ac:dyDescent="0.35">
      <c r="E11190" s="9" t="str">
        <v>IGNF</v>
      </c>
      <c r="F11190" s="7" t="str">
        <v>LURESGKL.NNLUX</v>
      </c>
      <c r="G11190" t="str">
        <v>CompoundCrs</v>
      </c>
      <c r="H11190" t="str">
        <v>&lt;undefined&gt;</v>
      </c>
      <c r="I11190" t="str">
        <v>NOUVELLE TRIANGULATION DU DUCHE DU LUXEMBOURG GAUSS KRUGER LUXEMBOURG et NIVELLEMENT GENERAL DU LUXEMBOURG</v>
      </c>
      <c r="J11190" t="str">
        <v>LUXEMBOURG (pays_cid : 137)</v>
      </c>
      <c r="K11190" s="11">
        <v>0</v>
      </c>
    </row>
    <row r="11191" spans="5:11" x14ac:dyDescent="0.35">
      <c r="E11191" s="9" t="str">
        <v>IGNF</v>
      </c>
      <c r="F11191" s="7" t="str">
        <v>LUXGEO</v>
      </c>
      <c r="G11191" t="str">
        <v>Geographic2DCrs</v>
      </c>
      <c r="H11191" t="str">
        <v>&lt;undefined&gt;</v>
      </c>
      <c r="I11191" t="str">
        <v>NOUVELLE TRIANGULATION DU DUCHE DU LUXEMBOURG GEOGRAPHIQUES (DMS)</v>
      </c>
      <c r="J11191" t="str">
        <v>LUXEMBOURG (pays_cid : 137)</v>
      </c>
      <c r="K11191" s="11">
        <v>0</v>
      </c>
    </row>
    <row r="11192" spans="5:11" x14ac:dyDescent="0.35">
      <c r="E11192" s="9" t="str">
        <v>IGNF</v>
      </c>
      <c r="F11192" s="7" t="str">
        <v>LURESG</v>
      </c>
      <c r="G11192" t="str">
        <v>Geographic2DCrs</v>
      </c>
      <c r="H11192" t="str">
        <v>&lt;undefined&gt;</v>
      </c>
      <c r="I11192" t="str">
        <v>NOUVELLE TRIANGULATION DU DUCHE DU LUXEMBOURG GEOGRAPHIQUES (DMS)</v>
      </c>
      <c r="J11192" t="str">
        <v>LUXEMBOURG (pays_cid : 137)</v>
      </c>
      <c r="K11192" s="11">
        <v>0</v>
      </c>
    </row>
    <row r="11193" spans="5:11" x14ac:dyDescent="0.35">
      <c r="E11193" s="9" t="str">
        <v>IGNF</v>
      </c>
      <c r="F11193" s="7" t="str">
        <v>LURES</v>
      </c>
      <c r="G11193" t="str">
        <v>GeocentricCrs</v>
      </c>
      <c r="H11193" t="str">
        <v>&lt;undefined&gt;</v>
      </c>
      <c r="I11193" t="str">
        <v>Nouvelle Triangulation Luxembourg cartesiennes</v>
      </c>
      <c r="J11193" t="str">
        <v>LUXEMBOURG (pays_cid : 137)</v>
      </c>
      <c r="K11193" s="11">
        <v>0</v>
      </c>
    </row>
    <row r="11194" spans="5:11" x14ac:dyDescent="0.35">
      <c r="E11194" s="9" t="str">
        <v>IGNF</v>
      </c>
      <c r="F11194" s="7" t="str">
        <v>LUREF</v>
      </c>
      <c r="G11194" t="str">
        <v>GeocentricCrs</v>
      </c>
      <c r="H11194" t="str">
        <v>&lt;undefined&gt;</v>
      </c>
      <c r="I11194" t="str">
        <v>Nouvelle Triangulation Luxembourg cartesiennes</v>
      </c>
      <c r="J11194" t="str">
        <v>LUXEMBOURG (pays_cid : 137)</v>
      </c>
      <c r="K11194" s="11">
        <v>0</v>
      </c>
    </row>
    <row r="11195" spans="5:11" x14ac:dyDescent="0.35">
      <c r="E11195" s="9" t="str">
        <v>IGNF</v>
      </c>
      <c r="F11195" s="7" t="str">
        <v>NTF</v>
      </c>
      <c r="G11195" t="str">
        <v>GeocentricCrs</v>
      </c>
      <c r="H11195" t="str">
        <v>&lt;undefined&gt;</v>
      </c>
      <c r="I11195" t="str">
        <v>NTF cartesiennes</v>
      </c>
      <c r="J11195" t="str">
        <v>FRANCE METROPOLITAINE (CORSE COMPRISE)</v>
      </c>
      <c r="K11195" s="11">
        <v>0</v>
      </c>
    </row>
    <row r="11196" spans="5:11" x14ac:dyDescent="0.35">
      <c r="E11196" s="9" t="str">
        <v>IGNF</v>
      </c>
      <c r="F11196" s="7" t="str">
        <v>NTFG</v>
      </c>
      <c r="G11196" t="str">
        <v>Geographic2DCrs</v>
      </c>
      <c r="H11196" t="str">
        <v>&lt;undefined&gt;</v>
      </c>
      <c r="I11196" t="str">
        <v>NTF GEOGRAPHIQUES GREENWICH (DMS)</v>
      </c>
      <c r="J11196" t="str">
        <v>FRANCE METROPOLITAINE (CORSE COMPRISE)</v>
      </c>
      <c r="K11196" s="11">
        <v>0</v>
      </c>
    </row>
    <row r="11197" spans="5:11" x14ac:dyDescent="0.35">
      <c r="E11197" s="9" t="str">
        <v>IGNF</v>
      </c>
      <c r="F11197" s="7" t="str">
        <v>NTFPGRAD</v>
      </c>
      <c r="G11197" t="str">
        <v>Geographic2DCrs</v>
      </c>
      <c r="H11197" t="str">
        <v>&lt;undefined&gt;</v>
      </c>
      <c r="I11197" t="str">
        <v>NTF geographiques Paris (gr)</v>
      </c>
      <c r="J11197" t="str">
        <v>FRANCE METROPOLITAINE (CORSE COMPRISE)</v>
      </c>
      <c r="K11197" s="11">
        <v>0</v>
      </c>
    </row>
    <row r="11198" spans="5:11" x14ac:dyDescent="0.35">
      <c r="E11198" s="9" t="str">
        <v>IGNF</v>
      </c>
      <c r="F11198" s="7" t="str">
        <v>NTFP</v>
      </c>
      <c r="G11198" t="str">
        <v>Geographic2DCrs</v>
      </c>
      <c r="H11198" t="str">
        <v>&lt;undefined&gt;</v>
      </c>
      <c r="I11198" t="str">
        <v>NTF geographiques Paris (gr)</v>
      </c>
      <c r="J11198" t="str">
        <v>FRANCE METROPOLITAINE (CORSE COMPRISE)</v>
      </c>
      <c r="K11198" s="11">
        <v>0</v>
      </c>
    </row>
    <row r="11199" spans="5:11" x14ac:dyDescent="0.35">
      <c r="E11199" s="9" t="str">
        <v>IGNF</v>
      </c>
      <c r="F11199" s="7" t="str">
        <v>NTFPGRAD.BOURD</v>
      </c>
      <c r="G11199" t="str">
        <v>CompoundCrs</v>
      </c>
      <c r="H11199" t="str">
        <v>&lt;undefined&gt;</v>
      </c>
      <c r="I11199" t="str">
        <v>NTF geographiques Paris (gr) et NGF-BOURDALOUE</v>
      </c>
      <c r="J11199" t="str">
        <v>FRANCE CONTINENTALE (CORSE EXCLUE)</v>
      </c>
      <c r="K11199" s="11">
        <v>0</v>
      </c>
    </row>
    <row r="11200" spans="5:11" x14ac:dyDescent="0.35">
      <c r="E11200" s="9" t="str">
        <v>IGNF</v>
      </c>
      <c r="F11200" s="7" t="str">
        <v>NTFPGRAD.IGN69</v>
      </c>
      <c r="G11200" t="str">
        <v>CompoundCrs</v>
      </c>
      <c r="H11200" t="str">
        <v>&lt;undefined&gt;</v>
      </c>
      <c r="I11200" t="str">
        <v>NTF geographiques Paris (gr) et NGF-IGN 1969</v>
      </c>
      <c r="J11200" t="str">
        <v>FRANCE CONTINENTALE (CORSE EXCLUE)</v>
      </c>
      <c r="K11200" s="11">
        <v>0</v>
      </c>
    </row>
    <row r="11201" spans="5:11" x14ac:dyDescent="0.35">
      <c r="E11201" s="9" t="str">
        <v>IGNF</v>
      </c>
      <c r="F11201" s="7" t="str">
        <v>NTFPGRAD.IGN78C</v>
      </c>
      <c r="G11201" t="str">
        <v>CompoundCrs</v>
      </c>
      <c r="H11201" t="str">
        <v>&lt;undefined&gt;</v>
      </c>
      <c r="I11201" t="str">
        <v>NTF geographiques Paris (gr) et NGF-IGN 1978</v>
      </c>
      <c r="J11201" t="str">
        <v>CORSE</v>
      </c>
      <c r="K11201" s="11">
        <v>0</v>
      </c>
    </row>
    <row r="11202" spans="5:11" x14ac:dyDescent="0.35">
      <c r="E11202" s="9" t="str">
        <v>IGNF</v>
      </c>
      <c r="F11202" s="7" t="str">
        <v>NTFPGRAD.NGF84</v>
      </c>
      <c r="G11202" t="str">
        <v>CompoundCrs</v>
      </c>
      <c r="H11202" t="str">
        <v>&lt;undefined&gt;</v>
      </c>
      <c r="I11202" t="str">
        <v>NTF geographiques Paris (gr) et NGF-LALLEMAND</v>
      </c>
      <c r="J11202" t="str">
        <v>FRANCE CONTINENTALE (CORSE EXCLUE)</v>
      </c>
      <c r="K11202" s="11">
        <v>0</v>
      </c>
    </row>
    <row r="11203" spans="5:11" x14ac:dyDescent="0.35">
      <c r="E11203" s="9" t="str">
        <v>IGNF</v>
      </c>
      <c r="F11203" s="7" t="str">
        <v>NTFPGRAD.NGC48</v>
      </c>
      <c r="G11203" t="str">
        <v>CompoundCrs</v>
      </c>
      <c r="H11203" t="str">
        <v>&lt;undefined&gt;</v>
      </c>
      <c r="I11203" t="str">
        <v>NTF geographiques Paris (gr) et NIVELLEMENT GENERAL DE LA CORSE (NGC)</v>
      </c>
      <c r="J11203" t="str">
        <v>CORSE</v>
      </c>
      <c r="K11203" s="11">
        <v>0</v>
      </c>
    </row>
    <row r="11204" spans="5:11" x14ac:dyDescent="0.35">
      <c r="E11204" s="9" t="str">
        <v>IGNF</v>
      </c>
      <c r="F11204" s="7" t="str">
        <v>NTFLAMBGC</v>
      </c>
      <c r="G11204" t="str">
        <v>ProjectedCrs</v>
      </c>
      <c r="H11204" t="str">
        <v>Lambert Conic Conformal (2SP)</v>
      </c>
      <c r="I11204" t="str">
        <v>NTF Lambert Grand Champ</v>
      </c>
      <c r="J11204" t="str">
        <v>FRANCE METROPOLITAINE (CORSE COMPRISE) - LAMBERT GRAND CHAMP</v>
      </c>
      <c r="K11204" s="11">
        <v>0</v>
      </c>
    </row>
    <row r="11205" spans="5:11" x14ac:dyDescent="0.35">
      <c r="E11205" s="9" t="str">
        <v>IGNF</v>
      </c>
      <c r="F11205" s="7" t="str">
        <v>LAMBGC</v>
      </c>
      <c r="G11205" t="str">
        <v>ProjectedCrs</v>
      </c>
      <c r="H11205" t="str">
        <v>Lambert Conic Conformal (2SP)</v>
      </c>
      <c r="I11205" t="str">
        <v>NTF Lambert Grand Champ</v>
      </c>
      <c r="J11205" t="str">
        <v>FRANCE METROPOLITAINE (CORSE COMPRISE) - LAMBERT GRAND CHAMP</v>
      </c>
      <c r="K11205" s="11">
        <v>0</v>
      </c>
    </row>
    <row r="11206" spans="5:11" x14ac:dyDescent="0.35">
      <c r="E11206" s="9" t="str">
        <v>IGNF</v>
      </c>
      <c r="F11206" s="7" t="str">
        <v>NTFLAMB1</v>
      </c>
      <c r="G11206" t="str">
        <v>ProjectedCrs</v>
      </c>
      <c r="H11206" t="str">
        <v>Lambert Conic Conformal (1SP)</v>
      </c>
      <c r="I11206" t="str">
        <v>NTF Lambert I</v>
      </c>
      <c r="J11206" t="str">
        <v>FRANCE METROPOLITAINE (CORSE COMPRISE) - LAMBERT I NORD</v>
      </c>
      <c r="K11206" s="11">
        <v>0</v>
      </c>
    </row>
    <row r="11207" spans="5:11" x14ac:dyDescent="0.35">
      <c r="E11207" s="9" t="str">
        <v>IGNF</v>
      </c>
      <c r="F11207" s="7" t="str">
        <v>LAMB1</v>
      </c>
      <c r="G11207" t="str">
        <v>ProjectedCrs</v>
      </c>
      <c r="H11207" t="str">
        <v>Lambert Conic Conformal (1SP)</v>
      </c>
      <c r="I11207" t="str">
        <v>NTF Lambert I</v>
      </c>
      <c r="J11207" t="str">
        <v>FRANCE METROPOLITAINE (CORSE COMPRISE) - LAMBERT I NORD</v>
      </c>
      <c r="K11207" s="11">
        <v>0</v>
      </c>
    </row>
    <row r="11208" spans="5:11" x14ac:dyDescent="0.35">
      <c r="E11208" s="9" t="str">
        <v>IGNF</v>
      </c>
      <c r="F11208" s="7" t="str">
        <v>NTFLAMB1C</v>
      </c>
      <c r="G11208" t="str">
        <v>ProjectedCrs</v>
      </c>
      <c r="H11208" t="str">
        <v>Lambert Conic Conformal (1SP)</v>
      </c>
      <c r="I11208" t="str">
        <v>NTF Lambert I carto</v>
      </c>
      <c r="J11208" t="str">
        <v>FRANCE METROPOLITAINE (CORSE COMPRISE) - LAMBERT I CARTO</v>
      </c>
      <c r="K11208" s="11">
        <v>0</v>
      </c>
    </row>
    <row r="11209" spans="5:11" x14ac:dyDescent="0.35">
      <c r="E11209" s="9" t="str">
        <v>IGNF</v>
      </c>
      <c r="F11209" s="7" t="str">
        <v>LAMB1C</v>
      </c>
      <c r="G11209" t="str">
        <v>ProjectedCrs</v>
      </c>
      <c r="H11209" t="str">
        <v>Lambert Conic Conformal (1SP)</v>
      </c>
      <c r="I11209" t="str">
        <v>NTF Lambert I carto</v>
      </c>
      <c r="J11209" t="str">
        <v>FRANCE METROPOLITAINE (CORSE COMPRISE) - LAMBERT I CARTO</v>
      </c>
      <c r="K11209" s="11">
        <v>0</v>
      </c>
    </row>
    <row r="11210" spans="5:11" x14ac:dyDescent="0.35">
      <c r="E11210" s="9" t="str">
        <v>IGNF</v>
      </c>
      <c r="F11210" s="7" t="str">
        <v>NTFLAMB1C.IGN69</v>
      </c>
      <c r="G11210" t="str">
        <v>CompoundCrs</v>
      </c>
      <c r="H11210" t="str">
        <v>&lt;undefined&gt;</v>
      </c>
      <c r="I11210" t="str">
        <v>NTF Lambert I carto et NGF-IGN 1969</v>
      </c>
      <c r="J11210" t="str">
        <v>FRANCE CONTINENTALE (CORSE EXCLUE) - LAMBERT I CARTO</v>
      </c>
      <c r="K11210" s="11">
        <v>0</v>
      </c>
    </row>
    <row r="11211" spans="5:11" x14ac:dyDescent="0.35">
      <c r="E11211" s="9" t="str">
        <v>IGNF</v>
      </c>
      <c r="F11211" s="7" t="str">
        <v>NTFLAMB1.BOURD</v>
      </c>
      <c r="G11211" t="str">
        <v>CompoundCrs</v>
      </c>
      <c r="H11211" t="str">
        <v>&lt;undefined&gt;</v>
      </c>
      <c r="I11211" t="str">
        <v>NTF Lambert I et NGF-BOURDALOUE</v>
      </c>
      <c r="J11211" t="str">
        <v>FRANCE CONTINENTALE (CORSE EXCLUE) - LAMBERT I NORD</v>
      </c>
      <c r="K11211" s="11">
        <v>0</v>
      </c>
    </row>
    <row r="11212" spans="5:11" x14ac:dyDescent="0.35">
      <c r="E11212" s="9" t="str">
        <v>IGNF</v>
      </c>
      <c r="F11212" s="7" t="str">
        <v>NTFLAMB1.IGN69</v>
      </c>
      <c r="G11212" t="str">
        <v>CompoundCrs</v>
      </c>
      <c r="H11212" t="str">
        <v>&lt;undefined&gt;</v>
      </c>
      <c r="I11212" t="str">
        <v>NTF Lambert I et NGF-IGN 1969</v>
      </c>
      <c r="J11212" t="str">
        <v>FRANCE CONTINENTALE (CORSE EXCLUE) - LAMBERT I NORD</v>
      </c>
      <c r="K11212" s="11">
        <v>0</v>
      </c>
    </row>
    <row r="11213" spans="5:11" x14ac:dyDescent="0.35">
      <c r="E11213" s="9" t="str">
        <v>IGNF</v>
      </c>
      <c r="F11213" s="7" t="str">
        <v>NTFLAMB1.NGF84</v>
      </c>
      <c r="G11213" t="str">
        <v>CompoundCrs</v>
      </c>
      <c r="H11213" t="str">
        <v>&lt;undefined&gt;</v>
      </c>
      <c r="I11213" t="str">
        <v>NTF Lambert I et NGF-LALLEMAND</v>
      </c>
      <c r="J11213" t="str">
        <v>FRANCE CONTINENTALE (CORSE EXCLUE) - LAMBERT I NORD</v>
      </c>
      <c r="K11213" s="11">
        <v>0</v>
      </c>
    </row>
    <row r="11214" spans="5:11" x14ac:dyDescent="0.35">
      <c r="E11214" s="9" t="str">
        <v>IGNF</v>
      </c>
      <c r="F11214" s="7" t="str">
        <v>LAMB2</v>
      </c>
      <c r="G11214" t="str">
        <v>ProjectedCrs</v>
      </c>
      <c r="H11214" t="str">
        <v>Lambert Conic Conformal (1SP)</v>
      </c>
      <c r="I11214" t="str">
        <v>NTF Lambert II</v>
      </c>
      <c r="J11214" t="str">
        <v>FRANCE METROPOLITAINE (CORSE COMPRISE) - LAMBERT II CENTRE</v>
      </c>
      <c r="K11214" s="11">
        <v>0</v>
      </c>
    </row>
    <row r="11215" spans="5:11" x14ac:dyDescent="0.35">
      <c r="E11215" s="9" t="str">
        <v>IGNF</v>
      </c>
      <c r="F11215" s="7" t="str">
        <v>NTFLAMB2</v>
      </c>
      <c r="G11215" t="str">
        <v>ProjectedCrs</v>
      </c>
      <c r="H11215" t="str">
        <v>Lambert Conic Conformal (1SP)</v>
      </c>
      <c r="I11215" t="str">
        <v>NTF Lambert II</v>
      </c>
      <c r="J11215" t="str">
        <v>FRANCE METROPOLITAINE (CORSE COMPRISE) - LAMBERT II CENTRE</v>
      </c>
      <c r="K11215" s="11">
        <v>0</v>
      </c>
    </row>
    <row r="11216" spans="5:11" x14ac:dyDescent="0.35">
      <c r="E11216" s="9" t="str">
        <v>IGNF</v>
      </c>
      <c r="F11216" s="7" t="str">
        <v>LAMB2C</v>
      </c>
      <c r="G11216" t="str">
        <v>ProjectedCrs</v>
      </c>
      <c r="H11216" t="str">
        <v>Lambert Conic Conformal (1SP)</v>
      </c>
      <c r="I11216" t="str">
        <v>NTF Lambert II carto</v>
      </c>
      <c r="J11216" t="str">
        <v>FRANCE METROPOLITAINE (CORSE COMPRISE) - LAMBERT II CARTO</v>
      </c>
      <c r="K11216" s="11">
        <v>0</v>
      </c>
    </row>
    <row r="11217" spans="5:11" x14ac:dyDescent="0.35">
      <c r="E11217" s="9" t="str">
        <v>IGNF</v>
      </c>
      <c r="F11217" s="7" t="str">
        <v>NTFLAMB2C</v>
      </c>
      <c r="G11217" t="str">
        <v>ProjectedCrs</v>
      </c>
      <c r="H11217" t="str">
        <v>Lambert Conic Conformal (1SP)</v>
      </c>
      <c r="I11217" t="str">
        <v>NTF Lambert II carto</v>
      </c>
      <c r="J11217" t="str">
        <v>FRANCE METROPOLITAINE (CORSE COMPRISE) - LAMBERT II CARTO</v>
      </c>
      <c r="K11217" s="11">
        <v>0</v>
      </c>
    </row>
    <row r="11218" spans="5:11" x14ac:dyDescent="0.35">
      <c r="E11218" s="9" t="str">
        <v>IGNF</v>
      </c>
      <c r="F11218" s="7" t="str">
        <v>NTFLAMB2C.IGN69</v>
      </c>
      <c r="G11218" t="str">
        <v>CompoundCrs</v>
      </c>
      <c r="H11218" t="str">
        <v>&lt;undefined&gt;</v>
      </c>
      <c r="I11218" t="str">
        <v>NTF Lambert II carto et NGF-IGN 1969</v>
      </c>
      <c r="J11218" t="str">
        <v>FRANCE CONTINENTALE (CORSE EXCLUE) - LAMBERT II CARTO</v>
      </c>
      <c r="K11218" s="11">
        <v>0</v>
      </c>
    </row>
    <row r="11219" spans="5:11" x14ac:dyDescent="0.35">
      <c r="E11219" s="9" t="str">
        <v>IGNF</v>
      </c>
      <c r="F11219" s="7" t="str">
        <v>NTFLAMB2.BOURD</v>
      </c>
      <c r="G11219" t="str">
        <v>CompoundCrs</v>
      </c>
      <c r="H11219" t="str">
        <v>&lt;undefined&gt;</v>
      </c>
      <c r="I11219" t="str">
        <v>NTF Lambert II et NGF-BOURDALOUE</v>
      </c>
      <c r="J11219" t="str">
        <v>FRANCE CONTINENTALE (CORSE EXCLUE) - LAMBERT II CENTRE</v>
      </c>
      <c r="K11219" s="11">
        <v>0</v>
      </c>
    </row>
    <row r="11220" spans="5:11" x14ac:dyDescent="0.35">
      <c r="E11220" s="9" t="str">
        <v>IGNF</v>
      </c>
      <c r="F11220" s="7" t="str">
        <v>NTFLAMB2.IGN69</v>
      </c>
      <c r="G11220" t="str">
        <v>CompoundCrs</v>
      </c>
      <c r="H11220" t="str">
        <v>&lt;undefined&gt;</v>
      </c>
      <c r="I11220" t="str">
        <v>NTF Lambert II et NGF-IGN 1969</v>
      </c>
      <c r="J11220" t="str">
        <v>FRANCE CONTINENTALE (CORSE EXCLUE) - LAMBERT II CENTRE</v>
      </c>
      <c r="K11220" s="11">
        <v>0</v>
      </c>
    </row>
    <row r="11221" spans="5:11" x14ac:dyDescent="0.35">
      <c r="E11221" s="9" t="str">
        <v>IGNF</v>
      </c>
      <c r="F11221" s="7" t="str">
        <v>NTFLAMB2.NGF84</v>
      </c>
      <c r="G11221" t="str">
        <v>CompoundCrs</v>
      </c>
      <c r="H11221" t="str">
        <v>&lt;undefined&gt;</v>
      </c>
      <c r="I11221" t="str">
        <v>NTF Lambert II et NGF-LALLEMAND</v>
      </c>
      <c r="J11221" t="str">
        <v>FRANCE CONTINENTALE (CORSE EXCLUE) - LAMBERT II CENTRE</v>
      </c>
      <c r="K11221" s="11">
        <v>0</v>
      </c>
    </row>
    <row r="11222" spans="5:11" x14ac:dyDescent="0.35">
      <c r="E11222" s="9" t="str">
        <v>IGNF</v>
      </c>
      <c r="F11222" s="7" t="str">
        <v>LAMBE</v>
      </c>
      <c r="G11222" t="str">
        <v>ProjectedCrs</v>
      </c>
      <c r="H11222" t="str">
        <v>Lambert Conic Conformal (1SP)</v>
      </c>
      <c r="I11222" t="str">
        <v>NTF Lambert II etendu</v>
      </c>
      <c r="J11222" t="str">
        <v>FRANCE METROPOLITAINE (CORSE COMPRISE) - LAMBERT II ETENDU</v>
      </c>
      <c r="K11222" s="11">
        <v>0</v>
      </c>
    </row>
    <row r="11223" spans="5:11" x14ac:dyDescent="0.35">
      <c r="E11223" s="9" t="str">
        <v>IGNF</v>
      </c>
      <c r="F11223" s="7" t="str">
        <v>NTFLAMB2E</v>
      </c>
      <c r="G11223" t="str">
        <v>ProjectedCrs</v>
      </c>
      <c r="H11223" t="str">
        <v>Lambert Conic Conformal (1SP)</v>
      </c>
      <c r="I11223" t="str">
        <v>NTF Lambert II etendu</v>
      </c>
      <c r="J11223" t="str">
        <v>FRANCE METROPOLITAINE (CORSE COMPRISE) - LAMBERT II ETENDU</v>
      </c>
      <c r="K11223" s="11">
        <v>0</v>
      </c>
    </row>
    <row r="11224" spans="5:11" x14ac:dyDescent="0.35">
      <c r="E11224" s="9" t="str">
        <v>IGNF</v>
      </c>
      <c r="F11224" s="7" t="str">
        <v>NTFLAMB2E.BOURD</v>
      </c>
      <c r="G11224" t="str">
        <v>CompoundCrs</v>
      </c>
      <c r="H11224" t="str">
        <v>&lt;undefined&gt;</v>
      </c>
      <c r="I11224" t="str">
        <v>NTF Lambert II etendu et NGF-BOURDALOUE</v>
      </c>
      <c r="J11224" t="str">
        <v>FRANCE CONTINENTALE (CORSE EXCLUE) - LAMBERT II ETENDU</v>
      </c>
      <c r="K11224" s="11">
        <v>0</v>
      </c>
    </row>
    <row r="11225" spans="5:11" x14ac:dyDescent="0.35">
      <c r="E11225" s="9" t="str">
        <v>IGNF</v>
      </c>
      <c r="F11225" s="7" t="str">
        <v>NTFLAMB2E.IGN69</v>
      </c>
      <c r="G11225" t="str">
        <v>CompoundCrs</v>
      </c>
      <c r="H11225" t="str">
        <v>&lt;undefined&gt;</v>
      </c>
      <c r="I11225" t="str">
        <v>NTF Lambert II etendu et NGF-IGN 1969</v>
      </c>
      <c r="J11225" t="str">
        <v>FRANCE CONTINENTALE (CORSE EXCLUE) - LAMBERT II ETENDU</v>
      </c>
      <c r="K11225" s="11">
        <v>0</v>
      </c>
    </row>
    <row r="11226" spans="5:11" x14ac:dyDescent="0.35">
      <c r="E11226" s="9" t="str">
        <v>IGNF</v>
      </c>
      <c r="F11226" s="7" t="str">
        <v>NTFLAMB2E.IGN78C</v>
      </c>
      <c r="G11226" t="str">
        <v>CompoundCrs</v>
      </c>
      <c r="H11226" t="str">
        <v>&lt;undefined&gt;</v>
      </c>
      <c r="I11226" t="str">
        <v>NTF Lambert II etendu et NGF-IGN 1978</v>
      </c>
      <c r="J11226" t="str">
        <v>CORSE - LAMBERT II ETENDU</v>
      </c>
      <c r="K11226" s="11">
        <v>0</v>
      </c>
    </row>
    <row r="11227" spans="5:11" x14ac:dyDescent="0.35">
      <c r="E11227" s="9" t="str">
        <v>IGNF</v>
      </c>
      <c r="F11227" s="7" t="str">
        <v>NTFLAMB2E.NGF84</v>
      </c>
      <c r="G11227" t="str">
        <v>CompoundCrs</v>
      </c>
      <c r="H11227" t="str">
        <v>&lt;undefined&gt;</v>
      </c>
      <c r="I11227" t="str">
        <v>NTF Lambert II etendu et NGF-LALLEMAND</v>
      </c>
      <c r="J11227" t="str">
        <v>FRANCE CONTINENTALE (CORSE EXCLUE) - LAMBERT II ETENDU</v>
      </c>
      <c r="K11227" s="11">
        <v>0</v>
      </c>
    </row>
    <row r="11228" spans="5:11" x14ac:dyDescent="0.35">
      <c r="E11228" s="9" t="str">
        <v>IGNF</v>
      </c>
      <c r="F11228" s="7" t="str">
        <v>NTFLAMB2E.NGC48</v>
      </c>
      <c r="G11228" t="str">
        <v>CompoundCrs</v>
      </c>
      <c r="H11228" t="str">
        <v>&lt;undefined&gt;</v>
      </c>
      <c r="I11228" t="str">
        <v>NTF Lambert II etendu et NIVELLEMENT GENERAL DE LA CORSE (NGC)</v>
      </c>
      <c r="J11228" t="str">
        <v>CORSE - LAMBERT II ETENDU</v>
      </c>
      <c r="K11228" s="11">
        <v>0</v>
      </c>
    </row>
    <row r="11229" spans="5:11" x14ac:dyDescent="0.35">
      <c r="E11229" s="9" t="str">
        <v>IGNF</v>
      </c>
      <c r="F11229" s="7" t="str">
        <v>LAMB3</v>
      </c>
      <c r="G11229" t="str">
        <v>ProjectedCrs</v>
      </c>
      <c r="H11229" t="str">
        <v>Lambert Conic Conformal (1SP)</v>
      </c>
      <c r="I11229" t="str">
        <v>NTF Lambert III</v>
      </c>
      <c r="J11229" t="str">
        <v>FRANCE METROPOLITAINE (CORSE COMPRISE) - LAMBERT III SUD</v>
      </c>
      <c r="K11229" s="11">
        <v>0</v>
      </c>
    </row>
    <row r="11230" spans="5:11" x14ac:dyDescent="0.35">
      <c r="E11230" s="9" t="str">
        <v>IGNF</v>
      </c>
      <c r="F11230" s="7" t="str">
        <v>NTFLAMB3</v>
      </c>
      <c r="G11230" t="str">
        <v>ProjectedCrs</v>
      </c>
      <c r="H11230" t="str">
        <v>Lambert Conic Conformal (1SP)</v>
      </c>
      <c r="I11230" t="str">
        <v>NTF Lambert III</v>
      </c>
      <c r="J11230" t="str">
        <v>FRANCE METROPOLITAINE (CORSE COMPRISE) - LAMBERT III SUD</v>
      </c>
      <c r="K11230" s="11">
        <v>0</v>
      </c>
    </row>
    <row r="11231" spans="5:11" x14ac:dyDescent="0.35">
      <c r="E11231" s="9" t="str">
        <v>IGNF</v>
      </c>
      <c r="F11231" s="7" t="str">
        <v>LAMB3C</v>
      </c>
      <c r="G11231" t="str">
        <v>ProjectedCrs</v>
      </c>
      <c r="H11231" t="str">
        <v>Lambert Conic Conformal (1SP)</v>
      </c>
      <c r="I11231" t="str">
        <v>NTF Lambert III carto</v>
      </c>
      <c r="J11231" t="str">
        <v>FRANCE METROPOLITAINE (CORSE COMPRISE) - LAMBERT III CARTO</v>
      </c>
      <c r="K11231" s="11">
        <v>0</v>
      </c>
    </row>
    <row r="11232" spans="5:11" x14ac:dyDescent="0.35">
      <c r="E11232" s="9" t="str">
        <v>IGNF</v>
      </c>
      <c r="F11232" s="7" t="str">
        <v>NTFLAMB3C</v>
      </c>
      <c r="G11232" t="str">
        <v>ProjectedCrs</v>
      </c>
      <c r="H11232" t="str">
        <v>Lambert Conic Conformal (1SP)</v>
      </c>
      <c r="I11232" t="str">
        <v>NTF Lambert III carto</v>
      </c>
      <c r="J11232" t="str">
        <v>FRANCE METROPOLITAINE (CORSE COMPRISE) - LAMBERT III CARTO</v>
      </c>
      <c r="K11232" s="11">
        <v>0</v>
      </c>
    </row>
    <row r="11233" spans="5:11" x14ac:dyDescent="0.35">
      <c r="E11233" s="9" t="str">
        <v>IGNF</v>
      </c>
      <c r="F11233" s="7" t="str">
        <v>NTFLAMB3C.IGN69</v>
      </c>
      <c r="G11233" t="str">
        <v>CompoundCrs</v>
      </c>
      <c r="H11233" t="str">
        <v>&lt;undefined&gt;</v>
      </c>
      <c r="I11233" t="str">
        <v>NTF Lambert III carto et NGF-IGN 1969</v>
      </c>
      <c r="J11233" t="str">
        <v>FRANCE CONTINENTALE (CORSE EXCLUE) - LAMBERT III CARTO</v>
      </c>
      <c r="K11233" s="11">
        <v>0</v>
      </c>
    </row>
    <row r="11234" spans="5:11" x14ac:dyDescent="0.35">
      <c r="E11234" s="9" t="str">
        <v>IGNF</v>
      </c>
      <c r="F11234" s="7" t="str">
        <v>NTFLAMB3.BOURD</v>
      </c>
      <c r="G11234" t="str">
        <v>CompoundCrs</v>
      </c>
      <c r="H11234" t="str">
        <v>&lt;undefined&gt;</v>
      </c>
      <c r="I11234" t="str">
        <v>NTF Lambert III et NGF-BOURDALOUE</v>
      </c>
      <c r="J11234" t="str">
        <v>FRANCE CONTINENTALE (CORSE EXCLUE) - LAMBERT III SUD</v>
      </c>
      <c r="K11234" s="11">
        <v>0</v>
      </c>
    </row>
    <row r="11235" spans="5:11" x14ac:dyDescent="0.35">
      <c r="E11235" s="9" t="str">
        <v>IGNF</v>
      </c>
      <c r="F11235" s="7" t="str">
        <v>NTFLAMB3.IGN69</v>
      </c>
      <c r="G11235" t="str">
        <v>CompoundCrs</v>
      </c>
      <c r="H11235" t="str">
        <v>&lt;undefined&gt;</v>
      </c>
      <c r="I11235" t="str">
        <v>NTF Lambert III et NGF-IGN 1969</v>
      </c>
      <c r="J11235" t="str">
        <v>FRANCE CONTINENTALE (CORSE EXCLUE) - LAMBERT III SUD</v>
      </c>
      <c r="K11235" s="11">
        <v>0</v>
      </c>
    </row>
    <row r="11236" spans="5:11" x14ac:dyDescent="0.35">
      <c r="E11236" s="9" t="str">
        <v>IGNF</v>
      </c>
      <c r="F11236" s="7" t="str">
        <v>NTFLAMB3.NGF84</v>
      </c>
      <c r="G11236" t="str">
        <v>CompoundCrs</v>
      </c>
      <c r="H11236" t="str">
        <v>&lt;undefined&gt;</v>
      </c>
      <c r="I11236" t="str">
        <v>NTF Lambert III et NGF-LALLEMAND</v>
      </c>
      <c r="J11236" t="str">
        <v>FRANCE CONTINENTALE (CORSE EXCLUE) - LAMBERT III SUD</v>
      </c>
      <c r="K11236" s="11">
        <v>0</v>
      </c>
    </row>
    <row r="11237" spans="5:11" x14ac:dyDescent="0.35">
      <c r="E11237" s="9" t="str">
        <v>IGNF</v>
      </c>
      <c r="F11237" s="7" t="str">
        <v>NTFLAMB4</v>
      </c>
      <c r="G11237" t="str">
        <v>ProjectedCrs</v>
      </c>
      <c r="H11237" t="str">
        <v>Lambert Conic Conformal (1SP)</v>
      </c>
      <c r="I11237" t="str">
        <v>NTF Lambert IV</v>
      </c>
      <c r="J11237" t="str">
        <v>FRANCE METROPOLITAINE (CORSE COMPRISE) - LAMBERT IV CORSE</v>
      </c>
      <c r="K11237" s="11">
        <v>0</v>
      </c>
    </row>
    <row r="11238" spans="5:11" x14ac:dyDescent="0.35">
      <c r="E11238" s="9" t="str">
        <v>IGNF</v>
      </c>
      <c r="F11238" s="7" t="str">
        <v>LAMB4</v>
      </c>
      <c r="G11238" t="str">
        <v>ProjectedCrs</v>
      </c>
      <c r="H11238" t="str">
        <v>Lambert Conic Conformal (1SP)</v>
      </c>
      <c r="I11238" t="str">
        <v>NTF Lambert IV</v>
      </c>
      <c r="J11238" t="str">
        <v>FRANCE METROPOLITAINE (CORSE COMPRISE) - LAMBERT IV CORSE</v>
      </c>
      <c r="K11238" s="11">
        <v>0</v>
      </c>
    </row>
    <row r="11239" spans="5:11" x14ac:dyDescent="0.35">
      <c r="E11239" s="9" t="str">
        <v>IGNF</v>
      </c>
      <c r="F11239" s="7" t="str">
        <v>NTFLAMB4C</v>
      </c>
      <c r="G11239" t="str">
        <v>ProjectedCrs</v>
      </c>
      <c r="H11239" t="str">
        <v>Lambert Conic Conformal (1SP)</v>
      </c>
      <c r="I11239" t="str">
        <v>NTF Lambert IV carto</v>
      </c>
      <c r="J11239" t="str">
        <v>FRANCE METROPOLITAINE (CORSE COMPRISE) - LAMBERT IV CARTO</v>
      </c>
      <c r="K11239" s="11">
        <v>0</v>
      </c>
    </row>
    <row r="11240" spans="5:11" x14ac:dyDescent="0.35">
      <c r="E11240" s="9" t="str">
        <v>IGNF</v>
      </c>
      <c r="F11240" s="7" t="str">
        <v>LAMB4C</v>
      </c>
      <c r="G11240" t="str">
        <v>ProjectedCrs</v>
      </c>
      <c r="H11240" t="str">
        <v>Lambert Conic Conformal (1SP)</v>
      </c>
      <c r="I11240" t="str">
        <v>NTF Lambert IV carto</v>
      </c>
      <c r="J11240" t="str">
        <v>FRANCE METROPOLITAINE (CORSE COMPRISE) - LAMBERT IV CARTO</v>
      </c>
      <c r="K11240" s="11">
        <v>0</v>
      </c>
    </row>
    <row r="11241" spans="5:11" x14ac:dyDescent="0.35">
      <c r="E11241" s="9" t="str">
        <v>IGNF</v>
      </c>
      <c r="F11241" s="7" t="str">
        <v>NTFLAMB4C.IGN78C</v>
      </c>
      <c r="G11241" t="str">
        <v>CompoundCrs</v>
      </c>
      <c r="H11241" t="str">
        <v>&lt;undefined&gt;</v>
      </c>
      <c r="I11241" t="str">
        <v>NTF Lambert IV carto et NGF-IGN 1978</v>
      </c>
      <c r="J11241" t="str">
        <v>CORSE - LAMBERT IV CARTO</v>
      </c>
      <c r="K11241" s="11">
        <v>0</v>
      </c>
    </row>
    <row r="11242" spans="5:11" x14ac:dyDescent="0.35">
      <c r="E11242" s="9" t="str">
        <v>IGNF</v>
      </c>
      <c r="F11242" s="7" t="str">
        <v>NTFLAMB4.IGN78C</v>
      </c>
      <c r="G11242" t="str">
        <v>CompoundCrs</v>
      </c>
      <c r="H11242" t="str">
        <v>&lt;undefined&gt;</v>
      </c>
      <c r="I11242" t="str">
        <v>NTF Lambert IV et NGF-IGN 1978</v>
      </c>
      <c r="J11242" t="str">
        <v>CORSE - LAMBERT IV CORSE</v>
      </c>
      <c r="K11242" s="11">
        <v>0</v>
      </c>
    </row>
    <row r="11243" spans="5:11" x14ac:dyDescent="0.35">
      <c r="E11243" s="9" t="str">
        <v>IGNF</v>
      </c>
      <c r="F11243" s="7" t="str">
        <v>NTFLAMB4.NGC48</v>
      </c>
      <c r="G11243" t="str">
        <v>CompoundCrs</v>
      </c>
      <c r="H11243" t="str">
        <v>&lt;undefined&gt;</v>
      </c>
      <c r="I11243" t="str">
        <v>NTF Lambert IV et NIVELLEMENT GENERAL DE LA CORSE (NGC)</v>
      </c>
      <c r="J11243" t="str">
        <v>CORSE - LAMBERT IV CORSE</v>
      </c>
      <c r="K11243" s="11">
        <v>0</v>
      </c>
    </row>
    <row r="11244" spans="5:11" x14ac:dyDescent="0.35">
      <c r="E11244" s="9" t="str">
        <v>IGNF</v>
      </c>
      <c r="F11244" s="7" t="str">
        <v>NUKU72G</v>
      </c>
      <c r="G11244" t="str">
        <v>Geographic2DCrs</v>
      </c>
      <c r="H11244" t="str">
        <v>&lt;undefined&gt;</v>
      </c>
      <c r="I11244" t="str">
        <v>Nuku Hiva 1972 geographiques (dms)</v>
      </c>
      <c r="J11244" t="str">
        <v>NUKU HIVA, UA HUKA ET UA POU (ARCHIPEL DES MARQUISES)</v>
      </c>
      <c r="K11244" s="11">
        <v>0</v>
      </c>
    </row>
    <row r="11245" spans="5:11" x14ac:dyDescent="0.35">
      <c r="E11245" s="9" t="str">
        <v>IGNF</v>
      </c>
      <c r="F11245" s="7" t="str">
        <v>NUKU72GEO</v>
      </c>
      <c r="G11245" t="str">
        <v>Geographic3DCrs</v>
      </c>
      <c r="H11245" t="str">
        <v>&lt;undefined&gt;</v>
      </c>
      <c r="I11245" t="str">
        <v>Nuku Hiva 1972 geographiques (dms)</v>
      </c>
      <c r="J11245" t="str">
        <v>NUKU HIVA, UA HUKA ET UA POU (ARCHIPEL DES MARQUISES)</v>
      </c>
      <c r="K11245" s="11">
        <v>0</v>
      </c>
    </row>
    <row r="11246" spans="5:11" x14ac:dyDescent="0.35">
      <c r="E11246" s="9" t="str">
        <v>IGNF</v>
      </c>
      <c r="F11246" s="7" t="str">
        <v>NUKU72</v>
      </c>
      <c r="G11246" t="str">
        <v>GeocentricCrs</v>
      </c>
      <c r="H11246" t="str">
        <v>&lt;undefined&gt;</v>
      </c>
      <c r="I11246" t="str">
        <v>Nuku Hiva IGN 1972 cartesiennes geocentriques</v>
      </c>
      <c r="J11246" t="str">
        <v>NUKU HIVA, UA HUKA ET UA POU (ARCHIPEL DES MARQUISES)</v>
      </c>
      <c r="K11246" s="11">
        <v>0</v>
      </c>
    </row>
    <row r="11247" spans="5:11" x14ac:dyDescent="0.35">
      <c r="E11247" s="9" t="str">
        <v>IGNF</v>
      </c>
      <c r="F11247" s="7" t="str">
        <v>NUKU72UTM7S</v>
      </c>
      <c r="G11247" t="str">
        <v>ProjectedCrs</v>
      </c>
      <c r="H11247" t="str">
        <v>Transverse Mercator</v>
      </c>
      <c r="I11247" t="str">
        <v>Nuku Hiva UTM Sud fuseau 7</v>
      </c>
      <c r="J11247" t="str">
        <v>NUKU HIVA, UA HUKA ET UA POU (ARCHIPEL DES MARQUISES) - UTM SUD FUSEAU 7</v>
      </c>
      <c r="K11247" s="11">
        <v>0</v>
      </c>
    </row>
    <row r="11248" spans="5:11" x14ac:dyDescent="0.35">
      <c r="E11248" s="9" t="str">
        <v>IGNF</v>
      </c>
      <c r="F11248" s="7" t="str">
        <v>NUKU72U7S</v>
      </c>
      <c r="G11248" t="str">
        <v>ProjectedCrs</v>
      </c>
      <c r="H11248" t="str">
        <v>Transverse Mercator</v>
      </c>
      <c r="I11248" t="str">
        <v>Nuku Hiva UTM Sud fuseau 7</v>
      </c>
      <c r="J11248" t="str">
        <v>NUKU HIVA, UA HUKA ET UA POU (ARCHIPEL DES MARQUISES) - UTM SUD FUSEAU 7</v>
      </c>
      <c r="K11248" s="11">
        <v>0</v>
      </c>
    </row>
    <row r="11249" spans="5:11" x14ac:dyDescent="0.35">
      <c r="E11249" s="9" t="str">
        <v>IGNF</v>
      </c>
      <c r="F11249" s="7" t="str">
        <v>OUVE72</v>
      </c>
      <c r="G11249" t="str">
        <v>GeocentricCrs</v>
      </c>
      <c r="H11249" t="str">
        <v>&lt;undefined&gt;</v>
      </c>
      <c r="I11249" t="str">
        <v>Ouvea MHNC 1972 cartesiennes geocentriques</v>
      </c>
      <c r="J11249" t="str">
        <v>OUVEA (ILES LOYAUTE)</v>
      </c>
      <c r="K11249" s="11">
        <v>0</v>
      </c>
    </row>
    <row r="11250" spans="5:11" x14ac:dyDescent="0.35">
      <c r="E11250" s="9" t="str">
        <v>IGNF</v>
      </c>
      <c r="F11250" s="7" t="str">
        <v>OUVEA72</v>
      </c>
      <c r="G11250" t="str">
        <v>GeocentricCrs</v>
      </c>
      <c r="H11250" t="str">
        <v>&lt;undefined&gt;</v>
      </c>
      <c r="I11250" t="str">
        <v>Ouvea MHNC 1972 cartesiennes geocentriques</v>
      </c>
      <c r="J11250" t="str">
        <v>OUVEA (ILES LOYAUTE)</v>
      </c>
      <c r="K11250" s="11">
        <v>0</v>
      </c>
    </row>
    <row r="11251" spans="5:11" x14ac:dyDescent="0.35">
      <c r="E11251" s="9" t="str">
        <v>IGNF</v>
      </c>
      <c r="F11251" s="7" t="str">
        <v>OUVEA72G</v>
      </c>
      <c r="G11251" t="str">
        <v>Geographic2DCrs</v>
      </c>
      <c r="H11251" t="str">
        <v>&lt;undefined&gt;</v>
      </c>
      <c r="I11251" t="str">
        <v>Ouvea MHNC 1972 geographiques (dms)</v>
      </c>
      <c r="J11251" t="str">
        <v>OUVEA (ILES LOYAUTE)</v>
      </c>
      <c r="K11251" s="11">
        <v>0</v>
      </c>
    </row>
    <row r="11252" spans="5:11" x14ac:dyDescent="0.35">
      <c r="E11252" s="9" t="str">
        <v>IGNF</v>
      </c>
      <c r="F11252" s="7" t="str">
        <v>OUVE72G</v>
      </c>
      <c r="G11252" t="str">
        <v>Geographic2DCrs</v>
      </c>
      <c r="H11252" t="str">
        <v>&lt;undefined&gt;</v>
      </c>
      <c r="I11252" t="str">
        <v>Ouvea MHNC 1972 geographiques (dms)</v>
      </c>
      <c r="J11252" t="str">
        <v>OUVEA (ILES LOYAUTE)</v>
      </c>
      <c r="K11252" s="11">
        <v>0</v>
      </c>
    </row>
    <row r="11253" spans="5:11" x14ac:dyDescent="0.35">
      <c r="E11253" s="9" t="str">
        <v>IGNF</v>
      </c>
      <c r="F11253" s="7" t="str">
        <v>OUVEA72U58S</v>
      </c>
      <c r="G11253" t="str">
        <v>ProjectedCrs</v>
      </c>
      <c r="H11253" t="str">
        <v>Transverse Mercator</v>
      </c>
      <c r="I11253" t="str">
        <v>Ouvea MHNC 1972 UTM Sud fuseau 58</v>
      </c>
      <c r="J11253" t="str">
        <v>OUVEA (ILES LOYAUTE) - UTM SUD FUSEAU 58</v>
      </c>
      <c r="K11253" s="11">
        <v>0</v>
      </c>
    </row>
    <row r="11254" spans="5:11" x14ac:dyDescent="0.35">
      <c r="E11254" s="9" t="str">
        <v>IGNF</v>
      </c>
      <c r="F11254" s="7" t="str">
        <v>OUVE72UTM58S</v>
      </c>
      <c r="G11254" t="str">
        <v>ProjectedCrs</v>
      </c>
      <c r="H11254" t="str">
        <v>Transverse Mercator</v>
      </c>
      <c r="I11254" t="str">
        <v>Ouvea MHNC 1972 UTM Sud fuseau 58</v>
      </c>
      <c r="J11254" t="str">
        <v>OUVEA (ILES LOYAUTE) - UTM SUD FUSEAU 58</v>
      </c>
      <c r="K11254" s="11">
        <v>0</v>
      </c>
    </row>
    <row r="11255" spans="5:11" x14ac:dyDescent="0.35">
      <c r="E11255" s="9" t="str">
        <v>IGNF</v>
      </c>
      <c r="F11255" s="7" t="str">
        <v>PETRELS72G</v>
      </c>
      <c r="G11255" t="str">
        <v>Geographic2DCrs</v>
      </c>
      <c r="H11255" t="str">
        <v>&lt;undefined&gt;</v>
      </c>
      <c r="I11255" t="str">
        <v>Petrels geographiques (dms)</v>
      </c>
      <c r="J11255" t="str">
        <v>ILE DES PETRELS (TERRE ADELIE)</v>
      </c>
      <c r="K11255" s="11">
        <v>0</v>
      </c>
    </row>
    <row r="11256" spans="5:11" x14ac:dyDescent="0.35">
      <c r="E11256" s="9" t="str">
        <v>IGNF</v>
      </c>
      <c r="F11256" s="7" t="str">
        <v>PETRELS72</v>
      </c>
      <c r="G11256" t="str">
        <v>GeocentricCrs</v>
      </c>
      <c r="H11256" t="str">
        <v>&lt;undefined&gt;</v>
      </c>
      <c r="I11256" t="str">
        <v>Petrels IGN 1972 cartesiennes geocentriques</v>
      </c>
      <c r="J11256" t="str">
        <v>ILE DES PETRELS (TERRE ADELIE)</v>
      </c>
      <c r="K11256" s="11">
        <v>0</v>
      </c>
    </row>
    <row r="11257" spans="5:11" x14ac:dyDescent="0.35">
      <c r="E11257" s="9" t="str">
        <v>IGNF</v>
      </c>
      <c r="F11257" s="7" t="str">
        <v>PDN92GAUSSL</v>
      </c>
      <c r="G11257" t="str">
        <v>ProjectedCrs</v>
      </c>
      <c r="H11257" t="str">
        <v>Gauss Schreiber Transverse Mercator</v>
      </c>
      <c r="I11257" t="str">
        <v>Piton des Neiges (1992) Gauss Laborde Reunion</v>
      </c>
      <c r="J11257" t="str">
        <v>ILE DE LA REUNION - GAUSS LABORDE REUNION</v>
      </c>
      <c r="K11257" s="11">
        <v>0</v>
      </c>
    </row>
    <row r="11258" spans="5:11" x14ac:dyDescent="0.35">
      <c r="E11258" s="9" t="str">
        <v>IGNF</v>
      </c>
      <c r="F11258" s="7" t="str">
        <v>PDN92GAUSSL.REUN89</v>
      </c>
      <c r="G11258" t="str">
        <v>CompoundCrs</v>
      </c>
      <c r="H11258" t="str">
        <v>&lt;undefined&gt;</v>
      </c>
      <c r="I11258" t="str">
        <v>Piton des Neiges (1992) Gauss Laborde Reunion et IGN 1989 (REUNION)</v>
      </c>
      <c r="J11258" t="str">
        <v>ILE DE LA REUNION - GAUSS LABORDE REUNION</v>
      </c>
      <c r="K11258" s="11">
        <v>0</v>
      </c>
    </row>
    <row r="11259" spans="5:11" x14ac:dyDescent="0.35">
      <c r="E11259" s="9" t="str">
        <v>IGNF</v>
      </c>
      <c r="F11259" s="7" t="str">
        <v>PDN92G</v>
      </c>
      <c r="G11259" t="str">
        <v>Geographic2DCrs</v>
      </c>
      <c r="H11259" t="str">
        <v>&lt;undefined&gt;</v>
      </c>
      <c r="I11259" t="str">
        <v>PITON DES NEIGES (1992) GEOGRAPHIQUES (DMS)</v>
      </c>
      <c r="J11259" t="str">
        <v>ILE DE LA REUNION</v>
      </c>
      <c r="K11259" s="11">
        <v>0</v>
      </c>
    </row>
    <row r="11260" spans="5:11" x14ac:dyDescent="0.35">
      <c r="E11260" s="9" t="str">
        <v>IGNF</v>
      </c>
      <c r="F11260" s="7" t="str">
        <v>PDN08GAUSSL</v>
      </c>
      <c r="G11260" t="str">
        <v>ProjectedCrs</v>
      </c>
      <c r="H11260" t="str">
        <v>Gauss Schreiber Transverse Mercator</v>
      </c>
      <c r="I11260" t="str">
        <v>Piton des Neiges (2008) Gauss Laborde Reunion</v>
      </c>
      <c r="J11260" t="str">
        <v>ILE DE LA REUNION - GAUSS LABORDE REUNION</v>
      </c>
      <c r="K11260" s="11">
        <v>0</v>
      </c>
    </row>
    <row r="11261" spans="5:11" x14ac:dyDescent="0.35">
      <c r="E11261" s="9" t="str">
        <v>IGNF</v>
      </c>
      <c r="F11261" s="7" t="str">
        <v>PDN08GAUSSL.REUN89</v>
      </c>
      <c r="G11261" t="str">
        <v>CompoundCrs</v>
      </c>
      <c r="H11261" t="str">
        <v>&lt;undefined&gt;</v>
      </c>
      <c r="I11261" t="str">
        <v>Piton des Neiges (2008) Gauss Laborde Reunion et IGN 1989 (REUNION)</v>
      </c>
      <c r="J11261" t="str">
        <v>ILE DE LA REUNION - GAUSS LABORDE REUNION</v>
      </c>
      <c r="K11261" s="11">
        <v>0</v>
      </c>
    </row>
    <row r="11262" spans="5:11" x14ac:dyDescent="0.35">
      <c r="E11262" s="9" t="str">
        <v>IGNF</v>
      </c>
      <c r="F11262" s="7" t="str">
        <v>PDN08G</v>
      </c>
      <c r="G11262" t="str">
        <v>Geographic2DCrs</v>
      </c>
      <c r="H11262" t="str">
        <v>&lt;undefined&gt;</v>
      </c>
      <c r="I11262" t="str">
        <v>PITON DES NEIGES (2008) GEOGRAPHIQUES (DMS)</v>
      </c>
      <c r="J11262" t="str">
        <v>ILE DE LA REUNION</v>
      </c>
      <c r="K11262" s="11">
        <v>0</v>
      </c>
    </row>
    <row r="11263" spans="5:11" x14ac:dyDescent="0.35">
      <c r="E11263" s="9" t="str">
        <v>IGNF</v>
      </c>
      <c r="F11263" s="7" t="str">
        <v>PGP50</v>
      </c>
      <c r="G11263" t="str">
        <v>GeocentricCrs</v>
      </c>
      <c r="H11263" t="str">
        <v>&lt;undefined&gt;</v>
      </c>
      <c r="I11263" t="str">
        <v>Pointe Geologie Perroud 1950 cartesiennes</v>
      </c>
      <c r="J11263" t="str">
        <v>ARCHIPEL POINTE GEOLOGIE (TERRE ADELIE)</v>
      </c>
      <c r="K11263" s="11">
        <v>0</v>
      </c>
    </row>
    <row r="11264" spans="5:11" x14ac:dyDescent="0.35">
      <c r="E11264" s="9" t="str">
        <v>IGNF</v>
      </c>
      <c r="F11264" s="7" t="str">
        <v>TERA50</v>
      </c>
      <c r="G11264" t="str">
        <v>GeocentricCrs</v>
      </c>
      <c r="H11264" t="str">
        <v>&lt;undefined&gt;</v>
      </c>
      <c r="I11264" t="str">
        <v>Pointe Geologie Perroud 1950 cartesiennes</v>
      </c>
      <c r="J11264" t="str">
        <v>ARCHIPEL POINTE GEOLOGIE (TERRE ADELIE)</v>
      </c>
      <c r="K11264" s="11">
        <v>0</v>
      </c>
    </row>
    <row r="11265" spans="5:11" x14ac:dyDescent="0.35">
      <c r="E11265" s="9" t="str">
        <v>IGNF</v>
      </c>
      <c r="F11265" s="7" t="str">
        <v>PGP50G</v>
      </c>
      <c r="G11265" t="str">
        <v>Geographic2DCrs</v>
      </c>
      <c r="H11265" t="str">
        <v>&lt;undefined&gt;</v>
      </c>
      <c r="I11265" t="str">
        <v>Pointe Geologie Perroud 1950 geographiques (dms)</v>
      </c>
      <c r="J11265" t="str">
        <v>ARCHIPEL POINTE GEOLOGIE (TERRE ADELIE)</v>
      </c>
      <c r="K11265" s="11">
        <v>0</v>
      </c>
    </row>
    <row r="11266" spans="5:11" x14ac:dyDescent="0.35">
      <c r="E11266" s="9" t="str">
        <v>IGNF</v>
      </c>
      <c r="F11266" s="7" t="str">
        <v>TERA50G</v>
      </c>
      <c r="G11266" t="str">
        <v>Geographic2DCrs</v>
      </c>
      <c r="H11266" t="str">
        <v>&lt;undefined&gt;</v>
      </c>
      <c r="I11266" t="str">
        <v>Pointe Geologie Perroud 1950 geographiques (dms)</v>
      </c>
      <c r="J11266" t="str">
        <v>ARCHIPEL POINTE GEOLOGIE (TERRE ADELIE)</v>
      </c>
      <c r="K11266" s="11">
        <v>0</v>
      </c>
    </row>
    <row r="11267" spans="5:11" x14ac:dyDescent="0.35">
      <c r="E11267" s="9" t="str">
        <v>IGNF</v>
      </c>
      <c r="F11267" s="7" t="str">
        <v>TERA50GEO</v>
      </c>
      <c r="G11267" t="str">
        <v>Geographic3DCrs</v>
      </c>
      <c r="H11267" t="str">
        <v>&lt;undefined&gt;</v>
      </c>
      <c r="I11267" t="str">
        <v>Pointe Geologie Perroud 1950 geographiques (dms)</v>
      </c>
      <c r="J11267" t="str">
        <v>ARCHIPEL POINTE GEOLOGIE (TERRE ADELIE)</v>
      </c>
      <c r="K11267" s="11">
        <v>0</v>
      </c>
    </row>
    <row r="11268" spans="5:11" x14ac:dyDescent="0.35">
      <c r="E11268" s="9" t="str">
        <v>IGNF</v>
      </c>
      <c r="F11268" s="7" t="str">
        <v>RGPFEQGPPF</v>
      </c>
      <c r="G11268" t="str">
        <v>ProjectedCrs</v>
      </c>
      <c r="H11268" t="str">
        <v>Equidistant Cylindrical</v>
      </c>
      <c r="I11268" t="str">
        <v>Polynesie Francaise projection Geoportail</v>
      </c>
      <c r="J11268" t="str">
        <v>POLYNESIE FRANCAISE</v>
      </c>
      <c r="K11268" s="11">
        <v>0</v>
      </c>
    </row>
    <row r="11269" spans="5:11" x14ac:dyDescent="0.35">
      <c r="E11269" s="9" t="str">
        <v>IGNF</v>
      </c>
      <c r="F11269" s="7" t="str">
        <v>GEOPORTALPYF</v>
      </c>
      <c r="G11269" t="str">
        <v>ProjectedCrs</v>
      </c>
      <c r="H11269" t="str">
        <v>Equidistant Cylindrical</v>
      </c>
      <c r="I11269" t="str">
        <v>Polynesie Francaise projection Geoportail</v>
      </c>
      <c r="J11269" t="str">
        <v>POLYNESIE FRANCAISE</v>
      </c>
      <c r="K11269" s="11">
        <v>0</v>
      </c>
    </row>
    <row r="11270" spans="5:11" x14ac:dyDescent="0.35">
      <c r="E11270" s="9" t="str">
        <v>IGNF</v>
      </c>
      <c r="F11270" s="7" t="str">
        <v>PMARP55G</v>
      </c>
      <c r="G11270" t="str">
        <v>Geographic2DCrs</v>
      </c>
      <c r="H11270" t="str">
        <v>&lt;undefined&gt;</v>
      </c>
      <c r="I11270" t="str">
        <v>Port Martin geographiques (dms)</v>
      </c>
      <c r="J11270" t="str">
        <v>PORT-MARTIN (TERRE ADELIE)</v>
      </c>
      <c r="K11270" s="11">
        <v>0</v>
      </c>
    </row>
    <row r="11271" spans="5:11" x14ac:dyDescent="0.35">
      <c r="E11271" s="9" t="str">
        <v>IGNF</v>
      </c>
      <c r="F11271" s="7" t="str">
        <v>PMAR55G</v>
      </c>
      <c r="G11271" t="str">
        <v>Geographic2DCrs</v>
      </c>
      <c r="H11271" t="str">
        <v>&lt;undefined&gt;</v>
      </c>
      <c r="I11271" t="str">
        <v>Port Martin geographiques (dms)</v>
      </c>
      <c r="J11271" t="str">
        <v>PORT-MARTIN (TERRE ADELIE)</v>
      </c>
      <c r="K11271" s="11">
        <v>0</v>
      </c>
    </row>
    <row r="11272" spans="5:11" x14ac:dyDescent="0.35">
      <c r="E11272" s="9" t="str">
        <v>IGNF</v>
      </c>
      <c r="F11272" s="7" t="str">
        <v>PMARP55</v>
      </c>
      <c r="G11272" t="str">
        <v>GeocentricCrs</v>
      </c>
      <c r="H11272" t="str">
        <v>&lt;undefined&gt;</v>
      </c>
      <c r="I11272" t="str">
        <v>Port Martin Perroud 1955 cartesiennes</v>
      </c>
      <c r="J11272" t="str">
        <v>PORT-MARTIN (TERRE ADELIE)</v>
      </c>
      <c r="K11272" s="11">
        <v>0</v>
      </c>
    </row>
    <row r="11273" spans="5:11" x14ac:dyDescent="0.35">
      <c r="E11273" s="9" t="str">
        <v>IGNF</v>
      </c>
      <c r="F11273" s="7" t="str">
        <v>PMAR55</v>
      </c>
      <c r="G11273" t="str">
        <v>GeocentricCrs</v>
      </c>
      <c r="H11273" t="str">
        <v>&lt;undefined&gt;</v>
      </c>
      <c r="I11273" t="str">
        <v>Port Martin Perroud 1955 cartesiennes</v>
      </c>
      <c r="J11273" t="str">
        <v>PORT-MARTIN (TERRE ADELIE)</v>
      </c>
      <c r="K11273" s="11">
        <v>0</v>
      </c>
    </row>
    <row r="11274" spans="5:11" x14ac:dyDescent="0.35">
      <c r="E11274" s="9" t="str">
        <v>IGNF</v>
      </c>
      <c r="F11274" s="7" t="str">
        <v>RAIA53</v>
      </c>
      <c r="G11274" t="str">
        <v>GeocentricCrs</v>
      </c>
      <c r="H11274" t="str">
        <v>&lt;undefined&gt;</v>
      </c>
      <c r="I11274" t="str">
        <v>Raiatea Tahaa Bora Bora Huahine 1953 cartesiennes</v>
      </c>
      <c r="J11274" t="str">
        <v>RAIATEA, TAHAA (ARCHIPEL DE LA SOCIETE)</v>
      </c>
      <c r="K11274" s="11">
        <v>0</v>
      </c>
    </row>
    <row r="11275" spans="5:11" x14ac:dyDescent="0.35">
      <c r="E11275" s="9" t="str">
        <v>IGNF</v>
      </c>
      <c r="F11275" s="7" t="str">
        <v>TAHAA53</v>
      </c>
      <c r="G11275" t="str">
        <v>GeocentricCrs</v>
      </c>
      <c r="H11275" t="str">
        <v>&lt;undefined&gt;</v>
      </c>
      <c r="I11275" t="str">
        <v>Raiatea Tahaa Bora Bora Huahine 1953 cartesiennes</v>
      </c>
      <c r="J11275" t="str">
        <v>RAIATEA, TAHAA (ARCHIPEL DE LA SOCIETE)</v>
      </c>
      <c r="K11275" s="11">
        <v>0</v>
      </c>
    </row>
    <row r="11276" spans="5:11" x14ac:dyDescent="0.35">
      <c r="E11276" s="9" t="str">
        <v>IGNF</v>
      </c>
      <c r="F11276" s="7" t="str">
        <v>RAIA01</v>
      </c>
      <c r="G11276" t="str">
        <v>VerticalCrs</v>
      </c>
      <c r="H11276" t="str">
        <v>&lt;undefined&gt;</v>
      </c>
      <c r="I11276" t="str">
        <v>RAIATEA_SAU 2001</v>
      </c>
      <c r="J11276" t="str">
        <v>RAIATEA, TAHAA (ARCHIPEL DE LA SOCIETE)</v>
      </c>
      <c r="K11276" s="11">
        <v>0</v>
      </c>
    </row>
    <row r="11277" spans="5:11" x14ac:dyDescent="0.35">
      <c r="E11277" s="9" t="str">
        <v>IGNF</v>
      </c>
      <c r="F11277" s="7" t="str">
        <v>RAIV54G</v>
      </c>
      <c r="G11277" t="str">
        <v>Geographic2DCrs</v>
      </c>
      <c r="H11277" t="str">
        <v>&lt;undefined&gt;</v>
      </c>
      <c r="I11277" t="str">
        <v>Raivavae (Cadastre) geographiques (dms)</v>
      </c>
      <c r="J11277" t="str">
        <v>RAIVAVAE (ARCHIPEL DES AUSTRALES)</v>
      </c>
      <c r="K11277" s="11">
        <v>0</v>
      </c>
    </row>
    <row r="11278" spans="5:11" x14ac:dyDescent="0.35">
      <c r="E11278" s="9" t="str">
        <v>IGNF</v>
      </c>
      <c r="F11278" s="7" t="str">
        <v>RAIV54UTM6S</v>
      </c>
      <c r="G11278" t="str">
        <v>ProjectedCrs</v>
      </c>
      <c r="H11278" t="str">
        <v>Transverse Mercator</v>
      </c>
      <c r="I11278" t="str">
        <v>Raivavae (Cadastre) UTM Sud fuseau 6</v>
      </c>
      <c r="J11278" t="str">
        <v>RAIVAVAE (ARCHIPEL DES AUSTRALES) - UTM SUD FUSEAU 6</v>
      </c>
      <c r="K11278" s="11">
        <v>0</v>
      </c>
    </row>
    <row r="11279" spans="5:11" x14ac:dyDescent="0.35">
      <c r="E11279" s="9" t="str">
        <v>IGNF</v>
      </c>
      <c r="F11279" s="7" t="str">
        <v>RAIV66G</v>
      </c>
      <c r="G11279" t="str">
        <v>Geographic2DCrs</v>
      </c>
      <c r="H11279" t="str">
        <v>&lt;undefined&gt;</v>
      </c>
      <c r="I11279" t="str">
        <v>Raivavae (MHPF 1966) geographiques (dms)</v>
      </c>
      <c r="J11279" t="str">
        <v>RAIVAVAE (ARCHIPEL DES AUSTRALES)</v>
      </c>
      <c r="K11279" s="11">
        <v>0</v>
      </c>
    </row>
    <row r="11280" spans="5:11" x14ac:dyDescent="0.35">
      <c r="E11280" s="9" t="str">
        <v>IGNF</v>
      </c>
      <c r="F11280" s="7" t="str">
        <v>RAIV66UTM6S</v>
      </c>
      <c r="G11280" t="str">
        <v>ProjectedCrs</v>
      </c>
      <c r="H11280" t="str">
        <v>Transverse Mercator</v>
      </c>
      <c r="I11280" t="str">
        <v>Raivavae (MHPF 1966) UTM Sud fuseau 6</v>
      </c>
      <c r="J11280" t="str">
        <v>RAIVAVAE (ARCHIPEL DES AUSTRALES) - UTM SUD FUSEAU 6</v>
      </c>
      <c r="K11280" s="11">
        <v>0</v>
      </c>
    </row>
    <row r="11281" spans="5:11" x14ac:dyDescent="0.35">
      <c r="E11281" s="9" t="str">
        <v>IGNF</v>
      </c>
      <c r="F11281" s="7" t="str">
        <v>RAIV54</v>
      </c>
      <c r="G11281" t="str">
        <v>GeocentricCrs</v>
      </c>
      <c r="H11281" t="str">
        <v>&lt;undefined&gt;</v>
      </c>
      <c r="I11281" t="str">
        <v>Raivavae cadastre 1953-1954 cartesiennes geocent.</v>
      </c>
      <c r="J11281" t="str">
        <v>RAIVAVAE (ARCHIPEL DES AUSTRALES)</v>
      </c>
      <c r="K11281" s="11">
        <v>0</v>
      </c>
    </row>
    <row r="11282" spans="5:11" x14ac:dyDescent="0.35">
      <c r="E11282" s="9" t="str">
        <v>IGNF</v>
      </c>
      <c r="F11282" s="7" t="str">
        <v>RAIV66</v>
      </c>
      <c r="G11282" t="str">
        <v>GeocentricCrs</v>
      </c>
      <c r="H11282" t="str">
        <v>&lt;undefined&gt;</v>
      </c>
      <c r="I11282" t="str">
        <v>Raivavae MHPF 1966 cartesiennes geocentriques</v>
      </c>
      <c r="J11282" t="str">
        <v>RAIVAVAE (ARCHIPEL DES AUSTRALES)</v>
      </c>
      <c r="K11282" s="11">
        <v>0</v>
      </c>
    </row>
    <row r="11283" spans="5:11" x14ac:dyDescent="0.35">
      <c r="E11283" s="9" t="str">
        <v>IGNF</v>
      </c>
      <c r="F11283" s="7" t="str">
        <v>RANGI47G</v>
      </c>
      <c r="G11283" t="str">
        <v>Geographic2DCrs</v>
      </c>
      <c r="H11283" t="str">
        <v>&lt;undefined&gt;</v>
      </c>
      <c r="I11283" t="str">
        <v>Rangiroa (MGT 1947) geographiques (dms)</v>
      </c>
      <c r="J11283" t="str">
        <v>RANGIROA (ARCHIPEL DES TUAMOTU)</v>
      </c>
      <c r="K11283" s="11">
        <v>0</v>
      </c>
    </row>
    <row r="11284" spans="5:11" x14ac:dyDescent="0.35">
      <c r="E11284" s="9" t="str">
        <v>IGNF</v>
      </c>
      <c r="F11284" s="7" t="str">
        <v>RANGI47UTM6S</v>
      </c>
      <c r="G11284" t="str">
        <v>ProjectedCrs</v>
      </c>
      <c r="H11284" t="str">
        <v>Transverse Mercator</v>
      </c>
      <c r="I11284" t="str">
        <v>Rangiroa (MGT 1947) UTM Sud fuseau 6</v>
      </c>
      <c r="J11284" t="str">
        <v>RANGIROA (ARCHIPEL DES TUAMOTU) - UTM SUD FUSEAU 6</v>
      </c>
      <c r="K11284" s="11">
        <v>0</v>
      </c>
    </row>
    <row r="11285" spans="5:11" x14ac:dyDescent="0.35">
      <c r="E11285" s="9" t="str">
        <v>IGNF</v>
      </c>
      <c r="F11285" s="7" t="str">
        <v>RANGI47U6S</v>
      </c>
      <c r="G11285" t="str">
        <v>ProjectedCrs</v>
      </c>
      <c r="H11285" t="str">
        <v>Transverse Mercator</v>
      </c>
      <c r="I11285" t="str">
        <v>Rangiroa (MGT 1947) UTM Sud fuseau 6</v>
      </c>
      <c r="J11285" t="str">
        <v>RANGIROA (ARCHIPEL DES TUAMOTU) - UTM SUD FUSEAU 6</v>
      </c>
      <c r="K11285" s="11">
        <v>0</v>
      </c>
    </row>
    <row r="11286" spans="5:11" x14ac:dyDescent="0.35">
      <c r="E11286" s="9" t="str">
        <v>IGNF</v>
      </c>
      <c r="F11286" s="7" t="str">
        <v>RANGI59G</v>
      </c>
      <c r="G11286" t="str">
        <v>Geographic2DCrs</v>
      </c>
      <c r="H11286" t="str">
        <v>&lt;undefined&gt;</v>
      </c>
      <c r="I11286" t="str">
        <v>Rangiroa (MHPF 1959) geographiques (dms)</v>
      </c>
      <c r="J11286" t="str">
        <v>RANGIROA (ARCHIPEL DES TUAMOTU)</v>
      </c>
      <c r="K11286" s="11">
        <v>0</v>
      </c>
    </row>
    <row r="11287" spans="5:11" x14ac:dyDescent="0.35">
      <c r="E11287" s="9" t="str">
        <v>IGNF</v>
      </c>
      <c r="F11287" s="7" t="str">
        <v>RANGI59UTM6S</v>
      </c>
      <c r="G11287" t="str">
        <v>ProjectedCrs</v>
      </c>
      <c r="H11287" t="str">
        <v>Transverse Mercator</v>
      </c>
      <c r="I11287" t="str">
        <v>Rangiroa (MHPF 1959) UTM Sud fuseau 6</v>
      </c>
      <c r="J11287" t="str">
        <v>RANGIROA (ARCHIPEL DES TUAMOTU) - UTM SUD FUSEAU 6</v>
      </c>
      <c r="K11287" s="11">
        <v>0</v>
      </c>
    </row>
    <row r="11288" spans="5:11" x14ac:dyDescent="0.35">
      <c r="E11288" s="9" t="str">
        <v>IGNF</v>
      </c>
      <c r="F11288" s="7" t="str">
        <v>RANGI59U6S</v>
      </c>
      <c r="G11288" t="str">
        <v>ProjectedCrs</v>
      </c>
      <c r="H11288" t="str">
        <v>Transverse Mercator</v>
      </c>
      <c r="I11288" t="str">
        <v>Rangiroa (MHPF 1959) UTM Sud fuseau 6</v>
      </c>
      <c r="J11288" t="str">
        <v>RANGIROA (ARCHIPEL DES TUAMOTU) - UTM SUD FUSEAU 6</v>
      </c>
      <c r="K11288" s="11">
        <v>0</v>
      </c>
    </row>
    <row r="11289" spans="5:11" x14ac:dyDescent="0.35">
      <c r="E11289" s="9" t="str">
        <v>IGNF</v>
      </c>
      <c r="F11289" s="7" t="str">
        <v>RANGI68G</v>
      </c>
      <c r="G11289" t="str">
        <v>Geographic2DCrs</v>
      </c>
      <c r="H11289" t="str">
        <v>&lt;undefined&gt;</v>
      </c>
      <c r="I11289" t="str">
        <v>Rangiroa (MHPF 1966-68) geographiques (dms)</v>
      </c>
      <c r="J11289" t="str">
        <v>RANGIROA (ARCHIPEL DES TUAMOTU)</v>
      </c>
      <c r="K11289" s="11">
        <v>0</v>
      </c>
    </row>
    <row r="11290" spans="5:11" x14ac:dyDescent="0.35">
      <c r="E11290" s="9" t="str">
        <v>IGNF</v>
      </c>
      <c r="F11290" s="7" t="str">
        <v>RANGI68U6S</v>
      </c>
      <c r="G11290" t="str">
        <v>ProjectedCrs</v>
      </c>
      <c r="H11290" t="str">
        <v>Transverse Mercator</v>
      </c>
      <c r="I11290" t="str">
        <v>Rangiroa (MHPF 1966-68) UTM Sud fuseau 6</v>
      </c>
      <c r="J11290" t="str">
        <v>RANGIROA (ARCHIPEL DES TUAMOTU) - UTM SUD FUSEAU 6</v>
      </c>
      <c r="K11290" s="11">
        <v>0</v>
      </c>
    </row>
    <row r="11291" spans="5:11" x14ac:dyDescent="0.35">
      <c r="E11291" s="9" t="str">
        <v>IGNF</v>
      </c>
      <c r="F11291" s="7" t="str">
        <v>RANGI68UTM6S</v>
      </c>
      <c r="G11291" t="str">
        <v>ProjectedCrs</v>
      </c>
      <c r="H11291" t="str">
        <v>Transverse Mercator</v>
      </c>
      <c r="I11291" t="str">
        <v>Rangiroa (MHPF 1966-68) UTM Sud fuseau 6</v>
      </c>
      <c r="J11291" t="str">
        <v>RANGIROA (ARCHIPEL DES TUAMOTU) - UTM SUD FUSEAU 6</v>
      </c>
      <c r="K11291" s="11">
        <v>0</v>
      </c>
    </row>
    <row r="11292" spans="5:11" x14ac:dyDescent="0.35">
      <c r="E11292" s="9" t="str">
        <v>IGNF</v>
      </c>
      <c r="F11292" s="7" t="str">
        <v>RANGI47</v>
      </c>
      <c r="G11292" t="str">
        <v>GeocentricCrs</v>
      </c>
      <c r="H11292" t="str">
        <v>&lt;undefined&gt;</v>
      </c>
      <c r="I11292" t="str">
        <v>Rangiroa MGT 1947 cartesiennes geocentriques</v>
      </c>
      <c r="J11292" t="str">
        <v>RANGIROA (ARCHIPEL DES TUAMOTU)</v>
      </c>
      <c r="K11292" s="11">
        <v>0</v>
      </c>
    </row>
    <row r="11293" spans="5:11" x14ac:dyDescent="0.35">
      <c r="E11293" s="9" t="str">
        <v>IGNF</v>
      </c>
      <c r="F11293" s="7" t="str">
        <v>RANGI59</v>
      </c>
      <c r="G11293" t="str">
        <v>GeocentricCrs</v>
      </c>
      <c r="H11293" t="str">
        <v>&lt;undefined&gt;</v>
      </c>
      <c r="I11293" t="str">
        <v>Rangiroa MHPF 1959 cartesiennes geocent.</v>
      </c>
      <c r="J11293" t="str">
        <v>RANGIROA (ARCHIPEL DES TUAMOTU)</v>
      </c>
      <c r="K11293" s="11">
        <v>0</v>
      </c>
    </row>
    <row r="11294" spans="5:11" x14ac:dyDescent="0.35">
      <c r="E11294" s="9" t="str">
        <v>IGNF</v>
      </c>
      <c r="F11294" s="7" t="str">
        <v>RANGI68</v>
      </c>
      <c r="G11294" t="str">
        <v>GeocentricCrs</v>
      </c>
      <c r="H11294" t="str">
        <v>&lt;undefined&gt;</v>
      </c>
      <c r="I11294" t="str">
        <v>Rangiroa MHPF 1966-1968 cartesiennes geocent.</v>
      </c>
      <c r="J11294" t="str">
        <v>RANGIROA (ARCHIPEL DES TUAMOTU)</v>
      </c>
      <c r="K11294" s="11">
        <v>0</v>
      </c>
    </row>
    <row r="11295" spans="5:11" x14ac:dyDescent="0.35">
      <c r="E11295" s="9" t="str">
        <v>IGNF</v>
      </c>
      <c r="F11295" s="7" t="str">
        <v>RAPA55G</v>
      </c>
      <c r="G11295" t="str">
        <v>Geographic2DCrs</v>
      </c>
      <c r="H11295" t="str">
        <v>&lt;undefined&gt;</v>
      </c>
      <c r="I11295" t="str">
        <v>Rapa (MHEFO 1955) geographiques (dms)</v>
      </c>
      <c r="J11295" t="str">
        <v>RAPA (ARCHIPEL DES AUSTRALES)</v>
      </c>
      <c r="K11295" s="11">
        <v>0</v>
      </c>
    </row>
    <row r="11296" spans="5:11" x14ac:dyDescent="0.35">
      <c r="E11296" s="9" t="str">
        <v>IGNF</v>
      </c>
      <c r="F11296" s="7" t="str">
        <v>RAPA80G</v>
      </c>
      <c r="G11296" t="str">
        <v>Geographic2DCrs</v>
      </c>
      <c r="H11296" t="str">
        <v>&lt;undefined&gt;</v>
      </c>
      <c r="I11296" t="str">
        <v>Rapa (SEQ 1980) geographiques (dms)</v>
      </c>
      <c r="J11296" t="str">
        <v>RAPA (ARCHIPEL DES AUSTRALES)</v>
      </c>
      <c r="K11296" s="11">
        <v>0</v>
      </c>
    </row>
    <row r="11297" spans="5:11" x14ac:dyDescent="0.35">
      <c r="E11297" s="9" t="str">
        <v>IGNF</v>
      </c>
      <c r="F11297" s="7" t="str">
        <v>RAPA55</v>
      </c>
      <c r="G11297" t="str">
        <v>GeocentricCrs</v>
      </c>
      <c r="H11297" t="str">
        <v>&lt;undefined&gt;</v>
      </c>
      <c r="I11297" t="str">
        <v>Rapa MHEFO 1955 cartesiennes geocentriques</v>
      </c>
      <c r="J11297" t="str">
        <v>RAPA (ARCHIPEL DES AUSTRALES)</v>
      </c>
      <c r="K11297" s="11">
        <v>0</v>
      </c>
    </row>
    <row r="11298" spans="5:11" x14ac:dyDescent="0.35">
      <c r="E11298" s="9" t="str">
        <v>IGNF</v>
      </c>
      <c r="F11298" s="7" t="str">
        <v>RAPA80</v>
      </c>
      <c r="G11298" t="str">
        <v>GeocentricCrs</v>
      </c>
      <c r="H11298" t="str">
        <v>&lt;undefined&gt;</v>
      </c>
      <c r="I11298" t="str">
        <v>Rapa SEQ 1980 cartesiennes geocentriques</v>
      </c>
      <c r="J11298" t="str">
        <v>RAPA (ARCHIPEL DES AUSTRALES)</v>
      </c>
      <c r="K11298" s="11">
        <v>0</v>
      </c>
    </row>
    <row r="11299" spans="5:11" x14ac:dyDescent="0.35">
      <c r="E11299" s="9" t="str">
        <v>IGNF</v>
      </c>
      <c r="F11299" s="7" t="str">
        <v>RGWF96</v>
      </c>
      <c r="G11299" t="str">
        <v>GeocentricCrs</v>
      </c>
      <c r="H11299" t="str">
        <v>&lt;undefined&gt;</v>
      </c>
      <c r="I11299" t="str">
        <v>RESEAU GEODESIQUE DE WALLIS ET FUTUNA 1996 CARTESIENNES GEOCENTRIQUES</v>
      </c>
      <c r="J11299" t="str">
        <v>ILES WALLIS, FUTUNA ET ALOFI</v>
      </c>
      <c r="K11299" s="11">
        <v>0</v>
      </c>
    </row>
    <row r="11300" spans="5:11" x14ac:dyDescent="0.35">
      <c r="E11300" s="9" t="str">
        <v>IGNF</v>
      </c>
      <c r="F11300" s="7" t="str">
        <v>RGWF96GEODD</v>
      </c>
      <c r="G11300" t="str">
        <v>Geographic3DCrs</v>
      </c>
      <c r="H11300" t="str">
        <v>&lt;undefined&gt;</v>
      </c>
      <c r="I11300" t="str">
        <v>RESEAU GEODESIQUE DE WALLIS ET FUTUNA 1996 GEOGRAPHIQUES (DD)</v>
      </c>
      <c r="J11300" t="str">
        <v>ILES WALLIS, FUTUNA ET ALOFI</v>
      </c>
      <c r="K11300" s="11">
        <v>0</v>
      </c>
    </row>
    <row r="11301" spans="5:11" x14ac:dyDescent="0.35">
      <c r="E11301" s="9" t="str">
        <v>IGNF</v>
      </c>
      <c r="F11301" s="7" t="str">
        <v>RGWF96GDD</v>
      </c>
      <c r="G11301" t="str">
        <v>Geographic2DCrs</v>
      </c>
      <c r="H11301" t="str">
        <v>&lt;undefined&gt;</v>
      </c>
      <c r="I11301" t="str">
        <v>RESEAU GEODESIQUE DE WALLIS ET FUTUNA 1996 GEOGRAPHIQUES (DD)</v>
      </c>
      <c r="J11301" t="str">
        <v>ILES WALLIS, FUTUNA ET ALOFI</v>
      </c>
      <c r="K11301" s="11">
        <v>0</v>
      </c>
    </row>
    <row r="11302" spans="5:11" x14ac:dyDescent="0.35">
      <c r="E11302" s="9" t="str">
        <v>IGNF</v>
      </c>
      <c r="F11302" s="7" t="str">
        <v>RGWF96G</v>
      </c>
      <c r="G11302" t="str">
        <v>Geographic2DCrs</v>
      </c>
      <c r="H11302" t="str">
        <v>&lt;undefined&gt;</v>
      </c>
      <c r="I11302" t="str">
        <v>RESEAU GEODESIQUE DE WALLIS ET FUTUNA 1996 GEOGRAPHIQUES (DMS)</v>
      </c>
      <c r="J11302" t="str">
        <v>ILES WALLIS, FUTUNA ET ALOFI</v>
      </c>
      <c r="K11302" s="11">
        <v>0</v>
      </c>
    </row>
    <row r="11303" spans="5:11" x14ac:dyDescent="0.35">
      <c r="E11303" s="9" t="str">
        <v>IGNF</v>
      </c>
      <c r="F11303" s="7" t="str">
        <v>RGWF96GEO</v>
      </c>
      <c r="G11303" t="str">
        <v>Geographic3DCrs</v>
      </c>
      <c r="H11303" t="str">
        <v>&lt;undefined&gt;</v>
      </c>
      <c r="I11303" t="str">
        <v>RESEAU GEODESIQUE DE WALLIS ET FUTUNA 1996 GEOGRAPHIQUES (DMS)</v>
      </c>
      <c r="J11303" t="str">
        <v>ILES WALLIS, FUTUNA ET ALOFI</v>
      </c>
      <c r="K11303" s="11">
        <v>0</v>
      </c>
    </row>
    <row r="11304" spans="5:11" x14ac:dyDescent="0.35">
      <c r="E11304" s="9" t="str">
        <v>IGNF</v>
      </c>
      <c r="F11304" s="7" t="str">
        <v>RGWF96GEO.FUTUNA1997</v>
      </c>
      <c r="G11304" t="str">
        <v>CompoundCrs</v>
      </c>
      <c r="H11304" t="str">
        <v>&lt;undefined&gt;</v>
      </c>
      <c r="I11304" t="str">
        <v>RESEAU GEODESIQUE DE WALLIS ET FUTUNA 1996 GEOGRAPHIQUES (DMS) et NGWF ILES HORN (FUTUNA ET ALOFI)</v>
      </c>
      <c r="J11304" t="str">
        <v>ILES FUTUNA ET ALOFI (ILES HORN)</v>
      </c>
      <c r="K11304" s="11">
        <v>0</v>
      </c>
    </row>
    <row r="11305" spans="5:11" x14ac:dyDescent="0.35">
      <c r="E11305" s="9" t="str">
        <v>IGNF</v>
      </c>
      <c r="F11305" s="7" t="str">
        <v>RGWF96GEO.WALLIS96</v>
      </c>
      <c r="G11305" t="str">
        <v>CompoundCrs</v>
      </c>
      <c r="H11305" t="str">
        <v>&lt;undefined&gt;</v>
      </c>
      <c r="I11305" t="str">
        <v>RESEAU GEODESIQUE DE WALLIS ET FUTUNA 1996 GEOGRAPHIQUES (DMS) et NGWF WALLIS (MOP 1996)</v>
      </c>
      <c r="J11305" t="str">
        <v>ILE D'UVEA (WALLIS)</v>
      </c>
      <c r="K11305" s="11">
        <v>0</v>
      </c>
    </row>
    <row r="11306" spans="5:11" x14ac:dyDescent="0.35">
      <c r="E11306" s="9" t="str">
        <v>IGNF</v>
      </c>
      <c r="F11306" s="7" t="str">
        <v>RGWF96UTM1S</v>
      </c>
      <c r="G11306" t="str">
        <v>ProjectedCrs</v>
      </c>
      <c r="H11306" t="str">
        <v>Transverse Mercator</v>
      </c>
      <c r="I11306" t="str">
        <v>RESEAU GEODESIQUE DE WALLIS ET FUTUNA 1996 UTM SUD FUSEAU 1</v>
      </c>
      <c r="J11306" t="str">
        <v>ILES WALLIS, FUTUNA ET ALOFI - UTM SUD FUSEAU 1</v>
      </c>
      <c r="K11306" s="11">
        <v>0</v>
      </c>
    </row>
    <row r="11307" spans="5:11" x14ac:dyDescent="0.35">
      <c r="E11307" s="9" t="str">
        <v>IGNF</v>
      </c>
      <c r="F11307" s="7" t="str">
        <v>RGWF96UTM1S.FUTUNA1997</v>
      </c>
      <c r="G11307" t="str">
        <v>CompoundCrs</v>
      </c>
      <c r="H11307" t="str">
        <v>&lt;undefined&gt;</v>
      </c>
      <c r="I11307" t="str">
        <v>RESEAU GEODESIQUE DE WALLIS ET FUTUNA 1996 UTM SUD FUSEAU 1 et NGWF ILES HORN (FUTUNA ET ALOFI)</v>
      </c>
      <c r="J11307" t="str">
        <v>ILES FUTUNA ET ALOFI (ILES HORN)</v>
      </c>
      <c r="K11307" s="11">
        <v>0</v>
      </c>
    </row>
    <row r="11308" spans="5:11" x14ac:dyDescent="0.35">
      <c r="E11308" s="9" t="str">
        <v>IGNF</v>
      </c>
      <c r="F11308" s="7" t="str">
        <v>RGWF96UTM1S.WALLIS96</v>
      </c>
      <c r="G11308" t="str">
        <v>CompoundCrs</v>
      </c>
      <c r="H11308" t="str">
        <v>&lt;undefined&gt;</v>
      </c>
      <c r="I11308" t="str">
        <v>RESEAU GEODESIQUE DE WALLIS ET FUTUNA 1996 UTM SUD FUSEAU 1 et NGWF WALLIS (MOP 1996)</v>
      </c>
      <c r="J11308" t="str">
        <v>ILE D'UVEA (WALLIS)</v>
      </c>
      <c r="K11308" s="11">
        <v>0</v>
      </c>
    </row>
    <row r="11309" spans="5:11" x14ac:dyDescent="0.35">
      <c r="E11309" s="9" t="str">
        <v>IGNF</v>
      </c>
      <c r="F11309" s="7" t="str">
        <v>REUN49</v>
      </c>
      <c r="G11309" t="str">
        <v>GeocentricCrs</v>
      </c>
      <c r="H11309" t="str">
        <v>&lt;undefined&gt;</v>
      </c>
      <c r="I11309" t="str">
        <v>Reunion Piton des Neiges 1949 cartesiennes</v>
      </c>
      <c r="J11309" t="str">
        <v>ILE DE LA REUNION</v>
      </c>
      <c r="K11309" s="11">
        <v>0</v>
      </c>
    </row>
    <row r="11310" spans="5:11" x14ac:dyDescent="0.35">
      <c r="E11310" s="9" t="str">
        <v>IGNF</v>
      </c>
      <c r="F11310" s="7" t="str">
        <v>REUN47</v>
      </c>
      <c r="G11310" t="str">
        <v>GeocentricCrs</v>
      </c>
      <c r="H11310" t="str">
        <v>&lt;undefined&gt;</v>
      </c>
      <c r="I11310" t="str">
        <v>Reunion Piton des Neiges 1949 cartesiennes</v>
      </c>
      <c r="J11310" t="str">
        <v>ILE DE LA REUNION</v>
      </c>
      <c r="K11310" s="11">
        <v>0</v>
      </c>
    </row>
    <row r="11311" spans="5:11" x14ac:dyDescent="0.35">
      <c r="E11311" s="9" t="str">
        <v>IGNF</v>
      </c>
      <c r="F11311" s="7" t="str">
        <v>REUN47GAUSSL</v>
      </c>
      <c r="G11311" t="str">
        <v>ProjectedCrs</v>
      </c>
      <c r="H11311" t="str">
        <v>Gauss Schreiber Transverse Mercator</v>
      </c>
      <c r="I11311" t="str">
        <v>Reunion Piton des Neiges Gauss Laborde</v>
      </c>
      <c r="J11311" t="str">
        <v>ILE DE LA REUNION - GAUSS LABORDE REUNION</v>
      </c>
      <c r="K11311" s="11">
        <v>0</v>
      </c>
    </row>
    <row r="11312" spans="5:11" x14ac:dyDescent="0.35">
      <c r="E11312" s="9" t="str">
        <v>IGNF</v>
      </c>
      <c r="F11312" s="7" t="str">
        <v>REUN49GAUSSL</v>
      </c>
      <c r="G11312" t="str">
        <v>ProjectedCrs</v>
      </c>
      <c r="H11312" t="str">
        <v>Gauss Schreiber Transverse Mercator</v>
      </c>
      <c r="I11312" t="str">
        <v>Reunion Piton des Neiges Gauss Laborde</v>
      </c>
      <c r="J11312" t="str">
        <v>ILE DE LA REUNION - GAUSS LABORDE REUNION</v>
      </c>
      <c r="K11312" s="11">
        <v>0</v>
      </c>
    </row>
    <row r="11313" spans="5:11" x14ac:dyDescent="0.35">
      <c r="E11313" s="9" t="str">
        <v>IGNF</v>
      </c>
      <c r="F11313" s="7" t="str">
        <v>REUN49GAUSSL.REUN89</v>
      </c>
      <c r="G11313" t="str">
        <v>CompoundCrs</v>
      </c>
      <c r="H11313" t="str">
        <v>&lt;undefined&gt;</v>
      </c>
      <c r="I11313" t="str">
        <v>Reunion Piton des Neiges Gauss Laborde et IGN 1989 (REUNION)</v>
      </c>
      <c r="J11313" t="str">
        <v>ILE DE LA REUNION - GAUSS LABORDE REUNION</v>
      </c>
      <c r="K11313" s="11">
        <v>0</v>
      </c>
    </row>
    <row r="11314" spans="5:11" x14ac:dyDescent="0.35">
      <c r="E11314" s="9" t="str">
        <v>IGNF</v>
      </c>
      <c r="F11314" s="7" t="str">
        <v>REUN49G</v>
      </c>
      <c r="G11314" t="str">
        <v>Geographic2DCrs</v>
      </c>
      <c r="H11314" t="str">
        <v>&lt;undefined&gt;</v>
      </c>
      <c r="I11314" t="str">
        <v>Reunion Piton des Neiges geographiques (dms)</v>
      </c>
      <c r="J11314" t="str">
        <v>ILE DE LA REUNION</v>
      </c>
      <c r="K11314" s="11">
        <v>0</v>
      </c>
    </row>
    <row r="11315" spans="5:11" x14ac:dyDescent="0.35">
      <c r="E11315" s="9" t="str">
        <v>IGNF</v>
      </c>
      <c r="F11315" s="7" t="str">
        <v>REUN47GEO</v>
      </c>
      <c r="G11315" t="str">
        <v>Geographic3DCrs</v>
      </c>
      <c r="H11315" t="str">
        <v>&lt;undefined&gt;</v>
      </c>
      <c r="I11315" t="str">
        <v>Reunion Piton des Neiges geographiques (dms)</v>
      </c>
      <c r="J11315" t="str">
        <v>ILE DE LA REUNION</v>
      </c>
      <c r="K11315" s="11">
        <v>0</v>
      </c>
    </row>
    <row r="11316" spans="5:11" x14ac:dyDescent="0.35">
      <c r="E11316" s="9" t="str">
        <v>IGNF</v>
      </c>
      <c r="F11316" s="7" t="str">
        <v>REUN47G</v>
      </c>
      <c r="G11316" t="str">
        <v>Geographic2DCrs</v>
      </c>
      <c r="H11316" t="str">
        <v>&lt;undefined&gt;</v>
      </c>
      <c r="I11316" t="str">
        <v>Reunion Piton des Neiges geographiques (dms)</v>
      </c>
      <c r="J11316" t="str">
        <v>ILE DE LA REUNION</v>
      </c>
      <c r="K11316" s="11">
        <v>0</v>
      </c>
    </row>
    <row r="11317" spans="5:11" x14ac:dyDescent="0.35">
      <c r="E11317" s="9" t="str">
        <v>IGNF</v>
      </c>
      <c r="F11317" s="7" t="str">
        <v>REUN49G.REUN89</v>
      </c>
      <c r="G11317" t="str">
        <v>CompoundCrs</v>
      </c>
      <c r="H11317" t="str">
        <v>&lt;undefined&gt;</v>
      </c>
      <c r="I11317" t="str">
        <v>Reunion Piton des Neiges geographiques (dms) et IGN 1989 (REUNION)</v>
      </c>
      <c r="J11317" t="str">
        <v>ILE DE LA REUNION</v>
      </c>
      <c r="K11317" s="11">
        <v>0</v>
      </c>
    </row>
    <row r="11318" spans="5:11" x14ac:dyDescent="0.35">
      <c r="E11318" s="9" t="str">
        <v>IGNF</v>
      </c>
      <c r="F11318" s="7" t="str">
        <v>GEOPORTALREU</v>
      </c>
      <c r="G11318" t="str">
        <v>ProjectedCrs</v>
      </c>
      <c r="H11318" t="str">
        <v>Equidistant Cylindrical</v>
      </c>
      <c r="I11318" t="str">
        <v>Reunion projection Geoportail</v>
      </c>
      <c r="J11318" t="str">
        <v>ILE DE LA REUNION</v>
      </c>
      <c r="K11318" s="11">
        <v>0</v>
      </c>
    </row>
    <row r="11319" spans="5:11" x14ac:dyDescent="0.35">
      <c r="E11319" s="9" t="str">
        <v>IGNF</v>
      </c>
      <c r="F11319" s="7" t="str">
        <v>RGR92EQGPREU</v>
      </c>
      <c r="G11319" t="str">
        <v>ProjectedCrs</v>
      </c>
      <c r="H11319" t="str">
        <v>Equidistant Cylindrical</v>
      </c>
      <c r="I11319" t="str">
        <v>Reunion projection Geoportail</v>
      </c>
      <c r="J11319" t="str">
        <v>ILE DE LA REUNION</v>
      </c>
      <c r="K11319" s="11">
        <v>0</v>
      </c>
    </row>
    <row r="11320" spans="5:11" x14ac:dyDescent="0.35">
      <c r="E11320" s="9" t="str">
        <v>IGNF</v>
      </c>
      <c r="F11320" s="7" t="str">
        <v>RGAF09</v>
      </c>
      <c r="G11320" t="str">
        <v>GeocentricCrs</v>
      </c>
      <c r="H11320" t="str">
        <v>&lt;undefined&gt;</v>
      </c>
      <c r="I11320" t="str">
        <v>RGAF09 cartesiennes geocentriques</v>
      </c>
      <c r="J11320" t="str">
        <v>ANTILLES FRANCAISES</v>
      </c>
      <c r="K11320" s="11">
        <v>0</v>
      </c>
    </row>
    <row r="11321" spans="5:11" x14ac:dyDescent="0.35">
      <c r="E11321" s="9" t="str">
        <v>IGNF</v>
      </c>
      <c r="F11321" s="7" t="str">
        <v>RGAF09GEODD</v>
      </c>
      <c r="G11321" t="str">
        <v>Geographic3DCrs</v>
      </c>
      <c r="H11321" t="str">
        <v>&lt;undefined&gt;</v>
      </c>
      <c r="I11321" t="str">
        <v>RGAF09 geographiques (dd)</v>
      </c>
      <c r="J11321" t="str">
        <v>ANTILLES FRANCAISES</v>
      </c>
      <c r="K11321" s="11">
        <v>0</v>
      </c>
    </row>
    <row r="11322" spans="5:11" x14ac:dyDescent="0.35">
      <c r="E11322" s="9" t="str">
        <v>IGNF</v>
      </c>
      <c r="F11322" s="7" t="str">
        <v>RGAF09GDD</v>
      </c>
      <c r="G11322" t="str">
        <v>Geographic2DCrs</v>
      </c>
      <c r="H11322" t="str">
        <v>&lt;undefined&gt;</v>
      </c>
      <c r="I11322" t="str">
        <v>RGAF09 geographiques (dd)</v>
      </c>
      <c r="J11322" t="str">
        <v>ANTILLES FRANCAISES</v>
      </c>
      <c r="K11322" s="11">
        <v>0</v>
      </c>
    </row>
    <row r="11323" spans="5:11" x14ac:dyDescent="0.35">
      <c r="E11323" s="9" t="str">
        <v>IGNF</v>
      </c>
      <c r="F11323" s="7" t="str">
        <v>RGAF09GDD.MART87</v>
      </c>
      <c r="G11323" t="str">
        <v>CompoundCrs</v>
      </c>
      <c r="H11323" t="str">
        <v>&lt;undefined&gt;</v>
      </c>
      <c r="I11323" t="str">
        <v>RGAF09 geographiques (dd) et IGN 1987 (MARTINIQUE)</v>
      </c>
      <c r="J11323" t="str">
        <v>MARTINIQUE</v>
      </c>
      <c r="K11323" s="11">
        <v>0</v>
      </c>
    </row>
    <row r="11324" spans="5:11" x14ac:dyDescent="0.35">
      <c r="E11324" s="9" t="str">
        <v>IGNF</v>
      </c>
      <c r="F11324" s="7" t="str">
        <v>RGAF09GDD.GUAD88</v>
      </c>
      <c r="G11324" t="str">
        <v>CompoundCrs</v>
      </c>
      <c r="H11324" t="str">
        <v>&lt;undefined&gt;</v>
      </c>
      <c r="I11324" t="str">
        <v>RGAF09 geographiques (dd) et IGN 1988 (GUADELOUPE)</v>
      </c>
      <c r="J11324" t="str">
        <v>GRANDE-TERRE ET BASSE-TERRE (GUADELOUPE)</v>
      </c>
      <c r="K11324" s="11">
        <v>0</v>
      </c>
    </row>
    <row r="11325" spans="5:11" x14ac:dyDescent="0.35">
      <c r="E11325" s="9" t="str">
        <v>IGNF</v>
      </c>
      <c r="F11325" s="7" t="str">
        <v>RGAF09GDD.GUAD88LS</v>
      </c>
      <c r="G11325" t="str">
        <v>CompoundCrs</v>
      </c>
      <c r="H11325" t="str">
        <v>&lt;undefined&gt;</v>
      </c>
      <c r="I11325" t="str">
        <v>RGAF09 geographiques (dd) et IGN 1988 LS (GUADELOUPE / LES SAINTES)</v>
      </c>
      <c r="J11325" t="str">
        <v>ILE DES SAINTES (GUADELOUPE)</v>
      </c>
      <c r="K11325" s="11">
        <v>0</v>
      </c>
    </row>
    <row r="11326" spans="5:11" x14ac:dyDescent="0.35">
      <c r="E11326" s="9" t="str">
        <v>IGNF</v>
      </c>
      <c r="F11326" s="7" t="str">
        <v>RGAF09GDD.GUAD88MG</v>
      </c>
      <c r="G11326" t="str">
        <v>CompoundCrs</v>
      </c>
      <c r="H11326" t="str">
        <v>&lt;undefined&gt;</v>
      </c>
      <c r="I11326" t="str">
        <v>RGAF09 geographiques (dd) et IGN 1988 MG (GUADELOUPE / MARIE-GALANTE)</v>
      </c>
      <c r="J11326" t="str">
        <v>ILE DE MARIE-GALANTE (GUADELOUPE)</v>
      </c>
      <c r="K11326" s="11">
        <v>0</v>
      </c>
    </row>
    <row r="11327" spans="5:11" x14ac:dyDescent="0.35">
      <c r="E11327" s="9" t="str">
        <v>IGNF</v>
      </c>
      <c r="F11327" s="7" t="str">
        <v>RGAF09GDD.GUAD88SB</v>
      </c>
      <c r="G11327" t="str">
        <v>CompoundCrs</v>
      </c>
      <c r="H11327" t="str">
        <v>&lt;undefined&gt;</v>
      </c>
      <c r="I11327" t="str">
        <v>RGAF09 geographiques (dd) et IGN 1988 SB (GUADELOUPE / SAINT-BARTHELEMY)</v>
      </c>
      <c r="J11327" t="str">
        <v>ILE DE SAINT-BARTHELEMY</v>
      </c>
      <c r="K11327" s="11">
        <v>0</v>
      </c>
    </row>
    <row r="11328" spans="5:11" x14ac:dyDescent="0.35">
      <c r="E11328" s="9" t="str">
        <v>IGNF</v>
      </c>
      <c r="F11328" s="7" t="str">
        <v>RGAF09GDD.GUAD88SM</v>
      </c>
      <c r="G11328" t="str">
        <v>CompoundCrs</v>
      </c>
      <c r="H11328" t="str">
        <v>&lt;undefined&gt;</v>
      </c>
      <c r="I11328" t="str">
        <v>RGAF09 geographiques (dd) et IGN 1988 SM (GUADELOUPE / SAINT-MARTIN)</v>
      </c>
      <c r="J11328" t="str">
        <v>ILE DE SAINT-MARTIN (GUADELOUPE)</v>
      </c>
      <c r="K11328" s="11">
        <v>0</v>
      </c>
    </row>
    <row r="11329" spans="5:11" x14ac:dyDescent="0.35">
      <c r="E11329" s="9" t="str">
        <v>IGNF</v>
      </c>
      <c r="F11329" s="7" t="str">
        <v>RGAF09GDD.GUAD92LD</v>
      </c>
      <c r="G11329" t="str">
        <v>CompoundCrs</v>
      </c>
      <c r="H11329" t="str">
        <v>&lt;undefined&gt;</v>
      </c>
      <c r="I11329" t="str">
        <v>RGAF09 geographiques (dd) et IGN 1992 LD (GUADELOUPE / LA DESIRADE)</v>
      </c>
      <c r="J11329" t="str">
        <v>ILE DE LA DESIRADE (GUADELOUPE)</v>
      </c>
      <c r="K11329" s="11">
        <v>0</v>
      </c>
    </row>
    <row r="11330" spans="5:11" x14ac:dyDescent="0.35">
      <c r="E11330" s="9" t="str">
        <v>IGNF</v>
      </c>
      <c r="F11330" s="7" t="str">
        <v>RGAF09GDD.GUAD2008LD</v>
      </c>
      <c r="G11330" t="str">
        <v>CompoundCrs</v>
      </c>
      <c r="H11330" t="str">
        <v>&lt;undefined&gt;</v>
      </c>
      <c r="I11330" t="str">
        <v>RGAF09 geographiques (dd) et IGN 2008 LD (GUADELOUPE / LA DESIRADE)</v>
      </c>
      <c r="J11330" t="str">
        <v>ILE DE LA DESIRADE (GUADELOUPE)</v>
      </c>
      <c r="K11330" s="11">
        <v>0</v>
      </c>
    </row>
    <row r="11331" spans="5:11" x14ac:dyDescent="0.35">
      <c r="E11331" s="9" t="str">
        <v>IGNF</v>
      </c>
      <c r="F11331" s="7" t="str">
        <v>RGAF09G</v>
      </c>
      <c r="G11331" t="str">
        <v>Geographic2DCrs</v>
      </c>
      <c r="H11331" t="str">
        <v>&lt;undefined&gt;</v>
      </c>
      <c r="I11331" t="str">
        <v>RGAF09 geographiques (dms)</v>
      </c>
      <c r="J11331" t="str">
        <v>ANTILLES FRANCAISES</v>
      </c>
      <c r="K11331" s="11">
        <v>0</v>
      </c>
    </row>
    <row r="11332" spans="5:11" x14ac:dyDescent="0.35">
      <c r="E11332" s="9" t="str">
        <v>IGNF</v>
      </c>
      <c r="F11332" s="7" t="str">
        <v>RGAF09GEO</v>
      </c>
      <c r="G11332" t="str">
        <v>Geographic3DCrs</v>
      </c>
      <c r="H11332" t="str">
        <v>&lt;undefined&gt;</v>
      </c>
      <c r="I11332" t="str">
        <v>RGAF09 geographiques (dms)</v>
      </c>
      <c r="J11332" t="str">
        <v>ANTILLES FRANCAISES</v>
      </c>
      <c r="K11332" s="11">
        <v>0</v>
      </c>
    </row>
    <row r="11333" spans="5:11" x14ac:dyDescent="0.35">
      <c r="E11333" s="9" t="str">
        <v>IGNF</v>
      </c>
      <c r="F11333" s="7" t="str">
        <v>RGAF09G.MART87</v>
      </c>
      <c r="G11333" t="str">
        <v>CompoundCrs</v>
      </c>
      <c r="H11333" t="str">
        <v>&lt;undefined&gt;</v>
      </c>
      <c r="I11333" t="str">
        <v>RGAF09 geographiques (dms) et IGN 1987 (MARTINIQUE)</v>
      </c>
      <c r="J11333" t="str">
        <v>MARTINIQUE</v>
      </c>
      <c r="K11333" s="11">
        <v>0</v>
      </c>
    </row>
    <row r="11334" spans="5:11" x14ac:dyDescent="0.35">
      <c r="E11334" s="9" t="str">
        <v>IGNF</v>
      </c>
      <c r="F11334" s="7" t="str">
        <v>RGAF09G.GUAD88</v>
      </c>
      <c r="G11334" t="str">
        <v>CompoundCrs</v>
      </c>
      <c r="H11334" t="str">
        <v>&lt;undefined&gt;</v>
      </c>
      <c r="I11334" t="str">
        <v>RGAF09 geographiques (dms) et IGN 1988 (GUADELOUPE)</v>
      </c>
      <c r="J11334" t="str">
        <v>GRANDE-TERRE ET BASSE-TERRE (GUADELOUPE)</v>
      </c>
      <c r="K11334" s="11">
        <v>0</v>
      </c>
    </row>
    <row r="11335" spans="5:11" x14ac:dyDescent="0.35">
      <c r="E11335" s="9" t="str">
        <v>IGNF</v>
      </c>
      <c r="F11335" s="7" t="str">
        <v>RGAF09G.GUAD88LS</v>
      </c>
      <c r="G11335" t="str">
        <v>CompoundCrs</v>
      </c>
      <c r="H11335" t="str">
        <v>&lt;undefined&gt;</v>
      </c>
      <c r="I11335" t="str">
        <v>RGAF09 geographiques (dms) et IGN 1988 LS (GUADELOUPE / LES SAINTES)</v>
      </c>
      <c r="J11335" t="str">
        <v>ILE DES SAINTES (GUADELOUPE)</v>
      </c>
      <c r="K11335" s="11">
        <v>0</v>
      </c>
    </row>
    <row r="11336" spans="5:11" x14ac:dyDescent="0.35">
      <c r="E11336" s="9" t="str">
        <v>IGNF</v>
      </c>
      <c r="F11336" s="7" t="str">
        <v>RGAF09G.GUAD88MG</v>
      </c>
      <c r="G11336" t="str">
        <v>CompoundCrs</v>
      </c>
      <c r="H11336" t="str">
        <v>&lt;undefined&gt;</v>
      </c>
      <c r="I11336" t="str">
        <v>RGAF09 geographiques (dms) et IGN 1988 MG (GUADELOUPE / MARIE-GALANTE)</v>
      </c>
      <c r="J11336" t="str">
        <v>ILE DE MARIE-GALANTE (GUADELOUPE)</v>
      </c>
      <c r="K11336" s="11">
        <v>0</v>
      </c>
    </row>
    <row r="11337" spans="5:11" x14ac:dyDescent="0.35">
      <c r="E11337" s="9" t="str">
        <v>IGNF</v>
      </c>
      <c r="F11337" s="7" t="str">
        <v>RGAF09G.GUAD88SB</v>
      </c>
      <c r="G11337" t="str">
        <v>CompoundCrs</v>
      </c>
      <c r="H11337" t="str">
        <v>&lt;undefined&gt;</v>
      </c>
      <c r="I11337" t="str">
        <v>RGAF09 geographiques (dms) et IGN 1988 SB (GUADELOUPE / SAINT-BARTHELEMY)</v>
      </c>
      <c r="J11337" t="str">
        <v>ILE DE SAINT-BARTHELEMY</v>
      </c>
      <c r="K11337" s="11">
        <v>0</v>
      </c>
    </row>
    <row r="11338" spans="5:11" x14ac:dyDescent="0.35">
      <c r="E11338" s="9" t="str">
        <v>IGNF</v>
      </c>
      <c r="F11338" s="7" t="str">
        <v>RGAF09G.GUAD88SM</v>
      </c>
      <c r="G11338" t="str">
        <v>CompoundCrs</v>
      </c>
      <c r="H11338" t="str">
        <v>&lt;undefined&gt;</v>
      </c>
      <c r="I11338" t="str">
        <v>RGAF09 geographiques (dms) et IGN 1988 SM (GUADELOUPE / SAINT-MARTIN)</v>
      </c>
      <c r="J11338" t="str">
        <v>ILE DE SAINT-MARTIN (GUADELOUPE)</v>
      </c>
      <c r="K11338" s="11">
        <v>0</v>
      </c>
    </row>
    <row r="11339" spans="5:11" x14ac:dyDescent="0.35">
      <c r="E11339" s="9" t="str">
        <v>IGNF</v>
      </c>
      <c r="F11339" s="7" t="str">
        <v>RGAF09G.GUAD92LD</v>
      </c>
      <c r="G11339" t="str">
        <v>CompoundCrs</v>
      </c>
      <c r="H11339" t="str">
        <v>&lt;undefined&gt;</v>
      </c>
      <c r="I11339" t="str">
        <v>RGAF09 geographiques (dms) et IGN 1992 LD (GUADELOUPE / LA DESIRADE)</v>
      </c>
      <c r="J11339" t="str">
        <v>ILE DE LA DESIRADE (GUADELOUPE)</v>
      </c>
      <c r="K11339" s="11">
        <v>0</v>
      </c>
    </row>
    <row r="11340" spans="5:11" x14ac:dyDescent="0.35">
      <c r="E11340" s="9" t="str">
        <v>IGNF</v>
      </c>
      <c r="F11340" s="7" t="str">
        <v>RGAF09G.GUAD2008LD</v>
      </c>
      <c r="G11340" t="str">
        <v>CompoundCrs</v>
      </c>
      <c r="H11340" t="str">
        <v>&lt;undefined&gt;</v>
      </c>
      <c r="I11340" t="str">
        <v>RGAF09 geographiques (dms) et IGN 2008 LD (GUADELOUPE / LA DESIRADE)</v>
      </c>
      <c r="J11340" t="str">
        <v>ILE DE LA DESIRADE (GUADELOUPE)</v>
      </c>
      <c r="K11340" s="11">
        <v>0</v>
      </c>
    </row>
    <row r="11341" spans="5:11" x14ac:dyDescent="0.35">
      <c r="E11341" s="9" t="str">
        <v>IGNF</v>
      </c>
      <c r="F11341" s="7" t="str">
        <v>RGAF09UTM20</v>
      </c>
      <c r="G11341" t="str">
        <v>ProjectedCrs</v>
      </c>
      <c r="H11341" t="str">
        <v>Transverse Mercator</v>
      </c>
      <c r="I11341" t="str">
        <v>RGAF09 UTM Nord Fuseau 20</v>
      </c>
      <c r="J11341" t="str">
        <v>ANTILLES FRANCAISES - UTM NORD FUSEAU 20</v>
      </c>
      <c r="K11341" s="11">
        <v>0</v>
      </c>
    </row>
    <row r="11342" spans="5:11" x14ac:dyDescent="0.35">
      <c r="E11342" s="9" t="str">
        <v>IGNF</v>
      </c>
      <c r="F11342" s="7" t="str">
        <v>RGAF09UTM20.MART87</v>
      </c>
      <c r="G11342" t="str">
        <v>CompoundCrs</v>
      </c>
      <c r="H11342" t="str">
        <v>&lt;undefined&gt;</v>
      </c>
      <c r="I11342" t="str">
        <v>RGAF09 UTM Nord Fuseau 20 et IGN 1987 (MARTINIQUE)</v>
      </c>
      <c r="J11342" t="str">
        <v>MARTINIQUE</v>
      </c>
      <c r="K11342" s="11">
        <v>0</v>
      </c>
    </row>
    <row r="11343" spans="5:11" x14ac:dyDescent="0.35">
      <c r="E11343" s="9" t="str">
        <v>IGNF</v>
      </c>
      <c r="F11343" s="7" t="str">
        <v>RGAF09UTM20.GUAD88</v>
      </c>
      <c r="G11343" t="str">
        <v>CompoundCrs</v>
      </c>
      <c r="H11343" t="str">
        <v>&lt;undefined&gt;</v>
      </c>
      <c r="I11343" t="str">
        <v>RGAF09 UTM Nord Fuseau 20 et IGN 1988 (GUADELOUPE)</v>
      </c>
      <c r="J11343" t="str">
        <v>GRANDE-TERRE ET BASSE-TERRE (GUADELOUPE)</v>
      </c>
      <c r="K11343" s="11">
        <v>0</v>
      </c>
    </row>
    <row r="11344" spans="5:11" x14ac:dyDescent="0.35">
      <c r="E11344" s="9" t="str">
        <v>IGNF</v>
      </c>
      <c r="F11344" s="7" t="str">
        <v>RGAF09UTM20.GUAD88LS</v>
      </c>
      <c r="G11344" t="str">
        <v>CompoundCrs</v>
      </c>
      <c r="H11344" t="str">
        <v>&lt;undefined&gt;</v>
      </c>
      <c r="I11344" t="str">
        <v>RGAF09 UTM Nord Fuseau 20 et IGN 1988 LS (GUADELOUPE / LES SAINTES)</v>
      </c>
      <c r="J11344" t="str">
        <v>ILE DES SAINTES (GUADELOUPE)</v>
      </c>
      <c r="K11344" s="11">
        <v>0</v>
      </c>
    </row>
    <row r="11345" spans="5:11" x14ac:dyDescent="0.35">
      <c r="E11345" s="9" t="str">
        <v>IGNF</v>
      </c>
      <c r="F11345" s="7" t="str">
        <v>RGAF09UTM20.GUAD88MG</v>
      </c>
      <c r="G11345" t="str">
        <v>CompoundCrs</v>
      </c>
      <c r="H11345" t="str">
        <v>&lt;undefined&gt;</v>
      </c>
      <c r="I11345" t="str">
        <v>RGAF09 UTM Nord Fuseau 20 et IGN 1988 MG (GUADELOUPE / MARIE-GALANTE)</v>
      </c>
      <c r="J11345" t="str">
        <v>ILE DE MARIE-GALANTE (GUADELOUPE)</v>
      </c>
      <c r="K11345" s="11">
        <v>0</v>
      </c>
    </row>
    <row r="11346" spans="5:11" x14ac:dyDescent="0.35">
      <c r="E11346" s="9" t="str">
        <v>IGNF</v>
      </c>
      <c r="F11346" s="7" t="str">
        <v>RGAF09UTM20.GUAD88SB</v>
      </c>
      <c r="G11346" t="str">
        <v>CompoundCrs</v>
      </c>
      <c r="H11346" t="str">
        <v>&lt;undefined&gt;</v>
      </c>
      <c r="I11346" t="str">
        <v>RGAF09 UTM Nord Fuseau 20 et IGN 1988 SB (GUADELOUPE / SAINT-BARTHELEMY)</v>
      </c>
      <c r="J11346" t="str">
        <v>ILE DE SAINT-BARTHELEMY</v>
      </c>
      <c r="K11346" s="11">
        <v>0</v>
      </c>
    </row>
    <row r="11347" spans="5:11" x14ac:dyDescent="0.35">
      <c r="E11347" s="9" t="str">
        <v>IGNF</v>
      </c>
      <c r="F11347" s="7" t="str">
        <v>RGAF09UTM20.GUAD88SM</v>
      </c>
      <c r="G11347" t="str">
        <v>CompoundCrs</v>
      </c>
      <c r="H11347" t="str">
        <v>&lt;undefined&gt;</v>
      </c>
      <c r="I11347" t="str">
        <v>RGAF09 UTM Nord Fuseau 20 et IGN 1988 SM (GUADELOUPE / SAINT-MARTIN)</v>
      </c>
      <c r="J11347" t="str">
        <v>ILE DE SAINT-MARTIN (GUADELOUPE)</v>
      </c>
      <c r="K11347" s="11">
        <v>0</v>
      </c>
    </row>
    <row r="11348" spans="5:11" x14ac:dyDescent="0.35">
      <c r="E11348" s="9" t="str">
        <v>IGNF</v>
      </c>
      <c r="F11348" s="7" t="str">
        <v>RGAF09UTM20.GUAD92LD</v>
      </c>
      <c r="G11348" t="str">
        <v>CompoundCrs</v>
      </c>
      <c r="H11348" t="str">
        <v>&lt;undefined&gt;</v>
      </c>
      <c r="I11348" t="str">
        <v>RGAF09 UTM Nord Fuseau 20 et IGN 1992 LD (GUADELOUPE / LA DESIRADE)</v>
      </c>
      <c r="J11348" t="str">
        <v>ILE DE LA DESIRADE (GUADELOUPE)</v>
      </c>
      <c r="K11348" s="11">
        <v>0</v>
      </c>
    </row>
    <row r="11349" spans="5:11" x14ac:dyDescent="0.35">
      <c r="E11349" s="9" t="str">
        <v>IGNF</v>
      </c>
      <c r="F11349" s="7" t="str">
        <v>RGAF09UTM20.GUAD2008LD</v>
      </c>
      <c r="G11349" t="str">
        <v>CompoundCrs</v>
      </c>
      <c r="H11349" t="str">
        <v>&lt;undefined&gt;</v>
      </c>
      <c r="I11349" t="str">
        <v>RGAF09 UTM Nord Fuseau 20 et IGN 2008 LD (GUADELOUPE / LA DESIRADE)</v>
      </c>
      <c r="J11349" t="str">
        <v>ILE DE LA DESIRADE (GUADELOUPE)</v>
      </c>
      <c r="K11349" s="11">
        <v>0</v>
      </c>
    </row>
    <row r="11350" spans="5:11" x14ac:dyDescent="0.35">
      <c r="E11350" s="9" t="str">
        <v>IGNF</v>
      </c>
      <c r="F11350" s="7" t="str">
        <v>RGF93</v>
      </c>
      <c r="G11350" t="str">
        <v>GeocentricCrs</v>
      </c>
      <c r="H11350" t="str">
        <v>&lt;undefined&gt;</v>
      </c>
      <c r="I11350" t="str">
        <v>RGF93 cartesiennes geocentriques</v>
      </c>
      <c r="J11350" t="str">
        <v>FRANCE METROPOLITAINE (CORSE COMPRISE)</v>
      </c>
      <c r="K11350" s="11">
        <v>0</v>
      </c>
    </row>
    <row r="11351" spans="5:11" x14ac:dyDescent="0.35">
      <c r="E11351" s="9" t="str">
        <v>IGNF</v>
      </c>
      <c r="F11351" s="7" t="str">
        <v>RGF93CC42</v>
      </c>
      <c r="G11351" t="str">
        <v>ProjectedCrs</v>
      </c>
      <c r="H11351" t="str">
        <v>Lambert Conic Conformal (2SP)</v>
      </c>
      <c r="I11351" t="str">
        <v>RGF93 CC42 zone 1</v>
      </c>
      <c r="J11351" t="str">
        <v>FRANCE METROPOLITAINE (CORSE COMPRISE) - CC42 (CONIQUE CONFORME ZONE 1)</v>
      </c>
      <c r="K11351" s="11">
        <v>0</v>
      </c>
    </row>
    <row r="11352" spans="5:11" x14ac:dyDescent="0.35">
      <c r="E11352" s="9" t="str">
        <v>IGNF</v>
      </c>
      <c r="F11352" s="7" t="str">
        <v>RGF93CC42.IGN69</v>
      </c>
      <c r="G11352" t="str">
        <v>CompoundCrs</v>
      </c>
      <c r="H11352" t="str">
        <v>&lt;undefined&gt;</v>
      </c>
      <c r="I11352" t="str">
        <v>RGF93 CC42 zone 1 et NGF-IGN 1969</v>
      </c>
      <c r="J11352" t="str">
        <v>FRANCE CONTINENTALE (CORSE EXCLUE) - CC42 (CONIQUE CONFORME ZONE 1)</v>
      </c>
      <c r="K11352" s="11">
        <v>0</v>
      </c>
    </row>
    <row r="11353" spans="5:11" x14ac:dyDescent="0.35">
      <c r="E11353" s="9" t="str">
        <v>IGNF</v>
      </c>
      <c r="F11353" s="7" t="str">
        <v>RGF93CC42.IGN78C</v>
      </c>
      <c r="G11353" t="str">
        <v>CompoundCrs</v>
      </c>
      <c r="H11353" t="str">
        <v>&lt;undefined&gt;</v>
      </c>
      <c r="I11353" t="str">
        <v>RGF93 CC42 zone 1 et NGF-IGN 1978</v>
      </c>
      <c r="J11353" t="str">
        <v>CORSE - CC42 (CONIQUE CONFORME ZONE 1)</v>
      </c>
      <c r="K11353" s="11">
        <v>0</v>
      </c>
    </row>
    <row r="11354" spans="5:11" x14ac:dyDescent="0.35">
      <c r="E11354" s="9" t="str">
        <v>IGNF</v>
      </c>
      <c r="F11354" s="7" t="str">
        <v>RGF93CC43</v>
      </c>
      <c r="G11354" t="str">
        <v>ProjectedCrs</v>
      </c>
      <c r="H11354" t="str">
        <v>Lambert Conic Conformal (2SP)</v>
      </c>
      <c r="I11354" t="str">
        <v>RGF93 CC43 zone 2</v>
      </c>
      <c r="J11354" t="str">
        <v>FRANCE METROPOLITAINE (CORSE COMPRISE) - CC43 (CONIQUE CONFORME ZONE 2)</v>
      </c>
      <c r="K11354" s="11">
        <v>0</v>
      </c>
    </row>
    <row r="11355" spans="5:11" x14ac:dyDescent="0.35">
      <c r="E11355" s="9" t="str">
        <v>IGNF</v>
      </c>
      <c r="F11355" s="7" t="str">
        <v>RGF93CC43.IGN69</v>
      </c>
      <c r="G11355" t="str">
        <v>CompoundCrs</v>
      </c>
      <c r="H11355" t="str">
        <v>&lt;undefined&gt;</v>
      </c>
      <c r="I11355" t="str">
        <v>RGF93 CC43 zone 2 et NGF-IGN 1969</v>
      </c>
      <c r="J11355" t="str">
        <v>FRANCE CONTINENTALE (CORSE EXCLUE) - CC43 (CONIQUE CONFORME ZONE 2)</v>
      </c>
      <c r="K11355" s="11">
        <v>0</v>
      </c>
    </row>
    <row r="11356" spans="5:11" x14ac:dyDescent="0.35">
      <c r="E11356" s="9" t="str">
        <v>IGNF</v>
      </c>
      <c r="F11356" s="7" t="str">
        <v>RGF93CC43.IGN78C</v>
      </c>
      <c r="G11356" t="str">
        <v>CompoundCrs</v>
      </c>
      <c r="H11356" t="str">
        <v>&lt;undefined&gt;</v>
      </c>
      <c r="I11356" t="str">
        <v>RGF93 CC43 zone 2 et NGF-IGN 1978</v>
      </c>
      <c r="J11356" t="str">
        <v>CORSE - CC43 (CONIQUE CONFORME ZONE 2)</v>
      </c>
      <c r="K11356" s="11">
        <v>0</v>
      </c>
    </row>
    <row r="11357" spans="5:11" x14ac:dyDescent="0.35">
      <c r="E11357" s="9" t="str">
        <v>IGNF</v>
      </c>
      <c r="F11357" s="7" t="str">
        <v>RGF93CC44</v>
      </c>
      <c r="G11357" t="str">
        <v>ProjectedCrs</v>
      </c>
      <c r="H11357" t="str">
        <v>Lambert Conic Conformal (2SP)</v>
      </c>
      <c r="I11357" t="str">
        <v>RGF93 CC44 zone 3</v>
      </c>
      <c r="J11357" t="str">
        <v>FRANCE METROPOLITAINE (CORSE COMPRISE) - CC44 (CONIQUE CONFORME ZONE 3)</v>
      </c>
      <c r="K11357" s="11">
        <v>0</v>
      </c>
    </row>
    <row r="11358" spans="5:11" x14ac:dyDescent="0.35">
      <c r="E11358" s="9" t="str">
        <v>IGNF</v>
      </c>
      <c r="F11358" s="7" t="str">
        <v>RGF93CC44.IGN69</v>
      </c>
      <c r="G11358" t="str">
        <v>CompoundCrs</v>
      </c>
      <c r="H11358" t="str">
        <v>&lt;undefined&gt;</v>
      </c>
      <c r="I11358" t="str">
        <v>RGF93 CC44 zone 3 et NGF-IGN 1969</v>
      </c>
      <c r="J11358" t="str">
        <v>FRANCE CONTINENTALE (CORSE EXCLUE) - CC44 (CONIQUE CONFORME ZONE 3)</v>
      </c>
      <c r="K11358" s="11">
        <v>0</v>
      </c>
    </row>
    <row r="11359" spans="5:11" x14ac:dyDescent="0.35">
      <c r="E11359" s="9" t="str">
        <v>IGNF</v>
      </c>
      <c r="F11359" s="7" t="str">
        <v>RGF93CC45</v>
      </c>
      <c r="G11359" t="str">
        <v>ProjectedCrs</v>
      </c>
      <c r="H11359" t="str">
        <v>Lambert Conic Conformal (2SP)</v>
      </c>
      <c r="I11359" t="str">
        <v>RGF93 CC45 zone 4</v>
      </c>
      <c r="J11359" t="str">
        <v>FRANCE METROPOLITAINE (CORSE COMPRISE) - CC45 (CONIQUE CONFORME ZONE 4)</v>
      </c>
      <c r="K11359" s="11">
        <v>0</v>
      </c>
    </row>
    <row r="11360" spans="5:11" x14ac:dyDescent="0.35">
      <c r="E11360" s="9" t="str">
        <v>IGNF</v>
      </c>
      <c r="F11360" s="7" t="str">
        <v>RGF93CC45.IGN69</v>
      </c>
      <c r="G11360" t="str">
        <v>CompoundCrs</v>
      </c>
      <c r="H11360" t="str">
        <v>&lt;undefined&gt;</v>
      </c>
      <c r="I11360" t="str">
        <v>RGF93 CC45 zone 4 et NGF-IGN 1969</v>
      </c>
      <c r="J11360" t="str">
        <v>FRANCE CONTINENTALE (CORSE EXCLUE) - CC45 (CONIQUE CONFORME ZONE 4)</v>
      </c>
      <c r="K11360" s="11">
        <v>0</v>
      </c>
    </row>
    <row r="11361" spans="5:11" x14ac:dyDescent="0.35">
      <c r="E11361" s="9" t="str">
        <v>IGNF</v>
      </c>
      <c r="F11361" s="7" t="str">
        <v>RGF93CC46</v>
      </c>
      <c r="G11361" t="str">
        <v>ProjectedCrs</v>
      </c>
      <c r="H11361" t="str">
        <v>Lambert Conic Conformal (2SP)</v>
      </c>
      <c r="I11361" t="str">
        <v>RGF93 CC46 zone 5</v>
      </c>
      <c r="J11361" t="str">
        <v>FRANCE METROPOLITAINE (CORSE COMPRISE) - CC46 (CONIQUE CONFORME ZONE 5)</v>
      </c>
      <c r="K11361" s="11">
        <v>0</v>
      </c>
    </row>
    <row r="11362" spans="5:11" x14ac:dyDescent="0.35">
      <c r="E11362" s="9" t="str">
        <v>IGNF</v>
      </c>
      <c r="F11362" s="7" t="str">
        <v>RGF93CC46.IGN69</v>
      </c>
      <c r="G11362" t="str">
        <v>CompoundCrs</v>
      </c>
      <c r="H11362" t="str">
        <v>&lt;undefined&gt;</v>
      </c>
      <c r="I11362" t="str">
        <v>RGF93 CC46 zone 5 et NGF-IGN 1969</v>
      </c>
      <c r="J11362" t="str">
        <v>FRANCE CONTINENTALE (CORSE EXCLUE) - CC46 (CONIQUE CONFORME ZONE 5)</v>
      </c>
      <c r="K11362" s="11">
        <v>0</v>
      </c>
    </row>
    <row r="11363" spans="5:11" x14ac:dyDescent="0.35">
      <c r="E11363" s="9" t="str">
        <v>IGNF</v>
      </c>
      <c r="F11363" s="7" t="str">
        <v>RGF93CC47</v>
      </c>
      <c r="G11363" t="str">
        <v>ProjectedCrs</v>
      </c>
      <c r="H11363" t="str">
        <v>Lambert Conic Conformal (2SP)</v>
      </c>
      <c r="I11363" t="str">
        <v>RGF93 CC47 zone 6</v>
      </c>
      <c r="J11363" t="str">
        <v>FRANCE METROPOLITAINE (CORSE COMPRISE) - CC47 (CONIQUE CONFORME ZONE 6)</v>
      </c>
      <c r="K11363" s="11">
        <v>0</v>
      </c>
    </row>
    <row r="11364" spans="5:11" x14ac:dyDescent="0.35">
      <c r="E11364" s="9" t="str">
        <v>IGNF</v>
      </c>
      <c r="F11364" s="7" t="str">
        <v>RGF93CC47.IGN69</v>
      </c>
      <c r="G11364" t="str">
        <v>CompoundCrs</v>
      </c>
      <c r="H11364" t="str">
        <v>&lt;undefined&gt;</v>
      </c>
      <c r="I11364" t="str">
        <v>RGF93 CC47 zone 6 et NGF-IGN 1969</v>
      </c>
      <c r="J11364" t="str">
        <v>FRANCE CONTINENTALE (CORSE EXCLUE) - CC47 (CONIQUE CONFORME ZONE 6)</v>
      </c>
      <c r="K11364" s="11">
        <v>0</v>
      </c>
    </row>
    <row r="11365" spans="5:11" x14ac:dyDescent="0.35">
      <c r="E11365" s="9" t="str">
        <v>IGNF</v>
      </c>
      <c r="F11365" s="7" t="str">
        <v>RGF93CC48</v>
      </c>
      <c r="G11365" t="str">
        <v>ProjectedCrs</v>
      </c>
      <c r="H11365" t="str">
        <v>Lambert Conic Conformal (2SP)</v>
      </c>
      <c r="I11365" t="str">
        <v>RGF93 CC48 zone 7</v>
      </c>
      <c r="J11365" t="str">
        <v>FRANCE METROPOLITAINE (CORSE COMPRISE) - CC48 (CONIQUE CONFORME ZONE 7)</v>
      </c>
      <c r="K11365" s="11">
        <v>0</v>
      </c>
    </row>
    <row r="11366" spans="5:11" x14ac:dyDescent="0.35">
      <c r="E11366" s="9" t="str">
        <v>IGNF</v>
      </c>
      <c r="F11366" s="7" t="str">
        <v>RGF93CC48.IGN69</v>
      </c>
      <c r="G11366" t="str">
        <v>CompoundCrs</v>
      </c>
      <c r="H11366" t="str">
        <v>&lt;undefined&gt;</v>
      </c>
      <c r="I11366" t="str">
        <v>RGF93 CC48 zone 7 et NGF-IGN 1969</v>
      </c>
      <c r="J11366" t="str">
        <v>FRANCE CONTINENTALE (CORSE EXCLUE) - CC48 (CONIQUE CONFORME ZONE 7)</v>
      </c>
      <c r="K11366" s="11">
        <v>0</v>
      </c>
    </row>
    <row r="11367" spans="5:11" x14ac:dyDescent="0.35">
      <c r="E11367" s="9" t="str">
        <v>IGNF</v>
      </c>
      <c r="F11367" s="7" t="str">
        <v>RGF93CC49</v>
      </c>
      <c r="G11367" t="str">
        <v>ProjectedCrs</v>
      </c>
      <c r="H11367" t="str">
        <v>Lambert Conic Conformal (2SP)</v>
      </c>
      <c r="I11367" t="str">
        <v>RGF93 CC49 zone 8</v>
      </c>
      <c r="J11367" t="str">
        <v>FRANCE METROPOLITAINE (CORSE COMPRISE) - CC49 (CONIQUE CONFORME ZONE 8)</v>
      </c>
      <c r="K11367" s="11">
        <v>0</v>
      </c>
    </row>
    <row r="11368" spans="5:11" x14ac:dyDescent="0.35">
      <c r="E11368" s="9" t="str">
        <v>IGNF</v>
      </c>
      <c r="F11368" s="7" t="str">
        <v>RGF93CC49.IGN69</v>
      </c>
      <c r="G11368" t="str">
        <v>CompoundCrs</v>
      </c>
      <c r="H11368" t="str">
        <v>&lt;undefined&gt;</v>
      </c>
      <c r="I11368" t="str">
        <v>RGF93 CC49 zone 8 et NGF-IGN 1969</v>
      </c>
      <c r="J11368" t="str">
        <v>FRANCE CONTINENTALE (CORSE EXCLUE) - CC49 (CONIQUE CONFORME ZONE 8)</v>
      </c>
      <c r="K11368" s="11">
        <v>0</v>
      </c>
    </row>
    <row r="11369" spans="5:11" x14ac:dyDescent="0.35">
      <c r="E11369" s="9" t="str">
        <v>IGNF</v>
      </c>
      <c r="F11369" s="7" t="str">
        <v>RGF93CC50</v>
      </c>
      <c r="G11369" t="str">
        <v>ProjectedCrs</v>
      </c>
      <c r="H11369" t="str">
        <v>Lambert Conic Conformal (2SP)</v>
      </c>
      <c r="I11369" t="str">
        <v>RGF93 CC50 zone 9</v>
      </c>
      <c r="J11369" t="str">
        <v>FRANCE METROPOLITAINE (CORSE COMPRISE) - CC50 (CONIQUE CONFORME ZONE 9)</v>
      </c>
      <c r="K11369" s="11">
        <v>0</v>
      </c>
    </row>
    <row r="11370" spans="5:11" x14ac:dyDescent="0.35">
      <c r="E11370" s="9" t="str">
        <v>IGNF</v>
      </c>
      <c r="F11370" s="7" t="str">
        <v>RGF93CC50.IGN69</v>
      </c>
      <c r="G11370" t="str">
        <v>CompoundCrs</v>
      </c>
      <c r="H11370" t="str">
        <v>&lt;undefined&gt;</v>
      </c>
      <c r="I11370" t="str">
        <v>RGF93 CC50 zone 9 et NGF-IGN 1969</v>
      </c>
      <c r="J11370" t="str">
        <v>FRANCE CONTINENTALE (CORSE EXCLUE) - CC50 (CONIQUE CONFORME ZONE 9)</v>
      </c>
      <c r="K11370" s="11">
        <v>0</v>
      </c>
    </row>
    <row r="11371" spans="5:11" x14ac:dyDescent="0.35">
      <c r="E11371" s="9" t="str">
        <v>IGNF</v>
      </c>
      <c r="F11371" s="7" t="str">
        <v>RGF93GDD</v>
      </c>
      <c r="G11371" t="str">
        <v>Geographic2DCrs</v>
      </c>
      <c r="H11371" t="str">
        <v>&lt;undefined&gt;</v>
      </c>
      <c r="I11371" t="str">
        <v>RGF93 geographiques (dd)</v>
      </c>
      <c r="J11371" t="str">
        <v>FRANCE METROPOLITAINE (CORSE COMPRISE)</v>
      </c>
      <c r="K11371" s="11">
        <v>0</v>
      </c>
    </row>
    <row r="11372" spans="5:11" x14ac:dyDescent="0.35">
      <c r="E11372" s="9" t="str">
        <v>IGNF</v>
      </c>
      <c r="F11372" s="7" t="str">
        <v>RGF93GEODD</v>
      </c>
      <c r="G11372" t="str">
        <v>Geographic3DCrs</v>
      </c>
      <c r="H11372" t="str">
        <v>&lt;undefined&gt;</v>
      </c>
      <c r="I11372" t="str">
        <v>RGF93 geographiques (dd)</v>
      </c>
      <c r="J11372" t="str">
        <v>FRANCE METROPOLITAINE (CORSE COMPRISE)</v>
      </c>
      <c r="K11372" s="11">
        <v>0</v>
      </c>
    </row>
    <row r="11373" spans="5:11" x14ac:dyDescent="0.35">
      <c r="E11373" s="9" t="str">
        <v>IGNF</v>
      </c>
      <c r="F11373" s="7" t="str">
        <v>RGF93G</v>
      </c>
      <c r="G11373" t="str">
        <v>Geographic2DCrs</v>
      </c>
      <c r="H11373" t="str">
        <v>&lt;undefined&gt;</v>
      </c>
      <c r="I11373" t="str">
        <v>RGF93 geographiques (dms)</v>
      </c>
      <c r="J11373" t="str">
        <v>FRANCE METROPOLITAINE (CORSE COMPRISE)</v>
      </c>
      <c r="K11373" s="11">
        <v>0</v>
      </c>
    </row>
    <row r="11374" spans="5:11" x14ac:dyDescent="0.35">
      <c r="E11374" s="9" t="str">
        <v>IGNF</v>
      </c>
      <c r="F11374" s="7" t="str">
        <v>RGF93GEO</v>
      </c>
      <c r="G11374" t="str">
        <v>Geographic3DCrs</v>
      </c>
      <c r="H11374" t="str">
        <v>&lt;undefined&gt;</v>
      </c>
      <c r="I11374" t="str">
        <v>RGF93 geographiques (dms)</v>
      </c>
      <c r="J11374" t="str">
        <v>FRANCE METROPOLITAINE (CORSE COMPRISE)</v>
      </c>
      <c r="K11374" s="11">
        <v>0</v>
      </c>
    </row>
    <row r="11375" spans="5:11" x14ac:dyDescent="0.35">
      <c r="E11375" s="9" t="str">
        <v>IGNF</v>
      </c>
      <c r="F11375" s="7" t="str">
        <v>RGF93G.IGN69</v>
      </c>
      <c r="G11375" t="str">
        <v>CompoundCrs</v>
      </c>
      <c r="H11375" t="str">
        <v>&lt;undefined&gt;</v>
      </c>
      <c r="I11375" t="str">
        <v>RGF93 geographiques (dms) et NGF-IGN 1969</v>
      </c>
      <c r="J11375" t="str">
        <v>FRANCE CONTINENTALE (CORSE EXCLUE)</v>
      </c>
      <c r="K11375" s="11">
        <v>0</v>
      </c>
    </row>
    <row r="11376" spans="5:11" x14ac:dyDescent="0.35">
      <c r="E11376" s="9" t="str">
        <v>IGNF</v>
      </c>
      <c r="F11376" s="7" t="str">
        <v>RGF93G.IGN78C</v>
      </c>
      <c r="G11376" t="str">
        <v>CompoundCrs</v>
      </c>
      <c r="H11376" t="str">
        <v>&lt;undefined&gt;</v>
      </c>
      <c r="I11376" t="str">
        <v>RGF93 geographiques (dms) et NGF-IGN 1978</v>
      </c>
      <c r="J11376" t="str">
        <v>CORSE</v>
      </c>
      <c r="K11376" s="11">
        <v>0</v>
      </c>
    </row>
    <row r="11377" spans="5:11" x14ac:dyDescent="0.35">
      <c r="E11377" s="9" t="str">
        <v>IGNF</v>
      </c>
      <c r="F11377" s="7" t="str">
        <v>RGF93LAMB93</v>
      </c>
      <c r="G11377" t="str">
        <v>ProjectedCrs</v>
      </c>
      <c r="H11377" t="str">
        <v>Lambert Conic Conformal (2SP)</v>
      </c>
      <c r="I11377" t="str">
        <v>RGF93 Lambert 93</v>
      </c>
      <c r="J11377" t="str">
        <v>FRANCE METROPOLITAINE (CORSE COMPRISE)</v>
      </c>
      <c r="K11377" s="11">
        <v>0</v>
      </c>
    </row>
    <row r="11378" spans="5:11" x14ac:dyDescent="0.35">
      <c r="E11378" s="9" t="str">
        <v>IGNF</v>
      </c>
      <c r="F11378" s="7" t="str">
        <v>LAMB93</v>
      </c>
      <c r="G11378" t="str">
        <v>ProjectedCrs</v>
      </c>
      <c r="H11378" t="str">
        <v>Lambert Conic Conformal (2SP)</v>
      </c>
      <c r="I11378" t="str">
        <v>RGF93 Lambert 93</v>
      </c>
      <c r="J11378" t="str">
        <v>FRANCE METROPOLITAINE (CORSE COMPRISE)</v>
      </c>
      <c r="K11378" s="11">
        <v>0</v>
      </c>
    </row>
    <row r="11379" spans="5:11" x14ac:dyDescent="0.35">
      <c r="E11379" s="9" t="str">
        <v>IGNF</v>
      </c>
      <c r="F11379" s="7" t="str">
        <v>RGF93LAMB93.IGN69</v>
      </c>
      <c r="G11379" t="str">
        <v>CompoundCrs</v>
      </c>
      <c r="H11379" t="str">
        <v>&lt;undefined&gt;</v>
      </c>
      <c r="I11379" t="str">
        <v>RGF93 Lambert 93 et NGF-IGN 1969</v>
      </c>
      <c r="J11379" t="str">
        <v>FRANCE CONTINENTALE (CORSE EXCLUE)</v>
      </c>
      <c r="K11379" s="11">
        <v>0</v>
      </c>
    </row>
    <row r="11380" spans="5:11" x14ac:dyDescent="0.35">
      <c r="E11380" s="9" t="str">
        <v>IGNF</v>
      </c>
      <c r="F11380" s="7" t="str">
        <v>RGF93LAMB93.IGN78C</v>
      </c>
      <c r="G11380" t="str">
        <v>CompoundCrs</v>
      </c>
      <c r="H11380" t="str">
        <v>&lt;undefined&gt;</v>
      </c>
      <c r="I11380" t="str">
        <v>RGF93 Lambert 93 et NGF-IGN 1978</v>
      </c>
      <c r="J11380" t="str">
        <v>CORSE</v>
      </c>
      <c r="K11380" s="11">
        <v>0</v>
      </c>
    </row>
    <row r="11381" spans="5:11" x14ac:dyDescent="0.35">
      <c r="E11381" s="9" t="str">
        <v>IGNF</v>
      </c>
      <c r="F11381" s="7" t="str">
        <v>RGF93UTM31</v>
      </c>
      <c r="G11381" t="str">
        <v>ProjectedCrs</v>
      </c>
      <c r="H11381" t="str">
        <v>Transverse Mercator</v>
      </c>
      <c r="I11381" t="str">
        <v>RGF93 UTM fuseau 31</v>
      </c>
      <c r="J11381" t="str">
        <v>FRANCE METROPOLITAINE (CORSE COMPRISE) - UTM NORD FUSEAU 31</v>
      </c>
      <c r="K11381" s="11">
        <v>0</v>
      </c>
    </row>
    <row r="11382" spans="5:11" x14ac:dyDescent="0.35">
      <c r="E11382" s="9" t="str">
        <v>IGNF</v>
      </c>
      <c r="F11382" s="7" t="str">
        <v>UTM31RGF93</v>
      </c>
      <c r="G11382" t="str">
        <v>ProjectedCrs</v>
      </c>
      <c r="H11382" t="str">
        <v>Transverse Mercator</v>
      </c>
      <c r="I11382" t="str">
        <v>RGF93 UTM fuseau 31</v>
      </c>
      <c r="J11382" t="str">
        <v>FRANCE METROPOLITAINE (CORSE COMPRISE) - UTM NORD FUSEAU 31</v>
      </c>
      <c r="K11382" s="11">
        <v>0</v>
      </c>
    </row>
    <row r="11383" spans="5:11" x14ac:dyDescent="0.35">
      <c r="E11383" s="9" t="str">
        <v>IGNF</v>
      </c>
      <c r="F11383" s="7" t="str">
        <v>RGF93UTM31.IGN69</v>
      </c>
      <c r="G11383" t="str">
        <v>CompoundCrs</v>
      </c>
      <c r="H11383" t="str">
        <v>&lt;undefined&gt;</v>
      </c>
      <c r="I11383" t="str">
        <v>RGF93 UTM fuseau 31 et NGF-IGN 1969</v>
      </c>
      <c r="J11383" t="str">
        <v>FRANCE CONTINENTALE (CORSE EXCLUE) - UTM NORD FUSEAU 31</v>
      </c>
      <c r="K11383" s="11">
        <v>0</v>
      </c>
    </row>
    <row r="11384" spans="5:11" x14ac:dyDescent="0.35">
      <c r="E11384" s="9" t="str">
        <v>IGNF</v>
      </c>
      <c r="F11384" s="7" t="str">
        <v>UTM32RGF93</v>
      </c>
      <c r="G11384" t="str">
        <v>ProjectedCrs</v>
      </c>
      <c r="H11384" t="str">
        <v>Transverse Mercator</v>
      </c>
      <c r="I11384" t="str">
        <v>RGF93 UTM fuseau 32</v>
      </c>
      <c r="J11384" t="str">
        <v>FRANCE METROPOLITAINE (CORSE COMPRISE) - UTM NORD FUSEAU 32</v>
      </c>
      <c r="K11384" s="11">
        <v>0</v>
      </c>
    </row>
    <row r="11385" spans="5:11" x14ac:dyDescent="0.35">
      <c r="E11385" s="9" t="str">
        <v>IGNF</v>
      </c>
      <c r="F11385" s="7" t="str">
        <v>RGF93UTM32</v>
      </c>
      <c r="G11385" t="str">
        <v>ProjectedCrs</v>
      </c>
      <c r="H11385" t="str">
        <v>Transverse Mercator</v>
      </c>
      <c r="I11385" t="str">
        <v>RGF93 UTM fuseau 32</v>
      </c>
      <c r="J11385" t="str">
        <v>FRANCE METROPOLITAINE (CORSE COMPRISE) - UTM NORD FUSEAU 32</v>
      </c>
      <c r="K11385" s="11">
        <v>0</v>
      </c>
    </row>
    <row r="11386" spans="5:11" x14ac:dyDescent="0.35">
      <c r="E11386" s="9" t="str">
        <v>IGNF</v>
      </c>
      <c r="F11386" s="7" t="str">
        <v>RGF93UTM32.IGN69</v>
      </c>
      <c r="G11386" t="str">
        <v>CompoundCrs</v>
      </c>
      <c r="H11386" t="str">
        <v>&lt;undefined&gt;</v>
      </c>
      <c r="I11386" t="str">
        <v>RGF93 UTM fuseau 32 et NGF-IGN 1969</v>
      </c>
      <c r="J11386" t="str">
        <v>FRANCE CONTINENTALE (CORSE EXCLUE) - UTM NORD FUSEAU 32</v>
      </c>
      <c r="K11386" s="11">
        <v>0</v>
      </c>
    </row>
    <row r="11387" spans="5:11" x14ac:dyDescent="0.35">
      <c r="E11387" s="9" t="str">
        <v>IGNF</v>
      </c>
      <c r="F11387" s="7" t="str">
        <v>RGF93UTM32.IGN78C</v>
      </c>
      <c r="G11387" t="str">
        <v>CompoundCrs</v>
      </c>
      <c r="H11387" t="str">
        <v>&lt;undefined&gt;</v>
      </c>
      <c r="I11387" t="str">
        <v>RGF93 UTM fuseau 32 et NGF-IGN 1978</v>
      </c>
      <c r="J11387" t="str">
        <v>CORSE</v>
      </c>
      <c r="K11387" s="11">
        <v>0</v>
      </c>
    </row>
    <row r="11388" spans="5:11" x14ac:dyDescent="0.35">
      <c r="E11388" s="9" t="str">
        <v>IGNF</v>
      </c>
      <c r="F11388" s="7" t="str">
        <v>UTM30RGF93</v>
      </c>
      <c r="G11388" t="str">
        <v>ProjectedCrs</v>
      </c>
      <c r="H11388" t="str">
        <v>Transverse Mercator</v>
      </c>
      <c r="I11388" t="str">
        <v>RGF93 UTM NORD FUSEAU 30</v>
      </c>
      <c r="J11388" t="str">
        <v>FRANCE METROPOLITAINE (CORSE COMPRISE) - UTM NORD FUSEAU 30</v>
      </c>
      <c r="K11388" s="11">
        <v>0</v>
      </c>
    </row>
    <row r="11389" spans="5:11" x14ac:dyDescent="0.35">
      <c r="E11389" s="9" t="str">
        <v>IGNF</v>
      </c>
      <c r="F11389" s="7" t="str">
        <v>RGF93UTM30</v>
      </c>
      <c r="G11389" t="str">
        <v>ProjectedCrs</v>
      </c>
      <c r="H11389" t="str">
        <v>Transverse Mercator</v>
      </c>
      <c r="I11389" t="str">
        <v>RGF93 UTM NORD FUSEAU 30</v>
      </c>
      <c r="J11389" t="str">
        <v>FRANCE METROPOLITAINE (CORSE COMPRISE) - UTM NORD FUSEAU 30</v>
      </c>
      <c r="K11389" s="11">
        <v>0</v>
      </c>
    </row>
    <row r="11390" spans="5:11" x14ac:dyDescent="0.35">
      <c r="E11390" s="9" t="str">
        <v>IGNF</v>
      </c>
      <c r="F11390" s="7" t="str">
        <v>RGF93UTM30.IGN69</v>
      </c>
      <c r="G11390" t="str">
        <v>CompoundCrs</v>
      </c>
      <c r="H11390" t="str">
        <v>&lt;undefined&gt;</v>
      </c>
      <c r="I11390" t="str">
        <v>RGF93 UTM NORD FUSEAU 30 et NGF-IGN 1969</v>
      </c>
      <c r="J11390" t="str">
        <v>FRANCE CONTINENTALE (CORSE EXCLUE) - UTM NORD FUSEAU 30</v>
      </c>
      <c r="K11390" s="11">
        <v>0</v>
      </c>
    </row>
    <row r="11391" spans="5:11" x14ac:dyDescent="0.35">
      <c r="E11391" s="9" t="str">
        <v>IGNF</v>
      </c>
      <c r="F11391" s="7" t="str">
        <v>RGFG95</v>
      </c>
      <c r="G11391" t="str">
        <v>GeocentricCrs</v>
      </c>
      <c r="H11391" t="str">
        <v>&lt;undefined&gt;</v>
      </c>
      <c r="I11391" t="str">
        <v>RGFG95 cartesiennes geocentriques</v>
      </c>
      <c r="J11391" t="str">
        <v>GUYANE FRANCAISE</v>
      </c>
      <c r="K11391" s="11">
        <v>0</v>
      </c>
    </row>
    <row r="11392" spans="5:11" x14ac:dyDescent="0.35">
      <c r="E11392" s="9" t="str">
        <v>IGNF</v>
      </c>
      <c r="F11392" s="7" t="str">
        <v>RGFG95GEODD</v>
      </c>
      <c r="G11392" t="str">
        <v>Geographic3DCrs</v>
      </c>
      <c r="H11392" t="str">
        <v>&lt;undefined&gt;</v>
      </c>
      <c r="I11392" t="str">
        <v>RGFG95 geographiques (dd)</v>
      </c>
      <c r="J11392" t="str">
        <v>GUYANE FRANCAISE</v>
      </c>
      <c r="K11392" s="11">
        <v>0</v>
      </c>
    </row>
    <row r="11393" spans="5:11" x14ac:dyDescent="0.35">
      <c r="E11393" s="9" t="str">
        <v>IGNF</v>
      </c>
      <c r="F11393" s="7" t="str">
        <v>RGFG95GDD</v>
      </c>
      <c r="G11393" t="str">
        <v>Geographic2DCrs</v>
      </c>
      <c r="H11393" t="str">
        <v>&lt;undefined&gt;</v>
      </c>
      <c r="I11393" t="str">
        <v>RGFG95 geographiques (dd)</v>
      </c>
      <c r="J11393" t="str">
        <v>GUYANE FRANCAISE</v>
      </c>
      <c r="K11393" s="11">
        <v>0</v>
      </c>
    </row>
    <row r="11394" spans="5:11" x14ac:dyDescent="0.35">
      <c r="E11394" s="9" t="str">
        <v>IGNF</v>
      </c>
      <c r="F11394" s="7" t="str">
        <v>RGFG95G</v>
      </c>
      <c r="G11394" t="str">
        <v>Geographic2DCrs</v>
      </c>
      <c r="H11394" t="str">
        <v>&lt;undefined&gt;</v>
      </c>
      <c r="I11394" t="str">
        <v>RGFG95 geographiques (dms)</v>
      </c>
      <c r="J11394" t="str">
        <v>GUYANE FRANCAISE</v>
      </c>
      <c r="K11394" s="11">
        <v>0</v>
      </c>
    </row>
    <row r="11395" spans="5:11" x14ac:dyDescent="0.35">
      <c r="E11395" s="9" t="str">
        <v>IGNF</v>
      </c>
      <c r="F11395" s="7" t="str">
        <v>RGFG95GEO</v>
      </c>
      <c r="G11395" t="str">
        <v>Geographic3DCrs</v>
      </c>
      <c r="H11395" t="str">
        <v>&lt;undefined&gt;</v>
      </c>
      <c r="I11395" t="str">
        <v>RGFG95 geographiques (dms)</v>
      </c>
      <c r="J11395" t="str">
        <v>GUYANE FRANCAISE</v>
      </c>
      <c r="K11395" s="11">
        <v>0</v>
      </c>
    </row>
    <row r="11396" spans="5:11" x14ac:dyDescent="0.35">
      <c r="E11396" s="9" t="str">
        <v>IGNF</v>
      </c>
      <c r="F11396" s="7" t="str">
        <v>RGFG95G.GUYA77</v>
      </c>
      <c r="G11396" t="str">
        <v>CompoundCrs</v>
      </c>
      <c r="H11396" t="str">
        <v>&lt;undefined&gt;</v>
      </c>
      <c r="I11396" t="str">
        <v>RGFG95 geographiques (dms) et NIVELLEMENT GENERAL DE GUYANE (NGG) 1977</v>
      </c>
      <c r="J11396" t="str">
        <v>GUYANE FRANCAISE</v>
      </c>
      <c r="K11396" s="11">
        <v>0</v>
      </c>
    </row>
    <row r="11397" spans="5:11" x14ac:dyDescent="0.35">
      <c r="E11397" s="9" t="str">
        <v>IGNF</v>
      </c>
      <c r="F11397" s="7" t="str">
        <v>RGFG95UTM21</v>
      </c>
      <c r="G11397" t="str">
        <v>ProjectedCrs</v>
      </c>
      <c r="H11397" t="str">
        <v>Transverse Mercator</v>
      </c>
      <c r="I11397" t="str">
        <v>RGFG95 UTM Nord f.21</v>
      </c>
      <c r="J11397" t="str">
        <v>GUYANE FRANCAISE - UTM NORD FUSEAU 21</v>
      </c>
      <c r="K11397" s="11">
        <v>0</v>
      </c>
    </row>
    <row r="11398" spans="5:11" x14ac:dyDescent="0.35">
      <c r="E11398" s="9" t="str">
        <v>IGNF</v>
      </c>
      <c r="F11398" s="7" t="str">
        <v>UTM21RGFG95</v>
      </c>
      <c r="G11398" t="str">
        <v>ProjectedCrs</v>
      </c>
      <c r="H11398" t="str">
        <v>Transverse Mercator</v>
      </c>
      <c r="I11398" t="str">
        <v>RGFG95 UTM Nord f.21</v>
      </c>
      <c r="J11398" t="str">
        <v>GUYANE FRANCAISE - UTM NORD FUSEAU 21</v>
      </c>
      <c r="K11398" s="11">
        <v>0</v>
      </c>
    </row>
    <row r="11399" spans="5:11" x14ac:dyDescent="0.35">
      <c r="E11399" s="9" t="str">
        <v>IGNF</v>
      </c>
      <c r="F11399" s="7" t="str">
        <v>RGFG95UTM21.GUYA77</v>
      </c>
      <c r="G11399" t="str">
        <v>CompoundCrs</v>
      </c>
      <c r="H11399" t="str">
        <v>&lt;undefined&gt;</v>
      </c>
      <c r="I11399" t="str">
        <v>RGFG95 UTM Nord f.21 et NIVELLEMENT GENERAL DE GUYANE (NGG) 1977</v>
      </c>
      <c r="J11399" t="str">
        <v>GUYANE FRANCAISE - UTM NORD FUSEAU 21</v>
      </c>
      <c r="K11399" s="11">
        <v>0</v>
      </c>
    </row>
    <row r="11400" spans="5:11" x14ac:dyDescent="0.35">
      <c r="E11400" s="9" t="str">
        <v>IGNF</v>
      </c>
      <c r="F11400" s="7" t="str">
        <v>UTM22RGFG95</v>
      </c>
      <c r="G11400" t="str">
        <v>ProjectedCrs</v>
      </c>
      <c r="H11400" t="str">
        <v>Transverse Mercator</v>
      </c>
      <c r="I11400" t="str">
        <v>RGFG95 UTM Nord f.22</v>
      </c>
      <c r="J11400" t="str">
        <v>GUYANE FRANCAISE - UTM NORD FUSEAU 22</v>
      </c>
      <c r="K11400" s="11">
        <v>0</v>
      </c>
    </row>
    <row r="11401" spans="5:11" x14ac:dyDescent="0.35">
      <c r="E11401" s="9" t="str">
        <v>IGNF</v>
      </c>
      <c r="F11401" s="7" t="str">
        <v>RGFG95UTM22</v>
      </c>
      <c r="G11401" t="str">
        <v>ProjectedCrs</v>
      </c>
      <c r="H11401" t="str">
        <v>Transverse Mercator</v>
      </c>
      <c r="I11401" t="str">
        <v>RGFG95 UTM Nord f.22</v>
      </c>
      <c r="J11401" t="str">
        <v>GUYANE FRANCAISE - UTM NORD FUSEAU 22</v>
      </c>
      <c r="K11401" s="11">
        <v>0</v>
      </c>
    </row>
    <row r="11402" spans="5:11" x14ac:dyDescent="0.35">
      <c r="E11402" s="9" t="str">
        <v>IGNF</v>
      </c>
      <c r="F11402" s="7" t="str">
        <v>RGFG95UTM22.GUYA77</v>
      </c>
      <c r="G11402" t="str">
        <v>CompoundCrs</v>
      </c>
      <c r="H11402" t="str">
        <v>&lt;undefined&gt;</v>
      </c>
      <c r="I11402" t="str">
        <v>RGFG95 UTM Nord f.22 et NIVELLEMENT GENERAL DE GUYANE (NGG) 1977</v>
      </c>
      <c r="J11402" t="str">
        <v>GUYANE FRANCAISE - UTM NORD FUSEAU 22</v>
      </c>
      <c r="K11402" s="11">
        <v>0</v>
      </c>
    </row>
    <row r="11403" spans="5:11" x14ac:dyDescent="0.35">
      <c r="E11403" s="9" t="str">
        <v>IGNF</v>
      </c>
      <c r="F11403" s="7" t="str">
        <v>RGM04</v>
      </c>
      <c r="G11403" t="str">
        <v>GeocentricCrs</v>
      </c>
      <c r="H11403" t="str">
        <v>&lt;undefined&gt;</v>
      </c>
      <c r="I11403" t="str">
        <v>RGM04 cartesiennes geocentriques</v>
      </c>
      <c r="J11403" t="str">
        <v>ILE DE MAYOTTE</v>
      </c>
      <c r="K11403" s="11">
        <v>0</v>
      </c>
    </row>
    <row r="11404" spans="5:11" x14ac:dyDescent="0.35">
      <c r="E11404" s="9" t="str">
        <v>IGNF</v>
      </c>
      <c r="F11404" s="7" t="str">
        <v>RGM04GEODD</v>
      </c>
      <c r="G11404" t="str">
        <v>Geographic3DCrs</v>
      </c>
      <c r="H11404" t="str">
        <v>&lt;undefined&gt;</v>
      </c>
      <c r="I11404" t="str">
        <v>RGM04 geographiques (dd)</v>
      </c>
      <c r="J11404" t="str">
        <v>ILE DE MAYOTTE</v>
      </c>
      <c r="K11404" s="11">
        <v>0</v>
      </c>
    </row>
    <row r="11405" spans="5:11" x14ac:dyDescent="0.35">
      <c r="E11405" s="9" t="str">
        <v>IGNF</v>
      </c>
      <c r="F11405" s="7" t="str">
        <v>RGM04GDD</v>
      </c>
      <c r="G11405" t="str">
        <v>Geographic2DCrs</v>
      </c>
      <c r="H11405" t="str">
        <v>&lt;undefined&gt;</v>
      </c>
      <c r="I11405" t="str">
        <v>RGM04 geographiques (dd)</v>
      </c>
      <c r="J11405" t="str">
        <v>ILE DE MAYOTTE</v>
      </c>
      <c r="K11405" s="11">
        <v>0</v>
      </c>
    </row>
    <row r="11406" spans="5:11" x14ac:dyDescent="0.35">
      <c r="E11406" s="9" t="str">
        <v>IGNF</v>
      </c>
      <c r="F11406" s="7" t="str">
        <v>RGM04GDD.MAYO53</v>
      </c>
      <c r="G11406" t="str">
        <v>CompoundCrs</v>
      </c>
      <c r="H11406" t="str">
        <v>&lt;undefined&gt;</v>
      </c>
      <c r="I11406" t="str">
        <v>RGM04 geographiques (dd) et SHOM 1953 (MAYOTTE)</v>
      </c>
      <c r="J11406" t="str">
        <v>ILE DE MAYOTTE</v>
      </c>
      <c r="K11406" s="11">
        <v>0</v>
      </c>
    </row>
    <row r="11407" spans="5:11" x14ac:dyDescent="0.35">
      <c r="E11407" s="9" t="str">
        <v>IGNF</v>
      </c>
      <c r="F11407" s="7" t="str">
        <v>RGM04GEO</v>
      </c>
      <c r="G11407" t="str">
        <v>Geographic3DCrs</v>
      </c>
      <c r="H11407" t="str">
        <v>&lt;undefined&gt;</v>
      </c>
      <c r="I11407" t="str">
        <v>RGM04 geographiques (dms)</v>
      </c>
      <c r="J11407" t="str">
        <v>ILE DE MAYOTTE</v>
      </c>
      <c r="K11407" s="11">
        <v>0</v>
      </c>
    </row>
    <row r="11408" spans="5:11" x14ac:dyDescent="0.35">
      <c r="E11408" s="9" t="str">
        <v>IGNF</v>
      </c>
      <c r="F11408" s="7" t="str">
        <v>RGM04G</v>
      </c>
      <c r="G11408" t="str">
        <v>Geographic2DCrs</v>
      </c>
      <c r="H11408" t="str">
        <v>&lt;undefined&gt;</v>
      </c>
      <c r="I11408" t="str">
        <v>RGM04 geographiques (dms)</v>
      </c>
      <c r="J11408" t="str">
        <v>ILE DE MAYOTTE</v>
      </c>
      <c r="K11408" s="11">
        <v>0</v>
      </c>
    </row>
    <row r="11409" spans="5:11" x14ac:dyDescent="0.35">
      <c r="E11409" s="9" t="str">
        <v>IGNF</v>
      </c>
      <c r="F11409" s="7" t="str">
        <v>RGM04G.MAYO53</v>
      </c>
      <c r="G11409" t="str">
        <v>CompoundCrs</v>
      </c>
      <c r="H11409" t="str">
        <v>&lt;undefined&gt;</v>
      </c>
      <c r="I11409" t="str">
        <v>RGM04 geographiques (dms) et SHOM 1953 (MAYOTTE)</v>
      </c>
      <c r="J11409" t="str">
        <v>ILE DE MAYOTTE</v>
      </c>
      <c r="K11409" s="11">
        <v>0</v>
      </c>
    </row>
    <row r="11410" spans="5:11" x14ac:dyDescent="0.35">
      <c r="E11410" s="9" t="str">
        <v>IGNF</v>
      </c>
      <c r="F11410" s="7" t="str">
        <v>RGM04UTM38S</v>
      </c>
      <c r="G11410" t="str">
        <v>ProjectedCrs</v>
      </c>
      <c r="H11410" t="str">
        <v>Transverse Mercator</v>
      </c>
      <c r="I11410" t="str">
        <v>RGM04 UTM Sud fuseau 38</v>
      </c>
      <c r="J11410" t="str">
        <v>ILE DE MAYOTTE - UTM SUD FUSEAU 38</v>
      </c>
      <c r="K11410" s="11">
        <v>0</v>
      </c>
    </row>
    <row r="11411" spans="5:11" x14ac:dyDescent="0.35">
      <c r="E11411" s="9" t="str">
        <v>IGNF</v>
      </c>
      <c r="F11411" s="7" t="str">
        <v>RGM04UTM38S.MAYO53</v>
      </c>
      <c r="G11411" t="str">
        <v>CompoundCrs</v>
      </c>
      <c r="H11411" t="str">
        <v>&lt;undefined&gt;</v>
      </c>
      <c r="I11411" t="str">
        <v>RGM04 UTM Sud fuseau 38 et SHOM 1953 (MAYOTTE)</v>
      </c>
      <c r="J11411" t="str">
        <v>ILE DE MAYOTTE</v>
      </c>
      <c r="K11411" s="11">
        <v>0</v>
      </c>
    </row>
    <row r="11412" spans="5:11" x14ac:dyDescent="0.35">
      <c r="E11412" s="9" t="str">
        <v>IGNF</v>
      </c>
      <c r="F11412" s="7" t="str">
        <v>RGNC</v>
      </c>
      <c r="G11412" t="str">
        <v>GeocentricCrs</v>
      </c>
      <c r="H11412" t="str">
        <v>&lt;undefined&gt;</v>
      </c>
      <c r="I11412" t="str">
        <v>RGNC cartesiennes geocentriques</v>
      </c>
      <c r="J11412" t="str">
        <v>NOUVELLE-CALEDONIE</v>
      </c>
      <c r="K11412" s="11">
        <v>0</v>
      </c>
    </row>
    <row r="11413" spans="5:11" x14ac:dyDescent="0.35">
      <c r="E11413" s="9" t="str">
        <v>IGNF</v>
      </c>
      <c r="F11413" s="7" t="str">
        <v>RGNCGEODD</v>
      </c>
      <c r="G11413" t="str">
        <v>Geographic3DCrs</v>
      </c>
      <c r="H11413" t="str">
        <v>&lt;undefined&gt;</v>
      </c>
      <c r="I11413" t="str">
        <v>RGNC GEOGRAPHIQUES (DD)</v>
      </c>
      <c r="J11413" t="str">
        <v>NOUVELLE-CALEDONIE</v>
      </c>
      <c r="K11413" s="11">
        <v>0</v>
      </c>
    </row>
    <row r="11414" spans="5:11" x14ac:dyDescent="0.35">
      <c r="E11414" s="9" t="str">
        <v>IGNF</v>
      </c>
      <c r="F11414" s="7" t="str">
        <v>RGNCGEO</v>
      </c>
      <c r="G11414" t="str">
        <v>Geographic3DCrs</v>
      </c>
      <c r="H11414" t="str">
        <v>&lt;undefined&gt;</v>
      </c>
      <c r="I11414" t="str">
        <v>RGNC geographiques (dms)</v>
      </c>
      <c r="J11414" t="str">
        <v>NOUVELLE-CALEDONIE</v>
      </c>
      <c r="K11414" s="11">
        <v>0</v>
      </c>
    </row>
    <row r="11415" spans="5:11" x14ac:dyDescent="0.35">
      <c r="E11415" s="9" t="str">
        <v>IGNF</v>
      </c>
      <c r="F11415" s="7" t="str">
        <v>RGNCG</v>
      </c>
      <c r="G11415" t="str">
        <v>Geographic2DCrs</v>
      </c>
      <c r="H11415" t="str">
        <v>&lt;undefined&gt;</v>
      </c>
      <c r="I11415" t="str">
        <v>RGNC geographiques (dms)</v>
      </c>
      <c r="J11415" t="str">
        <v>NOUVELLE-CALEDONIE</v>
      </c>
      <c r="K11415" s="11">
        <v>0</v>
      </c>
    </row>
    <row r="11416" spans="5:11" x14ac:dyDescent="0.35">
      <c r="E11416" s="9" t="str">
        <v>IGNF</v>
      </c>
      <c r="F11416" s="7" t="str">
        <v>RGNCG.LIFOU91</v>
      </c>
      <c r="G11416" t="str">
        <v>CompoundCrs</v>
      </c>
      <c r="H11416" t="str">
        <v>&lt;undefined&gt;</v>
      </c>
      <c r="I11416" t="str">
        <v>RGNC geographiques (dms) et NIVELLEMENT GENERAL DE LIFOU (IGN 1991 LF)</v>
      </c>
      <c r="J11416" t="str">
        <v>LIFOU (ILES LOYAUTE)</v>
      </c>
      <c r="K11416" s="11">
        <v>0</v>
      </c>
    </row>
    <row r="11417" spans="5:11" x14ac:dyDescent="0.35">
      <c r="E11417" s="9" t="str">
        <v>IGNF</v>
      </c>
      <c r="F11417" s="7" t="str">
        <v>RGNCG.MARE91</v>
      </c>
      <c r="G11417" t="str">
        <v>CompoundCrs</v>
      </c>
      <c r="H11417" t="str">
        <v>&lt;undefined&gt;</v>
      </c>
      <c r="I11417" t="str">
        <v>RGNC geographiques (dms) et NIVELLEMENT GENERAL DE MARE (IGN 1991 MR)</v>
      </c>
      <c r="J11417" t="str">
        <v>MARE (ILES LOYAUTE)</v>
      </c>
      <c r="K11417" s="11">
        <v>0</v>
      </c>
    </row>
    <row r="11418" spans="5:11" x14ac:dyDescent="0.35">
      <c r="E11418" s="9" t="str">
        <v>IGNF</v>
      </c>
      <c r="F11418" s="7" t="str">
        <v>RGNCG.NCAL69</v>
      </c>
      <c r="G11418" t="str">
        <v>CompoundCrs</v>
      </c>
      <c r="H11418" t="str">
        <v>&lt;undefined&gt;</v>
      </c>
      <c r="I11418" t="str">
        <v>RGNC geographiques (dms) et NIVELLEMENT GENERAL DE NOUVELLE-CALEDONIE (NGNC)</v>
      </c>
      <c r="J11418" t="str">
        <v>GRANDE TERRE (NOUVELLE-CALEDONIE)</v>
      </c>
      <c r="K11418" s="11">
        <v>0</v>
      </c>
    </row>
    <row r="11419" spans="5:11" x14ac:dyDescent="0.35">
      <c r="E11419" s="9" t="str">
        <v>IGNF</v>
      </c>
      <c r="F11419" s="7" t="str">
        <v>RGNCG.PINS78</v>
      </c>
      <c r="G11419" t="str">
        <v>CompoundCrs</v>
      </c>
      <c r="H11419" t="str">
        <v>&lt;undefined&gt;</v>
      </c>
      <c r="I11419" t="str">
        <v>RGNC geographiques (dms) et SHOM 1978 (ILE DES PINS)</v>
      </c>
      <c r="J11419" t="str">
        <v>ILE DES PINS (NOUVELLE-CALEDONIE)</v>
      </c>
      <c r="K11419" s="11">
        <v>0</v>
      </c>
    </row>
    <row r="11420" spans="5:11" x14ac:dyDescent="0.35">
      <c r="E11420" s="9" t="str">
        <v>IGNF</v>
      </c>
      <c r="F11420" s="7" t="str">
        <v>RGNCLAMBNC</v>
      </c>
      <c r="G11420" t="str">
        <v>ProjectedCrs</v>
      </c>
      <c r="H11420" t="str">
        <v>Lambert Conic Conformal (2SP)</v>
      </c>
      <c r="I11420" t="str">
        <v>RGNC Lambert Nouvelle-Caledonie</v>
      </c>
      <c r="J11420" t="str">
        <v>NOUVELLE-CALEDONIE</v>
      </c>
      <c r="K11420" s="11">
        <v>0</v>
      </c>
    </row>
    <row r="11421" spans="5:11" x14ac:dyDescent="0.35">
      <c r="E11421" s="9" t="str">
        <v>IGNF</v>
      </c>
      <c r="F11421" s="7" t="str">
        <v>RGNCLAM</v>
      </c>
      <c r="G11421" t="str">
        <v>ProjectedCrs</v>
      </c>
      <c r="H11421" t="str">
        <v>Lambert Conic Conformal (2SP)</v>
      </c>
      <c r="I11421" t="str">
        <v>RGNC Lambert Nouvelle-Caledonie</v>
      </c>
      <c r="J11421" t="str">
        <v>NOUVELLE-CALEDONIE</v>
      </c>
      <c r="K11421" s="11">
        <v>0</v>
      </c>
    </row>
    <row r="11422" spans="5:11" x14ac:dyDescent="0.35">
      <c r="E11422" s="9" t="str">
        <v>IGNF</v>
      </c>
      <c r="F11422" s="7" t="str">
        <v>RGNCLAMBNC.LIFOU91</v>
      </c>
      <c r="G11422" t="str">
        <v>CompoundCrs</v>
      </c>
      <c r="H11422" t="str">
        <v>&lt;undefined&gt;</v>
      </c>
      <c r="I11422" t="str">
        <v>RGNC Lambert Nouvelle-Caledonie et NIVELLEMENT GENERAL DE LIFOU (IGN 1991 LF)</v>
      </c>
      <c r="J11422" t="str">
        <v>LIFOU (ILES LOYAUTE)</v>
      </c>
      <c r="K11422" s="11">
        <v>0</v>
      </c>
    </row>
    <row r="11423" spans="5:11" x14ac:dyDescent="0.35">
      <c r="E11423" s="9" t="str">
        <v>IGNF</v>
      </c>
      <c r="F11423" s="7" t="str">
        <v>RGNCLAMBNC.MARE91</v>
      </c>
      <c r="G11423" t="str">
        <v>CompoundCrs</v>
      </c>
      <c r="H11423" t="str">
        <v>&lt;undefined&gt;</v>
      </c>
      <c r="I11423" t="str">
        <v>RGNC Lambert Nouvelle-Caledonie et NIVELLEMENT GENERAL DE MARE (IGN 1991 MR)</v>
      </c>
      <c r="J11423" t="str">
        <v>MARE (ILES LOYAUTE)</v>
      </c>
      <c r="K11423" s="11">
        <v>0</v>
      </c>
    </row>
    <row r="11424" spans="5:11" x14ac:dyDescent="0.35">
      <c r="E11424" s="9" t="str">
        <v>IGNF</v>
      </c>
      <c r="F11424" s="7" t="str">
        <v>RGNCLAMBNC.NCAL69</v>
      </c>
      <c r="G11424" t="str">
        <v>CompoundCrs</v>
      </c>
      <c r="H11424" t="str">
        <v>&lt;undefined&gt;</v>
      </c>
      <c r="I11424" t="str">
        <v>RGNC Lambert Nouvelle-Caledonie et NIVELLEMENT GENERAL DE NOUVELLE-CALEDONIE (NGNC)</v>
      </c>
      <c r="J11424" t="str">
        <v>GRANDE TERRE (NOUVELLE-CALEDONIE)</v>
      </c>
      <c r="K11424" s="11">
        <v>0</v>
      </c>
    </row>
    <row r="11425" spans="5:11" x14ac:dyDescent="0.35">
      <c r="E11425" s="9" t="str">
        <v>IGNF</v>
      </c>
      <c r="F11425" s="7" t="str">
        <v>RGNCLAMBNC.PINS78</v>
      </c>
      <c r="G11425" t="str">
        <v>CompoundCrs</v>
      </c>
      <c r="H11425" t="str">
        <v>&lt;undefined&gt;</v>
      </c>
      <c r="I11425" t="str">
        <v>RGNC Lambert Nouvelle-Caledonie et SHOM 1978 (ILE DES PINS)</v>
      </c>
      <c r="J11425" t="str">
        <v>ILE DES PINS (NOUVELLE-CALEDONIE)</v>
      </c>
      <c r="K11425" s="11">
        <v>0</v>
      </c>
    </row>
    <row r="11426" spans="5:11" x14ac:dyDescent="0.35">
      <c r="E11426" s="9" t="str">
        <v>IGNF</v>
      </c>
      <c r="F11426" s="7" t="str">
        <v>RGNCUTM57S</v>
      </c>
      <c r="G11426" t="str">
        <v>ProjectedCrs</v>
      </c>
      <c r="H11426" t="str">
        <v>Transverse Mercator</v>
      </c>
      <c r="I11426" t="str">
        <v>RGNC UTM Sud fuseau 57</v>
      </c>
      <c r="J11426" t="str">
        <v>NOUVELLE-CALEDONIE - UTM SUD FUSEAU 57</v>
      </c>
      <c r="K11426" s="11">
        <v>0</v>
      </c>
    </row>
    <row r="11427" spans="5:11" x14ac:dyDescent="0.35">
      <c r="E11427" s="9" t="str">
        <v>IGNF</v>
      </c>
      <c r="F11427" s="7" t="str">
        <v>RGNCUTM58S</v>
      </c>
      <c r="G11427" t="str">
        <v>ProjectedCrs</v>
      </c>
      <c r="H11427" t="str">
        <v>Transverse Mercator</v>
      </c>
      <c r="I11427" t="str">
        <v>RGNC UTM Sud fuseau 58</v>
      </c>
      <c r="J11427" t="str">
        <v>NOUVELLE-CALEDONIE - UTM SUD FUSEAU 58</v>
      </c>
      <c r="K11427" s="11">
        <v>0</v>
      </c>
    </row>
    <row r="11428" spans="5:11" x14ac:dyDescent="0.35">
      <c r="E11428" s="9" t="str">
        <v>IGNF</v>
      </c>
      <c r="F11428" s="7" t="str">
        <v>RGNCUTM59S</v>
      </c>
      <c r="G11428" t="str">
        <v>ProjectedCrs</v>
      </c>
      <c r="H11428" t="str">
        <v>Transverse Mercator</v>
      </c>
      <c r="I11428" t="str">
        <v>RGNC UTM Sud fuseau 59</v>
      </c>
      <c r="J11428" t="str">
        <v>NOUVELLE-CALEDONIE - UTM SUD FUSEAU 59</v>
      </c>
      <c r="K11428" s="11">
        <v>0</v>
      </c>
    </row>
    <row r="11429" spans="5:11" x14ac:dyDescent="0.35">
      <c r="E11429" s="9" t="str">
        <v>IGNF</v>
      </c>
      <c r="F11429" s="7" t="str">
        <v>RGPF</v>
      </c>
      <c r="G11429" t="str">
        <v>GeocentricCrs</v>
      </c>
      <c r="H11429" t="str">
        <v>&lt;undefined&gt;</v>
      </c>
      <c r="I11429" t="str">
        <v>RGPF cartesiennes geocentriques</v>
      </c>
      <c r="J11429" t="str">
        <v>POLYNESIE FRANCAISE</v>
      </c>
      <c r="K11429" s="11">
        <v>0</v>
      </c>
    </row>
    <row r="11430" spans="5:11" x14ac:dyDescent="0.35">
      <c r="E11430" s="9" t="str">
        <v>IGNF</v>
      </c>
      <c r="F11430" s="7" t="str">
        <v>RGPFGDD</v>
      </c>
      <c r="G11430" t="str">
        <v>Geographic2DCrs</v>
      </c>
      <c r="H11430" t="str">
        <v>&lt;undefined&gt;</v>
      </c>
      <c r="I11430" t="str">
        <v>RGPF geographiques (dd)</v>
      </c>
      <c r="J11430" t="str">
        <v>POLYNESIE FRANCAISE</v>
      </c>
      <c r="K11430" s="11">
        <v>0</v>
      </c>
    </row>
    <row r="11431" spans="5:11" x14ac:dyDescent="0.35">
      <c r="E11431" s="9" t="str">
        <v>IGNF</v>
      </c>
      <c r="F11431" s="7" t="str">
        <v>RGPFGEO</v>
      </c>
      <c r="G11431" t="str">
        <v>Geographic3DCrs</v>
      </c>
      <c r="H11431" t="str">
        <v>&lt;undefined&gt;</v>
      </c>
      <c r="I11431" t="str">
        <v>RGPF geographiques (dms)</v>
      </c>
      <c r="J11431" t="str">
        <v>POLYNESIE FRANCAISE</v>
      </c>
      <c r="K11431" s="11">
        <v>0</v>
      </c>
    </row>
    <row r="11432" spans="5:11" x14ac:dyDescent="0.35">
      <c r="E11432" s="9" t="str">
        <v>IGNF</v>
      </c>
      <c r="F11432" s="7" t="str">
        <v>RGPFG</v>
      </c>
      <c r="G11432" t="str">
        <v>Geographic2DCrs</v>
      </c>
      <c r="H11432" t="str">
        <v>&lt;undefined&gt;</v>
      </c>
      <c r="I11432" t="str">
        <v>RGPF geographiques (dms)</v>
      </c>
      <c r="J11432" t="str">
        <v>POLYNESIE FRANCAISE</v>
      </c>
      <c r="K11432" s="11">
        <v>0</v>
      </c>
    </row>
    <row r="11433" spans="5:11" x14ac:dyDescent="0.35">
      <c r="E11433" s="9" t="str">
        <v>IGNF</v>
      </c>
      <c r="F11433" s="7" t="str">
        <v>RGPFG.BORA01</v>
      </c>
      <c r="G11433" t="str">
        <v>CompoundCrs</v>
      </c>
      <c r="H11433" t="str">
        <v>&lt;undefined&gt;</v>
      </c>
      <c r="I11433" t="str">
        <v>RGPF geographiques (dms) et BORA_SAU 2001</v>
      </c>
      <c r="J11433" t="str">
        <v>BORA BORA (ARCHIPEL DE LA SOCIETE)</v>
      </c>
      <c r="K11433" s="11">
        <v>0</v>
      </c>
    </row>
    <row r="11434" spans="5:11" x14ac:dyDescent="0.35">
      <c r="E11434" s="9" t="str">
        <v>IGNF</v>
      </c>
      <c r="F11434" s="7" t="str">
        <v>RGPFG.HUAH01</v>
      </c>
      <c r="G11434" t="str">
        <v>CompoundCrs</v>
      </c>
      <c r="H11434" t="str">
        <v>&lt;undefined&gt;</v>
      </c>
      <c r="I11434" t="str">
        <v>RGPF geographiques (dms) et HUAHINE_SAU 2001</v>
      </c>
      <c r="J11434" t="str">
        <v>HUAHINE (ARCHIPEL DE LA SOCIETE)</v>
      </c>
      <c r="K11434" s="11">
        <v>0</v>
      </c>
    </row>
    <row r="11435" spans="5:11" x14ac:dyDescent="0.35">
      <c r="E11435" s="9" t="str">
        <v>IGNF</v>
      </c>
      <c r="F11435" s="7" t="str">
        <v>RGPFG.MAUPITI01</v>
      </c>
      <c r="G11435" t="str">
        <v>CompoundCrs</v>
      </c>
      <c r="H11435" t="str">
        <v>&lt;undefined&gt;</v>
      </c>
      <c r="I11435" t="str">
        <v>RGPF geographiques (dms) et MAUPITI_SAU 2001</v>
      </c>
      <c r="J11435" t="str">
        <v>MAUPITI</v>
      </c>
      <c r="K11435" s="11">
        <v>0</v>
      </c>
    </row>
    <row r="11436" spans="5:11" x14ac:dyDescent="0.35">
      <c r="E11436" s="9" t="str">
        <v>IGNF</v>
      </c>
      <c r="F11436" s="7" t="str">
        <v>RGPFG.MOOREA81</v>
      </c>
      <c r="G11436" t="str">
        <v>CompoundCrs</v>
      </c>
      <c r="H11436" t="str">
        <v>&lt;undefined&gt;</v>
      </c>
      <c r="I11436" t="str">
        <v>RGPF geographiques (dms) et MOOREA 1981 (MOOREA_SAU 2001)</v>
      </c>
      <c r="J11436" t="str">
        <v>MOOREA (ARCHIPEL DE LA SOCIETE)</v>
      </c>
      <c r="K11436" s="11">
        <v>0</v>
      </c>
    </row>
    <row r="11437" spans="5:11" x14ac:dyDescent="0.35">
      <c r="E11437" s="9" t="str">
        <v>IGNF</v>
      </c>
      <c r="F11437" s="7" t="str">
        <v>RGPFG.RAIA01</v>
      </c>
      <c r="G11437" t="str">
        <v>CompoundCrs</v>
      </c>
      <c r="H11437" t="str">
        <v>&lt;undefined&gt;</v>
      </c>
      <c r="I11437" t="str">
        <v>RGPF geographiques (dms) et RAIATEA_SAU 2001</v>
      </c>
      <c r="J11437" t="str">
        <v>RAIATEA, TAHAA (ARCHIPEL DE LA SOCIETE)</v>
      </c>
      <c r="K11437" s="11">
        <v>0</v>
      </c>
    </row>
    <row r="11438" spans="5:11" x14ac:dyDescent="0.35">
      <c r="E11438" s="9" t="str">
        <v>IGNF</v>
      </c>
      <c r="F11438" s="7" t="str">
        <v>RGPFG.TAHAA01</v>
      </c>
      <c r="G11438" t="str">
        <v>CompoundCrs</v>
      </c>
      <c r="H11438" t="str">
        <v>&lt;undefined&gt;</v>
      </c>
      <c r="I11438" t="str">
        <v>RGPF geographiques (dms) et TAHAA_SAU 2001</v>
      </c>
      <c r="J11438" t="str">
        <v>TAHAA (ARCHIPEL DE LA SOCIETE)</v>
      </c>
      <c r="K11438" s="11">
        <v>0</v>
      </c>
    </row>
    <row r="11439" spans="5:11" x14ac:dyDescent="0.35">
      <c r="E11439" s="9" t="str">
        <v>IGNF</v>
      </c>
      <c r="F11439" s="7" t="str">
        <v>RGPFUTM5S</v>
      </c>
      <c r="G11439" t="str">
        <v>ProjectedCrs</v>
      </c>
      <c r="H11439" t="str">
        <v>Transverse Mercator</v>
      </c>
      <c r="I11439" t="str">
        <v>RGPF UTM Sud fuseau 5</v>
      </c>
      <c r="J11439" t="str">
        <v>POLYNESIE FRANCAISE - UTM SUD FUSEAU 5</v>
      </c>
      <c r="K11439" s="11">
        <v>0</v>
      </c>
    </row>
    <row r="11440" spans="5:11" x14ac:dyDescent="0.35">
      <c r="E11440" s="9" t="str">
        <v>IGNF</v>
      </c>
      <c r="F11440" s="7" t="str">
        <v>RGPFUTM5S.BORA01</v>
      </c>
      <c r="G11440" t="str">
        <v>CompoundCrs</v>
      </c>
      <c r="H11440" t="str">
        <v>&lt;undefined&gt;</v>
      </c>
      <c r="I11440" t="str">
        <v>RGPF UTM Sud fuseau 5 et BORA_SAU 2001</v>
      </c>
      <c r="J11440" t="str">
        <v>BORA BORA (ARCHIPEL DE LA SOCIETE)</v>
      </c>
      <c r="K11440" s="11">
        <v>0</v>
      </c>
    </row>
    <row r="11441" spans="5:11" x14ac:dyDescent="0.35">
      <c r="E11441" s="9" t="str">
        <v>IGNF</v>
      </c>
      <c r="F11441" s="7" t="str">
        <v>RGPFUTM5S.HUAH01</v>
      </c>
      <c r="G11441" t="str">
        <v>CompoundCrs</v>
      </c>
      <c r="H11441" t="str">
        <v>&lt;undefined&gt;</v>
      </c>
      <c r="I11441" t="str">
        <v>RGPF UTM Sud fuseau 5 et HUAHINE_SAU 2001</v>
      </c>
      <c r="J11441" t="str">
        <v>HUAHINE (ARCHIPEL DE LA SOCIETE)</v>
      </c>
      <c r="K11441" s="11">
        <v>0</v>
      </c>
    </row>
    <row r="11442" spans="5:11" x14ac:dyDescent="0.35">
      <c r="E11442" s="9" t="str">
        <v>IGNF</v>
      </c>
      <c r="F11442" s="7" t="str">
        <v>RGPFUTM5S.MAUPITI01</v>
      </c>
      <c r="G11442" t="str">
        <v>CompoundCrs</v>
      </c>
      <c r="H11442" t="str">
        <v>&lt;undefined&gt;</v>
      </c>
      <c r="I11442" t="str">
        <v>RGPF UTM Sud fuseau 5 et MAUPITI_SAU 2001</v>
      </c>
      <c r="J11442" t="str">
        <v>MAUPITI</v>
      </c>
      <c r="K11442" s="11">
        <v>0</v>
      </c>
    </row>
    <row r="11443" spans="5:11" x14ac:dyDescent="0.35">
      <c r="E11443" s="9" t="str">
        <v>IGNF</v>
      </c>
      <c r="F11443" s="7" t="str">
        <v>RGPFUTM5S.RAIA01</v>
      </c>
      <c r="G11443" t="str">
        <v>CompoundCrs</v>
      </c>
      <c r="H11443" t="str">
        <v>&lt;undefined&gt;</v>
      </c>
      <c r="I11443" t="str">
        <v>RGPF UTM Sud fuseau 5 et RAIATEA_SAU 2001</v>
      </c>
      <c r="J11443" t="str">
        <v>RAIATEA, TAHAA (ARCHIPEL DE LA SOCIETE)</v>
      </c>
      <c r="K11443" s="11">
        <v>0</v>
      </c>
    </row>
    <row r="11444" spans="5:11" x14ac:dyDescent="0.35">
      <c r="E11444" s="9" t="str">
        <v>IGNF</v>
      </c>
      <c r="F11444" s="7" t="str">
        <v>RGPFUTM5S.TAHAA01</v>
      </c>
      <c r="G11444" t="str">
        <v>CompoundCrs</v>
      </c>
      <c r="H11444" t="str">
        <v>&lt;undefined&gt;</v>
      </c>
      <c r="I11444" t="str">
        <v>RGPF UTM Sud fuseau 5 et TAHAA_SAU 2001</v>
      </c>
      <c r="J11444" t="str">
        <v>TAHAA (ARCHIPEL DE LA SOCIETE)</v>
      </c>
      <c r="K11444" s="11">
        <v>0</v>
      </c>
    </row>
    <row r="11445" spans="5:11" x14ac:dyDescent="0.35">
      <c r="E11445" s="9" t="str">
        <v>IGNF</v>
      </c>
      <c r="F11445" s="7" t="str">
        <v>RGPFUTM6S</v>
      </c>
      <c r="G11445" t="str">
        <v>ProjectedCrs</v>
      </c>
      <c r="H11445" t="str">
        <v>Transverse Mercator</v>
      </c>
      <c r="I11445" t="str">
        <v>RGPF UTM Sud fuseau 6</v>
      </c>
      <c r="J11445" t="str">
        <v>POLYNESIE FRANCAISE - UTM SUD FUSEAU 6</v>
      </c>
      <c r="K11445" s="11">
        <v>0</v>
      </c>
    </row>
    <row r="11446" spans="5:11" x14ac:dyDescent="0.35">
      <c r="E11446" s="9" t="str">
        <v>IGNF</v>
      </c>
      <c r="F11446" s="7" t="str">
        <v>RGPFUTM6S.MOOREA81</v>
      </c>
      <c r="G11446" t="str">
        <v>CompoundCrs</v>
      </c>
      <c r="H11446" t="str">
        <v>&lt;undefined&gt;</v>
      </c>
      <c r="I11446" t="str">
        <v>RGPF UTM Sud fuseau 6 et MOOREA 1981 (MOOREA_SAU 2001)</v>
      </c>
      <c r="J11446" t="str">
        <v>MOOREA (ARCHIPEL DE LA SOCIETE)</v>
      </c>
      <c r="K11446" s="11">
        <v>0</v>
      </c>
    </row>
    <row r="11447" spans="5:11" x14ac:dyDescent="0.35">
      <c r="E11447" s="9" t="str">
        <v>IGNF</v>
      </c>
      <c r="F11447" s="7" t="str">
        <v>RGPFUTM7S</v>
      </c>
      <c r="G11447" t="str">
        <v>ProjectedCrs</v>
      </c>
      <c r="H11447" t="str">
        <v>Transverse Mercator</v>
      </c>
      <c r="I11447" t="str">
        <v>RGPF UTM Sud fuseau 7</v>
      </c>
      <c r="J11447" t="str">
        <v>POLYNESIE FRANCAISE - UTM SUD FUSEAU 7</v>
      </c>
      <c r="K11447" s="11">
        <v>0</v>
      </c>
    </row>
    <row r="11448" spans="5:11" x14ac:dyDescent="0.35">
      <c r="E11448" s="9" t="str">
        <v>IGNF</v>
      </c>
      <c r="F11448" s="7" t="str">
        <v>RGPFUTM8S</v>
      </c>
      <c r="G11448" t="str">
        <v>ProjectedCrs</v>
      </c>
      <c r="H11448" t="str">
        <v>Transverse Mercator</v>
      </c>
      <c r="I11448" t="str">
        <v>RGPF UTM SUD FUSEAU 8</v>
      </c>
      <c r="J11448" t="str">
        <v>POLYNESIE FRANCAISE - UTM SUD FUSEAU 8</v>
      </c>
      <c r="K11448" s="11">
        <v>0</v>
      </c>
    </row>
    <row r="11449" spans="5:11" x14ac:dyDescent="0.35">
      <c r="E11449" s="9" t="str">
        <v>IGNF</v>
      </c>
      <c r="F11449" s="7" t="str">
        <v>RGR92</v>
      </c>
      <c r="G11449" t="str">
        <v>GeocentricCrs</v>
      </c>
      <c r="H11449" t="str">
        <v>&lt;undefined&gt;</v>
      </c>
      <c r="I11449" t="str">
        <v>RGR92 cartesiennes geocentriques</v>
      </c>
      <c r="J11449" t="str">
        <v>ILE DE LA REUNION</v>
      </c>
      <c r="K11449" s="11">
        <v>0</v>
      </c>
    </row>
    <row r="11450" spans="5:11" x14ac:dyDescent="0.35">
      <c r="E11450" s="9" t="str">
        <v>IGNF</v>
      </c>
      <c r="F11450" s="7" t="str">
        <v>RGR92GDD</v>
      </c>
      <c r="G11450" t="str">
        <v>Geographic2DCrs</v>
      </c>
      <c r="H11450" t="str">
        <v>&lt;undefined&gt;</v>
      </c>
      <c r="I11450" t="str">
        <v>RGR92 geographiques (dd)</v>
      </c>
      <c r="J11450" t="str">
        <v>ILE DE LA REUNION</v>
      </c>
      <c r="K11450" s="11">
        <v>0</v>
      </c>
    </row>
    <row r="11451" spans="5:11" x14ac:dyDescent="0.35">
      <c r="E11451" s="9" t="str">
        <v>IGNF</v>
      </c>
      <c r="F11451" s="7" t="str">
        <v>RGR92GEODD</v>
      </c>
      <c r="G11451" t="str">
        <v>Geographic3DCrs</v>
      </c>
      <c r="H11451" t="str">
        <v>&lt;undefined&gt;</v>
      </c>
      <c r="I11451" t="str">
        <v>RGR92 geographiques (dd)</v>
      </c>
      <c r="J11451" t="str">
        <v>ILE DE LA REUNION</v>
      </c>
      <c r="K11451" s="11">
        <v>0</v>
      </c>
    </row>
    <row r="11452" spans="5:11" x14ac:dyDescent="0.35">
      <c r="E11452" s="9" t="str">
        <v>IGNF</v>
      </c>
      <c r="F11452" s="7" t="str">
        <v>RGR92G</v>
      </c>
      <c r="G11452" t="str">
        <v>Geographic2DCrs</v>
      </c>
      <c r="H11452" t="str">
        <v>&lt;undefined&gt;</v>
      </c>
      <c r="I11452" t="str">
        <v>RGR92 geographiques (dms)</v>
      </c>
      <c r="J11452" t="str">
        <v>ILE DE LA REUNION</v>
      </c>
      <c r="K11452" s="11">
        <v>0</v>
      </c>
    </row>
    <row r="11453" spans="5:11" x14ac:dyDescent="0.35">
      <c r="E11453" s="9" t="str">
        <v>IGNF</v>
      </c>
      <c r="F11453" s="7" t="str">
        <v>RGR92GEO</v>
      </c>
      <c r="G11453" t="str">
        <v>Geographic3DCrs</v>
      </c>
      <c r="H11453" t="str">
        <v>&lt;undefined&gt;</v>
      </c>
      <c r="I11453" t="str">
        <v>RGR92 geographiques (dms)</v>
      </c>
      <c r="J11453" t="str">
        <v>ILE DE LA REUNION</v>
      </c>
      <c r="K11453" s="11">
        <v>0</v>
      </c>
    </row>
    <row r="11454" spans="5:11" x14ac:dyDescent="0.35">
      <c r="E11454" s="9" t="str">
        <v>IGNF</v>
      </c>
      <c r="F11454" s="7" t="str">
        <v>RGR92G.REUN89</v>
      </c>
      <c r="G11454" t="str">
        <v>CompoundCrs</v>
      </c>
      <c r="H11454" t="str">
        <v>&lt;undefined&gt;</v>
      </c>
      <c r="I11454" t="str">
        <v>RGR92 geographiques (dms) et IGN 1989 (REUNION)</v>
      </c>
      <c r="J11454" t="str">
        <v>ILE DE LA REUNION</v>
      </c>
      <c r="K11454" s="11">
        <v>0</v>
      </c>
    </row>
    <row r="11455" spans="5:11" x14ac:dyDescent="0.35">
      <c r="E11455" s="9" t="str">
        <v>IGNF</v>
      </c>
      <c r="F11455" s="7" t="str">
        <v>RGR92UTM40S</v>
      </c>
      <c r="G11455" t="str">
        <v>ProjectedCrs</v>
      </c>
      <c r="H11455" t="str">
        <v>Transverse Mercator</v>
      </c>
      <c r="I11455" t="str">
        <v>RGR92 UTM 40 Sud</v>
      </c>
      <c r="J11455" t="str">
        <v>ILE DE LA REUNION - UTM SUD FUSEAU 40</v>
      </c>
      <c r="K11455" s="11">
        <v>0</v>
      </c>
    </row>
    <row r="11456" spans="5:11" x14ac:dyDescent="0.35">
      <c r="E11456" s="9" t="str">
        <v>IGNF</v>
      </c>
      <c r="F11456" s="7" t="str">
        <v>RGR92UTM40S.REUN89</v>
      </c>
      <c r="G11456" t="str">
        <v>CompoundCrs</v>
      </c>
      <c r="H11456" t="str">
        <v>&lt;undefined&gt;</v>
      </c>
      <c r="I11456" t="str">
        <v>RGR92 UTM 40 Sud et IGN 1989 (REUNION)</v>
      </c>
      <c r="J11456" t="str">
        <v>ILE DE LA REUNION</v>
      </c>
      <c r="K11456" s="11">
        <v>0</v>
      </c>
    </row>
    <row r="11457" spans="5:11" x14ac:dyDescent="0.35">
      <c r="E11457" s="9" t="str">
        <v>IGNF</v>
      </c>
      <c r="F11457" s="7" t="str">
        <v>RGSPM06</v>
      </c>
      <c r="G11457" t="str">
        <v>GeocentricCrs</v>
      </c>
      <c r="H11457" t="str">
        <v>&lt;undefined&gt;</v>
      </c>
      <c r="I11457" t="str">
        <v>RGSPM06 cartesiennes geocentriques</v>
      </c>
      <c r="J11457" t="str">
        <v>SAINT-PIERRE-ET-MIQUELON</v>
      </c>
      <c r="K11457" s="11">
        <v>0</v>
      </c>
    </row>
    <row r="11458" spans="5:11" x14ac:dyDescent="0.35">
      <c r="E11458" s="9" t="str">
        <v>IGNF</v>
      </c>
      <c r="F11458" s="7" t="str">
        <v>RGSPM06GDD</v>
      </c>
      <c r="G11458" t="str">
        <v>Geographic2DCrs</v>
      </c>
      <c r="H11458" t="str">
        <v>&lt;undefined&gt;</v>
      </c>
      <c r="I11458" t="str">
        <v>RGSPM06 geographiques (dd)</v>
      </c>
      <c r="J11458" t="str">
        <v>SAINT-PIERRE-ET-MIQUELON</v>
      </c>
      <c r="K11458" s="11">
        <v>0</v>
      </c>
    </row>
    <row r="11459" spans="5:11" x14ac:dyDescent="0.35">
      <c r="E11459" s="9" t="str">
        <v>IGNF</v>
      </c>
      <c r="F11459" s="7" t="str">
        <v>RGSPM06GEODD</v>
      </c>
      <c r="G11459" t="str">
        <v>Geographic3DCrs</v>
      </c>
      <c r="H11459" t="str">
        <v>&lt;undefined&gt;</v>
      </c>
      <c r="I11459" t="str">
        <v>RGSPM06 geographiques (dd)</v>
      </c>
      <c r="J11459" t="str">
        <v>SAINT-PIERRE-ET-MIQUELON</v>
      </c>
      <c r="K11459" s="11">
        <v>0</v>
      </c>
    </row>
    <row r="11460" spans="5:11" x14ac:dyDescent="0.35">
      <c r="E11460" s="9" t="str">
        <v>IGNF</v>
      </c>
      <c r="F11460" s="7" t="str">
        <v>RGSPM06GEO</v>
      </c>
      <c r="G11460" t="str">
        <v>Geographic3DCrs</v>
      </c>
      <c r="H11460" t="str">
        <v>&lt;undefined&gt;</v>
      </c>
      <c r="I11460" t="str">
        <v>RGSPM06 geographiques (dms)</v>
      </c>
      <c r="J11460" t="str">
        <v>SAINT-PIERRE-ET-MIQUELON</v>
      </c>
      <c r="K11460" s="11">
        <v>0</v>
      </c>
    </row>
    <row r="11461" spans="5:11" x14ac:dyDescent="0.35">
      <c r="E11461" s="9" t="str">
        <v>IGNF</v>
      </c>
      <c r="F11461" s="7" t="str">
        <v>RGSPM06G</v>
      </c>
      <c r="G11461" t="str">
        <v>Geographic2DCrs</v>
      </c>
      <c r="H11461" t="str">
        <v>&lt;undefined&gt;</v>
      </c>
      <c r="I11461" t="str">
        <v>RGSPM06 geographiques (dms)</v>
      </c>
      <c r="J11461" t="str">
        <v>SAINT-PIERRE-ET-MIQUELON</v>
      </c>
      <c r="K11461" s="11">
        <v>0</v>
      </c>
    </row>
    <row r="11462" spans="5:11" x14ac:dyDescent="0.35">
      <c r="E11462" s="9" t="str">
        <v>IGNF</v>
      </c>
      <c r="F11462" s="7" t="str">
        <v>RGSPM06G.STPM50</v>
      </c>
      <c r="G11462" t="str">
        <v>CompoundCrs</v>
      </c>
      <c r="H11462" t="str">
        <v>&lt;undefined&gt;</v>
      </c>
      <c r="I11462" t="str">
        <v>RGSPM06 geographiques (dms) et DANGER 1950 (SAINT-PIERRE-ET-MIQUELON)</v>
      </c>
      <c r="J11462" t="str">
        <v>SAINT-PIERRE-ET-MIQUELON</v>
      </c>
      <c r="K11462" s="11">
        <v>0</v>
      </c>
    </row>
    <row r="11463" spans="5:11" x14ac:dyDescent="0.35">
      <c r="E11463" s="9" t="str">
        <v>IGNF</v>
      </c>
      <c r="F11463" s="7" t="str">
        <v>RGSPM06U21</v>
      </c>
      <c r="G11463" t="str">
        <v>ProjectedCrs</v>
      </c>
      <c r="H11463" t="str">
        <v>Transverse Mercator</v>
      </c>
      <c r="I11463" t="str">
        <v>RGSPM06 UTM Nord fuseau 21</v>
      </c>
      <c r="J11463" t="str">
        <v>SAINT-PIERRE-ET-MIQUELON - UTM NORD FUSEAU 21</v>
      </c>
      <c r="K11463" s="11">
        <v>0</v>
      </c>
    </row>
    <row r="11464" spans="5:11" x14ac:dyDescent="0.35">
      <c r="E11464" s="9" t="str">
        <v>IGNF</v>
      </c>
      <c r="F11464" s="7" t="str">
        <v>RGSPM06U21.STPM50</v>
      </c>
      <c r="G11464" t="str">
        <v>CompoundCrs</v>
      </c>
      <c r="H11464" t="str">
        <v>&lt;undefined&gt;</v>
      </c>
      <c r="I11464" t="str">
        <v>RGSPM06 UTM Nord fuseau 21 et DANGER 1950 (SAINT-PIERRE-ET-MIQUELON)</v>
      </c>
      <c r="J11464" t="str">
        <v>SAINT-PIERRE-ET-MIQUELON</v>
      </c>
      <c r="K11464" s="11">
        <v>0</v>
      </c>
    </row>
    <row r="11465" spans="5:11" x14ac:dyDescent="0.35">
      <c r="E11465" s="9" t="str">
        <v>IGNF</v>
      </c>
      <c r="F11465" s="7" t="str">
        <v>RGTAAF07</v>
      </c>
      <c r="G11465" t="str">
        <v>GeocentricCrs</v>
      </c>
      <c r="H11465" t="str">
        <v>&lt;undefined&gt;</v>
      </c>
      <c r="I11465" t="str">
        <v>RGTAAF07 cartesiennes geocentriques</v>
      </c>
      <c r="J11465" t="str">
        <v>TERRES AUSTRALES ET ANTARCTIQUES FRANCAISES (TAAF)</v>
      </c>
      <c r="K11465" s="11">
        <v>0</v>
      </c>
    </row>
    <row r="11466" spans="5:11" x14ac:dyDescent="0.35">
      <c r="E11466" s="9" t="str">
        <v>IGNF</v>
      </c>
      <c r="F11466" s="7" t="str">
        <v>RGTAAF07GDD</v>
      </c>
      <c r="G11466" t="str">
        <v>Geographic2DCrs</v>
      </c>
      <c r="H11466" t="str">
        <v>&lt;undefined&gt;</v>
      </c>
      <c r="I11466" t="str">
        <v>RGTAAF07 geographiques (dd)</v>
      </c>
      <c r="J11466" t="str">
        <v>TERRES AUSTRALES ET ANTARCTIQUES FRANCAISES (TAAF)</v>
      </c>
      <c r="K11466" s="11">
        <v>0</v>
      </c>
    </row>
    <row r="11467" spans="5:11" x14ac:dyDescent="0.35">
      <c r="E11467" s="9" t="str">
        <v>IGNF</v>
      </c>
      <c r="F11467" s="7" t="str">
        <v>RGTAAFGEODD</v>
      </c>
      <c r="G11467" t="str">
        <v>Geographic3DCrs</v>
      </c>
      <c r="H11467" t="str">
        <v>&lt;undefined&gt;</v>
      </c>
      <c r="I11467" t="str">
        <v>RGTAAF07 geographiques (dd)</v>
      </c>
      <c r="J11467" t="str">
        <v>TERRES AUSTRALES ET ANTARCTIQUES FRANCAISES (TAAF)</v>
      </c>
      <c r="K11467" s="11">
        <v>0</v>
      </c>
    </row>
    <row r="11468" spans="5:11" x14ac:dyDescent="0.35">
      <c r="E11468" s="9" t="str">
        <v>IGNF</v>
      </c>
      <c r="F11468" s="7" t="str">
        <v>RGTAAF07GDD.KERG62</v>
      </c>
      <c r="G11468" t="str">
        <v>CompoundCrs</v>
      </c>
      <c r="H11468" t="str">
        <v>&lt;undefined&gt;</v>
      </c>
      <c r="I11468" t="str">
        <v>RGTAAF07 geographiques (dd) et IGN 1962 (KERGUELEN)</v>
      </c>
      <c r="J11468" t="str">
        <v>KERGUELEN</v>
      </c>
      <c r="K11468" s="11">
        <v>0</v>
      </c>
    </row>
    <row r="11469" spans="5:11" x14ac:dyDescent="0.35">
      <c r="E11469" s="9" t="str">
        <v>IGNF</v>
      </c>
      <c r="F11469" s="7" t="str">
        <v>RGTAAFGEO</v>
      </c>
      <c r="G11469" t="str">
        <v>Geographic3DCrs</v>
      </c>
      <c r="H11469" t="str">
        <v>&lt;undefined&gt;</v>
      </c>
      <c r="I11469" t="str">
        <v>RGTAAF07 geographiques (dms)</v>
      </c>
      <c r="J11469" t="str">
        <v>TERRES AUSTRALES ET ANTARCTIQUES FRANCAISES (TAAF)</v>
      </c>
      <c r="K11469" s="11">
        <v>0</v>
      </c>
    </row>
    <row r="11470" spans="5:11" x14ac:dyDescent="0.35">
      <c r="E11470" s="9" t="str">
        <v>IGNF</v>
      </c>
      <c r="F11470" s="7" t="str">
        <v>RGTAAF07G</v>
      </c>
      <c r="G11470" t="str">
        <v>Geographic2DCrs</v>
      </c>
      <c r="H11470" t="str">
        <v>&lt;undefined&gt;</v>
      </c>
      <c r="I11470" t="str">
        <v>RGTAAF07 geographiques (dms)</v>
      </c>
      <c r="J11470" t="str">
        <v>TERRES AUSTRALES ET ANTARCTIQUES FRANCAISES (TAAF)</v>
      </c>
      <c r="K11470" s="11">
        <v>0</v>
      </c>
    </row>
    <row r="11471" spans="5:11" x14ac:dyDescent="0.35">
      <c r="E11471" s="9" t="str">
        <v>IGNF</v>
      </c>
      <c r="F11471" s="7" t="str">
        <v>RGTAAF07G.KERG62</v>
      </c>
      <c r="G11471" t="str">
        <v>CompoundCrs</v>
      </c>
      <c r="H11471" t="str">
        <v>&lt;undefined&gt;</v>
      </c>
      <c r="I11471" t="str">
        <v>RGTAAF07 geographiques (dms) et IGN 1962 (KERGUELEN)</v>
      </c>
      <c r="J11471" t="str">
        <v>KERGUELEN</v>
      </c>
      <c r="K11471" s="11">
        <v>0</v>
      </c>
    </row>
    <row r="11472" spans="5:11" x14ac:dyDescent="0.35">
      <c r="E11472" s="9" t="str">
        <v>IGNF</v>
      </c>
      <c r="F11472" s="7" t="str">
        <v>RGTAAFUTM37S</v>
      </c>
      <c r="G11472" t="str">
        <v>ProjectedCrs</v>
      </c>
      <c r="H11472" t="str">
        <v>Transverse Mercator</v>
      </c>
      <c r="I11472" t="str">
        <v>RGTAAF07 UTM Sud fuseau 37</v>
      </c>
      <c r="J11472" t="str">
        <v>TERRES AUSTRALES ET ANTARCTIQUES FRANCAISES (TAAF)</v>
      </c>
      <c r="K11472" s="11">
        <v>0</v>
      </c>
    </row>
    <row r="11473" spans="5:11" x14ac:dyDescent="0.35">
      <c r="E11473" s="9" t="str">
        <v>IGNF</v>
      </c>
      <c r="F11473" s="7" t="str">
        <v>RGTAAFUTM39S</v>
      </c>
      <c r="G11473" t="str">
        <v>ProjectedCrs</v>
      </c>
      <c r="H11473" t="str">
        <v>Transverse Mercator</v>
      </c>
      <c r="I11473" t="str">
        <v>RGTAAF07 UTM Sud fuseau 39</v>
      </c>
      <c r="J11473" t="str">
        <v>TERRES AUSTRALES ET ANTARCTIQUES FRANCAISES (TAAF) - UTM SUD FUSEAU 39</v>
      </c>
      <c r="K11473" s="11">
        <v>0</v>
      </c>
    </row>
    <row r="11474" spans="5:11" x14ac:dyDescent="0.35">
      <c r="E11474" s="9" t="str">
        <v>IGNF</v>
      </c>
      <c r="F11474" s="7" t="str">
        <v>RGTAAFUTM42S</v>
      </c>
      <c r="G11474" t="str">
        <v>ProjectedCrs</v>
      </c>
      <c r="H11474" t="str">
        <v>Transverse Mercator</v>
      </c>
      <c r="I11474" t="str">
        <v>RGTAAF07 UTM Sud fuseau 42</v>
      </c>
      <c r="J11474" t="str">
        <v>TERRES AUSTRALES ET ANTARCTIQUES FRANCAISES (TAAF) - UTM SUD FUSEAU 42</v>
      </c>
      <c r="K11474" s="11">
        <v>0</v>
      </c>
    </row>
    <row r="11475" spans="5:11" x14ac:dyDescent="0.35">
      <c r="E11475" s="9" t="str">
        <v>IGNF</v>
      </c>
      <c r="F11475" s="7" t="str">
        <v>RGTAAFUTM42S.KERG62</v>
      </c>
      <c r="G11475" t="str">
        <v>CompoundCrs</v>
      </c>
      <c r="H11475" t="str">
        <v>&lt;undefined&gt;</v>
      </c>
      <c r="I11475" t="str">
        <v>RGTAAF07 UTM Sud fuseau 42 et IGN 1962 (KERGUELEN)</v>
      </c>
      <c r="J11475" t="str">
        <v>KERGUELEN</v>
      </c>
      <c r="K11475" s="11">
        <v>0</v>
      </c>
    </row>
    <row r="11476" spans="5:11" x14ac:dyDescent="0.35">
      <c r="E11476" s="9" t="str">
        <v>IGNF</v>
      </c>
      <c r="F11476" s="7" t="str">
        <v>RGTAAFUTM43S</v>
      </c>
      <c r="G11476" t="str">
        <v>ProjectedCrs</v>
      </c>
      <c r="H11476" t="str">
        <v>Transverse Mercator</v>
      </c>
      <c r="I11476" t="str">
        <v>RGTAAF07 UTM Sud fuseau 43</v>
      </c>
      <c r="J11476" t="str">
        <v>TERRES AUSTRALES ET ANTARCTIQUES FRANCAISES (TAAF) - UTM SUD FUSEAU 43</v>
      </c>
      <c r="K11476" s="11">
        <v>0</v>
      </c>
    </row>
    <row r="11477" spans="5:11" x14ac:dyDescent="0.35">
      <c r="E11477" s="9" t="str">
        <v>IGNF</v>
      </c>
      <c r="F11477" s="7" t="str">
        <v>RGTAAFUTM53S</v>
      </c>
      <c r="G11477" t="str">
        <v>ProjectedCrs</v>
      </c>
      <c r="H11477" t="str">
        <v>Transverse Mercator</v>
      </c>
      <c r="I11477" t="str">
        <v>RGTAAF07 UTM SUD FUSEAU 53</v>
      </c>
      <c r="J11477" t="str">
        <v>TERRES AUSTRALES ET ANTARCTIQUES FRANCAISES (TAAF)</v>
      </c>
      <c r="K11477" s="11">
        <v>0</v>
      </c>
    </row>
    <row r="11478" spans="5:11" x14ac:dyDescent="0.35">
      <c r="E11478" s="9" t="str">
        <v>IGNF</v>
      </c>
      <c r="F11478" s="7" t="str">
        <v>WGS84GUAD</v>
      </c>
      <c r="G11478" t="str">
        <v>GeocentricCrs</v>
      </c>
      <c r="H11478" t="str">
        <v>&lt;undefined&gt;</v>
      </c>
      <c r="I11478" t="str">
        <v>RRAF cartesiennes geocentriques</v>
      </c>
      <c r="J11478" t="str">
        <v>ANTILLES FRANCAISES</v>
      </c>
      <c r="K11478" s="11">
        <v>0</v>
      </c>
    </row>
    <row r="11479" spans="5:11" x14ac:dyDescent="0.35">
      <c r="E11479" s="9" t="str">
        <v>IGNF</v>
      </c>
      <c r="F11479" s="7" t="str">
        <v>RRAF</v>
      </c>
      <c r="G11479" t="str">
        <v>GeocentricCrs</v>
      </c>
      <c r="H11479" t="str">
        <v>&lt;undefined&gt;</v>
      </c>
      <c r="I11479" t="str">
        <v>RRAF cartesiennes geocentriques</v>
      </c>
      <c r="J11479" t="str">
        <v>ANTILLES FRANCAISES</v>
      </c>
      <c r="K11479" s="11">
        <v>0</v>
      </c>
    </row>
    <row r="11480" spans="5:11" x14ac:dyDescent="0.35">
      <c r="E11480" s="9" t="str">
        <v>IGNF</v>
      </c>
      <c r="F11480" s="7" t="str">
        <v>W84MARTGEODD</v>
      </c>
      <c r="G11480" t="str">
        <v>Geographic3DCrs</v>
      </c>
      <c r="H11480" t="str">
        <v>&lt;undefined&gt;</v>
      </c>
      <c r="I11480" t="str">
        <v>RRAF geographiques (dd)</v>
      </c>
      <c r="J11480" t="str">
        <v>ANTILLES FRANCAISES</v>
      </c>
      <c r="K11480" s="11">
        <v>0</v>
      </c>
    </row>
    <row r="11481" spans="5:11" x14ac:dyDescent="0.35">
      <c r="E11481" s="9" t="str">
        <v>IGNF</v>
      </c>
      <c r="F11481" s="7" t="str">
        <v>WGS84MARTGDD</v>
      </c>
      <c r="G11481" t="str">
        <v>Geographic2DCrs</v>
      </c>
      <c r="H11481" t="str">
        <v>&lt;undefined&gt;</v>
      </c>
      <c r="I11481" t="str">
        <v>RRAF geographiques (dd)</v>
      </c>
      <c r="J11481" t="str">
        <v>ANTILLES FRANCAISES</v>
      </c>
      <c r="K11481" s="11">
        <v>0</v>
      </c>
    </row>
    <row r="11482" spans="5:11" x14ac:dyDescent="0.35">
      <c r="E11482" s="9" t="str">
        <v>IGNF</v>
      </c>
      <c r="F11482" s="7" t="str">
        <v>RRAFGEODD</v>
      </c>
      <c r="G11482" t="str">
        <v>Geographic3DCrs</v>
      </c>
      <c r="H11482" t="str">
        <v>&lt;undefined&gt;</v>
      </c>
      <c r="I11482" t="str">
        <v>RRAF geographiques (dd)</v>
      </c>
      <c r="J11482" t="str">
        <v>ANTILLES FRANCAISES</v>
      </c>
      <c r="K11482" s="11">
        <v>0</v>
      </c>
    </row>
    <row r="11483" spans="5:11" x14ac:dyDescent="0.35">
      <c r="E11483" s="9" t="str">
        <v>IGNF</v>
      </c>
      <c r="F11483" s="7" t="str">
        <v>RRAFGDD</v>
      </c>
      <c r="G11483" t="str">
        <v>Geographic2DCrs</v>
      </c>
      <c r="H11483" t="str">
        <v>&lt;undefined&gt;</v>
      </c>
      <c r="I11483" t="str">
        <v>RRAF geographiques (dd)</v>
      </c>
      <c r="J11483" t="str">
        <v>ANTILLES FRANCAISES</v>
      </c>
      <c r="K11483" s="11">
        <v>0</v>
      </c>
    </row>
    <row r="11484" spans="5:11" x14ac:dyDescent="0.35">
      <c r="E11484" s="9" t="str">
        <v>IGNF</v>
      </c>
      <c r="F11484" s="7" t="str">
        <v>RRAFG</v>
      </c>
      <c r="G11484" t="str">
        <v>Geographic2DCrs</v>
      </c>
      <c r="H11484" t="str">
        <v>&lt;undefined&gt;</v>
      </c>
      <c r="I11484" t="str">
        <v>RRAF geographiques (dms)</v>
      </c>
      <c r="J11484" t="str">
        <v>ANTILLES FRANCAISES</v>
      </c>
      <c r="K11484" s="11">
        <v>0</v>
      </c>
    </row>
    <row r="11485" spans="5:11" x14ac:dyDescent="0.35">
      <c r="E11485" s="9" t="str">
        <v>IGNF</v>
      </c>
      <c r="F11485" s="7" t="str">
        <v>RRAFGEO</v>
      </c>
      <c r="G11485" t="str">
        <v>Geographic3DCrs</v>
      </c>
      <c r="H11485" t="str">
        <v>&lt;undefined&gt;</v>
      </c>
      <c r="I11485" t="str">
        <v>RRAF geographiques (dms)</v>
      </c>
      <c r="J11485" t="str">
        <v>ANTILLES FRANCAISES</v>
      </c>
      <c r="K11485" s="11">
        <v>0</v>
      </c>
    </row>
    <row r="11486" spans="5:11" x14ac:dyDescent="0.35">
      <c r="E11486" s="9" t="str">
        <v>IGNF</v>
      </c>
      <c r="F11486" s="7" t="str">
        <v>WGS84MARTG</v>
      </c>
      <c r="G11486" t="str">
        <v>Geographic2DCrs</v>
      </c>
      <c r="H11486" t="str">
        <v>&lt;undefined&gt;</v>
      </c>
      <c r="I11486" t="str">
        <v>RRAF geographiques (dms)</v>
      </c>
      <c r="J11486" t="str">
        <v>ANTILLES FRANCAISES</v>
      </c>
      <c r="K11486" s="11">
        <v>0</v>
      </c>
    </row>
    <row r="11487" spans="5:11" x14ac:dyDescent="0.35">
      <c r="E11487" s="9" t="str">
        <v>IGNF</v>
      </c>
      <c r="F11487" s="7" t="str">
        <v>WGS84GUADGEO</v>
      </c>
      <c r="G11487" t="str">
        <v>Geographic3DCrs</v>
      </c>
      <c r="H11487" t="str">
        <v>&lt;undefined&gt;</v>
      </c>
      <c r="I11487" t="str">
        <v>RRAF geographiques (dms)</v>
      </c>
      <c r="J11487" t="str">
        <v>ANTILLES FRANCAISES</v>
      </c>
      <c r="K11487" s="11">
        <v>0</v>
      </c>
    </row>
    <row r="11488" spans="5:11" x14ac:dyDescent="0.35">
      <c r="E11488" s="9" t="str">
        <v>IGNF</v>
      </c>
      <c r="F11488" s="7" t="str">
        <v>RRAFG.MART87</v>
      </c>
      <c r="G11488" t="str">
        <v>CompoundCrs</v>
      </c>
      <c r="H11488" t="str">
        <v>&lt;undefined&gt;</v>
      </c>
      <c r="I11488" t="str">
        <v>RRAF geographiques (dms) et IGN 1987 (MARTINIQUE)</v>
      </c>
      <c r="J11488" t="str">
        <v>MARTINIQUE</v>
      </c>
      <c r="K11488" s="11">
        <v>0</v>
      </c>
    </row>
    <row r="11489" spans="5:11" x14ac:dyDescent="0.35">
      <c r="E11489" s="9" t="str">
        <v>IGNF</v>
      </c>
      <c r="F11489" s="7" t="str">
        <v>RRAFG.GUAD88</v>
      </c>
      <c r="G11489" t="str">
        <v>CompoundCrs</v>
      </c>
      <c r="H11489" t="str">
        <v>&lt;undefined&gt;</v>
      </c>
      <c r="I11489" t="str">
        <v>RRAF geographiques (dms) et IGN 1988 (GUADELOUPE)</v>
      </c>
      <c r="J11489" t="str">
        <v>GRANDE-TERRE ET BASSE-TERRE (GUADELOUPE)</v>
      </c>
      <c r="K11489" s="11">
        <v>0</v>
      </c>
    </row>
    <row r="11490" spans="5:11" x14ac:dyDescent="0.35">
      <c r="E11490" s="9" t="str">
        <v>IGNF</v>
      </c>
      <c r="F11490" s="7" t="str">
        <v>RRAFG.GUAD88LS</v>
      </c>
      <c r="G11490" t="str">
        <v>CompoundCrs</v>
      </c>
      <c r="H11490" t="str">
        <v>&lt;undefined&gt;</v>
      </c>
      <c r="I11490" t="str">
        <v>RRAF geographiques (dms) et IGN 1988 LS (GUADELOUPE / LES SAINTES)</v>
      </c>
      <c r="J11490" t="str">
        <v>ILE DES SAINTES (GUADELOUPE)</v>
      </c>
      <c r="K11490" s="11">
        <v>0</v>
      </c>
    </row>
    <row r="11491" spans="5:11" x14ac:dyDescent="0.35">
      <c r="E11491" s="9" t="str">
        <v>IGNF</v>
      </c>
      <c r="F11491" s="7" t="str">
        <v>RRAFG.GUAD88MG</v>
      </c>
      <c r="G11491" t="str">
        <v>CompoundCrs</v>
      </c>
      <c r="H11491" t="str">
        <v>&lt;undefined&gt;</v>
      </c>
      <c r="I11491" t="str">
        <v>RRAF geographiques (dms) et IGN 1988 MG (GUADELOUPE / MARIE-GALANTE)</v>
      </c>
      <c r="J11491" t="str">
        <v>ILE DE MARIE-GALANTE (GUADELOUPE)</v>
      </c>
      <c r="K11491" s="11">
        <v>0</v>
      </c>
    </row>
    <row r="11492" spans="5:11" x14ac:dyDescent="0.35">
      <c r="E11492" s="9" t="str">
        <v>IGNF</v>
      </c>
      <c r="F11492" s="7" t="str">
        <v>RRAFG.GUAD88SB</v>
      </c>
      <c r="G11492" t="str">
        <v>CompoundCrs</v>
      </c>
      <c r="H11492" t="str">
        <v>&lt;undefined&gt;</v>
      </c>
      <c r="I11492" t="str">
        <v>RRAF geographiques (dms) et IGN 1988 SB (GUADELOUPE / SAINT-BARTHELEMY)</v>
      </c>
      <c r="J11492" t="str">
        <v>ILE DE SAINT-BARTHELEMY</v>
      </c>
      <c r="K11492" s="11">
        <v>0</v>
      </c>
    </row>
    <row r="11493" spans="5:11" x14ac:dyDescent="0.35">
      <c r="E11493" s="9" t="str">
        <v>IGNF</v>
      </c>
      <c r="F11493" s="7" t="str">
        <v>RRAFG.GUAD88SM</v>
      </c>
      <c r="G11493" t="str">
        <v>CompoundCrs</v>
      </c>
      <c r="H11493" t="str">
        <v>&lt;undefined&gt;</v>
      </c>
      <c r="I11493" t="str">
        <v>RRAF geographiques (dms) et IGN 1988 SM (GUADELOUPE / SAINT-MARTIN)</v>
      </c>
      <c r="J11493" t="str">
        <v>ILE DE SAINT-MARTIN (GUADELOUPE)</v>
      </c>
      <c r="K11493" s="11">
        <v>0</v>
      </c>
    </row>
    <row r="11494" spans="5:11" x14ac:dyDescent="0.35">
      <c r="E11494" s="9" t="str">
        <v>IGNF</v>
      </c>
      <c r="F11494" s="7" t="str">
        <v>RRAFG.GUAD92LD</v>
      </c>
      <c r="G11494" t="str">
        <v>CompoundCrs</v>
      </c>
      <c r="H11494" t="str">
        <v>&lt;undefined&gt;</v>
      </c>
      <c r="I11494" t="str">
        <v>RRAF geographiques (dms) et IGN 1992 LD (GUADELOUPE / LA DESIRADE)</v>
      </c>
      <c r="J11494" t="str">
        <v>ILE DE LA DESIRADE (GUADELOUPE)</v>
      </c>
      <c r="K11494" s="11">
        <v>0</v>
      </c>
    </row>
    <row r="11495" spans="5:11" x14ac:dyDescent="0.35">
      <c r="E11495" s="9" t="str">
        <v>IGNF</v>
      </c>
      <c r="F11495" s="7" t="str">
        <v>UTM20W84MART</v>
      </c>
      <c r="G11495" t="str">
        <v>ProjectedCrs</v>
      </c>
      <c r="H11495" t="str">
        <v>Transverse Mercator</v>
      </c>
      <c r="I11495" t="str">
        <v>RRAF UTM Nord fuseau 20</v>
      </c>
      <c r="J11495" t="str">
        <v>ANTILLES FRANCAISES - UTM NORD FUSEAU 20</v>
      </c>
      <c r="K11495" s="11">
        <v>0</v>
      </c>
    </row>
    <row r="11496" spans="5:11" x14ac:dyDescent="0.35">
      <c r="E11496" s="9" t="str">
        <v>IGNF</v>
      </c>
      <c r="F11496" s="7" t="str">
        <v>RRAFUTM20</v>
      </c>
      <c r="G11496" t="str">
        <v>ProjectedCrs</v>
      </c>
      <c r="H11496" t="str">
        <v>Transverse Mercator</v>
      </c>
      <c r="I11496" t="str">
        <v>RRAF UTM Nord fuseau 20</v>
      </c>
      <c r="J11496" t="str">
        <v>ANTILLES FRANCAISES - UTM NORD FUSEAU 20</v>
      </c>
      <c r="K11496" s="11">
        <v>0</v>
      </c>
    </row>
    <row r="11497" spans="5:11" x14ac:dyDescent="0.35">
      <c r="E11497" s="9" t="str">
        <v>IGNF</v>
      </c>
      <c r="F11497" s="7" t="str">
        <v>RRAFUTM20.MART87</v>
      </c>
      <c r="G11497" t="str">
        <v>CompoundCrs</v>
      </c>
      <c r="H11497" t="str">
        <v>&lt;undefined&gt;</v>
      </c>
      <c r="I11497" t="str">
        <v>RRAF UTM Nord fuseau 20 et IGN 1987 (MARTINIQUE)</v>
      </c>
      <c r="J11497" t="str">
        <v>MARTINIQUE</v>
      </c>
      <c r="K11497" s="11">
        <v>0</v>
      </c>
    </row>
    <row r="11498" spans="5:11" x14ac:dyDescent="0.35">
      <c r="E11498" s="9" t="str">
        <v>IGNF</v>
      </c>
      <c r="F11498" s="7" t="str">
        <v>RRAFUTM20.GUAD88</v>
      </c>
      <c r="G11498" t="str">
        <v>CompoundCrs</v>
      </c>
      <c r="H11498" t="str">
        <v>&lt;undefined&gt;</v>
      </c>
      <c r="I11498" t="str">
        <v>RRAF UTM Nord fuseau 20 et IGN 1988 (GUADELOUPE)</v>
      </c>
      <c r="J11498" t="str">
        <v>GRANDE-TERRE ET BASSE-TERRE (GUADELOUPE)</v>
      </c>
      <c r="K11498" s="11">
        <v>0</v>
      </c>
    </row>
    <row r="11499" spans="5:11" x14ac:dyDescent="0.35">
      <c r="E11499" s="9" t="str">
        <v>IGNF</v>
      </c>
      <c r="F11499" s="7" t="str">
        <v>RRAFUTM20.GUAD88LS</v>
      </c>
      <c r="G11499" t="str">
        <v>CompoundCrs</v>
      </c>
      <c r="H11499" t="str">
        <v>&lt;undefined&gt;</v>
      </c>
      <c r="I11499" t="str">
        <v>RRAF UTM Nord fuseau 20 et IGN 1988 LS (GUADELOUPE / LES SAINTES)</v>
      </c>
      <c r="J11499" t="str">
        <v>ILE DES SAINTES (GUADELOUPE)</v>
      </c>
      <c r="K11499" s="11">
        <v>0</v>
      </c>
    </row>
    <row r="11500" spans="5:11" x14ac:dyDescent="0.35">
      <c r="E11500" s="9" t="str">
        <v>IGNF</v>
      </c>
      <c r="F11500" s="7" t="str">
        <v>RRAFUTM20.GUAD88MG</v>
      </c>
      <c r="G11500" t="str">
        <v>CompoundCrs</v>
      </c>
      <c r="H11500" t="str">
        <v>&lt;undefined&gt;</v>
      </c>
      <c r="I11500" t="str">
        <v>RRAF UTM Nord fuseau 20 et IGN 1988 MG (GUADELOUPE / MARIE-GALANTE)</v>
      </c>
      <c r="J11500" t="str">
        <v>ILE DE MARIE-GALANTE (GUADELOUPE)</v>
      </c>
      <c r="K11500" s="11">
        <v>0</v>
      </c>
    </row>
    <row r="11501" spans="5:11" x14ac:dyDescent="0.35">
      <c r="E11501" s="9" t="str">
        <v>IGNF</v>
      </c>
      <c r="F11501" s="7" t="str">
        <v>RRAFUTM20.GUAD88SB</v>
      </c>
      <c r="G11501" t="str">
        <v>CompoundCrs</v>
      </c>
      <c r="H11501" t="str">
        <v>&lt;undefined&gt;</v>
      </c>
      <c r="I11501" t="str">
        <v>RRAF UTM Nord fuseau 20 et IGN 1988 SB (GUADELOUPE / SAINT-BARTHELEMY)</v>
      </c>
      <c r="J11501" t="str">
        <v>ILE DE SAINT-BARTHELEMY</v>
      </c>
      <c r="K11501" s="11">
        <v>0</v>
      </c>
    </row>
    <row r="11502" spans="5:11" x14ac:dyDescent="0.35">
      <c r="E11502" s="9" t="str">
        <v>IGNF</v>
      </c>
      <c r="F11502" s="7" t="str">
        <v>RRAFUTM20.GUAD88SM</v>
      </c>
      <c r="G11502" t="str">
        <v>CompoundCrs</v>
      </c>
      <c r="H11502" t="str">
        <v>&lt;undefined&gt;</v>
      </c>
      <c r="I11502" t="str">
        <v>RRAF UTM Nord fuseau 20 et IGN 1988 SM (GUADELOUPE / SAINT-MARTIN)</v>
      </c>
      <c r="J11502" t="str">
        <v>ILE DE SAINT-MARTIN (GUADELOUPE)</v>
      </c>
      <c r="K11502" s="11">
        <v>0</v>
      </c>
    </row>
    <row r="11503" spans="5:11" x14ac:dyDescent="0.35">
      <c r="E11503" s="9" t="str">
        <v>IGNF</v>
      </c>
      <c r="F11503" s="7" t="str">
        <v>RRAFUTM20.GUAD92LD</v>
      </c>
      <c r="G11503" t="str">
        <v>CompoundCrs</v>
      </c>
      <c r="H11503" t="str">
        <v>&lt;undefined&gt;</v>
      </c>
      <c r="I11503" t="str">
        <v>RRAF UTM Nord fuseau 20 et IGN 1992 LD (GUADELOUPE / LA DESIRADE)</v>
      </c>
      <c r="J11503" t="str">
        <v>ILE DE LA DESIRADE (GUADELOUPE)</v>
      </c>
      <c r="K11503" s="11">
        <v>0</v>
      </c>
    </row>
    <row r="11504" spans="5:11" x14ac:dyDescent="0.35">
      <c r="E11504" s="9" t="str">
        <v>IGNF</v>
      </c>
      <c r="F11504" s="7" t="str">
        <v>SAT84G</v>
      </c>
      <c r="G11504" t="str">
        <v>Geographic2DCrs</v>
      </c>
      <c r="H11504" t="str">
        <v>&lt;undefined&gt;</v>
      </c>
      <c r="I11504" t="str">
        <v>Rurutu (SAT84) geographiques (dms)</v>
      </c>
      <c r="J11504" t="str">
        <v>RURUTU (ARCHIPEL DES AUSTRALES)</v>
      </c>
      <c r="K11504" s="11">
        <v>0</v>
      </c>
    </row>
    <row r="11505" spans="5:11" x14ac:dyDescent="0.35">
      <c r="E11505" s="9" t="str">
        <v>IGNF</v>
      </c>
      <c r="F11505" s="7" t="str">
        <v>RUSAT84G</v>
      </c>
      <c r="G11505" t="str">
        <v>Geographic2DCrs</v>
      </c>
      <c r="H11505" t="str">
        <v>&lt;undefined&gt;</v>
      </c>
      <c r="I11505" t="str">
        <v>Rurutu (SAT84) geographiques (dms)</v>
      </c>
      <c r="J11505" t="str">
        <v>RURUTU (ARCHIPEL DES AUSTRALES)</v>
      </c>
      <c r="K11505" s="11">
        <v>0</v>
      </c>
    </row>
    <row r="11506" spans="5:11" x14ac:dyDescent="0.35">
      <c r="E11506" s="9" t="str">
        <v>IGNF</v>
      </c>
      <c r="F11506" s="7" t="str">
        <v>SAT84UTM5S</v>
      </c>
      <c r="G11506" t="str">
        <v>ProjectedCrs</v>
      </c>
      <c r="H11506" t="str">
        <v>Transverse Mercator</v>
      </c>
      <c r="I11506" t="str">
        <v>Rurutu (SAT84) UTM Sud fuseau 5</v>
      </c>
      <c r="J11506" t="str">
        <v>RURUTU (ARCHIPEL DES AUSTRALES) - UTM SUD FUSEAU 5</v>
      </c>
      <c r="K11506" s="11">
        <v>0</v>
      </c>
    </row>
    <row r="11507" spans="5:11" x14ac:dyDescent="0.35">
      <c r="E11507" s="9" t="str">
        <v>IGNF</v>
      </c>
      <c r="F11507" s="7" t="str">
        <v>RUSAT84UTM5S</v>
      </c>
      <c r="G11507" t="str">
        <v>ProjectedCrs</v>
      </c>
      <c r="H11507" t="str">
        <v>Transverse Mercator</v>
      </c>
      <c r="I11507" t="str">
        <v>Rurutu (SAT84) UTM Sud fuseau 5</v>
      </c>
      <c r="J11507" t="str">
        <v>RURUTU (ARCHIPEL DES AUSTRALES) - UTM SUD FUSEAU 5</v>
      </c>
      <c r="K11507" s="11">
        <v>0</v>
      </c>
    </row>
    <row r="11508" spans="5:11" x14ac:dyDescent="0.35">
      <c r="E11508" s="9" t="str">
        <v>IGNF</v>
      </c>
      <c r="F11508" s="7" t="str">
        <v>SAT84</v>
      </c>
      <c r="G11508" t="str">
        <v>GeocentricCrs</v>
      </c>
      <c r="H11508" t="str">
        <v>&lt;undefined&gt;</v>
      </c>
      <c r="I11508" t="str">
        <v>Rurutu SAT84 cartesiennes geocentriques</v>
      </c>
      <c r="J11508" t="str">
        <v>RURUTU (ARCHIPEL DES AUSTRALES)</v>
      </c>
      <c r="K11508" s="11">
        <v>0</v>
      </c>
    </row>
    <row r="11509" spans="5:11" x14ac:dyDescent="0.35">
      <c r="E11509" s="9" t="str">
        <v>IGNF</v>
      </c>
      <c r="F11509" s="7" t="str">
        <v>RUSAT84</v>
      </c>
      <c r="G11509" t="str">
        <v>GeocentricCrs</v>
      </c>
      <c r="H11509" t="str">
        <v>&lt;undefined&gt;</v>
      </c>
      <c r="I11509" t="str">
        <v>Rurutu SAT84 cartesiennes geocentriques</v>
      </c>
      <c r="J11509" t="str">
        <v>RURUTU (ARCHIPEL DES AUSTRALES)</v>
      </c>
      <c r="K11509" s="11">
        <v>0</v>
      </c>
    </row>
    <row r="11510" spans="5:11" x14ac:dyDescent="0.35">
      <c r="E11510" s="9" t="str">
        <v>IGNF</v>
      </c>
      <c r="F11510" s="7" t="str">
        <v>STPL69</v>
      </c>
      <c r="G11510" t="str">
        <v>GeocentricCrs</v>
      </c>
      <c r="H11510" t="str">
        <v>&lt;undefined&gt;</v>
      </c>
      <c r="I11510" t="str">
        <v>Saint-Paul 1969 cartesiennes geocentriques</v>
      </c>
      <c r="J11510" t="str">
        <v>ILE SAINT-PAUL</v>
      </c>
      <c r="K11510" s="11">
        <v>0</v>
      </c>
    </row>
    <row r="11511" spans="5:11" x14ac:dyDescent="0.35">
      <c r="E11511" s="9" t="str">
        <v>IGNF</v>
      </c>
      <c r="F11511" s="7" t="str">
        <v>STPL69G</v>
      </c>
      <c r="G11511" t="str">
        <v>Geographic2DCrs</v>
      </c>
      <c r="H11511" t="str">
        <v>&lt;undefined&gt;</v>
      </c>
      <c r="I11511" t="str">
        <v>Saint-Paul geographiques (dms)</v>
      </c>
      <c r="J11511" t="str">
        <v>ILE SAINT-PAUL</v>
      </c>
      <c r="K11511" s="11">
        <v>0</v>
      </c>
    </row>
    <row r="11512" spans="5:11" x14ac:dyDescent="0.35">
      <c r="E11512" s="9" t="str">
        <v>IGNF</v>
      </c>
      <c r="F11512" s="7" t="str">
        <v>STPL69UTM43S</v>
      </c>
      <c r="G11512" t="str">
        <v>ProjectedCrs</v>
      </c>
      <c r="H11512" t="str">
        <v>Transverse Mercator</v>
      </c>
      <c r="I11512" t="str">
        <v>Saint-Paul UTM Sud fuseau 43</v>
      </c>
      <c r="J11512" t="str">
        <v>ILE SAINT-PAUL - UTM SUD FUSEAU 43</v>
      </c>
      <c r="K11512" s="11">
        <v>0</v>
      </c>
    </row>
    <row r="11513" spans="5:11" x14ac:dyDescent="0.35">
      <c r="E11513" s="9" t="str">
        <v>IGNF</v>
      </c>
      <c r="F11513" s="7" t="str">
        <v>GEOPORTALSPM</v>
      </c>
      <c r="G11513" t="str">
        <v>ProjectedCrs</v>
      </c>
      <c r="H11513" t="str">
        <v>Equidistant Cylindrical</v>
      </c>
      <c r="I11513" t="str">
        <v>Saint-Pierre-et-Miquelon Geoportail</v>
      </c>
      <c r="J11513" t="str">
        <v>SAINT-PIERRE-ET-MIQUELON</v>
      </c>
      <c r="K11513" s="11">
        <v>0</v>
      </c>
    </row>
    <row r="11514" spans="5:11" x14ac:dyDescent="0.35">
      <c r="E11514" s="9" t="str">
        <v>IGNF</v>
      </c>
      <c r="F11514" s="7" t="str">
        <v>RGSPM06EQGP</v>
      </c>
      <c r="G11514" t="str">
        <v>ProjectedCrs</v>
      </c>
      <c r="H11514" t="str">
        <v>Equidistant Cylindrical</v>
      </c>
      <c r="I11514" t="str">
        <v>Saint-Pierre-et-Miquelon Geoportail</v>
      </c>
      <c r="J11514" t="str">
        <v>SAINT-PIERRE-ET-MIQUELON</v>
      </c>
      <c r="K11514" s="11">
        <v>0</v>
      </c>
    </row>
    <row r="11515" spans="5:11" x14ac:dyDescent="0.35">
      <c r="E11515" s="9" t="str">
        <v>IGNF</v>
      </c>
      <c r="F11515" s="7" t="str">
        <v>MAYO53</v>
      </c>
      <c r="G11515" t="str">
        <v>VerticalCrs</v>
      </c>
      <c r="H11515" t="str">
        <v>&lt;undefined&gt;</v>
      </c>
      <c r="I11515" t="str">
        <v>SHOM 1953 (MAYOTTE)</v>
      </c>
      <c r="J11515" t="str">
        <v>ILE DE MAYOTTE</v>
      </c>
      <c r="K11515" s="11">
        <v>0</v>
      </c>
    </row>
    <row r="11516" spans="5:11" x14ac:dyDescent="0.35">
      <c r="E11516" s="9" t="str">
        <v>IGNF</v>
      </c>
      <c r="F11516" s="7" t="str">
        <v>GLOR77</v>
      </c>
      <c r="G11516" t="str">
        <v>VerticalCrs</v>
      </c>
      <c r="H11516" t="str">
        <v>&lt;undefined&gt;</v>
      </c>
      <c r="I11516" t="str">
        <v>SHOM 1977 (ILES GLORIEUSES - CANAL DE MOZAMBIQUE)</v>
      </c>
      <c r="J11516" t="str">
        <v>ILES GLORIEUSES</v>
      </c>
      <c r="K11516" s="11">
        <v>0</v>
      </c>
    </row>
    <row r="11517" spans="5:11" x14ac:dyDescent="0.35">
      <c r="E11517" s="9" t="str">
        <v>IGNF</v>
      </c>
      <c r="F11517" s="7" t="str">
        <v>PINS78</v>
      </c>
      <c r="G11517" t="str">
        <v>VerticalCrs</v>
      </c>
      <c r="H11517" t="str">
        <v>&lt;undefined&gt;</v>
      </c>
      <c r="I11517" t="str">
        <v>SHOM 1978 (ILE DES PINS)</v>
      </c>
      <c r="J11517" t="str">
        <v>ILE DES PINS (NOUVELLE-CALEDONIE)</v>
      </c>
      <c r="K11517" s="11">
        <v>0</v>
      </c>
    </row>
    <row r="11518" spans="5:11" x14ac:dyDescent="0.35">
      <c r="E11518" s="9" t="str">
        <v>IGNF</v>
      </c>
      <c r="F11518" s="7" t="str">
        <v>SHOM1984WF</v>
      </c>
      <c r="G11518" t="str">
        <v>VerticalCrs</v>
      </c>
      <c r="H11518" t="str">
        <v>&lt;undefined&gt;</v>
      </c>
      <c r="I11518" t="str">
        <v>SHOM 1984 (WALLIS ET FUTUNA)</v>
      </c>
      <c r="J11518" t="str">
        <v>ILE D'UVEA (WALLIS)</v>
      </c>
      <c r="K11518" s="11">
        <v>0</v>
      </c>
    </row>
    <row r="11519" spans="5:11" x14ac:dyDescent="0.35">
      <c r="E11519" s="9" t="str">
        <v>IGNF</v>
      </c>
      <c r="F11519" s="7" t="str">
        <v>ST84G</v>
      </c>
      <c r="G11519" t="str">
        <v>Geographic2DCrs</v>
      </c>
      <c r="H11519" t="str">
        <v>&lt;undefined&gt;</v>
      </c>
      <c r="I11519" t="str">
        <v>ST 84 ILE DES PINS geographiques (dms)</v>
      </c>
      <c r="J11519" t="str">
        <v>ILE DES PINS (NOUVELLE-CALEDONIE)</v>
      </c>
      <c r="K11519" s="11">
        <v>0</v>
      </c>
    </row>
    <row r="11520" spans="5:11" x14ac:dyDescent="0.35">
      <c r="E11520" s="9" t="str">
        <v>IGNF</v>
      </c>
      <c r="F11520" s="7" t="str">
        <v>ST84G.PINS78</v>
      </c>
      <c r="G11520" t="str">
        <v>CompoundCrs</v>
      </c>
      <c r="H11520" t="str">
        <v>&lt;undefined&gt;</v>
      </c>
      <c r="I11520" t="str">
        <v>ST 84 ILE DES PINS geographiques (dms) et SHOM 1978 (ILE DES PINS)</v>
      </c>
      <c r="J11520" t="str">
        <v>ILE DES PINS (NOUVELLE-CALEDONIE)</v>
      </c>
      <c r="K11520" s="11">
        <v>0</v>
      </c>
    </row>
    <row r="11521" spans="5:11" x14ac:dyDescent="0.35">
      <c r="E11521" s="9" t="str">
        <v>IGNF</v>
      </c>
      <c r="F11521" s="7" t="str">
        <v>ST84UTM58S</v>
      </c>
      <c r="G11521" t="str">
        <v>ProjectedCrs</v>
      </c>
      <c r="H11521" t="str">
        <v>Transverse Mercator</v>
      </c>
      <c r="I11521" t="str">
        <v>ST 84 ILE DES PINS UTM Sud fuseau 58</v>
      </c>
      <c r="J11521" t="str">
        <v>ILE DES PINS (NOUVELLE-CALEDONIE) - UTM SUD FUSEAU 58</v>
      </c>
      <c r="K11521" s="11">
        <v>0</v>
      </c>
    </row>
    <row r="11522" spans="5:11" x14ac:dyDescent="0.35">
      <c r="E11522" s="9" t="str">
        <v>IGNF</v>
      </c>
      <c r="F11522" s="7" t="str">
        <v>ST84UTM58S.PINS78</v>
      </c>
      <c r="G11522" t="str">
        <v>CompoundCrs</v>
      </c>
      <c r="H11522" t="str">
        <v>&lt;undefined&gt;</v>
      </c>
      <c r="I11522" t="str">
        <v>ST 84 ILE DES PINS UTM Sud fuseau 58 et SHOM 1978 (ILE DES PINS)</v>
      </c>
      <c r="J11522" t="str">
        <v>ILE DES PINS (NOUVELLE-CALEDONIE)</v>
      </c>
      <c r="K11522" s="11">
        <v>0</v>
      </c>
    </row>
    <row r="11523" spans="5:11" x14ac:dyDescent="0.35">
      <c r="E11523" s="9" t="str">
        <v>IGNF</v>
      </c>
      <c r="F11523" s="7" t="str">
        <v>ST87</v>
      </c>
      <c r="G11523" t="str">
        <v>GeocentricCrs</v>
      </c>
      <c r="H11523" t="str">
        <v>&lt;undefined&gt;</v>
      </c>
      <c r="I11523" t="str">
        <v>ST 87 cartesiennes geocentriques</v>
      </c>
      <c r="J11523" t="str">
        <v>OUVEA (ILES LOYAUTE)</v>
      </c>
      <c r="K11523" s="11">
        <v>0</v>
      </c>
    </row>
    <row r="11524" spans="5:11" x14ac:dyDescent="0.35">
      <c r="E11524" s="9" t="str">
        <v>IGNF</v>
      </c>
      <c r="F11524" s="7" t="str">
        <v>ST87G</v>
      </c>
      <c r="G11524" t="str">
        <v>Geographic2DCrs</v>
      </c>
      <c r="H11524" t="str">
        <v>&lt;undefined&gt;</v>
      </c>
      <c r="I11524" t="str">
        <v>ST 87 OUVEA geographiques (dms)</v>
      </c>
      <c r="J11524" t="str">
        <v>OUVEA (ILES LOYAUTE)</v>
      </c>
      <c r="K11524" s="11">
        <v>0</v>
      </c>
    </row>
    <row r="11525" spans="5:11" x14ac:dyDescent="0.35">
      <c r="E11525" s="9" t="str">
        <v>IGNF</v>
      </c>
      <c r="F11525" s="7" t="str">
        <v>ST87GEO</v>
      </c>
      <c r="G11525" t="str">
        <v>Geographic3DCrs</v>
      </c>
      <c r="H11525" t="str">
        <v>&lt;undefined&gt;</v>
      </c>
      <c r="I11525" t="str">
        <v>ST 87 OUVEA geographiques (dms)</v>
      </c>
      <c r="J11525" t="str">
        <v>OUVEA (ILES LOYAUTE)</v>
      </c>
      <c r="K11525" s="11">
        <v>0</v>
      </c>
    </row>
    <row r="11526" spans="5:11" x14ac:dyDescent="0.35">
      <c r="E11526" s="9" t="str">
        <v>IGNF</v>
      </c>
      <c r="F11526" s="7" t="str">
        <v>ST87UTM58S</v>
      </c>
      <c r="G11526" t="str">
        <v>ProjectedCrs</v>
      </c>
      <c r="H11526" t="str">
        <v>Transverse Mercator</v>
      </c>
      <c r="I11526" t="str">
        <v>ST 87 OUVEA UTM Sud fuseau 58</v>
      </c>
      <c r="J11526" t="str">
        <v>OUVEA (ILES LOYAUTE) - UTM SUD FUSEAU 58</v>
      </c>
      <c r="K11526" s="11">
        <v>0</v>
      </c>
    </row>
    <row r="11527" spans="5:11" x14ac:dyDescent="0.35">
      <c r="E11527" s="9" t="str">
        <v>IGNF</v>
      </c>
      <c r="F11527" s="7" t="str">
        <v>STPM50</v>
      </c>
      <c r="G11527" t="str">
        <v>GeocentricCrs</v>
      </c>
      <c r="H11527" t="str">
        <v>&lt;undefined&gt;</v>
      </c>
      <c r="I11527" t="str">
        <v>St Pierre Miquelon 1950 cartesiennes</v>
      </c>
      <c r="J11527" t="str">
        <v>SAINT-PIERRE-ET-MIQUELON</v>
      </c>
      <c r="K11527" s="11">
        <v>0</v>
      </c>
    </row>
    <row r="11528" spans="5:11" x14ac:dyDescent="0.35">
      <c r="E11528" s="9" t="str">
        <v>IGNF</v>
      </c>
      <c r="F11528" s="7" t="str">
        <v>STPM50G</v>
      </c>
      <c r="G11528" t="str">
        <v>Geographic2DCrs</v>
      </c>
      <c r="H11528" t="str">
        <v>&lt;undefined&gt;</v>
      </c>
      <c r="I11528" t="str">
        <v>St Pierre Miquelon 1950 geographiques (dms)</v>
      </c>
      <c r="J11528" t="str">
        <v>SAINT-PIERRE-ET-MIQUELON</v>
      </c>
      <c r="K11528" s="11">
        <v>0</v>
      </c>
    </row>
    <row r="11529" spans="5:11" x14ac:dyDescent="0.35">
      <c r="E11529" s="9" t="str">
        <v>IGNF</v>
      </c>
      <c r="F11529" s="7" t="str">
        <v>STPM50GEO</v>
      </c>
      <c r="G11529" t="str">
        <v>Geographic3DCrs</v>
      </c>
      <c r="H11529" t="str">
        <v>&lt;undefined&gt;</v>
      </c>
      <c r="I11529" t="str">
        <v>St Pierre Miquelon 1950 geographiques (dms)</v>
      </c>
      <c r="J11529" t="str">
        <v>SAINT-PIERRE-ET-MIQUELON</v>
      </c>
      <c r="K11529" s="11">
        <v>0</v>
      </c>
    </row>
    <row r="11530" spans="5:11" x14ac:dyDescent="0.35">
      <c r="E11530" s="9" t="str">
        <v>IGNF</v>
      </c>
      <c r="F11530" s="7" t="str">
        <v>STPM50G.STPM50</v>
      </c>
      <c r="G11530" t="str">
        <v>CompoundCrs</v>
      </c>
      <c r="H11530" t="str">
        <v>&lt;undefined&gt;</v>
      </c>
      <c r="I11530" t="str">
        <v>St Pierre Miquelon 1950 geographiques (dms) et DANGER 1950 (SAINT-PIERRE-ET-MIQUELON)</v>
      </c>
      <c r="J11530" t="str">
        <v>SAINT-PIERRE-ET-MIQUELON</v>
      </c>
      <c r="K11530" s="11">
        <v>0</v>
      </c>
    </row>
    <row r="11531" spans="5:11" x14ac:dyDescent="0.35">
      <c r="E11531" s="9" t="str">
        <v>IGNF</v>
      </c>
      <c r="F11531" s="7" t="str">
        <v>STPM50UTM21</v>
      </c>
      <c r="G11531" t="str">
        <v>ProjectedCrs</v>
      </c>
      <c r="H11531" t="str">
        <v>Transverse Mercator</v>
      </c>
      <c r="I11531" t="str">
        <v>St-Pierre-et-Miquelon UTM Nord f.21</v>
      </c>
      <c r="J11531" t="str">
        <v>SAINT-PIERRE-ET-MIQUELON - UTM NORD FUSEAU 21</v>
      </c>
      <c r="K11531" s="11">
        <v>0</v>
      </c>
    </row>
    <row r="11532" spans="5:11" x14ac:dyDescent="0.35">
      <c r="E11532" s="9" t="str">
        <v>IGNF</v>
      </c>
      <c r="F11532" s="7" t="str">
        <v>STPM50UTM21.STPM50</v>
      </c>
      <c r="G11532" t="str">
        <v>CompoundCrs</v>
      </c>
      <c r="H11532" t="str">
        <v>&lt;undefined&gt;</v>
      </c>
      <c r="I11532" t="str">
        <v>St-Pierre-et-Miquelon UTM Nord f.21 et DANGER 1950 (SAINT-PIERRE-ET-MIQUELON)</v>
      </c>
      <c r="J11532" t="str">
        <v>SAINT-PIERRE-ET-MIQUELON</v>
      </c>
      <c r="K11532" s="11">
        <v>0</v>
      </c>
    </row>
    <row r="11533" spans="5:11" x14ac:dyDescent="0.35">
      <c r="E11533" s="9" t="str">
        <v>IGNF</v>
      </c>
      <c r="F11533" s="7" t="str">
        <v>TAHAA</v>
      </c>
      <c r="G11533" t="str">
        <v>GeocentricCrs</v>
      </c>
      <c r="H11533" t="str">
        <v>&lt;undefined&gt;</v>
      </c>
      <c r="I11533" t="str">
        <v>Tahaa 1951 cartesiennes geocentriques</v>
      </c>
      <c r="J11533" t="str">
        <v>TAHAA (ARCHIPEL DE LA SOCIETE)</v>
      </c>
      <c r="K11533" s="11">
        <v>0</v>
      </c>
    </row>
    <row r="11534" spans="5:11" x14ac:dyDescent="0.35">
      <c r="E11534" s="9" t="str">
        <v>IGNF</v>
      </c>
      <c r="F11534" s="7" t="str">
        <v>TAHAAGEO</v>
      </c>
      <c r="G11534" t="str">
        <v>Geographic3DCrs</v>
      </c>
      <c r="H11534" t="str">
        <v>&lt;undefined&gt;</v>
      </c>
      <c r="I11534" t="str">
        <v>Tahaa geographiques (dms)</v>
      </c>
      <c r="J11534" t="str">
        <v>TAHAA (ARCHIPEL DE LA SOCIETE)</v>
      </c>
      <c r="K11534" s="11">
        <v>0</v>
      </c>
    </row>
    <row r="11535" spans="5:11" x14ac:dyDescent="0.35">
      <c r="E11535" s="9" t="str">
        <v>IGNF</v>
      </c>
      <c r="F11535" s="7" t="str">
        <v>TAHAAG</v>
      </c>
      <c r="G11535" t="str">
        <v>Geographic2DCrs</v>
      </c>
      <c r="H11535" t="str">
        <v>&lt;undefined&gt;</v>
      </c>
      <c r="I11535" t="str">
        <v>Tahaa geographiques (dms)</v>
      </c>
      <c r="J11535" t="str">
        <v>TAHAA (ARCHIPEL DE LA SOCIETE)</v>
      </c>
      <c r="K11535" s="11">
        <v>0</v>
      </c>
    </row>
    <row r="11536" spans="5:11" x14ac:dyDescent="0.35">
      <c r="E11536" s="9" t="str">
        <v>IGNF</v>
      </c>
      <c r="F11536" s="7" t="str">
        <v>TAHAAG.TAHAA01</v>
      </c>
      <c r="G11536" t="str">
        <v>CompoundCrs</v>
      </c>
      <c r="H11536" t="str">
        <v>&lt;undefined&gt;</v>
      </c>
      <c r="I11536" t="str">
        <v>Tahaa geographiques (dms) et TAHAA_SAU 2001</v>
      </c>
      <c r="J11536" t="str">
        <v>TAHAA (ARCHIPEL DE LA SOCIETE)</v>
      </c>
      <c r="K11536" s="11">
        <v>0</v>
      </c>
    </row>
    <row r="11537" spans="5:11" x14ac:dyDescent="0.35">
      <c r="E11537" s="9" t="str">
        <v>IGNF</v>
      </c>
      <c r="F11537" s="7" t="str">
        <v>TAHAAUTM5S</v>
      </c>
      <c r="G11537" t="str">
        <v>ProjectedCrs</v>
      </c>
      <c r="H11537" t="str">
        <v>Transverse Mercator</v>
      </c>
      <c r="I11537" t="str">
        <v>Tahaa UTM Sud fuseau 5</v>
      </c>
      <c r="J11537" t="str">
        <v>TAHAA (ARCHIPEL DE LA SOCIETE) - UTM SUD FUSEAU 5</v>
      </c>
      <c r="K11537" s="11">
        <v>0</v>
      </c>
    </row>
    <row r="11538" spans="5:11" x14ac:dyDescent="0.35">
      <c r="E11538" s="9" t="str">
        <v>IGNF</v>
      </c>
      <c r="F11538" s="7" t="str">
        <v>TAHAAUTM05S</v>
      </c>
      <c r="G11538" t="str">
        <v>ProjectedCrs</v>
      </c>
      <c r="H11538" t="str">
        <v>Transverse Mercator</v>
      </c>
      <c r="I11538" t="str">
        <v>Tahaa UTM Sud fuseau 5</v>
      </c>
      <c r="J11538" t="str">
        <v>TAHAA (ARCHIPEL DE LA SOCIETE) - UTM SUD FUSEAU 5</v>
      </c>
      <c r="K11538" s="11">
        <v>0</v>
      </c>
    </row>
    <row r="11539" spans="5:11" x14ac:dyDescent="0.35">
      <c r="E11539" s="9" t="str">
        <v>IGNF</v>
      </c>
      <c r="F11539" s="7" t="str">
        <v>TAHAAUTM5S.TAHAA01</v>
      </c>
      <c r="G11539" t="str">
        <v>CompoundCrs</v>
      </c>
      <c r="H11539" t="str">
        <v>&lt;undefined&gt;</v>
      </c>
      <c r="I11539" t="str">
        <v>Tahaa UTM Sud fuseau 5 et TAHAA_SAU 2001</v>
      </c>
      <c r="J11539" t="str">
        <v>TAHAA (ARCHIPEL DE LA SOCIETE)</v>
      </c>
      <c r="K11539" s="11">
        <v>0</v>
      </c>
    </row>
    <row r="11540" spans="5:11" x14ac:dyDescent="0.35">
      <c r="E11540" s="9" t="str">
        <v>IGNF</v>
      </c>
      <c r="F11540" s="7" t="str">
        <v>TAHAA01</v>
      </c>
      <c r="G11540" t="str">
        <v>VerticalCrs</v>
      </c>
      <c r="H11540" t="str">
        <v>&lt;undefined&gt;</v>
      </c>
      <c r="I11540" t="str">
        <v>TAHAA_SAU 2001</v>
      </c>
      <c r="J11540" t="str">
        <v>TAHAA (ARCHIPEL DE LA SOCIETE)</v>
      </c>
      <c r="K11540" s="11">
        <v>0</v>
      </c>
    </row>
    <row r="11541" spans="5:11" x14ac:dyDescent="0.35">
      <c r="E11541" s="9" t="str">
        <v>IGNF</v>
      </c>
      <c r="F11541" s="7" t="str">
        <v>TAHI79GEO</v>
      </c>
      <c r="G11541" t="str">
        <v>Geographic3DCrs</v>
      </c>
      <c r="H11541" t="str">
        <v>&lt;undefined&gt;</v>
      </c>
      <c r="I11541" t="str">
        <v>Tahiti (IGN79) geographiques (dms)</v>
      </c>
      <c r="J11541" t="str">
        <v>TAHITI (ARCHIPEL DE LA SOCIETE)</v>
      </c>
      <c r="K11541" s="11">
        <v>0</v>
      </c>
    </row>
    <row r="11542" spans="5:11" x14ac:dyDescent="0.35">
      <c r="E11542" s="9" t="str">
        <v>IGNF</v>
      </c>
      <c r="F11542" s="7" t="str">
        <v>TAHI79G</v>
      </c>
      <c r="G11542" t="str">
        <v>Geographic2DCrs</v>
      </c>
      <c r="H11542" t="str">
        <v>&lt;undefined&gt;</v>
      </c>
      <c r="I11542" t="str">
        <v>Tahiti (IGN79) geographiques (dms)</v>
      </c>
      <c r="J11542" t="str">
        <v>TAHITI (ARCHIPEL DE LA SOCIETE)</v>
      </c>
      <c r="K11542" s="11">
        <v>0</v>
      </c>
    </row>
    <row r="11543" spans="5:11" x14ac:dyDescent="0.35">
      <c r="E11543" s="9" t="str">
        <v>IGNF</v>
      </c>
      <c r="F11543" s="7" t="str">
        <v>TAHI79G.TAHITI66</v>
      </c>
      <c r="G11543" t="str">
        <v>CompoundCrs</v>
      </c>
      <c r="H11543" t="str">
        <v>&lt;undefined&gt;</v>
      </c>
      <c r="I11543" t="str">
        <v>Tahiti (IGN79) geographiques (dms) et IGN 1966 (TAHITI)</v>
      </c>
      <c r="J11543" t="str">
        <v>TAHITI (ARCHIPEL DE LA SOCIETE)</v>
      </c>
      <c r="K11543" s="11">
        <v>0</v>
      </c>
    </row>
    <row r="11544" spans="5:11" x14ac:dyDescent="0.35">
      <c r="E11544" s="9" t="str">
        <v>IGNF</v>
      </c>
      <c r="F11544" s="7" t="str">
        <v>TAHI79UTM6S</v>
      </c>
      <c r="G11544" t="str">
        <v>ProjectedCrs</v>
      </c>
      <c r="H11544" t="str">
        <v>Transverse Mercator</v>
      </c>
      <c r="I11544" t="str">
        <v>Tahiti (IGN79) UTM Sud fuseau 6</v>
      </c>
      <c r="J11544" t="str">
        <v>TAHITI (ARCHIPEL DE LA SOCIETE) - UTM SUD FUSEAU 6</v>
      </c>
      <c r="K11544" s="11">
        <v>0</v>
      </c>
    </row>
    <row r="11545" spans="5:11" x14ac:dyDescent="0.35">
      <c r="E11545" s="9" t="str">
        <v>IGNF</v>
      </c>
      <c r="F11545" s="7" t="str">
        <v>TAHI79UTM6S.TAHITI66</v>
      </c>
      <c r="G11545" t="str">
        <v>CompoundCrs</v>
      </c>
      <c r="H11545" t="str">
        <v>&lt;undefined&gt;</v>
      </c>
      <c r="I11545" t="str">
        <v>Tahiti (IGN79) UTM Sud fuseau 6 et IGN 1966 (TAHITI)</v>
      </c>
      <c r="J11545" t="str">
        <v>TAHITI (ARCHIPEL DE LA SOCIETE)</v>
      </c>
      <c r="K11545" s="11">
        <v>0</v>
      </c>
    </row>
    <row r="11546" spans="5:11" x14ac:dyDescent="0.35">
      <c r="E11546" s="9" t="str">
        <v>IGNF</v>
      </c>
      <c r="F11546" s="7" t="str">
        <v>TAHI79</v>
      </c>
      <c r="G11546" t="str">
        <v>GeocentricCrs</v>
      </c>
      <c r="H11546" t="str">
        <v>&lt;undefined&gt;</v>
      </c>
      <c r="I11546" t="str">
        <v>Tahiti IGN 1979 cartesiennes geocentriques</v>
      </c>
      <c r="J11546" t="str">
        <v>TAHITI (ARCHIPEL DE LA SOCIETE)</v>
      </c>
      <c r="K11546" s="11">
        <v>0</v>
      </c>
    </row>
    <row r="11547" spans="5:11" x14ac:dyDescent="0.35">
      <c r="E11547" s="9" t="str">
        <v>IGNF</v>
      </c>
      <c r="F11547" s="7" t="str">
        <v>TAHI51</v>
      </c>
      <c r="G11547" t="str">
        <v>GeocentricCrs</v>
      </c>
      <c r="H11547" t="str">
        <v>&lt;undefined&gt;</v>
      </c>
      <c r="I11547" t="str">
        <v>TAHITI TERME NORD CARTESIENNES GEOCENTRIQUES</v>
      </c>
      <c r="J11547" t="str">
        <v>TAHITI (ARCHIPEL DE LA SOCIETE)</v>
      </c>
      <c r="K11547" s="11">
        <v>0</v>
      </c>
    </row>
    <row r="11548" spans="5:11" x14ac:dyDescent="0.35">
      <c r="E11548" s="9" t="str">
        <v>IGNF</v>
      </c>
      <c r="F11548" s="7" t="str">
        <v>TAHI51G</v>
      </c>
      <c r="G11548" t="str">
        <v>Geographic2DCrs</v>
      </c>
      <c r="H11548" t="str">
        <v>&lt;undefined&gt;</v>
      </c>
      <c r="I11548" t="str">
        <v>TAHITI TERME NORD GEOGRAPHIQUES (DMS)</v>
      </c>
      <c r="J11548" t="str">
        <v>TAHITI (ARCHIPEL DE LA SOCIETE)</v>
      </c>
      <c r="K11548" s="11">
        <v>0</v>
      </c>
    </row>
    <row r="11549" spans="5:11" x14ac:dyDescent="0.35">
      <c r="E11549" s="9" t="str">
        <v>IGNF</v>
      </c>
      <c r="F11549" s="7" t="str">
        <v>TAHI51UTM6S</v>
      </c>
      <c r="G11549" t="str">
        <v>ProjectedCrs</v>
      </c>
      <c r="H11549" t="str">
        <v>Transverse Mercator</v>
      </c>
      <c r="I11549" t="str">
        <v>TAHITI TERME NORD UTM SUD FUSEAU 6</v>
      </c>
      <c r="J11549" t="str">
        <v>TAHITI (ARCHIPEL DE LA SOCIETE) - UTM SUD FUSEAU 6</v>
      </c>
      <c r="K11549" s="11">
        <v>0</v>
      </c>
    </row>
    <row r="11550" spans="5:11" x14ac:dyDescent="0.35">
      <c r="E11550" s="9" t="str">
        <v>IGNF</v>
      </c>
      <c r="F11550" s="7" t="str">
        <v>TAHI51UTM06S</v>
      </c>
      <c r="G11550" t="str">
        <v>ProjectedCrs</v>
      </c>
      <c r="H11550" t="str">
        <v>Transverse Mercator</v>
      </c>
      <c r="I11550" t="str">
        <v>TAHITI TERME NORD UTM SUD FUSEAU 6</v>
      </c>
      <c r="J11550" t="str">
        <v>TAHITI (ARCHIPEL DE LA SOCIETE) - UTM SUD FUSEAU 6</v>
      </c>
      <c r="K11550" s="11">
        <v>0</v>
      </c>
    </row>
    <row r="11551" spans="5:11" x14ac:dyDescent="0.35">
      <c r="E11551" s="9" t="str">
        <v>IGNF</v>
      </c>
      <c r="F11551" s="7" t="str">
        <v>TAHI51UTM6S.TAHITI66</v>
      </c>
      <c r="G11551" t="str">
        <v>CompoundCrs</v>
      </c>
      <c r="H11551" t="str">
        <v>&lt;undefined&gt;</v>
      </c>
      <c r="I11551" t="str">
        <v>TAHITI TERME NORD UTM SUD FUSEAU 6 et IGN 1966 (TAHITI)</v>
      </c>
      <c r="J11551" t="str">
        <v>TAHITI (ARCHIPEL DE LA SOCIETE)</v>
      </c>
      <c r="K11551" s="11">
        <v>0</v>
      </c>
    </row>
    <row r="11552" spans="5:11" x14ac:dyDescent="0.35">
      <c r="E11552" s="9" t="str">
        <v>IGNF</v>
      </c>
      <c r="F11552" s="7" t="str">
        <v>TAKA69G</v>
      </c>
      <c r="G11552" t="str">
        <v>Geographic2DCrs</v>
      </c>
      <c r="H11552" t="str">
        <v>&lt;undefined&gt;</v>
      </c>
      <c r="I11552" t="str">
        <v>Takaroa Takapoto (SHM 1969) geo. (dms)</v>
      </c>
      <c r="J11552" t="str">
        <v>TAKAROA ET TAKAPOTO (ARCHIPEL DES TUAMOTU)</v>
      </c>
      <c r="K11552" s="11">
        <v>0</v>
      </c>
    </row>
    <row r="11553" spans="5:11" x14ac:dyDescent="0.35">
      <c r="E11553" s="9" t="str">
        <v>IGNF</v>
      </c>
      <c r="F11553" s="7" t="str">
        <v>TAKA69UTM6S</v>
      </c>
      <c r="G11553" t="str">
        <v>ProjectedCrs</v>
      </c>
      <c r="H11553" t="str">
        <v>Transverse Mercator</v>
      </c>
      <c r="I11553" t="str">
        <v>Takaroa Takapoto (SHM 1969) UTM Sud fuseau 6</v>
      </c>
      <c r="J11553" t="str">
        <v>TAKAROA ET TAKAPOTO (ARCHIPEL DES TUAMOTU) - UTM SUD FUSEAU 6</v>
      </c>
      <c r="K11553" s="11">
        <v>0</v>
      </c>
    </row>
    <row r="11554" spans="5:11" x14ac:dyDescent="0.35">
      <c r="E11554" s="9" t="str">
        <v>IGNF</v>
      </c>
      <c r="F11554" s="7" t="str">
        <v>TAKA69</v>
      </c>
      <c r="G11554" t="str">
        <v>GeocentricCrs</v>
      </c>
      <c r="H11554" t="str">
        <v>&lt;undefined&gt;</v>
      </c>
      <c r="I11554" t="str">
        <v>Takaroa Takapoto SHM 1969 cartesiennes</v>
      </c>
      <c r="J11554" t="str">
        <v>TAKAROA ET TAKAPOTO (ARCHIPEL DES TUAMOTU)</v>
      </c>
      <c r="K11554" s="11">
        <v>0</v>
      </c>
    </row>
    <row r="11555" spans="5:11" x14ac:dyDescent="0.35">
      <c r="E11555" s="9" t="str">
        <v>IGNF</v>
      </c>
      <c r="F11555" s="7" t="str">
        <v>TANNA</v>
      </c>
      <c r="G11555" t="str">
        <v>GeocentricCrs</v>
      </c>
      <c r="H11555" t="str">
        <v>&lt;undefined&gt;</v>
      </c>
      <c r="I11555" t="str">
        <v>Tanna Bloc Sud 1957 cartesiennes geocentriques</v>
      </c>
      <c r="J11555" t="str">
        <v>TANNA (ARCHIPEL DU VANUATU)</v>
      </c>
      <c r="K11555" s="11">
        <v>0</v>
      </c>
    </row>
    <row r="11556" spans="5:11" x14ac:dyDescent="0.35">
      <c r="E11556" s="9" t="str">
        <v>IGNF</v>
      </c>
      <c r="F11556" s="7" t="str">
        <v>TANNAG</v>
      </c>
      <c r="G11556" t="str">
        <v>Geographic2DCrs</v>
      </c>
      <c r="H11556" t="str">
        <v>&lt;undefined&gt;</v>
      </c>
      <c r="I11556" t="str">
        <v>Tanna geographiques (dms)</v>
      </c>
      <c r="J11556" t="str">
        <v>TANNA (ARCHIPEL DU VANUATU)</v>
      </c>
      <c r="K11556" s="11">
        <v>0</v>
      </c>
    </row>
    <row r="11557" spans="5:11" x14ac:dyDescent="0.35">
      <c r="E11557" s="9" t="str">
        <v>IGNF</v>
      </c>
      <c r="F11557" s="7" t="str">
        <v>TANNAUTM59S</v>
      </c>
      <c r="G11557" t="str">
        <v>ProjectedCrs</v>
      </c>
      <c r="H11557" t="str">
        <v>Transverse Mercator</v>
      </c>
      <c r="I11557" t="str">
        <v>Tanna UTM Sud fuseau 59</v>
      </c>
      <c r="J11557" t="str">
        <v>TANNA (ARCHIPEL DU VANUATU) - UTM SUD FUSEAU 59</v>
      </c>
      <c r="K11557" s="11">
        <v>0</v>
      </c>
    </row>
    <row r="11558" spans="5:11" x14ac:dyDescent="0.35">
      <c r="E11558" s="9" t="str">
        <v>IGNF</v>
      </c>
      <c r="F11558" s="7" t="str">
        <v>TERA50STEREO</v>
      </c>
      <c r="G11558" t="str">
        <v>ProjectedCrs</v>
      </c>
      <c r="H11558" t="str">
        <v>Polar Stereographic (variant A)</v>
      </c>
      <c r="I11558" t="str">
        <v>TERRE ADELIE POINTE GEOLOGIE PERROUD STEREO POLAIRE SUD (TANGENTE)</v>
      </c>
      <c r="J11558" t="str">
        <v>ARCHIPEL POINTE GEOLOGIE (TERRE ADELIE) - STEREOGRAPHIQUE POLAIRE SUD TERRE ADELIE</v>
      </c>
      <c r="K11558" s="11">
        <v>0</v>
      </c>
    </row>
    <row r="11559" spans="5:11" x14ac:dyDescent="0.35">
      <c r="E11559" s="9" t="str">
        <v>IGNF</v>
      </c>
      <c r="F11559" s="7" t="str">
        <v>PGP50STEREPS</v>
      </c>
      <c r="G11559" t="str">
        <v>ProjectedCrs</v>
      </c>
      <c r="H11559" t="str">
        <v>Polar Stereographic (variant A)</v>
      </c>
      <c r="I11559" t="str">
        <v>TERRE ADELIE POINTE GEOLOGIE PERROUD STEREO POLAIRE SUD (TANGENTE)</v>
      </c>
      <c r="J11559" t="str">
        <v>ARCHIPEL POINTE GEOLOGIE (TERRE ADELIE) - STEREOGRAPHIQUE POLAIRE SUD TERRE ADELIE</v>
      </c>
      <c r="K11559" s="11">
        <v>0</v>
      </c>
    </row>
    <row r="11560" spans="5:11" x14ac:dyDescent="0.35">
      <c r="E11560" s="9" t="str">
        <v>IGNF</v>
      </c>
      <c r="F11560" s="7" t="str">
        <v>MOP90</v>
      </c>
      <c r="G11560" t="str">
        <v>GeocentricCrs</v>
      </c>
      <c r="H11560" t="str">
        <v>&lt;undefined&gt;</v>
      </c>
      <c r="I11560" t="str">
        <v>Tetiaroa (MOP90) cartesiennes</v>
      </c>
      <c r="J11560" t="str">
        <v>TETIAROA (ARCHIPEL DE LA SOCIETE)</v>
      </c>
      <c r="K11560" s="11">
        <v>0</v>
      </c>
    </row>
    <row r="11561" spans="5:11" x14ac:dyDescent="0.35">
      <c r="E11561" s="9" t="str">
        <v>IGNF</v>
      </c>
      <c r="F11561" s="7" t="str">
        <v>TETIA90</v>
      </c>
      <c r="G11561" t="str">
        <v>GeocentricCrs</v>
      </c>
      <c r="H11561" t="str">
        <v>&lt;undefined&gt;</v>
      </c>
      <c r="I11561" t="str">
        <v>Tetiaroa (MOP90) cartesiennes</v>
      </c>
      <c r="J11561" t="str">
        <v>TETIAROA (ARCHIPEL DE LA SOCIETE)</v>
      </c>
      <c r="K11561" s="11">
        <v>0</v>
      </c>
    </row>
    <row r="11562" spans="5:11" x14ac:dyDescent="0.35">
      <c r="E11562" s="9" t="str">
        <v>IGNF</v>
      </c>
      <c r="F11562" s="7" t="str">
        <v>MOP90G</v>
      </c>
      <c r="G11562" t="str">
        <v>Geographic2DCrs</v>
      </c>
      <c r="H11562" t="str">
        <v>&lt;undefined&gt;</v>
      </c>
      <c r="I11562" t="str">
        <v>Tetiaroa (MOP90) geographiques (dms)</v>
      </c>
      <c r="J11562" t="str">
        <v>TETIAROA (ARCHIPEL DE LA SOCIETE)</v>
      </c>
      <c r="K11562" s="11">
        <v>0</v>
      </c>
    </row>
    <row r="11563" spans="5:11" x14ac:dyDescent="0.35">
      <c r="E11563" s="9" t="str">
        <v>IGNF</v>
      </c>
      <c r="F11563" s="7" t="str">
        <v>TETIA90G</v>
      </c>
      <c r="G11563" t="str">
        <v>Geographic2DCrs</v>
      </c>
      <c r="H11563" t="str">
        <v>&lt;undefined&gt;</v>
      </c>
      <c r="I11563" t="str">
        <v>Tetiaroa (MOP90) geographiques (dms)</v>
      </c>
      <c r="J11563" t="str">
        <v>TETIAROA (ARCHIPEL DE LA SOCIETE)</v>
      </c>
      <c r="K11563" s="11">
        <v>0</v>
      </c>
    </row>
    <row r="11564" spans="5:11" x14ac:dyDescent="0.35">
      <c r="E11564" s="9" t="str">
        <v>IGNF</v>
      </c>
      <c r="F11564" s="7" t="str">
        <v>MOP90UTM6S</v>
      </c>
      <c r="G11564" t="str">
        <v>ProjectedCrs</v>
      </c>
      <c r="H11564" t="str">
        <v>Transverse Mercator</v>
      </c>
      <c r="I11564" t="str">
        <v>Tetiaroa (MOP90) UTM Sud fuseau 6</v>
      </c>
      <c r="J11564" t="str">
        <v>TETIAROA (ARCHIPEL DE LA SOCIETE) - UTM SUD FUSEAU 6</v>
      </c>
      <c r="K11564" s="11">
        <v>0</v>
      </c>
    </row>
    <row r="11565" spans="5:11" x14ac:dyDescent="0.35">
      <c r="E11565" s="9" t="str">
        <v>IGNF</v>
      </c>
      <c r="F11565" s="7" t="str">
        <v>TETIA90UTM6S</v>
      </c>
      <c r="G11565" t="str">
        <v>ProjectedCrs</v>
      </c>
      <c r="H11565" t="str">
        <v>Transverse Mercator</v>
      </c>
      <c r="I11565" t="str">
        <v>Tetiaroa (MOP90) UTM Sud fuseau 6</v>
      </c>
      <c r="J11565" t="str">
        <v>TETIAROA (ARCHIPEL DE LA SOCIETE) - UTM SUD FUSEAU 6</v>
      </c>
      <c r="K11565" s="11">
        <v>0</v>
      </c>
    </row>
    <row r="11566" spans="5:11" x14ac:dyDescent="0.35">
      <c r="E11566" s="9" t="str">
        <v>IGNF</v>
      </c>
      <c r="F11566" s="7" t="str">
        <v>TIKE60G</v>
      </c>
      <c r="G11566" t="str">
        <v>Geographic2DCrs</v>
      </c>
      <c r="H11566" t="str">
        <v>&lt;undefined&gt;</v>
      </c>
      <c r="I11566" t="str">
        <v>Tikehau (MHPF 1960) geographiques (dms)</v>
      </c>
      <c r="J11566" t="str">
        <v>TIKEHAU (ARCHIPEL DES TUAMOTU)</v>
      </c>
      <c r="K11566" s="11">
        <v>0</v>
      </c>
    </row>
    <row r="11567" spans="5:11" x14ac:dyDescent="0.35">
      <c r="E11567" s="9" t="str">
        <v>IGNF</v>
      </c>
      <c r="F11567" s="7" t="str">
        <v>TIKE60UTM6S</v>
      </c>
      <c r="G11567" t="str">
        <v>ProjectedCrs</v>
      </c>
      <c r="H11567" t="str">
        <v>Transverse Mercator</v>
      </c>
      <c r="I11567" t="str">
        <v>Tikehau (MHPF 1960) UTM Sud fuseau 6</v>
      </c>
      <c r="J11567" t="str">
        <v>TIKEHAU (ARCHIPEL DES TUAMOTU) - UTM SUD FUSEAU 6</v>
      </c>
      <c r="K11567" s="11">
        <v>0</v>
      </c>
    </row>
    <row r="11568" spans="5:11" x14ac:dyDescent="0.35">
      <c r="E11568" s="9" t="str">
        <v>IGNF</v>
      </c>
      <c r="F11568" s="7" t="str">
        <v>TIKE88G</v>
      </c>
      <c r="G11568" t="str">
        <v>Geographic2DCrs</v>
      </c>
      <c r="H11568" t="str">
        <v>&lt;undefined&gt;</v>
      </c>
      <c r="I11568" t="str">
        <v>TIKEHAU (MOP88) GEOGRAPHIQUES (DMS)</v>
      </c>
      <c r="J11568" t="str">
        <v>TIKEHAU (ARCHIPEL DES TUAMOTU)</v>
      </c>
      <c r="K11568" s="11">
        <v>0</v>
      </c>
    </row>
    <row r="11569" spans="5:11" x14ac:dyDescent="0.35">
      <c r="E11569" s="9" t="str">
        <v>IGNF</v>
      </c>
      <c r="F11569" s="7" t="str">
        <v>TIKE88GEO</v>
      </c>
      <c r="G11569" t="str">
        <v>Geographic3DCrs</v>
      </c>
      <c r="H11569" t="str">
        <v>&lt;undefined&gt;</v>
      </c>
      <c r="I11569" t="str">
        <v>TIKEHAU (MOP88) GEOGRAPHIQUES (DMS)</v>
      </c>
      <c r="J11569" t="str">
        <v>TIKEHAU (ARCHIPEL DES TUAMOTU)</v>
      </c>
      <c r="K11569" s="11">
        <v>0</v>
      </c>
    </row>
    <row r="11570" spans="5:11" x14ac:dyDescent="0.35">
      <c r="E11570" s="9" t="str">
        <v>IGNF</v>
      </c>
      <c r="F11570" s="7" t="str">
        <v>TIKE88UTM6S</v>
      </c>
      <c r="G11570" t="str">
        <v>ProjectedCrs</v>
      </c>
      <c r="H11570" t="str">
        <v>Transverse Mercator</v>
      </c>
      <c r="I11570" t="str">
        <v>TIKEHAU (MOP88) UTM SUD FUSEAU 6</v>
      </c>
      <c r="J11570" t="str">
        <v>TIKEHAU (ARCHIPEL DES TUAMOTU) - UTM SUD FUSEAU 6</v>
      </c>
      <c r="K11570" s="11">
        <v>0</v>
      </c>
    </row>
    <row r="11571" spans="5:11" x14ac:dyDescent="0.35">
      <c r="E11571" s="9" t="str">
        <v>IGNF</v>
      </c>
      <c r="F11571" s="7" t="str">
        <v>TIKE50G</v>
      </c>
      <c r="G11571" t="str">
        <v>Geographic2DCrs</v>
      </c>
      <c r="H11571" t="str">
        <v>&lt;undefined&gt;</v>
      </c>
      <c r="I11571" t="str">
        <v>Tikehau (SHM 1947-1950) geographiques (dms)</v>
      </c>
      <c r="J11571" t="str">
        <v>TIKEHAU (ARCHIPEL DES TUAMOTU)</v>
      </c>
      <c r="K11571" s="11">
        <v>0</v>
      </c>
    </row>
    <row r="11572" spans="5:11" x14ac:dyDescent="0.35">
      <c r="E11572" s="9" t="str">
        <v>IGNF</v>
      </c>
      <c r="F11572" s="7" t="str">
        <v>TIKE50UTM6S</v>
      </c>
      <c r="G11572" t="str">
        <v>ProjectedCrs</v>
      </c>
      <c r="H11572" t="str">
        <v>Transverse Mercator</v>
      </c>
      <c r="I11572" t="str">
        <v>Tikehau (SHM 1947-1950) UTM Sud fuseau 6</v>
      </c>
      <c r="J11572" t="str">
        <v>TIKEHAU (ARCHIPEL DES TUAMOTU) - UTM SUD FUSEAU 6</v>
      </c>
      <c r="K11572" s="11">
        <v>0</v>
      </c>
    </row>
    <row r="11573" spans="5:11" x14ac:dyDescent="0.35">
      <c r="E11573" s="9" t="str">
        <v>IGNF</v>
      </c>
      <c r="F11573" s="7" t="str">
        <v>TIKE60</v>
      </c>
      <c r="G11573" t="str">
        <v>GeocentricCrs</v>
      </c>
      <c r="H11573" t="str">
        <v>&lt;undefined&gt;</v>
      </c>
      <c r="I11573" t="str">
        <v>Tikehau MHPF 1960 cartesiennes geocentriques</v>
      </c>
      <c r="J11573" t="str">
        <v>TIKEHAU (ARCHIPEL DES TUAMOTU)</v>
      </c>
      <c r="K11573" s="11">
        <v>0</v>
      </c>
    </row>
    <row r="11574" spans="5:11" x14ac:dyDescent="0.35">
      <c r="E11574" s="9" t="str">
        <v>IGNF</v>
      </c>
      <c r="F11574" s="7" t="str">
        <v>TIKE50</v>
      </c>
      <c r="G11574" t="str">
        <v>GeocentricCrs</v>
      </c>
      <c r="H11574" t="str">
        <v>&lt;undefined&gt;</v>
      </c>
      <c r="I11574" t="str">
        <v>Tikehau SHM 1947-1950 cartesiennes</v>
      </c>
      <c r="J11574" t="str">
        <v>TIKEHAU (ARCHIPEL DES TUAMOTU)</v>
      </c>
      <c r="K11574" s="11">
        <v>0</v>
      </c>
    </row>
    <row r="11575" spans="5:11" x14ac:dyDescent="0.35">
      <c r="E11575" s="9" t="str">
        <v>IGNF</v>
      </c>
      <c r="F11575" s="7" t="str">
        <v>TROM56G</v>
      </c>
      <c r="G11575" t="str">
        <v>Geographic2DCrs</v>
      </c>
      <c r="H11575" t="str">
        <v>&lt;undefined&gt;</v>
      </c>
      <c r="I11575" t="str">
        <v>Tromelin geographiques (dms)</v>
      </c>
      <c r="J11575" t="str">
        <v>ILE TROMELIN</v>
      </c>
      <c r="K11575" s="11">
        <v>0</v>
      </c>
    </row>
    <row r="11576" spans="5:11" x14ac:dyDescent="0.35">
      <c r="E11576" s="9" t="str">
        <v>IGNF</v>
      </c>
      <c r="F11576" s="7" t="str">
        <v>TROM56</v>
      </c>
      <c r="G11576" t="str">
        <v>GeocentricCrs</v>
      </c>
      <c r="H11576" t="str">
        <v>&lt;undefined&gt;</v>
      </c>
      <c r="I11576" t="str">
        <v>Tromelin SGM 1956 cartesiennes geocentriques</v>
      </c>
      <c r="J11576" t="str">
        <v>ILE TROMELIN</v>
      </c>
      <c r="K11576" s="11">
        <v>0</v>
      </c>
    </row>
    <row r="11577" spans="5:11" x14ac:dyDescent="0.35">
      <c r="E11577" s="9" t="str">
        <v>IGNF</v>
      </c>
      <c r="F11577" s="7" t="str">
        <v>TROM56MD</v>
      </c>
      <c r="G11577" t="str">
        <v>ProjectedCrs</v>
      </c>
      <c r="H11577" t="str">
        <v>Mercator (variant A)</v>
      </c>
      <c r="I11577" t="str">
        <v>TROMELIN SGM 1956 MERCATOR DIRECTE</v>
      </c>
      <c r="J11577" t="str">
        <v>ILE TROMELIN - MERCATOR DIRECTE</v>
      </c>
      <c r="K11577" s="11">
        <v>0</v>
      </c>
    </row>
    <row r="11578" spans="5:11" x14ac:dyDescent="0.35">
      <c r="E11578" s="9" t="str">
        <v>IGNF</v>
      </c>
      <c r="F11578" s="7" t="str">
        <v>TUAM86</v>
      </c>
      <c r="G11578" t="str">
        <v>GeocentricCrs</v>
      </c>
      <c r="H11578" t="str">
        <v>&lt;undefined&gt;</v>
      </c>
      <c r="I11578" t="str">
        <v>TUAMOTU (MOP86) CARTESIENNES</v>
      </c>
      <c r="J11578" t="str">
        <v>APATAKI, RAPA et HAO</v>
      </c>
      <c r="K11578" s="11">
        <v>0</v>
      </c>
    </row>
    <row r="11579" spans="5:11" x14ac:dyDescent="0.35">
      <c r="E11579" s="9" t="str">
        <v>IGNF</v>
      </c>
      <c r="F11579" s="7" t="str">
        <v>APAT86</v>
      </c>
      <c r="G11579" t="str">
        <v>GeocentricCrs</v>
      </c>
      <c r="H11579" t="str">
        <v>&lt;undefined&gt;</v>
      </c>
      <c r="I11579" t="str">
        <v>TUAMOTU (MOP86) CARTESIENNES</v>
      </c>
      <c r="J11579" t="str">
        <v>APATAKI, RAPA et HAO</v>
      </c>
      <c r="K11579" s="11">
        <v>0</v>
      </c>
    </row>
    <row r="11580" spans="5:11" x14ac:dyDescent="0.35">
      <c r="E11580" s="9" t="str">
        <v>IGNF</v>
      </c>
      <c r="F11580" s="7" t="str">
        <v>TUAM86G</v>
      </c>
      <c r="G11580" t="str">
        <v>Geographic2DCrs</v>
      </c>
      <c r="H11580" t="str">
        <v>&lt;undefined&gt;</v>
      </c>
      <c r="I11580" t="str">
        <v>Tuamotu (MOP86) geographiques (dms)</v>
      </c>
      <c r="J11580" t="str">
        <v>APATAKI, RAPA et HAO</v>
      </c>
      <c r="K11580" s="11">
        <v>0</v>
      </c>
    </row>
    <row r="11581" spans="5:11" x14ac:dyDescent="0.35">
      <c r="E11581" s="9" t="str">
        <v>IGNF</v>
      </c>
      <c r="F11581" s="7" t="str">
        <v>APAT86G</v>
      </c>
      <c r="G11581" t="str">
        <v>Geographic2DCrs</v>
      </c>
      <c r="H11581" t="str">
        <v>&lt;undefined&gt;</v>
      </c>
      <c r="I11581" t="str">
        <v>Tuamotu (MOP86) geographiques (dms)</v>
      </c>
      <c r="J11581" t="str">
        <v>APATAKI, RAPA et HAO</v>
      </c>
      <c r="K11581" s="11">
        <v>0</v>
      </c>
    </row>
    <row r="11582" spans="5:11" x14ac:dyDescent="0.35">
      <c r="E11582" s="9" t="str">
        <v>IGNF</v>
      </c>
      <c r="F11582" s="7" t="str">
        <v>TUAM86UTM6S</v>
      </c>
      <c r="G11582" t="str">
        <v>ProjectedCrs</v>
      </c>
      <c r="H11582" t="str">
        <v>Transverse Mercator</v>
      </c>
      <c r="I11582" t="str">
        <v>Tuamotu (MOP86) UTM Sud fuseau 6</v>
      </c>
      <c r="J11582" t="str">
        <v>APATAKI, RAPA et HAO - UTM SUD FUSEAU 6</v>
      </c>
      <c r="K11582" s="11">
        <v>0</v>
      </c>
    </row>
    <row r="11583" spans="5:11" x14ac:dyDescent="0.35">
      <c r="E11583" s="9" t="str">
        <v>IGNF</v>
      </c>
      <c r="F11583" s="7" t="str">
        <v>APAT86UTM6S</v>
      </c>
      <c r="G11583" t="str">
        <v>ProjectedCrs</v>
      </c>
      <c r="H11583" t="str">
        <v>Transverse Mercator</v>
      </c>
      <c r="I11583" t="str">
        <v>Tuamotu (MOP86) UTM Sud fuseau 6</v>
      </c>
      <c r="J11583" t="str">
        <v>APATAKI, RAPA et HAO - UTM SUD FUSEAU 6</v>
      </c>
      <c r="K11583" s="11">
        <v>0</v>
      </c>
    </row>
    <row r="11584" spans="5:11" x14ac:dyDescent="0.35">
      <c r="E11584" s="9" t="str">
        <v>IGNF</v>
      </c>
      <c r="F11584" s="7" t="str">
        <v>TUAM86UTM7S</v>
      </c>
      <c r="G11584" t="str">
        <v>ProjectedCrs</v>
      </c>
      <c r="H11584" t="str">
        <v>Transverse Mercator</v>
      </c>
      <c r="I11584" t="str">
        <v>Tuamotu (MOP86) UTM Sud fuseau 7</v>
      </c>
      <c r="J11584" t="str">
        <v>APATAKI, RAPA et HAO - UTM SUD FUSEAU 7</v>
      </c>
      <c r="K11584" s="11">
        <v>0</v>
      </c>
    </row>
    <row r="11585" spans="5:11" x14ac:dyDescent="0.35">
      <c r="E11585" s="9" t="str">
        <v>IGNF</v>
      </c>
      <c r="F11585" s="7" t="str">
        <v>APAT86UTM7S</v>
      </c>
      <c r="G11585" t="str">
        <v>ProjectedCrs</v>
      </c>
      <c r="H11585" t="str">
        <v>Transverse Mercator</v>
      </c>
      <c r="I11585" t="str">
        <v>Tuamotu (MOP86) UTM Sud fuseau 7</v>
      </c>
      <c r="J11585" t="str">
        <v>APATAKI, RAPA et HAO - UTM SUD FUSEAU 7</v>
      </c>
      <c r="K11585" s="11">
        <v>0</v>
      </c>
    </row>
    <row r="11586" spans="5:11" x14ac:dyDescent="0.35">
      <c r="E11586" s="9" t="str">
        <v>IGNF</v>
      </c>
      <c r="F11586" s="7" t="str">
        <v>TUBU55G</v>
      </c>
      <c r="G11586" t="str">
        <v>Geographic2DCrs</v>
      </c>
      <c r="H11586" t="str">
        <v>&lt;undefined&gt;</v>
      </c>
      <c r="I11586" t="str">
        <v>Tubuai (MGT 1955) geographiques (dms)</v>
      </c>
      <c r="J11586" t="str">
        <v>TUBUAI (ARCHIPEL DES AUSTRALES)</v>
      </c>
      <c r="K11586" s="11">
        <v>0</v>
      </c>
    </row>
    <row r="11587" spans="5:11" x14ac:dyDescent="0.35">
      <c r="E11587" s="9" t="str">
        <v>IGNF</v>
      </c>
      <c r="F11587" s="7" t="str">
        <v>TUBU69G</v>
      </c>
      <c r="G11587" t="str">
        <v>Geographic2DCrs</v>
      </c>
      <c r="H11587" t="str">
        <v>&lt;undefined&gt;</v>
      </c>
      <c r="I11587" t="str">
        <v>Tubuai (MHPF 1969) geographiques (dms)</v>
      </c>
      <c r="J11587" t="str">
        <v>TUBUAI (ARCHIPEL DES AUSTRALES)</v>
      </c>
      <c r="K11587" s="11">
        <v>0</v>
      </c>
    </row>
    <row r="11588" spans="5:11" x14ac:dyDescent="0.35">
      <c r="E11588" s="9" t="str">
        <v>IGNF</v>
      </c>
      <c r="F11588" s="7" t="str">
        <v>TUBU69UTM6S</v>
      </c>
      <c r="G11588" t="str">
        <v>ProjectedCrs</v>
      </c>
      <c r="H11588" t="str">
        <v>Transverse Mercator</v>
      </c>
      <c r="I11588" t="str">
        <v>Tubuai (MHPF 1969) UTM Sud fuseau 6</v>
      </c>
      <c r="J11588" t="str">
        <v>TUBUAI (ARCHIPEL DES AUSTRALES) - UTM SUD FUSEAU 6</v>
      </c>
      <c r="K11588" s="11">
        <v>0</v>
      </c>
    </row>
    <row r="11589" spans="5:11" x14ac:dyDescent="0.35">
      <c r="E11589" s="9" t="str">
        <v>IGNF</v>
      </c>
      <c r="F11589" s="7" t="str">
        <v>TUBU55</v>
      </c>
      <c r="G11589" t="str">
        <v>GeocentricCrs</v>
      </c>
      <c r="H11589" t="str">
        <v>&lt;undefined&gt;</v>
      </c>
      <c r="I11589" t="str">
        <v>Tubuai MGT 1955 cartesiennes geocentriques</v>
      </c>
      <c r="J11589" t="str">
        <v>TUBUAI (ARCHIPEL DES AUSTRALES)</v>
      </c>
      <c r="K11589" s="11">
        <v>0</v>
      </c>
    </row>
    <row r="11590" spans="5:11" x14ac:dyDescent="0.35">
      <c r="E11590" s="9" t="str">
        <v>IGNF</v>
      </c>
      <c r="F11590" s="7" t="str">
        <v>TUBU69</v>
      </c>
      <c r="G11590" t="str">
        <v>GeocentricCrs</v>
      </c>
      <c r="H11590" t="str">
        <v>&lt;undefined&gt;</v>
      </c>
      <c r="I11590" t="str">
        <v>Tubuai MHPF 1969 cartesiennes geocentriques</v>
      </c>
      <c r="J11590" t="str">
        <v>TUBUAI (ARCHIPEL DES AUSTRALES)</v>
      </c>
      <c r="K11590" s="11">
        <v>0</v>
      </c>
    </row>
    <row r="11591" spans="5:11" x14ac:dyDescent="0.35">
      <c r="E11591" s="9" t="str">
        <v>IGNF</v>
      </c>
      <c r="F11591" s="7" t="str">
        <v>TURI69G</v>
      </c>
      <c r="G11591" t="str">
        <v>Geographic2DCrs</v>
      </c>
      <c r="H11591" t="str">
        <v>&lt;undefined&gt;</v>
      </c>
      <c r="I11591" t="str">
        <v>Tureia (SHM 1969) geographiques (dms)</v>
      </c>
      <c r="J11591" t="str">
        <v>TUREIA (ARCHIPEL DES TUAMOTU)</v>
      </c>
      <c r="K11591" s="11">
        <v>0</v>
      </c>
    </row>
    <row r="11592" spans="5:11" x14ac:dyDescent="0.35">
      <c r="E11592" s="9" t="str">
        <v>IGNF</v>
      </c>
      <c r="F11592" s="7" t="str">
        <v>TURI69UTM7S</v>
      </c>
      <c r="G11592" t="str">
        <v>ProjectedCrs</v>
      </c>
      <c r="H11592" t="str">
        <v>Transverse Mercator</v>
      </c>
      <c r="I11592" t="str">
        <v>Tureia (SHM 1969) UTM Sud fuseau 7</v>
      </c>
      <c r="J11592" t="str">
        <v>TUREIA (ARCHIPEL DES TUAMOTU) - UTM SUD FUSEAU 7</v>
      </c>
      <c r="K11592" s="11">
        <v>0</v>
      </c>
    </row>
    <row r="11593" spans="5:11" x14ac:dyDescent="0.35">
      <c r="E11593" s="9" t="str">
        <v>IGNF</v>
      </c>
      <c r="F11593" s="7" t="str">
        <v>TURI69</v>
      </c>
      <c r="G11593" t="str">
        <v>GeocentricCrs</v>
      </c>
      <c r="H11593" t="str">
        <v>&lt;undefined&gt;</v>
      </c>
      <c r="I11593" t="str">
        <v>Tureia SHM 1969 cartesiennes geocentriques</v>
      </c>
      <c r="J11593" t="str">
        <v>TUREIA (ARCHIPEL DES TUAMOTU)</v>
      </c>
      <c r="K11593" s="11">
        <v>0</v>
      </c>
    </row>
    <row r="11594" spans="5:11" x14ac:dyDescent="0.35">
      <c r="E11594" s="9" t="str">
        <v>IGNF</v>
      </c>
      <c r="F11594" s="7" t="str">
        <v>WALL76G</v>
      </c>
      <c r="G11594" t="str">
        <v>Geographic2DCrs</v>
      </c>
      <c r="H11594" t="str">
        <v>&lt;undefined&gt;</v>
      </c>
      <c r="I11594" t="str">
        <v>Wallis (MOP 1976) geographiques (dms)</v>
      </c>
      <c r="J11594" t="str">
        <v>ILE D'UVEA (WALLIS)</v>
      </c>
      <c r="K11594" s="11">
        <v>0</v>
      </c>
    </row>
    <row r="11595" spans="5:11" x14ac:dyDescent="0.35">
      <c r="E11595" s="9" t="str">
        <v>IGNF</v>
      </c>
      <c r="F11595" s="7" t="str">
        <v>WALL76G.WALLIS96</v>
      </c>
      <c r="G11595" t="str">
        <v>CompoundCrs</v>
      </c>
      <c r="H11595" t="str">
        <v>&lt;undefined&gt;</v>
      </c>
      <c r="I11595" t="str">
        <v>Wallis (MOP 1976) geographiques (dms) et NGWF WALLIS (MOP 1996)</v>
      </c>
      <c r="J11595" t="str">
        <v>ILE D'UVEA (WALLIS)</v>
      </c>
      <c r="K11595" s="11">
        <v>0</v>
      </c>
    </row>
    <row r="11596" spans="5:11" x14ac:dyDescent="0.35">
      <c r="E11596" s="9" t="str">
        <v>IGNF</v>
      </c>
      <c r="F11596" s="7" t="str">
        <v>WALL76UTM1S</v>
      </c>
      <c r="G11596" t="str">
        <v>ProjectedCrs</v>
      </c>
      <c r="H11596" t="str">
        <v>Transverse Mercator</v>
      </c>
      <c r="I11596" t="str">
        <v>Wallis (MOP 1976) UTM Sud fuseau 1</v>
      </c>
      <c r="J11596" t="str">
        <v>ILE D'UVEA (WALLIS) - UTM SUD FUSEAU 1</v>
      </c>
      <c r="K11596" s="11">
        <v>0</v>
      </c>
    </row>
    <row r="11597" spans="5:11" x14ac:dyDescent="0.35">
      <c r="E11597" s="9" t="str">
        <v>IGNF</v>
      </c>
      <c r="F11597" s="7" t="str">
        <v>WALL76UTM1S.WALLIS96</v>
      </c>
      <c r="G11597" t="str">
        <v>CompoundCrs</v>
      </c>
      <c r="H11597" t="str">
        <v>&lt;undefined&gt;</v>
      </c>
      <c r="I11597" t="str">
        <v>Wallis (MOP 1976) UTM Sud fuseau 1 et NGWF WALLIS (MOP 1996)</v>
      </c>
      <c r="J11597" t="str">
        <v>ILE D'UVEA (WALLIS)</v>
      </c>
      <c r="K11597" s="11">
        <v>0</v>
      </c>
    </row>
    <row r="11598" spans="5:11" x14ac:dyDescent="0.35">
      <c r="E11598" s="9" t="str">
        <v>IGNF</v>
      </c>
      <c r="F11598" s="7" t="str">
        <v>WALL78G</v>
      </c>
      <c r="G11598" t="str">
        <v>Geographic2DCrs</v>
      </c>
      <c r="H11598" t="str">
        <v>&lt;undefined&gt;</v>
      </c>
      <c r="I11598" t="str">
        <v>Wallis (MOP 1978) geographiques (dms)</v>
      </c>
      <c r="J11598" t="str">
        <v>ILE D'UVEA (WALLIS)</v>
      </c>
      <c r="K11598" s="11">
        <v>0</v>
      </c>
    </row>
    <row r="11599" spans="5:11" x14ac:dyDescent="0.35">
      <c r="E11599" s="9" t="str">
        <v>IGNF</v>
      </c>
      <c r="F11599" s="7" t="str">
        <v>WALL78G.WALLIS96</v>
      </c>
      <c r="G11599" t="str">
        <v>CompoundCrs</v>
      </c>
      <c r="H11599" t="str">
        <v>&lt;undefined&gt;</v>
      </c>
      <c r="I11599" t="str">
        <v>Wallis (MOP 1978) geographiques (dms) et NGWF WALLIS (MOP 1996)</v>
      </c>
      <c r="J11599" t="str">
        <v>ILE D'UVEA (WALLIS)</v>
      </c>
      <c r="K11599" s="11">
        <v>0</v>
      </c>
    </row>
    <row r="11600" spans="5:11" x14ac:dyDescent="0.35">
      <c r="E11600" s="9" t="str">
        <v>IGNF</v>
      </c>
      <c r="F11600" s="7" t="str">
        <v>WALL78UTM1S</v>
      </c>
      <c r="G11600" t="str">
        <v>ProjectedCrs</v>
      </c>
      <c r="H11600" t="str">
        <v>Transverse Mercator</v>
      </c>
      <c r="I11600" t="str">
        <v>Wallis (MOP 1978) UTM Sud fuseau 1</v>
      </c>
      <c r="J11600" t="str">
        <v>ILE D'UVEA (WALLIS) - UTM SUD FUSEAU 1</v>
      </c>
      <c r="K11600" s="11">
        <v>0</v>
      </c>
    </row>
    <row r="11601" spans="5:11" x14ac:dyDescent="0.35">
      <c r="E11601" s="9" t="str">
        <v>IGNF</v>
      </c>
      <c r="F11601" s="7" t="str">
        <v>WALL78UTM1S.WALLIS96</v>
      </c>
      <c r="G11601" t="str">
        <v>CompoundCrs</v>
      </c>
      <c r="H11601" t="str">
        <v>&lt;undefined&gt;</v>
      </c>
      <c r="I11601" t="str">
        <v>Wallis (MOP 1978) UTM Sud fuseau 1 et NGWF WALLIS (MOP 1996)</v>
      </c>
      <c r="J11601" t="str">
        <v>ILE D'UVEA (WALLIS)</v>
      </c>
      <c r="K11601" s="11">
        <v>0</v>
      </c>
    </row>
    <row r="11602" spans="5:11" x14ac:dyDescent="0.35">
      <c r="E11602" s="9" t="str">
        <v>IGNF</v>
      </c>
      <c r="F11602" s="7" t="str">
        <v>WALL76</v>
      </c>
      <c r="G11602" t="str">
        <v>GeocentricCrs</v>
      </c>
      <c r="H11602" t="str">
        <v>&lt;undefined&gt;</v>
      </c>
      <c r="I11602" t="str">
        <v>Wallis - Uvea MOP 1976 cartesiennes geocentriques</v>
      </c>
      <c r="J11602" t="str">
        <v>ILE D'UVEA (WALLIS)</v>
      </c>
      <c r="K11602" s="11">
        <v>0</v>
      </c>
    </row>
    <row r="11603" spans="5:11" x14ac:dyDescent="0.35">
      <c r="E11603" s="9" t="str">
        <v>IGNF</v>
      </c>
      <c r="F11603" s="7" t="str">
        <v>WALL78</v>
      </c>
      <c r="G11603" t="str">
        <v>GeocentricCrs</v>
      </c>
      <c r="H11603" t="str">
        <v>&lt;undefined&gt;</v>
      </c>
      <c r="I11603" t="str">
        <v>Wallis - Uvea Shom 1978 cartesiennes geocentriques</v>
      </c>
      <c r="J11603" t="str">
        <v>ILE D'UVEA (WALLIS)</v>
      </c>
      <c r="K11603" s="11">
        <v>0</v>
      </c>
    </row>
    <row r="11604" spans="5:11" x14ac:dyDescent="0.35">
      <c r="E11604" s="9" t="str">
        <v>IGNF</v>
      </c>
      <c r="F11604" s="7" t="str">
        <v>GEOPORTALWLF</v>
      </c>
      <c r="G11604" t="str">
        <v>ProjectedCrs</v>
      </c>
      <c r="H11604" t="str">
        <v>Equidistant Cylindrical</v>
      </c>
      <c r="I11604" t="str">
        <v>Wallis et Futuna projection Geoportail</v>
      </c>
      <c r="J11604" t="str">
        <v>PLANETE TERRE ET SON ENVIRONNEMENT PROCHE - ILES WALLIS, FUTUNA ET ALOFI</v>
      </c>
      <c r="K11604" s="11">
        <v>0</v>
      </c>
    </row>
    <row r="11605" spans="5:11" x14ac:dyDescent="0.35">
      <c r="E11605" s="9" t="str">
        <v>IGNF</v>
      </c>
      <c r="F11605" s="7" t="str">
        <v>WGS84EQGPWF</v>
      </c>
      <c r="G11605" t="str">
        <v>ProjectedCrs</v>
      </c>
      <c r="H11605" t="str">
        <v>Equidistant Cylindrical</v>
      </c>
      <c r="I11605" t="str">
        <v>Wallis et Futuna projection Geoportail</v>
      </c>
      <c r="J11605" t="str">
        <v>PLANETE TERRE ET SON ENVIRONNEMENT PROCHE - ILES WALLIS, FUTUNA ET ALOFI</v>
      </c>
      <c r="K11605" s="11">
        <v>0</v>
      </c>
    </row>
    <row r="11606" spans="5:11" x14ac:dyDescent="0.35">
      <c r="E11606" s="9" t="str">
        <v>IGNF</v>
      </c>
      <c r="F11606" s="7" t="str">
        <v>WGS72</v>
      </c>
      <c r="G11606" t="str">
        <v>GeocentricCrs</v>
      </c>
      <c r="H11606" t="str">
        <v>&lt;undefined&gt;</v>
      </c>
      <c r="I11606" t="str">
        <v>WGS72 cartesiennes geocentriques</v>
      </c>
      <c r="J11606" t="str">
        <v>PLANETE TERRE ET SON ENVIRONNEMENT PROCHE</v>
      </c>
      <c r="K11606" s="11">
        <v>0</v>
      </c>
    </row>
    <row r="11607" spans="5:11" x14ac:dyDescent="0.35">
      <c r="E11607" s="9" t="str">
        <v>IGNF</v>
      </c>
      <c r="F11607" s="7" t="str">
        <v>WGS72G</v>
      </c>
      <c r="G11607" t="str">
        <v>Geographic2DCrs</v>
      </c>
      <c r="H11607" t="str">
        <v>&lt;undefined&gt;</v>
      </c>
      <c r="I11607" t="str">
        <v>WGS72 geographiques (dms)</v>
      </c>
      <c r="J11607" t="str">
        <v>PLANETE TERRE ET SON ENVIRONNEMENT PROCHE</v>
      </c>
      <c r="K11607" s="11">
        <v>0</v>
      </c>
    </row>
    <row r="11608" spans="5:11" x14ac:dyDescent="0.35">
      <c r="E11608" s="9" t="str">
        <v>IGNF</v>
      </c>
      <c r="F11608" s="7" t="str">
        <v>WGS72GEO</v>
      </c>
      <c r="G11608" t="str">
        <v>Geographic3DCrs</v>
      </c>
      <c r="H11608" t="str">
        <v>&lt;undefined&gt;</v>
      </c>
      <c r="I11608" t="str">
        <v>WGS72 geographiques (dms)</v>
      </c>
      <c r="J11608" t="str">
        <v>PLANETE TERRE ET SON ENVIRONNEMENT PROCHE</v>
      </c>
      <c r="K11608" s="11">
        <v>0</v>
      </c>
    </row>
    <row r="11609" spans="5:11" x14ac:dyDescent="0.35">
      <c r="E11609" s="9" t="str">
        <v>IGNF</v>
      </c>
      <c r="F11609" s="7" t="str">
        <v>WGS72G.IGN69</v>
      </c>
      <c r="G11609" t="str">
        <v>CompoundCrs</v>
      </c>
      <c r="H11609" t="str">
        <v>&lt;undefined&gt;</v>
      </c>
      <c r="I11609" t="str">
        <v>WGS72 geographiques (dms) et NGF-IGN 1969</v>
      </c>
      <c r="J11609" t="str">
        <v>FRANCE CONTINENTALE (CORSE EXCLUE)</v>
      </c>
      <c r="K11609" s="11">
        <v>0</v>
      </c>
    </row>
    <row r="11610" spans="5:11" x14ac:dyDescent="0.35">
      <c r="E11610" s="9" t="str">
        <v>IGNF</v>
      </c>
      <c r="F11610" s="7" t="str">
        <v>WGS72G.IGN78C</v>
      </c>
      <c r="G11610" t="str">
        <v>CompoundCrs</v>
      </c>
      <c r="H11610" t="str">
        <v>&lt;undefined&gt;</v>
      </c>
      <c r="I11610" t="str">
        <v>WGS72 geographiques (dms) et NGF-IGN 1978</v>
      </c>
      <c r="J11610" t="str">
        <v>CORSE</v>
      </c>
      <c r="K11610" s="11">
        <v>0</v>
      </c>
    </row>
    <row r="11611" spans="5:11" x14ac:dyDescent="0.35">
      <c r="E11611" s="9" t="str">
        <v>IGNF</v>
      </c>
      <c r="F11611" s="7" t="str">
        <v>WGS72G.NGC48</v>
      </c>
      <c r="G11611" t="str">
        <v>CompoundCrs</v>
      </c>
      <c r="H11611" t="str">
        <v>&lt;undefined&gt;</v>
      </c>
      <c r="I11611" t="str">
        <v>WGS72 geographiques (dms) et NIVELLEMENT GENERAL DE LA CORSE (NGC)</v>
      </c>
      <c r="J11611" t="str">
        <v>CORSE</v>
      </c>
      <c r="K11611" s="11">
        <v>0</v>
      </c>
    </row>
    <row r="11612" spans="5:11" x14ac:dyDescent="0.35">
      <c r="E11612" s="9" t="str">
        <v>IGNF</v>
      </c>
      <c r="F11612" s="7" t="str">
        <v>UTM30W72</v>
      </c>
      <c r="G11612" t="str">
        <v>ProjectedCrs</v>
      </c>
      <c r="H11612" t="str">
        <v>Transverse Mercator</v>
      </c>
      <c r="I11612" t="str">
        <v>WGS72 UTM fuseau 30</v>
      </c>
      <c r="J11612" t="str">
        <v>PLANETE TERRE ET SON ENVIRONNEMENT PROCHE - UTM NORD FUSEAU 30</v>
      </c>
      <c r="K11612" s="11">
        <v>0</v>
      </c>
    </row>
    <row r="11613" spans="5:11" x14ac:dyDescent="0.35">
      <c r="E11613" s="9" t="str">
        <v>IGNF</v>
      </c>
      <c r="F11613" s="7" t="str">
        <v>WGS72UTM30</v>
      </c>
      <c r="G11613" t="str">
        <v>ProjectedCrs</v>
      </c>
      <c r="H11613" t="str">
        <v>Transverse Mercator</v>
      </c>
      <c r="I11613" t="str">
        <v>WGS72 UTM fuseau 30</v>
      </c>
      <c r="J11613" t="str">
        <v>PLANETE TERRE ET SON ENVIRONNEMENT PROCHE - UTM NORD FUSEAU 30</v>
      </c>
      <c r="K11613" s="11">
        <v>0</v>
      </c>
    </row>
    <row r="11614" spans="5:11" x14ac:dyDescent="0.35">
      <c r="E11614" s="9" t="str">
        <v>IGNF</v>
      </c>
      <c r="F11614" s="7" t="str">
        <v>WGS72UTM30.IGN69</v>
      </c>
      <c r="G11614" t="str">
        <v>CompoundCrs</v>
      </c>
      <c r="H11614" t="str">
        <v>&lt;undefined&gt;</v>
      </c>
      <c r="I11614" t="str">
        <v>WGS72 UTM fuseau 30 et NGF-IGN 1969</v>
      </c>
      <c r="J11614" t="str">
        <v>FRANCE CONTINENTALE (CORSE EXCLUE) - UTM NORD FUSEAU 30</v>
      </c>
      <c r="K11614" s="11">
        <v>0</v>
      </c>
    </row>
    <row r="11615" spans="5:11" x14ac:dyDescent="0.35">
      <c r="E11615" s="9" t="str">
        <v>IGNF</v>
      </c>
      <c r="F11615" s="7" t="str">
        <v>WGS72UTM31</v>
      </c>
      <c r="G11615" t="str">
        <v>ProjectedCrs</v>
      </c>
      <c r="H11615" t="str">
        <v>Transverse Mercator</v>
      </c>
      <c r="I11615" t="str">
        <v>WGS72 UTM fuseau 31</v>
      </c>
      <c r="J11615" t="str">
        <v>PLANETE TERRE ET SON ENVIRONNEMENT PROCHE - UTM NORD FUSEAU 31</v>
      </c>
      <c r="K11615" s="11">
        <v>0</v>
      </c>
    </row>
    <row r="11616" spans="5:11" x14ac:dyDescent="0.35">
      <c r="E11616" s="9" t="str">
        <v>IGNF</v>
      </c>
      <c r="F11616" s="7" t="str">
        <v>UTM31W72</v>
      </c>
      <c r="G11616" t="str">
        <v>ProjectedCrs</v>
      </c>
      <c r="H11616" t="str">
        <v>Transverse Mercator</v>
      </c>
      <c r="I11616" t="str">
        <v>WGS72 UTM fuseau 31</v>
      </c>
      <c r="J11616" t="str">
        <v>PLANETE TERRE ET SON ENVIRONNEMENT PROCHE - UTM NORD FUSEAU 31</v>
      </c>
      <c r="K11616" s="11">
        <v>0</v>
      </c>
    </row>
    <row r="11617" spans="5:11" x14ac:dyDescent="0.35">
      <c r="E11617" s="9" t="str">
        <v>IGNF</v>
      </c>
      <c r="F11617" s="7" t="str">
        <v>WGS72UTM31.IGN69</v>
      </c>
      <c r="G11617" t="str">
        <v>CompoundCrs</v>
      </c>
      <c r="H11617" t="str">
        <v>&lt;undefined&gt;</v>
      </c>
      <c r="I11617" t="str">
        <v>WGS72 UTM fuseau 31 et NGF-IGN 1969</v>
      </c>
      <c r="J11617" t="str">
        <v>FRANCE CONTINENTALE (CORSE EXCLUE) - UTM NORD FUSEAU 31</v>
      </c>
      <c r="K11617" s="11">
        <v>0</v>
      </c>
    </row>
    <row r="11618" spans="5:11" x14ac:dyDescent="0.35">
      <c r="E11618" s="9" t="str">
        <v>IGNF</v>
      </c>
      <c r="F11618" s="7" t="str">
        <v>WGS72UTM32</v>
      </c>
      <c r="G11618" t="str">
        <v>ProjectedCrs</v>
      </c>
      <c r="H11618" t="str">
        <v>Transverse Mercator</v>
      </c>
      <c r="I11618" t="str">
        <v>WGS72 UTM fuseau 32</v>
      </c>
      <c r="J11618" t="str">
        <v>PLANETE TERRE ET SON ENVIRONNEMENT PROCHE - UTM NORD FUSEAU 32</v>
      </c>
      <c r="K11618" s="11">
        <v>0</v>
      </c>
    </row>
    <row r="11619" spans="5:11" x14ac:dyDescent="0.35">
      <c r="E11619" s="9" t="str">
        <v>IGNF</v>
      </c>
      <c r="F11619" s="7" t="str">
        <v>UTM32W72</v>
      </c>
      <c r="G11619" t="str">
        <v>ProjectedCrs</v>
      </c>
      <c r="H11619" t="str">
        <v>Transverse Mercator</v>
      </c>
      <c r="I11619" t="str">
        <v>WGS72 UTM fuseau 32</v>
      </c>
      <c r="J11619" t="str">
        <v>PLANETE TERRE ET SON ENVIRONNEMENT PROCHE - UTM NORD FUSEAU 32</v>
      </c>
      <c r="K11619" s="11">
        <v>0</v>
      </c>
    </row>
    <row r="11620" spans="5:11" x14ac:dyDescent="0.35">
      <c r="E11620" s="9" t="str">
        <v>IGNF</v>
      </c>
      <c r="F11620" s="7" t="str">
        <v>WGS72UTM32.IGN69</v>
      </c>
      <c r="G11620" t="str">
        <v>CompoundCrs</v>
      </c>
      <c r="H11620" t="str">
        <v>&lt;undefined&gt;</v>
      </c>
      <c r="I11620" t="str">
        <v>WGS72 UTM fuseau 32 et NGF-IGN 1969</v>
      </c>
      <c r="J11620" t="str">
        <v>FRANCE CONTINENTALE (CORSE EXCLUE) - UTM NORD FUSEAU 32</v>
      </c>
      <c r="K11620" s="11">
        <v>0</v>
      </c>
    </row>
    <row r="11621" spans="5:11" x14ac:dyDescent="0.35">
      <c r="E11621" s="9" t="str">
        <v>IGNF</v>
      </c>
      <c r="F11621" s="7" t="str">
        <v>WGS72UTM32.IGN78C</v>
      </c>
      <c r="G11621" t="str">
        <v>CompoundCrs</v>
      </c>
      <c r="H11621" t="str">
        <v>&lt;undefined&gt;</v>
      </c>
      <c r="I11621" t="str">
        <v>WGS72 UTM fuseau 32 et NGF-IGN 1978</v>
      </c>
      <c r="J11621" t="str">
        <v>CORSE</v>
      </c>
      <c r="K11621" s="11">
        <v>0</v>
      </c>
    </row>
    <row r="11622" spans="5:11" x14ac:dyDescent="0.35">
      <c r="E11622" s="9" t="str">
        <v>IGNF</v>
      </c>
      <c r="F11622" s="7" t="str">
        <v>WGS72UTM32.NGC48</v>
      </c>
      <c r="G11622" t="str">
        <v>CompoundCrs</v>
      </c>
      <c r="H11622" t="str">
        <v>&lt;undefined&gt;</v>
      </c>
      <c r="I11622" t="str">
        <v>WGS72 UTM fuseau 32 et NIVELLEMENT GENERAL DE LA CORSE (NGC)</v>
      </c>
      <c r="J11622" t="str">
        <v>CORSE</v>
      </c>
      <c r="K11622" s="11">
        <v>0</v>
      </c>
    </row>
    <row r="11623" spans="5:11" x14ac:dyDescent="0.35">
      <c r="E11623" s="9" t="str">
        <v>IGNF</v>
      </c>
      <c r="F11623" s="7" t="str">
        <v>WGS72UTM1S</v>
      </c>
      <c r="G11623" t="str">
        <v>ProjectedCrs</v>
      </c>
      <c r="H11623" t="str">
        <v>Transverse Mercator</v>
      </c>
      <c r="I11623" t="str">
        <v>WGS72 UTM Sud Fuseau 1</v>
      </c>
      <c r="J11623" t="str">
        <v>PLANETE TERRE ET SON ENVIRONNEMENT PROCHE - UTM SUD FUSEAU 1</v>
      </c>
      <c r="K11623" s="11">
        <v>0</v>
      </c>
    </row>
    <row r="11624" spans="5:11" x14ac:dyDescent="0.35">
      <c r="E11624" s="9" t="str">
        <v>IGNF</v>
      </c>
      <c r="F11624" s="7" t="str">
        <v>RRAF91</v>
      </c>
      <c r="G11624" t="str">
        <v>GeocentricCrs</v>
      </c>
      <c r="H11624" t="str">
        <v>&lt;undefined&gt;</v>
      </c>
      <c r="I11624" t="str">
        <v>WGS84 cartesiennes geocentriques</v>
      </c>
      <c r="J11624" t="str">
        <v>PLANETE TERRE ET SON ENVIRONNEMENT PROCHE</v>
      </c>
      <c r="K11624" s="11">
        <v>0</v>
      </c>
    </row>
    <row r="11625" spans="5:11" x14ac:dyDescent="0.35">
      <c r="E11625" s="9" t="str">
        <v>IGNF</v>
      </c>
      <c r="F11625" s="7" t="str">
        <v>WGS84</v>
      </c>
      <c r="G11625" t="str">
        <v>GeocentricCrs</v>
      </c>
      <c r="H11625" t="str">
        <v>&lt;undefined&gt;</v>
      </c>
      <c r="I11625" t="str">
        <v>WGS84 cartesiennes geocentriques</v>
      </c>
      <c r="J11625" t="str">
        <v>PLANETE TERRE ET SON ENVIRONNEMENT PROCHE</v>
      </c>
      <c r="K11625" s="11">
        <v>0</v>
      </c>
    </row>
    <row r="11626" spans="5:11" x14ac:dyDescent="0.35">
      <c r="E11626" s="9" t="str">
        <v>IGNF</v>
      </c>
      <c r="F11626" s="7" t="str">
        <v>WGS84GEODD</v>
      </c>
      <c r="G11626" t="str">
        <v>Geographic3DCrs</v>
      </c>
      <c r="H11626" t="str">
        <v>&lt;undefined&gt;</v>
      </c>
      <c r="I11626" t="str">
        <v>WGS84 geographiques (dd)</v>
      </c>
      <c r="J11626" t="str">
        <v>PLANETE TERRE ET SON ENVIRONNEMENT PROCHE</v>
      </c>
      <c r="K11626" s="11">
        <v>0</v>
      </c>
    </row>
    <row r="11627" spans="5:11" x14ac:dyDescent="0.35">
      <c r="E11627" s="9" t="str">
        <v>IGNF</v>
      </c>
      <c r="F11627" s="7" t="str">
        <v>WGS84GDD</v>
      </c>
      <c r="G11627" t="str">
        <v>Geographic2DCrs</v>
      </c>
      <c r="H11627" t="str">
        <v>&lt;undefined&gt;</v>
      </c>
      <c r="I11627" t="str">
        <v>WGS84 geographiques (dd)</v>
      </c>
      <c r="J11627" t="str">
        <v>PLANETE TERRE ET SON ENVIRONNEMENT PROCHE</v>
      </c>
      <c r="K11627" s="11">
        <v>0</v>
      </c>
    </row>
    <row r="11628" spans="5:11" x14ac:dyDescent="0.35">
      <c r="E11628" s="9" t="str">
        <v>IGNF</v>
      </c>
      <c r="F11628" s="7" t="str">
        <v>WGS84GDD.IGN69</v>
      </c>
      <c r="G11628" t="str">
        <v>CompoundCrs</v>
      </c>
      <c r="H11628" t="str">
        <v>&lt;undefined&gt;</v>
      </c>
      <c r="I11628" t="str">
        <v>WGS84 geographiques (dd) et NGF-IGN 1969</v>
      </c>
      <c r="J11628" t="str">
        <v>FRANCE CONTINENTALE (CORSE EXCLUE)</v>
      </c>
      <c r="K11628" s="11">
        <v>0</v>
      </c>
    </row>
    <row r="11629" spans="5:11" x14ac:dyDescent="0.35">
      <c r="E11629" s="9" t="str">
        <v>IGNF</v>
      </c>
      <c r="F11629" s="7" t="str">
        <v>WGS84GDD.IGN78C</v>
      </c>
      <c r="G11629" t="str">
        <v>CompoundCrs</v>
      </c>
      <c r="H11629" t="str">
        <v>&lt;undefined&gt;</v>
      </c>
      <c r="I11629" t="str">
        <v>WGS84 geographiques (dd) et NGF-IGN 1978</v>
      </c>
      <c r="J11629" t="str">
        <v>CORSE</v>
      </c>
      <c r="K11629" s="11">
        <v>0</v>
      </c>
    </row>
    <row r="11630" spans="5:11" x14ac:dyDescent="0.35">
      <c r="E11630" s="9" t="str">
        <v>IGNF</v>
      </c>
      <c r="F11630" s="7" t="str">
        <v>WGS84GEO</v>
      </c>
      <c r="G11630" t="str">
        <v>Geographic3DCrs</v>
      </c>
      <c r="H11630" t="str">
        <v>&lt;undefined&gt;</v>
      </c>
      <c r="I11630" t="str">
        <v>WGS84 geographiques (dms)</v>
      </c>
      <c r="J11630" t="str">
        <v>PLANETE TERRE ET SON ENVIRONNEMENT PROCHE</v>
      </c>
      <c r="K11630" s="11">
        <v>0</v>
      </c>
    </row>
    <row r="11631" spans="5:11" x14ac:dyDescent="0.35">
      <c r="E11631" s="9" t="str">
        <v>IGNF</v>
      </c>
      <c r="F11631" s="7" t="str">
        <v>WGS84RRAFGEO</v>
      </c>
      <c r="G11631" t="str">
        <v>Geographic3DCrs</v>
      </c>
      <c r="H11631" t="str">
        <v>&lt;undefined&gt;</v>
      </c>
      <c r="I11631" t="str">
        <v>WGS84 geographiques (dms)</v>
      </c>
      <c r="J11631" t="str">
        <v>PLANETE TERRE ET SON ENVIRONNEMENT PROCHE</v>
      </c>
      <c r="K11631" s="11">
        <v>0</v>
      </c>
    </row>
    <row r="11632" spans="5:11" x14ac:dyDescent="0.35">
      <c r="E11632" s="9" t="str">
        <v>IGNF</v>
      </c>
      <c r="F11632" s="7" t="str">
        <v>WGS84G</v>
      </c>
      <c r="G11632" t="str">
        <v>Geographic2DCrs</v>
      </c>
      <c r="H11632" t="str">
        <v>&lt;undefined&gt;</v>
      </c>
      <c r="I11632" t="str">
        <v>WGS84 geographiques (dms)</v>
      </c>
      <c r="J11632" t="str">
        <v>PLANETE TERRE ET SON ENVIRONNEMENT PROCHE</v>
      </c>
      <c r="K11632" s="11">
        <v>0</v>
      </c>
    </row>
    <row r="11633" spans="5:11" x14ac:dyDescent="0.35">
      <c r="E11633" s="9" t="str">
        <v>IGNF</v>
      </c>
      <c r="F11633" s="7" t="str">
        <v>WGS84G.IGN69</v>
      </c>
      <c r="G11633" t="str">
        <v>CompoundCrs</v>
      </c>
      <c r="H11633" t="str">
        <v>&lt;undefined&gt;</v>
      </c>
      <c r="I11633" t="str">
        <v>WGS84 geographiques (dms) et NGF-IGN 1969</v>
      </c>
      <c r="J11633" t="str">
        <v>FRANCE CONTINENTALE (CORSE EXCLUE)</v>
      </c>
      <c r="K11633" s="11">
        <v>0</v>
      </c>
    </row>
    <row r="11634" spans="5:11" x14ac:dyDescent="0.35">
      <c r="E11634" s="9" t="str">
        <v>IGNF</v>
      </c>
      <c r="F11634" s="7" t="str">
        <v>WGS84G.IGN78C</v>
      </c>
      <c r="G11634" t="str">
        <v>CompoundCrs</v>
      </c>
      <c r="H11634" t="str">
        <v>&lt;undefined&gt;</v>
      </c>
      <c r="I11634" t="str">
        <v>WGS84 geographiques (dms) et NGF-IGN 1978</v>
      </c>
      <c r="J11634" t="str">
        <v>CORSE</v>
      </c>
      <c r="K11634" s="11">
        <v>0</v>
      </c>
    </row>
    <row r="11635" spans="5:11" x14ac:dyDescent="0.35">
      <c r="E11635" s="9" t="str">
        <v>IGNF</v>
      </c>
      <c r="F11635" s="7" t="str">
        <v>WGS84MILLGP</v>
      </c>
      <c r="G11635" t="str">
        <v>ProjectedCrs</v>
      </c>
      <c r="H11635" t="str">
        <v>PROJ mill</v>
      </c>
      <c r="I11635" t="str">
        <v>WGS84 PROJECTION MILLER GEOPORTAIL</v>
      </c>
      <c r="J11635" t="str">
        <v>PLANETE TERRE ET SON ENVIRONNEMENT PROCHE</v>
      </c>
      <c r="K11635" s="11">
        <v>0</v>
      </c>
    </row>
    <row r="11636" spans="5:11" x14ac:dyDescent="0.35">
      <c r="E11636" s="9" t="str">
        <v>IGNF</v>
      </c>
      <c r="F11636" s="7" t="str">
        <v>MILLER</v>
      </c>
      <c r="G11636" t="str">
        <v>ProjectedCrs</v>
      </c>
      <c r="H11636" t="str">
        <v>PROJ mill</v>
      </c>
      <c r="I11636" t="str">
        <v>WGS84 PROJECTION MILLER GEOPORTAIL</v>
      </c>
      <c r="J11636" t="str">
        <v>PLANETE TERRE ET SON ENVIRONNEMENT PROCHE</v>
      </c>
      <c r="K11636" s="11">
        <v>0</v>
      </c>
    </row>
    <row r="11637" spans="5:11" x14ac:dyDescent="0.35">
      <c r="E11637" s="9" t="str">
        <v>IGNF</v>
      </c>
      <c r="F11637" s="7" t="str">
        <v>UTM30W84</v>
      </c>
      <c r="G11637" t="str">
        <v>ProjectedCrs</v>
      </c>
      <c r="H11637" t="str">
        <v>Transverse Mercator</v>
      </c>
      <c r="I11637" t="str">
        <v>WGS84 UTM fuseau 30</v>
      </c>
      <c r="J11637" t="str">
        <v>PLANETE TERRE ET SON ENVIRONNEMENT PROCHE - UTM NORD FUSEAU 30</v>
      </c>
      <c r="K11637" s="11">
        <v>0</v>
      </c>
    </row>
    <row r="11638" spans="5:11" x14ac:dyDescent="0.35">
      <c r="E11638" s="9" t="str">
        <v>IGNF</v>
      </c>
      <c r="F11638" s="7" t="str">
        <v>WGS84UTM30</v>
      </c>
      <c r="G11638" t="str">
        <v>ProjectedCrs</v>
      </c>
      <c r="H11638" t="str">
        <v>Transverse Mercator</v>
      </c>
      <c r="I11638" t="str">
        <v>WGS84 UTM fuseau 30</v>
      </c>
      <c r="J11638" t="str">
        <v>PLANETE TERRE ET SON ENVIRONNEMENT PROCHE - UTM NORD FUSEAU 30</v>
      </c>
      <c r="K11638" s="11">
        <v>0</v>
      </c>
    </row>
    <row r="11639" spans="5:11" x14ac:dyDescent="0.35">
      <c r="E11639" s="9" t="str">
        <v>IGNF</v>
      </c>
      <c r="F11639" s="7" t="str">
        <v>WGS84UTM30.IGN69</v>
      </c>
      <c r="G11639" t="str">
        <v>CompoundCrs</v>
      </c>
      <c r="H11639" t="str">
        <v>&lt;undefined&gt;</v>
      </c>
      <c r="I11639" t="str">
        <v>WGS84 UTM fuseau 30 et NGF-IGN 1969</v>
      </c>
      <c r="J11639" t="str">
        <v>FRANCE CONTINENTALE (CORSE EXCLUE) - UTM NORD FUSEAU 30</v>
      </c>
      <c r="K11639" s="11">
        <v>0</v>
      </c>
    </row>
    <row r="11640" spans="5:11" x14ac:dyDescent="0.35">
      <c r="E11640" s="9" t="str">
        <v>IGNF</v>
      </c>
      <c r="F11640" s="7" t="str">
        <v>UTM31W84</v>
      </c>
      <c r="G11640" t="str">
        <v>ProjectedCrs</v>
      </c>
      <c r="H11640" t="str">
        <v>Transverse Mercator</v>
      </c>
      <c r="I11640" t="str">
        <v>WGS84 UTM fuseau 31</v>
      </c>
      <c r="J11640" t="str">
        <v>PLANETE TERRE ET SON ENVIRONNEMENT PROCHE - UTM NORD FUSEAU 31</v>
      </c>
      <c r="K11640" s="11">
        <v>0</v>
      </c>
    </row>
    <row r="11641" spans="5:11" x14ac:dyDescent="0.35">
      <c r="E11641" s="9" t="str">
        <v>IGNF</v>
      </c>
      <c r="F11641" s="7" t="str">
        <v>WGS84UTM31</v>
      </c>
      <c r="G11641" t="str">
        <v>ProjectedCrs</v>
      </c>
      <c r="H11641" t="str">
        <v>Transverse Mercator</v>
      </c>
      <c r="I11641" t="str">
        <v>WGS84 UTM fuseau 31</v>
      </c>
      <c r="J11641" t="str">
        <v>PLANETE TERRE ET SON ENVIRONNEMENT PROCHE - UTM NORD FUSEAU 31</v>
      </c>
      <c r="K11641" s="11">
        <v>0</v>
      </c>
    </row>
    <row r="11642" spans="5:11" x14ac:dyDescent="0.35">
      <c r="E11642" s="9" t="str">
        <v>IGNF</v>
      </c>
      <c r="F11642" s="7" t="str">
        <v>WGS84UTM31.IGN69</v>
      </c>
      <c r="G11642" t="str">
        <v>CompoundCrs</v>
      </c>
      <c r="H11642" t="str">
        <v>&lt;undefined&gt;</v>
      </c>
      <c r="I11642" t="str">
        <v>WGS84 UTM fuseau 31 et NGF-IGN 1969</v>
      </c>
      <c r="J11642" t="str">
        <v>FRANCE CONTINENTALE (CORSE EXCLUE) - UTM NORD FUSEAU 31</v>
      </c>
      <c r="K11642" s="11">
        <v>0</v>
      </c>
    </row>
    <row r="11643" spans="5:11" x14ac:dyDescent="0.35">
      <c r="E11643" s="9" t="str">
        <v>IGNF</v>
      </c>
      <c r="F11643" s="7" t="str">
        <v>WGS84UTM32</v>
      </c>
      <c r="G11643" t="str">
        <v>ProjectedCrs</v>
      </c>
      <c r="H11643" t="str">
        <v>Transverse Mercator</v>
      </c>
      <c r="I11643" t="str">
        <v>WGS84 UTM NORD FUSEAU 32</v>
      </c>
      <c r="J11643" t="str">
        <v>PLANETE TERRE ET SON ENVIRONNEMENT PROCHE - UTM NORD FUSEAU 32</v>
      </c>
      <c r="K11643" s="11">
        <v>0</v>
      </c>
    </row>
    <row r="11644" spans="5:11" x14ac:dyDescent="0.35">
      <c r="E11644" s="9" t="str">
        <v>IGNF</v>
      </c>
      <c r="F11644" s="7" t="str">
        <v>UTM32W84</v>
      </c>
      <c r="G11644" t="str">
        <v>ProjectedCrs</v>
      </c>
      <c r="H11644" t="str">
        <v>Transverse Mercator</v>
      </c>
      <c r="I11644" t="str">
        <v>WGS84 UTM NORD FUSEAU 32</v>
      </c>
      <c r="J11644" t="str">
        <v>PLANETE TERRE ET SON ENVIRONNEMENT PROCHE - UTM NORD FUSEAU 32</v>
      </c>
      <c r="K11644" s="11">
        <v>0</v>
      </c>
    </row>
    <row r="11645" spans="5:11" x14ac:dyDescent="0.35">
      <c r="E11645" s="9" t="str">
        <v>IGNF</v>
      </c>
      <c r="F11645" s="7" t="str">
        <v>WGS84UTM32.IGN69</v>
      </c>
      <c r="G11645" t="str">
        <v>CompoundCrs</v>
      </c>
      <c r="H11645" t="str">
        <v>&lt;undefined&gt;</v>
      </c>
      <c r="I11645" t="str">
        <v>WGS84 UTM NORD FUSEAU 32 et NGF-IGN 1969</v>
      </c>
      <c r="J11645" t="str">
        <v>FRANCE CONTINENTALE (CORSE EXCLUE) - UTM NORD FUSEAU 32</v>
      </c>
      <c r="K11645" s="11">
        <v>0</v>
      </c>
    </row>
    <row r="11646" spans="5:11" x14ac:dyDescent="0.35">
      <c r="E11646" s="9" t="str">
        <v>IGNF</v>
      </c>
      <c r="F11646" s="7" t="str">
        <v>WGS84UTM32.IGN78C</v>
      </c>
      <c r="G11646" t="str">
        <v>CompoundCrs</v>
      </c>
      <c r="H11646" t="str">
        <v>&lt;undefined&gt;</v>
      </c>
      <c r="I11646" t="str">
        <v>WGS84 UTM NORD FUSEAU 32 et NGF-IGN 1978</v>
      </c>
      <c r="J11646" t="str">
        <v>CORSE</v>
      </c>
      <c r="K11646" s="11">
        <v>0</v>
      </c>
    </row>
    <row r="11647" spans="5:11" x14ac:dyDescent="0.35">
      <c r="E11647" s="9" t="str">
        <v>IGNF</v>
      </c>
      <c r="F11647" s="7" t="str">
        <v>WGS84UTM1S</v>
      </c>
      <c r="G11647" t="str">
        <v>ProjectedCrs</v>
      </c>
      <c r="H11647" t="str">
        <v>Transverse Mercator</v>
      </c>
      <c r="I11647" t="str">
        <v>WGS84 UTM Sud Fuseau 1</v>
      </c>
      <c r="J11647" t="str">
        <v>PLANETE TERRE ET SON ENVIRONNEMENT PROCHE - UTM SUD FUSEAU 1</v>
      </c>
      <c r="K11647" s="11">
        <v>0</v>
      </c>
    </row>
    <row r="11648" spans="5:11" x14ac:dyDescent="0.35">
      <c r="E11648" s="9" t="str">
        <v>IGNF</v>
      </c>
      <c r="F11648" s="7" t="str">
        <v>UTM01SW84</v>
      </c>
      <c r="G11648" t="str">
        <v>ProjectedCrs</v>
      </c>
      <c r="H11648" t="str">
        <v>Transverse Mercator</v>
      </c>
      <c r="I11648" t="str">
        <v>WGS84 UTM Sud Fuseau 1</v>
      </c>
      <c r="J11648" t="str">
        <v>PLANETE TERRE ET SON ENVIRONNEMENT PROCHE - UTM SUD FUSEAU 1</v>
      </c>
      <c r="K11648" s="11">
        <v>0</v>
      </c>
    </row>
    <row r="11649" spans="5:11" x14ac:dyDescent="0.35">
      <c r="E11649" s="9" t="str">
        <v>IGNF</v>
      </c>
      <c r="F11649" s="7" t="str">
        <v>WGS84UTM39S</v>
      </c>
      <c r="G11649" t="str">
        <v>ProjectedCrs</v>
      </c>
      <c r="H11649" t="str">
        <v>Transverse Mercator</v>
      </c>
      <c r="I11649" t="str">
        <v>WGS84 UTM SUD FUSEAU 39</v>
      </c>
      <c r="J11649" t="str">
        <v>PLANETE TERRE ET SON ENVIRONNEMENT PROCHE - UTM SUD FUSEAU 39</v>
      </c>
      <c r="K11649" s="11">
        <v>0</v>
      </c>
    </row>
    <row r="11650" spans="5:11" x14ac:dyDescent="0.35">
      <c r="E11650" s="9" t="str">
        <v>IGNF</v>
      </c>
      <c r="F11650" s="7" t="str">
        <v>UTM39SW84</v>
      </c>
      <c r="G11650" t="str">
        <v>ProjectedCrs</v>
      </c>
      <c r="H11650" t="str">
        <v>Transverse Mercator</v>
      </c>
      <c r="I11650" t="str">
        <v>WGS84 UTM SUD FUSEAU 39</v>
      </c>
      <c r="J11650" t="str">
        <v>PLANETE TERRE ET SON ENVIRONNEMENT PROCHE - UTM SUD FUSEAU 39</v>
      </c>
      <c r="K11650" s="11">
        <v>0</v>
      </c>
    </row>
    <row r="11651" spans="5:11" x14ac:dyDescent="0.35">
      <c r="E11651" s="9" t="str">
        <v>IGNF</v>
      </c>
      <c r="F11651" s="7" t="str">
        <v>WGS84UTM42S</v>
      </c>
      <c r="G11651" t="str">
        <v>ProjectedCrs</v>
      </c>
      <c r="H11651" t="str">
        <v>Transverse Mercator</v>
      </c>
      <c r="I11651" t="str">
        <v>WGS84 UTM SUD FUSEAU 42</v>
      </c>
      <c r="J11651" t="str">
        <v>PLANETE TERRE ET SON ENVIRONNEMENT PROCHE - UTM SUD FUSEAU 42</v>
      </c>
      <c r="K11651" s="11">
        <v>0</v>
      </c>
    </row>
    <row r="11652" spans="5:11" x14ac:dyDescent="0.35">
      <c r="E11652" s="9" t="str">
        <v>IGNF</v>
      </c>
      <c r="F11652" s="7" t="str">
        <v>UTM42SW84</v>
      </c>
      <c r="G11652" t="str">
        <v>ProjectedCrs</v>
      </c>
      <c r="H11652" t="str">
        <v>Transverse Mercator</v>
      </c>
      <c r="I11652" t="str">
        <v>WGS84 UTM SUD FUSEAU 42</v>
      </c>
      <c r="J11652" t="str">
        <v>PLANETE TERRE ET SON ENVIRONNEMENT PROCHE - UTM SUD FUSEAU 42</v>
      </c>
      <c r="K11652" s="11">
        <v>0</v>
      </c>
    </row>
    <row r="11653" spans="5:11" x14ac:dyDescent="0.35">
      <c r="E11653" s="9" t="str">
        <v>IGNF</v>
      </c>
      <c r="F11653" s="7" t="str">
        <v>WGS84UTM43S</v>
      </c>
      <c r="G11653" t="str">
        <v>ProjectedCrs</v>
      </c>
      <c r="H11653" t="str">
        <v>Transverse Mercator</v>
      </c>
      <c r="I11653" t="str">
        <v>WGS84 UTM SUD FUSEAU 43</v>
      </c>
      <c r="J11653" t="str">
        <v>PLANETE TERRE ET SON ENVIRONNEMENT PROCHE - UTM SUD FUSEAU 43</v>
      </c>
      <c r="K11653" s="11">
        <v>0</v>
      </c>
    </row>
    <row r="11654" spans="5:11" x14ac:dyDescent="0.35">
      <c r="E11654" s="9" t="str">
        <v>IGNF</v>
      </c>
      <c r="F11654" s="7" t="str">
        <v>UTM43SW84</v>
      </c>
      <c r="G11654" t="str">
        <v>ProjectedCrs</v>
      </c>
      <c r="H11654" t="str">
        <v>Transverse Mercator</v>
      </c>
      <c r="I11654" t="str">
        <v>WGS84 UTM SUD FUSEAU 43</v>
      </c>
      <c r="J11654" t="str">
        <v>PLANETE TERRE ET SON ENVIRONNEMENT PROCHE - UTM SUD FUSEAU 43</v>
      </c>
      <c r="K11654" s="11">
        <v>0</v>
      </c>
    </row>
    <row r="11655" spans="5:11" x14ac:dyDescent="0.35">
      <c r="E11655" s="9" t="str">
        <v>IGNF</v>
      </c>
      <c r="F11655" s="7" t="str">
        <v>WGS84WMSV</v>
      </c>
      <c r="G11655" t="str">
        <v>ProjectedCrs</v>
      </c>
      <c r="H11655" t="str">
        <v>Popular Visualisation Pseudo Mercator</v>
      </c>
      <c r="I11655" t="str">
        <v>WGS84 WEB MERCATOR SPHERIQUE (VISUALISATION)</v>
      </c>
      <c r="J11655" t="str">
        <v>PLANETE TERRE ET SON ENVIRONNEMENT PROCHE - PSEUDO MERCATOR (POPULAR VISUALISATION)</v>
      </c>
      <c r="K11655" s="11">
        <v>0</v>
      </c>
    </row>
    <row r="11656" spans="5:11" x14ac:dyDescent="0.35">
      <c r="E11656" s="9" t="str">
        <v>NKG</v>
      </c>
      <c r="F11656" s="7" t="str">
        <v>ETRF00</v>
      </c>
      <c r="G11656" t="str">
        <v>GeocentricCrs</v>
      </c>
      <c r="H11656" t="str">
        <v>&lt;undefined&gt;</v>
      </c>
      <c r="I11656" t="str">
        <v>NKG_ETRF00</v>
      </c>
      <c r="J11656" t="str">
        <v>Denmark; Estonia; Finland; Latvia; Lithuania; Norway; Sweden</v>
      </c>
      <c r="K11656" s="11">
        <v>0</v>
      </c>
    </row>
    <row r="11657" spans="5:11" x14ac:dyDescent="0.35">
      <c r="E11657" s="9" t="str">
        <v>NKG</v>
      </c>
      <c r="F11657" s="7" t="str">
        <v>ETRF14</v>
      </c>
      <c r="G11657" t="str">
        <v>GeocentricCrs</v>
      </c>
      <c r="H11657" t="str">
        <v>&lt;undefined&gt;</v>
      </c>
      <c r="I11657" t="str">
        <v>NKG_ETRF14</v>
      </c>
      <c r="J11657" t="str">
        <v>Denmark; Estonia; Finland; Latvia; Lithuania; Norway; Sweden</v>
      </c>
      <c r="K11657" s="11">
        <v>0</v>
      </c>
    </row>
    <row r="11658" spans="5:11" x14ac:dyDescent="0.35">
      <c r="E11658" s="9" t="str">
        <v>OGC</v>
      </c>
      <c r="F11658" s="7" t="str">
        <v>CRS27</v>
      </c>
      <c r="G11658" t="str">
        <v>Geographic2DCrs</v>
      </c>
      <c r="H11658" t="str">
        <v>&lt;undefined&gt;</v>
      </c>
      <c r="I11658" t="str">
        <v>NAD27 (CRS27)</v>
      </c>
      <c r="J11658" t="str">
        <v>North and central America: Antigua and Barbuda - onshore. Bahamas - onshore plus offshore over internal continental shelf only. Belize - onshore. British Virgin Islands - onshore. Canada onshore - Alberta, British Columbia, Manitoba, New Brunswick, Newfoundland and Labrador, Northwest Territories, Nova Scotia, Nunavut, Ontario, Prince Edward Island, Quebec, Saskatchewan and Yukon - plus offshore east coast. Cuba - onshore and offshore. El Salvador - onshore. Guatemala - onshore. Honduras - onshore. Panama - onshore. Puerto Rico - onshore. Mexico - onshore plus offshore east coast. Nicaragua - onshore. United States (USA) onshore and offshore - Alabama, Alaska, Arizona, Arkansas, California, Colorado, Connecticut, Delaware, Florida, Georgia,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 plus offshore . US Virgin Islands - onshore.</v>
      </c>
      <c r="K11658" s="11">
        <v>0</v>
      </c>
    </row>
    <row r="11659" spans="5:11" x14ac:dyDescent="0.35">
      <c r="E11659" s="9" t="str">
        <v>OGC</v>
      </c>
      <c r="F11659" s="7" t="str">
        <v>CRS83</v>
      </c>
      <c r="G11659" t="str">
        <v>Geographic2DCrs</v>
      </c>
      <c r="H11659" t="str">
        <v>&lt;undefined&gt;</v>
      </c>
      <c r="I11659" t="str">
        <v>NAD83 (CRS83)</v>
      </c>
      <c r="J11659" t="str">
        <v>North America - onshore and offshore: Canada - Alberta; British Columbia; Manitoba; New Brunswick; Newfoundland and Labrador; Northwest Territories; Nova Scotia; Nunavut; Ontario; Prince Edward Island; Quebec; Saskatchewan; Yukon. Puerto Rico. United States (USA) -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Virgin Islands. British Virgin Islands.</v>
      </c>
      <c r="K11659" s="11">
        <v>0</v>
      </c>
    </row>
    <row r="11660" spans="5:11" x14ac:dyDescent="0.35">
      <c r="E11660" s="9" t="str">
        <v>OGC</v>
      </c>
      <c r="F11660" s="7" t="str">
        <v>CRS84</v>
      </c>
      <c r="G11660" t="str">
        <v>Geographic2DCrs</v>
      </c>
      <c r="H11660" t="str">
        <v>&lt;undefined&gt;</v>
      </c>
      <c r="I11660" t="str">
        <v>WGS 84 (CRS84)</v>
      </c>
      <c r="J11660" t="str">
        <v>World.</v>
      </c>
      <c r="K11660" s="11">
        <v>0</v>
      </c>
    </row>
    <row r="11661" spans="5:11" ht="15" thickBot="1" x14ac:dyDescent="0.4">
      <c r="E11661" s="10" t="str">
        <v>OGC</v>
      </c>
      <c r="F11661" s="8" t="str">
        <v>CRS84h</v>
      </c>
      <c r="G11661" s="4" t="str">
        <v>Geographic3DCrs</v>
      </c>
      <c r="H11661" s="4" t="str">
        <v>&lt;undefined&gt;</v>
      </c>
      <c r="I11661" s="4" t="str">
        <v>WGS 84 longitude-latitude-height</v>
      </c>
      <c r="J11661" s="4" t="str">
        <v>World.</v>
      </c>
      <c r="K11661" s="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 Duijndam</dc:creator>
  <cp:lastModifiedBy>Bart Duijndam</cp:lastModifiedBy>
  <dcterms:created xsi:type="dcterms:W3CDTF">2026-10-11T14:26:55Z</dcterms:created>
  <dcterms:modified xsi:type="dcterms:W3CDTF">2026-10-11T20:18:35Z</dcterms:modified>
</cp:coreProperties>
</file>