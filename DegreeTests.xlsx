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C8EA1A1A-FD59-4683-9856-DBF7EDDD1A84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" i="4" l="1" a="1"/>
  <c r="M131" i="4" s="1"/>
  <c r="D127" i="4"/>
  <c r="D128" i="4"/>
  <c r="C14" i="4" a="1"/>
  <c r="C187" i="4" a="1"/>
  <c r="C158" i="4" a="1"/>
  <c r="F16" i="4" a="1"/>
  <c r="E5" i="4" a="1"/>
  <c r="F84" i="4" a="1"/>
  <c r="F75" i="4" a="1"/>
  <c r="F24" i="4" a="1"/>
  <c r="F50" i="4" a="1"/>
  <c r="F93" i="4" a="1"/>
  <c r="C219" i="4" a="1"/>
  <c r="F66" i="4" a="1"/>
  <c r="F33" i="4" a="1"/>
  <c r="F58" i="4" a="1"/>
  <c r="C223" i="4" a="1"/>
  <c r="E4" i="4" a="1"/>
  <c r="F118" i="4" a="1"/>
  <c r="F110" i="4" a="1"/>
  <c r="F102" i="4" a="1"/>
  <c r="F42" i="4" a="1"/>
  <c r="F16" i="4" l="1"/>
  <c r="F33" i="4"/>
  <c r="F118" i="4"/>
  <c r="F110" i="4"/>
  <c r="F102" i="4"/>
  <c r="F42" i="4"/>
  <c r="F50" i="4"/>
  <c r="F58" i="4"/>
  <c r="F93" i="4"/>
  <c r="F84" i="4"/>
  <c r="F75" i="4"/>
  <c r="F66" i="4"/>
  <c r="F24" i="4"/>
  <c r="C187" i="4"/>
  <c r="C158" i="4"/>
  <c r="C223" i="4"/>
  <c r="C219" i="4"/>
  <c r="C14" i="4"/>
  <c r="C129" i="4" s="1"/>
  <c r="E5" i="4"/>
  <c r="E4" i="4"/>
  <c r="C188" i="4" a="1"/>
  <c r="C159" i="4" a="1"/>
  <c r="C130" i="4" a="1"/>
  <c r="C130" i="4" l="1"/>
  <c r="C188" i="4"/>
  <c r="C159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R31" i="4"/>
  <c r="A29" i="4"/>
  <c r="R23" i="4" s="1"/>
  <c r="O27" i="4"/>
  <c r="E29" i="4" s="1"/>
  <c r="N27" i="4"/>
  <c r="O26" i="4"/>
  <c r="D25" i="4" s="1"/>
  <c r="N26" i="4"/>
  <c r="R22" i="4"/>
  <c r="A20" i="4"/>
  <c r="R15" i="4" s="1"/>
  <c r="O18" i="4"/>
  <c r="D20" i="4" s="1"/>
  <c r="N18" i="4"/>
  <c r="N22" i="4" s="1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D10" i="4" a="1"/>
  <c r="F5" i="4" a="1"/>
  <c r="I37" i="4" a="1"/>
  <c r="I26" i="4" a="1"/>
  <c r="F4" i="4" a="1"/>
  <c r="I61" i="4" a="1"/>
  <c r="I52" i="4" a="1"/>
  <c r="I53" i="4" a="1"/>
  <c r="I97" i="4" a="1"/>
  <c r="I95" i="4" a="1"/>
  <c r="I68" i="4" a="1"/>
  <c r="I19" i="4" a="1"/>
  <c r="I18" i="4" a="1"/>
  <c r="Q49" i="4" l="1"/>
  <c r="Q32" i="4"/>
  <c r="N40" i="4"/>
  <c r="Q15" i="4"/>
  <c r="N100" i="4"/>
  <c r="E20" i="4"/>
  <c r="N82" i="4"/>
  <c r="D80" i="4"/>
  <c r="Q65" i="4"/>
  <c r="N73" i="4"/>
  <c r="D71" i="4"/>
  <c r="N70" i="4" s="1"/>
  <c r="Q74" i="4"/>
  <c r="D29" i="4"/>
  <c r="D10" i="1"/>
  <c r="D10" i="4"/>
  <c r="I18" i="4"/>
  <c r="I95" i="4"/>
  <c r="I52" i="4"/>
  <c r="I26" i="4"/>
  <c r="I61" i="4"/>
  <c r="I68" i="4"/>
  <c r="I37" i="4"/>
  <c r="I53" i="4"/>
  <c r="I97" i="4"/>
  <c r="I19" i="4"/>
  <c r="F4" i="4"/>
  <c r="F5" i="4"/>
  <c r="E67" i="4"/>
  <c r="D67" i="4"/>
  <c r="N79" i="4"/>
  <c r="D17" i="4"/>
  <c r="Q57" i="4"/>
  <c r="E76" i="4"/>
  <c r="D76" i="4"/>
  <c r="E114" i="4"/>
  <c r="E111" i="4"/>
  <c r="D111" i="4"/>
  <c r="E17" i="4"/>
  <c r="R92" i="4"/>
  <c r="Q92" i="4"/>
  <c r="D98" i="4"/>
  <c r="E62" i="4"/>
  <c r="E59" i="4"/>
  <c r="D59" i="4"/>
  <c r="R109" i="4"/>
  <c r="Q109" i="4"/>
  <c r="D114" i="4"/>
  <c r="O79" i="4"/>
  <c r="D81" i="4" s="1"/>
  <c r="E94" i="4"/>
  <c r="D94" i="4"/>
  <c r="E122" i="4"/>
  <c r="E119" i="4"/>
  <c r="D119" i="4"/>
  <c r="E54" i="4"/>
  <c r="E51" i="4"/>
  <c r="D51" i="4"/>
  <c r="E106" i="4"/>
  <c r="E103" i="4"/>
  <c r="D103" i="4"/>
  <c r="Q41" i="4"/>
  <c r="R117" i="4"/>
  <c r="Q117" i="4"/>
  <c r="E25" i="4"/>
  <c r="D89" i="4"/>
  <c r="D122" i="4"/>
  <c r="D38" i="4"/>
  <c r="Q23" i="4"/>
  <c r="N31" i="4"/>
  <c r="E34" i="4"/>
  <c r="D34" i="4"/>
  <c r="D62" i="4"/>
  <c r="Q83" i="4"/>
  <c r="N91" i="4"/>
  <c r="R101" i="4"/>
  <c r="Q101" i="4"/>
  <c r="E46" i="4"/>
  <c r="E43" i="4"/>
  <c r="D43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P60" i="4" a="1"/>
  <c r="H61" i="4" a="1"/>
  <c r="H96" i="4" a="1"/>
  <c r="I77" i="4" a="1"/>
  <c r="H28" i="4" a="1"/>
  <c r="H68" i="4" a="1"/>
  <c r="H88" i="4" a="1"/>
  <c r="I67" i="4" a="1"/>
  <c r="H78" i="4" a="1"/>
  <c r="P69" i="4" a="1"/>
  <c r="I59" i="4" a="1"/>
  <c r="H36" i="4" a="1"/>
  <c r="I86" i="4" a="1"/>
  <c r="I105" i="4" a="1"/>
  <c r="K61" i="4" a="1"/>
  <c r="H35" i="4" a="1"/>
  <c r="H104" i="4" a="1"/>
  <c r="H60" i="4" a="1"/>
  <c r="I35" i="4" a="1"/>
  <c r="I104" i="4" a="1"/>
  <c r="I60" i="4" a="1"/>
  <c r="H70" i="4" a="1"/>
  <c r="P112" i="4" a="1"/>
  <c r="H105" i="4" a="1"/>
  <c r="K53" i="4" a="1"/>
  <c r="H87" i="4" a="1"/>
  <c r="I34" i="4" a="1"/>
  <c r="P96" i="4" a="1"/>
  <c r="H121" i="4" a="1"/>
  <c r="K52" i="4" a="1"/>
  <c r="I87" i="4" a="1"/>
  <c r="I36" i="4" a="1"/>
  <c r="P18" i="4" a="1"/>
  <c r="I122" i="4" a="1"/>
  <c r="H52" i="4" a="1"/>
  <c r="P52" i="4" a="1"/>
  <c r="I121" i="4" a="1"/>
  <c r="H53" i="4" a="1"/>
  <c r="I88" i="4" a="1"/>
  <c r="I70" i="4" a="1"/>
  <c r="P78" i="4" a="1"/>
  <c r="I120" i="4" a="1"/>
  <c r="H45" i="4" a="1"/>
  <c r="I89" i="4" a="1"/>
  <c r="H26" i="4" a="1"/>
  <c r="P44" i="4" a="1"/>
  <c r="H120" i="4" a="1"/>
  <c r="H44" i="4" a="1"/>
  <c r="I79" i="4" a="1"/>
  <c r="I27" i="4" a="1"/>
  <c r="P87" i="4" a="1"/>
  <c r="H113" i="4" a="1"/>
  <c r="I45" i="4" a="1"/>
  <c r="P104" i="4" a="1"/>
  <c r="I112" i="4" a="1"/>
  <c r="I44" i="4" a="1"/>
  <c r="I25" i="4" a="1"/>
  <c r="P120" i="4" a="1"/>
  <c r="I113" i="4" a="1"/>
  <c r="K95" i="4" a="1"/>
  <c r="I80" i="4" a="1"/>
  <c r="I28" i="4" a="1"/>
  <c r="K97" i="4" a="1"/>
  <c r="I71" i="4" a="1"/>
  <c r="I78" i="4" a="1"/>
  <c r="P27" i="4" a="1"/>
  <c r="H112" i="4" a="1"/>
  <c r="I96" i="4" a="1"/>
  <c r="H79" i="4" a="1"/>
  <c r="H27" i="4" a="1"/>
  <c r="H37" i="4" a="1"/>
  <c r="I69" i="4" a="1"/>
  <c r="H69" i="4" a="1"/>
  <c r="K37" i="4" a="1"/>
  <c r="I29" i="4" a="1"/>
  <c r="P36" i="4" a="1"/>
  <c r="I62" i="4" a="1"/>
  <c r="H95" i="4" a="1"/>
  <c r="H77" i="4" a="1"/>
  <c r="K26" i="4" a="1"/>
  <c r="H97" i="4" a="1"/>
  <c r="H86" i="4" a="1"/>
  <c r="K68" i="4" a="1"/>
  <c r="H18" i="4" a="1"/>
  <c r="I20" i="4" a="1"/>
  <c r="K18" i="4" a="1"/>
  <c r="K19" i="4" a="1"/>
  <c r="H19" i="4" a="1"/>
  <c r="I17" i="4" a="1"/>
  <c r="N25" i="4" l="1"/>
  <c r="O88" i="4"/>
  <c r="E90" i="4" s="1"/>
  <c r="N28" i="4"/>
  <c r="N45" i="4"/>
  <c r="O70" i="4"/>
  <c r="D72" i="4" s="1"/>
  <c r="O97" i="4"/>
  <c r="E99" i="4" s="1"/>
  <c r="N53" i="4"/>
  <c r="O19" i="4"/>
  <c r="D21" i="4" s="1"/>
  <c r="O37" i="4"/>
  <c r="E39" i="4" s="1"/>
  <c r="I17" i="4"/>
  <c r="I105" i="4"/>
  <c r="I44" i="4"/>
  <c r="I86" i="4"/>
  <c r="I88" i="4"/>
  <c r="I60" i="4"/>
  <c r="I69" i="4"/>
  <c r="I70" i="4"/>
  <c r="I78" i="4"/>
  <c r="I77" i="4"/>
  <c r="I120" i="4"/>
  <c r="I87" i="4"/>
  <c r="N30" i="4"/>
  <c r="O28" i="4"/>
  <c r="E30" i="4" s="1"/>
  <c r="I20" i="4"/>
  <c r="I113" i="4"/>
  <c r="I96" i="4"/>
  <c r="I27" i="4"/>
  <c r="I35" i="4"/>
  <c r="I112" i="4"/>
  <c r="I121" i="4"/>
  <c r="I28" i="4"/>
  <c r="I104" i="4"/>
  <c r="I79" i="4"/>
  <c r="I36" i="4"/>
  <c r="I45" i="4"/>
  <c r="E81" i="4"/>
  <c r="N19" i="4"/>
  <c r="I29" i="4"/>
  <c r="I71" i="4"/>
  <c r="I80" i="4"/>
  <c r="E21" i="4"/>
  <c r="N20" i="4" s="1"/>
  <c r="I62" i="4"/>
  <c r="I59" i="4"/>
  <c r="I34" i="4"/>
  <c r="I122" i="4"/>
  <c r="I67" i="4"/>
  <c r="I89" i="4"/>
  <c r="I25" i="4"/>
  <c r="P112" i="4"/>
  <c r="H97" i="4"/>
  <c r="H26" i="4"/>
  <c r="P104" i="4"/>
  <c r="H120" i="4"/>
  <c r="H44" i="4"/>
  <c r="K61" i="4"/>
  <c r="M61" i="4" s="1"/>
  <c r="H113" i="4"/>
  <c r="H77" i="4"/>
  <c r="H121" i="4"/>
  <c r="H78" i="4"/>
  <c r="K19" i="4"/>
  <c r="M19" i="4" s="1"/>
  <c r="K26" i="4"/>
  <c r="M26" i="4" s="1"/>
  <c r="P60" i="4"/>
  <c r="P78" i="4"/>
  <c r="H112" i="4"/>
  <c r="H88" i="4"/>
  <c r="K97" i="4"/>
  <c r="M97" i="4" s="1"/>
  <c r="P36" i="4"/>
  <c r="P52" i="4"/>
  <c r="H53" i="4"/>
  <c r="H69" i="4"/>
  <c r="K52" i="4"/>
  <c r="M52" i="4" s="1"/>
  <c r="H104" i="4"/>
  <c r="H37" i="4"/>
  <c r="H96" i="4"/>
  <c r="H45" i="4"/>
  <c r="K53" i="4"/>
  <c r="M53" i="4" s="1"/>
  <c r="P18" i="4"/>
  <c r="H79" i="4"/>
  <c r="H52" i="4"/>
  <c r="K37" i="4"/>
  <c r="M37" i="4" s="1"/>
  <c r="K95" i="4"/>
  <c r="M95" i="4" s="1"/>
  <c r="P87" i="4"/>
  <c r="P120" i="4"/>
  <c r="H105" i="4"/>
  <c r="K18" i="4"/>
  <c r="M18" i="4" s="1"/>
  <c r="H35" i="4"/>
  <c r="H87" i="4"/>
  <c r="K68" i="4"/>
  <c r="M68" i="4" s="1"/>
  <c r="P96" i="4"/>
  <c r="H86" i="4"/>
  <c r="P44" i="4"/>
  <c r="P69" i="4"/>
  <c r="H70" i="4"/>
  <c r="H95" i="4"/>
  <c r="H60" i="4"/>
  <c r="H36" i="4"/>
  <c r="H68" i="4"/>
  <c r="H18" i="4"/>
  <c r="H27" i="4"/>
  <c r="P27" i="4"/>
  <c r="H19" i="4"/>
  <c r="H61" i="4"/>
  <c r="H28" i="4"/>
  <c r="N111" i="4"/>
  <c r="R97" i="4"/>
  <c r="Q97" i="4"/>
  <c r="R26" i="4"/>
  <c r="Q26" i="4"/>
  <c r="N103" i="4"/>
  <c r="O111" i="4"/>
  <c r="E110" i="4" s="1"/>
  <c r="R120" i="4"/>
  <c r="Q120" i="4"/>
  <c r="R44" i="4"/>
  <c r="Q44" i="4"/>
  <c r="R113" i="4"/>
  <c r="Q113" i="4"/>
  <c r="O103" i="4"/>
  <c r="E102" i="4" s="1"/>
  <c r="O113" i="4"/>
  <c r="E115" i="4" s="1"/>
  <c r="R77" i="4"/>
  <c r="Q77" i="4"/>
  <c r="R121" i="4"/>
  <c r="Q121" i="4"/>
  <c r="R78" i="4"/>
  <c r="Q78" i="4"/>
  <c r="N61" i="4"/>
  <c r="O105" i="4"/>
  <c r="D107" i="4" s="1"/>
  <c r="N59" i="4"/>
  <c r="N76" i="4"/>
  <c r="N81" i="4" s="1"/>
  <c r="R112" i="4"/>
  <c r="Q112" i="4"/>
  <c r="R88" i="4"/>
  <c r="Q88" i="4"/>
  <c r="N34" i="4"/>
  <c r="N51" i="4"/>
  <c r="O59" i="4"/>
  <c r="D58" i="4" s="1"/>
  <c r="O76" i="4"/>
  <c r="D75" i="4" s="1"/>
  <c r="R53" i="4"/>
  <c r="Q53" i="4"/>
  <c r="R69" i="4"/>
  <c r="Q69" i="4"/>
  <c r="O34" i="4"/>
  <c r="E33" i="4" s="1"/>
  <c r="O51" i="4"/>
  <c r="E50" i="4" s="1"/>
  <c r="O61" i="4"/>
  <c r="E63" i="4" s="1"/>
  <c r="R104" i="4"/>
  <c r="Q104" i="4"/>
  <c r="R37" i="4"/>
  <c r="Q37" i="4"/>
  <c r="R96" i="4"/>
  <c r="Q96" i="4"/>
  <c r="R45" i="4"/>
  <c r="Q45" i="4"/>
  <c r="N105" i="4"/>
  <c r="O53" i="4"/>
  <c r="D55" i="4" s="1"/>
  <c r="N17" i="4"/>
  <c r="N21" i="4" s="1"/>
  <c r="R79" i="4"/>
  <c r="Q79" i="4"/>
  <c r="R52" i="4"/>
  <c r="Q52" i="4"/>
  <c r="N85" i="4"/>
  <c r="N119" i="4"/>
  <c r="D30" i="4"/>
  <c r="R105" i="4"/>
  <c r="Q105" i="4"/>
  <c r="O85" i="4"/>
  <c r="E84" i="4" s="1"/>
  <c r="O119" i="4"/>
  <c r="D118" i="4" s="1"/>
  <c r="R80" i="4"/>
  <c r="Q80" i="4"/>
  <c r="Q20" i="4"/>
  <c r="R20" i="4"/>
  <c r="O17" i="4"/>
  <c r="D16" i="4" s="1"/>
  <c r="O121" i="4"/>
  <c r="E123" i="4" s="1"/>
  <c r="O20" i="4"/>
  <c r="R35" i="4"/>
  <c r="Q35" i="4"/>
  <c r="R87" i="4"/>
  <c r="Q87" i="4"/>
  <c r="D39" i="4"/>
  <c r="N37" i="4"/>
  <c r="N94" i="4"/>
  <c r="N80" i="4"/>
  <c r="R71" i="4"/>
  <c r="Q71" i="4"/>
  <c r="R86" i="4"/>
  <c r="Q86" i="4"/>
  <c r="N43" i="4"/>
  <c r="N47" i="4" s="1"/>
  <c r="N121" i="4"/>
  <c r="O94" i="4"/>
  <c r="E93" i="4" s="1"/>
  <c r="N67" i="4"/>
  <c r="N72" i="4" s="1"/>
  <c r="R70" i="4"/>
  <c r="Q70" i="4"/>
  <c r="R95" i="4"/>
  <c r="Q95" i="4"/>
  <c r="R60" i="4"/>
  <c r="Q60" i="4"/>
  <c r="O43" i="4"/>
  <c r="E42" i="4" s="1"/>
  <c r="D90" i="4"/>
  <c r="N88" i="4"/>
  <c r="D99" i="4"/>
  <c r="N97" i="4"/>
  <c r="O67" i="4"/>
  <c r="D66" i="4" s="1"/>
  <c r="R29" i="4"/>
  <c r="Q29" i="4"/>
  <c r="R36" i="4"/>
  <c r="Q36" i="4"/>
  <c r="R68" i="4"/>
  <c r="Q68" i="4"/>
  <c r="R18" i="4"/>
  <c r="Q18" i="4"/>
  <c r="R27" i="4"/>
  <c r="Q27" i="4"/>
  <c r="O45" i="4"/>
  <c r="D47" i="4" s="1"/>
  <c r="O25" i="4"/>
  <c r="D24" i="4" s="1"/>
  <c r="R19" i="4"/>
  <c r="Q19" i="4"/>
  <c r="R61" i="4"/>
  <c r="Q61" i="4"/>
  <c r="N113" i="4"/>
  <c r="R28" i="4"/>
  <c r="Q28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K122" i="4" a="1"/>
  <c r="K62" i="4" a="1"/>
  <c r="K44" i="4" a="1"/>
  <c r="K88" i="4" a="1"/>
  <c r="J69" i="4" a="1"/>
  <c r="H29" i="4" a="1"/>
  <c r="K71" i="4" a="1"/>
  <c r="K77" i="4" a="1"/>
  <c r="J113" i="4" a="1"/>
  <c r="J120" i="4" a="1"/>
  <c r="J28" i="4" a="1"/>
  <c r="J121" i="4" a="1"/>
  <c r="K60" i="4" a="1"/>
  <c r="H43" i="4" a="1"/>
  <c r="K87" i="4" a="1"/>
  <c r="J68" i="4" a="1"/>
  <c r="J26" i="4" a="1"/>
  <c r="J88" i="4" a="1"/>
  <c r="J77" i="4" a="1"/>
  <c r="I85" i="4" a="1"/>
  <c r="K120" i="4" a="1"/>
  <c r="J61" i="4" a="1"/>
  <c r="H46" i="4" a="1"/>
  <c r="H89" i="4" a="1"/>
  <c r="K70" i="4" a="1"/>
  <c r="J36" i="4" a="1"/>
  <c r="J95" i="4" a="1"/>
  <c r="H71" i="4" a="1"/>
  <c r="K45" i="4" a="1"/>
  <c r="H76" i="4" a="1"/>
  <c r="I119" i="4" a="1"/>
  <c r="J60" i="4" a="1"/>
  <c r="J45" i="4" a="1"/>
  <c r="J86" i="4" a="1"/>
  <c r="K67" i="4" a="1"/>
  <c r="I39" i="4" a="1"/>
  <c r="J35" i="4" a="1"/>
  <c r="I76" i="4" a="1"/>
  <c r="J37" i="4" a="1"/>
  <c r="H119" i="4" a="1"/>
  <c r="H62" i="4" a="1"/>
  <c r="J96" i="4" a="1"/>
  <c r="K86" i="4" a="1"/>
  <c r="K69" i="4" a="1"/>
  <c r="I38" i="4" a="1"/>
  <c r="J70" i="4" a="1"/>
  <c r="H38" i="4" a="1"/>
  <c r="H34" i="4" a="1"/>
  <c r="K105" i="4" a="1"/>
  <c r="K59" i="4" a="1"/>
  <c r="K78" i="4" a="1"/>
  <c r="K121" i="4" a="1"/>
  <c r="H59" i="4" a="1"/>
  <c r="H122" i="4" a="1"/>
  <c r="H51" i="4" a="1"/>
  <c r="I98" i="4" a="1"/>
  <c r="K104" i="4" a="1"/>
  <c r="I111" i="4" a="1"/>
  <c r="J52" i="4" a="1"/>
  <c r="K96" i="4" a="1"/>
  <c r="H67" i="4" a="1"/>
  <c r="I103" i="4" a="1"/>
  <c r="H114" i="4" a="1"/>
  <c r="J53" i="4" a="1"/>
  <c r="J97" i="4" a="1"/>
  <c r="J78" i="4" a="1"/>
  <c r="I106" i="4" a="1"/>
  <c r="H111" i="4" a="1"/>
  <c r="I54" i="4" a="1"/>
  <c r="H94" i="4" a="1"/>
  <c r="H80" i="4" a="1"/>
  <c r="K29" i="4" a="1"/>
  <c r="K35" i="4" a="1"/>
  <c r="J105" i="4" a="1"/>
  <c r="K89" i="4" a="1"/>
  <c r="H103" i="4" a="1"/>
  <c r="K112" i="4" a="1"/>
  <c r="I51" i="4" a="1"/>
  <c r="H98" i="4" a="1"/>
  <c r="K80" i="4" a="1"/>
  <c r="H25" i="4" a="1"/>
  <c r="K34" i="4" a="1"/>
  <c r="K28" i="4" a="1"/>
  <c r="I114" i="4" a="1"/>
  <c r="K25" i="4" a="1"/>
  <c r="H106" i="4" a="1"/>
  <c r="K113" i="4" a="1"/>
  <c r="H54" i="4" a="1"/>
  <c r="I94" i="4" a="1"/>
  <c r="K79" i="4" a="1"/>
  <c r="J27" i="4" a="1"/>
  <c r="K36" i="4" a="1"/>
  <c r="J44" i="4" a="1"/>
  <c r="J104" i="4" a="1"/>
  <c r="J112" i="4" a="1"/>
  <c r="I46" i="4" a="1"/>
  <c r="J87" i="4" a="1"/>
  <c r="J79" i="4" a="1"/>
  <c r="K27" i="4" a="1"/>
  <c r="H85" i="4" a="1"/>
  <c r="I43" i="4" a="1"/>
  <c r="H17" i="4" a="1"/>
  <c r="K20" i="4" a="1"/>
  <c r="J18" i="4" a="1"/>
  <c r="K17" i="4" a="1"/>
  <c r="H20" i="4" a="1"/>
  <c r="J19" i="4" a="1"/>
  <c r="D115" i="4" l="1"/>
  <c r="R81" i="4"/>
  <c r="O89" i="4"/>
  <c r="E72" i="4"/>
  <c r="N55" i="4"/>
  <c r="K77" i="4"/>
  <c r="M77" i="4" s="1"/>
  <c r="K78" i="4"/>
  <c r="M78" i="4" s="1"/>
  <c r="K70" i="4"/>
  <c r="M70" i="4" s="1"/>
  <c r="I85" i="4"/>
  <c r="K69" i="4"/>
  <c r="M69" i="4" s="1"/>
  <c r="K60" i="4"/>
  <c r="M60" i="4" s="1"/>
  <c r="K88" i="4"/>
  <c r="M88" i="4" s="1"/>
  <c r="K86" i="4"/>
  <c r="M86" i="4" s="1"/>
  <c r="I114" i="4"/>
  <c r="K44" i="4"/>
  <c r="M44" i="4" s="1"/>
  <c r="K105" i="4"/>
  <c r="M105" i="4" s="1"/>
  <c r="I51" i="4"/>
  <c r="K87" i="4"/>
  <c r="M87" i="4" s="1"/>
  <c r="H17" i="4"/>
  <c r="I98" i="4"/>
  <c r="I119" i="4"/>
  <c r="I111" i="4"/>
  <c r="I54" i="4"/>
  <c r="K120" i="4"/>
  <c r="M120" i="4" s="1"/>
  <c r="I106" i="4"/>
  <c r="K28" i="4"/>
  <c r="M28" i="4" s="1"/>
  <c r="K121" i="4"/>
  <c r="M121" i="4" s="1"/>
  <c r="I46" i="4"/>
  <c r="I76" i="4"/>
  <c r="K112" i="4"/>
  <c r="M112" i="4" s="1"/>
  <c r="I103" i="4"/>
  <c r="K35" i="4"/>
  <c r="M35" i="4" s="1"/>
  <c r="K27" i="4"/>
  <c r="M27" i="4" s="1"/>
  <c r="K96" i="4"/>
  <c r="M96" i="4" s="1"/>
  <c r="H20" i="4"/>
  <c r="K113" i="4"/>
  <c r="M113" i="4" s="1"/>
  <c r="K45" i="4"/>
  <c r="M45" i="4" s="1"/>
  <c r="I38" i="4"/>
  <c r="K36" i="4"/>
  <c r="M36" i="4" s="1"/>
  <c r="I43" i="4"/>
  <c r="K79" i="4"/>
  <c r="M79" i="4" s="1"/>
  <c r="I94" i="4"/>
  <c r="K104" i="4"/>
  <c r="M104" i="4" s="1"/>
  <c r="K20" i="4"/>
  <c r="M20" i="4" s="1"/>
  <c r="E75" i="4"/>
  <c r="E118" i="4"/>
  <c r="O80" i="4"/>
  <c r="H80" i="4"/>
  <c r="H71" i="4"/>
  <c r="H29" i="4"/>
  <c r="K80" i="4"/>
  <c r="M80" i="4" s="1"/>
  <c r="K71" i="4"/>
  <c r="M71" i="4" s="1"/>
  <c r="K29" i="4"/>
  <c r="M29" i="4" s="1"/>
  <c r="D110" i="4"/>
  <c r="D33" i="4"/>
  <c r="D123" i="4"/>
  <c r="D63" i="4"/>
  <c r="I39" i="4"/>
  <c r="J95" i="4"/>
  <c r="L95" i="4" s="1"/>
  <c r="J26" i="4"/>
  <c r="L26" i="4" s="1"/>
  <c r="H46" i="4"/>
  <c r="J70" i="4"/>
  <c r="L70" i="4" s="1"/>
  <c r="H54" i="4"/>
  <c r="J97" i="4"/>
  <c r="L97" i="4" s="1"/>
  <c r="H94" i="4"/>
  <c r="J105" i="4"/>
  <c r="L105" i="4" s="1"/>
  <c r="H34" i="4"/>
  <c r="J78" i="4"/>
  <c r="L78" i="4" s="1"/>
  <c r="H67" i="4"/>
  <c r="H106" i="4"/>
  <c r="J121" i="4"/>
  <c r="L121" i="4" s="1"/>
  <c r="J27" i="4"/>
  <c r="L27" i="4" s="1"/>
  <c r="J77" i="4"/>
  <c r="L77" i="4" s="1"/>
  <c r="H111" i="4"/>
  <c r="J18" i="4"/>
  <c r="H38" i="4"/>
  <c r="H119" i="4"/>
  <c r="J113" i="4"/>
  <c r="L113" i="4" s="1"/>
  <c r="K17" i="4"/>
  <c r="M17" i="4" s="1"/>
  <c r="J28" i="4"/>
  <c r="L28" i="4" s="1"/>
  <c r="J68" i="4"/>
  <c r="L68" i="4" s="1"/>
  <c r="H122" i="4"/>
  <c r="J45" i="4"/>
  <c r="L45" i="4" s="1"/>
  <c r="J88" i="4"/>
  <c r="L88" i="4" s="1"/>
  <c r="J36" i="4"/>
  <c r="L36" i="4" s="1"/>
  <c r="H85" i="4"/>
  <c r="J96" i="4"/>
  <c r="L96" i="4" s="1"/>
  <c r="J112" i="4"/>
  <c r="L112" i="4" s="1"/>
  <c r="H114" i="4"/>
  <c r="H43" i="4"/>
  <c r="J87" i="4"/>
  <c r="L87" i="4" s="1"/>
  <c r="J37" i="4"/>
  <c r="L37" i="4" s="1"/>
  <c r="J44" i="4"/>
  <c r="L44" i="4" s="1"/>
  <c r="J35" i="4"/>
  <c r="L35" i="4" s="1"/>
  <c r="J104" i="4"/>
  <c r="L104" i="4" s="1"/>
  <c r="H76" i="4"/>
  <c r="J120" i="4"/>
  <c r="L120" i="4" s="1"/>
  <c r="K25" i="4"/>
  <c r="M25" i="4" s="1"/>
  <c r="K34" i="4"/>
  <c r="M34" i="4" s="1"/>
  <c r="H98" i="4"/>
  <c r="J61" i="4"/>
  <c r="L61" i="4" s="1"/>
  <c r="J52" i="4"/>
  <c r="L52" i="4" s="1"/>
  <c r="K59" i="4"/>
  <c r="M59" i="4" s="1"/>
  <c r="J19" i="4"/>
  <c r="L19" i="4" s="1"/>
  <c r="H89" i="4"/>
  <c r="J86" i="4"/>
  <c r="L86" i="4" s="1"/>
  <c r="J79" i="4"/>
  <c r="L79" i="4" s="1"/>
  <c r="J69" i="4"/>
  <c r="L69" i="4" s="1"/>
  <c r="H59" i="4"/>
  <c r="H103" i="4"/>
  <c r="K89" i="4"/>
  <c r="M89" i="4" s="1"/>
  <c r="K62" i="4"/>
  <c r="M62" i="4" s="1"/>
  <c r="H25" i="4"/>
  <c r="J53" i="4"/>
  <c r="L53" i="4" s="1"/>
  <c r="K67" i="4"/>
  <c r="M67" i="4" s="1"/>
  <c r="K122" i="4"/>
  <c r="M122" i="4" s="1"/>
  <c r="J60" i="4"/>
  <c r="L60" i="4" s="1"/>
  <c r="H51" i="4"/>
  <c r="H62" i="4"/>
  <c r="N38" i="4"/>
  <c r="N90" i="4"/>
  <c r="O114" i="4"/>
  <c r="N107" i="4"/>
  <c r="Q81" i="4"/>
  <c r="D84" i="4"/>
  <c r="D50" i="4"/>
  <c r="N63" i="4"/>
  <c r="D102" i="4"/>
  <c r="R46" i="4"/>
  <c r="Q46" i="4"/>
  <c r="R54" i="4"/>
  <c r="Q54" i="4"/>
  <c r="N98" i="4"/>
  <c r="R94" i="4"/>
  <c r="Q94" i="4"/>
  <c r="R34" i="4"/>
  <c r="Q34" i="4"/>
  <c r="E24" i="4"/>
  <c r="N39" i="4"/>
  <c r="E107" i="4"/>
  <c r="R67" i="4"/>
  <c r="Q67" i="4"/>
  <c r="R106" i="4"/>
  <c r="Q106" i="4"/>
  <c r="D42" i="4"/>
  <c r="R111" i="4"/>
  <c r="Q111" i="4"/>
  <c r="R38" i="4"/>
  <c r="Q38" i="4"/>
  <c r="R119" i="4"/>
  <c r="Q119" i="4"/>
  <c r="N62" i="4"/>
  <c r="R122" i="4"/>
  <c r="Q122" i="4"/>
  <c r="E47" i="4"/>
  <c r="R85" i="4"/>
  <c r="Q85" i="4"/>
  <c r="R21" i="4"/>
  <c r="Q21" i="4"/>
  <c r="E66" i="4"/>
  <c r="R114" i="4"/>
  <c r="Q114" i="4"/>
  <c r="R43" i="4"/>
  <c r="Q43" i="4"/>
  <c r="R76" i="4"/>
  <c r="Q76" i="4"/>
  <c r="E16" i="4"/>
  <c r="R98" i="4"/>
  <c r="Q98" i="4"/>
  <c r="N115" i="4"/>
  <c r="N114" i="4"/>
  <c r="N99" i="4"/>
  <c r="N29" i="4"/>
  <c r="O71" i="4"/>
  <c r="R89" i="4"/>
  <c r="Q89" i="4"/>
  <c r="R59" i="4"/>
  <c r="Q59" i="4"/>
  <c r="R103" i="4"/>
  <c r="Q103" i="4"/>
  <c r="N89" i="4"/>
  <c r="D93" i="4"/>
  <c r="E55" i="4"/>
  <c r="E58" i="4"/>
  <c r="O38" i="4"/>
  <c r="R25" i="4"/>
  <c r="Q25" i="4"/>
  <c r="O98" i="4"/>
  <c r="R17" i="4"/>
  <c r="Q17" i="4"/>
  <c r="N123" i="4"/>
  <c r="O29" i="4"/>
  <c r="R51" i="4"/>
  <c r="Q51" i="4"/>
  <c r="R62" i="4"/>
  <c r="Q62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I107" i="4" a="1"/>
  <c r="J54" i="4" a="1"/>
  <c r="K85" i="4" a="1"/>
  <c r="J38" i="4" a="1"/>
  <c r="J80" i="4" a="1"/>
  <c r="K39" i="4" a="1"/>
  <c r="J51" i="4" a="1"/>
  <c r="J89" i="4" a="1"/>
  <c r="I123" i="4" a="1"/>
  <c r="K54" i="4" a="1"/>
  <c r="I33" i="4" a="1"/>
  <c r="H99" i="4" a="1"/>
  <c r="J103" i="4" a="1"/>
  <c r="I118" i="4" a="1"/>
  <c r="K43" i="4" a="1"/>
  <c r="H81" i="4" a="1"/>
  <c r="J29" i="4" a="1"/>
  <c r="J62" i="4" a="1"/>
  <c r="J119" i="4" a="1"/>
  <c r="J46" i="4" a="1"/>
  <c r="I81" i="4" a="1"/>
  <c r="K38" i="4" a="1"/>
  <c r="J106" i="4" a="1"/>
  <c r="J122" i="4" a="1"/>
  <c r="J43" i="4" a="1"/>
  <c r="J76" i="4" a="1"/>
  <c r="J67" i="4" a="1"/>
  <c r="K119" i="4" a="1"/>
  <c r="K46" i="4" a="1"/>
  <c r="K76" i="4" a="1"/>
  <c r="K114" i="4" a="1"/>
  <c r="J98" i="4" a="1"/>
  <c r="I75" i="4" a="1"/>
  <c r="J94" i="4" a="1"/>
  <c r="J114" i="4" a="1"/>
  <c r="I99" i="4" a="1"/>
  <c r="I110" i="4" a="1"/>
  <c r="K94" i="4" a="1"/>
  <c r="I72" i="4" a="1"/>
  <c r="J71" i="4" a="1"/>
  <c r="I90" i="4" a="1"/>
  <c r="K106" i="4" a="1"/>
  <c r="I115" i="4" a="1"/>
  <c r="J34" i="4" a="1"/>
  <c r="J111" i="4" a="1"/>
  <c r="K98" i="4" a="1"/>
  <c r="I30" i="4" a="1"/>
  <c r="K111" i="4" a="1"/>
  <c r="H39" i="4" a="1"/>
  <c r="K103" i="4" a="1"/>
  <c r="J85" i="4" a="1"/>
  <c r="K51" i="4" a="1"/>
  <c r="I102" i="4" a="1"/>
  <c r="J59" i="4" a="1"/>
  <c r="H90" i="4" a="1"/>
  <c r="J25" i="4" a="1"/>
  <c r="H30" i="4" a="1"/>
  <c r="I21" i="4" a="1"/>
  <c r="J20" i="4" a="1"/>
  <c r="J17" i="4" a="1"/>
  <c r="H21" i="4" a="1"/>
  <c r="R118" i="4" l="1"/>
  <c r="N54" i="4"/>
  <c r="O93" i="4"/>
  <c r="N110" i="4"/>
  <c r="N71" i="4"/>
  <c r="O102" i="4"/>
  <c r="N106" i="4"/>
  <c r="N75" i="4"/>
  <c r="N46" i="4"/>
  <c r="K51" i="4"/>
  <c r="M51" i="4" s="1"/>
  <c r="I30" i="4"/>
  <c r="K114" i="4"/>
  <c r="M114" i="4" s="1"/>
  <c r="K54" i="4"/>
  <c r="M54" i="4" s="1"/>
  <c r="K111" i="4"/>
  <c r="M111" i="4" s="1"/>
  <c r="K85" i="4"/>
  <c r="M85" i="4" s="1"/>
  <c r="I115" i="4"/>
  <c r="K119" i="4"/>
  <c r="M119" i="4" s="1"/>
  <c r="K98" i="4"/>
  <c r="M98" i="4" s="1"/>
  <c r="I21" i="4"/>
  <c r="I90" i="4"/>
  <c r="O75" i="4"/>
  <c r="L18" i="4"/>
  <c r="I118" i="4"/>
  <c r="I75" i="4"/>
  <c r="H81" i="4"/>
  <c r="I81" i="4"/>
  <c r="J20" i="4"/>
  <c r="L20" i="4" s="1"/>
  <c r="I72" i="4"/>
  <c r="I99" i="4"/>
  <c r="K103" i="4"/>
  <c r="M103" i="4" s="1"/>
  <c r="K94" i="4"/>
  <c r="M94" i="4" s="1"/>
  <c r="K76" i="4"/>
  <c r="M76" i="4" s="1"/>
  <c r="K43" i="4"/>
  <c r="M43" i="4" s="1"/>
  <c r="K46" i="4"/>
  <c r="M46" i="4" s="1"/>
  <c r="K38" i="4"/>
  <c r="M38" i="4" s="1"/>
  <c r="K106" i="4"/>
  <c r="M106" i="4" s="1"/>
  <c r="N118" i="4"/>
  <c r="O118" i="4"/>
  <c r="I123" i="4"/>
  <c r="I33" i="4"/>
  <c r="I110" i="4"/>
  <c r="R33" i="4"/>
  <c r="R110" i="4"/>
  <c r="J29" i="4"/>
  <c r="L29" i="4" s="1"/>
  <c r="J71" i="4"/>
  <c r="L71" i="4" s="1"/>
  <c r="J80" i="4"/>
  <c r="L80" i="4" s="1"/>
  <c r="H21" i="4"/>
  <c r="O62" i="4"/>
  <c r="N122" i="4"/>
  <c r="O122" i="4"/>
  <c r="O33" i="4"/>
  <c r="N33" i="4"/>
  <c r="O110" i="4"/>
  <c r="I107" i="4"/>
  <c r="I102" i="4"/>
  <c r="J119" i="4"/>
  <c r="H39" i="4"/>
  <c r="J34" i="4"/>
  <c r="J89" i="4"/>
  <c r="L89" i="4" s="1"/>
  <c r="J38" i="4"/>
  <c r="L38" i="4" s="1"/>
  <c r="J94" i="4"/>
  <c r="J114" i="4"/>
  <c r="L114" i="4" s="1"/>
  <c r="H99" i="4"/>
  <c r="J85" i="4"/>
  <c r="J111" i="4"/>
  <c r="J76" i="4"/>
  <c r="H30" i="4"/>
  <c r="J54" i="4"/>
  <c r="L54" i="4" s="1"/>
  <c r="J25" i="4"/>
  <c r="J46" i="4"/>
  <c r="L46" i="4" s="1"/>
  <c r="J98" i="4"/>
  <c r="L98" i="4" s="1"/>
  <c r="J62" i="4"/>
  <c r="L62" i="4" s="1"/>
  <c r="H90" i="4"/>
  <c r="J122" i="4"/>
  <c r="L122" i="4" s="1"/>
  <c r="J51" i="4"/>
  <c r="J106" i="4"/>
  <c r="L106" i="4" s="1"/>
  <c r="J103" i="4"/>
  <c r="J67" i="4"/>
  <c r="J59" i="4"/>
  <c r="J43" i="4"/>
  <c r="L43" i="4" s="1"/>
  <c r="K39" i="4"/>
  <c r="M39" i="4" s="1"/>
  <c r="J17" i="4"/>
  <c r="O58" i="4"/>
  <c r="O24" i="4"/>
  <c r="O54" i="4"/>
  <c r="N84" i="4"/>
  <c r="R39" i="4"/>
  <c r="Q39" i="4"/>
  <c r="N93" i="4"/>
  <c r="O84" i="4"/>
  <c r="N58" i="4"/>
  <c r="R99" i="4"/>
  <c r="Q99" i="4"/>
  <c r="O16" i="4"/>
  <c r="N42" i="4"/>
  <c r="O46" i="4"/>
  <c r="N24" i="4"/>
  <c r="O42" i="4"/>
  <c r="R30" i="4"/>
  <c r="Q30" i="4"/>
  <c r="R115" i="4"/>
  <c r="Q115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K102" i="4" a="1"/>
  <c r="I55" i="4" a="1"/>
  <c r="I84" i="4" a="1"/>
  <c r="J30" i="4" a="1"/>
  <c r="P81" i="4" a="1"/>
  <c r="I58" i="4" a="1"/>
  <c r="P123" i="4" a="1"/>
  <c r="P55" i="4" a="1"/>
  <c r="P90" i="4" a="1"/>
  <c r="P30" i="4" a="1"/>
  <c r="K81" i="4" a="1"/>
  <c r="H33" i="4" a="1"/>
  <c r="P99" i="4" a="1"/>
  <c r="H63" i="4" a="1"/>
  <c r="H123" i="4" a="1"/>
  <c r="H50" i="4" a="1"/>
  <c r="K90" i="4" a="1"/>
  <c r="J39" i="4" a="1"/>
  <c r="K33" i="4" a="1"/>
  <c r="P72" i="4" a="1"/>
  <c r="K30" i="4" a="1"/>
  <c r="K118" i="4" a="1"/>
  <c r="I50" i="4" a="1"/>
  <c r="I93" i="4" a="1"/>
  <c r="H118" i="4" a="1"/>
  <c r="H55" i="4" a="1"/>
  <c r="H115" i="4" a="1"/>
  <c r="K123" i="4" a="1"/>
  <c r="I47" i="4" a="1"/>
  <c r="H75" i="4" a="1"/>
  <c r="P39" i="4" a="1"/>
  <c r="J99" i="4" a="1"/>
  <c r="H58" i="4" a="1"/>
  <c r="K115" i="4" a="1"/>
  <c r="H47" i="4" a="1"/>
  <c r="J81" i="4" a="1"/>
  <c r="H72" i="4" a="1"/>
  <c r="H110" i="4" a="1"/>
  <c r="I42" i="4" a="1"/>
  <c r="K75" i="4" a="1"/>
  <c r="P115" i="4" a="1"/>
  <c r="I66" i="4" a="1"/>
  <c r="K110" i="4" a="1"/>
  <c r="H42" i="4" a="1"/>
  <c r="K72" i="4" a="1"/>
  <c r="H66" i="4" a="1"/>
  <c r="P107" i="4" a="1"/>
  <c r="H93" i="4" a="1"/>
  <c r="H107" i="4" a="1"/>
  <c r="H102" i="4" a="1"/>
  <c r="I63" i="4" a="1"/>
  <c r="H84" i="4" a="1"/>
  <c r="H24" i="4" a="1"/>
  <c r="K107" i="4" a="1"/>
  <c r="P63" i="4" a="1"/>
  <c r="J90" i="4" a="1"/>
  <c r="I24" i="4" a="1"/>
  <c r="K99" i="4" a="1"/>
  <c r="H16" i="4" a="1"/>
  <c r="I16" i="4" a="1"/>
  <c r="P21" i="4" a="1"/>
  <c r="K21" i="4" a="1"/>
  <c r="J21" i="4" a="1"/>
  <c r="H115" i="4" l="1"/>
  <c r="H72" i="4"/>
  <c r="Q72" i="4"/>
  <c r="R72" i="4"/>
  <c r="I84" i="4"/>
  <c r="K115" i="4"/>
  <c r="M115" i="4" s="1"/>
  <c r="P21" i="4"/>
  <c r="I63" i="4"/>
  <c r="K30" i="4"/>
  <c r="M30" i="4" s="1"/>
  <c r="H16" i="4"/>
  <c r="I16" i="4"/>
  <c r="K90" i="4"/>
  <c r="M90" i="4" s="1"/>
  <c r="K21" i="4"/>
  <c r="M21" i="4" s="1"/>
  <c r="I55" i="4"/>
  <c r="I24" i="4"/>
  <c r="I50" i="4"/>
  <c r="Q110" i="4"/>
  <c r="I58" i="4"/>
  <c r="I42" i="4"/>
  <c r="K99" i="4"/>
  <c r="M99" i="4" s="1"/>
  <c r="H75" i="4"/>
  <c r="K72" i="4"/>
  <c r="M72" i="4" s="1"/>
  <c r="H118" i="4"/>
  <c r="K81" i="4"/>
  <c r="M81" i="4" s="1"/>
  <c r="I66" i="4"/>
  <c r="I47" i="4"/>
  <c r="J81" i="4"/>
  <c r="L81" i="4" s="1"/>
  <c r="I93" i="4"/>
  <c r="K75" i="4"/>
  <c r="M75" i="4" s="1"/>
  <c r="K118" i="4"/>
  <c r="M118" i="4" s="1"/>
  <c r="Q33" i="4"/>
  <c r="Q75" i="4"/>
  <c r="R75" i="4"/>
  <c r="Q118" i="4"/>
  <c r="J21" i="4"/>
  <c r="L21" i="4" s="1"/>
  <c r="H110" i="4"/>
  <c r="H33" i="4"/>
  <c r="H123" i="4"/>
  <c r="H63" i="4"/>
  <c r="K110" i="4"/>
  <c r="M110" i="4" s="1"/>
  <c r="K33" i="4"/>
  <c r="M33" i="4" s="1"/>
  <c r="K123" i="4"/>
  <c r="M123" i="4" s="1"/>
  <c r="H58" i="4"/>
  <c r="P99" i="4"/>
  <c r="H102" i="4"/>
  <c r="P81" i="4"/>
  <c r="K102" i="4"/>
  <c r="M102" i="4" s="1"/>
  <c r="H66" i="4"/>
  <c r="J90" i="4"/>
  <c r="L90" i="4" s="1"/>
  <c r="K107" i="4"/>
  <c r="M107" i="4" s="1"/>
  <c r="H107" i="4"/>
  <c r="H42" i="4"/>
  <c r="J30" i="4"/>
  <c r="L30" i="4" s="1"/>
  <c r="H50" i="4"/>
  <c r="H93" i="4"/>
  <c r="P63" i="4"/>
  <c r="P39" i="4"/>
  <c r="H24" i="4"/>
  <c r="P72" i="4"/>
  <c r="P115" i="4"/>
  <c r="J39" i="4"/>
  <c r="L39" i="4" s="1"/>
  <c r="H47" i="4"/>
  <c r="P107" i="4"/>
  <c r="P90" i="4"/>
  <c r="P123" i="4"/>
  <c r="P30" i="4"/>
  <c r="H84" i="4"/>
  <c r="J99" i="4"/>
  <c r="L99" i="4" s="1"/>
  <c r="P55" i="4"/>
  <c r="H55" i="4"/>
  <c r="R58" i="4"/>
  <c r="Q58" i="4"/>
  <c r="L94" i="4"/>
  <c r="R102" i="4"/>
  <c r="Q102" i="4"/>
  <c r="L76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L34" i="4"/>
  <c r="R24" i="4"/>
  <c r="Q24" i="4"/>
  <c r="L67" i="4"/>
  <c r="L111" i="4"/>
  <c r="R47" i="4"/>
  <c r="Q47" i="4"/>
  <c r="L103" i="4"/>
  <c r="L85" i="4"/>
  <c r="L119" i="4"/>
  <c r="L17" i="4"/>
  <c r="L25" i="4"/>
  <c r="R84" i="4"/>
  <c r="Q84" i="4"/>
  <c r="L51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J102" i="4" a="1"/>
  <c r="K42" i="4" a="1"/>
  <c r="J93" i="4" a="1"/>
  <c r="J110" i="4" a="1"/>
  <c r="J75" i="4" a="1"/>
  <c r="K24" i="4" a="1"/>
  <c r="J107" i="4" a="1"/>
  <c r="J47" i="4" a="1"/>
  <c r="J84" i="4" a="1"/>
  <c r="J58" i="4" a="1"/>
  <c r="J123" i="4" a="1"/>
  <c r="K66" i="4" a="1"/>
  <c r="J118" i="4" a="1"/>
  <c r="K93" i="4" a="1"/>
  <c r="K84" i="4" a="1"/>
  <c r="J63" i="4" a="1"/>
  <c r="K50" i="4" a="1"/>
  <c r="J115" i="4" a="1"/>
  <c r="K63" i="4" a="1"/>
  <c r="J72" i="4" a="1"/>
  <c r="K58" i="4" a="1"/>
  <c r="J66" i="4" a="1"/>
  <c r="J50" i="4" a="1"/>
  <c r="J24" i="4" a="1"/>
  <c r="J42" i="4" a="1"/>
  <c r="K55" i="4" a="1"/>
  <c r="J33" i="4" a="1"/>
  <c r="J55" i="4" a="1"/>
  <c r="K47" i="4" a="1"/>
  <c r="J16" i="4" a="1"/>
  <c r="K16" i="4" a="1"/>
  <c r="J115" i="4" l="1"/>
  <c r="L115" i="4" s="1"/>
  <c r="J72" i="4"/>
  <c r="L72" i="4" s="1"/>
  <c r="K50" i="4"/>
  <c r="M50" i="4" s="1"/>
  <c r="K24" i="4"/>
  <c r="M24" i="4" s="1"/>
  <c r="K55" i="4"/>
  <c r="M55" i="4" s="1"/>
  <c r="K16" i="4"/>
  <c r="M16" i="4" s="1"/>
  <c r="J16" i="4"/>
  <c r="L16" i="4" s="1"/>
  <c r="K63" i="4"/>
  <c r="M63" i="4" s="1"/>
  <c r="K84" i="4"/>
  <c r="M84" i="4" s="1"/>
  <c r="J118" i="4"/>
  <c r="L118" i="4" s="1"/>
  <c r="K93" i="4"/>
  <c r="M93" i="4" s="1"/>
  <c r="K47" i="4"/>
  <c r="M47" i="4" s="1"/>
  <c r="K66" i="4"/>
  <c r="M66" i="4" s="1"/>
  <c r="J75" i="4"/>
  <c r="L75" i="4" s="1"/>
  <c r="K42" i="4"/>
  <c r="M42" i="4" s="1"/>
  <c r="K58" i="4"/>
  <c r="M58" i="4" s="1"/>
  <c r="J63" i="4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<sst xmlns="http://schemas.openxmlformats.org/spreadsheetml/2006/main" count="880" uniqueCount="146">
  <si>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</si>
  <si>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</si>
  <si>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</si>
  <si>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</si>
  <si>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</si>
  <si>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</si>
  <si>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</si>
  <si>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</si>
  <si>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</si>
  <si>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</si>
  <si>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</si>
  <si>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</si>
  <si>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</si>
  <si>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</si>
  <si>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</si>
  <si>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</si>
  <si>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</si>
  <si>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</si>
  <si>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</si>
  <si>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</si>
  <si>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</si>
  <si>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</si>
  <si>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</si>
  <si>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</si>
  <si>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</si>
  <si>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</si>
  <si>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</si>
  <si>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</si>
  <si>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</si>
  <si>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</si>
  <si>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</si>
  <si>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</si>
  <si>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</si>
  <si>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</si>
  <si>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</si>
  <si>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</si>
  <si>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</si>
  <si>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</si>
  <si>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</si>
  <si>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</si>
  <si>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</si>
  <si>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</si>
  <si>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</si>
  <si>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</si>
  <si>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</si>
  <si>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</si>
  <si>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</si>
  <si>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</si>
  <si>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</si>
  <si>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</si>
  <si>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</si>
  <si>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</si>
  <si>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</si>
  <si>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</si>
  <si>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</si>
  <si>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</si>
  <si>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</si>
  <si>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</si>
  <si>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</si>
  <si>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</si>
  <si>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</si>
  <si>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</si>
  <si>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</si>
  <si>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</si>
  <si>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</si>
  <si>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</si>
  <si>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</si>
  <si>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</si>
  <si>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</si>
  <si>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</si>
  <si>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</si>
  <si>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</si>
  <si>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</si>
  <si>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</si>
  <si>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</si>
  <si>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</si>
  <si>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</si>
  <si>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</si>
  <si>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</si>
  <si>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</si>
  <si>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</si>
  <si>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</si>
  <si>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</si>
  <si>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</si>
  <si>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</si>
  <si>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</si>
  <si>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</si>
  <si>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</si>
  <si>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</si>
  <si>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</si>
  <si>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</si>
  <si>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</si>
  <si>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</si>
  <si>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</si>
  <si>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</si>
  <si>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</si>
  <si>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</si>
  <si>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</si>
  <si>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</si>
  <si>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</si>
  <si>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</si>
  <si>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</si>
  <si>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</si>
  <si>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</si>
  <si>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</si>
  <si>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</si>
  <si>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</si>
  <si>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</si>
  <si>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</si>
  <si>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</si>
  <si>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</si>
  <si>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</si>
  <si>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</si>
  <si>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</si>
  <si>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</si>
  <si>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</si>
  <si>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</si>
  <si>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</si>
  <si>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</si>
  <si>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</si>
  <si>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</si>
  <si>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</si>
  <si>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</si>
  <si>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</si>
  <si>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</si>
  <si>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</si>
  <si>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</si>
  <si>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</si>
  <si>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</si>
  <si>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</si>
  <si>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</si>
  <si>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</si>
  <si>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</si>
  <si>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</si>
  <si>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</si>
  <si>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</si>
  <si>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</si>
  <si>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</si>
  <si>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</si>
  <si>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</si>
  <si>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</si>
  <si>
    <t xml:space="preserve"> CRS is deprecated</t>
  </si>
  <si>
    <t>Source Crs</t>
  </si>
  <si>
    <t>Target Crs</t>
  </si>
  <si>
    <t>NAD27 / Alaska Albers</t>
  </si>
  <si>
    <t>WGS 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</si>
</sst>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</numFmts>
  <fonts count="15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A31515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33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15" borderId="24" xfId="0" applyFill="1" applyBorder="1"/>
    <xf numFmtId="0" fontId="0" fillId="15" borderId="20" xfId="0" applyFill="1" applyBorder="1"/>
    <xf numFmtId="0" fontId="0" fillId="15" borderId="21" xfId="0" applyFill="1" applyBorder="1"/>
    <xf numFmtId="43" fontId="0" fillId="15" borderId="5" xfId="3" applyFont="1" applyFill="1" applyBorder="1" applyAlignment="1">
      <alignment horizontal="center"/>
    </xf>
    <xf numFmtId="2" fontId="0" fillId="15" borderId="2" xfId="0" applyNumberFormat="1" applyFill="1" applyBorder="1"/>
    <xf numFmtId="0" fontId="0" fillId="7" borderId="7" xfId="0" applyFill="1" applyBorder="1"/>
    <xf numFmtId="0" fontId="0" fillId="7" borderId="9" xfId="0" applyFill="1" applyBorder="1"/>
    <xf numFmtId="0" fontId="0" fillId="15" borderId="0" xfId="0" applyFill="1" applyAlignment="1">
      <alignment horizontal="left"/>
    </xf>
    <xf numFmtId="0" fontId="0" fillId="15" borderId="15" xfId="0" applyFill="1" applyBorder="1" applyAlignment="1">
      <alignment horizontal="left"/>
    </xf>
    <xf numFmtId="0" fontId="0" fillId="15" borderId="15" xfId="0" applyFill="1" applyBorder="1"/>
    <xf numFmtId="0" fontId="0" fillId="6" borderId="22" xfId="0" applyFill="1" applyBorder="1" applyAlignment="1">
      <alignment horizontal="center"/>
    </xf>
    <xf numFmtId="0" fontId="0" fillId="15" borderId="12" xfId="0" applyFill="1" applyBorder="1" applyAlignment="1">
      <alignment horizontal="left"/>
    </xf>
    <xf numFmtId="0" fontId="0" fillId="15" borderId="13" xfId="0" applyFill="1" applyBorder="1" applyAlignment="1">
      <alignment horizontal="left"/>
    </xf>
    <xf numFmtId="2" fontId="0" fillId="15" borderId="22" xfId="0" applyNumberFormat="1" applyFill="1" applyBorder="1"/>
    <xf numFmtId="0" fontId="0" fillId="15" borderId="3" xfId="0" applyFill="1" applyBorder="1" applyAlignment="1">
      <alignment horizontal="left"/>
    </xf>
    <xf numFmtId="0" fontId="0" fillId="15" borderId="9" xfId="0" applyFill="1" applyBorder="1" applyAlignment="1">
      <alignment horizontal="left"/>
    </xf>
    <xf numFmtId="0" fontId="0" fillId="7" borderId="3" xfId="0" applyFill="1" applyBorder="1"/>
    <xf numFmtId="0" fontId="14" fillId="0" borderId="0" xfId="0" applyFont="1" applyAlignment="1">
      <alignment vertical="center"/>
    </xf>
    <xf numFmtId="0" fontId="0" fillId="6" borderId="5" xfId="0" applyFill="1" applyBorder="1" applyAlignment="1">
      <alignment horizontal="left"/>
    </xf>
    <xf numFmtId="0" fontId="0" fillId="12" borderId="7" xfId="0" applyFill="1" applyBorder="1"/>
    <xf numFmtId="0" fontId="0" fillId="12" borderId="3" xfId="0" applyFill="1" applyBorder="1"/>
    <xf numFmtId="0" fontId="0" fillId="6" borderId="13" xfId="0" applyFill="1" applyBorder="1" applyAlignment="1">
      <alignment horizontal="left"/>
    </xf>
    <xf numFmtId="0" fontId="0" fillId="12" borderId="4" xfId="0" applyFill="1" applyBorder="1"/>
    <xf numFmtId="0" fontId="0" fillId="12" borderId="22" xfId="0" applyFill="1" applyBorder="1"/>
    <xf numFmtId="2" fontId="0" fillId="12" borderId="22" xfId="0" applyNumberFormat="1" applyFill="1" applyBorder="1"/>
    <xf numFmtId="0" fontId="0" fillId="12" borderId="22" xfId="0" applyFill="1" applyBorder="1" applyAlignment="1">
      <alignment horizontal="center"/>
    </xf>
    <xf numFmtId="0" fontId="0" fillId="12" borderId="2" xfId="0" applyFill="1" applyBorder="1"/>
    <xf numFmtId="1" fontId="10" fillId="7" borderId="13" xfId="2" applyNumberFormat="1" applyFill="1" applyBorder="1" applyAlignment="1">
      <alignment horizontal="center"/>
    </xf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CCFFFF"/>
      <color rgb="FF66FFFF"/>
      <color rgb="FFCCFFCC"/>
      <color rgb="FFFFFFCC"/>
      <color rgb="FF66C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topLeftCell="A96"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topLeftCell="A101" zoomScaleNormal="100" workbookViewId="0">
      <selection activeCell="D128" sqref="D12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zoomScaleNormal="100" workbookViewId="0">
      <selection activeCell="D4" sqref="D4:D5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286"/>
  <sheetViews>
    <sheetView tabSelected="1" topLeftCell="E108" zoomScaleNormal="100" workbookViewId="0">
      <selection activeCell="M131" sqref="M13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32.7265625" customWidth="1"/>
    <col min="4" max="4" width="17.6328125" customWidth="1"/>
    <col min="5" max="5" width="16.1796875" customWidth="1"/>
    <col min="6" max="6" width="15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23.81640625" style="61" customWidth="1"/>
    <col min="16" max="16" width="27.816406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>
      <c r="D2" s="1"/>
    </row>
    <row r="3" spans="1:20" ht="15" thickBot="1" x14ac:dyDescent="0.4">
      <c r="C3" s="59" t="s">
        <v>26</v>
      </c>
      <c r="D3" s="60" t="s">
        <v>27</v>
      </c>
      <c r="E3" s="54" t="s">
        <v>141</v>
      </c>
      <c r="F3" s="58" t="s">
        <v>28</v>
      </c>
      <c r="G3" s="56"/>
      <c r="H3" s="56"/>
      <c r="I3" s="56"/>
      <c r="J3" s="56"/>
      <c r="K3" s="56"/>
      <c r="L3" s="57"/>
    </row>
    <row r="4" spans="1:20" ht="15" thickBot="1" x14ac:dyDescent="0.4">
      <c r="C4" s="51" t="s">
        <v>24</v>
      </c>
      <c r="D4" s="49">
        <v>2462</v>
      </c>
      <c r="E4" s="208" t="b" cm="1">
        <f t="array" ref="E4">_xll.PE.crs.IsDeprecated(D4)</f>
        <v>0</v>
      </c>
      <c r="F4" s="205" t="str" cm="1">
        <f t="array" ref="F4">_xll.PE.crs.AsProjString(D4)</f>
        <v>+proj=tmerc +lat_0=0 +lon_0=21 +k=1 +x_0=4500000 +y_0=0 +ellps=krass +units=m +no_defs +type=crs</v>
      </c>
      <c r="G4" s="206"/>
      <c r="H4" s="206"/>
      <c r="I4" s="206"/>
      <c r="J4" s="206"/>
      <c r="K4" s="206"/>
      <c r="L4" s="207"/>
      <c r="P4" s="167"/>
    </row>
    <row r="5" spans="1:20" ht="15" thickBot="1" x14ac:dyDescent="0.4">
      <c r="C5" s="52" t="s">
        <v>25</v>
      </c>
      <c r="D5" s="232">
        <v>4326</v>
      </c>
      <c r="E5" s="208" t="b" cm="1">
        <f t="array" ref="E5">_xll.PE.crs.IsDeprecated(D5)</f>
        <v>0</v>
      </c>
      <c r="F5" s="182" t="str" cm="1">
        <f t="array" ref="F5">_xll.PE.crs.AsProjString(D5)</f>
        <v>+proj=longlat +datum=WGS84 +no_defs +type=crs</v>
      </c>
      <c r="G5" s="183"/>
      <c r="H5" s="183"/>
      <c r="I5" s="183"/>
      <c r="J5" s="183"/>
      <c r="K5" s="183"/>
      <c r="L5" s="209"/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1.0.261019.1326</v>
      </c>
    </row>
    <row r="12" spans="1:20" ht="15" thickBot="1" x14ac:dyDescent="0.4">
      <c r="C12" s="43"/>
      <c r="D12" s="180" t="str">
        <v>Info version</v>
      </c>
      <c r="E12" s="181" t="str">
        <v>1.0.261019.1326</v>
      </c>
      <c r="Q12" s="100" t="s">
        <v>44</v>
      </c>
      <c r="R12" s="95" t="s">
        <v>45</v>
      </c>
    </row>
    <row r="13" spans="1:20" ht="15" thickBot="1" x14ac:dyDescent="0.4">
      <c r="C13" s="55" t="s">
        <v>134</v>
      </c>
      <c r="D13" s="178" t="str">
        <v>Proj version</v>
      </c>
      <c r="E13" s="179" t="str">
        <v>9.5.1</v>
      </c>
      <c r="Q13" s="46" t="s">
        <v>23</v>
      </c>
      <c r="R13" s="96" t="s">
        <v>0</v>
      </c>
    </row>
    <row r="14" spans="1:20" ht="15" thickBot="1" x14ac:dyDescent="0.4">
      <c r="C14" s="182" t="str" cm="1">
        <f t="array" ref="C14">_xll.PE.trf.Options(0,0,0,0,0,0,"auto",0,,,,,,,,)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4" s="183"/>
      <c r="E14" s="183"/>
      <c r="F14" s="183"/>
      <c r="G14" s="183"/>
      <c r="H14" s="183"/>
      <c r="I14" s="183"/>
      <c r="J14" s="183"/>
      <c r="K14" s="183"/>
      <c r="L14" s="183"/>
      <c r="M14" s="218"/>
      <c r="N14" s="183"/>
      <c r="O14" s="203"/>
      <c r="P14" s="18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2" cm="1">
        <f t="array" ref="F16:G21">_xll.PE.trf.Transform($D$4,$D$5,D16:D21,E16:E21)</f>
        <v>39.590331698526754</v>
      </c>
      <c r="G16" s="134">
        <v>21.13207859944475</v>
      </c>
      <c r="H16" s="135" t="str" cm="1">
        <f t="array" ref="H16">_xll.PE.deg.AsString(F16)</f>
        <v>39 35 25</v>
      </c>
      <c r="I16" s="136" t="str" cm="1">
        <f t="array" ref="I16">_xll.PE.deg.AsString(G16)</f>
        <v>21 07 55</v>
      </c>
      <c r="J16" s="135" cm="1">
        <f t="array" ref="J16">_xll.PE.deg.FromString(H16)</f>
        <v>39.590277777777779</v>
      </c>
      <c r="K16" s="137" cm="1">
        <f t="array" ref="K16">_xll.PE.deg.FromString(I16)</f>
        <v>21.131944444444446</v>
      </c>
      <c r="L16" s="83">
        <f t="shared" ref="L16:M21" si="0">F16-J16</f>
        <v>5.3920748975144761E-5</v>
      </c>
      <c r="M16" s="79">
        <f t="shared" si="0"/>
        <v>1.341550003033376E-4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1">CONCATENATE(TEXT(F16,"#.00000000"),",",TEXT(G16,"#.00000000"))</f>
        <v>39.59033170,21.13207860</v>
      </c>
      <c r="R16" s="98" t="str">
        <f t="shared" ref="R16:R21" si="2">CONCATENATE("&lt;trkpt lon=""",TEXT(F16,"#.00000000"),""" lat=""",TEXT(G16,"#.00000000"),"""","&gt;&lt;name&gt;S",TEXT(B16,"00"),"&lt;/name&gt;&lt;/trkpt&gt;")</f>
        <v>&lt;trkpt lon="39.59033170" lat="21.13207860"&gt;&lt;name&gt;S01&lt;/name&gt;&lt;/trkpt&gt;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135">
        <v>39.616872623603527</v>
      </c>
      <c r="G17" s="137">
        <v>21.138628224456667</v>
      </c>
      <c r="H17" s="135" t="str" cm="1">
        <f t="array" ref="H17">_xll.PE.deg.AsString(F17)</f>
        <v>39 37 01</v>
      </c>
      <c r="I17" s="136" t="str" cm="1">
        <f t="array" ref="I17">_xll.PE.deg.AsString(G17)</f>
        <v>21 08 19</v>
      </c>
      <c r="J17" s="135" cm="1">
        <f t="array" ref="J17">_xll.PE.deg.FromString(H17)</f>
        <v>39.616944444444442</v>
      </c>
      <c r="K17" s="137" cm="1">
        <f t="array" ref="K17">_xll.PE.deg.FromString(I17)</f>
        <v>21.138611111111111</v>
      </c>
      <c r="L17" s="84">
        <f t="shared" si="0"/>
        <v>-7.1820840915393092E-5</v>
      </c>
      <c r="M17" s="80">
        <f t="shared" si="0"/>
        <v>1.7113345556651893E-5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39.61687262,21.13862822</v>
      </c>
      <c r="R17" s="98" t="str">
        <f t="shared" si="2"/>
        <v>&lt;trkpt lon="39.61687262" lat="21.13862822"&gt;&lt;name&gt;S02&lt;/name&gt;&lt;/trkpt&gt;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>
        <v>39.652259745821347</v>
      </c>
      <c r="G18" s="140">
        <v>21.147368889577873</v>
      </c>
      <c r="H18" s="138" t="str" cm="1">
        <f t="array" ref="H18">_xll.PE.deg.AsString(F18)</f>
        <v>39 39 08</v>
      </c>
      <c r="I18" s="139" t="str" cm="1">
        <f t="array" ref="I18">_xll.PE.deg.AsString(G18)</f>
        <v>21 08 51</v>
      </c>
      <c r="J18" s="138" cm="1">
        <f t="array" ref="J18">_xll.PE.deg.FromString(H18)</f>
        <v>39.652222222222221</v>
      </c>
      <c r="K18" s="140" cm="1">
        <f t="array" ref="K18">_xll.PE.deg.FromString(I18)</f>
        <v>21.147500000000001</v>
      </c>
      <c r="L18" s="85">
        <f t="shared" si="0"/>
        <v>3.7523599125677265E-5</v>
      </c>
      <c r="M18" s="81">
        <f t="shared" si="0"/>
        <v>-1.3111042212798907E-4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1"/>
        <v>39.65225975,21.14736889</v>
      </c>
      <c r="R18" s="98" t="str">
        <f t="shared" si="2"/>
        <v>&lt;trkpt lon="39.65225975" lat="21.14736889"&gt;&lt;name&gt;S03&lt;/name&gt;&lt;/trkpt&gt;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>
        <v>39.844726060354347</v>
      </c>
      <c r="G19" s="140">
        <v>21.195069923134415</v>
      </c>
      <c r="H19" s="138" t="str" cm="1">
        <f t="array" ref="H19">_xll.PE.deg.AsString(F19)</f>
        <v>39 50 41</v>
      </c>
      <c r="I19" s="139" t="str" cm="1">
        <f t="array" ref="I19">_xll.PE.deg.AsString(G19)</f>
        <v>21 11 42</v>
      </c>
      <c r="J19" s="138" cm="1">
        <f t="array" ref="J19">_xll.PE.deg.FromString(H19)</f>
        <v>39.844722222222224</v>
      </c>
      <c r="K19" s="140" cm="1">
        <f t="array" ref="K19">_xll.PE.deg.FromString(I19)</f>
        <v>21.195</v>
      </c>
      <c r="L19" s="85">
        <f t="shared" si="0"/>
        <v>3.8381321232350274E-6</v>
      </c>
      <c r="M19" s="81">
        <f t="shared" si="0"/>
        <v>6.9923134415006416E-5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39.84472606,21.19506992</v>
      </c>
      <c r="R19" s="98" t="str">
        <f t="shared" si="2"/>
        <v>&lt;trkpt lon="39.84472606" lat="21.19506992"&gt;&lt;name&gt;S04&lt;/name&gt;&lt;/trkpt&gt;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>
        <v>39.880107398901082</v>
      </c>
      <c r="G20" s="137">
        <v>21.20386877320766</v>
      </c>
      <c r="H20" s="135" t="str" cm="1">
        <f t="array" ref="H20">_xll.PE.deg.AsString(F20)</f>
        <v>39 52 48</v>
      </c>
      <c r="I20" s="136" t="str" cm="1">
        <f t="array" ref="I20">_xll.PE.deg.AsString(G20)</f>
        <v>21 12 14</v>
      </c>
      <c r="J20" s="135" cm="1">
        <f t="array" ref="J20">_xll.PE.deg.FromString(H20)</f>
        <v>39.880000000000003</v>
      </c>
      <c r="K20" s="137" cm="1">
        <f t="array" ref="K20">_xll.PE.deg.FromString(I20)</f>
        <v>21.203888888888887</v>
      </c>
      <c r="L20" s="84">
        <f t="shared" si="0"/>
        <v>1.0739890107913652E-4</v>
      </c>
      <c r="M20" s="80">
        <f t="shared" si="0"/>
        <v>-2.0115681227395044E-5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39.88010740,21.20386877</v>
      </c>
      <c r="R20" s="98" t="str">
        <f t="shared" si="2"/>
        <v>&lt;trkpt lon="39.88010740" lat="21.20386877"&gt;&lt;name&gt;S05&lt;/name&gt;&lt;/trkpt&gt;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>
        <v>39.906642807333341</v>
      </c>
      <c r="G21" s="143">
        <v>21.210473896913385</v>
      </c>
      <c r="H21" s="141" t="str" cm="1">
        <f t="array" ref="H21">_xll.PE.deg.AsString(F21)</f>
        <v>39 54 24</v>
      </c>
      <c r="I21" s="142" t="str" cm="1">
        <f t="array" ref="I21">_xll.PE.deg.AsString(G21)</f>
        <v>21 12 38</v>
      </c>
      <c r="J21" s="141" cm="1">
        <f t="array" ref="J21">_xll.PE.deg.FromString(H21)</f>
        <v>39.906666666666666</v>
      </c>
      <c r="K21" s="143" cm="1">
        <f t="array" ref="K21">_xll.PE.deg.FromString(I21)</f>
        <v>21.210555555555555</v>
      </c>
      <c r="L21" s="86">
        <f t="shared" si="0"/>
        <v>-2.3859333325049192E-5</v>
      </c>
      <c r="M21" s="82">
        <f t="shared" si="0"/>
        <v>-8.165864216991281E-5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28258.642477159934</v>
      </c>
      <c r="Q21" s="44" t="str">
        <f t="shared" si="1"/>
        <v>39.90664281,21.21047390</v>
      </c>
      <c r="R21" s="98" t="str">
        <f t="shared" si="2"/>
        <v>&lt;trkpt lon="39.90664281" lat="21.21047390"&gt;&lt;name&gt;S06&lt;/name&gt;&lt;/trkpt&gt;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30">_xll.PE.trf.Transform($D$4,$D$5,D24:D30,E24:E30)</f>
        <v>39.62081072677514</v>
      </c>
      <c r="G24" s="134">
        <v>21.106176217606961</v>
      </c>
      <c r="H24" s="132" t="str" cm="1">
        <f t="array" ref="H24">_xll.PE.deg.AsString(F24)</f>
        <v>39 37 15</v>
      </c>
      <c r="I24" s="133" t="str" cm="1">
        <f t="array" ref="I24">_xll.PE.deg.AsString(G24)</f>
        <v>21 06 22</v>
      </c>
      <c r="J24" s="132" cm="1">
        <f t="array" ref="J24">_xll.PE.deg.FromString(H24)</f>
        <v>39.620833333333337</v>
      </c>
      <c r="K24" s="134" cm="1">
        <f t="array" ref="K24">_xll.PE.deg.FromString(I24)</f>
        <v>21.106111111111112</v>
      </c>
      <c r="L24" s="71">
        <f t="shared" ref="L24:M30" si="3">F24-J24</f>
        <v>-2.2606558196969218E-5</v>
      </c>
      <c r="M24" s="72">
        <f t="shared" si="3"/>
        <v>6.5106495849676094E-5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39.62081073,21.10617622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lon="39.62081073" lat="21.10617622"&gt;&lt;name&gt;S01&lt;/name&gt;&lt;/trkpt&gt;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>
        <v>39.647026556284445</v>
      </c>
      <c r="G25" s="137">
        <v>21.114638567764665</v>
      </c>
      <c r="H25" s="135" t="str" cm="1">
        <f t="array" ref="H25">_xll.PE.deg.AsString(F25)</f>
        <v>39 38 49</v>
      </c>
      <c r="I25" s="136" t="str" cm="1">
        <f t="array" ref="I25">_xll.PE.deg.AsString(G25)</f>
        <v>21 06 53</v>
      </c>
      <c r="J25" s="135" cm="1">
        <f t="array" ref="J25">_xll.PE.deg.FromString(H25)</f>
        <v>39.646944444444443</v>
      </c>
      <c r="K25" s="137" cm="1">
        <f t="array" ref="K25">_xll.PE.deg.FromString(I25)</f>
        <v>21.114722222222223</v>
      </c>
      <c r="L25" s="73">
        <f t="shared" si="3"/>
        <v>8.2111840001175551E-5</v>
      </c>
      <c r="M25" s="74">
        <f t="shared" si="3"/>
        <v>-8.3654457558424156E-5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39.64702656,21.11463857</v>
      </c>
      <c r="R25" s="98" t="str">
        <f t="shared" si="7"/>
        <v>&lt;trkpt lon="39.64702656" lat="21.11463857"&gt;&lt;name&gt;S02&lt;/name&gt;&lt;/trkpt&gt;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>
        <v>39.681979836465864</v>
      </c>
      <c r="G26" s="140">
        <v>21.12593168483744</v>
      </c>
      <c r="H26" s="138" t="str" cm="1">
        <f t="array" ref="H26">_xll.PE.deg.AsString(F26)</f>
        <v>39 40 55</v>
      </c>
      <c r="I26" s="139" t="str" cm="1">
        <f t="array" ref="I26">_xll.PE.deg.AsString(G26)</f>
        <v>21 07 33</v>
      </c>
      <c r="J26" s="138" cm="1">
        <f t="array" ref="J26">_xll.PE.deg.FromString(H26)</f>
        <v>39.68194444444444</v>
      </c>
      <c r="K26" s="140" cm="1">
        <f t="array" ref="K26">_xll.PE.deg.FromString(I26)</f>
        <v>21.125833333333333</v>
      </c>
      <c r="L26" s="75">
        <f t="shared" si="3"/>
        <v>3.5392021423774622E-5</v>
      </c>
      <c r="M26" s="76">
        <f t="shared" si="3"/>
        <v>9.835150410708593E-5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39.68197984,21.12593168</v>
      </c>
      <c r="R26" s="98" t="str">
        <f t="shared" si="7"/>
        <v>&lt;trkpt lon="39.68197984" lat="21.12593168"&gt;&lt;name&gt;S03&lt;/name&gt;&lt;/trkpt&gt;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>
        <v>39.763385526637173</v>
      </c>
      <c r="G27" s="140">
        <v>21.152279249110322</v>
      </c>
      <c r="H27" s="138" t="str" cm="1">
        <f t="array" ref="H27">_xll.PE.deg.AsString(F27)</f>
        <v>39 45 48</v>
      </c>
      <c r="I27" s="139" t="str" cm="1">
        <f t="array" ref="I27">_xll.PE.deg.AsString(G27)</f>
        <v>21 09 08</v>
      </c>
      <c r="J27" s="138" cm="1">
        <f t="array" ref="J27">_xll.PE.deg.FromString(H27)</f>
        <v>39.763333333333335</v>
      </c>
      <c r="K27" s="140" cm="1">
        <f t="array" ref="K27">_xll.PE.deg.FromString(I27)</f>
        <v>21.152222222222221</v>
      </c>
      <c r="L27" s="75">
        <f t="shared" si="3"/>
        <v>5.2193303837100302E-5</v>
      </c>
      <c r="M27" s="76">
        <f t="shared" si="3"/>
        <v>5.702688810060863E-5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39.76338553,21.15227925</v>
      </c>
      <c r="R27" s="98" t="str">
        <f t="shared" si="7"/>
        <v>&lt;trkpt lon="39.76338553" lat="21.15227925"&gt;&lt;name&gt;S04&lt;/name&gt;&lt;/trkpt&gt;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>
        <v>39.949775411026479</v>
      </c>
      <c r="G28" s="140">
        <v>21.217753331295434</v>
      </c>
      <c r="H28" s="138" t="str" cm="1">
        <f t="array" ref="H28">_xll.PE.deg.AsString(F28)</f>
        <v>39 56 59</v>
      </c>
      <c r="I28" s="139" t="str" cm="1">
        <f t="array" ref="I28">_xll.PE.deg.AsString(G28)</f>
        <v>21 13 04</v>
      </c>
      <c r="J28" s="138" cm="1">
        <f t="array" ref="J28">_xll.PE.deg.FromString(H28)</f>
        <v>39.949722222222221</v>
      </c>
      <c r="K28" s="140" cm="1">
        <f t="array" ref="K28">_xll.PE.deg.FromString(I28)</f>
        <v>21.217777777777776</v>
      </c>
      <c r="L28" s="75">
        <f t="shared" si="3"/>
        <v>5.3188804258752498E-5</v>
      </c>
      <c r="M28" s="76">
        <f t="shared" si="3"/>
        <v>-2.4446482342455056E-5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39.94977541,21.21775333</v>
      </c>
      <c r="R28" s="98" t="str">
        <f t="shared" si="7"/>
        <v>&lt;trkpt lon="39.94977541" lat="21.21775333"&gt;&lt;name&gt;S05&lt;/name&gt;&lt;/trkpt&gt;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>
        <v>39.984544027985052</v>
      </c>
      <c r="G29" s="137">
        <v>21.230007913744046</v>
      </c>
      <c r="H29" s="135" t="str" cm="1">
        <f t="array" ref="H29">_xll.PE.deg.AsString(F29)</f>
        <v>39 59 04</v>
      </c>
      <c r="I29" s="136" t="str" cm="1">
        <f t="array" ref="I29">_xll.PE.deg.AsString(G29)</f>
        <v>21 13 48</v>
      </c>
      <c r="J29" s="135" cm="1">
        <f t="array" ref="J29">_xll.PE.deg.FromString(H29)</f>
        <v>39.984444444444442</v>
      </c>
      <c r="K29" s="137" cm="1">
        <f t="array" ref="K29">_xll.PE.deg.FromString(I29)</f>
        <v>21.229999999999997</v>
      </c>
      <c r="L29" s="73">
        <f t="shared" si="3"/>
        <v>9.958354061012642E-5</v>
      </c>
      <c r="M29" s="74">
        <f t="shared" si="3"/>
        <v>7.9137440494037037E-6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39.98454403,21.23000791</v>
      </c>
      <c r="R29" s="98" t="str">
        <f t="shared" si="7"/>
        <v>&lt;trkpt lon="39.98454403" lat="21.23000791"&gt;&lt;name&gt;S06&lt;/name&gt;&lt;/trkpt&gt;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>
        <v>40.010619479406813</v>
      </c>
      <c r="G30" s="143">
        <v>21.239207057687711</v>
      </c>
      <c r="H30" s="141" t="str" cm="1">
        <f t="array" ref="H30">_xll.PE.deg.AsString(F30)</f>
        <v>40 00 38</v>
      </c>
      <c r="I30" s="142" t="str" cm="1">
        <f t="array" ref="I30">_xll.PE.deg.AsString(G30)</f>
        <v>21 14 21</v>
      </c>
      <c r="J30" s="141" cm="1">
        <f t="array" ref="J30">_xll.PE.deg.FromString(H30)</f>
        <v>40.010555555555555</v>
      </c>
      <c r="K30" s="143" cm="1">
        <f t="array" ref="K30">_xll.PE.deg.FromString(I30)</f>
        <v>21.239166666666666</v>
      </c>
      <c r="L30" s="77">
        <f t="shared" si="3"/>
        <v>6.3923851257641218E-5</v>
      </c>
      <c r="M30" s="78">
        <f t="shared" si="3"/>
        <v>4.0391021045138586E-5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37304.794441425118</v>
      </c>
      <c r="Q30" s="44" t="str">
        <f t="shared" si="6"/>
        <v>40.01061948,21.23920706</v>
      </c>
      <c r="R30" s="98" t="str">
        <f t="shared" si="7"/>
        <v>&lt;trkpt lon="40.01061948" lat="21.23920706"&gt;&lt;name&gt;S07&lt;/name&gt;&lt;/trkpt&gt;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9">_xll.PE.trf.Transform($D$4,$D$5,D33:D39,E33:E39)</f>
        <v>39.647911791234314</v>
      </c>
      <c r="G33" s="134">
        <v>21.295374193543232</v>
      </c>
      <c r="H33" s="132" t="str" cm="1">
        <f t="array" ref="H33">_xll.PE.deg.AsString(F33)</f>
        <v>39 38 52</v>
      </c>
      <c r="I33" s="133" t="str" cm="1">
        <f t="array" ref="I33">_xll.PE.deg.AsString(G33)</f>
        <v>21 17 43</v>
      </c>
      <c r="J33" s="132" cm="1">
        <f t="array" ref="J33">_xll.PE.deg.FromString(H33)</f>
        <v>39.647777777777776</v>
      </c>
      <c r="K33" s="134" cm="1">
        <f t="array" ref="K33">_xll.PE.deg.FromString(I33)</f>
        <v>21.29527777777778</v>
      </c>
      <c r="L33" s="71">
        <f t="shared" ref="L33:M39" si="8">F33-J33</f>
        <v>1.3401345653818453E-4</v>
      </c>
      <c r="M33" s="72">
        <f t="shared" si="8"/>
        <v>9.6415765451496327E-5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39.64791179,21.29537419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lon="39.64791179" lat="21.29537419"&gt;&lt;name&gt;S01&lt;/name&gt;&lt;/trkpt&gt;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>
        <v>39.672352702801376</v>
      </c>
      <c r="G34" s="137">
        <v>21.280469724769016</v>
      </c>
      <c r="H34" s="135" t="str" cm="1">
        <f t="array" ref="H34">_xll.PE.deg.AsString(F34)</f>
        <v>39 40 20</v>
      </c>
      <c r="I34" s="136" t="str" cm="1">
        <f t="array" ref="I34">_xll.PE.deg.AsString(G34)</f>
        <v>21 16 50</v>
      </c>
      <c r="J34" s="135" cm="1">
        <f t="array" ref="J34">_xll.PE.deg.FromString(H34)</f>
        <v>39.672222222222217</v>
      </c>
      <c r="K34" s="137" cm="1">
        <f t="array" ref="K34">_xll.PE.deg.FromString(I34)</f>
        <v>21.280555555555555</v>
      </c>
      <c r="L34" s="73">
        <f t="shared" si="8"/>
        <v>1.3048057915909794E-4</v>
      </c>
      <c r="M34" s="74">
        <f t="shared" si="8"/>
        <v>-8.5830786538565462E-5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39.67235270,21.28046972</v>
      </c>
      <c r="R34" s="98" t="str">
        <f t="shared" si="12"/>
        <v>&lt;trkpt lon="39.67235270" lat="21.28046972"&gt;&lt;name&gt;S02&lt;/name&gt;&lt;/trkpt&gt;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>
        <v>39.704937504201723</v>
      </c>
      <c r="G35" s="140">
        <v>21.260580812886403</v>
      </c>
      <c r="H35" s="138" t="str" cm="1">
        <f t="array" ref="H35">_xll.PE.deg.AsString(F35)</f>
        <v>39 42 18</v>
      </c>
      <c r="I35" s="139" t="str" cm="1">
        <f t="array" ref="I35">_xll.PE.deg.AsString(G35)</f>
        <v>21 15 38</v>
      </c>
      <c r="J35" s="138" cm="1">
        <f t="array" ref="J35">_xll.PE.deg.FromString(H35)</f>
        <v>39.705000000000005</v>
      </c>
      <c r="K35" s="140" cm="1">
        <f t="array" ref="K35">_xll.PE.deg.FromString(I35)</f>
        <v>21.260555555555555</v>
      </c>
      <c r="L35" s="75">
        <f t="shared" si="8"/>
        <v>-6.2495798282213855E-5</v>
      </c>
      <c r="M35" s="76">
        <f t="shared" si="8"/>
        <v>2.5257330847239245E-5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39.70493750,21.26058081</v>
      </c>
      <c r="R35" s="98" t="str">
        <f t="shared" si="12"/>
        <v>&lt;trkpt lon="39.70493750" lat="21.26058081"&gt;&lt;name&gt;S03&lt;/name&gt;&lt;/trkpt&gt;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>
        <v>39.792465578440506</v>
      </c>
      <c r="G36" s="140">
        <v>21.207052772857299</v>
      </c>
      <c r="H36" s="138" t="str" cm="1">
        <f t="array" ref="H36">_xll.PE.deg.AsString(F36)</f>
        <v>39 47 33</v>
      </c>
      <c r="I36" s="139" t="str" cm="1">
        <f t="array" ref="I36">_xll.PE.deg.AsString(G36)</f>
        <v>21 12 25</v>
      </c>
      <c r="J36" s="138" cm="1">
        <f t="array" ref="J36">_xll.PE.deg.FromString(H36)</f>
        <v>39.792499999999997</v>
      </c>
      <c r="K36" s="140" cm="1">
        <f t="array" ref="K36">_xll.PE.deg.FromString(I36)</f>
        <v>21.206944444444442</v>
      </c>
      <c r="L36" s="75">
        <f t="shared" si="8"/>
        <v>-3.4421559490738218E-5</v>
      </c>
      <c r="M36" s="76">
        <f t="shared" si="8"/>
        <v>1.083284128569062E-4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39.79246558,21.20705277</v>
      </c>
      <c r="R36" s="98" t="str">
        <f t="shared" si="12"/>
        <v>&lt;trkpt lon="39.79246558" lat="21.20705277"&gt;&lt;name&gt;S04&lt;/name&gt;&lt;/trkpt&gt;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>
        <v>39.847989843091248</v>
      </c>
      <c r="G37" s="140">
        <v>21.169865879923282</v>
      </c>
      <c r="H37" s="138" t="str" cm="1">
        <f t="array" ref="H37">_xll.PE.deg.AsString(F37)</f>
        <v>39 50 53</v>
      </c>
      <c r="I37" s="139" t="str" cm="1">
        <f t="array" ref="I37">_xll.PE.deg.AsString(G37)</f>
        <v>21 10 12</v>
      </c>
      <c r="J37" s="138" cm="1">
        <f t="array" ref="J37">_xll.PE.deg.FromString(H37)</f>
        <v>39.848055555555561</v>
      </c>
      <c r="K37" s="140" cm="1">
        <f t="array" ref="K37">_xll.PE.deg.FromString(I37)</f>
        <v>21.17</v>
      </c>
      <c r="L37" s="75">
        <f t="shared" si="8"/>
        <v>-6.571246431263944E-5</v>
      </c>
      <c r="M37" s="76">
        <f t="shared" si="8"/>
        <v>-1.3412007671931292E-4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39.84798984,21.16986588</v>
      </c>
      <c r="R37" s="98" t="str">
        <f t="shared" si="12"/>
        <v>&lt;trkpt lon="39.84798984" lat="21.16986588"&gt;&lt;name&gt;S05&lt;/name&gt;&lt;/trkpt&gt;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>
        <v>39.879993122120752</v>
      </c>
      <c r="G38" s="137">
        <v>21.148401031869863</v>
      </c>
      <c r="H38" s="135" t="str" cm="1">
        <f t="array" ref="H38">_xll.PE.deg.AsString(F38)</f>
        <v>39 52 48</v>
      </c>
      <c r="I38" s="136" t="str" cm="1">
        <f t="array" ref="I38">_xll.PE.deg.AsString(G38)</f>
        <v>21 08 54</v>
      </c>
      <c r="J38" s="135" cm="1">
        <f t="array" ref="J38">_xll.PE.deg.FromString(H38)</f>
        <v>39.880000000000003</v>
      </c>
      <c r="K38" s="137" cm="1">
        <f t="array" ref="K38">_xll.PE.deg.FromString(I38)</f>
        <v>21.148333333333333</v>
      </c>
      <c r="L38" s="73">
        <f t="shared" si="8"/>
        <v>-6.8778792510215681E-6</v>
      </c>
      <c r="M38" s="74">
        <f t="shared" si="8"/>
        <v>6.7698536529547937E-5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39.87999312,21.14840103</v>
      </c>
      <c r="R38" s="98" t="str">
        <f t="shared" si="12"/>
        <v>&lt;trkpt lon="39.87999312" lat="21.14840103"&gt;&lt;name&gt;S06&lt;/name&gt;&lt;/trkpt&gt;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>
        <v>39.903992881029595</v>
      </c>
      <c r="G39" s="143">
        <v>21.132289319182163</v>
      </c>
      <c r="H39" s="141" t="str" cm="1">
        <f t="array" ref="H39">_xll.PE.deg.AsString(F39)</f>
        <v>39 54 14</v>
      </c>
      <c r="I39" s="142" t="str" cm="1">
        <f t="array" ref="I39">_xll.PE.deg.AsString(G39)</f>
        <v>21 07 56</v>
      </c>
      <c r="J39" s="141" cm="1">
        <f t="array" ref="J39">_xll.PE.deg.FromString(H39)</f>
        <v>39.903888888888886</v>
      </c>
      <c r="K39" s="143" cm="1">
        <f t="array" ref="K39">_xll.PE.deg.FromString(I39)</f>
        <v>21.132222222222222</v>
      </c>
      <c r="L39" s="77">
        <f t="shared" si="8"/>
        <v>1.0399214070844209E-4</v>
      </c>
      <c r="M39" s="78">
        <f t="shared" si="8"/>
        <v>6.7096959941892464E-5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26075.765539000367</v>
      </c>
      <c r="Q39" s="44" t="str">
        <f t="shared" si="11"/>
        <v>39.90399288,21.13228932</v>
      </c>
      <c r="R39" s="98" t="str">
        <f t="shared" si="12"/>
        <v>&lt;trkpt lon="39.90399288" lat="21.13228932"&gt;&lt;name&gt;S07&lt;/name&gt;&lt;/trkpt&gt;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7">_xll.PE.trf.Transform($D$4,$D$5,D42:D47,E42:E47)</f>
        <v>39.771952595497545</v>
      </c>
      <c r="G42" s="134">
        <v>20.611546495957494</v>
      </c>
      <c r="H42" s="132" t="str" cm="1">
        <f t="array" ref="H42">_xll.PE.deg.AsString(F42)</f>
        <v>39 46 19</v>
      </c>
      <c r="I42" s="133" t="str" cm="1">
        <f t="array" ref="I42">_xll.PE.deg.AsString(G42)</f>
        <v>20 36 42</v>
      </c>
      <c r="J42" s="132" cm="1">
        <f t="array" ref="J42">_xll.PE.deg.FromString(H42)</f>
        <v>39.771944444444443</v>
      </c>
      <c r="K42" s="134" cm="1">
        <f t="array" ref="K42">_xll.PE.deg.FromString(I42)</f>
        <v>20.611666666666668</v>
      </c>
      <c r="L42" s="83">
        <f t="shared" ref="L42:M47" si="13">F42-J42</f>
        <v>8.1510531018125221E-6</v>
      </c>
      <c r="M42" s="79">
        <f t="shared" si="13"/>
        <v>-1.2017070917380579E-4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39.77195260,20.61154650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lon="39.77195260" lat="20.61154650"&gt;&lt;name&gt;S01&lt;/name&gt;&lt;/trkpt&gt;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>
        <v>39.797312024085414</v>
      </c>
      <c r="G43" s="137">
        <v>20.623631154478261</v>
      </c>
      <c r="H43" s="135" t="str" cm="1">
        <f t="array" ref="H43">_xll.PE.deg.AsString(F43)</f>
        <v>39 47 50</v>
      </c>
      <c r="I43" s="136" t="str" cm="1">
        <f t="array" ref="I43">_xll.PE.deg.AsString(G43)</f>
        <v>20 37 25</v>
      </c>
      <c r="J43" s="135" cm="1">
        <f t="array" ref="J43">_xll.PE.deg.FromString(H43)</f>
        <v>39.797222222222217</v>
      </c>
      <c r="K43" s="137" cm="1">
        <f t="array" ref="K43">_xll.PE.deg.FromString(I43)</f>
        <v>20.62361111111111</v>
      </c>
      <c r="L43" s="84">
        <f t="shared" si="13"/>
        <v>8.9801863197180865E-5</v>
      </c>
      <c r="M43" s="80">
        <f t="shared" si="13"/>
        <v>2.004336715089039E-5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39.79731202,20.62363115</v>
      </c>
      <c r="R43" s="98" t="str">
        <f t="shared" si="15"/>
        <v>&lt;trkpt lon="39.79731202" lat="20.62363115"&gt;&lt;name&gt;S02&lt;/name&gt;&lt;/trkpt&gt;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>
        <v>39.831122527841188</v>
      </c>
      <c r="G44" s="140">
        <v>20.639757750080758</v>
      </c>
      <c r="H44" s="138" t="str" cm="1">
        <f t="array" ref="H44">_xll.PE.deg.AsString(F44)</f>
        <v>39 49 52</v>
      </c>
      <c r="I44" s="139" t="str" cm="1">
        <f t="array" ref="I44">_xll.PE.deg.AsString(G44)</f>
        <v>20 38 23</v>
      </c>
      <c r="J44" s="138" cm="1">
        <f t="array" ref="J44">_xll.PE.deg.FromString(H44)</f>
        <v>39.831111111111113</v>
      </c>
      <c r="K44" s="140" cm="1">
        <f t="array" ref="K44">_xll.PE.deg.FromString(I44)</f>
        <v>20.639722222222222</v>
      </c>
      <c r="L44" s="85">
        <f t="shared" si="13"/>
        <v>1.1416730075097803E-5</v>
      </c>
      <c r="M44" s="81">
        <f t="shared" si="13"/>
        <v>3.5527858535999712E-5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39.83112253,20.63975775</v>
      </c>
      <c r="R44" s="98" t="str">
        <f t="shared" si="15"/>
        <v>&lt;trkpt lon="39.83112253" lat="20.63975775"&gt;&lt;name&gt;S03&lt;/name&gt;&lt;/trkpt&gt;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>
        <v>40.068814349444395</v>
      </c>
      <c r="G45" s="140">
        <v>20.753607675556793</v>
      </c>
      <c r="H45" s="138" t="str" cm="1">
        <f t="array" ref="H45">_xll.PE.deg.AsString(F45)</f>
        <v>40 04 08</v>
      </c>
      <c r="I45" s="139" t="str" cm="1">
        <f t="array" ref="I45">_xll.PE.deg.AsString(G45)</f>
        <v>20 45 13</v>
      </c>
      <c r="J45" s="138" cm="1">
        <f t="array" ref="J45">_xll.PE.deg.FromString(H45)</f>
        <v>40.068888888888893</v>
      </c>
      <c r="K45" s="140" cm="1">
        <f t="array" ref="K45">_xll.PE.deg.FromString(I45)</f>
        <v>20.753611111111113</v>
      </c>
      <c r="L45" s="85">
        <f t="shared" si="13"/>
        <v>-7.4539444497645491E-5</v>
      </c>
      <c r="M45" s="81">
        <f t="shared" si="13"/>
        <v>-3.4355543192532423E-6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40.06881435,20.75360768</v>
      </c>
      <c r="R45" s="98" t="str">
        <f t="shared" si="15"/>
        <v>&lt;trkpt lon="40.06881435" lat="20.75360768"&gt;&lt;name&gt;S04&lt;/name&gt;&lt;/trkpt&gt;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>
        <v>40.102605584338633</v>
      </c>
      <c r="G46" s="137">
        <v>20.769861557446394</v>
      </c>
      <c r="H46" s="135" t="str" cm="1">
        <f t="array" ref="H46">_xll.PE.deg.AsString(F46)</f>
        <v>40 06 09</v>
      </c>
      <c r="I46" s="136" t="str" cm="1">
        <f t="array" ref="I46">_xll.PE.deg.AsString(G46)</f>
        <v>20 46 12</v>
      </c>
      <c r="J46" s="135" cm="1">
        <f t="array" ref="J46">_xll.PE.deg.FromString(H46)</f>
        <v>40.102499999999999</v>
      </c>
      <c r="K46" s="137" cm="1">
        <f t="array" ref="K46">_xll.PE.deg.FromString(I46)</f>
        <v>20.77</v>
      </c>
      <c r="L46" s="84">
        <f t="shared" si="13"/>
        <v>1.0558433863394612E-4</v>
      </c>
      <c r="M46" s="80">
        <f t="shared" si="13"/>
        <v>-1.3844255360595525E-4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40.10260558,20.76986156</v>
      </c>
      <c r="R46" s="98" t="str">
        <f t="shared" si="15"/>
        <v>&lt;trkpt lon="40.10260558" lat="20.76986156"&gt;&lt;name&gt;S05&lt;/name&gt;&lt;/trkpt&gt;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>
        <v>40.127947412484311</v>
      </c>
      <c r="G47" s="143">
        <v>20.782062480924413</v>
      </c>
      <c r="H47" s="141" t="str" cm="1">
        <f t="array" ref="H47">_xll.PE.deg.AsString(F47)</f>
        <v>40 07 41</v>
      </c>
      <c r="I47" s="142" t="str" cm="1">
        <f t="array" ref="I47">_xll.PE.deg.AsString(G47)</f>
        <v>20 46 55</v>
      </c>
      <c r="J47" s="141" cm="1">
        <f t="array" ref="J47">_xll.PE.deg.FromString(H47)</f>
        <v>40.128055555555555</v>
      </c>
      <c r="K47" s="143" cm="1">
        <f t="array" ref="K47">_xll.PE.deg.FromString(I47)</f>
        <v>20.781944444444445</v>
      </c>
      <c r="L47" s="86">
        <f t="shared" si="13"/>
        <v>-1.081430712446263E-4</v>
      </c>
      <c r="M47" s="82">
        <f t="shared" si="13"/>
        <v>1.1803647996799782E-4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38643.191914328607</v>
      </c>
      <c r="Q47" s="44" t="str">
        <f t="shared" si="14"/>
        <v>40.12794741,20.78206248</v>
      </c>
      <c r="R47" s="98" t="str">
        <f t="shared" si="15"/>
        <v>&lt;trkpt lon="40.12794741" lat="20.78206248"&gt;&lt;name&gt;S06&lt;/name&gt;&lt;/trkpt&gt;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5">_xll.PE.trf.Transform($D$4,$D$5,D50:D55,E50:E55)</f>
        <v>39.791989095864032</v>
      </c>
      <c r="G50" s="134">
        <v>20.589013819347606</v>
      </c>
      <c r="H50" s="132" t="str" cm="1">
        <f t="array" ref="H50">_xll.PE.deg.AsString(F50)</f>
        <v>39 47 31</v>
      </c>
      <c r="I50" s="133" t="str" cm="1">
        <f t="array" ref="I50">_xll.PE.deg.AsString(G50)</f>
        <v>20 35 20</v>
      </c>
      <c r="J50" s="132" cm="1">
        <f t="array" ref="J50">_xll.PE.deg.FromString(H50)</f>
        <v>39.791944444444439</v>
      </c>
      <c r="K50" s="134" cm="1">
        <f t="array" ref="K50">_xll.PE.deg.FromString(I50)</f>
        <v>20.588888888888889</v>
      </c>
      <c r="L50" s="83">
        <f t="shared" ref="L50:M55" si="16">F50-J50</f>
        <v>4.4651419592867114E-5</v>
      </c>
      <c r="M50" s="79">
        <f t="shared" si="16"/>
        <v>1.2493045871764252E-4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39.79198910,20.58901382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lon="39.79198910" lat="20.58901382"&gt;&lt;name&gt;S01&lt;/name&gt;&lt;/trkpt&gt;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>
        <v>39.817654465781466</v>
      </c>
      <c r="G51" s="137">
        <v>20.599962394933218</v>
      </c>
      <c r="H51" s="135" t="str" cm="1">
        <f t="array" ref="H51">_xll.PE.deg.AsString(F51)</f>
        <v>39 49 04</v>
      </c>
      <c r="I51" s="136" t="str" cm="1">
        <f t="array" ref="I51">_xll.PE.deg.AsString(G51)</f>
        <v>20 35 60</v>
      </c>
      <c r="J51" s="135" cm="1">
        <f t="array" ref="J51">_xll.PE.deg.FromString(H51)</f>
        <v>39.817777777777778</v>
      </c>
      <c r="K51" s="137" cm="1">
        <f t="array" ref="K51">_xll.PE.deg.FromString(I51)</f>
        <v>20.599999999999998</v>
      </c>
      <c r="L51" s="84">
        <f t="shared" si="16"/>
        <v>-1.2331199631177014E-4</v>
      </c>
      <c r="M51" s="80">
        <f t="shared" si="16"/>
        <v>-3.7605066779633489E-5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39.81765447,20.59996239</v>
      </c>
      <c r="R51" s="98" t="str">
        <f t="shared" si="18"/>
        <v>&lt;trkpt lon="39.81765447" lat="20.59996239"&gt;&lt;name&gt;S02&lt;/name&gt;&lt;/trkpt&gt;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>
        <v>39.851873236395171</v>
      </c>
      <c r="G52" s="140">
        <v>20.61457306275846</v>
      </c>
      <c r="H52" s="138" t="str" cm="1">
        <f t="array" ref="H52">_xll.PE.deg.AsString(F52)</f>
        <v>39 51 07</v>
      </c>
      <c r="I52" s="139" t="str" cm="1">
        <f t="array" ref="I52">_xll.PE.deg.AsString(G52)</f>
        <v>20 36 52</v>
      </c>
      <c r="J52" s="138" cm="1">
        <f t="array" ref="J52">_xll.PE.deg.FromString(H52)</f>
        <v>39.851944444444449</v>
      </c>
      <c r="K52" s="140" cm="1">
        <f t="array" ref="K52">_xll.PE.deg.FromString(I52)</f>
        <v>20.614444444444445</v>
      </c>
      <c r="L52" s="85">
        <f t="shared" si="16"/>
        <v>-7.1208049277515784E-5</v>
      </c>
      <c r="M52" s="81">
        <f t="shared" si="16"/>
        <v>1.286183140152275E-4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39.85187324,20.61457306</v>
      </c>
      <c r="R52" s="98" t="str">
        <f t="shared" si="18"/>
        <v>&lt;trkpt lon="39.85187324" lat="20.61457306"&gt;&lt;name&gt;S03&lt;/name&gt;&lt;/trkpt&gt;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>
        <v>40.065154878750747</v>
      </c>
      <c r="G53" s="140">
        <v>20.705984811064706</v>
      </c>
      <c r="H53" s="138" t="str" cm="1">
        <f t="array" ref="H53">_xll.PE.deg.AsString(F53)</f>
        <v>40 03 55</v>
      </c>
      <c r="I53" s="139" t="str" cm="1">
        <f t="array" ref="I53">_xll.PE.deg.AsString(G53)</f>
        <v>20 42 22</v>
      </c>
      <c r="J53" s="138" cm="1">
        <f t="array" ref="J53">_xll.PE.deg.FromString(H53)</f>
        <v>40.065277777777773</v>
      </c>
      <c r="K53" s="140" cm="1">
        <f t="array" ref="K53">_xll.PE.deg.FromString(I53)</f>
        <v>20.70611111111111</v>
      </c>
      <c r="L53" s="85">
        <f t="shared" si="16"/>
        <v>-1.2289902702633526E-4</v>
      </c>
      <c r="M53" s="81">
        <f t="shared" si="16"/>
        <v>-1.2630004640357129E-4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40.06515488,20.70598481</v>
      </c>
      <c r="R53" s="98" t="str">
        <f t="shared" si="18"/>
        <v>&lt;trkpt lon="40.06515488" lat="20.70598481"&gt;&lt;name&gt;S04&lt;/name&gt;&lt;/trkpt&gt;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>
        <v>40.099359210936228</v>
      </c>
      <c r="G54" s="137">
        <v>20.720700426564282</v>
      </c>
      <c r="H54" s="135" t="str" cm="1">
        <f t="array" ref="H54">_xll.PE.deg.AsString(F54)</f>
        <v>40 05 58</v>
      </c>
      <c r="I54" s="136" t="str" cm="1">
        <f t="array" ref="I54">_xll.PE.deg.AsString(G54)</f>
        <v>20 43 15</v>
      </c>
      <c r="J54" s="135" cm="1">
        <f t="array" ref="J54">_xll.PE.deg.FromString(H54)</f>
        <v>40.099444444444444</v>
      </c>
      <c r="K54" s="137" cm="1">
        <f t="array" ref="K54">_xll.PE.deg.FromString(I54)</f>
        <v>20.720833333333331</v>
      </c>
      <c r="L54" s="84">
        <f t="shared" si="16"/>
        <v>-8.5233508215765141E-5</v>
      </c>
      <c r="M54" s="80">
        <f t="shared" si="16"/>
        <v>-1.3290676904986753E-4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40.09935921,20.72070043</v>
      </c>
      <c r="R54" s="98" t="str">
        <f t="shared" si="18"/>
        <v>&lt;trkpt lon="40.09935921" lat="20.72070043"&gt;&lt;name&gt;S05&lt;/name&gt;&lt;/trkpt&gt;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>
        <v>40.125011132371569</v>
      </c>
      <c r="G55" s="143">
        <v>20.731746754230969</v>
      </c>
      <c r="H55" s="141" t="str" cm="1">
        <f t="array" ref="H55">_xll.PE.deg.AsString(F55)</f>
        <v>40 07 30</v>
      </c>
      <c r="I55" s="142" t="str" cm="1">
        <f t="array" ref="I55">_xll.PE.deg.AsString(G55)</f>
        <v>20 43 54</v>
      </c>
      <c r="J55" s="141" cm="1">
        <f t="array" ref="J55">_xll.PE.deg.FromString(H55)</f>
        <v>40.125</v>
      </c>
      <c r="K55" s="143" cm="1">
        <f t="array" ref="K55">_xll.PE.deg.FromString(I55)</f>
        <v>20.731666666666666</v>
      </c>
      <c r="L55" s="86">
        <f t="shared" si="16"/>
        <v>1.1132371568578492E-5</v>
      </c>
      <c r="M55" s="82">
        <f t="shared" si="16"/>
        <v>8.0087564302999681E-5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32255.779849783452</v>
      </c>
      <c r="Q55" s="44" t="str">
        <f t="shared" si="17"/>
        <v>40.12501113,20.73174675</v>
      </c>
      <c r="R55" s="98" t="str">
        <f t="shared" si="18"/>
        <v>&lt;trkpt lon="40.12501113" lat="20.73174675"&gt;&lt;name&gt;S06&lt;/name&gt;&lt;/trkpt&gt;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63">_xll.PE.trf.Transform($D$4,$D$5,D58:D63,E58:E63)</f>
        <v>39.811347452975021</v>
      </c>
      <c r="G58" s="134">
        <v>20.56701379367782</v>
      </c>
      <c r="H58" s="132" t="str" cm="1">
        <f t="array" ref="H58">_xll.PE.deg.AsString(F58)</f>
        <v>39 48 41</v>
      </c>
      <c r="I58" s="133" t="str" cm="1">
        <f t="array" ref="I58">_xll.PE.deg.AsString(G58)</f>
        <v>20 34 01</v>
      </c>
      <c r="J58" s="132" cm="1">
        <f t="array" ref="J58">_xll.PE.deg.FromString(H58)</f>
        <v>39.811388888888885</v>
      </c>
      <c r="K58" s="134" cm="1">
        <f t="array" ref="K58">_xll.PE.deg.FromString(I58)</f>
        <v>20.566944444444445</v>
      </c>
      <c r="L58" s="83">
        <f t="shared" ref="L58:M63" si="19">F58-J58</f>
        <v>-4.143591386451817E-5</v>
      </c>
      <c r="M58" s="79">
        <f t="shared" si="19"/>
        <v>6.9349233374538244E-5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39.81134745,20.56701379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lon="39.81134745" lat="20.56701379"&gt;&lt;name&gt;S01&lt;/name&gt;&lt;/trkpt&gt;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>
        <v>39.837397513721442</v>
      </c>
      <c r="G59" s="137">
        <v>20.576312484881818</v>
      </c>
      <c r="H59" s="135" t="str" cm="1">
        <f t="array" ref="H59">_xll.PE.deg.AsString(F59)</f>
        <v>39 50 15</v>
      </c>
      <c r="I59" s="136" t="str" cm="1">
        <f t="array" ref="I59">_xll.PE.deg.AsString(G59)</f>
        <v>20 34 35</v>
      </c>
      <c r="J59" s="135" cm="1">
        <f t="array" ref="J59">_xll.PE.deg.FromString(H59)</f>
        <v>39.837500000000006</v>
      </c>
      <c r="K59" s="137" cm="1">
        <f t="array" ref="K59">_xll.PE.deg.FromString(I59)</f>
        <v>20.576388888888889</v>
      </c>
      <c r="L59" s="84">
        <f t="shared" si="19"/>
        <v>-1.0248627856412895E-4</v>
      </c>
      <c r="M59" s="80">
        <f t="shared" si="19"/>
        <v>-7.6404007071317892E-5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39.83739751,20.57631248</v>
      </c>
      <c r="R59" s="98" t="str">
        <f t="shared" si="21"/>
        <v>&lt;trkpt lon="39.83739751" lat="20.57631248"&gt;&lt;name&gt;S02&lt;/name&gt;&lt;/trkpt&gt;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>
        <v>39.872129642809206</v>
      </c>
      <c r="G60" s="140">
        <v>20.58872155124104</v>
      </c>
      <c r="H60" s="138" t="str" cm="1">
        <f t="array" ref="H60">_xll.PE.deg.AsString(F60)</f>
        <v>39 52 20</v>
      </c>
      <c r="I60" s="139" t="str" cm="1">
        <f t="array" ref="I60">_xll.PE.deg.AsString(G60)</f>
        <v>20 35 19</v>
      </c>
      <c r="J60" s="138" cm="1">
        <f t="array" ref="J60">_xll.PE.deg.FromString(H60)</f>
        <v>39.87222222222222</v>
      </c>
      <c r="K60" s="140" cm="1">
        <f t="array" ref="K60">_xll.PE.deg.FromString(I60)</f>
        <v>20.58861111111111</v>
      </c>
      <c r="L60" s="85">
        <f t="shared" si="19"/>
        <v>-9.2579413013993417E-5</v>
      </c>
      <c r="M60" s="81">
        <f t="shared" si="19"/>
        <v>1.1044012993011165E-4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39.87212964,20.58872155</v>
      </c>
      <c r="R60" s="98" t="str">
        <f t="shared" si="21"/>
        <v>&lt;trkpt lon="39.87212964" lat="20.58872155"&gt;&lt;name&gt;S03&lt;/name&gt;&lt;/trkpt&gt;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>
        <v>40.06095677482832</v>
      </c>
      <c r="G61" s="140">
        <v>20.656412386573372</v>
      </c>
      <c r="H61" s="138" t="str" cm="1">
        <f t="array" ref="H61">_xll.PE.deg.AsString(F61)</f>
        <v>40 03 39</v>
      </c>
      <c r="I61" s="139" t="str" cm="1">
        <f t="array" ref="I61">_xll.PE.deg.AsString(G61)</f>
        <v>20 39 23</v>
      </c>
      <c r="J61" s="138" cm="1">
        <f t="array" ref="J61">_xll.PE.deg.FromString(H61)</f>
        <v>40.060833333333328</v>
      </c>
      <c r="K61" s="140" cm="1">
        <f t="array" ref="K61">_xll.PE.deg.FromString(I61)</f>
        <v>20.656388888888888</v>
      </c>
      <c r="L61" s="85">
        <f t="shared" si="19"/>
        <v>1.2344149499199375E-4</v>
      </c>
      <c r="M61" s="81">
        <f t="shared" si="19"/>
        <v>2.3497684484397041E-5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40.06095677,20.65641239</v>
      </c>
      <c r="R61" s="98" t="str">
        <f t="shared" si="21"/>
        <v>&lt;trkpt lon="40.06095677" lat="20.65641239"&gt;&lt;name&gt;S04&lt;/name&gt;&lt;/trkpt&gt;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>
        <v>40.095679332694765</v>
      </c>
      <c r="G62" s="137">
        <v>20.66890173600618</v>
      </c>
      <c r="H62" s="135" t="str" cm="1">
        <f t="array" ref="H62">_xll.PE.deg.AsString(F62)</f>
        <v>40 05 44</v>
      </c>
      <c r="I62" s="136" t="str" cm="1">
        <f t="array" ref="I62">_xll.PE.deg.AsString(G62)</f>
        <v>20 40 08</v>
      </c>
      <c r="J62" s="135" cm="1">
        <f t="array" ref="J62">_xll.PE.deg.FromString(H62)</f>
        <v>40.095555555555556</v>
      </c>
      <c r="K62" s="137" cm="1">
        <f t="array" ref="K62">_xll.PE.deg.FromString(I62)</f>
        <v>20.66888888888889</v>
      </c>
      <c r="L62" s="84">
        <f t="shared" si="19"/>
        <v>1.2377713920841416E-4</v>
      </c>
      <c r="M62" s="80">
        <f t="shared" si="19"/>
        <v>1.2847117289993548E-5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40.09567933,20.66890174</v>
      </c>
      <c r="R62" s="98" t="str">
        <f t="shared" si="21"/>
        <v>&lt;trkpt lon="40.09567933" lat="20.66890174"&gt;&lt;name&gt;S05&lt;/name&gt;&lt;/trkpt&gt;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>
        <v>40.121720263527173</v>
      </c>
      <c r="G63" s="143">
        <v>20.678277008623301</v>
      </c>
      <c r="H63" s="141" t="str" cm="1">
        <f t="array" ref="H63">_xll.PE.deg.AsString(F63)</f>
        <v>40 07 18</v>
      </c>
      <c r="I63" s="142" t="str" cm="1">
        <f t="array" ref="I63">_xll.PE.deg.AsString(G63)</f>
        <v>20 40 42</v>
      </c>
      <c r="J63" s="141" cm="1">
        <f t="array" ref="J63">_xll.PE.deg.FromString(H63)</f>
        <v>40.12166666666667</v>
      </c>
      <c r="K63" s="143" cm="1">
        <f t="array" ref="K63">_xll.PE.deg.FromString(I63)</f>
        <v>20.678333333333335</v>
      </c>
      <c r="L63" s="86">
        <f t="shared" si="19"/>
        <v>5.3596860503546395E-5</v>
      </c>
      <c r="M63" s="82">
        <f t="shared" si="19"/>
        <v>-5.6324710033806014E-5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28780.714983765094</v>
      </c>
      <c r="Q63" s="44" t="str">
        <f t="shared" si="20"/>
        <v>40.12172026,20.67827701</v>
      </c>
      <c r="R63" s="98" t="str">
        <f t="shared" si="21"/>
        <v>&lt;trkpt lon="40.12172026" lat="20.67827701"&gt;&lt;name&gt;S06&lt;/name&gt;&lt;/trkpt&gt;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72">_xll.PE.trf.Transform($D$4,$D$5,D66:D72,E66:E72)</f>
        <v>39.859869961259648</v>
      </c>
      <c r="G66" s="134">
        <v>20.420853047265258</v>
      </c>
      <c r="H66" s="132" t="str" cm="1">
        <f t="array" ref="H66">_xll.PE.deg.AsString(F66)</f>
        <v>39 51 36</v>
      </c>
      <c r="I66" s="133" t="str" cm="1">
        <f t="array" ref="I66">_xll.PE.deg.AsString(G66)</f>
        <v>20 25 15</v>
      </c>
      <c r="J66" s="132" cm="1">
        <f t="array" ref="J66">_xll.PE.deg.FromString(H66)</f>
        <v>39.86</v>
      </c>
      <c r="K66" s="134" cm="1">
        <f t="array" ref="K66">_xll.PE.deg.FromString(I66)</f>
        <v>20.420833333333334</v>
      </c>
      <c r="L66" s="71">
        <f t="shared" ref="L66:M72" si="22">F66-J66</f>
        <v>-1.3003874035177887E-4</v>
      </c>
      <c r="M66" s="72">
        <f t="shared" si="22"/>
        <v>1.9713931923348582E-5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39.85986996,20.42085305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lon="39.85986996" lat="20.42085305"&gt;&lt;name&gt;S01&lt;/name&gt;&lt;/trkpt&gt;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>
        <v>39.882784099687193</v>
      </c>
      <c r="G67" s="137">
        <v>20.439431357297501</v>
      </c>
      <c r="H67" s="135" t="str" cm="1">
        <f t="array" ref="H67">_xll.PE.deg.AsString(F67)</f>
        <v>39 52 58</v>
      </c>
      <c r="I67" s="136" t="str" cm="1">
        <f t="array" ref="I67">_xll.PE.deg.AsString(G67)</f>
        <v>20 26 22</v>
      </c>
      <c r="J67" s="135" cm="1">
        <f t="array" ref="J67">_xll.PE.deg.FromString(H67)</f>
        <v>39.882777777777775</v>
      </c>
      <c r="K67" s="137" cm="1">
        <f t="array" ref="K67">_xll.PE.deg.FromString(I67)</f>
        <v>20.439444444444444</v>
      </c>
      <c r="L67" s="73">
        <f t="shared" si="22"/>
        <v>6.3219094172950463E-6</v>
      </c>
      <c r="M67" s="74">
        <f t="shared" si="22"/>
        <v>-1.3087146943036032E-5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39.88278410,20.43943136</v>
      </c>
      <c r="R67" s="98" t="str">
        <f t="shared" si="26"/>
        <v>&lt;trkpt lon="39.88278410" lat="20.43943136"&gt;&lt;name&gt;S02&lt;/name&gt;&lt;/trkpt&gt;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>
        <v>39.913331643298172</v>
      </c>
      <c r="G68" s="140">
        <v>20.464221601734241</v>
      </c>
      <c r="H68" s="138" t="str" cm="1">
        <f t="array" ref="H68">_xll.PE.deg.AsString(F68)</f>
        <v>39 54 48</v>
      </c>
      <c r="I68" s="139" t="str" cm="1">
        <f t="array" ref="I68">_xll.PE.deg.AsString(G68)</f>
        <v>20 27 51</v>
      </c>
      <c r="J68" s="138" cm="1">
        <f t="array" ref="J68">_xll.PE.deg.FromString(H68)</f>
        <v>39.913333333333334</v>
      </c>
      <c r="K68" s="140" cm="1">
        <f t="array" ref="K68">_xll.PE.deg.FromString(I68)</f>
        <v>20.464166666666667</v>
      </c>
      <c r="L68" s="75">
        <f t="shared" si="22"/>
        <v>-1.6900351624826726E-6</v>
      </c>
      <c r="M68" s="76">
        <f t="shared" si="22"/>
        <v>5.4935067574035656E-5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39.91333164,20.46422160</v>
      </c>
      <c r="R68" s="98" t="str">
        <f t="shared" si="26"/>
        <v>&lt;trkpt lon="39.91333164" lat="20.46422160"&gt;&lt;name&gt;S03&lt;/name&gt;&lt;/trkpt&gt;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>
        <v>39.992962696070656</v>
      </c>
      <c r="G69" s="140">
        <v>20.528968240985812</v>
      </c>
      <c r="H69" s="138" t="str" cm="1">
        <f t="array" ref="H69">_xll.PE.deg.AsString(F69)</f>
        <v>39 59 35</v>
      </c>
      <c r="I69" s="139" t="str" cm="1">
        <f t="array" ref="I69">_xll.PE.deg.AsString(G69)</f>
        <v>20 31 44</v>
      </c>
      <c r="J69" s="138" cm="1">
        <f t="array" ref="J69">_xll.PE.deg.FromString(H69)</f>
        <v>39.993055555555557</v>
      </c>
      <c r="K69" s="140" cm="1">
        <f t="array" ref="K69">_xll.PE.deg.FromString(I69)</f>
        <v>20.528888888888886</v>
      </c>
      <c r="L69" s="75">
        <f t="shared" si="22"/>
        <v>-9.2859484901453015E-5</v>
      </c>
      <c r="M69" s="76">
        <f t="shared" si="22"/>
        <v>7.9352096925333626E-5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39.99296270,20.52896824</v>
      </c>
      <c r="R69" s="98" t="str">
        <f t="shared" si="26"/>
        <v>&lt;trkpt lon="39.99296270" lat="20.52896824"&gt;&lt;name&gt;S04&lt;/name&gt;&lt;/trkpt&gt;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>
        <v>40.049934818884374</v>
      </c>
      <c r="G70" s="140">
        <v>20.598029983950802</v>
      </c>
      <c r="H70" s="138" t="str" cm="1">
        <f t="array" ref="H70">_xll.PE.deg.AsString(F70)</f>
        <v>40 02 60</v>
      </c>
      <c r="I70" s="139" t="str" cm="1">
        <f t="array" ref="I70">_xll.PE.deg.AsString(G70)</f>
        <v>20 35 53</v>
      </c>
      <c r="J70" s="138" cm="1">
        <f t="array" ref="J70">_xll.PE.deg.FromString(H70)</f>
        <v>40.049999999999997</v>
      </c>
      <c r="K70" s="140" cm="1">
        <f t="array" ref="K70">_xll.PE.deg.FromString(I70)</f>
        <v>20.598055555555554</v>
      </c>
      <c r="L70" s="75">
        <f t="shared" si="22"/>
        <v>-6.5181115623147434E-5</v>
      </c>
      <c r="M70" s="76">
        <f t="shared" si="22"/>
        <v>-2.5571604751917221E-5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40.04993482,20.59802998</v>
      </c>
      <c r="R70" s="98" t="str">
        <f t="shared" si="26"/>
        <v>&lt;trkpt lon="40.04993482" lat="20.59802998"&gt;&lt;name&gt;S05&lt;/name&gt;&lt;/trkpt&gt;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>
        <v>40.076274051053659</v>
      </c>
      <c r="G71" s="137">
        <v>20.630014230828383</v>
      </c>
      <c r="H71" s="135" t="str" cm="1">
        <f t="array" ref="H71">_xll.PE.deg.AsString(F71)</f>
        <v>40 04 35</v>
      </c>
      <c r="I71" s="136" t="str" cm="1">
        <f t="array" ref="I71">_xll.PE.deg.AsString(G71)</f>
        <v>20 37 48</v>
      </c>
      <c r="J71" s="135" cm="1">
        <f t="array" ref="J71">_xll.PE.deg.FromString(H71)</f>
        <v>40.076388888888893</v>
      </c>
      <c r="K71" s="137" cm="1">
        <f t="array" ref="K71">_xll.PE.deg.FromString(I71)</f>
        <v>20.63</v>
      </c>
      <c r="L71" s="73">
        <f t="shared" si="22"/>
        <v>-1.1483783523402735E-4</v>
      </c>
      <c r="M71" s="74">
        <f t="shared" si="22"/>
        <v>1.4230828384143024E-5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40.07627405,20.63001423</v>
      </c>
      <c r="R71" s="98" t="str">
        <f t="shared" si="26"/>
        <v>&lt;trkpt lon="40.07627405" lat="20.63001423"&gt;&lt;name&gt;S06&lt;/name&gt;&lt;/trkpt&gt;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>
        <v>40.096022671207621</v>
      </c>
      <c r="G72" s="143">
        <v>20.654018584538754</v>
      </c>
      <c r="H72" s="141" t="str" cm="1">
        <f t="array" ref="H72">_xll.PE.deg.AsString(F72)</f>
        <v>40 05 46</v>
      </c>
      <c r="I72" s="142" t="str" cm="1">
        <f t="array" ref="I72">_xll.PE.deg.AsString(G72)</f>
        <v>20 39 14</v>
      </c>
      <c r="J72" s="141" cm="1">
        <f t="array" ref="J72">_xll.PE.deg.FromString(H72)</f>
        <v>40.096111111111114</v>
      </c>
      <c r="K72" s="143" cm="1">
        <f t="array" ref="K72">_xll.PE.deg.FromString(I72)</f>
        <v>20.653888888888886</v>
      </c>
      <c r="L72" s="77">
        <f t="shared" si="22"/>
        <v>-8.8439903493053862E-5</v>
      </c>
      <c r="M72" s="78">
        <f t="shared" si="22"/>
        <v>1.2969564986775595E-4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29349.578484452715</v>
      </c>
      <c r="Q72" s="44" t="str">
        <f t="shared" si="25"/>
        <v>40.09602267,20.65401858</v>
      </c>
      <c r="R72" s="98" t="str">
        <f t="shared" si="26"/>
        <v>&lt;trkpt lon="40.09602267" lat="20.65401858"&gt;&lt;name&gt;S07&lt;/name&gt;&lt;/trkpt&gt;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81">_xll.PE.trf.Transform($D$4,$D$5,D75:D81,E75:E81)</f>
        <v>39.871612409855402</v>
      </c>
      <c r="G75" s="134">
        <v>20.311771800973467</v>
      </c>
      <c r="H75" s="132" t="str" cm="1">
        <f t="array" ref="H75">_xll.PE.deg.AsString(F75)</f>
        <v>39 52 18</v>
      </c>
      <c r="I75" s="133" t="str" cm="1">
        <f t="array" ref="I75">_xll.PE.deg.AsString(G75)</f>
        <v>20 18 42</v>
      </c>
      <c r="J75" s="132" cm="1">
        <f t="array" ref="J75">_xll.PE.deg.FromString(H75)</f>
        <v>39.87166666666667</v>
      </c>
      <c r="K75" s="134" cm="1">
        <f t="array" ref="K75">_xll.PE.deg.FromString(I75)</f>
        <v>20.311666666666667</v>
      </c>
      <c r="L75" s="71">
        <f t="shared" ref="L75:M81" si="27">F75-J75</f>
        <v>-5.425681126780546E-5</v>
      </c>
      <c r="M75" s="72">
        <f t="shared" si="27"/>
        <v>1.0513430679992553E-4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39.87161241,20.31177180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lon="39.87161241" lat="20.31177180"&gt;&lt;name&gt;S01&lt;/name&gt;&lt;/trkpt&gt;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>
        <v>39.895070267248819</v>
      </c>
      <c r="G76" s="137">
        <v>20.329171758346739</v>
      </c>
      <c r="H76" s="135" t="str" cm="1">
        <f t="array" ref="H76">_xll.PE.deg.AsString(F76)</f>
        <v>39 53 42</v>
      </c>
      <c r="I76" s="136" t="str" cm="1">
        <f t="array" ref="I76">_xll.PE.deg.AsString(G76)</f>
        <v>20 19 45</v>
      </c>
      <c r="J76" s="135" cm="1">
        <f t="array" ref="J76">_xll.PE.deg.FromString(H76)</f>
        <v>39.894999999999996</v>
      </c>
      <c r="K76" s="137" cm="1">
        <f t="array" ref="K76">_xll.PE.deg.FromString(I76)</f>
        <v>20.329166666666666</v>
      </c>
      <c r="L76" s="73">
        <f t="shared" si="27"/>
        <v>7.0267248823085993E-5</v>
      </c>
      <c r="M76" s="74">
        <f t="shared" si="27"/>
        <v>5.0916800731215517E-6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39.89507027,20.32917176</v>
      </c>
      <c r="R76" s="98" t="str">
        <f t="shared" si="31"/>
        <v>&lt;trkpt lon="39.89507027" lat="20.32917176"&gt;&lt;name&gt;S02&lt;/name&gt;&lt;/trkpt&gt;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>
        <v>39.926343351359669</v>
      </c>
      <c r="G77" s="140">
        <v>20.352390049197279</v>
      </c>
      <c r="H77" s="138" t="str" cm="1">
        <f t="array" ref="H77">_xll.PE.deg.AsString(F77)</f>
        <v>39 55 35</v>
      </c>
      <c r="I77" s="139" t="str" cm="1">
        <f t="array" ref="I77">_xll.PE.deg.AsString(G77)</f>
        <v>20 21 09</v>
      </c>
      <c r="J77" s="138" cm="1">
        <f t="array" ref="J77">_xll.PE.deg.FromString(H77)</f>
        <v>39.926388888888887</v>
      </c>
      <c r="K77" s="140" cm="1">
        <f t="array" ref="K77">_xll.PE.deg.FromString(I77)</f>
        <v>20.352500000000003</v>
      </c>
      <c r="L77" s="75">
        <f t="shared" si="27"/>
        <v>-4.5537529217654082E-5</v>
      </c>
      <c r="M77" s="76">
        <f t="shared" si="27"/>
        <v>-1.0995080272380164E-4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39.92634335,20.35239005</v>
      </c>
      <c r="R77" s="98" t="str">
        <f t="shared" si="31"/>
        <v>&lt;trkpt lon="39.92634335" lat="20.35239005"&gt;&lt;name&gt;S03&lt;/name&gt;&lt;/trkpt&gt;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>
        <v>40.017250318280254</v>
      </c>
      <c r="G78" s="140">
        <v>20.42002192077608</v>
      </c>
      <c r="H78" s="138" t="str" cm="1">
        <f t="array" ref="H78">_xll.PE.deg.AsString(F78)</f>
        <v>40 01 02</v>
      </c>
      <c r="I78" s="139" t="str" cm="1">
        <f t="array" ref="I78">_xll.PE.deg.AsString(G78)</f>
        <v>20 25 12</v>
      </c>
      <c r="J78" s="138" cm="1">
        <f t="array" ref="J78">_xll.PE.deg.FromString(H78)</f>
        <v>40.017222222222223</v>
      </c>
      <c r="K78" s="140" cm="1">
        <f t="array" ref="K78">_xll.PE.deg.FromString(I78)</f>
        <v>20.420000000000002</v>
      </c>
      <c r="L78" s="75">
        <f t="shared" si="27"/>
        <v>2.8096058031223947E-5</v>
      </c>
      <c r="M78" s="76">
        <f t="shared" si="27"/>
        <v>2.1920776077877235E-5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40.01725032,20.42002192</v>
      </c>
      <c r="R78" s="98" t="str">
        <f t="shared" si="31"/>
        <v>&lt;trkpt lon="40.01725032" lat="20.42002192"&gt;&lt;name&gt;S04&lt;/name&gt;&lt;/trkpt&gt;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>
        <v>40.123048019061969</v>
      </c>
      <c r="G79" s="140">
        <v>20.524657219495193</v>
      </c>
      <c r="H79" s="138" t="str" cm="1">
        <f t="array" ref="H79">_xll.PE.deg.AsString(F79)</f>
        <v>40 07 23</v>
      </c>
      <c r="I79" s="139" t="str" cm="1">
        <f t="array" ref="I79">_xll.PE.deg.AsString(G79)</f>
        <v>20 31 29</v>
      </c>
      <c r="J79" s="138" cm="1">
        <f t="array" ref="J79">_xll.PE.deg.FromString(H79)</f>
        <v>40.123055555555553</v>
      </c>
      <c r="K79" s="140" cm="1">
        <f t="array" ref="K79">_xll.PE.deg.FromString(I79)</f>
        <v>20.52472222222222</v>
      </c>
      <c r="L79" s="75">
        <f t="shared" si="27"/>
        <v>-7.5364935838706515E-6</v>
      </c>
      <c r="M79" s="76">
        <f t="shared" si="27"/>
        <v>-6.5002727026808316E-5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40.12304802,20.52465722</v>
      </c>
      <c r="R79" s="98" t="str">
        <f t="shared" si="31"/>
        <v>&lt;trkpt lon="40.12304802" lat="20.52465722"&gt;&lt;name&gt;S05&lt;/name&gt;&lt;/trkpt&gt;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>
        <v>40.151714267945763</v>
      </c>
      <c r="G80" s="137">
        <v>20.553080389326706</v>
      </c>
      <c r="H80" s="135" t="str" cm="1">
        <f t="array" ref="H80">_xll.PE.deg.AsString(F80)</f>
        <v>40 09 06</v>
      </c>
      <c r="I80" s="136" t="str" cm="1">
        <f t="array" ref="I80">_xll.PE.deg.AsString(G80)</f>
        <v>20 33 11</v>
      </c>
      <c r="J80" s="135" cm="1">
        <f t="array" ref="J80">_xll.PE.deg.FromString(H80)</f>
        <v>40.151666666666664</v>
      </c>
      <c r="K80" s="137" cm="1">
        <f t="array" ref="K80">_xll.PE.deg.FromString(I80)</f>
        <v>20.553055555555556</v>
      </c>
      <c r="L80" s="73">
        <f t="shared" si="27"/>
        <v>4.7601279099751537E-5</v>
      </c>
      <c r="M80" s="74">
        <f t="shared" si="27"/>
        <v>2.4833771149701533E-5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40.15171427,20.55308039</v>
      </c>
      <c r="R80" s="98" t="str">
        <f t="shared" si="31"/>
        <v>&lt;trkpt lon="40.15171427" lat="20.55308039"&gt;&lt;name&gt;S06&lt;/name&gt;&lt;/trkpt&gt;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>
        <v>40.173209365271106</v>
      </c>
      <c r="G81" s="143">
        <v>20.574413423198564</v>
      </c>
      <c r="H81" s="141" t="str" cm="1">
        <f t="array" ref="H81">_xll.PE.deg.AsString(F81)</f>
        <v>40 10 24</v>
      </c>
      <c r="I81" s="142" t="str" cm="1">
        <f t="array" ref="I81">_xll.PE.deg.AsString(G81)</f>
        <v>20 34 28</v>
      </c>
      <c r="J81" s="141" cm="1">
        <f t="array" ref="J81">_xll.PE.deg.FromString(H81)</f>
        <v>40.173333333333332</v>
      </c>
      <c r="K81" s="143" cm="1">
        <f t="array" ref="K81">_xll.PE.deg.FromString(I81)</f>
        <v>20.574444444444445</v>
      </c>
      <c r="L81" s="77">
        <f t="shared" si="27"/>
        <v>-1.2396806222625401E-4</v>
      </c>
      <c r="M81" s="78">
        <f t="shared" si="27"/>
        <v>-3.1021245881390769E-5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36585.798312003411</v>
      </c>
      <c r="Q81" s="44" t="str">
        <f t="shared" si="30"/>
        <v>40.17320937,20.57441342</v>
      </c>
      <c r="R81" s="98" t="str">
        <f t="shared" si="31"/>
        <v>&lt;trkpt lon="40.17320937" lat="20.57441342"&gt;&lt;name&gt;S07&lt;/name&gt;&lt;/trkpt&gt;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90">_xll.PE.trf.Transform($D$4,$D$5,D84:D90,E84:E90)</f>
        <v>39.916437725442194</v>
      </c>
      <c r="G84" s="134">
        <v>20.17398400945514</v>
      </c>
      <c r="H84" s="132" t="str" cm="1">
        <f t="array" ref="H84">_xll.PE.deg.AsString(F84)</f>
        <v>39 54 59</v>
      </c>
      <c r="I84" s="133" t="str" cm="1">
        <f t="array" ref="I84">_xll.PE.deg.AsString(G84)</f>
        <v>20 10 26</v>
      </c>
      <c r="J84" s="132" cm="1">
        <f t="array" ref="J84">_xll.PE.deg.FromString(H84)</f>
        <v>39.916388888888889</v>
      </c>
      <c r="K84" s="134" cm="1">
        <f t="array" ref="K84">_xll.PE.deg.FromString(I84)</f>
        <v>20.173888888888889</v>
      </c>
      <c r="L84" s="71">
        <f t="shared" ref="L84:M90" si="32">F84-J84</f>
        <v>4.8836553304454355E-5</v>
      </c>
      <c r="M84" s="72">
        <f t="shared" si="32"/>
        <v>9.5120566250272987E-5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39.91643773,20.17398401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lon="39.91643773" lat="20.17398401"&gt;&lt;name&gt;S01&lt;/name&gt;&lt;/trkpt&gt;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>
        <v>39.939926844134114</v>
      </c>
      <c r="G85" s="137">
        <v>20.191322337739035</v>
      </c>
      <c r="H85" s="135" t="str" cm="1">
        <f t="array" ref="H85">_xll.PE.deg.AsString(F85)</f>
        <v>39 56 24</v>
      </c>
      <c r="I85" s="136" t="str" cm="1">
        <f t="array" ref="I85">_xll.PE.deg.AsString(G85)</f>
        <v>20 11 29</v>
      </c>
      <c r="J85" s="135" cm="1">
        <f t="array" ref="J85">_xll.PE.deg.FromString(H85)</f>
        <v>39.94</v>
      </c>
      <c r="K85" s="137" cm="1">
        <f t="array" ref="K85">_xll.PE.deg.FromString(I85)</f>
        <v>20.191388888888888</v>
      </c>
      <c r="L85" s="73">
        <f t="shared" si="32"/>
        <v>-7.3155865884189097E-5</v>
      </c>
      <c r="M85" s="74">
        <f t="shared" si="32"/>
        <v>-6.65511498532112E-5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39.93992684,20.19132234</v>
      </c>
      <c r="R85" s="98" t="str">
        <f t="shared" si="36"/>
        <v>&lt;trkpt lon="39.93992684" lat="20.19132234"&gt;&lt;name&gt;S02&lt;/name&gt;&lt;/trkpt&gt;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>
        <v>39.971241668349471</v>
      </c>
      <c r="G86" s="140">
        <v>20.21445842049598</v>
      </c>
      <c r="H86" s="138" t="str" cm="1">
        <f t="array" ref="H86">_xll.PE.deg.AsString(F86)</f>
        <v>39 58 16</v>
      </c>
      <c r="I86" s="139" t="str" cm="1">
        <f t="array" ref="I86">_xll.PE.deg.AsString(G86)</f>
        <v>20 12 52</v>
      </c>
      <c r="J86" s="138" cm="1">
        <f t="array" ref="J86">_xll.PE.deg.FromString(H86)</f>
        <v>39.971111111111114</v>
      </c>
      <c r="K86" s="140" cm="1">
        <f t="array" ref="K86">_xll.PE.deg.FromString(I86)</f>
        <v>20.214444444444442</v>
      </c>
      <c r="L86" s="75">
        <f t="shared" si="32"/>
        <v>1.3055723835719846E-4</v>
      </c>
      <c r="M86" s="76">
        <f t="shared" si="32"/>
        <v>1.3976051537412104E-5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39.97124167,20.21445842</v>
      </c>
      <c r="R86" s="98" t="str">
        <f t="shared" si="36"/>
        <v>&lt;trkpt lon="39.97124167" lat="20.21445842"&gt;&lt;name&gt;S03&lt;/name&gt;&lt;/trkpt&gt;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>
        <v>40.07802286972867</v>
      </c>
      <c r="G87" s="140">
        <v>20.293534300438793</v>
      </c>
      <c r="H87" s="138" t="str" cm="1">
        <f t="array" ref="H87">_xll.PE.deg.AsString(F87)</f>
        <v>40 04 41</v>
      </c>
      <c r="I87" s="139" t="str" cm="1">
        <f t="array" ref="I87">_xll.PE.deg.AsString(G87)</f>
        <v>20 17 37</v>
      </c>
      <c r="J87" s="138" cm="1">
        <f t="array" ref="J87">_xll.PE.deg.FromString(H87)</f>
        <v>40.078055555555558</v>
      </c>
      <c r="K87" s="140" cm="1">
        <f t="array" ref="K87">_xll.PE.deg.FromString(I87)</f>
        <v>20.293611111111112</v>
      </c>
      <c r="L87" s="75">
        <f t="shared" si="32"/>
        <v>-3.268582688775723E-5</v>
      </c>
      <c r="M87" s="76">
        <f t="shared" si="32"/>
        <v>-7.6810672318572415E-5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40.07802287,20.29353430</v>
      </c>
      <c r="R87" s="98" t="str">
        <f t="shared" si="36"/>
        <v>&lt;trkpt lon="40.07802287" lat="20.29353430"&gt;&lt;name&gt;S04&lt;/name&gt;&lt;/trkpt&gt;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>
        <v>40.228843636231794</v>
      </c>
      <c r="G88" s="140">
        <v>20.420086075465704</v>
      </c>
      <c r="H88" s="138" t="str" cm="1">
        <f t="array" ref="H88">_xll.PE.deg.AsString(F88)</f>
        <v>40 13 44</v>
      </c>
      <c r="I88" s="139" t="str" cm="1">
        <f t="array" ref="I88">_xll.PE.deg.AsString(G88)</f>
        <v>20 25 12</v>
      </c>
      <c r="J88" s="138" cm="1">
        <f t="array" ref="J88">_xll.PE.deg.FromString(H88)</f>
        <v>40.228888888888889</v>
      </c>
      <c r="K88" s="140" cm="1">
        <f t="array" ref="K88">_xll.PE.deg.FromString(I88)</f>
        <v>20.420000000000002</v>
      </c>
      <c r="L88" s="75">
        <f t="shared" si="32"/>
        <v>-4.5252657095318227E-5</v>
      </c>
      <c r="M88" s="76">
        <f t="shared" si="32"/>
        <v>8.607546570260638E-5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40.22884364,20.42008608</v>
      </c>
      <c r="R88" s="98" t="str">
        <f t="shared" si="36"/>
        <v>&lt;trkpt lon="40.22884364" lat="20.42008608"&gt;&lt;name&gt;S05&lt;/name&gt;&lt;/trkpt&gt;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>
        <v>40.259114296852644</v>
      </c>
      <c r="G89" s="137">
        <v>20.445567152973528</v>
      </c>
      <c r="H89" s="135" t="str" cm="1">
        <f t="array" ref="H89">_xll.PE.deg.AsString(F89)</f>
        <v>40 15 33</v>
      </c>
      <c r="I89" s="136" t="str" cm="1">
        <f t="array" ref="I89">_xll.PE.deg.AsString(G89)</f>
        <v>20 26 44</v>
      </c>
      <c r="J89" s="135" cm="1">
        <f t="array" ref="J89">_xll.PE.deg.FromString(H89)</f>
        <v>40.259166666666665</v>
      </c>
      <c r="K89" s="137" cm="1">
        <f t="array" ref="K89">_xll.PE.deg.FromString(I89)</f>
        <v>20.445555555555554</v>
      </c>
      <c r="L89" s="73">
        <f t="shared" si="32"/>
        <v>-5.2369814021346883E-5</v>
      </c>
      <c r="M89" s="74">
        <f t="shared" si="32"/>
        <v>1.1597417973518986E-5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40.25911430,20.44556715</v>
      </c>
      <c r="R89" s="98" t="str">
        <f t="shared" si="36"/>
        <v>&lt;trkpt lon="40.25911430" lat="20.44556715"&gt;&lt;name&gt;S06&lt;/name&gt;&lt;/trkpt&gt;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>
        <v>40.281813603818456</v>
      </c>
      <c r="G90" s="143">
        <v>20.46469281026986</v>
      </c>
      <c r="H90" s="141" t="str" cm="1">
        <f t="array" ref="H90">_xll.PE.deg.AsString(F90)</f>
        <v>40 16 55</v>
      </c>
      <c r="I90" s="142" t="str" cm="1">
        <f t="array" ref="I90">_xll.PE.deg.AsString(G90)</f>
        <v>20 27 53</v>
      </c>
      <c r="J90" s="141" cm="1">
        <f t="array" ref="J90">_xll.PE.deg.FromString(H90)</f>
        <v>40.281944444444441</v>
      </c>
      <c r="K90" s="143" cm="1">
        <f t="array" ref="K90">_xll.PE.deg.FromString(I90)</f>
        <v>20.464722222222221</v>
      </c>
      <c r="L90" s="77">
        <f t="shared" si="32"/>
        <v>-1.3084062598522905E-4</v>
      </c>
      <c r="M90" s="78">
        <f t="shared" si="32"/>
        <v>-2.9411952361613203E-5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43642.071284427591</v>
      </c>
      <c r="Q90" s="44" t="str">
        <f t="shared" si="35"/>
        <v>40.28181360,20.46469281</v>
      </c>
      <c r="R90" s="98" t="str">
        <f t="shared" si="36"/>
        <v>&lt;trkpt lon="40.28181360" lat="20.46469281"&gt;&lt;name&gt;S07&lt;/name&gt;&lt;/trkpt&gt;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9">_xll.PE.trf.Transform($D$4,$D$5,D93:D99,E93:E99)</f>
        <v>39.900920025054823</v>
      </c>
      <c r="G93" s="134">
        <v>20.631071018111275</v>
      </c>
      <c r="H93" s="132" t="str" cm="1">
        <f t="array" ref="H93">_xll.PE.deg.AsString(F93)</f>
        <v>39 54 03</v>
      </c>
      <c r="I93" s="133" t="str" cm="1">
        <f t="array" ref="I93">_xll.PE.deg.AsString(G93)</f>
        <v>20 37 52</v>
      </c>
      <c r="J93" s="132" cm="1">
        <f t="array" ref="J93">_xll.PE.deg.FromString(H93)</f>
        <v>39.900833333333331</v>
      </c>
      <c r="K93" s="134" cm="1">
        <f t="array" ref="K93">_xll.PE.deg.FromString(I93)</f>
        <v>20.63111111111111</v>
      </c>
      <c r="L93" s="71">
        <f t="shared" ref="L93:M99" si="37">F93-J93</f>
        <v>8.6691721492115903E-5</v>
      </c>
      <c r="M93" s="72">
        <f t="shared" si="37"/>
        <v>-4.0092999835650289E-5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39.90092003,20.63107102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lon="39.90092003" lat="20.63107102"&gt;&lt;name&gt;S01&lt;/name&gt;&lt;/trkpt&gt;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>
        <v>39.920694908365022</v>
      </c>
      <c r="G94" s="137">
        <v>20.607163806598347</v>
      </c>
      <c r="H94" s="135" t="str" cm="1">
        <f t="array" ref="H94">_xll.PE.deg.AsString(F94)</f>
        <v>39 55 15</v>
      </c>
      <c r="I94" s="136" t="str" cm="1">
        <f t="array" ref="I94">_xll.PE.deg.AsString(G94)</f>
        <v>20 36 26</v>
      </c>
      <c r="J94" s="135" cm="1">
        <f t="array" ref="J94">_xll.PE.deg.FromString(H94)</f>
        <v>39.920833333333334</v>
      </c>
      <c r="K94" s="137" cm="1">
        <f t="array" ref="K94">_xll.PE.deg.FromString(I94)</f>
        <v>20.607222222222223</v>
      </c>
      <c r="L94" s="73">
        <f t="shared" si="37"/>
        <v>-1.3842496831273365E-4</v>
      </c>
      <c r="M94" s="74">
        <f t="shared" si="37"/>
        <v>-5.8415623875873735E-5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39.92069491,20.60716381</v>
      </c>
      <c r="R94" s="98" t="str">
        <f t="shared" si="41"/>
        <v>&lt;trkpt lon="39.92069491" lat="20.60716381"&gt;&lt;name&gt;S02&lt;/name&gt;&lt;/trkpt&gt;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>
        <v>39.947053537214863</v>
      </c>
      <c r="G95" s="140">
        <v>20.575266113602552</v>
      </c>
      <c r="H95" s="138" t="str" cm="1">
        <f t="array" ref="H95">_xll.PE.deg.AsString(F95)</f>
        <v>39 56 49</v>
      </c>
      <c r="I95" s="139" t="str" cm="1">
        <f t="array" ref="I95">_xll.PE.deg.AsString(G95)</f>
        <v>20 34 31</v>
      </c>
      <c r="J95" s="138" cm="1">
        <f t="array" ref="J95">_xll.PE.deg.FromString(H95)</f>
        <v>39.946944444444441</v>
      </c>
      <c r="K95" s="140" cm="1">
        <f t="array" ref="K95">_xll.PE.deg.FromString(I95)</f>
        <v>20.575277777777778</v>
      </c>
      <c r="L95" s="75">
        <f t="shared" si="37"/>
        <v>1.0909277042259191E-4</v>
      </c>
      <c r="M95" s="76">
        <f t="shared" si="37"/>
        <v>-1.1664175225689632E-5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39.94705354,20.57526611</v>
      </c>
      <c r="R95" s="98" t="str">
        <f t="shared" si="41"/>
        <v>&lt;trkpt lon="39.94705354" lat="20.57526611"&gt;&lt;name&gt;S03&lt;/name&gt;&lt;/trkpt&gt;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>
        <v>40.053380030351782</v>
      </c>
      <c r="G96" s="140">
        <v>20.446234992650606</v>
      </c>
      <c r="H96" s="138" t="str" cm="1">
        <f t="array" ref="H96">_xll.PE.deg.AsString(F96)</f>
        <v>40 03 12</v>
      </c>
      <c r="I96" s="139" t="str" cm="1">
        <f t="array" ref="I96">_xll.PE.deg.AsString(G96)</f>
        <v>20 26 46</v>
      </c>
      <c r="J96" s="138" cm="1">
        <f t="array" ref="J96">_xll.PE.deg.FromString(H96)</f>
        <v>40.053333333333327</v>
      </c>
      <c r="K96" s="140" cm="1">
        <f t="array" ref="K96">_xll.PE.deg.FromString(I96)</f>
        <v>20.446111111111112</v>
      </c>
      <c r="L96" s="75">
        <f t="shared" si="37"/>
        <v>4.6697018454722183E-5</v>
      </c>
      <c r="M96" s="76">
        <f t="shared" si="37"/>
        <v>1.2388153949416392E-4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40.05338003,20.44623499</v>
      </c>
      <c r="R96" s="98" t="str">
        <f t="shared" si="41"/>
        <v>&lt;trkpt lon="40.05338003" lat="20.44623499"&gt;&lt;name&gt;S04&lt;/name&gt;&lt;/trkpt&gt;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>
        <v>40.198551077836655</v>
      </c>
      <c r="G97" s="140">
        <v>20.264207532733924</v>
      </c>
      <c r="H97" s="138" t="str" cm="1">
        <f t="array" ref="H97">_xll.PE.deg.AsString(F97)</f>
        <v>40 11 55</v>
      </c>
      <c r="I97" s="139" t="str" cm="1">
        <f t="array" ref="I97">_xll.PE.deg.AsString(G97)</f>
        <v>20 15 51</v>
      </c>
      <c r="J97" s="138" cm="1">
        <f t="array" ref="J97">_xll.PE.deg.FromString(H97)</f>
        <v>40.198611111111106</v>
      </c>
      <c r="K97" s="140" cm="1">
        <f t="array" ref="K97">_xll.PE.deg.FromString(I97)</f>
        <v>20.264166666666668</v>
      </c>
      <c r="L97" s="75">
        <f t="shared" si="37"/>
        <v>-6.003327445114337E-5</v>
      </c>
      <c r="M97" s="76">
        <f t="shared" si="37"/>
        <v>4.0866067255507232E-5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40.19855108,20.26420753</v>
      </c>
      <c r="R97" s="98" t="str">
        <f t="shared" si="41"/>
        <v>&lt;trkpt lon="40.19855108" lat="20.26420753"&gt;&lt;name&gt;S05&lt;/name&gt;&lt;/trkpt&gt;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>
        <v>40.224473029917014</v>
      </c>
      <c r="G98" s="137">
        <v>20.231583456880998</v>
      </c>
      <c r="H98" s="135" t="str" cm="1">
        <f t="array" ref="H98">_xll.PE.deg.AsString(F98)</f>
        <v>40 13 28</v>
      </c>
      <c r="I98" s="136" t="str" cm="1">
        <f t="array" ref="I98">_xll.PE.deg.AsString(G98)</f>
        <v>20 13 54</v>
      </c>
      <c r="J98" s="135" cm="1">
        <f t="array" ref="J98">_xll.PE.deg.FromString(H98)</f>
        <v>40.224444444444444</v>
      </c>
      <c r="K98" s="137" cm="1">
        <f t="array" ref="K98">_xll.PE.deg.FromString(I98)</f>
        <v>20.231666666666666</v>
      </c>
      <c r="L98" s="73">
        <f t="shared" si="37"/>
        <v>2.8585472570341608E-5</v>
      </c>
      <c r="M98" s="74">
        <f t="shared" si="37"/>
        <v>-8.3209785668003633E-5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40.22447303,20.23158346</v>
      </c>
      <c r="R98" s="98" t="str">
        <f t="shared" si="41"/>
        <v>&lt;trkpt lon="40.22447303" lat="20.23158346"&gt;&lt;name&gt;S06&lt;/name&gt;&lt;/trkpt&gt;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>
        <v>40.243908228260693</v>
      </c>
      <c r="G99" s="143">
        <v>20.207099068873791</v>
      </c>
      <c r="H99" s="141" t="str" cm="1">
        <f t="array" ref="H99">_xll.PE.deg.AsString(F99)</f>
        <v>40 14 38</v>
      </c>
      <c r="I99" s="142" t="str" cm="1">
        <f t="array" ref="I99">_xll.PE.deg.AsString(G99)</f>
        <v>20 12 26</v>
      </c>
      <c r="J99" s="141" cm="1">
        <f t="array" ref="J99">_xll.PE.deg.FromString(H99)</f>
        <v>40.24388888888889</v>
      </c>
      <c r="K99" s="143" cm="1">
        <f t="array" ref="K99">_xll.PE.deg.FromString(I99)</f>
        <v>20.207222222222221</v>
      </c>
      <c r="L99" s="77">
        <f t="shared" si="37"/>
        <v>1.9339371803539507E-5</v>
      </c>
      <c r="M99" s="78">
        <f t="shared" si="37"/>
        <v>-1.2315334842938341E-4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52276.91780357869</v>
      </c>
      <c r="Q99" s="44" t="str">
        <f t="shared" si="40"/>
        <v>40.24390823,20.20709907</v>
      </c>
      <c r="R99" s="98" t="str">
        <f t="shared" si="41"/>
        <v>&lt;trkpt lon="40.24390823" lat="20.20709907"&gt;&lt;name&gt;S07&lt;/name&gt;&lt;/trkpt&gt;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7">_xll.PE.trf.Transform($D$4,$D$5,D102:D107,E102:E107)</f>
        <v>39.962728047740342</v>
      </c>
      <c r="G102" s="134">
        <v>20.629050994247372</v>
      </c>
      <c r="H102" s="132" t="str" cm="1">
        <f t="array" ref="H102">_xll.PE.deg.AsString(F102)</f>
        <v>39 57 46</v>
      </c>
      <c r="I102" s="133" t="str" cm="1">
        <f t="array" ref="I102">_xll.PE.deg.AsString(G102)</f>
        <v>20 37 45</v>
      </c>
      <c r="J102" s="132" cm="1">
        <f t="array" ref="J102">_xll.PE.deg.FromString(H102)</f>
        <v>39.962777777777781</v>
      </c>
      <c r="K102" s="134" cm="1">
        <f t="array" ref="K102">_xll.PE.deg.FromString(I102)</f>
        <v>20.629166666666666</v>
      </c>
      <c r="L102" s="83">
        <f t="shared" ref="L102:M107" si="42">F102-J102</f>
        <v>-4.9730037439132957E-5</v>
      </c>
      <c r="M102" s="79">
        <f t="shared" si="42"/>
        <v>-1.1567241929455463E-4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39.96272805,20.62905099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lon="39.96272805" lat="20.62905099"&gt;&lt;name&gt;S01&lt;/name&gt;&lt;/trkpt&gt;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>
        <v>39.98401511625643</v>
      </c>
      <c r="G103" s="137">
        <v>20.607424980318356</v>
      </c>
      <c r="H103" s="135" t="str" cm="1">
        <f t="array" ref="H103">_xll.PE.deg.AsString(F103)</f>
        <v>39 59 02</v>
      </c>
      <c r="I103" s="136" t="str" cm="1">
        <f t="array" ref="I103">_xll.PE.deg.AsString(G103)</f>
        <v>20 36 27</v>
      </c>
      <c r="J103" s="135" cm="1">
        <f t="array" ref="J103">_xll.PE.deg.FromString(H103)</f>
        <v>39.983888888888892</v>
      </c>
      <c r="K103" s="137" cm="1">
        <f t="array" ref="K103">_xll.PE.deg.FromString(I103)</f>
        <v>20.607500000000002</v>
      </c>
      <c r="L103" s="84">
        <f t="shared" si="42"/>
        <v>1.2622736753797881E-4</v>
      </c>
      <c r="M103" s="80">
        <f t="shared" si="42"/>
        <v>-7.5019681645471792E-5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39.98401512,20.60742498</v>
      </c>
      <c r="R103" s="98" t="str">
        <f t="shared" si="44"/>
        <v>&lt;trkpt lon="39.98401512" lat="20.60742498"&gt;&lt;name&gt;S02&lt;/name&gt;&lt;/trkpt&gt;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>
        <v>40.012391370043247</v>
      </c>
      <c r="G104" s="140">
        <v>20.578569374278874</v>
      </c>
      <c r="H104" s="138" t="str" cm="1">
        <f t="array" ref="H104">_xll.PE.deg.AsString(F104)</f>
        <v>40 00 45</v>
      </c>
      <c r="I104" s="139" t="str" cm="1">
        <f t="array" ref="I104">_xll.PE.deg.AsString(G104)</f>
        <v>20 34 43</v>
      </c>
      <c r="J104" s="138" cm="1">
        <f t="array" ref="J104">_xll.PE.deg.FromString(H104)</f>
        <v>40.012500000000003</v>
      </c>
      <c r="K104" s="140" cm="1">
        <f t="array" ref="K104">_xll.PE.deg.FromString(I104)</f>
        <v>20.578611111111112</v>
      </c>
      <c r="L104" s="85">
        <f t="shared" si="42"/>
        <v>-1.0862995675609E-4</v>
      </c>
      <c r="M104" s="81">
        <f t="shared" si="42"/>
        <v>-4.1736832237404542E-5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40.01239137,20.57856937</v>
      </c>
      <c r="R104" s="98" t="str">
        <f t="shared" si="44"/>
        <v>&lt;trkpt lon="40.01239137" lat="20.57856937"&gt;&lt;name&gt;S03&lt;/name&gt;&lt;/trkpt&gt;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>
        <v>40.229672848998348</v>
      </c>
      <c r="G105" s="140">
        <v>20.356565648785285</v>
      </c>
      <c r="H105" s="138" t="str" cm="1">
        <f t="array" ref="H105">_xll.PE.deg.AsString(F105)</f>
        <v>40 13 47</v>
      </c>
      <c r="I105" s="139" t="str" cm="1">
        <f t="array" ref="I105">_xll.PE.deg.AsString(G105)</f>
        <v>20 21 24</v>
      </c>
      <c r="J105" s="138" cm="1">
        <f t="array" ref="J105">_xll.PE.deg.FromString(H105)</f>
        <v>40.229722222222222</v>
      </c>
      <c r="K105" s="140" cm="1">
        <f t="array" ref="K105">_xll.PE.deg.FromString(I105)</f>
        <v>20.356666666666669</v>
      </c>
      <c r="L105" s="85">
        <f t="shared" si="42"/>
        <v>-4.9373223873772076E-5</v>
      </c>
      <c r="M105" s="81">
        <f t="shared" si="42"/>
        <v>-1.0101788138427992E-4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40.22967285,20.35656565</v>
      </c>
      <c r="R105" s="98" t="str">
        <f t="shared" si="44"/>
        <v>&lt;trkpt lon="40.22967285" lat="20.35656565"&gt;&lt;name&gt;S04&lt;/name&gt;&lt;/trkpt&gt;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>
        <v>40.257983796295008</v>
      </c>
      <c r="G106" s="137">
        <v>20.327501177994407</v>
      </c>
      <c r="H106" s="135" t="str" cm="1">
        <f t="array" ref="H106">_xll.PE.deg.AsString(F106)</f>
        <v>40 15 29</v>
      </c>
      <c r="I106" s="136" t="str" cm="1">
        <f t="array" ref="I106">_xll.PE.deg.AsString(G106)</f>
        <v>20 19 39</v>
      </c>
      <c r="J106" s="135" cm="1">
        <f t="array" ref="J106">_xll.PE.deg.FromString(H106)</f>
        <v>40.258055555555558</v>
      </c>
      <c r="K106" s="137" cm="1">
        <f t="array" ref="K106">_xll.PE.deg.FromString(I106)</f>
        <v>20.327500000000001</v>
      </c>
      <c r="L106" s="84">
        <f t="shared" si="42"/>
        <v>-7.1759260549697501E-5</v>
      </c>
      <c r="M106" s="80">
        <f t="shared" si="42"/>
        <v>1.1779944060208436E-6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40.25798380,20.32750118</v>
      </c>
      <c r="R106" s="98" t="str">
        <f t="shared" si="44"/>
        <v>&lt;trkpt lon="40.25798380" lat="20.32750118"&gt;&lt;name&gt;S05&lt;/name&gt;&lt;/trkpt&gt;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>
        <v>40.279211993651224</v>
      </c>
      <c r="G107" s="143">
        <v>20.305686881448619</v>
      </c>
      <c r="H107" s="141" t="str" cm="1">
        <f t="array" ref="H107">_xll.PE.deg.AsString(F107)</f>
        <v>40 16 45</v>
      </c>
      <c r="I107" s="142" t="str" cm="1">
        <f t="array" ref="I107">_xll.PE.deg.AsString(G107)</f>
        <v>20 18 20</v>
      </c>
      <c r="J107" s="141" cm="1">
        <f t="array" ref="J107">_xll.PE.deg.FromString(H107)</f>
        <v>40.279166666666669</v>
      </c>
      <c r="K107" s="143" cm="1">
        <f t="array" ref="K107">_xll.PE.deg.FromString(I107)</f>
        <v>20.305555555555557</v>
      </c>
      <c r="L107" s="86">
        <f t="shared" si="42"/>
        <v>4.532698455506079E-5</v>
      </c>
      <c r="M107" s="82">
        <f t="shared" si="42"/>
        <v>1.3132589306152909E-4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42180.359798878162</v>
      </c>
      <c r="Q107" s="44" t="str">
        <f t="shared" si="43"/>
        <v>40.27921199,20.30568688</v>
      </c>
      <c r="R107" s="98" t="str">
        <f t="shared" si="44"/>
        <v>&lt;trkpt lon="40.27921199" lat="20.30568688"&gt;&lt;name&gt;S06&lt;/name&gt;&lt;/trkpt&gt;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5">_xll.PE.trf.Transform($D$4,$D$5,D110:D115,E110:E115)</f>
        <v>39.852108440023834</v>
      </c>
      <c r="G110" s="134">
        <v>20.494850230147918</v>
      </c>
      <c r="H110" s="132" t="str" cm="1">
        <f t="array" ref="H110">_xll.PE.deg.AsString(F110)</f>
        <v>39 51 08</v>
      </c>
      <c r="I110" s="133" t="str" cm="1">
        <f t="array" ref="I110">_xll.PE.deg.AsString(G110)</f>
        <v>20 29 41</v>
      </c>
      <c r="J110" s="132" cm="1">
        <f t="array" ref="J110">_xll.PE.deg.FromString(H110)</f>
        <v>39.852222222222224</v>
      </c>
      <c r="K110" s="134" cm="1">
        <f t="array" ref="K110">_xll.PE.deg.FromString(I110)</f>
        <v>20.494722222222222</v>
      </c>
      <c r="L110" s="83">
        <f t="shared" ref="L110:M115" si="45">F110-J110</f>
        <v>-1.137821983903109E-4</v>
      </c>
      <c r="M110" s="79">
        <f t="shared" si="45"/>
        <v>1.2800792569578334E-4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39.85210844,20.49485023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lon="39.85210844" lat="20.49485023"&gt;&lt;name&gt;S01&lt;/name&gt;&lt;/trkpt&gt;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>
        <v>39.869899544283378</v>
      </c>
      <c r="G111" s="137">
        <v>20.468464776658756</v>
      </c>
      <c r="H111" s="135" t="str" cm="1">
        <f t="array" ref="H111">_xll.PE.deg.AsString(F111)</f>
        <v>39 52 12</v>
      </c>
      <c r="I111" s="136" t="str" cm="1">
        <f t="array" ref="I111">_xll.PE.deg.AsString(G111)</f>
        <v>20 28 06</v>
      </c>
      <c r="J111" s="135" cm="1">
        <f t="array" ref="J111">_xll.PE.deg.FromString(H111)</f>
        <v>39.869999999999997</v>
      </c>
      <c r="K111" s="137" cm="1">
        <f t="array" ref="K111">_xll.PE.deg.FromString(I111)</f>
        <v>20.46833333333333</v>
      </c>
      <c r="L111" s="84">
        <f t="shared" si="45"/>
        <v>-1.0045571661976282E-4</v>
      </c>
      <c r="M111" s="80">
        <f t="shared" si="45"/>
        <v>1.3144332542580628E-4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39.86989954,20.46846478</v>
      </c>
      <c r="R111" s="98" t="str">
        <f t="shared" si="47"/>
        <v>&lt;trkpt lon="39.86989954" lat="20.46846478"&gt;&lt;name&gt;S02&lt;/name&gt;&lt;/trkpt&gt;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>
        <v>39.893611448779389</v>
      </c>
      <c r="G112" s="140">
        <v>20.433262986097112</v>
      </c>
      <c r="H112" s="138" t="str" cm="1">
        <f t="array" ref="H112">_xll.PE.deg.AsString(F112)</f>
        <v>39 53 37</v>
      </c>
      <c r="I112" s="139" t="str" cm="1">
        <f t="array" ref="I112">_xll.PE.deg.AsString(G112)</f>
        <v>20 25 60</v>
      </c>
      <c r="J112" s="138" cm="1">
        <f t="array" ref="J112">_xll.PE.deg.FromString(H112)</f>
        <v>39.893611111111113</v>
      </c>
      <c r="K112" s="140" cm="1">
        <f t="array" ref="K112">_xll.PE.deg.FromString(I112)</f>
        <v>20.433333333333334</v>
      </c>
      <c r="L112" s="85">
        <f t="shared" si="45"/>
        <v>3.3766827556291901E-7</v>
      </c>
      <c r="M112" s="81">
        <f t="shared" si="45"/>
        <v>-7.0347236221124376E-5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39.89361145,20.43326299</v>
      </c>
      <c r="R112" s="98" t="str">
        <f t="shared" si="47"/>
        <v>&lt;trkpt lon="39.89361145" lat="20.43326299"&gt;&lt;name&gt;S03&lt;/name&gt;&lt;/trkpt&gt;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>
        <v>40.063614096843054</v>
      </c>
      <c r="G113" s="140">
        <v>20.17968922866179</v>
      </c>
      <c r="H113" s="138" t="str" cm="1">
        <f t="array" ref="H113">_xll.PE.deg.AsString(F113)</f>
        <v>40 03 49</v>
      </c>
      <c r="I113" s="139" t="str" cm="1">
        <f t="array" ref="I113">_xll.PE.deg.AsString(G113)</f>
        <v>20 10 47</v>
      </c>
      <c r="J113" s="138" cm="1">
        <f t="array" ref="J113">_xll.PE.deg.FromString(H113)</f>
        <v>40.063611111111108</v>
      </c>
      <c r="K113" s="140" cm="1">
        <f t="array" ref="K113">_xll.PE.deg.FromString(I113)</f>
        <v>20.179722222222225</v>
      </c>
      <c r="L113" s="85">
        <f t="shared" si="45"/>
        <v>2.9857319461257248E-6</v>
      </c>
      <c r="M113" s="81">
        <f t="shared" si="45"/>
        <v>-3.2993560434846358E-5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40.06361410,20.17968923</v>
      </c>
      <c r="R113" s="98" t="str">
        <f t="shared" si="47"/>
        <v>&lt;trkpt lon="40.06361410" lat="20.17968923"&gt;&lt;name&gt;S04&lt;/name&gt;&lt;/trkpt&gt;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>
        <v>40.087235533593649</v>
      </c>
      <c r="G114" s="137">
        <v>20.144288416569839</v>
      </c>
      <c r="H114" s="135" t="str" cm="1">
        <f t="array" ref="H114">_xll.PE.deg.AsString(F114)</f>
        <v>40 05 14</v>
      </c>
      <c r="I114" s="136" t="str" cm="1">
        <f t="array" ref="I114">_xll.PE.deg.AsString(G114)</f>
        <v>20 08 39</v>
      </c>
      <c r="J114" s="135" cm="1">
        <f t="array" ref="J114">_xll.PE.deg.FromString(H114)</f>
        <v>40.087222222222223</v>
      </c>
      <c r="K114" s="137" cm="1">
        <f t="array" ref="K114">_xll.PE.deg.FromString(I114)</f>
        <v>20.144166666666667</v>
      </c>
      <c r="L114" s="84">
        <f t="shared" si="45"/>
        <v>1.3311371425572815E-5</v>
      </c>
      <c r="M114" s="80">
        <f t="shared" si="45"/>
        <v>1.2174990317248557E-4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40.08723553,20.14428842</v>
      </c>
      <c r="R114" s="98" t="str">
        <f t="shared" si="47"/>
        <v>&lt;trkpt lon="40.08723553" lat="20.14428842"&gt;&lt;name&gt;S05&lt;/name&gt;&lt;/trkpt&gt;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>
        <v>40.104944276700735</v>
      </c>
      <c r="G115" s="143">
        <v>20.117721776035467</v>
      </c>
      <c r="H115" s="141" t="str" cm="1">
        <f t="array" ref="H115">_xll.PE.deg.AsString(F115)</f>
        <v>40 06 18</v>
      </c>
      <c r="I115" s="142" t="str" cm="1">
        <f t="array" ref="I115">_xll.PE.deg.AsString(G115)</f>
        <v>20 07 04</v>
      </c>
      <c r="J115" s="141" cm="1">
        <f t="array" ref="J115">_xll.PE.deg.FromString(H115)</f>
        <v>40.105000000000004</v>
      </c>
      <c r="K115" s="143" cm="1">
        <f t="array" ref="K115">_xll.PE.deg.FromString(I115)</f>
        <v>20.117777777777778</v>
      </c>
      <c r="L115" s="86">
        <f t="shared" si="45"/>
        <v>-5.5723299269061499E-5</v>
      </c>
      <c r="M115" s="82">
        <f t="shared" si="45"/>
        <v>-5.6001742311906355E-5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42457.728641102956</v>
      </c>
      <c r="Q115" s="44" t="str">
        <f t="shared" si="46"/>
        <v>40.10494428,20.11772178</v>
      </c>
      <c r="R115" s="98" t="str">
        <f t="shared" si="47"/>
        <v>&lt;trkpt lon="40.10494428" lat="20.11772178"&gt;&lt;name&gt;S06&lt;/name&gt;&lt;/trkpt&gt;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2" cm="1">
        <f t="array" ref="F118:G123">_xll.PE.trf.Transform($D$4,$D$5,D118:D123,E118:E123)</f>
        <v>39.985632552543962</v>
      </c>
      <c r="G118" s="134">
        <v>20.446462537542015</v>
      </c>
      <c r="H118" s="132" t="str" cm="1">
        <f t="array" ref="H118">_xll.PE.deg.AsString(F118)</f>
        <v>39 59 08</v>
      </c>
      <c r="I118" s="133" t="str" cm="1">
        <f t="array" ref="I118">_xll.PE.deg.AsString(G118)</f>
        <v>20 26 47</v>
      </c>
      <c r="J118" s="132" cm="1">
        <f t="array" ref="J118">_xll.PE.deg.FromString(H118)</f>
        <v>39.985555555555557</v>
      </c>
      <c r="K118" s="134" cm="1">
        <f t="array" ref="K118">_xll.PE.deg.FromString(I118)</f>
        <v>20.44638888888889</v>
      </c>
      <c r="L118" s="83">
        <f t="shared" ref="L118:M123" si="48">F118-J118</f>
        <v>7.6996988404687272E-5</v>
      </c>
      <c r="M118" s="79">
        <f t="shared" si="48"/>
        <v>7.3648653124536168E-5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49">CONCATENATE(TEXT(F118,"#.00000000"),",",TEXT(G118,"#.00000000"))</f>
        <v>39.98563255,20.44646254</v>
      </c>
      <c r="R118" s="98" t="str">
        <f t="shared" ref="R118:R123" si="50">CONCATENATE("&lt;trkpt lon=""",TEXT(F118,"#.00000000"),""" lat=""",TEXT(G118,"#.00000000"),"""","&gt;&lt;name&gt;S",TEXT(B118,"00"),"&lt;/name&gt;&lt;/trkpt&gt;")</f>
        <v>&lt;trkpt lon="39.98563255" lat="20.44646254"&gt;&lt;name&gt;S01&lt;/name&gt;&lt;/trkpt&gt;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>
        <v>40.007722687679916</v>
      </c>
      <c r="G119" s="137">
        <v>20.466688121706184</v>
      </c>
      <c r="H119" s="135" t="str" cm="1">
        <f t="array" ref="H119">_xll.PE.deg.AsString(F119)</f>
        <v>40 00 28</v>
      </c>
      <c r="I119" s="136" t="str" cm="1">
        <f t="array" ref="I119">_xll.PE.deg.AsString(G119)</f>
        <v>20 28 00</v>
      </c>
      <c r="J119" s="135" cm="1">
        <f t="array" ref="J119">_xll.PE.deg.FromString(H119)</f>
        <v>40.007777777777775</v>
      </c>
      <c r="K119" s="137" cm="1">
        <f t="array" ref="K119">_xll.PE.deg.FromString(I119)</f>
        <v>20.466666666666665</v>
      </c>
      <c r="L119" s="84">
        <f t="shared" si="48"/>
        <v>-5.5090097859533671E-5</v>
      </c>
      <c r="M119" s="80">
        <f t="shared" si="48"/>
        <v>2.1455039519224783E-5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40.00772269,20.46668812</v>
      </c>
      <c r="R119" s="98" t="str">
        <f t="shared" si="50"/>
        <v>&lt;trkpt lon="40.00772269" lat="20.46668812"&gt;&lt;name&gt;S02&lt;/name&gt;&lt;/trkpt&gt;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>
        <v>40.037170707152626</v>
      </c>
      <c r="G120" s="140">
        <v>20.493675796644851</v>
      </c>
      <c r="H120" s="138" t="str" cm="1">
        <f t="array" ref="H120">_xll.PE.deg.AsString(F120)</f>
        <v>40 02 14</v>
      </c>
      <c r="I120" s="139" t="str" cm="1">
        <f t="array" ref="I120">_xll.PE.deg.AsString(G120)</f>
        <v>20 29 37</v>
      </c>
      <c r="J120" s="138" cm="1">
        <f t="array" ref="J120">_xll.PE.deg.FromString(H120)</f>
        <v>40.037222222222219</v>
      </c>
      <c r="K120" s="140" cm="1">
        <f t="array" ref="K120">_xll.PE.deg.FromString(I120)</f>
        <v>20.493611111111111</v>
      </c>
      <c r="L120" s="85">
        <f t="shared" si="48"/>
        <v>-5.1515069593222051E-5</v>
      </c>
      <c r="M120" s="81">
        <f t="shared" si="48"/>
        <v>6.4685533740060919E-5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40.03717071,20.49367580</v>
      </c>
      <c r="R120" s="98" t="str">
        <f t="shared" si="50"/>
        <v>&lt;trkpt lon="40.03717071" lat="20.49367580"&gt;&lt;name&gt;S03&lt;/name&gt;&lt;/trkpt&gt;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>
        <v>40.099288620615951</v>
      </c>
      <c r="G121" s="140">
        <v>20.550698838423028</v>
      </c>
      <c r="H121" s="138" t="str" cm="1">
        <f t="array" ref="H121">_xll.PE.deg.AsString(F121)</f>
        <v>40 05 57</v>
      </c>
      <c r="I121" s="139" t="str" cm="1">
        <f t="array" ref="I121">_xll.PE.deg.AsString(G121)</f>
        <v>20 33 03</v>
      </c>
      <c r="J121" s="138" cm="1">
        <f t="array" ref="J121">_xll.PE.deg.FromString(H121)</f>
        <v>40.099166666666669</v>
      </c>
      <c r="K121" s="140" cm="1">
        <f t="array" ref="K121">_xll.PE.deg.FromString(I121)</f>
        <v>20.550833333333333</v>
      </c>
      <c r="L121" s="85">
        <f t="shared" si="48"/>
        <v>1.2195394928227188E-4</v>
      </c>
      <c r="M121" s="81">
        <f t="shared" si="48"/>
        <v>-1.3449491030570471E-4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40.09928862,20.55069884</v>
      </c>
      <c r="R121" s="98" t="str">
        <f t="shared" si="50"/>
        <v>&lt;trkpt lon="40.09928862" lat="20.55069884"&gt;&lt;name&gt;S04&lt;/name&gt;&lt;/trkpt&gt;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>
        <v>40.128716991604712</v>
      </c>
      <c r="G122" s="137">
        <v>20.57775867974599</v>
      </c>
      <c r="H122" s="135" t="str" cm="1">
        <f t="array" ref="H122">_xll.PE.deg.AsString(F122)</f>
        <v>40 07 43</v>
      </c>
      <c r="I122" s="136" t="str" cm="1">
        <f t="array" ref="I122">_xll.PE.deg.AsString(G122)</f>
        <v>20 34 40</v>
      </c>
      <c r="J122" s="135" cm="1">
        <f t="array" ref="J122">_xll.PE.deg.FromString(H122)</f>
        <v>40.128611111111113</v>
      </c>
      <c r="K122" s="137" cm="1">
        <f t="array" ref="K122">_xll.PE.deg.FromString(I122)</f>
        <v>20.577777777777779</v>
      </c>
      <c r="L122" s="84">
        <f t="shared" si="48"/>
        <v>1.0588049359938623E-4</v>
      </c>
      <c r="M122" s="80">
        <f t="shared" si="48"/>
        <v>-1.9098031788900016E-5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40.12871699,20.57775868</v>
      </c>
      <c r="R122" s="98" t="str">
        <f t="shared" si="50"/>
        <v>&lt;trkpt lon="40.12871699" lat="20.57775868"&gt;&lt;name&gt;S05&lt;/name&gt;&lt;/trkpt&gt;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>
        <v>40.150784098452753</v>
      </c>
      <c r="G123" s="143">
        <v>20.598068843796192</v>
      </c>
      <c r="H123" s="141" t="str" cm="1">
        <f t="array" ref="H123">_xll.PE.deg.AsString(F123)</f>
        <v>40 09 03</v>
      </c>
      <c r="I123" s="142" t="str" cm="1">
        <f t="array" ref="I123">_xll.PE.deg.AsString(G123)</f>
        <v>20 35 53</v>
      </c>
      <c r="J123" s="141" cm="1">
        <f t="array" ref="J123">_xll.PE.deg.FromString(H123)</f>
        <v>40.150833333333331</v>
      </c>
      <c r="K123" s="143" cm="1">
        <f t="array" ref="K123">_xll.PE.deg.FromString(I123)</f>
        <v>20.598055555555554</v>
      </c>
      <c r="L123" s="86">
        <f t="shared" si="48"/>
        <v>-4.9234880577841977E-5</v>
      </c>
      <c r="M123" s="82">
        <f t="shared" si="48"/>
        <v>1.3288240637621129E-5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17611.012861982512</v>
      </c>
      <c r="Q123" s="44" t="str">
        <f t="shared" si="49"/>
        <v>40.15078410,20.59806884</v>
      </c>
      <c r="R123" s="98" t="str">
        <f t="shared" si="50"/>
        <v>&lt;trkpt lon="40.15078410" lat="20.59806884"&gt;&lt;name&gt;S06&lt;/name&gt;&lt;/trkpt&gt;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ht="15" thickBot="1" x14ac:dyDescent="0.4">
      <c r="K126" s="61"/>
      <c r="M126"/>
    </row>
    <row r="127" spans="1:18" x14ac:dyDescent="0.35">
      <c r="C127" s="41" t="s">
        <v>142</v>
      </c>
      <c r="D127" s="224">
        <f>D4</f>
        <v>2462</v>
      </c>
    </row>
    <row r="128" spans="1:18" ht="15" thickBot="1" x14ac:dyDescent="0.4">
      <c r="C128" s="12" t="s">
        <v>143</v>
      </c>
      <c r="D128" s="225">
        <f>D5</f>
        <v>4326</v>
      </c>
    </row>
    <row r="129" spans="3:16" ht="15" thickBot="1" x14ac:dyDescent="0.4">
      <c r="C129" s="227" t="str">
        <f>C14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29" s="228"/>
      <c r="E129" s="228"/>
      <c r="F129" s="228"/>
      <c r="G129" s="228"/>
      <c r="H129" s="228"/>
      <c r="I129" s="228"/>
      <c r="J129" s="228"/>
      <c r="K129" s="228"/>
      <c r="L129" s="228"/>
      <c r="M129" s="229"/>
      <c r="N129" s="228"/>
      <c r="O129" s="230"/>
      <c r="P129" s="231"/>
    </row>
    <row r="130" spans="3:16" ht="15" thickBot="1" x14ac:dyDescent="0.4">
      <c r="C130" s="226" t="str" cm="1">
        <f t="array" ref="C130:D153">_xll.PE.trf.TransformList(D127,D128,C129,"nil")</f>
        <v>Transform Number</v>
      </c>
      <c r="D130" s="103">
        <v>0</v>
      </c>
    </row>
    <row r="131" spans="3:16" x14ac:dyDescent="0.35">
      <c r="C131" s="12" t="str">
        <v>Transform Name</v>
      </c>
      <c r="D131" s="216" t="str">
        <v>Inverse of 6-degree Gauss-Kruger zone 4 + Ballpark geographic offset from Albanian 1987 to WGS 84 (with axis order normalized for visualization)</v>
      </c>
      <c r="M131" s="1" t="e" cm="1">
        <f t="array" ref="M131">PE.trf.</f>
        <v>#NAME?</v>
      </c>
    </row>
    <row r="132" spans="3:16" x14ac:dyDescent="0.35">
      <c r="C132" s="12" t="str">
        <v>Transform Type</v>
      </c>
      <c r="D132" s="216" t="str">
        <v>ConcatenatedOperation</v>
      </c>
    </row>
    <row r="133" spans="3:16" x14ac:dyDescent="0.35">
      <c r="C133" s="12" t="str">
        <v>Identifier</v>
      </c>
      <c r="D133" s="216" t="str">
        <v>nil</v>
      </c>
    </row>
    <row r="134" spans="3:16" x14ac:dyDescent="0.35">
      <c r="C134" s="12" t="str">
        <v>Identifiers</v>
      </c>
      <c r="D134" s="216" t="str">
        <v>nil</v>
      </c>
    </row>
    <row r="135" spans="3:16" x14ac:dyDescent="0.35">
      <c r="C135" s="12" t="str">
        <v>Accuracy</v>
      </c>
      <c r="D135" s="216" t="str">
        <v>nil</v>
      </c>
    </row>
    <row r="136" spans="3:16" x14ac:dyDescent="0.35">
      <c r="C136" s="12" t="str">
        <v>IsAvailable</v>
      </c>
      <c r="D136" s="216" t="str">
        <v>True</v>
      </c>
    </row>
    <row r="137" spans="3:16" x14ac:dyDescent="0.35">
      <c r="C137" s="12" t="str">
        <v>HasBallParkTransformation</v>
      </c>
      <c r="D137" s="216" t="str">
        <v>True</v>
      </c>
    </row>
    <row r="138" spans="3:16" x14ac:dyDescent="0.35">
      <c r="C138" s="12" t="str">
        <v>HasInverse</v>
      </c>
      <c r="D138" s="216" t="str">
        <v>True</v>
      </c>
    </row>
    <row r="139" spans="3:16" x14ac:dyDescent="0.35">
      <c r="C139" s="12" t="str">
        <v>MethodName</v>
      </c>
      <c r="D139" s="216" t="str">
        <v>nil</v>
      </c>
    </row>
    <row r="140" spans="3:16" x14ac:dyDescent="0.35">
      <c r="C140" s="12" t="str">
        <v>Scope</v>
      </c>
      <c r="D140" s="216" t="str">
        <v>nil</v>
      </c>
    </row>
    <row r="141" spans="3:16" x14ac:dyDescent="0.35">
      <c r="C141" s="12" t="str">
        <v>Remarks</v>
      </c>
      <c r="D141" s="216" t="str">
        <v>nil</v>
      </c>
    </row>
    <row r="142" spans="3:16" x14ac:dyDescent="0.35">
      <c r="C142" s="12" t="str">
        <v>GridUsages</v>
      </c>
      <c r="D142" s="216" t="str">
        <v>nil</v>
      </c>
    </row>
    <row r="143" spans="3:16" x14ac:dyDescent="0.35">
      <c r="C143" s="12" t="str">
        <v>Parameters</v>
      </c>
      <c r="D143" s="216" t="str">
        <v>nil</v>
      </c>
    </row>
    <row r="144" spans="3:16" x14ac:dyDescent="0.35">
      <c r="C144" s="12" t="str">
        <v>SourceCRS</v>
      </c>
      <c r="D144" s="216" t="str">
        <v>Albanian 1987 / Gauss-Kruger zone 4 (with axis order normalized for visualization)</v>
      </c>
    </row>
    <row r="145" spans="3:16" x14ac:dyDescent="0.35">
      <c r="C145" s="12" t="str">
        <v>TargetCRS</v>
      </c>
      <c r="D145" s="216" t="str">
        <v>WGS 84 (with axis order normalized for visualization)</v>
      </c>
    </row>
    <row r="146" spans="3:16" x14ac:dyDescent="0.35">
      <c r="C146" s="12" t="str">
        <v>Context</v>
      </c>
      <c r="D146" s="216" t="str">
        <v>LogLevel=Error; EndpointUrl=https://cdn.proj.org; EnableNetworkConnections=True</v>
      </c>
    </row>
    <row r="147" spans="3:16" x14ac:dyDescent="0.35">
      <c r="C147" s="12" t="str">
        <v>UsageArea</v>
      </c>
      <c r="D147" s="216" t="str">
        <v>UsageArea</v>
      </c>
    </row>
    <row r="148" spans="3:16" x14ac:dyDescent="0.35">
      <c r="C148" s="12" t="str">
        <v>UsageArea.Name</v>
      </c>
      <c r="D148" s="216" t="str">
        <v>World</v>
      </c>
    </row>
    <row r="149" spans="3:16" x14ac:dyDescent="0.35">
      <c r="C149" s="12" t="str">
        <v>UsageArea.WestLongitude</v>
      </c>
      <c r="D149" s="216" t="str">
        <v>-180</v>
      </c>
    </row>
    <row r="150" spans="3:16" x14ac:dyDescent="0.35">
      <c r="C150" s="12" t="str">
        <v>UsageArea.SouthLatitude</v>
      </c>
      <c r="D150" s="216" t="str">
        <v>-90</v>
      </c>
    </row>
    <row r="151" spans="3:16" x14ac:dyDescent="0.35">
      <c r="C151" s="12" t="str">
        <v>UsageArea.EastLongitude</v>
      </c>
      <c r="D151" s="216" t="str">
        <v>180</v>
      </c>
    </row>
    <row r="152" spans="3:16" x14ac:dyDescent="0.35">
      <c r="C152" s="12" t="str">
        <v>UsageArea.NorthLatitude</v>
      </c>
      <c r="D152" s="216" t="str">
        <v>90</v>
      </c>
    </row>
    <row r="153" spans="3:16" ht="15" thickBot="1" x14ac:dyDescent="0.4">
      <c r="C153" s="13" t="str">
        <v>UsageArea.Center</v>
      </c>
      <c r="D153" s="217" t="str">
        <v>X=5696153.94925188, Y=484326.958550755</v>
      </c>
    </row>
    <row r="154" spans="3:16" x14ac:dyDescent="0.35">
      <c r="M154"/>
    </row>
    <row r="155" spans="3:16" ht="15" thickBot="1" x14ac:dyDescent="0.4">
      <c r="M155"/>
    </row>
    <row r="156" spans="3:16" x14ac:dyDescent="0.35">
      <c r="C156" s="41" t="s">
        <v>142</v>
      </c>
      <c r="D156" s="210">
        <v>3857</v>
      </c>
      <c r="K156" s="61"/>
      <c r="M156"/>
    </row>
    <row r="157" spans="3:16" ht="15" thickBot="1" x14ac:dyDescent="0.4">
      <c r="C157" s="13" t="s">
        <v>143</v>
      </c>
      <c r="D157" s="211">
        <v>23095</v>
      </c>
      <c r="K157" s="61"/>
      <c r="M157"/>
    </row>
    <row r="158" spans="3:16" ht="15" thickBot="1" x14ac:dyDescent="0.4">
      <c r="C158" s="182" t="str" cm="1">
        <f t="array" ref="C158">_xll.PE.trf.Options(,,,,,55,,,,,,"Never",,,,1)</f>
        <v>Authority=EPSG; Area=; Accuracy=55; NoBallparkConversions=False; NoDiscardIfMissing=False; UsePrimaryGridNames=False; UseSuperseded=False; StrictContains=False; IntermediateCrsUsage=Never; BestOnly=False; ForceOver=False; CandidateIndex=0; AllowDeprecatedCrs=True</v>
      </c>
      <c r="D158" s="183"/>
      <c r="E158" s="183"/>
      <c r="F158" s="183"/>
      <c r="G158" s="183"/>
      <c r="H158" s="183"/>
      <c r="I158" s="183"/>
      <c r="J158" s="183"/>
      <c r="K158" s="183"/>
      <c r="L158" s="183"/>
      <c r="M158" s="183"/>
      <c r="N158" s="183"/>
      <c r="O158" s="184"/>
      <c r="P158" s="184"/>
    </row>
    <row r="159" spans="3:16" ht="15" thickBot="1" x14ac:dyDescent="0.4">
      <c r="C159" s="223" t="str" cm="1">
        <f t="array" ref="C159:I182">_xll.PE.trf.TransformList(D156,D157,C158,"")</f>
        <v>Transform Number</v>
      </c>
      <c r="D159" s="215">
        <v>0</v>
      </c>
      <c r="E159" s="215">
        <v>1</v>
      </c>
      <c r="F159" s="215">
        <v>2</v>
      </c>
      <c r="G159" s="215">
        <v>3</v>
      </c>
      <c r="H159" s="215">
        <v>4</v>
      </c>
      <c r="I159" s="5">
        <v>5</v>
      </c>
      <c r="M159"/>
    </row>
    <row r="160" spans="3:16" x14ac:dyDescent="0.35">
      <c r="C160" s="12" t="str">
        <v>Transform Name</v>
      </c>
      <c r="D160" s="212" t="str">
        <v>Inverse of Popular Visualisation Pseudo-Mercator + Inverse of ED50 to WGS 84 (18) + TM 5 NE</v>
      </c>
      <c r="E160" s="212" t="str">
        <v>Inverse of Popular Visualisation Pseudo-Mercator + Inverse of ED50 to WGS 84 (32) + TM 5 NE</v>
      </c>
      <c r="F160" s="212" t="str">
        <v>Inverse of Popular Visualisation Pseudo-Mercator + Inverse of ED50 to WGS 84 (2) + TM 5 NE</v>
      </c>
      <c r="G160" s="172" t="str">
        <v>Inverse of Popular Visualisation Pseudo-Mercator + Inverse of ED50 to WGS 84 (1) + TM 5 NE</v>
      </c>
      <c r="H160" s="172" t="str">
        <v>Inverse of Popular Visualisation Pseudo-Mercator + Inverse of ED50 to WGS 84 (36) + TM 5 NE</v>
      </c>
      <c r="I160" s="179" t="str">
        <v>Inverse of Popular Visualisation Pseudo-Mercator + Inverse of ED50 to WGS 84 (17) + TM 5 NE</v>
      </c>
      <c r="M160"/>
    </row>
    <row r="161" spans="3:13" x14ac:dyDescent="0.35">
      <c r="C161" s="12" t="str">
        <v>Transform Type</v>
      </c>
      <c r="D161" s="212" t="str">
        <v>ConcatenatedOperation</v>
      </c>
      <c r="E161" s="212" t="str">
        <v>ConcatenatedOperation</v>
      </c>
      <c r="F161" s="212" t="str">
        <v>ConcatenatedOperation</v>
      </c>
      <c r="G161" s="172" t="str">
        <v>ConcatenatedOperation</v>
      </c>
      <c r="H161" s="172" t="str">
        <v>ConcatenatedOperation</v>
      </c>
      <c r="I161" s="179" t="str">
        <v>ConcatenatedOperation</v>
      </c>
      <c r="M161"/>
    </row>
    <row r="162" spans="3:13" x14ac:dyDescent="0.35">
      <c r="C162" s="12" t="str">
        <v>Identifier</v>
      </c>
      <c r="D162" s="212" t="str">
        <v/>
      </c>
      <c r="E162" s="212" t="str">
        <v/>
      </c>
      <c r="F162" s="212" t="str">
        <v/>
      </c>
      <c r="G162" s="172" t="str">
        <v/>
      </c>
      <c r="H162" s="172" t="str">
        <v/>
      </c>
      <c r="I162" s="179" t="str">
        <v/>
      </c>
      <c r="M162"/>
    </row>
    <row r="163" spans="3:13" x14ac:dyDescent="0.35">
      <c r="C163" s="12" t="str">
        <v>Identifiers</v>
      </c>
      <c r="D163" s="212" t="str">
        <v/>
      </c>
      <c r="E163" s="212" t="str">
        <v/>
      </c>
      <c r="F163" s="212" t="str">
        <v/>
      </c>
      <c r="G163" s="172" t="str">
        <v/>
      </c>
      <c r="H163" s="172" t="str">
        <v/>
      </c>
      <c r="I163" s="179" t="str">
        <v/>
      </c>
      <c r="M163"/>
    </row>
    <row r="164" spans="3:13" x14ac:dyDescent="0.35">
      <c r="C164" s="12" t="str">
        <v>Accuracy</v>
      </c>
      <c r="D164" s="212" t="str">
        <v>1</v>
      </c>
      <c r="E164" s="212" t="str">
        <v>5</v>
      </c>
      <c r="F164" s="212" t="str">
        <v>6</v>
      </c>
      <c r="G164" s="172" t="str">
        <v>10</v>
      </c>
      <c r="H164" s="172" t="str">
        <v>1</v>
      </c>
      <c r="I164" s="179" t="str">
        <v>2</v>
      </c>
      <c r="M164"/>
    </row>
    <row r="165" spans="3:13" x14ac:dyDescent="0.35">
      <c r="C165" s="12" t="str">
        <v>IsAvailable</v>
      </c>
      <c r="D165" s="212" t="str">
        <v>True</v>
      </c>
      <c r="E165" s="212" t="str">
        <v>True</v>
      </c>
      <c r="F165" s="212" t="str">
        <v>True</v>
      </c>
      <c r="G165" s="172" t="str">
        <v>True</v>
      </c>
      <c r="H165" s="172" t="str">
        <v>True</v>
      </c>
      <c r="I165" s="179" t="str">
        <v>True</v>
      </c>
      <c r="M165"/>
    </row>
    <row r="166" spans="3:13" x14ac:dyDescent="0.35">
      <c r="C166" s="12" t="str">
        <v>HasBallParkTransformation</v>
      </c>
      <c r="D166" s="212" t="str">
        <v>False</v>
      </c>
      <c r="E166" s="212" t="str">
        <v>False</v>
      </c>
      <c r="F166" s="212" t="str">
        <v>False</v>
      </c>
      <c r="G166" s="172" t="str">
        <v>False</v>
      </c>
      <c r="H166" s="172" t="str">
        <v>False</v>
      </c>
      <c r="I166" s="179" t="str">
        <v>False</v>
      </c>
      <c r="M166"/>
    </row>
    <row r="167" spans="3:13" x14ac:dyDescent="0.35">
      <c r="C167" s="12" t="str">
        <v>HasInverse</v>
      </c>
      <c r="D167" s="212" t="str">
        <v>True</v>
      </c>
      <c r="E167" s="212" t="str">
        <v>True</v>
      </c>
      <c r="F167" s="212" t="str">
        <v>True</v>
      </c>
      <c r="G167" s="172" t="str">
        <v>True</v>
      </c>
      <c r="H167" s="172" t="str">
        <v>True</v>
      </c>
      <c r="I167" s="179" t="str">
        <v>True</v>
      </c>
      <c r="M167"/>
    </row>
    <row r="168" spans="3:13" x14ac:dyDescent="0.35">
      <c r="C168" s="12" t="str">
        <v>MethodName</v>
      </c>
      <c r="D168" s="212" t="str">
        <v/>
      </c>
      <c r="E168" s="212" t="str">
        <v/>
      </c>
      <c r="F168" s="212" t="str">
        <v/>
      </c>
      <c r="G168" s="172" t="str">
        <v/>
      </c>
      <c r="H168" s="172" t="str">
        <v/>
      </c>
      <c r="I168" s="179" t="str">
        <v/>
      </c>
      <c r="M168"/>
    </row>
    <row r="169" spans="3:13" x14ac:dyDescent="0.35">
      <c r="C169" s="12" t="str">
        <v>Scope</v>
      </c>
      <c r="D169" s="212" t="str">
        <v/>
      </c>
      <c r="E169" s="212" t="str">
        <v/>
      </c>
      <c r="F169" s="212" t="str">
        <v/>
      </c>
      <c r="G169" s="172" t="str">
        <v/>
      </c>
      <c r="H169" s="172" t="str">
        <v/>
      </c>
      <c r="I169" s="179" t="str">
        <v/>
      </c>
      <c r="M169"/>
    </row>
    <row r="170" spans="3:13" x14ac:dyDescent="0.35">
      <c r="C170" s="12" t="str">
        <v>Remarks</v>
      </c>
      <c r="D170" s="212" t="str">
        <v/>
      </c>
      <c r="E170" s="212" t="str">
        <v/>
      </c>
      <c r="F170" s="212" t="str">
        <v/>
      </c>
      <c r="G170" s="172" t="str">
        <v/>
      </c>
      <c r="H170" s="172" t="str">
        <v/>
      </c>
      <c r="I170" s="179" t="str">
        <v/>
      </c>
      <c r="M170"/>
    </row>
    <row r="171" spans="3:13" x14ac:dyDescent="0.35">
      <c r="C171" s="12" t="str">
        <v>GridUsages</v>
      </c>
      <c r="D171" s="212" t="str">
        <v/>
      </c>
      <c r="E171" s="212" t="str">
        <v/>
      </c>
      <c r="F171" s="212" t="str">
        <v/>
      </c>
      <c r="G171" s="172" t="str">
        <v/>
      </c>
      <c r="H171" s="172" t="str">
        <v/>
      </c>
      <c r="I171" s="179" t="str">
        <v/>
      </c>
      <c r="M171"/>
    </row>
    <row r="172" spans="3:13" x14ac:dyDescent="0.35">
      <c r="C172" s="12" t="str">
        <v>Parameters</v>
      </c>
      <c r="D172" s="212" t="str">
        <v/>
      </c>
      <c r="E172" s="212" t="str">
        <v/>
      </c>
      <c r="F172" s="212" t="str">
        <v/>
      </c>
      <c r="G172" s="172" t="str">
        <v/>
      </c>
      <c r="H172" s="172" t="str">
        <v/>
      </c>
      <c r="I172" s="179" t="str">
        <v/>
      </c>
      <c r="M172"/>
    </row>
    <row r="173" spans="3:13" x14ac:dyDescent="0.35">
      <c r="C173" s="12" t="str">
        <v>SourceCRS</v>
      </c>
      <c r="D173" s="212" t="str">
        <v>WGS 84 / Pseudo-Mercator</v>
      </c>
      <c r="E173" s="212" t="str">
        <v>WGS 84 / Pseudo-Mercator</v>
      </c>
      <c r="F173" s="212" t="str">
        <v>WGS 84 / Pseudo-Mercator</v>
      </c>
      <c r="G173" s="172" t="str">
        <v>WGS 84 / Pseudo-Mercator</v>
      </c>
      <c r="H173" s="172" t="str">
        <v>WGS 84 / Pseudo-Mercator</v>
      </c>
      <c r="I173" s="179" t="str">
        <v>WGS 84 / Pseudo-Mercator</v>
      </c>
      <c r="M173"/>
    </row>
    <row r="174" spans="3:13" x14ac:dyDescent="0.35">
      <c r="C174" s="12" t="str">
        <v>TargetCRS</v>
      </c>
      <c r="D174" s="212" t="str">
        <v>ED50 / TM 5 NE</v>
      </c>
      <c r="E174" s="212" t="str">
        <v>ED50 / TM 5 NE</v>
      </c>
      <c r="F174" s="212" t="str">
        <v>ED50 / TM 5 NE</v>
      </c>
      <c r="G174" s="172" t="str">
        <v>ED50 / TM 5 NE</v>
      </c>
      <c r="H174" s="172" t="str">
        <v>ED50 / TM 5 NE</v>
      </c>
      <c r="I174" s="179" t="str">
        <v>ED50 / TM 5 NE</v>
      </c>
      <c r="M174"/>
    </row>
    <row r="175" spans="3:13" x14ac:dyDescent="0.35">
      <c r="C175" s="12" t="str">
        <v>Context</v>
      </c>
      <c r="D175" s="212" t="str">
        <v>LogLevel=Error; EndpointUrl=https://cdn.proj.org; EnableNetworkConnections=True</v>
      </c>
      <c r="E175" s="212" t="str">
        <v>LogLevel=Error; EndpointUrl=https://cdn.proj.org; EnableNetworkConnections=True</v>
      </c>
      <c r="F175" s="212" t="str">
        <v>LogLevel=Error; EndpointUrl=https://cdn.proj.org; EnableNetworkConnections=True</v>
      </c>
      <c r="G175" s="172" t="str">
        <v>LogLevel=Error; EndpointUrl=https://cdn.proj.org; EnableNetworkConnections=True</v>
      </c>
      <c r="H175" s="172" t="str">
        <v>LogLevel=Error; EndpointUrl=https://cdn.proj.org; EnableNetworkConnections=True</v>
      </c>
      <c r="I175" s="179" t="str">
        <v>LogLevel=Error; EndpointUrl=https://cdn.proj.org; EnableNetworkConnections=True</v>
      </c>
      <c r="M175"/>
    </row>
    <row r="176" spans="3:13" x14ac:dyDescent="0.35">
      <c r="C176" s="12" t="str">
        <v>UsageArea</v>
      </c>
      <c r="D176" s="212" t="str">
        <v>UsageArea</v>
      </c>
      <c r="E176" s="212" t="str">
        <v>UsageArea</v>
      </c>
      <c r="F176" s="212" t="str">
        <v>UsageArea</v>
      </c>
      <c r="G176" s="172" t="str">
        <v>UsageArea</v>
      </c>
      <c r="H176" s="172" t="str">
        <v>UsageArea</v>
      </c>
      <c r="I176" s="179" t="str">
        <v>UsageArea</v>
      </c>
      <c r="M176"/>
    </row>
    <row r="177" spans="2:16" x14ac:dyDescent="0.35">
      <c r="C177" s="12" t="str">
        <v>UsageArea.Name</v>
      </c>
      <c r="D177" s="212" t="str">
        <v>Denmark - offshore North Sea; Ireland - offshore; Netherlands - offshore; United Kingdom - UKCS offshore.</v>
      </c>
      <c r="E177" s="212" t="str">
        <v>Netherlands - offshore North Sea.</v>
      </c>
      <c r="F177" s="212" t="str">
        <v>Austria; Denmark; France; Germany (west); Netherlands; Switzerland.</v>
      </c>
      <c r="G177" s="172" t="str">
        <v>Austria; Belgium; Denmark; Finland; Faroe islands; France; Germany (west); Gibraltar; Greece; Italy; Luxembourg; Netherlands; Norway; Portugal; Spain; Sweden; Switzerland.</v>
      </c>
      <c r="H177" s="172" t="str">
        <v>Germany - offshore North Sea.</v>
      </c>
      <c r="I177" s="179" t="str">
        <v>France - onshore and offshore, mainland and Corsica (France métropolitaine including Corsica).</v>
      </c>
      <c r="M177"/>
    </row>
    <row r="178" spans="2:16" x14ac:dyDescent="0.35">
      <c r="C178" s="12" t="str">
        <v>UsageArea.WestLongitude</v>
      </c>
      <c r="D178" s="212" t="str">
        <v>-16.1</v>
      </c>
      <c r="E178" s="212" t="str">
        <v>2.53</v>
      </c>
      <c r="F178" s="212" t="str">
        <v>-4.87</v>
      </c>
      <c r="G178" s="172" t="str">
        <v>-9.56</v>
      </c>
      <c r="H178" s="172" t="str">
        <v>3.34</v>
      </c>
      <c r="I178" s="179" t="str">
        <v>-9.86</v>
      </c>
      <c r="M178"/>
    </row>
    <row r="179" spans="2:16" x14ac:dyDescent="0.35">
      <c r="C179" s="12" t="str">
        <v>UsageArea.SouthLatitude</v>
      </c>
      <c r="D179" s="212" t="str">
        <v>47.42</v>
      </c>
      <c r="E179" s="212" t="str">
        <v>51.44</v>
      </c>
      <c r="F179" s="212" t="str">
        <v>42.33</v>
      </c>
      <c r="G179" s="172" t="str">
        <v>34.88</v>
      </c>
      <c r="H179" s="172" t="str">
        <v>53.58</v>
      </c>
      <c r="I179" s="179" t="str">
        <v>41.15</v>
      </c>
      <c r="M179"/>
    </row>
    <row r="180" spans="2:16" x14ac:dyDescent="0.35">
      <c r="C180" s="12" t="str">
        <v>UsageArea.EastLongitude</v>
      </c>
      <c r="D180" s="212" t="str">
        <v>10.86</v>
      </c>
      <c r="E180" s="212" t="str">
        <v>6.37</v>
      </c>
      <c r="F180" s="212" t="str">
        <v>17.17</v>
      </c>
      <c r="G180" s="172" t="str">
        <v>31.59</v>
      </c>
      <c r="H180" s="172" t="str">
        <v>8.88</v>
      </c>
      <c r="I180" s="179" t="str">
        <v>10.38</v>
      </c>
      <c r="M180"/>
    </row>
    <row r="181" spans="2:16" x14ac:dyDescent="0.35">
      <c r="C181" s="12" t="str">
        <v>UsageArea.NorthLatitude</v>
      </c>
      <c r="D181" s="212" t="str">
        <v>63.89</v>
      </c>
      <c r="E181" s="212" t="str">
        <v>55.77</v>
      </c>
      <c r="F181" s="212" t="str">
        <v>57.8</v>
      </c>
      <c r="G181" s="172" t="str">
        <v>71.24</v>
      </c>
      <c r="H181" s="172" t="str">
        <v>55.92</v>
      </c>
      <c r="I181" s="179" t="str">
        <v>51.56</v>
      </c>
      <c r="M181"/>
    </row>
    <row r="182" spans="2:16" ht="15" thickBot="1" x14ac:dyDescent="0.4">
      <c r="C182" s="13" t="str">
        <v>UsageArea.Center</v>
      </c>
      <c r="D182" s="213" t="str">
        <v>X=-291657.065878377, Y=7666392.98144475</v>
      </c>
      <c r="E182" s="213" t="str">
        <v>X=495371.734030067, Y=7106130.774072</v>
      </c>
      <c r="F182" s="213" t="str">
        <v>X=684614.868378632, Y=6567980.67490485</v>
      </c>
      <c r="G182" s="214" t="str">
        <v>X=1226184.19108791, Y=7816211.44812981</v>
      </c>
      <c r="H182" s="214" t="str">
        <v>X=680162.088746901, Y=7316758.79219274</v>
      </c>
      <c r="I182" s="181" t="str">
        <v>X=28943.0676062511, Y=5877723.68014364</v>
      </c>
      <c r="M182"/>
    </row>
    <row r="183" spans="2:16" x14ac:dyDescent="0.35">
      <c r="M183"/>
    </row>
    <row r="184" spans="2:16" ht="15" thickBot="1" x14ac:dyDescent="0.4">
      <c r="M184"/>
    </row>
    <row r="185" spans="2:16" x14ac:dyDescent="0.35">
      <c r="C185" s="41" t="s">
        <v>142</v>
      </c>
      <c r="D185" s="210">
        <v>2964</v>
      </c>
      <c r="E185" s="222" t="s">
        <v>144</v>
      </c>
      <c r="M185"/>
    </row>
    <row r="186" spans="2:16" ht="15" thickBot="1" x14ac:dyDescent="0.4">
      <c r="C186" s="12" t="s">
        <v>143</v>
      </c>
      <c r="D186" s="221">
        <v>4326</v>
      </c>
      <c r="E186" s="222" t="s">
        <v>145</v>
      </c>
      <c r="M186"/>
    </row>
    <row r="187" spans="2:16" ht="15" thickBot="1" x14ac:dyDescent="0.4">
      <c r="C187" s="182" t="str" cm="1">
        <f t="array" ref="C187">_xll.PE.trf.Options(,,,,,,,,,,,,0,,,)</f>
        <v>Authority=EPSG; Area=; Accuracy=; NoBallparkConversions=False; NoDiscardIfMissing=False; UsePrimaryGridNames=False; UseSuperseded=False; StrictContains=False; IntermediateCrsUsage=Auto; BestOnly=False; ForceOver=False; CandidateIndex=0; AllowDeprecatedCrs=False</v>
      </c>
      <c r="D187" s="183"/>
      <c r="E187" s="183"/>
      <c r="F187" s="183"/>
      <c r="G187" s="183"/>
      <c r="H187" s="183"/>
      <c r="I187" s="183"/>
      <c r="J187" s="183"/>
      <c r="K187" s="183"/>
      <c r="L187" s="183"/>
      <c r="M187" s="183"/>
      <c r="N187" s="183"/>
      <c r="O187" s="184"/>
      <c r="P187" s="184"/>
    </row>
    <row r="188" spans="2:16" ht="15" thickBot="1" x14ac:dyDescent="0.4">
      <c r="B188"/>
      <c r="C188" s="223" t="str" cm="1">
        <f t="array" ref="C188:M211">_xll.PE.trf.TransformList(D185,D186,C187, "")</f>
        <v>Transform Number</v>
      </c>
      <c r="D188" s="215">
        <v>0</v>
      </c>
      <c r="E188" s="215">
        <v>1</v>
      </c>
      <c r="F188" s="215">
        <v>2</v>
      </c>
      <c r="G188" s="215">
        <v>3</v>
      </c>
      <c r="H188" s="215">
        <v>4</v>
      </c>
      <c r="I188" s="215">
        <v>5</v>
      </c>
      <c r="J188" s="215">
        <v>6</v>
      </c>
      <c r="K188" s="215">
        <v>7</v>
      </c>
      <c r="L188" s="215">
        <v>8</v>
      </c>
      <c r="M188" s="5">
        <v>9</v>
      </c>
    </row>
    <row r="189" spans="2:16" x14ac:dyDescent="0.35">
      <c r="B189"/>
      <c r="C189" s="12" t="str">
        <v>Transform Name</v>
      </c>
      <c r="D189" s="212" t="str">
        <v>Inverse of Alaska Albers + NAD27 to WGS 84 (85) + axis order change (2D)</v>
      </c>
      <c r="E189" s="212" t="str">
        <v>Inverse of Alaska Albers + NAD27 to WGS 84 (7) + axis order change (2D)</v>
      </c>
      <c r="F189" s="212" t="str">
        <v>Inverse of Alaska Albers + NAD27 to WGS 84 (33) + axis order change (2D)</v>
      </c>
      <c r="G189" s="212" t="str">
        <v>Inverse of Alaska Albers + NAD27 to WGS 84 (3) + axis order change (2D)</v>
      </c>
      <c r="H189" s="212" t="str">
        <v>Inverse of Alaska Albers + NAD27 to WGS 84 (13) + axis order change (2D)</v>
      </c>
      <c r="I189" s="212" t="str">
        <v>Inverse of Alaska Albers + NAD27 to WGS 84 (14) + axis order change (2D)</v>
      </c>
      <c r="J189" s="212" t="str">
        <v>Inverse of Alaska Albers + NAD27 to WGS 84 (10) + axis order change (2D)</v>
      </c>
      <c r="K189" s="212" t="str">
        <v>Inverse of Alaska Albers + NAD27 to WGS 84 (21) + axis order change (2D)</v>
      </c>
      <c r="L189" s="212" t="str">
        <v>Inverse of Alaska Albers + NAD27 to WGS 84 (22) + axis order change (2D)</v>
      </c>
      <c r="M189" s="219" t="str">
        <v>Inverse of Alaska Albers + Ballpark geographic offset from NAD27 to WGS 84 (with axis order normalized for visualization)</v>
      </c>
    </row>
    <row r="190" spans="2:16" x14ac:dyDescent="0.35">
      <c r="B190"/>
      <c r="C190" s="12" t="str">
        <v>Transform Type</v>
      </c>
      <c r="D190" s="212" t="str">
        <v>ConcatenatedOperation</v>
      </c>
      <c r="E190" s="212" t="str">
        <v>ConcatenatedOperation</v>
      </c>
      <c r="F190" s="212" t="str">
        <v>ConcatenatedOperation</v>
      </c>
      <c r="G190" s="212" t="str">
        <v>ConcatenatedOperation</v>
      </c>
      <c r="H190" s="212" t="str">
        <v>ConcatenatedOperation</v>
      </c>
      <c r="I190" s="212" t="str">
        <v>ConcatenatedOperation</v>
      </c>
      <c r="J190" s="212" t="str">
        <v>ConcatenatedOperation</v>
      </c>
      <c r="K190" s="212" t="str">
        <v>ConcatenatedOperation</v>
      </c>
      <c r="L190" s="212" t="str">
        <v>ConcatenatedOperation</v>
      </c>
      <c r="M190" s="219" t="str">
        <v>ConcatenatedOperation</v>
      </c>
    </row>
    <row r="191" spans="2:16" x14ac:dyDescent="0.35">
      <c r="B191"/>
      <c r="C191" s="12" t="str">
        <v>Identifier</v>
      </c>
      <c r="D191" s="212" t="str">
        <v/>
      </c>
      <c r="E191" s="212" t="str">
        <v/>
      </c>
      <c r="F191" s="212" t="str">
        <v/>
      </c>
      <c r="G191" s="212" t="str">
        <v/>
      </c>
      <c r="H191" s="212" t="str">
        <v/>
      </c>
      <c r="I191" s="212" t="str">
        <v/>
      </c>
      <c r="J191" s="212" t="str">
        <v/>
      </c>
      <c r="K191" s="212" t="str">
        <v/>
      </c>
      <c r="L191" s="212" t="str">
        <v/>
      </c>
      <c r="M191" s="219" t="str">
        <v/>
      </c>
    </row>
    <row r="192" spans="2:16" x14ac:dyDescent="0.35">
      <c r="B192"/>
      <c r="C192" s="12" t="str">
        <v>Identifiers</v>
      </c>
      <c r="D192" s="212" t="str">
        <v/>
      </c>
      <c r="E192" s="212" t="str">
        <v/>
      </c>
      <c r="F192" s="212" t="str">
        <v/>
      </c>
      <c r="G192" s="212" t="str">
        <v/>
      </c>
      <c r="H192" s="212" t="str">
        <v/>
      </c>
      <c r="I192" s="212" t="str">
        <v/>
      </c>
      <c r="J192" s="212" t="str">
        <v/>
      </c>
      <c r="K192" s="212" t="str">
        <v/>
      </c>
      <c r="L192" s="212" t="str">
        <v/>
      </c>
      <c r="M192" s="219" t="str">
        <v/>
      </c>
    </row>
    <row r="193" spans="2:15" x14ac:dyDescent="0.35">
      <c r="B193"/>
      <c r="C193" s="12" t="str">
        <v>Accuracy</v>
      </c>
      <c r="D193" s="212" t="str">
        <v>5</v>
      </c>
      <c r="E193" s="212" t="str">
        <v>12</v>
      </c>
      <c r="F193" s="212" t="str">
        <v>2</v>
      </c>
      <c r="G193" s="212" t="str">
        <v>20</v>
      </c>
      <c r="H193" s="212" t="str">
        <v>8</v>
      </c>
      <c r="I193" s="212" t="str">
        <v>10</v>
      </c>
      <c r="J193" s="212" t="str">
        <v>13</v>
      </c>
      <c r="K193" s="212" t="str">
        <v>15</v>
      </c>
      <c r="L193" s="212" t="str">
        <v>18</v>
      </c>
      <c r="M193" s="219" t="str">
        <v/>
      </c>
    </row>
    <row r="194" spans="2:15" x14ac:dyDescent="0.35">
      <c r="B194"/>
      <c r="C194" s="12" t="str">
        <v>IsAvailable</v>
      </c>
      <c r="D194" s="212" t="str">
        <v>True</v>
      </c>
      <c r="E194" s="212" t="str">
        <v>True</v>
      </c>
      <c r="F194" s="212" t="str">
        <v>True</v>
      </c>
      <c r="G194" s="212" t="str">
        <v>True</v>
      </c>
      <c r="H194" s="212" t="str">
        <v>True</v>
      </c>
      <c r="I194" s="212" t="str">
        <v>True</v>
      </c>
      <c r="J194" s="212" t="str">
        <v>True</v>
      </c>
      <c r="K194" s="212" t="str">
        <v>True</v>
      </c>
      <c r="L194" s="212" t="str">
        <v>True</v>
      </c>
      <c r="M194" s="219" t="str">
        <v>True</v>
      </c>
    </row>
    <row r="195" spans="2:15" x14ac:dyDescent="0.35">
      <c r="B195"/>
      <c r="C195" s="12" t="str">
        <v>HasBallParkTransformation</v>
      </c>
      <c r="D195" s="212" t="str">
        <v>False</v>
      </c>
      <c r="E195" s="212" t="str">
        <v>False</v>
      </c>
      <c r="F195" s="212" t="str">
        <v>False</v>
      </c>
      <c r="G195" s="212" t="str">
        <v>False</v>
      </c>
      <c r="H195" s="212" t="str">
        <v>False</v>
      </c>
      <c r="I195" s="212" t="str">
        <v>False</v>
      </c>
      <c r="J195" s="212" t="str">
        <v>False</v>
      </c>
      <c r="K195" s="212" t="str">
        <v>False</v>
      </c>
      <c r="L195" s="212" t="str">
        <v>False</v>
      </c>
      <c r="M195" s="219" t="str">
        <v>True</v>
      </c>
    </row>
    <row r="196" spans="2:15" x14ac:dyDescent="0.35">
      <c r="B196"/>
      <c r="C196" s="12" t="str">
        <v>HasInverse</v>
      </c>
      <c r="D196" s="212" t="str">
        <v>True</v>
      </c>
      <c r="E196" s="212" t="str">
        <v>True</v>
      </c>
      <c r="F196" s="212" t="str">
        <v>True</v>
      </c>
      <c r="G196" s="212" t="str">
        <v>True</v>
      </c>
      <c r="H196" s="212" t="str">
        <v>True</v>
      </c>
      <c r="I196" s="212" t="str">
        <v>True</v>
      </c>
      <c r="J196" s="212" t="str">
        <v>True</v>
      </c>
      <c r="K196" s="212" t="str">
        <v>True</v>
      </c>
      <c r="L196" s="212" t="str">
        <v>True</v>
      </c>
      <c r="M196" s="219" t="str">
        <v>True</v>
      </c>
    </row>
    <row r="197" spans="2:15" x14ac:dyDescent="0.35">
      <c r="B197"/>
      <c r="C197" s="12" t="str">
        <v>MethodName</v>
      </c>
      <c r="D197" s="212" t="str">
        <v/>
      </c>
      <c r="E197" s="212" t="str">
        <v/>
      </c>
      <c r="F197" s="212" t="str">
        <v/>
      </c>
      <c r="G197" s="212" t="str">
        <v/>
      </c>
      <c r="H197" s="212" t="str">
        <v/>
      </c>
      <c r="I197" s="212" t="str">
        <v/>
      </c>
      <c r="J197" s="212" t="str">
        <v/>
      </c>
      <c r="K197" s="212" t="str">
        <v/>
      </c>
      <c r="L197" s="212" t="str">
        <v/>
      </c>
      <c r="M197" s="219" t="str">
        <v/>
      </c>
    </row>
    <row r="198" spans="2:15" x14ac:dyDescent="0.35">
      <c r="B198"/>
      <c r="C198" s="12" t="str">
        <v>Scope</v>
      </c>
      <c r="D198" s="212" t="str">
        <v/>
      </c>
      <c r="E198" s="212" t="str">
        <v/>
      </c>
      <c r="F198" s="212" t="str">
        <v/>
      </c>
      <c r="G198" s="212" t="str">
        <v/>
      </c>
      <c r="H198" s="212" t="str">
        <v/>
      </c>
      <c r="I198" s="212" t="str">
        <v/>
      </c>
      <c r="J198" s="212" t="str">
        <v/>
      </c>
      <c r="K198" s="212" t="str">
        <v/>
      </c>
      <c r="L198" s="212" t="str">
        <v/>
      </c>
      <c r="M198" s="219" t="str">
        <v/>
      </c>
    </row>
    <row r="199" spans="2:15" x14ac:dyDescent="0.35">
      <c r="B199"/>
      <c r="C199" s="12" t="str">
        <v>Remarks</v>
      </c>
      <c r="D199" s="212" t="str">
        <v/>
      </c>
      <c r="E199" s="212" t="str">
        <v/>
      </c>
      <c r="F199" s="212" t="str">
        <v/>
      </c>
      <c r="G199" s="212" t="str">
        <v/>
      </c>
      <c r="H199" s="212" t="str">
        <v/>
      </c>
      <c r="I199" s="212" t="str">
        <v/>
      </c>
      <c r="J199" s="212" t="str">
        <v/>
      </c>
      <c r="K199" s="212" t="str">
        <v/>
      </c>
      <c r="L199" s="212" t="str">
        <v/>
      </c>
      <c r="M199" s="219" t="str">
        <v/>
      </c>
    </row>
    <row r="200" spans="2:15" x14ac:dyDescent="0.35">
      <c r="B200"/>
      <c r="C200" s="12" t="str">
        <v>GridUsages</v>
      </c>
      <c r="D200" s="212" t="str">
        <v/>
      </c>
      <c r="E200" s="212" t="str">
        <v/>
      </c>
      <c r="F200" s="212" t="str">
        <v/>
      </c>
      <c r="G200" s="212" t="str">
        <v/>
      </c>
      <c r="H200" s="212" t="str">
        <v/>
      </c>
      <c r="I200" s="212" t="str">
        <v/>
      </c>
      <c r="J200" s="212" t="str">
        <v/>
      </c>
      <c r="K200" s="212" t="str">
        <v/>
      </c>
      <c r="L200" s="212" t="str">
        <v/>
      </c>
      <c r="M200" s="219" t="str">
        <v/>
      </c>
    </row>
    <row r="201" spans="2:15" x14ac:dyDescent="0.35">
      <c r="B201"/>
      <c r="C201" s="12" t="str">
        <v>Parameters</v>
      </c>
      <c r="D201" s="212" t="str">
        <v/>
      </c>
      <c r="E201" s="212" t="str">
        <v/>
      </c>
      <c r="F201" s="212" t="str">
        <v/>
      </c>
      <c r="G201" s="212" t="str">
        <v/>
      </c>
      <c r="H201" s="212" t="str">
        <v/>
      </c>
      <c r="I201" s="212" t="str">
        <v/>
      </c>
      <c r="J201" s="212" t="str">
        <v/>
      </c>
      <c r="K201" s="212" t="str">
        <v/>
      </c>
      <c r="L201" s="212" t="str">
        <v/>
      </c>
      <c r="M201" s="219" t="str">
        <v/>
      </c>
    </row>
    <row r="202" spans="2:15" x14ac:dyDescent="0.35">
      <c r="B202"/>
      <c r="C202" s="12" t="str">
        <v>SourceCRS</v>
      </c>
      <c r="D202" s="212" t="str">
        <v>NAD27 / Alaska Albers</v>
      </c>
      <c r="E202" s="212" t="str">
        <v>NAD27 / Alaska Albers</v>
      </c>
      <c r="F202" s="212" t="str">
        <v>NAD27 / Alaska Albers</v>
      </c>
      <c r="G202" s="212" t="str">
        <v>NAD27 / Alaska Albers</v>
      </c>
      <c r="H202" s="212" t="str">
        <v>NAD27 / Alaska Albers</v>
      </c>
      <c r="I202" s="212" t="str">
        <v>NAD27 / Alaska Albers</v>
      </c>
      <c r="J202" s="212" t="str">
        <v>NAD27 / Alaska Albers</v>
      </c>
      <c r="K202" s="212" t="str">
        <v>NAD27 / Alaska Albers</v>
      </c>
      <c r="L202" s="212" t="str">
        <v>NAD27 / Alaska Albers</v>
      </c>
      <c r="M202" s="219" t="str">
        <v>NAD27 / Alaska Albers</v>
      </c>
    </row>
    <row r="203" spans="2:15" x14ac:dyDescent="0.35">
      <c r="B203"/>
      <c r="C203" s="12" t="str">
        <v>TargetCRS</v>
      </c>
      <c r="D203" s="212" t="str">
        <v>WGS 84 (with axis order normalized for visualization)</v>
      </c>
      <c r="E203" s="212" t="str">
        <v>WGS 84 (with axis order normalized for visualization)</v>
      </c>
      <c r="F203" s="212" t="str">
        <v>WGS 84 (with axis order normalized for visualization)</v>
      </c>
      <c r="G203" s="212" t="str">
        <v>WGS 84 (with axis order normalized for visualization)</v>
      </c>
      <c r="H203" s="212" t="str">
        <v>WGS 84 (with axis order normalized for visualization)</v>
      </c>
      <c r="I203" s="212" t="str">
        <v>WGS 84 (with axis order normalized for visualization)</v>
      </c>
      <c r="J203" s="212" t="str">
        <v>WGS 84 (with axis order normalized for visualization)</v>
      </c>
      <c r="K203" s="212" t="str">
        <v>WGS 84 (with axis order normalized for visualization)</v>
      </c>
      <c r="L203" s="212" t="str">
        <v>WGS 84 (with axis order normalized for visualization)</v>
      </c>
      <c r="M203" s="219" t="str">
        <v>WGS 84 (with axis order normalized for visualization)</v>
      </c>
    </row>
    <row r="204" spans="2:15" x14ac:dyDescent="0.35">
      <c r="B204"/>
      <c r="C204" s="12" t="str">
        <v>Context</v>
      </c>
      <c r="D204" s="212" t="str">
        <v>LogLevel=Error; EndpointUrl=https://cdn.proj.org; EnableNetworkConnections=True</v>
      </c>
      <c r="E204" s="212" t="str">
        <v>LogLevel=Error; EndpointUrl=https://cdn.proj.org; EnableNetworkConnections=True</v>
      </c>
      <c r="F204" s="212" t="str">
        <v>LogLevel=Error; EndpointUrl=https://cdn.proj.org; EnableNetworkConnections=True</v>
      </c>
      <c r="G204" s="212" t="str">
        <v>LogLevel=Error; EndpointUrl=https://cdn.proj.org; EnableNetworkConnections=True</v>
      </c>
      <c r="H204" s="212" t="str">
        <v>LogLevel=Error; EndpointUrl=https://cdn.proj.org; EnableNetworkConnections=True</v>
      </c>
      <c r="I204" s="212" t="str">
        <v>LogLevel=Error; EndpointUrl=https://cdn.proj.org; EnableNetworkConnections=True</v>
      </c>
      <c r="J204" s="212" t="str">
        <v>LogLevel=Error; EndpointUrl=https://cdn.proj.org; EnableNetworkConnections=True</v>
      </c>
      <c r="K204" s="212" t="str">
        <v>LogLevel=Error; EndpointUrl=https://cdn.proj.org; EnableNetworkConnections=True</v>
      </c>
      <c r="L204" s="212" t="str">
        <v>LogLevel=Error; EndpointUrl=https://cdn.proj.org; EnableNetworkConnections=True</v>
      </c>
      <c r="M204" s="219" t="str">
        <v>LogLevel=Error; EndpointUrl=https://cdn.proj.org; EnableNetworkConnections=True</v>
      </c>
    </row>
    <row r="205" spans="2:15" x14ac:dyDescent="0.35">
      <c r="B205"/>
      <c r="C205" s="12" t="str">
        <v>UsageArea</v>
      </c>
      <c r="D205" s="212" t="str">
        <v>UsageArea</v>
      </c>
      <c r="E205" s="212" t="str">
        <v>UsageArea</v>
      </c>
      <c r="F205" s="212" t="str">
        <v>UsageArea</v>
      </c>
      <c r="G205" s="212" t="str">
        <v>UsageArea</v>
      </c>
      <c r="H205" s="212" t="str">
        <v>UsageArea</v>
      </c>
      <c r="I205" s="212" t="str">
        <v>UsageArea</v>
      </c>
      <c r="J205" s="212" t="str">
        <v>UsageArea</v>
      </c>
      <c r="K205" s="212" t="str">
        <v>UsageArea</v>
      </c>
      <c r="L205" s="212" t="str">
        <v>UsageArea</v>
      </c>
      <c r="M205" s="219" t="str">
        <v>UsageArea</v>
      </c>
      <c r="O205"/>
    </row>
    <row r="206" spans="2:15" x14ac:dyDescent="0.35">
      <c r="B206"/>
      <c r="C206" s="12" t="str">
        <v>UsageArea.Name</v>
      </c>
      <c r="D206" s="212" t="str">
        <v>United States (USA) - Alaska including EEZ.</v>
      </c>
      <c r="E206" s="212" t="str">
        <v>United States (USA) - Alaska mainland.</v>
      </c>
      <c r="F206" s="21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G206" s="21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H206" s="212" t="str">
        <v>Canada - Northwest Territories; Nunavut; Saskatchewan.</v>
      </c>
      <c r="I206" s="212" t="str">
        <v>Canada - Yukon.</v>
      </c>
      <c r="J206" s="212" t="str">
        <v>Canada - Alberta; British Columbia.</v>
      </c>
      <c r="K206" s="212" t="str">
        <v>United States (USA) - Alaska - Aleutian Islands onshore east of 180°E.</v>
      </c>
      <c r="L206" s="212" t="str">
        <v>United States (USA) - Alaska - Aleutian Islands onshore west of 180°W.</v>
      </c>
      <c r="M206" s="219" t="str">
        <v>World</v>
      </c>
      <c r="O206"/>
    </row>
    <row r="207" spans="2:15" x14ac:dyDescent="0.35">
      <c r="B207"/>
      <c r="C207" s="12" t="str">
        <v>UsageArea.WestLongitude</v>
      </c>
      <c r="D207" s="212" t="str">
        <v>167.65</v>
      </c>
      <c r="E207" s="212" t="str">
        <v>-168.26</v>
      </c>
      <c r="F207" s="212" t="str">
        <v>-141.01</v>
      </c>
      <c r="G207" s="212" t="str">
        <v>-141.01</v>
      </c>
      <c r="H207" s="212" t="str">
        <v>-136.46</v>
      </c>
      <c r="I207" s="212" t="str">
        <v>-141.01</v>
      </c>
      <c r="J207" s="212" t="str">
        <v>-139.04</v>
      </c>
      <c r="K207" s="212" t="str">
        <v>-178.3</v>
      </c>
      <c r="L207" s="212" t="str">
        <v>172.42</v>
      </c>
      <c r="M207" s="219" t="str">
        <v>-180</v>
      </c>
      <c r="O207"/>
    </row>
    <row r="208" spans="2:15" x14ac:dyDescent="0.35">
      <c r="B208"/>
      <c r="C208" s="12" t="str">
        <v>UsageArea.SouthLatitude</v>
      </c>
      <c r="D208" s="212" t="str">
        <v>47.88</v>
      </c>
      <c r="E208" s="212" t="str">
        <v>54.34</v>
      </c>
      <c r="F208" s="212" t="str">
        <v>40</v>
      </c>
      <c r="G208" s="212" t="str">
        <v>40</v>
      </c>
      <c r="H208" s="212" t="str">
        <v>49</v>
      </c>
      <c r="I208" s="212" t="str">
        <v>59.99</v>
      </c>
      <c r="J208" s="212" t="str">
        <v>48.25</v>
      </c>
      <c r="K208" s="212" t="str">
        <v>51.54</v>
      </c>
      <c r="L208" s="212" t="str">
        <v>51.3</v>
      </c>
      <c r="M208" s="219" t="str">
        <v>-90</v>
      </c>
      <c r="O208"/>
    </row>
    <row r="209" spans="2:15" x14ac:dyDescent="0.35">
      <c r="B209"/>
      <c r="C209" s="12" t="str">
        <v>UsageArea.EastLongitude</v>
      </c>
      <c r="D209" s="212" t="str">
        <v>-129.99</v>
      </c>
      <c r="E209" s="212" t="str">
        <v>-129.99</v>
      </c>
      <c r="F209" s="212" t="str">
        <v>-44</v>
      </c>
      <c r="G209" s="212" t="str">
        <v>-44</v>
      </c>
      <c r="H209" s="212" t="str">
        <v>-60.72</v>
      </c>
      <c r="I209" s="212" t="str">
        <v>-123.91</v>
      </c>
      <c r="J209" s="212" t="str">
        <v>-109.98</v>
      </c>
      <c r="K209" s="212" t="str">
        <v>-164.84</v>
      </c>
      <c r="L209" s="212" t="str">
        <v>179.86</v>
      </c>
      <c r="M209" s="219" t="str">
        <v>180</v>
      </c>
      <c r="O209"/>
    </row>
    <row r="210" spans="2:15" x14ac:dyDescent="0.35">
      <c r="B210"/>
      <c r="C210" s="12" t="str">
        <v>UsageArea.NorthLatitude</v>
      </c>
      <c r="D210" s="212" t="str">
        <v>74.71</v>
      </c>
      <c r="E210" s="212" t="str">
        <v>71.4</v>
      </c>
      <c r="F210" s="212" t="str">
        <v>83.17</v>
      </c>
      <c r="G210" s="212" t="str">
        <v>83.17</v>
      </c>
      <c r="H210" s="212" t="str">
        <v>83.17</v>
      </c>
      <c r="I210" s="212" t="str">
        <v>69.7</v>
      </c>
      <c r="J210" s="212" t="str">
        <v>60.01</v>
      </c>
      <c r="K210" s="212" t="str">
        <v>54.34</v>
      </c>
      <c r="L210" s="212" t="str">
        <v>53.07</v>
      </c>
      <c r="M210" s="219" t="str">
        <v>90</v>
      </c>
      <c r="O210"/>
    </row>
    <row r="211" spans="2:15" ht="15" thickBot="1" x14ac:dyDescent="0.4">
      <c r="B211"/>
      <c r="C211" s="13" t="str">
        <v>UsageArea.Center</v>
      </c>
      <c r="D211" s="213" t="str">
        <v>X=-1588108.78400993, Y=4653218.0046065</v>
      </c>
      <c r="E211" s="213" t="str">
        <v>X=997429.291647658, Y=4946549.42959731</v>
      </c>
      <c r="F211" s="213" t="str">
        <v>X=10065812.5662102, Y=7108107.30892012</v>
      </c>
      <c r="G211" s="213" t="str">
        <v>X=10065812.5662102, Y=7108107.30892012</v>
      </c>
      <c r="H211" s="213" t="str">
        <v>X=8492926.6648403, Y=7635942.58187141</v>
      </c>
      <c r="I211" s="213" t="str">
        <v>X=3484722.01098932, Y=5966394.92755121</v>
      </c>
      <c r="J211" s="213" t="str">
        <v>X=6396219.97160481, Y=2999807.81964541</v>
      </c>
      <c r="K211" s="213" t="str">
        <v>X=-3872417.46753571, Y=1638056.1329905</v>
      </c>
      <c r="L211" s="213" t="str">
        <v>X=-6512034.35982648, Y=2293627.08879407</v>
      </c>
      <c r="M211" s="220" t="str">
        <v>X=30428.2699143998, Y=12753882.6489658</v>
      </c>
      <c r="O211"/>
    </row>
    <row r="212" spans="2:15" x14ac:dyDescent="0.35">
      <c r="B212"/>
      <c r="M212"/>
      <c r="O212"/>
    </row>
    <row r="213" spans="2:15" x14ac:dyDescent="0.35">
      <c r="B213"/>
      <c r="M213"/>
      <c r="O213"/>
    </row>
    <row r="214" spans="2:15" x14ac:dyDescent="0.35">
      <c r="B214"/>
      <c r="M214"/>
      <c r="O214"/>
    </row>
    <row r="215" spans="2:15" x14ac:dyDescent="0.35">
      <c r="B215"/>
      <c r="M215"/>
      <c r="O215"/>
    </row>
    <row r="216" spans="2:15" x14ac:dyDescent="0.35">
      <c r="B216"/>
      <c r="M216"/>
      <c r="O216"/>
    </row>
    <row r="217" spans="2:15" x14ac:dyDescent="0.35">
      <c r="B217"/>
      <c r="M217"/>
      <c r="O217"/>
    </row>
    <row r="218" spans="2:15" ht="15" thickBot="1" x14ac:dyDescent="0.4">
      <c r="B218"/>
      <c r="M218"/>
      <c r="O218"/>
    </row>
    <row r="219" spans="2:15" ht="15" thickBot="1" x14ac:dyDescent="0.4">
      <c r="B219"/>
      <c r="C219" s="182" t="str" cm="1">
        <f t="array" ref="C219:G221">_xll.PE.xfm.ListTransformPipelines($D$4,$D$5)</f>
        <v>PipelineID</v>
      </c>
      <c r="D219" s="183" t="str">
        <v>Name</v>
      </c>
      <c r="E219" s="183" t="str">
        <v>Accuracy(m)</v>
      </c>
      <c r="F219" s="183" t="str">
        <v>Grids</v>
      </c>
      <c r="G219" s="184" t="str">
        <v>IsAvailable</v>
      </c>
      <c r="J219" t="s">
        <v>0</v>
      </c>
      <c r="K219" s="61"/>
      <c r="M219"/>
      <c r="O219"/>
    </row>
    <row r="220" spans="2:15" x14ac:dyDescent="0.35">
      <c r="B220"/>
      <c r="C220" s="198">
        <v>1</v>
      </c>
      <c r="D220" t="str">
        <v>Inverse of 6-degree Gauss-Kruger zone 4</v>
      </c>
      <c r="E220" t="str">
        <v/>
      </c>
      <c r="F220" t="str">
        <v/>
      </c>
      <c r="G220" s="199" t="str">
        <v>TRUE</v>
      </c>
      <c r="K220" s="61"/>
      <c r="M220"/>
      <c r="O220"/>
    </row>
    <row r="221" spans="2:15" ht="15" thickBot="1" x14ac:dyDescent="0.4">
      <c r="B221"/>
      <c r="C221" s="200">
        <v>2</v>
      </c>
      <c r="D221" s="201" t="str">
        <v>Albanian 1987 to WGS 84 (1)</v>
      </c>
      <c r="E221" s="201">
        <v>1</v>
      </c>
      <c r="F221" s="201" t="str">
        <v/>
      </c>
      <c r="G221" s="202" t="str">
        <v>TRUE</v>
      </c>
      <c r="K221" s="61"/>
      <c r="M221"/>
      <c r="O221"/>
    </row>
    <row r="222" spans="2:15" ht="15" thickBot="1" x14ac:dyDescent="0.4">
      <c r="B222"/>
      <c r="K222" s="61"/>
      <c r="M222"/>
      <c r="O222"/>
    </row>
    <row r="223" spans="2:15" ht="15" thickBot="1" x14ac:dyDescent="0.4">
      <c r="C223" s="182" t="str" cm="1">
        <f t="array" ref="C223:L226">_xll.PE.trf.ListTransformOptions($D$4,$D$5)</f>
        <v>CandidateIndex</v>
      </c>
      <c r="D223" s="183" t="str">
        <v>DefaultSelection</v>
      </c>
      <c r="E223" s="183" t="str">
        <v>Name</v>
      </c>
      <c r="F223" s="183" t="str">
        <v>Type</v>
      </c>
      <c r="G223" s="183" t="str">
        <v>Accuracy</v>
      </c>
      <c r="H223" s="183" t="str">
        <v>IsAvailable</v>
      </c>
      <c r="I223" s="183" t="str">
        <v>HasBallPark</v>
      </c>
      <c r="J223" s="183" t="str">
        <v>UsageArea</v>
      </c>
      <c r="K223" s="203" t="str">
        <v>Pros</v>
      </c>
      <c r="L223" s="184" t="str">
        <v>Cons</v>
      </c>
      <c r="M223"/>
      <c r="O223"/>
    </row>
    <row r="224" spans="2:15" x14ac:dyDescent="0.35">
      <c r="C224" s="198">
        <v>0</v>
      </c>
      <c r="D224" t="str">
        <v>Only</v>
      </c>
      <c r="E224" t="str">
        <v>Albanian 1987 to WGS 84 (1)</v>
      </c>
      <c r="F224" t="str">
        <v>Transformation</v>
      </c>
      <c r="G224">
        <v>1</v>
      </c>
      <c r="H224" t="b">
        <v>1</v>
      </c>
      <c r="I224" t="b">
        <v>0</v>
      </c>
      <c r="J224" t="str">
        <v>Albania - onshore.</v>
      </c>
      <c r="K224" s="61" t="str">
        <v>Available; Non-ballpark; Accuracy=1; Has usage area; Default selection</v>
      </c>
      <c r="L224" s="199" t="str">
        <v/>
      </c>
      <c r="M224"/>
      <c r="O224"/>
    </row>
    <row r="225" spans="3:15" x14ac:dyDescent="0.35">
      <c r="C225" s="198">
        <v>1</v>
      </c>
      <c r="D225" t="str">
        <v>Only</v>
      </c>
      <c r="E225" t="str">
        <v>Inverse of 6-degree Gauss-Kruger zone 4</v>
      </c>
      <c r="F225" t="str">
        <v>Conversion</v>
      </c>
      <c r="G225">
        <v>0</v>
      </c>
      <c r="H225" t="b">
        <v>1</v>
      </c>
      <c r="I225" t="b">
        <v>0</v>
      </c>
      <c r="J225" t="str">
        <v>Between 18°E and 24°E.</v>
      </c>
      <c r="K225" s="61" t="str">
        <v>Available; Non-ballpark; Has usage area; Default selection</v>
      </c>
      <c r="L225" s="199" t="str">
        <v>No reported accuracy</v>
      </c>
      <c r="M225"/>
      <c r="O225"/>
    </row>
    <row r="226" spans="3:15" ht="15" thickBot="1" x14ac:dyDescent="0.4">
      <c r="C226" s="200">
        <v>2</v>
      </c>
      <c r="D226" s="201" t="str">
        <v>Only</v>
      </c>
      <c r="E226" s="201" t="str">
        <v>axis order change (2D)</v>
      </c>
      <c r="F226" s="201" t="str">
        <v>Conversion</v>
      </c>
      <c r="G226" s="201">
        <v>0</v>
      </c>
      <c r="H226" s="201" t="b">
        <v>1</v>
      </c>
      <c r="I226" s="201" t="b">
        <v>0</v>
      </c>
      <c r="J226" s="201" t="str">
        <v/>
      </c>
      <c r="K226" s="204" t="str">
        <v>Available; Non-ballpark; Default selection</v>
      </c>
      <c r="L226" s="202" t="str">
        <v>No reported accuracy</v>
      </c>
      <c r="M226"/>
      <c r="O226"/>
    </row>
    <row r="227" spans="3:15" x14ac:dyDescent="0.35">
      <c r="M227"/>
      <c r="O227"/>
    </row>
    <row r="228" spans="3:15" x14ac:dyDescent="0.35">
      <c r="M228"/>
      <c r="O228"/>
    </row>
    <row r="229" spans="3:15" x14ac:dyDescent="0.35">
      <c r="M229"/>
      <c r="O229"/>
    </row>
    <row r="230" spans="3:15" x14ac:dyDescent="0.35">
      <c r="M230"/>
      <c r="O230"/>
    </row>
    <row r="231" spans="3:15" x14ac:dyDescent="0.35">
      <c r="M231"/>
      <c r="O231"/>
    </row>
    <row r="232" spans="3:15" x14ac:dyDescent="0.35">
      <c r="M232"/>
      <c r="O232"/>
    </row>
    <row r="233" spans="3:15" x14ac:dyDescent="0.35">
      <c r="M233"/>
      <c r="O233"/>
    </row>
    <row r="234" spans="3:15" x14ac:dyDescent="0.35">
      <c r="M234"/>
      <c r="O234"/>
    </row>
    <row r="235" spans="3:15" x14ac:dyDescent="0.35">
      <c r="M235"/>
      <c r="O235"/>
    </row>
    <row r="236" spans="3:15" x14ac:dyDescent="0.35">
      <c r="M236"/>
      <c r="O236"/>
    </row>
    <row r="237" spans="3:15" x14ac:dyDescent="0.35">
      <c r="M237"/>
      <c r="O237"/>
    </row>
    <row r="238" spans="3:15" x14ac:dyDescent="0.35">
      <c r="M238"/>
      <c r="O238"/>
    </row>
    <row r="239" spans="3:15" x14ac:dyDescent="0.35">
      <c r="M239"/>
      <c r="O239"/>
    </row>
    <row r="240" spans="3:15" x14ac:dyDescent="0.35">
      <c r="M240"/>
      <c r="O240"/>
    </row>
    <row r="241" spans="13:15" x14ac:dyDescent="0.35">
      <c r="M241"/>
      <c r="O241"/>
    </row>
    <row r="242" spans="13:15" x14ac:dyDescent="0.35">
      <c r="M242"/>
      <c r="O242"/>
    </row>
    <row r="243" spans="13:15" x14ac:dyDescent="0.35">
      <c r="M243"/>
      <c r="O243"/>
    </row>
    <row r="244" spans="13:15" x14ac:dyDescent="0.35">
      <c r="M244"/>
      <c r="O244"/>
    </row>
    <row r="245" spans="13:15" x14ac:dyDescent="0.35">
      <c r="M245"/>
      <c r="O245"/>
    </row>
    <row r="246" spans="13:15" x14ac:dyDescent="0.35">
      <c r="M246"/>
      <c r="O246"/>
    </row>
    <row r="247" spans="13:15" x14ac:dyDescent="0.35">
      <c r="M247"/>
      <c r="O247"/>
    </row>
    <row r="248" spans="13:15" x14ac:dyDescent="0.35">
      <c r="M248"/>
      <c r="O248"/>
    </row>
    <row r="249" spans="13:15" x14ac:dyDescent="0.35">
      <c r="M249"/>
      <c r="O249"/>
    </row>
    <row r="250" spans="13:15" x14ac:dyDescent="0.35">
      <c r="M250"/>
      <c r="O250"/>
    </row>
    <row r="251" spans="13:15" x14ac:dyDescent="0.35">
      <c r="M251"/>
      <c r="O251"/>
    </row>
    <row r="252" spans="13:15" x14ac:dyDescent="0.35">
      <c r="M252"/>
      <c r="O252"/>
    </row>
    <row r="253" spans="13:15" x14ac:dyDescent="0.35">
      <c r="M253"/>
      <c r="O253"/>
    </row>
    <row r="254" spans="13:15" x14ac:dyDescent="0.35">
      <c r="M254"/>
      <c r="O254"/>
    </row>
    <row r="255" spans="13:15" x14ac:dyDescent="0.35">
      <c r="M255"/>
      <c r="O255"/>
    </row>
    <row r="256" spans="13:15" x14ac:dyDescent="0.35">
      <c r="M256"/>
      <c r="O256"/>
    </row>
    <row r="257" spans="13:15" x14ac:dyDescent="0.35">
      <c r="M257"/>
      <c r="O257"/>
    </row>
    <row r="258" spans="13:15" x14ac:dyDescent="0.35">
      <c r="M258"/>
      <c r="O258"/>
    </row>
    <row r="259" spans="13:15" x14ac:dyDescent="0.35">
      <c r="M259"/>
      <c r="O259"/>
    </row>
    <row r="260" spans="13:15" x14ac:dyDescent="0.35">
      <c r="M260"/>
      <c r="O260"/>
    </row>
    <row r="261" spans="13:15" x14ac:dyDescent="0.35">
      <c r="M261"/>
      <c r="O261"/>
    </row>
    <row r="262" spans="13:15" x14ac:dyDescent="0.35">
      <c r="M262"/>
      <c r="O262"/>
    </row>
    <row r="263" spans="13:15" x14ac:dyDescent="0.35">
      <c r="M263"/>
      <c r="O263"/>
    </row>
    <row r="264" spans="13:15" x14ac:dyDescent="0.35">
      <c r="M264"/>
      <c r="O264"/>
    </row>
    <row r="265" spans="13:15" x14ac:dyDescent="0.35">
      <c r="M265"/>
      <c r="O265"/>
    </row>
    <row r="266" spans="13:15" x14ac:dyDescent="0.35">
      <c r="M266"/>
      <c r="O266"/>
    </row>
    <row r="267" spans="13:15" x14ac:dyDescent="0.35">
      <c r="M267"/>
      <c r="O267"/>
    </row>
    <row r="268" spans="13:15" x14ac:dyDescent="0.35">
      <c r="M268"/>
      <c r="O268"/>
    </row>
    <row r="269" spans="13:15" x14ac:dyDescent="0.35">
      <c r="M269"/>
      <c r="O269"/>
    </row>
    <row r="270" spans="13:15" x14ac:dyDescent="0.35">
      <c r="M270"/>
      <c r="O270"/>
    </row>
    <row r="271" spans="13:15" x14ac:dyDescent="0.35">
      <c r="M271"/>
      <c r="O271"/>
    </row>
    <row r="272" spans="13:15" x14ac:dyDescent="0.35">
      <c r="M272"/>
      <c r="O272"/>
    </row>
    <row r="273" spans="13:15" x14ac:dyDescent="0.35">
      <c r="M273"/>
      <c r="O273"/>
    </row>
    <row r="274" spans="13:15" x14ac:dyDescent="0.35">
      <c r="M274"/>
      <c r="O274"/>
    </row>
    <row r="275" spans="13:15" x14ac:dyDescent="0.35">
      <c r="M275"/>
      <c r="O275"/>
    </row>
    <row r="276" spans="13:15" x14ac:dyDescent="0.35">
      <c r="M276"/>
      <c r="O276"/>
    </row>
    <row r="277" spans="13:15" x14ac:dyDescent="0.35">
      <c r="M277"/>
      <c r="O277"/>
    </row>
    <row r="278" spans="13:15" x14ac:dyDescent="0.35">
      <c r="M278"/>
      <c r="O278"/>
    </row>
    <row r="279" spans="13:15" x14ac:dyDescent="0.35">
      <c r="M279"/>
      <c r="O279"/>
    </row>
    <row r="280" spans="13:15" x14ac:dyDescent="0.35">
      <c r="M280"/>
      <c r="O280"/>
    </row>
    <row r="281" spans="13:15" x14ac:dyDescent="0.35">
      <c r="M281"/>
      <c r="O281"/>
    </row>
    <row r="282" spans="13:15" x14ac:dyDescent="0.35">
      <c r="M282"/>
      <c r="O282"/>
    </row>
    <row r="283" spans="13:15" x14ac:dyDescent="0.35">
      <c r="M283"/>
      <c r="O283"/>
    </row>
    <row r="284" spans="13:15" x14ac:dyDescent="0.35">
      <c r="M284"/>
      <c r="O284"/>
    </row>
    <row r="285" spans="13:15" x14ac:dyDescent="0.35">
      <c r="M285"/>
      <c r="O285"/>
    </row>
    <row r="286" spans="13:15" x14ac:dyDescent="0.35">
      <c r="M286"/>
      <c r="O286"/>
    </row>
  </sheetData>
  <hyperlinks>
    <hyperlink ref="D5" r:id="rId1" display="EPSG:4326" xr:uid="{66D20308-4A92-4E7F-BCF3-ABBE83B04144}"/>
    <hyperlink ref="D4" r:id="rId2" display="EPSG:2462" xr:uid="{85968B81-EC1A-4D4D-9D7C-8F089AB1372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2026-10-19T21:45:09Z</dcterms:modified>
</cp:coreProperties>
</file>