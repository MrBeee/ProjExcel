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VS22\ProjExcel\"/>
    </mc:Choice>
  </mc:AlternateContent>
  <xr:revisionPtr revIDLastSave="0" documentId="13_ncr:1_{41775AD1-BAE3-449E-9417-F5B3F442DEA2}" xr6:coauthVersionLast="47" xr6:coauthVersionMax="47" xr10:uidLastSave="{00000000-0000-0000-0000-000000000000}"/>
  <bookViews>
    <workbookView xWindow="38290" yWindow="-110" windowWidth="38620" windowHeight="21100" activeTab="3" xr2:uid="{00000000-000D-0000-FFFF-FFFF00000000}"/>
  </bookViews>
  <sheets>
    <sheet name="DegreeTest" sheetId="1" r:id="rId1"/>
    <sheet name="KmlGpxTest" sheetId="2" r:id="rId2"/>
    <sheet name="ApplyForwardEx" sheetId="3" r:id="rId3"/>
    <sheet name="XfmTe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7" i="4" l="1"/>
  <c r="I166" i="4"/>
  <c r="I165" i="4"/>
  <c r="H158" i="4"/>
  <c r="H157" i="4"/>
  <c r="D127" i="4"/>
  <c r="D128" i="4"/>
  <c r="K240" i="4" a="1"/>
  <c r="K252" i="4" a="1"/>
  <c r="K197" i="4" a="1"/>
  <c r="K205" i="4" a="1"/>
  <c r="G161" i="4" a="1"/>
  <c r="G154" i="4" a="1"/>
  <c r="C172" i="4" a="1"/>
  <c r="E4" i="4" a="1"/>
  <c r="C14" i="4" a="1"/>
  <c r="E5" i="4" a="1"/>
  <c r="C215" i="4" a="1"/>
  <c r="K252" i="4" l="1"/>
  <c r="K240" i="4"/>
  <c r="K205" i="4"/>
  <c r="K197" i="4"/>
  <c r="G161" i="4"/>
  <c r="G154" i="4"/>
  <c r="C172" i="4"/>
  <c r="C215" i="4"/>
  <c r="C14" i="4"/>
  <c r="C129" i="4" s="1"/>
  <c r="E5" i="4"/>
  <c r="E4" i="4"/>
  <c r="C240" i="4" a="1"/>
  <c r="C216" i="4" a="1"/>
  <c r="C130" i="4" a="1"/>
  <c r="C154" i="4" a="1"/>
  <c r="C173" i="4" a="1"/>
  <c r="C197" i="4" a="1"/>
  <c r="C154" i="4" l="1"/>
  <c r="F149" i="4"/>
  <c r="C130" i="4"/>
  <c r="F244" i="4"/>
  <c r="F243" i="4"/>
  <c r="F241" i="4"/>
  <c r="F242" i="4"/>
  <c r="F240" i="4"/>
  <c r="C216" i="4"/>
  <c r="C240" i="4"/>
  <c r="C173" i="4"/>
  <c r="C197" i="4"/>
  <c r="R124" i="4"/>
  <c r="A122" i="4"/>
  <c r="O120" i="4"/>
  <c r="N120" i="4"/>
  <c r="N124" i="4" s="1"/>
  <c r="R116" i="4"/>
  <c r="A114" i="4"/>
  <c r="O112" i="4"/>
  <c r="N112" i="4"/>
  <c r="N116" i="4" s="1"/>
  <c r="R108" i="4"/>
  <c r="A106" i="4"/>
  <c r="O104" i="4"/>
  <c r="N104" i="4"/>
  <c r="N108" i="4" s="1"/>
  <c r="R100" i="4"/>
  <c r="A98" i="4"/>
  <c r="O96" i="4"/>
  <c r="E98" i="4" s="1"/>
  <c r="N96" i="4"/>
  <c r="O95" i="4"/>
  <c r="N95" i="4"/>
  <c r="R91" i="4"/>
  <c r="A89" i="4"/>
  <c r="R83" i="4" s="1"/>
  <c r="O87" i="4"/>
  <c r="E89" i="4" s="1"/>
  <c r="N87" i="4"/>
  <c r="O86" i="4"/>
  <c r="N86" i="4"/>
  <c r="R82" i="4"/>
  <c r="A80" i="4"/>
  <c r="R74" i="4" s="1"/>
  <c r="O78" i="4"/>
  <c r="E80" i="4" s="1"/>
  <c r="N78" i="4"/>
  <c r="O77" i="4"/>
  <c r="N77" i="4"/>
  <c r="R73" i="4"/>
  <c r="A71" i="4"/>
  <c r="R65" i="4" s="1"/>
  <c r="O69" i="4"/>
  <c r="E71" i="4" s="1"/>
  <c r="N69" i="4"/>
  <c r="O68" i="4"/>
  <c r="N68" i="4"/>
  <c r="R64" i="4"/>
  <c r="A62" i="4"/>
  <c r="R57" i="4" s="1"/>
  <c r="O60" i="4"/>
  <c r="N60" i="4"/>
  <c r="N64" i="4" s="1"/>
  <c r="R56" i="4"/>
  <c r="A54" i="4"/>
  <c r="R49" i="4" s="1"/>
  <c r="O52" i="4"/>
  <c r="D54" i="4" s="1"/>
  <c r="N52" i="4"/>
  <c r="N56" i="4" s="1"/>
  <c r="R48" i="4"/>
  <c r="A46" i="4"/>
  <c r="R41" i="4" s="1"/>
  <c r="O44" i="4"/>
  <c r="D46" i="4" s="1"/>
  <c r="N44" i="4"/>
  <c r="N48" i="4" s="1"/>
  <c r="R40" i="4"/>
  <c r="A38" i="4"/>
  <c r="R32" i="4" s="1"/>
  <c r="O36" i="4"/>
  <c r="E38" i="4" s="1"/>
  <c r="N36" i="4"/>
  <c r="O35" i="4"/>
  <c r="N35" i="4"/>
  <c r="R31" i="4"/>
  <c r="A29" i="4"/>
  <c r="R23" i="4" s="1"/>
  <c r="O27" i="4"/>
  <c r="E29" i="4" s="1"/>
  <c r="N27" i="4"/>
  <c r="O26" i="4"/>
  <c r="D25" i="4" s="1"/>
  <c r="N26" i="4"/>
  <c r="R22" i="4"/>
  <c r="A20" i="4"/>
  <c r="R15" i="4" s="1"/>
  <c r="O18" i="4"/>
  <c r="D20" i="4" s="1"/>
  <c r="N18" i="4"/>
  <c r="N22" i="4" s="1"/>
  <c r="T124" i="3"/>
  <c r="A122" i="3"/>
  <c r="T117" i="3" s="1"/>
  <c r="Q120" i="3"/>
  <c r="E122" i="3" s="1"/>
  <c r="P120" i="3"/>
  <c r="P124" i="3" s="1"/>
  <c r="F117" i="3"/>
  <c r="T116" i="3"/>
  <c r="P116" i="3"/>
  <c r="A114" i="3"/>
  <c r="T109" i="3" s="1"/>
  <c r="Q112" i="3"/>
  <c r="E114" i="3" s="1"/>
  <c r="P112" i="3"/>
  <c r="D111" i="3"/>
  <c r="S109" i="3"/>
  <c r="F109" i="3"/>
  <c r="T108" i="3"/>
  <c r="D106" i="3"/>
  <c r="A106" i="3"/>
  <c r="T101" i="3" s="1"/>
  <c r="Q105" i="3"/>
  <c r="Q104" i="3"/>
  <c r="E106" i="3" s="1"/>
  <c r="P104" i="3"/>
  <c r="P108" i="3" s="1"/>
  <c r="E103" i="3"/>
  <c r="D103" i="3"/>
  <c r="F101" i="3"/>
  <c r="T100" i="3"/>
  <c r="P100" i="3"/>
  <c r="E98" i="3"/>
  <c r="D98" i="3"/>
  <c r="A98" i="3"/>
  <c r="Q96" i="3"/>
  <c r="P96" i="3"/>
  <c r="Q95" i="3"/>
  <c r="P95" i="3"/>
  <c r="E94" i="3"/>
  <c r="Q94" i="3" s="1"/>
  <c r="D94" i="3"/>
  <c r="P94" i="3" s="1"/>
  <c r="T92" i="3"/>
  <c r="S92" i="3"/>
  <c r="F92" i="3"/>
  <c r="T91" i="3"/>
  <c r="E89" i="3"/>
  <c r="D89" i="3"/>
  <c r="P88" i="3" s="1"/>
  <c r="A89" i="3"/>
  <c r="Q87" i="3"/>
  <c r="P87" i="3"/>
  <c r="Q86" i="3"/>
  <c r="E85" i="3" s="1"/>
  <c r="P86" i="3"/>
  <c r="P91" i="3" s="1"/>
  <c r="T83" i="3"/>
  <c r="S83" i="3"/>
  <c r="F83" i="3"/>
  <c r="T82" i="3"/>
  <c r="A80" i="3"/>
  <c r="T74" i="3" s="1"/>
  <c r="Q78" i="3"/>
  <c r="E80" i="3" s="1"/>
  <c r="P78" i="3"/>
  <c r="Q77" i="3"/>
  <c r="E76" i="3" s="1"/>
  <c r="P77" i="3"/>
  <c r="P82" i="3" s="1"/>
  <c r="F74" i="3"/>
  <c r="T73" i="3"/>
  <c r="D71" i="3"/>
  <c r="A71" i="3"/>
  <c r="S65" i="3" s="1"/>
  <c r="Q69" i="3"/>
  <c r="E71" i="3" s="1"/>
  <c r="P69" i="3"/>
  <c r="Q68" i="3"/>
  <c r="P68" i="3"/>
  <c r="P73" i="3" s="1"/>
  <c r="F65" i="3"/>
  <c r="T64" i="3"/>
  <c r="E62" i="3"/>
  <c r="D62" i="3"/>
  <c r="Q61" i="3" s="1"/>
  <c r="A62" i="3"/>
  <c r="T57" i="3" s="1"/>
  <c r="Q60" i="3"/>
  <c r="P60" i="3"/>
  <c r="P64" i="3" s="1"/>
  <c r="E59" i="3"/>
  <c r="D59" i="3"/>
  <c r="P59" i="3" s="1"/>
  <c r="S57" i="3"/>
  <c r="F57" i="3"/>
  <c r="T56" i="3"/>
  <c r="P56" i="3"/>
  <c r="E54" i="3"/>
  <c r="A54" i="3"/>
  <c r="S49" i="3" s="1"/>
  <c r="Q52" i="3"/>
  <c r="D51" i="3" s="1"/>
  <c r="P52" i="3"/>
  <c r="E51" i="3"/>
  <c r="Q51" i="3" s="1"/>
  <c r="T49" i="3"/>
  <c r="F49" i="3"/>
  <c r="T48" i="3"/>
  <c r="P47" i="3"/>
  <c r="E46" i="3"/>
  <c r="D46" i="3"/>
  <c r="A46" i="3"/>
  <c r="T41" i="3" s="1"/>
  <c r="P45" i="3"/>
  <c r="Q44" i="3"/>
  <c r="E43" i="3" s="1"/>
  <c r="P44" i="3"/>
  <c r="P48" i="3" s="1"/>
  <c r="P43" i="3"/>
  <c r="D43" i="3"/>
  <c r="S41" i="3"/>
  <c r="F41" i="3"/>
  <c r="T40" i="3"/>
  <c r="E38" i="3"/>
  <c r="A38" i="3"/>
  <c r="T32" i="3" s="1"/>
  <c r="Q36" i="3"/>
  <c r="D38" i="3" s="1"/>
  <c r="P36" i="3"/>
  <c r="Q35" i="3"/>
  <c r="D34" i="3" s="1"/>
  <c r="P35" i="3"/>
  <c r="P40" i="3" s="1"/>
  <c r="F32" i="3"/>
  <c r="T31" i="3"/>
  <c r="E30" i="3"/>
  <c r="D30" i="3"/>
  <c r="Q29" i="3"/>
  <c r="E29" i="3"/>
  <c r="Q28" i="3" s="1"/>
  <c r="D29" i="3"/>
  <c r="A29" i="3"/>
  <c r="T23" i="3" s="1"/>
  <c r="P28" i="3"/>
  <c r="Q27" i="3"/>
  <c r="P27" i="3"/>
  <c r="P31" i="3" s="1"/>
  <c r="Q26" i="3"/>
  <c r="E25" i="3" s="1"/>
  <c r="P26" i="3"/>
  <c r="D25" i="3"/>
  <c r="F23" i="3"/>
  <c r="T22" i="3"/>
  <c r="E20" i="3"/>
  <c r="A20" i="3"/>
  <c r="Q18" i="3"/>
  <c r="D17" i="3" s="1"/>
  <c r="P18" i="3"/>
  <c r="P22" i="3" s="1"/>
  <c r="P17" i="3"/>
  <c r="E17" i="3"/>
  <c r="T15" i="3"/>
  <c r="S15" i="3"/>
  <c r="F15" i="3"/>
  <c r="F32" i="2"/>
  <c r="F23" i="2"/>
  <c r="F117" i="2"/>
  <c r="F109" i="2"/>
  <c r="F101" i="2"/>
  <c r="F92" i="2"/>
  <c r="F83" i="2"/>
  <c r="F74" i="2"/>
  <c r="F65" i="2"/>
  <c r="F57" i="2"/>
  <c r="F49" i="2"/>
  <c r="F41" i="2"/>
  <c r="F15" i="2"/>
  <c r="T124" i="2"/>
  <c r="A122" i="2"/>
  <c r="T117" i="2" s="1"/>
  <c r="Q120" i="2"/>
  <c r="E122" i="2" s="1"/>
  <c r="P120" i="2"/>
  <c r="P124" i="2" s="1"/>
  <c r="T116" i="2"/>
  <c r="A114" i="2"/>
  <c r="S109" i="2" s="1"/>
  <c r="Q112" i="2"/>
  <c r="E111" i="2" s="1"/>
  <c r="P112" i="2"/>
  <c r="P116" i="2" s="1"/>
  <c r="T109" i="2"/>
  <c r="T108" i="2"/>
  <c r="A106" i="2"/>
  <c r="S101" i="2" s="1"/>
  <c r="Q104" i="2"/>
  <c r="P104" i="2"/>
  <c r="P108" i="2" s="1"/>
  <c r="T100" i="2"/>
  <c r="A98" i="2"/>
  <c r="S92" i="2" s="1"/>
  <c r="Q96" i="2"/>
  <c r="E98" i="2" s="1"/>
  <c r="P96" i="2"/>
  <c r="Q95" i="2"/>
  <c r="E94" i="2" s="1"/>
  <c r="P95" i="2"/>
  <c r="T92" i="2"/>
  <c r="T91" i="2"/>
  <c r="A89" i="2"/>
  <c r="S83" i="2" s="1"/>
  <c r="Q87" i="2"/>
  <c r="E89" i="2" s="1"/>
  <c r="P87" i="2"/>
  <c r="Q86" i="2"/>
  <c r="E85" i="2" s="1"/>
  <c r="P86" i="2"/>
  <c r="T82" i="2"/>
  <c r="A80" i="2"/>
  <c r="T74" i="2" s="1"/>
  <c r="Q78" i="2"/>
  <c r="E80" i="2" s="1"/>
  <c r="P78" i="2"/>
  <c r="Q77" i="2"/>
  <c r="D76" i="2" s="1"/>
  <c r="P77" i="2"/>
  <c r="T73" i="2"/>
  <c r="A71" i="2"/>
  <c r="S65" i="2" s="1"/>
  <c r="Q69" i="2"/>
  <c r="P69" i="2"/>
  <c r="Q68" i="2"/>
  <c r="E67" i="2" s="1"/>
  <c r="P68" i="2"/>
  <c r="T64" i="2"/>
  <c r="A62" i="2"/>
  <c r="T57" i="2" s="1"/>
  <c r="Q60" i="2"/>
  <c r="P60" i="2"/>
  <c r="P64" i="2" s="1"/>
  <c r="T56" i="2"/>
  <c r="A54" i="2"/>
  <c r="T49" i="2" s="1"/>
  <c r="Q52" i="2"/>
  <c r="E54" i="2" s="1"/>
  <c r="P52" i="2"/>
  <c r="P56" i="2" s="1"/>
  <c r="T48" i="2"/>
  <c r="A46" i="2"/>
  <c r="T41" i="2" s="1"/>
  <c r="Q44" i="2"/>
  <c r="D43" i="2" s="1"/>
  <c r="P44" i="2"/>
  <c r="P48" i="2" s="1"/>
  <c r="T40" i="2"/>
  <c r="A38" i="2"/>
  <c r="S32" i="2" s="1"/>
  <c r="Q36" i="2"/>
  <c r="E38" i="2" s="1"/>
  <c r="P36" i="2"/>
  <c r="Q35" i="2"/>
  <c r="E34" i="2" s="1"/>
  <c r="P35" i="2"/>
  <c r="T31" i="2"/>
  <c r="A29" i="2"/>
  <c r="T23" i="2" s="1"/>
  <c r="Q27" i="2"/>
  <c r="E29" i="2" s="1"/>
  <c r="P27" i="2"/>
  <c r="Q26" i="2"/>
  <c r="P26" i="2"/>
  <c r="S23" i="2"/>
  <c r="T22" i="2"/>
  <c r="A20" i="2"/>
  <c r="T15" i="2" s="1"/>
  <c r="Q18" i="2"/>
  <c r="E20" i="2" s="1"/>
  <c r="P18" i="2"/>
  <c r="P22" i="2" s="1"/>
  <c r="R124" i="1"/>
  <c r="A122" i="1"/>
  <c r="R117" i="1" s="1"/>
  <c r="O120" i="1"/>
  <c r="E122" i="1" s="1"/>
  <c r="N120" i="1"/>
  <c r="N124" i="1" s="1"/>
  <c r="R116" i="1"/>
  <c r="A114" i="1"/>
  <c r="R109" i="1" s="1"/>
  <c r="O112" i="1"/>
  <c r="E114" i="1" s="1"/>
  <c r="N112" i="1"/>
  <c r="N116" i="1" s="1"/>
  <c r="R108" i="1"/>
  <c r="A106" i="1"/>
  <c r="R101" i="1" s="1"/>
  <c r="O104" i="1"/>
  <c r="E106" i="1" s="1"/>
  <c r="N104" i="1"/>
  <c r="N108" i="1" s="1"/>
  <c r="R100" i="1"/>
  <c r="A98" i="1"/>
  <c r="R92" i="1" s="1"/>
  <c r="O96" i="1"/>
  <c r="E98" i="1" s="1"/>
  <c r="N96" i="1"/>
  <c r="O95" i="1"/>
  <c r="D94" i="1" s="1"/>
  <c r="N95" i="1"/>
  <c r="R91" i="1"/>
  <c r="A89" i="1"/>
  <c r="R83" i="1" s="1"/>
  <c r="O87" i="1"/>
  <c r="E89" i="1" s="1"/>
  <c r="N87" i="1"/>
  <c r="O86" i="1"/>
  <c r="D85" i="1" s="1"/>
  <c r="N86" i="1"/>
  <c r="R82" i="1"/>
  <c r="A80" i="1"/>
  <c r="R74" i="1" s="1"/>
  <c r="O78" i="1"/>
  <c r="E80" i="1" s="1"/>
  <c r="N78" i="1"/>
  <c r="O77" i="1"/>
  <c r="E76" i="1" s="1"/>
  <c r="N77" i="1"/>
  <c r="R73" i="1"/>
  <c r="A71" i="1"/>
  <c r="R65" i="1" s="1"/>
  <c r="O69" i="1"/>
  <c r="D71" i="1" s="1"/>
  <c r="N69" i="1"/>
  <c r="O68" i="1"/>
  <c r="D67" i="1" s="1"/>
  <c r="N68" i="1"/>
  <c r="R64" i="1"/>
  <c r="A62" i="1"/>
  <c r="R57" i="1" s="1"/>
  <c r="O60" i="1"/>
  <c r="E62" i="1" s="1"/>
  <c r="N60" i="1"/>
  <c r="N64" i="1" s="1"/>
  <c r="R56" i="1"/>
  <c r="A54" i="1"/>
  <c r="R49" i="1" s="1"/>
  <c r="O52" i="1"/>
  <c r="D51" i="1" s="1"/>
  <c r="N52" i="1"/>
  <c r="N56" i="1" s="1"/>
  <c r="R48" i="1"/>
  <c r="A46" i="1"/>
  <c r="R41" i="1" s="1"/>
  <c r="O44" i="1"/>
  <c r="E43" i="1" s="1"/>
  <c r="N44" i="1"/>
  <c r="N48" i="1" s="1"/>
  <c r="R40" i="1"/>
  <c r="A38" i="1"/>
  <c r="R32" i="1" s="1"/>
  <c r="O36" i="1"/>
  <c r="E38" i="1" s="1"/>
  <c r="N36" i="1"/>
  <c r="O35" i="1"/>
  <c r="E34" i="1" s="1"/>
  <c r="N35" i="1"/>
  <c r="R31" i="1"/>
  <c r="A29" i="1"/>
  <c r="R23" i="1" s="1"/>
  <c r="O27" i="1"/>
  <c r="E29" i="1" s="1"/>
  <c r="N27" i="1"/>
  <c r="O26" i="1"/>
  <c r="E25" i="1" s="1"/>
  <c r="N26" i="1"/>
  <c r="R22" i="1"/>
  <c r="A20" i="1"/>
  <c r="R15" i="1" s="1"/>
  <c r="O18" i="1"/>
  <c r="E17" i="1" s="1"/>
  <c r="N18" i="1"/>
  <c r="N22" i="1" s="1"/>
  <c r="P120" i="1" a="1"/>
  <c r="P87" i="1" a="1"/>
  <c r="P52" i="1" a="1"/>
  <c r="P18" i="1" a="1"/>
  <c r="P112" i="1" a="1"/>
  <c r="P78" i="1" a="1"/>
  <c r="P44" i="1" a="1"/>
  <c r="P104" i="1" a="1"/>
  <c r="P69" i="1" a="1"/>
  <c r="P36" i="1" a="1"/>
  <c r="E5" i="1" a="1"/>
  <c r="E4" i="1" a="1"/>
  <c r="P96" i="1" a="1"/>
  <c r="P60" i="1" a="1"/>
  <c r="P27" i="1" a="1"/>
  <c r="P4" i="1" a="1"/>
  <c r="O4" i="1" a="1"/>
  <c r="D136" i="1" a="1"/>
  <c r="D135" i="1" a="1"/>
  <c r="D134" i="1" a="1"/>
  <c r="D133" i="1" a="1"/>
  <c r="D132" i="1" a="1"/>
  <c r="D130" i="1" a="1"/>
  <c r="D131" i="1" a="1"/>
  <c r="I43" i="1" a="1"/>
  <c r="I102" i="1" a="1"/>
  <c r="I96" i="1" a="1"/>
  <c r="I103" i="1" a="1"/>
  <c r="I110" i="1" a="1"/>
  <c r="I42" i="1" a="1"/>
  <c r="I37" i="1" a="1"/>
  <c r="I115" i="1" a="1"/>
  <c r="I33" i="1" a="1"/>
  <c r="F102" i="1" a="1"/>
  <c r="F80" i="1" a="1"/>
  <c r="F50" i="1" a="1"/>
  <c r="F28" i="1" a="1"/>
  <c r="I39" i="1" a="1"/>
  <c r="I71" i="1" a="1"/>
  <c r="I105" i="1" a="1"/>
  <c r="I29" i="1" a="1"/>
  <c r="F99" i="1" a="1"/>
  <c r="F79" i="1" a="1"/>
  <c r="F59" i="1" a="1"/>
  <c r="F37" i="1" a="1"/>
  <c r="F17" i="1" a="1"/>
  <c r="I114" i="1" a="1"/>
  <c r="F53" i="1" a="1"/>
  <c r="I75" i="1" a="1"/>
  <c r="F42" i="1" a="1"/>
  <c r="F123" i="1" a="1"/>
  <c r="F113" i="1" a="1"/>
  <c r="F103" i="1" a="1"/>
  <c r="F93" i="1" a="1"/>
  <c r="F81" i="1" a="1"/>
  <c r="F71" i="1" a="1"/>
  <c r="F61" i="1" a="1"/>
  <c r="F51" i="1" a="1"/>
  <c r="F39" i="1" a="1"/>
  <c r="F29" i="1" a="1"/>
  <c r="F19" i="1" a="1"/>
  <c r="I61" i="1" a="1"/>
  <c r="I85" i="1" a="1"/>
  <c r="I78" i="1" a="1"/>
  <c r="I62" i="1" a="1"/>
  <c r="I47" i="1" a="1"/>
  <c r="F112" i="1" a="1"/>
  <c r="F90" i="1" a="1"/>
  <c r="F70" i="1" a="1"/>
  <c r="F60" i="1" a="1"/>
  <c r="F38" i="1" a="1"/>
  <c r="F18" i="1" a="1"/>
  <c r="I35" i="1" a="1"/>
  <c r="I30" i="1" a="1"/>
  <c r="I69" i="1" a="1"/>
  <c r="I106" i="1" a="1"/>
  <c r="F89" i="1" a="1"/>
  <c r="F69" i="1" a="1"/>
  <c r="F47" i="1" a="1"/>
  <c r="F27" i="1" a="1"/>
  <c r="I119" i="1" a="1"/>
  <c r="I95" i="1" a="1"/>
  <c r="I77" i="1" a="1"/>
  <c r="F33" i="1" a="1"/>
  <c r="F20" i="1" a="1"/>
  <c r="I16" i="1" a="1"/>
  <c r="I87" i="1" a="1"/>
  <c r="I113" i="1" a="1"/>
  <c r="F111" i="1" a="1"/>
  <c r="I28" i="1" a="1"/>
  <c r="F84" i="1" a="1"/>
  <c r="F122" i="1" a="1"/>
  <c r="I80" i="1" a="1"/>
  <c r="F121" i="1" a="1"/>
  <c r="I122" i="1" a="1"/>
  <c r="I107" i="1" a="1"/>
  <c r="I99" i="1" a="1"/>
  <c r="I51" i="1" a="1"/>
  <c r="I27" i="1" a="1"/>
  <c r="I45" i="1" a="1"/>
  <c r="I81" i="1" a="1"/>
  <c r="I60" i="1" a="1"/>
  <c r="I26" i="1" a="1"/>
  <c r="F66" i="1" a="1"/>
  <c r="I94" i="1" a="1"/>
  <c r="I53" i="1" a="1"/>
  <c r="F85" i="1" a="1"/>
  <c r="F120" i="1" a="1"/>
  <c r="F110" i="1" a="1"/>
  <c r="F98" i="1" a="1"/>
  <c r="F88" i="1" a="1"/>
  <c r="F78" i="1" a="1"/>
  <c r="F68" i="1" a="1"/>
  <c r="F58" i="1" a="1"/>
  <c r="F46" i="1" a="1"/>
  <c r="F36" i="1" a="1"/>
  <c r="F26" i="1" a="1"/>
  <c r="F16" i="1" a="1"/>
  <c r="I88" i="1" a="1"/>
  <c r="I79" i="1" a="1"/>
  <c r="I76" i="1" a="1"/>
  <c r="F95" i="1" a="1"/>
  <c r="F21" i="1" a="1"/>
  <c r="I66" i="1" a="1"/>
  <c r="I36" i="1" a="1"/>
  <c r="I104" i="1" a="1"/>
  <c r="I112" i="1" a="1"/>
  <c r="I68" i="1" a="1"/>
  <c r="I123" i="1" a="1"/>
  <c r="I25" i="1" a="1"/>
  <c r="F107" i="1" a="1"/>
  <c r="F97" i="1" a="1"/>
  <c r="F87" i="1" a="1"/>
  <c r="F67" i="1" a="1"/>
  <c r="F45" i="1" a="1"/>
  <c r="F25" i="1" a="1"/>
  <c r="I90" i="1" a="1"/>
  <c r="I98" i="1" a="1"/>
  <c r="I24" i="1" a="1"/>
  <c r="I55" i="1" a="1"/>
  <c r="I50" i="1" a="1"/>
  <c r="I21" i="1" a="1"/>
  <c r="F86" i="1" a="1"/>
  <c r="F34" i="1" a="1"/>
  <c r="I86" i="1" a="1"/>
  <c r="I20" i="1" a="1"/>
  <c r="I93" i="1" a="1"/>
  <c r="F105" i="1" a="1"/>
  <c r="F43" i="1" a="1"/>
  <c r="I58" i="1" a="1"/>
  <c r="I18" i="1" a="1"/>
  <c r="F62" i="1" a="1"/>
  <c r="I70" i="1" a="1"/>
  <c r="F119" i="1" a="1"/>
  <c r="F77" i="1" a="1"/>
  <c r="F55" i="1" a="1"/>
  <c r="F35" i="1" a="1"/>
  <c r="I52" i="1" a="1"/>
  <c r="I67" i="1" a="1"/>
  <c r="I44" i="1" a="1"/>
  <c r="F96" i="1" a="1"/>
  <c r="F54" i="1" a="1"/>
  <c r="F24" i="1" a="1"/>
  <c r="I111" i="1" a="1"/>
  <c r="I59" i="1" a="1"/>
  <c r="I19" i="1" a="1"/>
  <c r="F63" i="1" a="1"/>
  <c r="I120" i="1" a="1"/>
  <c r="I63" i="1" a="1"/>
  <c r="F30" i="1" a="1"/>
  <c r="I34" i="1" a="1"/>
  <c r="I89" i="1" a="1"/>
  <c r="F75" i="1" a="1"/>
  <c r="F118" i="1" a="1"/>
  <c r="F106" i="1" a="1"/>
  <c r="F76" i="1" a="1"/>
  <c r="F44" i="1" a="1"/>
  <c r="I54" i="1" a="1"/>
  <c r="I38" i="1" a="1"/>
  <c r="F115" i="1" a="1"/>
  <c r="I84" i="1" a="1"/>
  <c r="I121" i="1" a="1"/>
  <c r="I97" i="1" a="1"/>
  <c r="I72" i="1" a="1"/>
  <c r="I118" i="1" a="1"/>
  <c r="I17" i="1" a="1"/>
  <c r="F114" i="1" a="1"/>
  <c r="F104" i="1" a="1"/>
  <c r="F94" i="1" a="1"/>
  <c r="F72" i="1" a="1"/>
  <c r="F52" i="1" a="1"/>
  <c r="I46" i="1" a="1"/>
  <c r="E5" i="2" a="1"/>
  <c r="F37" i="2" a="1"/>
  <c r="F121" i="2" a="1"/>
  <c r="F45" i="2" a="1"/>
  <c r="F96" i="2" a="1"/>
  <c r="F86" i="2" a="1"/>
  <c r="F88" i="2" a="1"/>
  <c r="F35" i="2" a="1"/>
  <c r="K35" i="2" s="1" a="1"/>
  <c r="F44" i="2" a="1"/>
  <c r="F105" i="2" a="1"/>
  <c r="F69" i="2" a="1"/>
  <c r="K69" i="2" s="1" a="1"/>
  <c r="F104" i="2" a="1"/>
  <c r="K104" i="2" s="1" a="1"/>
  <c r="K86" i="2" a="1"/>
  <c r="F78" i="2" a="1"/>
  <c r="K78" i="2" s="1" a="1"/>
  <c r="F113" i="2" a="1"/>
  <c r="K113" i="2" s="1" a="1"/>
  <c r="F79" i="2" a="1"/>
  <c r="F112" i="2" a="1"/>
  <c r="K112" i="2" s="1" a="1"/>
  <c r="F68" i="2" a="1"/>
  <c r="F27" i="2" a="1"/>
  <c r="F97" i="2" a="1"/>
  <c r="K27" i="2" a="1"/>
  <c r="K96" i="2" a="1"/>
  <c r="F60" i="2" a="1"/>
  <c r="K105" i="2" a="1"/>
  <c r="L4" i="2" a="1"/>
  <c r="K88" i="2" a="1"/>
  <c r="F36" i="2" a="1"/>
  <c r="K36" i="2" s="1" a="1"/>
  <c r="F53" i="2" a="1"/>
  <c r="K53" i="2" s="1" a="1"/>
  <c r="K79" i="2" a="1"/>
  <c r="L5" i="2" a="1"/>
  <c r="F61" i="2" a="1"/>
  <c r="K61" i="2" s="1" a="1"/>
  <c r="F19" i="2" a="1"/>
  <c r="K19" i="2" s="1" a="1"/>
  <c r="F70" i="2" a="1"/>
  <c r="K70" i="2" s="1" a="1"/>
  <c r="K97" i="2" a="1"/>
  <c r="F95" i="2" a="1"/>
  <c r="K37" i="2" a="1"/>
  <c r="K121" i="2" a="1"/>
  <c r="F28" i="2" a="1"/>
  <c r="K28" i="2" s="1" a="1"/>
  <c r="K44" i="2" a="1"/>
  <c r="K45" i="2" a="1"/>
  <c r="K68" i="2" a="1"/>
  <c r="F87" i="2" a="1"/>
  <c r="K87" i="2" s="1" a="1"/>
  <c r="K60" i="2" a="1"/>
  <c r="E4" i="2" a="1"/>
  <c r="K95" i="2" a="1"/>
  <c r="F120" i="2" a="1"/>
  <c r="K120" i="2" s="1" a="1"/>
  <c r="F52" i="2" a="1"/>
  <c r="K52" i="2" a="1"/>
  <c r="F26" i="2" a="1"/>
  <c r="K26" i="2" s="1" a="1"/>
  <c r="F18" i="2" a="1"/>
  <c r="K18" i="2" s="1" a="1"/>
  <c r="F77" i="2" a="1"/>
  <c r="K77" i="2" s="1" a="1"/>
  <c r="D128" i="2" a="1"/>
  <c r="F123" i="3" a="1"/>
  <c r="F122" i="3" a="1"/>
  <c r="F121" i="3" a="1"/>
  <c r="F120" i="3" a="1"/>
  <c r="F119" i="3" a="1"/>
  <c r="F118" i="3" a="1"/>
  <c r="F115" i="3" a="1"/>
  <c r="F114" i="3" a="1"/>
  <c r="F113" i="3" a="1"/>
  <c r="F112" i="3" a="1"/>
  <c r="F111" i="3" a="1"/>
  <c r="F110" i="3" a="1"/>
  <c r="F107" i="3" a="1"/>
  <c r="F106" i="3" a="1"/>
  <c r="F105" i="3" a="1"/>
  <c r="F104" i="3" a="1"/>
  <c r="F103" i="3" a="1"/>
  <c r="F102" i="3" a="1"/>
  <c r="F99" i="3" a="1"/>
  <c r="F98" i="3" a="1"/>
  <c r="F97" i="3" a="1"/>
  <c r="F96" i="3" a="1"/>
  <c r="F95" i="3" a="1"/>
  <c r="F94" i="3" a="1"/>
  <c r="F93" i="3" a="1"/>
  <c r="F90" i="3" a="1"/>
  <c r="F89" i="3" a="1"/>
  <c r="F88" i="3" a="1"/>
  <c r="F87" i="3" a="1"/>
  <c r="F86" i="3" a="1"/>
  <c r="F84" i="3" a="1"/>
  <c r="F85" i="3" a="1"/>
  <c r="F81" i="3" a="1"/>
  <c r="F80" i="3" a="1"/>
  <c r="F79" i="3" a="1"/>
  <c r="F78" i="3" a="1"/>
  <c r="F77" i="3" a="1"/>
  <c r="F76" i="3" a="1"/>
  <c r="F75" i="3" a="1"/>
  <c r="F72" i="3" a="1"/>
  <c r="F71" i="3" a="1"/>
  <c r="F70" i="3" a="1"/>
  <c r="F69" i="3" a="1"/>
  <c r="F68" i="3" a="1"/>
  <c r="F67" i="3" a="1"/>
  <c r="F66" i="3" a="1"/>
  <c r="F63" i="3" a="1"/>
  <c r="F62" i="3" a="1"/>
  <c r="F61" i="3" a="1"/>
  <c r="F60" i="3" a="1"/>
  <c r="F59" i="3" a="1"/>
  <c r="F58" i="3" a="1"/>
  <c r="F55" i="3" a="1"/>
  <c r="F54" i="3" a="1"/>
  <c r="F53" i="3" a="1"/>
  <c r="F52" i="3" a="1"/>
  <c r="F51" i="3" a="1"/>
  <c r="F50" i="3" a="1"/>
  <c r="F47" i="3" a="1"/>
  <c r="F46" i="3" a="1"/>
  <c r="F45" i="3" a="1"/>
  <c r="F44" i="3" a="1"/>
  <c r="F43" i="3" a="1"/>
  <c r="F42" i="3" a="1"/>
  <c r="F39" i="3" a="1"/>
  <c r="F38" i="3" a="1"/>
  <c r="F37" i="3" a="1"/>
  <c r="F36" i="3" a="1"/>
  <c r="F35" i="3" a="1"/>
  <c r="F34" i="3" a="1"/>
  <c r="F33" i="3" a="1"/>
  <c r="F30" i="3" a="1"/>
  <c r="F29" i="3" a="1"/>
  <c r="F28" i="3" a="1"/>
  <c r="F24" i="3" a="1"/>
  <c r="F27" i="3" a="1"/>
  <c r="F26" i="3" a="1"/>
  <c r="F25" i="3" a="1"/>
  <c r="F21" i="3" a="1"/>
  <c r="F20" i="3" a="1"/>
  <c r="F19" i="3" a="1"/>
  <c r="F18" i="3" a="1"/>
  <c r="F17" i="3" a="1"/>
  <c r="F16" i="3" a="1"/>
  <c r="R96" i="3" a="1"/>
  <c r="D12" i="3" a="1"/>
  <c r="K78" i="3" a="1"/>
  <c r="K77" i="3" a="1"/>
  <c r="K69" i="3" a="1"/>
  <c r="K68" i="3" a="1"/>
  <c r="R104" i="3" a="1"/>
  <c r="R44" i="3" a="1"/>
  <c r="K89" i="3" a="1"/>
  <c r="K113" i="3" a="1"/>
  <c r="K17" i="3" a="1"/>
  <c r="K70" i="3" a="1"/>
  <c r="K59" i="3" a="1"/>
  <c r="K86" i="3" a="1"/>
  <c r="L5" i="3" a="1"/>
  <c r="R60" i="3" a="1"/>
  <c r="K18" i="3" a="1"/>
  <c r="E5" i="3" a="1"/>
  <c r="K19" i="3" a="1"/>
  <c r="E4" i="3" a="1"/>
  <c r="H7" i="3" a="1"/>
  <c r="R27" i="3" a="1"/>
  <c r="L4" i="3" a="1"/>
  <c r="K60" i="3" a="1"/>
  <c r="K35" i="3" a="1"/>
  <c r="K52" i="3" a="1"/>
  <c r="K46" i="3" a="1"/>
  <c r="K87" i="3" a="1"/>
  <c r="K36" i="3" a="1"/>
  <c r="K37" i="3" a="1"/>
  <c r="D10" i="2" a="1"/>
  <c r="K106" i="3" a="1"/>
  <c r="K121" i="3" a="1"/>
  <c r="K98" i="3" a="1"/>
  <c r="K120" i="3" a="1"/>
  <c r="K112" i="3" a="1"/>
  <c r="K97" i="3" a="1"/>
  <c r="K71" i="3" a="1"/>
  <c r="K104" i="3" a="1"/>
  <c r="K103" i="3" a="1"/>
  <c r="K88" i="3" a="1"/>
  <c r="K62" i="3" a="1"/>
  <c r="K94" i="3" a="1"/>
  <c r="K26" i="3" a="1"/>
  <c r="K79" i="3" a="1"/>
  <c r="K61" i="3" a="1"/>
  <c r="K53" i="3" a="1"/>
  <c r="K38" i="3" a="1"/>
  <c r="K27" i="3" a="1"/>
  <c r="K105" i="3" a="1"/>
  <c r="K28" i="3" a="1"/>
  <c r="K96" i="3" a="1"/>
  <c r="K43" i="3" a="1"/>
  <c r="K29" i="3" a="1"/>
  <c r="K51" i="3" a="1"/>
  <c r="K30" i="3" a="1"/>
  <c r="K44" i="3" a="1"/>
  <c r="K95" i="3" a="1"/>
  <c r="K45" i="3" a="1"/>
  <c r="K25" i="3" a="1"/>
  <c r="D10" i="1" a="1"/>
  <c r="F16" i="2" a="1"/>
  <c r="F5" i="4" a="1"/>
  <c r="F4" i="4" a="1"/>
  <c r="D10" i="4" a="1"/>
  <c r="Q49" i="4" l="1"/>
  <c r="Q32" i="4"/>
  <c r="N40" i="4"/>
  <c r="Q15" i="4"/>
  <c r="N100" i="4"/>
  <c r="E20" i="4"/>
  <c r="N82" i="4"/>
  <c r="D80" i="4"/>
  <c r="N79" i="4" s="1"/>
  <c r="Q65" i="4"/>
  <c r="N73" i="4"/>
  <c r="D71" i="4"/>
  <c r="N70" i="4" s="1"/>
  <c r="Q74" i="4"/>
  <c r="D29" i="4"/>
  <c r="D10" i="1"/>
  <c r="D10" i="4"/>
  <c r="F4" i="4"/>
  <c r="F5" i="4"/>
  <c r="E67" i="4"/>
  <c r="D67" i="4"/>
  <c r="D17" i="4"/>
  <c r="Q57" i="4"/>
  <c r="E76" i="4"/>
  <c r="D76" i="4"/>
  <c r="E114" i="4"/>
  <c r="E111" i="4"/>
  <c r="D111" i="4"/>
  <c r="E17" i="4"/>
  <c r="R92" i="4"/>
  <c r="Q92" i="4"/>
  <c r="D98" i="4"/>
  <c r="E62" i="4"/>
  <c r="E59" i="4"/>
  <c r="D59" i="4"/>
  <c r="R109" i="4"/>
  <c r="Q109" i="4"/>
  <c r="D114" i="4"/>
  <c r="E94" i="4"/>
  <c r="D94" i="4"/>
  <c r="E122" i="4"/>
  <c r="E119" i="4"/>
  <c r="D119" i="4"/>
  <c r="E54" i="4"/>
  <c r="E51" i="4"/>
  <c r="D51" i="4"/>
  <c r="E106" i="4"/>
  <c r="E103" i="4"/>
  <c r="D103" i="4"/>
  <c r="Q41" i="4"/>
  <c r="R117" i="4"/>
  <c r="Q117" i="4"/>
  <c r="E25" i="4"/>
  <c r="D89" i="4"/>
  <c r="D122" i="4"/>
  <c r="D38" i="4"/>
  <c r="Q23" i="4"/>
  <c r="N31" i="4"/>
  <c r="E34" i="4"/>
  <c r="D34" i="4"/>
  <c r="D62" i="4"/>
  <c r="Q83" i="4"/>
  <c r="N91" i="4"/>
  <c r="R101" i="4"/>
  <c r="Q101" i="4"/>
  <c r="E46" i="4"/>
  <c r="E43" i="4"/>
  <c r="D43" i="4"/>
  <c r="E85" i="4"/>
  <c r="D85" i="4"/>
  <c r="D106" i="4"/>
  <c r="F16" i="2"/>
  <c r="F118" i="3"/>
  <c r="F119" i="3"/>
  <c r="F120" i="3"/>
  <c r="F121" i="3"/>
  <c r="F122" i="3"/>
  <c r="F123" i="3"/>
  <c r="F110" i="3"/>
  <c r="F111" i="3"/>
  <c r="F112" i="3"/>
  <c r="F113" i="3"/>
  <c r="F114" i="3"/>
  <c r="F115" i="3"/>
  <c r="F102" i="3"/>
  <c r="F103" i="3"/>
  <c r="F104" i="3"/>
  <c r="F105" i="3"/>
  <c r="F106" i="3"/>
  <c r="F107" i="3"/>
  <c r="F93" i="3"/>
  <c r="F94" i="3"/>
  <c r="F95" i="3"/>
  <c r="F96" i="3"/>
  <c r="F97" i="3"/>
  <c r="F98" i="3"/>
  <c r="F99" i="3"/>
  <c r="F85" i="3"/>
  <c r="F84" i="3"/>
  <c r="F86" i="3"/>
  <c r="F87" i="3"/>
  <c r="F88" i="3"/>
  <c r="F89" i="3"/>
  <c r="F90" i="3"/>
  <c r="F75" i="3"/>
  <c r="F76" i="3"/>
  <c r="F77" i="3"/>
  <c r="F78" i="3"/>
  <c r="F79" i="3"/>
  <c r="F80" i="3"/>
  <c r="F81" i="3"/>
  <c r="F66" i="3"/>
  <c r="F67" i="3"/>
  <c r="F68" i="3"/>
  <c r="F69" i="3"/>
  <c r="F70" i="3"/>
  <c r="F71" i="3"/>
  <c r="F72" i="3"/>
  <c r="F58" i="3"/>
  <c r="F59" i="3"/>
  <c r="F60" i="3"/>
  <c r="F61" i="3"/>
  <c r="F62" i="3"/>
  <c r="F63" i="3"/>
  <c r="F50" i="3"/>
  <c r="F51" i="3"/>
  <c r="F52" i="3"/>
  <c r="F53" i="3"/>
  <c r="F54" i="3"/>
  <c r="F55" i="3"/>
  <c r="F42" i="3"/>
  <c r="F43" i="3"/>
  <c r="F44" i="3"/>
  <c r="F45" i="3"/>
  <c r="F46" i="3"/>
  <c r="F47" i="3"/>
  <c r="F33" i="3"/>
  <c r="F34" i="3"/>
  <c r="F35" i="3"/>
  <c r="F36" i="3"/>
  <c r="F37" i="3"/>
  <c r="F38" i="3"/>
  <c r="F39" i="3"/>
  <c r="F25" i="3"/>
  <c r="F26" i="3"/>
  <c r="F27" i="3"/>
  <c r="F24" i="3"/>
  <c r="F28" i="3"/>
  <c r="F29" i="3"/>
  <c r="F30" i="3"/>
  <c r="F17" i="3"/>
  <c r="F18" i="3"/>
  <c r="F19" i="3"/>
  <c r="F20" i="3"/>
  <c r="F21" i="3"/>
  <c r="F16" i="3"/>
  <c r="K25" i="3"/>
  <c r="K45" i="3"/>
  <c r="K95" i="3"/>
  <c r="K44" i="3"/>
  <c r="K30" i="3"/>
  <c r="K51" i="3"/>
  <c r="K29" i="3"/>
  <c r="K43" i="3"/>
  <c r="K96" i="3"/>
  <c r="K28" i="3"/>
  <c r="K105" i="3"/>
  <c r="K27" i="3"/>
  <c r="K38" i="3"/>
  <c r="K53" i="3"/>
  <c r="K61" i="3"/>
  <c r="K79" i="3"/>
  <c r="K26" i="3"/>
  <c r="K94" i="3"/>
  <c r="K62" i="3"/>
  <c r="K88" i="3"/>
  <c r="K103" i="3"/>
  <c r="K104" i="3"/>
  <c r="K71" i="3"/>
  <c r="K97" i="3"/>
  <c r="K112" i="3"/>
  <c r="K120" i="3"/>
  <c r="K98" i="3"/>
  <c r="K121" i="3"/>
  <c r="K106" i="3"/>
  <c r="K37" i="3"/>
  <c r="K36" i="3"/>
  <c r="K87" i="3"/>
  <c r="K46" i="3"/>
  <c r="K52" i="3"/>
  <c r="K35" i="3"/>
  <c r="K60" i="3"/>
  <c r="L4" i="3"/>
  <c r="R27" i="3"/>
  <c r="H7" i="3"/>
  <c r="E4" i="3"/>
  <c r="K19" i="3"/>
  <c r="E5" i="3"/>
  <c r="K18" i="3"/>
  <c r="R60" i="3"/>
  <c r="L5" i="3"/>
  <c r="K86" i="3"/>
  <c r="K59" i="3"/>
  <c r="K70" i="3"/>
  <c r="K17" i="3"/>
  <c r="K113" i="3"/>
  <c r="K89" i="3"/>
  <c r="R44" i="3"/>
  <c r="R104" i="3"/>
  <c r="K68" i="3"/>
  <c r="K69" i="3"/>
  <c r="K77" i="3"/>
  <c r="K78" i="3"/>
  <c r="D12" i="3"/>
  <c r="R96" i="3"/>
  <c r="Q19" i="3"/>
  <c r="E21" i="3" s="1"/>
  <c r="P37" i="3"/>
  <c r="Q103" i="3"/>
  <c r="E102" i="3" s="1"/>
  <c r="Q102" i="3" s="1"/>
  <c r="D20" i="3"/>
  <c r="S23" i="3"/>
  <c r="P61" i="3"/>
  <c r="P63" i="3" s="1"/>
  <c r="P97" i="3"/>
  <c r="P99" i="3" s="1"/>
  <c r="Q97" i="3"/>
  <c r="E99" i="3" s="1"/>
  <c r="S74" i="3"/>
  <c r="P29" i="3"/>
  <c r="Q76" i="3"/>
  <c r="E75" i="3"/>
  <c r="E34" i="3"/>
  <c r="D63" i="3"/>
  <c r="P70" i="3"/>
  <c r="Q17" i="3"/>
  <c r="D16" i="3" s="1"/>
  <c r="S32" i="3"/>
  <c r="E63" i="3"/>
  <c r="Q62" i="3" s="1"/>
  <c r="Q37" i="3"/>
  <c r="D39" i="3" s="1"/>
  <c r="D54" i="3"/>
  <c r="T65" i="3"/>
  <c r="E67" i="3"/>
  <c r="D67" i="3"/>
  <c r="E107" i="3"/>
  <c r="P105" i="3"/>
  <c r="Q25" i="3"/>
  <c r="D24" i="3" s="1"/>
  <c r="P51" i="3"/>
  <c r="D50" i="3"/>
  <c r="P111" i="3"/>
  <c r="E50" i="3"/>
  <c r="P50" i="3" s="1"/>
  <c r="Q59" i="3"/>
  <c r="E58" i="3" s="1"/>
  <c r="P25" i="3"/>
  <c r="P30" i="3" s="1"/>
  <c r="P34" i="3"/>
  <c r="P39" i="3" s="1"/>
  <c r="Q70" i="3"/>
  <c r="E72" i="3" s="1"/>
  <c r="Q88" i="3"/>
  <c r="D90" i="3" s="1"/>
  <c r="E90" i="3"/>
  <c r="Q89" i="3" s="1"/>
  <c r="D107" i="3"/>
  <c r="Q43" i="3"/>
  <c r="E42" i="3" s="1"/>
  <c r="Q45" i="3"/>
  <c r="Q85" i="3"/>
  <c r="E84" i="3"/>
  <c r="P103" i="3"/>
  <c r="P107" i="3" s="1"/>
  <c r="D80" i="3"/>
  <c r="E111" i="3"/>
  <c r="D119" i="3"/>
  <c r="E119" i="3"/>
  <c r="D114" i="3"/>
  <c r="D122" i="3"/>
  <c r="Q93" i="3"/>
  <c r="S101" i="3"/>
  <c r="D76" i="3"/>
  <c r="D93" i="3"/>
  <c r="D85" i="3"/>
  <c r="E93" i="3"/>
  <c r="D102" i="3"/>
  <c r="S117" i="3"/>
  <c r="D10" i="2"/>
  <c r="D128" i="2"/>
  <c r="P100" i="2"/>
  <c r="P91" i="2"/>
  <c r="E43" i="2"/>
  <c r="D136" i="1"/>
  <c r="D135" i="1"/>
  <c r="D134" i="1"/>
  <c r="D133" i="1"/>
  <c r="D132" i="1"/>
  <c r="D130" i="1"/>
  <c r="D131" i="1"/>
  <c r="F52" i="1"/>
  <c r="F72" i="1"/>
  <c r="F94" i="1"/>
  <c r="F104" i="1"/>
  <c r="F114" i="1"/>
  <c r="F115" i="1"/>
  <c r="F44" i="1"/>
  <c r="F76" i="1"/>
  <c r="F106" i="1"/>
  <c r="F118" i="1"/>
  <c r="F75" i="1"/>
  <c r="F30" i="1"/>
  <c r="F63" i="1"/>
  <c r="F24" i="1"/>
  <c r="F54" i="1"/>
  <c r="F96" i="1"/>
  <c r="F35" i="1"/>
  <c r="F55" i="1"/>
  <c r="F77" i="1"/>
  <c r="F119" i="1"/>
  <c r="F62" i="1"/>
  <c r="F43" i="1"/>
  <c r="F105" i="1"/>
  <c r="F34" i="1"/>
  <c r="F86" i="1"/>
  <c r="F25" i="1"/>
  <c r="F45" i="1"/>
  <c r="F67" i="1"/>
  <c r="F87" i="1"/>
  <c r="F97" i="1"/>
  <c r="F107" i="1"/>
  <c r="F21" i="1"/>
  <c r="F95" i="1"/>
  <c r="F16" i="1"/>
  <c r="F26" i="1"/>
  <c r="F36" i="1"/>
  <c r="F46" i="1"/>
  <c r="F58" i="1"/>
  <c r="F68" i="1"/>
  <c r="F78" i="1"/>
  <c r="F88" i="1"/>
  <c r="F98" i="1"/>
  <c r="F110" i="1"/>
  <c r="F120" i="1"/>
  <c r="F85" i="1"/>
  <c r="F66" i="1"/>
  <c r="F121" i="1"/>
  <c r="F122" i="1"/>
  <c r="F84" i="1"/>
  <c r="F111" i="1"/>
  <c r="F20" i="1"/>
  <c r="F33" i="1"/>
  <c r="F27" i="1"/>
  <c r="F47" i="1"/>
  <c r="F69" i="1"/>
  <c r="F89" i="1"/>
  <c r="F18" i="1"/>
  <c r="F38" i="1"/>
  <c r="F60" i="1"/>
  <c r="F70" i="1"/>
  <c r="F90" i="1"/>
  <c r="F112" i="1"/>
  <c r="F19" i="1"/>
  <c r="F29" i="1"/>
  <c r="F39" i="1"/>
  <c r="F51" i="1"/>
  <c r="F61" i="1"/>
  <c r="F71" i="1"/>
  <c r="F81" i="1"/>
  <c r="F93" i="1"/>
  <c r="F103" i="1"/>
  <c r="F113" i="1"/>
  <c r="F123" i="1"/>
  <c r="F42" i="1"/>
  <c r="F53" i="1"/>
  <c r="F17" i="1"/>
  <c r="F37" i="1"/>
  <c r="F59" i="1"/>
  <c r="F79" i="1"/>
  <c r="F99" i="1"/>
  <c r="F28" i="1"/>
  <c r="F50" i="1"/>
  <c r="F80" i="1"/>
  <c r="F102" i="1"/>
  <c r="F104" i="2"/>
  <c r="F105" i="2"/>
  <c r="F86" i="2"/>
  <c r="F96" i="2"/>
  <c r="F44" i="2"/>
  <c r="F35" i="2"/>
  <c r="F45" i="2"/>
  <c r="F77" i="2"/>
  <c r="F87" i="2"/>
  <c r="F97" i="2"/>
  <c r="F53" i="2"/>
  <c r="F52" i="2"/>
  <c r="F36" i="2"/>
  <c r="F68" i="2"/>
  <c r="F78" i="2"/>
  <c r="F88" i="2"/>
  <c r="F120" i="2"/>
  <c r="F95" i="2"/>
  <c r="F69" i="2"/>
  <c r="F121" i="2"/>
  <c r="F28" i="2"/>
  <c r="F60" i="2"/>
  <c r="F70" i="2"/>
  <c r="F112" i="2"/>
  <c r="F37" i="2"/>
  <c r="F27" i="2"/>
  <c r="F79" i="2"/>
  <c r="F61" i="2"/>
  <c r="F113" i="2"/>
  <c r="F26" i="2"/>
  <c r="F19" i="2"/>
  <c r="F18" i="2"/>
  <c r="L4" i="2"/>
  <c r="L5" i="2"/>
  <c r="P4" i="1"/>
  <c r="O4" i="1"/>
  <c r="P27" i="1"/>
  <c r="P60" i="1"/>
  <c r="P96" i="1"/>
  <c r="E4" i="1"/>
  <c r="E5" i="1"/>
  <c r="P36" i="1"/>
  <c r="P69" i="1"/>
  <c r="P104" i="1"/>
  <c r="P44" i="1"/>
  <c r="P78" i="1"/>
  <c r="P112" i="1"/>
  <c r="P18" i="1"/>
  <c r="P52" i="1"/>
  <c r="P87" i="1"/>
  <c r="P120" i="1"/>
  <c r="E5" i="2"/>
  <c r="E4" i="2"/>
  <c r="K19" i="2"/>
  <c r="K68" i="2"/>
  <c r="K70" i="2"/>
  <c r="K69" i="2"/>
  <c r="K45" i="2"/>
  <c r="K44" i="2"/>
  <c r="K52" i="2"/>
  <c r="K53" i="2"/>
  <c r="K60" i="2"/>
  <c r="K61" i="2"/>
  <c r="K120" i="2"/>
  <c r="K121" i="2"/>
  <c r="K112" i="2"/>
  <c r="K113" i="2"/>
  <c r="K95" i="2"/>
  <c r="K97" i="2"/>
  <c r="K96" i="2"/>
  <c r="K87" i="2"/>
  <c r="K86" i="2"/>
  <c r="K88" i="2"/>
  <c r="K78" i="2"/>
  <c r="K77" i="2"/>
  <c r="K79" i="2"/>
  <c r="K35" i="2"/>
  <c r="K37" i="2"/>
  <c r="K36" i="2"/>
  <c r="K105" i="2"/>
  <c r="K26" i="2"/>
  <c r="K28" i="2"/>
  <c r="K104" i="2"/>
  <c r="K27" i="2"/>
  <c r="K18" i="2"/>
  <c r="I37" i="1"/>
  <c r="I34" i="1"/>
  <c r="I39" i="1"/>
  <c r="I36" i="1"/>
  <c r="I33" i="1"/>
  <c r="I35" i="1"/>
  <c r="I38" i="1"/>
  <c r="I28" i="1"/>
  <c r="I25" i="1"/>
  <c r="I30" i="1"/>
  <c r="I27" i="1"/>
  <c r="I24" i="1"/>
  <c r="I26" i="1"/>
  <c r="I29" i="1"/>
  <c r="I70" i="1"/>
  <c r="I67" i="1"/>
  <c r="I72" i="1"/>
  <c r="I69" i="1"/>
  <c r="I66" i="1"/>
  <c r="I71" i="1"/>
  <c r="I68" i="1"/>
  <c r="I79" i="1"/>
  <c r="I76" i="1"/>
  <c r="I81" i="1"/>
  <c r="I78" i="1"/>
  <c r="I75" i="1"/>
  <c r="I77" i="1"/>
  <c r="I80" i="1"/>
  <c r="I88" i="1"/>
  <c r="I85" i="1"/>
  <c r="I90" i="1"/>
  <c r="I87" i="1"/>
  <c r="I84" i="1"/>
  <c r="I86" i="1"/>
  <c r="I89" i="1"/>
  <c r="I118" i="1"/>
  <c r="I123" i="1"/>
  <c r="I120" i="1"/>
  <c r="I121" i="1"/>
  <c r="I122" i="1"/>
  <c r="I119" i="1"/>
  <c r="I113" i="1"/>
  <c r="I110" i="1"/>
  <c r="I115" i="1"/>
  <c r="I112" i="1"/>
  <c r="I111" i="1"/>
  <c r="I114" i="1"/>
  <c r="I94" i="1"/>
  <c r="I99" i="1"/>
  <c r="I96" i="1"/>
  <c r="I93" i="1"/>
  <c r="I98" i="1"/>
  <c r="I95" i="1"/>
  <c r="I97" i="1"/>
  <c r="I107" i="1"/>
  <c r="I102" i="1"/>
  <c r="I104" i="1"/>
  <c r="I106" i="1"/>
  <c r="I103" i="1"/>
  <c r="I105" i="1"/>
  <c r="I61" i="1"/>
  <c r="I58" i="1"/>
  <c r="I63" i="1"/>
  <c r="I60" i="1"/>
  <c r="I62" i="1"/>
  <c r="I59" i="1"/>
  <c r="I50" i="1"/>
  <c r="I55" i="1"/>
  <c r="I52" i="1"/>
  <c r="I54" i="1"/>
  <c r="I53" i="1"/>
  <c r="I51" i="1"/>
  <c r="I42" i="1"/>
  <c r="I47" i="1"/>
  <c r="I44" i="1"/>
  <c r="I46" i="1"/>
  <c r="I45" i="1"/>
  <c r="I43" i="1"/>
  <c r="I20" i="1"/>
  <c r="I17" i="1"/>
  <c r="I19" i="1"/>
  <c r="I21" i="1"/>
  <c r="I18" i="1"/>
  <c r="I16" i="1"/>
  <c r="D46" i="2"/>
  <c r="E46" i="2"/>
  <c r="S117" i="2"/>
  <c r="P82" i="2"/>
  <c r="S57" i="2"/>
  <c r="D80" i="2"/>
  <c r="T101" i="2"/>
  <c r="T83" i="2"/>
  <c r="P31" i="2"/>
  <c r="E76" i="2"/>
  <c r="S15" i="2"/>
  <c r="T32" i="2"/>
  <c r="P40" i="2"/>
  <c r="T65" i="2"/>
  <c r="D67" i="2"/>
  <c r="Q79" i="2"/>
  <c r="E81" i="2" s="1"/>
  <c r="D89" i="2"/>
  <c r="E114" i="2"/>
  <c r="Q113" i="2" s="1"/>
  <c r="E115" i="2" s="1"/>
  <c r="D29" i="2"/>
  <c r="S49" i="2"/>
  <c r="S74" i="2"/>
  <c r="S41" i="2"/>
  <c r="E51" i="2"/>
  <c r="D34" i="2"/>
  <c r="D85" i="2"/>
  <c r="D111" i="2"/>
  <c r="P45" i="2"/>
  <c r="D98" i="2"/>
  <c r="P73" i="2"/>
  <c r="D17" i="2"/>
  <c r="E17" i="2"/>
  <c r="E25" i="2"/>
  <c r="D25" i="2"/>
  <c r="E59" i="2"/>
  <c r="D59" i="2"/>
  <c r="E62" i="2"/>
  <c r="E71" i="2"/>
  <c r="D71" i="2"/>
  <c r="E103" i="2"/>
  <c r="D103" i="2"/>
  <c r="E106" i="2"/>
  <c r="D106" i="2"/>
  <c r="D54" i="2"/>
  <c r="Q45" i="2"/>
  <c r="E47" i="2" s="1"/>
  <c r="Q76" i="2"/>
  <c r="D75" i="2" s="1"/>
  <c r="D20" i="2"/>
  <c r="P43" i="2"/>
  <c r="D51" i="2"/>
  <c r="D62" i="2"/>
  <c r="P67" i="2"/>
  <c r="D47" i="2"/>
  <c r="Q43" i="2"/>
  <c r="D42" i="2" s="1"/>
  <c r="D38" i="2"/>
  <c r="D119" i="2"/>
  <c r="E119" i="2"/>
  <c r="P79" i="2"/>
  <c r="D94" i="2"/>
  <c r="D114" i="2"/>
  <c r="D122" i="2"/>
  <c r="Q15" i="1"/>
  <c r="Q65" i="1"/>
  <c r="Q117" i="1"/>
  <c r="Q23" i="1"/>
  <c r="Q32" i="1"/>
  <c r="Q74" i="1"/>
  <c r="Q83" i="1"/>
  <c r="Q92" i="1"/>
  <c r="D59" i="1"/>
  <c r="Q41" i="1"/>
  <c r="Q57" i="1"/>
  <c r="Q49" i="1"/>
  <c r="Q101" i="1"/>
  <c r="Q109" i="1"/>
  <c r="D111" i="1"/>
  <c r="N31" i="1"/>
  <c r="N82" i="1"/>
  <c r="N91" i="1"/>
  <c r="N100" i="1"/>
  <c r="E51" i="1"/>
  <c r="E67" i="1"/>
  <c r="N67" i="1" s="1"/>
  <c r="D54" i="1"/>
  <c r="E20" i="1"/>
  <c r="E94" i="1"/>
  <c r="E46" i="1"/>
  <c r="E71" i="1"/>
  <c r="O70" i="1" s="1"/>
  <c r="D72" i="1" s="1"/>
  <c r="D103" i="1"/>
  <c r="E111" i="1"/>
  <c r="D38" i="1"/>
  <c r="N37" i="1" s="1"/>
  <c r="E103" i="1"/>
  <c r="D29" i="1"/>
  <c r="N28" i="1" s="1"/>
  <c r="D43" i="1"/>
  <c r="N43" i="1" s="1"/>
  <c r="D114" i="1"/>
  <c r="O113" i="1" s="1"/>
  <c r="E115" i="1" s="1"/>
  <c r="D20" i="1"/>
  <c r="N19" i="1" s="1"/>
  <c r="N73" i="1"/>
  <c r="E59" i="1"/>
  <c r="N59" i="1" s="1"/>
  <c r="D106" i="1"/>
  <c r="O105" i="1" s="1"/>
  <c r="E107" i="1" s="1"/>
  <c r="D119" i="1"/>
  <c r="D25" i="1"/>
  <c r="N25" i="1" s="1"/>
  <c r="N40" i="1"/>
  <c r="D46" i="1"/>
  <c r="E119" i="1"/>
  <c r="E54" i="1"/>
  <c r="D62" i="1"/>
  <c r="D80" i="1"/>
  <c r="O79" i="1" s="1"/>
  <c r="E81" i="1" s="1"/>
  <c r="E85" i="1"/>
  <c r="D122" i="1"/>
  <c r="O121" i="1" s="1"/>
  <c r="E123" i="1" s="1"/>
  <c r="D76" i="1"/>
  <c r="D17" i="1"/>
  <c r="D89" i="1"/>
  <c r="O88" i="1" s="1"/>
  <c r="E90" i="1" s="1"/>
  <c r="D98" i="1"/>
  <c r="D34" i="1"/>
  <c r="H90" i="1" a="1"/>
  <c r="K113" i="1" a="1"/>
  <c r="H47" i="1" a="1"/>
  <c r="K112" i="1" a="1"/>
  <c r="K88" i="1" a="1"/>
  <c r="K79" i="1" a="1"/>
  <c r="H43" i="1" a="1"/>
  <c r="H111" i="1" a="1"/>
  <c r="K24" i="1" a="1"/>
  <c r="H121" i="1" a="1"/>
  <c r="H94" i="1" a="1"/>
  <c r="K35" i="1" a="1"/>
  <c r="K97" i="1" a="1"/>
  <c r="K120" i="1" a="1"/>
  <c r="K90" i="1" a="1"/>
  <c r="K70" i="1" a="1"/>
  <c r="K96" i="1" a="1"/>
  <c r="K105" i="1" a="1"/>
  <c r="H70" i="1" a="1"/>
  <c r="K45" i="1" a="1"/>
  <c r="H110" i="1" a="1"/>
  <c r="K121" i="1" a="1"/>
  <c r="K81" i="1" a="1"/>
  <c r="K33" i="1" a="1"/>
  <c r="K106" i="1" a="1"/>
  <c r="H62" i="1" a="1"/>
  <c r="H78" i="1" a="1"/>
  <c r="H96" i="1" a="1"/>
  <c r="H97" i="1" a="1"/>
  <c r="K114" i="1" a="1"/>
  <c r="K84" i="1" a="1"/>
  <c r="K51" i="1" a="1"/>
  <c r="H33" i="1" a="1"/>
  <c r="K21" i="1" a="1"/>
  <c r="K72" i="1" a="1"/>
  <c r="H63" i="1" a="1"/>
  <c r="K44" i="1" a="1"/>
  <c r="H89" i="1" a="1"/>
  <c r="H34" i="1" a="1"/>
  <c r="K61" i="1" a="1"/>
  <c r="H98" i="1" a="1"/>
  <c r="K122" i="1" a="1"/>
  <c r="K103" i="1" a="1"/>
  <c r="H30" i="1" a="1"/>
  <c r="H20" i="1" a="1"/>
  <c r="H93" i="1" a="1"/>
  <c r="H29" i="1" a="1"/>
  <c r="K58" i="1" a="1"/>
  <c r="H52" i="1" a="1"/>
  <c r="H18" i="1" a="1"/>
  <c r="H120" i="1" a="1"/>
  <c r="K46" i="1" a="1"/>
  <c r="H21" i="1" a="1"/>
  <c r="K75" i="1" a="1"/>
  <c r="K42" i="1" a="1"/>
  <c r="H106" i="1" a="1"/>
  <c r="K115" i="1" a="1"/>
  <c r="H72" i="1" a="1"/>
  <c r="H50" i="1" a="1"/>
  <c r="K63" i="1" a="1"/>
  <c r="H114" i="1" a="1"/>
  <c r="K52" i="1" a="1"/>
  <c r="K30" i="1" a="1"/>
  <c r="K20" i="1" a="1"/>
  <c r="K62" i="1" a="1"/>
  <c r="K111" i="1" a="1"/>
  <c r="K94" i="1" a="1"/>
  <c r="H107" i="1" a="1"/>
  <c r="H99" i="1" a="1"/>
  <c r="H85" i="1" a="1"/>
  <c r="K93" i="1" a="1"/>
  <c r="K54" i="1" a="1"/>
  <c r="K95" i="1" a="1"/>
  <c r="H75" i="1" a="1"/>
  <c r="H44" i="1" a="1"/>
  <c r="H55" i="1" a="1"/>
  <c r="K107" i="1" a="1"/>
  <c r="H45" i="1" a="1"/>
  <c r="K29" i="1" a="1"/>
  <c r="H19" i="1" a="1"/>
  <c r="H46" i="1" a="1"/>
  <c r="H68" i="1" a="1"/>
  <c r="H35" i="1" a="1"/>
  <c r="K28" i="1" a="1"/>
  <c r="K27" i="1" a="1"/>
  <c r="H27" i="1" a="1"/>
  <c r="K67" i="1" a="1"/>
  <c r="H25" i="1" a="1"/>
  <c r="H122" i="1" a="1"/>
  <c r="H113" i="1" a="1"/>
  <c r="K36" i="1" a="1"/>
  <c r="H104" i="1" a="1"/>
  <c r="K118" i="1" a="1"/>
  <c r="K19" i="1" a="1"/>
  <c r="K43" i="1" a="1"/>
  <c r="H66" i="1" a="1"/>
  <c r="K99" i="1" a="1"/>
  <c r="K34" i="1" a="1"/>
  <c r="K68" i="1" a="1"/>
  <c r="K50" i="1" a="1"/>
  <c r="K78" i="1" a="1"/>
  <c r="H60" i="1" a="1"/>
  <c r="K104" i="1" a="1"/>
  <c r="K66" i="1" a="1"/>
  <c r="H81" i="1" a="1"/>
  <c r="H42" i="1" a="1"/>
  <c r="H39" i="1" a="1"/>
  <c r="H36" i="1" a="1"/>
  <c r="K76" i="1" a="1"/>
  <c r="K47" i="1" a="1"/>
  <c r="H88" i="1" a="1"/>
  <c r="H28" i="1" a="1"/>
  <c r="K18" i="1" a="1"/>
  <c r="H84" i="1" a="1"/>
  <c r="H69" i="1" a="1"/>
  <c r="H71" i="1" a="1"/>
  <c r="H105" i="1" a="1"/>
  <c r="H17" i="1" a="1"/>
  <c r="K17" i="1" a="1"/>
  <c r="K26" i="1" a="1"/>
  <c r="H53" i="1" a="1"/>
  <c r="H24" i="1" a="1"/>
  <c r="H58" i="1" a="1"/>
  <c r="H79" i="1" a="1"/>
  <c r="K55" i="1" a="1"/>
  <c r="K87" i="1" a="1"/>
  <c r="K53" i="1" a="1"/>
  <c r="H51" i="1" a="1"/>
  <c r="K89" i="1" a="1"/>
  <c r="K110" i="1" a="1"/>
  <c r="H103" i="1" a="1"/>
  <c r="H80" i="1" a="1"/>
  <c r="K85" i="1" a="1"/>
  <c r="H123" i="1" a="1"/>
  <c r="K102" i="1" a="1"/>
  <c r="H119" i="1" a="1"/>
  <c r="K39" i="1" a="1"/>
  <c r="K98" i="1" a="1"/>
  <c r="H37" i="1" a="1"/>
  <c r="K123" i="1" a="1"/>
  <c r="H118" i="1" a="1"/>
  <c r="H112" i="1" a="1"/>
  <c r="K119" i="1" a="1"/>
  <c r="K37" i="1" a="1"/>
  <c r="K71" i="1" a="1"/>
  <c r="H102" i="1" a="1"/>
  <c r="H67" i="1" a="1"/>
  <c r="K16" i="1" a="1"/>
  <c r="H115" i="1" a="1"/>
  <c r="H95" i="1" a="1"/>
  <c r="H77" i="1" a="1"/>
  <c r="K59" i="1" a="1"/>
  <c r="H26" i="1" a="1"/>
  <c r="H87" i="1" a="1"/>
  <c r="H86" i="1" a="1"/>
  <c r="K69" i="1" a="1"/>
  <c r="H76" i="1" a="1"/>
  <c r="H59" i="1" a="1"/>
  <c r="K80" i="1" a="1"/>
  <c r="K38" i="1" a="1"/>
  <c r="H16" i="1" a="1"/>
  <c r="K60" i="1" a="1"/>
  <c r="K86" i="1" a="1"/>
  <c r="H54" i="1" a="1"/>
  <c r="K25" i="1" a="1"/>
  <c r="K77" i="1" a="1"/>
  <c r="H38" i="1" a="1"/>
  <c r="H61" i="1" a="1"/>
  <c r="J77" i="2" a="1"/>
  <c r="J35" i="2" a="1"/>
  <c r="M87" i="2" a="1"/>
  <c r="M69" i="2" a="1"/>
  <c r="J88" i="2" a="1"/>
  <c r="M104" i="2" a="1"/>
  <c r="M88" i="2" a="1"/>
  <c r="J79" i="2" a="1"/>
  <c r="M44" i="2" a="1"/>
  <c r="J44" i="2" a="1"/>
  <c r="M121" i="2" a="1"/>
  <c r="M78" i="2" a="1"/>
  <c r="J120" i="2" a="1"/>
  <c r="F122" i="2" a="1"/>
  <c r="F20" i="2" a="1"/>
  <c r="M28" i="2" a="1"/>
  <c r="M112" i="2" a="1"/>
  <c r="J26" i="2" a="1"/>
  <c r="M18" i="2" a="1"/>
  <c r="M61" i="2" a="1"/>
  <c r="M96" i="2" a="1"/>
  <c r="J68" i="2" a="1"/>
  <c r="M86" i="2" a="1"/>
  <c r="M26" i="2" a="1"/>
  <c r="J53" i="2" a="1"/>
  <c r="J96" i="2" a="1"/>
  <c r="J37" i="2" a="1"/>
  <c r="M37" i="2" a="1"/>
  <c r="M97" i="2" a="1"/>
  <c r="F46" i="2" a="1"/>
  <c r="F62" i="2" a="1"/>
  <c r="M95" i="2" a="1"/>
  <c r="J112" i="2" a="1"/>
  <c r="M70" i="2" a="1"/>
  <c r="J70" i="2" a="1"/>
  <c r="J69" i="2" a="1"/>
  <c r="J52" i="2" a="1"/>
  <c r="M79" i="2" a="1"/>
  <c r="J121" i="2" a="1"/>
  <c r="F47" i="2" a="1"/>
  <c r="J87" i="2" a="1"/>
  <c r="J27" i="2" a="1"/>
  <c r="M120" i="2" a="1"/>
  <c r="J104" i="2" a="1"/>
  <c r="J78" i="2" a="1"/>
  <c r="J105" i="2" a="1"/>
  <c r="F80" i="2" a="1"/>
  <c r="F71" i="2" a="1"/>
  <c r="J95" i="2" a="1"/>
  <c r="J36" i="2" a="1"/>
  <c r="J45" i="2" a="1"/>
  <c r="M53" i="2" a="1"/>
  <c r="J19" i="2" a="1"/>
  <c r="M105" i="2" a="1"/>
  <c r="M36" i="2" a="1"/>
  <c r="J60" i="2" a="1"/>
  <c r="M68" i="2" a="1"/>
  <c r="J28" i="2" a="1"/>
  <c r="M77" i="2" a="1"/>
  <c r="M45" i="2" a="1"/>
  <c r="M27" i="2" a="1"/>
  <c r="M60" i="2" a="1"/>
  <c r="J61" i="2" a="1"/>
  <c r="M19" i="2" a="1"/>
  <c r="J86" i="2" a="1"/>
  <c r="M113" i="2" a="1"/>
  <c r="F106" i="2" a="1"/>
  <c r="F114" i="2" a="1"/>
  <c r="J97" i="2" a="1"/>
  <c r="M35" i="2" a="1"/>
  <c r="M52" i="2" a="1"/>
  <c r="J113" i="2" a="1"/>
  <c r="J18" i="2" a="1"/>
  <c r="F43" i="2" a="1"/>
  <c r="R44" i="2" a="1"/>
  <c r="F76" i="2" a="1"/>
  <c r="R78" i="2" a="1"/>
  <c r="F67" i="2" a="1"/>
  <c r="R69" i="2" a="1"/>
  <c r="F89" i="2" a="1"/>
  <c r="F29" i="2" a="1"/>
  <c r="R36" i="2" a="1"/>
  <c r="F34" i="2" a="1"/>
  <c r="F85" i="2" a="1"/>
  <c r="R87" i="2" a="1"/>
  <c r="R112" i="2" a="1"/>
  <c r="F111" i="2" a="1"/>
  <c r="F98" i="2" a="1"/>
  <c r="R18" i="2" a="1"/>
  <c r="F17" i="2" a="1"/>
  <c r="R27" i="2" a="1"/>
  <c r="F25" i="2" a="1"/>
  <c r="F59" i="2" a="1"/>
  <c r="R60" i="2" a="1"/>
  <c r="R104" i="2" a="1"/>
  <c r="F103" i="2" a="1"/>
  <c r="F54" i="2" a="1"/>
  <c r="F51" i="2" a="1"/>
  <c r="R52" i="2" a="1"/>
  <c r="F38" i="2" a="1"/>
  <c r="F119" i="2" a="1"/>
  <c r="R120" i="2" a="1"/>
  <c r="R96" i="2" a="1"/>
  <c r="F94" i="2" a="1"/>
  <c r="K122" i="2" a="1"/>
  <c r="K20" i="2" a="1"/>
  <c r="K46" i="2" a="1"/>
  <c r="K62" i="2" a="1"/>
  <c r="K47" i="2" a="1"/>
  <c r="K80" i="2" a="1"/>
  <c r="K71" i="2" a="1"/>
  <c r="K106" i="2" a="1"/>
  <c r="K114" i="2" a="1"/>
  <c r="K43" i="2" a="1"/>
  <c r="K76" i="2" a="1"/>
  <c r="K67" i="2" a="1"/>
  <c r="K89" i="2" a="1"/>
  <c r="K29" i="2" a="1"/>
  <c r="K34" i="2" a="1"/>
  <c r="K85" i="2" a="1"/>
  <c r="K111" i="2" a="1"/>
  <c r="K98" i="2" a="1"/>
  <c r="K17" i="2" a="1"/>
  <c r="K25" i="2" a="1"/>
  <c r="K59" i="2" a="1"/>
  <c r="K103" i="2" a="1"/>
  <c r="K54" i="2" a="1"/>
  <c r="K51" i="2" a="1"/>
  <c r="K38" i="2" a="1"/>
  <c r="K119" i="2" a="1"/>
  <c r="K94" i="2" a="1"/>
  <c r="M25" i="3" a="1"/>
  <c r="M26" i="3" a="1"/>
  <c r="M36" i="3" a="1"/>
  <c r="M59" i="3" a="1"/>
  <c r="J71" i="3" a="1"/>
  <c r="R78" i="3" a="1"/>
  <c r="M45" i="3" a="1"/>
  <c r="M94" i="3" a="1"/>
  <c r="M87" i="3" a="1"/>
  <c r="J105" i="3" a="1"/>
  <c r="M70" i="3" a="1"/>
  <c r="J86" i="3" a="1"/>
  <c r="M77" i="3" a="1"/>
  <c r="J106" i="3" a="1"/>
  <c r="J68" i="3" a="1"/>
  <c r="M95" i="3" a="1"/>
  <c r="M62" i="3" a="1"/>
  <c r="M17" i="3" a="1"/>
  <c r="J87" i="3" a="1"/>
  <c r="M78" i="3" a="1"/>
  <c r="M44" i="3" a="1"/>
  <c r="M88" i="3" a="1"/>
  <c r="J45" i="3" a="1"/>
  <c r="J27" i="3" a="1"/>
  <c r="J26" i="3" a="1"/>
  <c r="J17" i="3" a="1"/>
  <c r="J69" i="3" a="1"/>
  <c r="R87" i="3" a="1"/>
  <c r="M30" i="3" a="1"/>
  <c r="M103" i="3" a="1"/>
  <c r="M46" i="3" a="1"/>
  <c r="M19" i="3" a="1"/>
  <c r="J97" i="3" a="1"/>
  <c r="M51" i="3" a="1"/>
  <c r="M104" i="3" a="1"/>
  <c r="M52" i="3" a="1"/>
  <c r="M113" i="3" a="1"/>
  <c r="R69" i="3" a="1"/>
  <c r="M29" i="3" a="1"/>
  <c r="M71" i="3" a="1"/>
  <c r="J29" i="3" a="1"/>
  <c r="J38" i="3" a="1"/>
  <c r="J62" i="3" a="1"/>
  <c r="J112" i="3" a="1"/>
  <c r="J18" i="3" a="1"/>
  <c r="M43" i="3" a="1"/>
  <c r="M97" i="3" a="1"/>
  <c r="J95" i="3" a="1"/>
  <c r="J53" i="3" a="1"/>
  <c r="J46" i="3" a="1"/>
  <c r="M68" i="3" a="1"/>
  <c r="J77" i="3" a="1"/>
  <c r="R36" i="3" a="1"/>
  <c r="M96" i="3" a="1"/>
  <c r="M112" i="3" a="1"/>
  <c r="J43" i="3" a="1"/>
  <c r="J70" i="3" a="1"/>
  <c r="M69" i="3" a="1"/>
  <c r="J120" i="3" a="1"/>
  <c r="J19" i="3" a="1"/>
  <c r="R112" i="3" a="1"/>
  <c r="M28" i="3" a="1"/>
  <c r="M120" i="3" a="1"/>
  <c r="J44" i="3" a="1"/>
  <c r="J89" i="3" a="1"/>
  <c r="J78" i="3" a="1"/>
  <c r="R18" i="3" a="1"/>
  <c r="R120" i="3" a="1"/>
  <c r="M105" i="3" a="1"/>
  <c r="M98" i="3" a="1"/>
  <c r="M35" i="3" a="1"/>
  <c r="J96" i="3" a="1"/>
  <c r="J61" i="3" a="1"/>
  <c r="M89" i="3" a="1"/>
  <c r="J88" i="3" a="1"/>
  <c r="J35" i="3" a="1"/>
  <c r="M27" i="3" a="1"/>
  <c r="M121" i="3" a="1"/>
  <c r="M60" i="3" a="1"/>
  <c r="J113" i="3" a="1"/>
  <c r="J36" i="3" a="1"/>
  <c r="M38" i="3" a="1"/>
  <c r="M106" i="3" a="1"/>
  <c r="J79" i="3" a="1"/>
  <c r="J52" i="3" a="1"/>
  <c r="J103" i="3" a="1"/>
  <c r="M53" i="3" a="1"/>
  <c r="M37" i="3" a="1"/>
  <c r="J30" i="3" a="1"/>
  <c r="J28" i="3" a="1"/>
  <c r="M86" i="3" a="1"/>
  <c r="J98" i="3" a="1"/>
  <c r="J59" i="3" a="1"/>
  <c r="M61" i="3" a="1"/>
  <c r="J25" i="3" a="1"/>
  <c r="J51" i="3" a="1"/>
  <c r="M18" i="3" a="1"/>
  <c r="J37" i="3" a="1"/>
  <c r="J104" i="3" a="1"/>
  <c r="M79" i="3" a="1"/>
  <c r="J94" i="3" a="1"/>
  <c r="J121" i="3" a="1"/>
  <c r="J60" i="3" a="1"/>
  <c r="R52" i="3" a="1"/>
  <c r="K76" i="3" a="1"/>
  <c r="K93" i="3" a="1"/>
  <c r="K85" i="3" a="1"/>
  <c r="K67" i="3" a="1"/>
  <c r="K102" i="3" a="1"/>
  <c r="K34" i="3" a="1"/>
  <c r="K80" i="3" a="1"/>
  <c r="K63" i="3" a="1"/>
  <c r="K111" i="3" a="1"/>
  <c r="K20" i="3" a="1"/>
  <c r="K119" i="3" a="1"/>
  <c r="K50" i="3" a="1"/>
  <c r="K90" i="3" a="1"/>
  <c r="K114" i="3" a="1"/>
  <c r="K122" i="3" a="1"/>
  <c r="K107" i="3" a="1"/>
  <c r="K54" i="3" a="1"/>
  <c r="P52" i="4" a="1"/>
  <c r="P104" i="4" a="1"/>
  <c r="P112" i="4" a="1"/>
  <c r="P78" i="4" a="1"/>
  <c r="P69" i="4" a="1"/>
  <c r="P120" i="4" a="1"/>
  <c r="P96" i="4" a="1"/>
  <c r="P36" i="4" a="1"/>
  <c r="P44" i="4" a="1"/>
  <c r="P60" i="4" a="1"/>
  <c r="P18" i="4" a="1"/>
  <c r="P87" i="4" a="1"/>
  <c r="P27" i="4" a="1"/>
  <c r="O79" i="4" l="1"/>
  <c r="D81" i="4" s="1"/>
  <c r="N25" i="4"/>
  <c r="O88" i="4"/>
  <c r="E90" i="4" s="1"/>
  <c r="N28" i="4"/>
  <c r="N45" i="4"/>
  <c r="O70" i="4"/>
  <c r="D72" i="4" s="1"/>
  <c r="O97" i="4"/>
  <c r="E99" i="4" s="1"/>
  <c r="N53" i="4"/>
  <c r="O19" i="4"/>
  <c r="D21" i="4" s="1"/>
  <c r="O37" i="4"/>
  <c r="E39" i="4" s="1"/>
  <c r="N30" i="4"/>
  <c r="O28" i="4"/>
  <c r="E30" i="4" s="1"/>
  <c r="E81" i="4"/>
  <c r="N80" i="4" s="1"/>
  <c r="N19" i="4"/>
  <c r="P112" i="4"/>
  <c r="P104" i="4"/>
  <c r="P60" i="4"/>
  <c r="P78" i="4"/>
  <c r="P36" i="4"/>
  <c r="P52" i="4"/>
  <c r="P18" i="4"/>
  <c r="P87" i="4"/>
  <c r="P120" i="4"/>
  <c r="P96" i="4"/>
  <c r="P44" i="4"/>
  <c r="P69" i="4"/>
  <c r="P27" i="4"/>
  <c r="N111" i="4"/>
  <c r="N103" i="4"/>
  <c r="O111" i="4"/>
  <c r="E110" i="4" s="1"/>
  <c r="O103" i="4"/>
  <c r="E102" i="4" s="1"/>
  <c r="O113" i="4"/>
  <c r="E115" i="4" s="1"/>
  <c r="N61" i="4"/>
  <c r="O105" i="4"/>
  <c r="D107" i="4" s="1"/>
  <c r="N59" i="4"/>
  <c r="N76" i="4"/>
  <c r="N81" i="4" s="1"/>
  <c r="N34" i="4"/>
  <c r="N51" i="4"/>
  <c r="O59" i="4"/>
  <c r="D58" i="4" s="1"/>
  <c r="O76" i="4"/>
  <c r="D75" i="4" s="1"/>
  <c r="O34" i="4"/>
  <c r="E33" i="4" s="1"/>
  <c r="O51" i="4"/>
  <c r="E50" i="4" s="1"/>
  <c r="O61" i="4"/>
  <c r="E63" i="4" s="1"/>
  <c r="N105" i="4"/>
  <c r="O53" i="4"/>
  <c r="D55" i="4" s="1"/>
  <c r="N17" i="4"/>
  <c r="N21" i="4" s="1"/>
  <c r="N85" i="4"/>
  <c r="N119" i="4"/>
  <c r="O85" i="4"/>
  <c r="E84" i="4" s="1"/>
  <c r="O119" i="4"/>
  <c r="D118" i="4" s="1"/>
  <c r="O17" i="4"/>
  <c r="D16" i="4" s="1"/>
  <c r="O121" i="4"/>
  <c r="E123" i="4" s="1"/>
  <c r="N37" i="4"/>
  <c r="N94" i="4"/>
  <c r="N43" i="4"/>
  <c r="N121" i="4"/>
  <c r="O94" i="4"/>
  <c r="E93" i="4" s="1"/>
  <c r="N67" i="4"/>
  <c r="N72" i="4" s="1"/>
  <c r="O43" i="4"/>
  <c r="E42" i="4" s="1"/>
  <c r="D90" i="4"/>
  <c r="N88" i="4"/>
  <c r="N97" i="4"/>
  <c r="O67" i="4"/>
  <c r="D66" i="4" s="1"/>
  <c r="O45" i="4"/>
  <c r="D47" i="4" s="1"/>
  <c r="O25" i="4"/>
  <c r="D24" i="4" s="1"/>
  <c r="N113" i="4"/>
  <c r="K54" i="3"/>
  <c r="K107" i="3"/>
  <c r="K122" i="3"/>
  <c r="K114" i="3"/>
  <c r="K90" i="3"/>
  <c r="K50" i="3"/>
  <c r="K119" i="3"/>
  <c r="K20" i="3"/>
  <c r="K111" i="3"/>
  <c r="K63" i="3"/>
  <c r="K80" i="3"/>
  <c r="K34" i="3"/>
  <c r="K102" i="3"/>
  <c r="K67" i="3"/>
  <c r="K85" i="3"/>
  <c r="K93" i="3"/>
  <c r="K76" i="3"/>
  <c r="R52" i="3"/>
  <c r="J60" i="3"/>
  <c r="J121" i="3"/>
  <c r="J94" i="3"/>
  <c r="M79" i="3"/>
  <c r="O79" i="3" s="1"/>
  <c r="J104" i="3"/>
  <c r="J37" i="3"/>
  <c r="M18" i="3"/>
  <c r="O18" i="3" s="1"/>
  <c r="J51" i="3"/>
  <c r="J25" i="3"/>
  <c r="M61" i="3"/>
  <c r="O61" i="3" s="1"/>
  <c r="J59" i="3"/>
  <c r="J98" i="3"/>
  <c r="M86" i="3"/>
  <c r="O86" i="3" s="1"/>
  <c r="J28" i="3"/>
  <c r="J30" i="3"/>
  <c r="M37" i="3"/>
  <c r="O37" i="3" s="1"/>
  <c r="M53" i="3"/>
  <c r="O53" i="3" s="1"/>
  <c r="J103" i="3"/>
  <c r="J52" i="3"/>
  <c r="J79" i="3"/>
  <c r="M106" i="3"/>
  <c r="O106" i="3" s="1"/>
  <c r="M38" i="3"/>
  <c r="O38" i="3" s="1"/>
  <c r="J36" i="3"/>
  <c r="J113" i="3"/>
  <c r="M60" i="3"/>
  <c r="O60" i="3" s="1"/>
  <c r="M121" i="3"/>
  <c r="O121" i="3" s="1"/>
  <c r="M27" i="3"/>
  <c r="O27" i="3" s="1"/>
  <c r="J35" i="3"/>
  <c r="J88" i="3"/>
  <c r="M89" i="3"/>
  <c r="O89" i="3" s="1"/>
  <c r="J61" i="3"/>
  <c r="J96" i="3"/>
  <c r="M35" i="3"/>
  <c r="O35" i="3" s="1"/>
  <c r="M98" i="3"/>
  <c r="O98" i="3" s="1"/>
  <c r="M105" i="3"/>
  <c r="O105" i="3" s="1"/>
  <c r="R120" i="3"/>
  <c r="R18" i="3"/>
  <c r="J78" i="3"/>
  <c r="J89" i="3"/>
  <c r="J44" i="3"/>
  <c r="M120" i="3"/>
  <c r="O120" i="3" s="1"/>
  <c r="M28" i="3"/>
  <c r="O28" i="3" s="1"/>
  <c r="R112" i="3"/>
  <c r="J19" i="3"/>
  <c r="J120" i="3"/>
  <c r="M69" i="3"/>
  <c r="O69" i="3" s="1"/>
  <c r="J70" i="3"/>
  <c r="J43" i="3"/>
  <c r="M112" i="3"/>
  <c r="O112" i="3" s="1"/>
  <c r="M96" i="3"/>
  <c r="O96" i="3" s="1"/>
  <c r="R36" i="3"/>
  <c r="J77" i="3"/>
  <c r="M68" i="3"/>
  <c r="O68" i="3" s="1"/>
  <c r="J46" i="3"/>
  <c r="J53" i="3"/>
  <c r="J95" i="3"/>
  <c r="M97" i="3"/>
  <c r="O97" i="3" s="1"/>
  <c r="M43" i="3"/>
  <c r="O43" i="3" s="1"/>
  <c r="J18" i="3"/>
  <c r="J112" i="3"/>
  <c r="J62" i="3"/>
  <c r="J38" i="3"/>
  <c r="J29" i="3"/>
  <c r="M71" i="3"/>
  <c r="O71" i="3" s="1"/>
  <c r="M29" i="3"/>
  <c r="O29" i="3" s="1"/>
  <c r="R69" i="3"/>
  <c r="M113" i="3"/>
  <c r="O113" i="3" s="1"/>
  <c r="M52" i="3"/>
  <c r="O52" i="3" s="1"/>
  <c r="M104" i="3"/>
  <c r="O104" i="3" s="1"/>
  <c r="M51" i="3"/>
  <c r="O51" i="3" s="1"/>
  <c r="J97" i="3"/>
  <c r="M19" i="3"/>
  <c r="O19" i="3" s="1"/>
  <c r="M46" i="3"/>
  <c r="O46" i="3" s="1"/>
  <c r="M103" i="3"/>
  <c r="O103" i="3" s="1"/>
  <c r="M30" i="3"/>
  <c r="O30" i="3" s="1"/>
  <c r="R87" i="3"/>
  <c r="J69" i="3"/>
  <c r="J17" i="3"/>
  <c r="J26" i="3"/>
  <c r="J27" i="3"/>
  <c r="J45" i="3"/>
  <c r="M88" i="3"/>
  <c r="O88" i="3" s="1"/>
  <c r="M44" i="3"/>
  <c r="O44" i="3" s="1"/>
  <c r="M78" i="3"/>
  <c r="O78" i="3" s="1"/>
  <c r="J87" i="3"/>
  <c r="M17" i="3"/>
  <c r="O17" i="3" s="1"/>
  <c r="M62" i="3"/>
  <c r="O62" i="3" s="1"/>
  <c r="M95" i="3"/>
  <c r="O95" i="3" s="1"/>
  <c r="J68" i="3"/>
  <c r="J106" i="3"/>
  <c r="M77" i="3"/>
  <c r="O77" i="3" s="1"/>
  <c r="J86" i="3"/>
  <c r="M70" i="3"/>
  <c r="O70" i="3" s="1"/>
  <c r="J105" i="3"/>
  <c r="M87" i="3"/>
  <c r="O87" i="3" s="1"/>
  <c r="M94" i="3"/>
  <c r="O94" i="3" s="1"/>
  <c r="M45" i="3"/>
  <c r="O45" i="3" s="1"/>
  <c r="R78" i="3"/>
  <c r="J71" i="3"/>
  <c r="M59" i="3"/>
  <c r="O59" i="3" s="1"/>
  <c r="M36" i="3"/>
  <c r="O36" i="3" s="1"/>
  <c r="M26" i="3"/>
  <c r="O26" i="3" s="1"/>
  <c r="M25" i="3"/>
  <c r="O25" i="3" s="1"/>
  <c r="P102" i="3"/>
  <c r="P53" i="3"/>
  <c r="Q53" i="3"/>
  <c r="E55" i="3" s="1"/>
  <c r="Q50" i="3"/>
  <c r="T60" i="3"/>
  <c r="S60" i="3"/>
  <c r="T121" i="3"/>
  <c r="S121" i="3"/>
  <c r="S94" i="3"/>
  <c r="T94" i="3"/>
  <c r="T104" i="3"/>
  <c r="S104" i="3"/>
  <c r="S37" i="3"/>
  <c r="T37" i="3"/>
  <c r="S51" i="3"/>
  <c r="T51" i="3"/>
  <c r="T25" i="3"/>
  <c r="S25" i="3"/>
  <c r="P106" i="3"/>
  <c r="D99" i="3"/>
  <c r="Q98" i="3" s="1"/>
  <c r="S59" i="3"/>
  <c r="T59" i="3"/>
  <c r="T98" i="3"/>
  <c r="S98" i="3"/>
  <c r="T28" i="3"/>
  <c r="S28" i="3"/>
  <c r="S30" i="3"/>
  <c r="T30" i="3"/>
  <c r="P121" i="3"/>
  <c r="E39" i="3"/>
  <c r="P38" i="3" s="1"/>
  <c r="S103" i="3"/>
  <c r="T103" i="3"/>
  <c r="T52" i="3"/>
  <c r="S52" i="3"/>
  <c r="S79" i="3"/>
  <c r="T79" i="3"/>
  <c r="P113" i="3"/>
  <c r="P115" i="3" s="1"/>
  <c r="P89" i="3"/>
  <c r="E16" i="3"/>
  <c r="S36" i="3"/>
  <c r="T36" i="3"/>
  <c r="T113" i="3"/>
  <c r="S113" i="3"/>
  <c r="Q119" i="3"/>
  <c r="E118" i="3" s="1"/>
  <c r="Q118" i="3" s="1"/>
  <c r="P55" i="3"/>
  <c r="D72" i="3"/>
  <c r="S35" i="3"/>
  <c r="T35" i="3"/>
  <c r="S88" i="3"/>
  <c r="T88" i="3"/>
  <c r="T61" i="3"/>
  <c r="S61" i="3"/>
  <c r="T96" i="3"/>
  <c r="S96" i="3"/>
  <c r="P119" i="3"/>
  <c r="P123" i="3" s="1"/>
  <c r="D118" i="3"/>
  <c r="Q113" i="3"/>
  <c r="E115" i="3" s="1"/>
  <c r="E24" i="3"/>
  <c r="P24" i="3" s="1"/>
  <c r="P19" i="3"/>
  <c r="P21" i="3" s="1"/>
  <c r="D21" i="3"/>
  <c r="Q20" i="3" s="1"/>
  <c r="S78" i="3"/>
  <c r="T78" i="3"/>
  <c r="S89" i="3"/>
  <c r="T89" i="3"/>
  <c r="T44" i="3"/>
  <c r="S44" i="3"/>
  <c r="Q111" i="3"/>
  <c r="D110" i="3" s="1"/>
  <c r="E110" i="3"/>
  <c r="Q110" i="3" s="1"/>
  <c r="P62" i="3"/>
  <c r="S19" i="3"/>
  <c r="T19" i="3"/>
  <c r="T120" i="3"/>
  <c r="S120" i="3"/>
  <c r="T70" i="3"/>
  <c r="S70" i="3"/>
  <c r="T43" i="3"/>
  <c r="S43" i="3"/>
  <c r="P79" i="3"/>
  <c r="Q34" i="3"/>
  <c r="D33" i="3" s="1"/>
  <c r="T77" i="3"/>
  <c r="S77" i="3"/>
  <c r="T46" i="3"/>
  <c r="S46" i="3"/>
  <c r="T53" i="3"/>
  <c r="S53" i="3"/>
  <c r="S95" i="3"/>
  <c r="T95" i="3"/>
  <c r="Q106" i="3"/>
  <c r="S18" i="3"/>
  <c r="T18" i="3"/>
  <c r="T112" i="3"/>
  <c r="S112" i="3"/>
  <c r="T62" i="3"/>
  <c r="S62" i="3"/>
  <c r="T38" i="3"/>
  <c r="S38" i="3"/>
  <c r="T29" i="3"/>
  <c r="S29" i="3"/>
  <c r="Q84" i="3"/>
  <c r="Q121" i="3"/>
  <c r="E123" i="3" s="1"/>
  <c r="P67" i="3"/>
  <c r="P72" i="3" s="1"/>
  <c r="Q67" i="3"/>
  <c r="D66" i="3" s="1"/>
  <c r="T97" i="3"/>
  <c r="S97" i="3"/>
  <c r="P85" i="3"/>
  <c r="P90" i="3" s="1"/>
  <c r="D84" i="3"/>
  <c r="P84" i="3"/>
  <c r="D58" i="3"/>
  <c r="Q58" i="3" s="1"/>
  <c r="T69" i="3"/>
  <c r="S69" i="3"/>
  <c r="S17" i="3"/>
  <c r="T17" i="3"/>
  <c r="T26" i="3"/>
  <c r="S26" i="3"/>
  <c r="T27" i="3"/>
  <c r="S27" i="3"/>
  <c r="T45" i="3"/>
  <c r="S45" i="3"/>
  <c r="E47" i="3"/>
  <c r="D47" i="3"/>
  <c r="Q79" i="3"/>
  <c r="E81" i="3" s="1"/>
  <c r="D42" i="3"/>
  <c r="S87" i="3"/>
  <c r="T87" i="3"/>
  <c r="P93" i="3"/>
  <c r="T68" i="3"/>
  <c r="S68" i="3"/>
  <c r="T106" i="3"/>
  <c r="S106" i="3"/>
  <c r="T86" i="3"/>
  <c r="S86" i="3"/>
  <c r="T105" i="3"/>
  <c r="S105" i="3"/>
  <c r="P76" i="3"/>
  <c r="D75" i="3"/>
  <c r="Q75" i="3" s="1"/>
  <c r="T71" i="3"/>
  <c r="S71" i="3"/>
  <c r="K94" i="2"/>
  <c r="K119" i="2"/>
  <c r="K38" i="2"/>
  <c r="K51" i="2"/>
  <c r="K54" i="2"/>
  <c r="K103" i="2"/>
  <c r="K59" i="2"/>
  <c r="K25" i="2"/>
  <c r="K17" i="2"/>
  <c r="K98" i="2"/>
  <c r="K111" i="2"/>
  <c r="K85" i="2"/>
  <c r="K34" i="2"/>
  <c r="K29" i="2"/>
  <c r="K89" i="2"/>
  <c r="K67" i="2"/>
  <c r="K76" i="2"/>
  <c r="K43" i="2"/>
  <c r="K114" i="2"/>
  <c r="K106" i="2"/>
  <c r="K71" i="2"/>
  <c r="K80" i="2"/>
  <c r="K47" i="2"/>
  <c r="K62" i="2"/>
  <c r="K46" i="2"/>
  <c r="K20" i="2"/>
  <c r="K122" i="2"/>
  <c r="F94" i="2"/>
  <c r="R96" i="2"/>
  <c r="R120" i="2"/>
  <c r="F119" i="2"/>
  <c r="F38" i="2"/>
  <c r="R52" i="2"/>
  <c r="F51" i="2"/>
  <c r="F54" i="2"/>
  <c r="F103" i="2"/>
  <c r="R104" i="2"/>
  <c r="R60" i="2"/>
  <c r="F59" i="2"/>
  <c r="F25" i="2"/>
  <c r="R27" i="2"/>
  <c r="F17" i="2"/>
  <c r="R18" i="2"/>
  <c r="F98" i="2"/>
  <c r="F111" i="2"/>
  <c r="R112" i="2"/>
  <c r="R87" i="2"/>
  <c r="F85" i="2"/>
  <c r="F34" i="2"/>
  <c r="R36" i="2"/>
  <c r="F29" i="2"/>
  <c r="F89" i="2"/>
  <c r="R69" i="2"/>
  <c r="F67" i="2"/>
  <c r="R78" i="2"/>
  <c r="F76" i="2"/>
  <c r="R44" i="2"/>
  <c r="F43" i="2"/>
  <c r="F114" i="2"/>
  <c r="F106" i="2"/>
  <c r="F71" i="2"/>
  <c r="F80" i="2"/>
  <c r="F47" i="2"/>
  <c r="F62" i="2"/>
  <c r="F46" i="2"/>
  <c r="F20" i="2"/>
  <c r="F122" i="2"/>
  <c r="Q46" i="2"/>
  <c r="Q94" i="2"/>
  <c r="E93" i="2" s="1"/>
  <c r="Q37" i="2"/>
  <c r="E39" i="2" s="1"/>
  <c r="Q53" i="2"/>
  <c r="E55" i="2" s="1"/>
  <c r="Q97" i="2"/>
  <c r="D99" i="2" s="1"/>
  <c r="P111" i="2"/>
  <c r="P85" i="2"/>
  <c r="P28" i="2"/>
  <c r="Q88" i="2"/>
  <c r="E90" i="2" s="1"/>
  <c r="Q89" i="2" s="1"/>
  <c r="Q67" i="2"/>
  <c r="D66" i="2" s="1"/>
  <c r="P76" i="2"/>
  <c r="J27" i="2"/>
  <c r="J28" i="2"/>
  <c r="J26" i="2"/>
  <c r="J19" i="2"/>
  <c r="J18" i="2"/>
  <c r="J121" i="2"/>
  <c r="J120" i="2"/>
  <c r="J113" i="2"/>
  <c r="J112" i="2"/>
  <c r="J53" i="2"/>
  <c r="J52" i="2"/>
  <c r="J45" i="2"/>
  <c r="J44" i="2"/>
  <c r="J105" i="2"/>
  <c r="J104" i="2"/>
  <c r="J97" i="2"/>
  <c r="J96" i="2"/>
  <c r="J95" i="2"/>
  <c r="J88" i="2"/>
  <c r="J87" i="2"/>
  <c r="J86" i="2"/>
  <c r="J79" i="2"/>
  <c r="J78" i="2"/>
  <c r="J77" i="2"/>
  <c r="J70" i="2"/>
  <c r="J69" i="2"/>
  <c r="J68" i="2"/>
  <c r="J61" i="2"/>
  <c r="J60" i="2"/>
  <c r="J37" i="2"/>
  <c r="J36" i="2"/>
  <c r="J35" i="2"/>
  <c r="M70" i="2"/>
  <c r="M68" i="2"/>
  <c r="M69" i="2"/>
  <c r="M44" i="2"/>
  <c r="M45" i="2"/>
  <c r="M53" i="2"/>
  <c r="M52" i="2"/>
  <c r="M61" i="2"/>
  <c r="M60" i="2"/>
  <c r="M121" i="2"/>
  <c r="M120" i="2"/>
  <c r="M113" i="2"/>
  <c r="M112" i="2"/>
  <c r="M96" i="2"/>
  <c r="M97" i="2"/>
  <c r="M95" i="2"/>
  <c r="M88" i="2"/>
  <c r="M86" i="2"/>
  <c r="M87" i="2"/>
  <c r="M79" i="2"/>
  <c r="M77" i="2"/>
  <c r="M78" i="2"/>
  <c r="M36" i="2"/>
  <c r="M37" i="2"/>
  <c r="M35" i="2"/>
  <c r="M28" i="2"/>
  <c r="M19" i="2"/>
  <c r="M105" i="2"/>
  <c r="M18" i="2"/>
  <c r="M26" i="2"/>
  <c r="M104" i="2"/>
  <c r="M27" i="2"/>
  <c r="H16" i="1"/>
  <c r="K16" i="1"/>
  <c r="H21" i="1"/>
  <c r="H20" i="1"/>
  <c r="H19" i="1"/>
  <c r="H18" i="1"/>
  <c r="H17" i="1"/>
  <c r="H35" i="1"/>
  <c r="H38" i="1"/>
  <c r="H33" i="1"/>
  <c r="H36" i="1"/>
  <c r="K38" i="1"/>
  <c r="H39" i="1"/>
  <c r="H34" i="1"/>
  <c r="H37" i="1"/>
  <c r="K35" i="1"/>
  <c r="K33" i="1"/>
  <c r="K36" i="1"/>
  <c r="K39" i="1"/>
  <c r="K34" i="1"/>
  <c r="K37" i="1"/>
  <c r="H26" i="1"/>
  <c r="H29" i="1"/>
  <c r="H24" i="1"/>
  <c r="H27" i="1"/>
  <c r="H30" i="1"/>
  <c r="K29" i="1"/>
  <c r="H25" i="1"/>
  <c r="H28" i="1"/>
  <c r="K26" i="1"/>
  <c r="K24" i="1"/>
  <c r="K27" i="1"/>
  <c r="K30" i="1"/>
  <c r="K25" i="1"/>
  <c r="K28" i="1"/>
  <c r="H71" i="1"/>
  <c r="H66" i="1"/>
  <c r="H69" i="1"/>
  <c r="H72" i="1"/>
  <c r="H67" i="1"/>
  <c r="H70" i="1"/>
  <c r="K68" i="1"/>
  <c r="K71" i="1"/>
  <c r="K66" i="1"/>
  <c r="K69" i="1"/>
  <c r="K72" i="1"/>
  <c r="H68" i="1"/>
  <c r="K67" i="1"/>
  <c r="K70" i="1"/>
  <c r="H80" i="1"/>
  <c r="H75" i="1"/>
  <c r="K80" i="1"/>
  <c r="H78" i="1"/>
  <c r="H81" i="1"/>
  <c r="H76" i="1"/>
  <c r="H79" i="1"/>
  <c r="K77" i="1"/>
  <c r="K75" i="1"/>
  <c r="K78" i="1"/>
  <c r="H77" i="1"/>
  <c r="K81" i="1"/>
  <c r="K76" i="1"/>
  <c r="K79" i="1"/>
  <c r="H86" i="1"/>
  <c r="H89" i="1"/>
  <c r="H84" i="1"/>
  <c r="H87" i="1"/>
  <c r="K89" i="1"/>
  <c r="H90" i="1"/>
  <c r="H85" i="1"/>
  <c r="H88" i="1"/>
  <c r="K86" i="1"/>
  <c r="K84" i="1"/>
  <c r="K87" i="1"/>
  <c r="K90" i="1"/>
  <c r="K85" i="1"/>
  <c r="K88" i="1"/>
  <c r="H119" i="1"/>
  <c r="H121" i="1"/>
  <c r="H122" i="1"/>
  <c r="H120" i="1"/>
  <c r="K119" i="1"/>
  <c r="K122" i="1"/>
  <c r="H123" i="1"/>
  <c r="K121" i="1"/>
  <c r="H118" i="1"/>
  <c r="K120" i="1"/>
  <c r="K123" i="1"/>
  <c r="K118" i="1"/>
  <c r="H111" i="1"/>
  <c r="H114" i="1"/>
  <c r="H112" i="1"/>
  <c r="K114" i="1"/>
  <c r="H115" i="1"/>
  <c r="H110" i="1"/>
  <c r="H113" i="1"/>
  <c r="K111" i="1"/>
  <c r="K112" i="1"/>
  <c r="K115" i="1"/>
  <c r="K110" i="1"/>
  <c r="K113" i="1"/>
  <c r="H95" i="1"/>
  <c r="H98" i="1"/>
  <c r="H93" i="1"/>
  <c r="H97" i="1"/>
  <c r="H96" i="1"/>
  <c r="H99" i="1"/>
  <c r="K97" i="1"/>
  <c r="K95" i="1"/>
  <c r="K98" i="1"/>
  <c r="H94" i="1"/>
  <c r="K93" i="1"/>
  <c r="K96" i="1"/>
  <c r="K99" i="1"/>
  <c r="K94" i="1"/>
  <c r="H103" i="1"/>
  <c r="H105" i="1"/>
  <c r="H106" i="1"/>
  <c r="H104" i="1"/>
  <c r="H102" i="1"/>
  <c r="K105" i="1"/>
  <c r="K103" i="1"/>
  <c r="K106" i="1"/>
  <c r="K104" i="1"/>
  <c r="H107" i="1"/>
  <c r="K102" i="1"/>
  <c r="K107" i="1"/>
  <c r="H59" i="1"/>
  <c r="H62" i="1"/>
  <c r="H60" i="1"/>
  <c r="H63" i="1"/>
  <c r="H58" i="1"/>
  <c r="K59" i="1"/>
  <c r="H61" i="1"/>
  <c r="K62" i="1"/>
  <c r="K60" i="1"/>
  <c r="K63" i="1"/>
  <c r="K58" i="1"/>
  <c r="K61" i="1"/>
  <c r="H51" i="1"/>
  <c r="H54" i="1"/>
  <c r="K51" i="1"/>
  <c r="H52" i="1"/>
  <c r="H53" i="1"/>
  <c r="H55" i="1"/>
  <c r="K53" i="1"/>
  <c r="H50" i="1"/>
  <c r="K54" i="1"/>
  <c r="K52" i="1"/>
  <c r="K55" i="1"/>
  <c r="K50" i="1"/>
  <c r="H43" i="1"/>
  <c r="H46" i="1"/>
  <c r="H45" i="1"/>
  <c r="H44" i="1"/>
  <c r="K43" i="1"/>
  <c r="H47" i="1"/>
  <c r="K45" i="1"/>
  <c r="H42" i="1"/>
  <c r="K46" i="1"/>
  <c r="K44" i="1"/>
  <c r="K47" i="1"/>
  <c r="K42" i="1"/>
  <c r="K18" i="1"/>
  <c r="K21" i="1"/>
  <c r="K19" i="1"/>
  <c r="K17" i="1"/>
  <c r="K20" i="1"/>
  <c r="Q28" i="2"/>
  <c r="D30" i="2" s="1"/>
  <c r="O67" i="1"/>
  <c r="D66" i="1" s="1"/>
  <c r="Q51" i="2"/>
  <c r="E50" i="2" s="1"/>
  <c r="P47" i="2"/>
  <c r="P97" i="2"/>
  <c r="D90" i="2"/>
  <c r="E42" i="2"/>
  <c r="P34" i="2"/>
  <c r="Q111" i="2"/>
  <c r="D110" i="2" s="1"/>
  <c r="P88" i="2"/>
  <c r="P90" i="2" s="1"/>
  <c r="Q34" i="2"/>
  <c r="E33" i="2" s="1"/>
  <c r="D81" i="2"/>
  <c r="Q85" i="2"/>
  <c r="E84" i="2" s="1"/>
  <c r="P17" i="2"/>
  <c r="Q17" i="2"/>
  <c r="D16" i="2" s="1"/>
  <c r="P61" i="2"/>
  <c r="D115" i="2"/>
  <c r="P113" i="2"/>
  <c r="P115" i="2" s="1"/>
  <c r="E66" i="2"/>
  <c r="Q66" i="2" s="1"/>
  <c r="D50" i="2"/>
  <c r="P51" i="2"/>
  <c r="Q105" i="2"/>
  <c r="E107" i="2" s="1"/>
  <c r="P59" i="2"/>
  <c r="P63" i="2" s="1"/>
  <c r="Q70" i="2"/>
  <c r="E72" i="2" s="1"/>
  <c r="P121" i="2"/>
  <c r="E110" i="2"/>
  <c r="Q110" i="2" s="1"/>
  <c r="P46" i="2"/>
  <c r="P103" i="2"/>
  <c r="Q59" i="2"/>
  <c r="D58" i="2" s="1"/>
  <c r="Q103" i="2"/>
  <c r="E102" i="2" s="1"/>
  <c r="E99" i="2"/>
  <c r="Q98" i="2" s="1"/>
  <c r="P25" i="2"/>
  <c r="P30" i="2" s="1"/>
  <c r="P19" i="2"/>
  <c r="Q25" i="2"/>
  <c r="D24" i="2" s="1"/>
  <c r="Q19" i="2"/>
  <c r="E21" i="2" s="1"/>
  <c r="E75" i="2"/>
  <c r="P81" i="2"/>
  <c r="Q121" i="2"/>
  <c r="E123" i="2" s="1"/>
  <c r="P53" i="2"/>
  <c r="D55" i="2"/>
  <c r="D93" i="2"/>
  <c r="P94" i="2"/>
  <c r="P99" i="2" s="1"/>
  <c r="Q119" i="2"/>
  <c r="E118" i="2" s="1"/>
  <c r="P119" i="2"/>
  <c r="P70" i="2"/>
  <c r="P72" i="2" s="1"/>
  <c r="Q114" i="2"/>
  <c r="P37" i="2"/>
  <c r="P39" i="2" s="1"/>
  <c r="D39" i="2"/>
  <c r="P105" i="2"/>
  <c r="D107" i="2"/>
  <c r="Q61" i="2"/>
  <c r="D63" i="2" s="1"/>
  <c r="O28" i="1"/>
  <c r="D30" i="1" s="1"/>
  <c r="O43" i="1"/>
  <c r="D42" i="1" s="1"/>
  <c r="N113" i="1"/>
  <c r="N30" i="1"/>
  <c r="O111" i="1"/>
  <c r="D110" i="1" s="1"/>
  <c r="O45" i="1"/>
  <c r="E47" i="1" s="1"/>
  <c r="N85" i="1"/>
  <c r="N94" i="1"/>
  <c r="O103" i="1"/>
  <c r="D102" i="1" s="1"/>
  <c r="O34" i="1"/>
  <c r="E33" i="1" s="1"/>
  <c r="N119" i="1"/>
  <c r="O59" i="1"/>
  <c r="E58" i="1" s="1"/>
  <c r="N111" i="1"/>
  <c r="O51" i="1"/>
  <c r="D50" i="1" s="1"/>
  <c r="O25" i="1"/>
  <c r="E24" i="1" s="1"/>
  <c r="O37" i="1"/>
  <c r="E39" i="1" s="1"/>
  <c r="O76" i="1"/>
  <c r="E75" i="1" s="1"/>
  <c r="N45" i="1"/>
  <c r="N47" i="1" s="1"/>
  <c r="N70" i="1"/>
  <c r="N72" i="1" s="1"/>
  <c r="N51" i="1"/>
  <c r="E72" i="1"/>
  <c r="N71" i="1" s="1"/>
  <c r="E66" i="1"/>
  <c r="O66" i="1" s="1"/>
  <c r="O19" i="1"/>
  <c r="D21" i="1" s="1"/>
  <c r="O94" i="1"/>
  <c r="D93" i="1" s="1"/>
  <c r="O119" i="1"/>
  <c r="D118" i="1" s="1"/>
  <c r="N103" i="1"/>
  <c r="D115" i="1"/>
  <c r="O114" i="1" s="1"/>
  <c r="D107" i="1"/>
  <c r="N106" i="1" s="1"/>
  <c r="N105" i="1"/>
  <c r="O53" i="1"/>
  <c r="D55" i="1" s="1"/>
  <c r="N97" i="1"/>
  <c r="N99" i="1" s="1"/>
  <c r="N61" i="1"/>
  <c r="N63" i="1" s="1"/>
  <c r="N121" i="1"/>
  <c r="D123" i="1"/>
  <c r="N76" i="1"/>
  <c r="O85" i="1"/>
  <c r="D84" i="1" s="1"/>
  <c r="N17" i="1"/>
  <c r="N21" i="1" s="1"/>
  <c r="N79" i="1"/>
  <c r="D81" i="1"/>
  <c r="N80" i="1" s="1"/>
  <c r="O97" i="1"/>
  <c r="E99" i="1" s="1"/>
  <c r="N53" i="1"/>
  <c r="N88" i="1"/>
  <c r="D90" i="1"/>
  <c r="N89" i="1" s="1"/>
  <c r="N34" i="1"/>
  <c r="N39" i="1" s="1"/>
  <c r="O17" i="1"/>
  <c r="E16" i="1" s="1"/>
  <c r="O61" i="1"/>
  <c r="E63" i="1" s="1"/>
  <c r="J47" i="1" a="1"/>
  <c r="J61" i="1" a="1"/>
  <c r="J107" i="1" a="1"/>
  <c r="J121" i="1" a="1"/>
  <c r="J35" i="1" a="1"/>
  <c r="J118" i="1" a="1"/>
  <c r="J58" i="1" a="1"/>
  <c r="J19" i="1" a="1"/>
  <c r="J50" i="1" a="1"/>
  <c r="J93" i="1" a="1"/>
  <c r="J123" i="1" a="1"/>
  <c r="J67" i="1" a="1"/>
  <c r="J106" i="1" a="1"/>
  <c r="J38" i="1" a="1"/>
  <c r="J24" i="1" a="1"/>
  <c r="J96" i="1" a="1"/>
  <c r="J81" i="1" a="1"/>
  <c r="J78" i="1" a="1"/>
  <c r="J66" i="1" a="1"/>
  <c r="J88" i="1" a="1"/>
  <c r="J44" i="1" a="1"/>
  <c r="J33" i="1" a="1"/>
  <c r="J26" i="1" a="1"/>
  <c r="J71" i="1" a="1"/>
  <c r="J75" i="1" a="1"/>
  <c r="J37" i="1" a="1"/>
  <c r="J87" i="1" a="1"/>
  <c r="J97" i="1" a="1"/>
  <c r="J80" i="1" a="1"/>
  <c r="J30" i="1" a="1"/>
  <c r="J36" i="1" a="1"/>
  <c r="J54" i="1" a="1"/>
  <c r="J34" i="1" a="1"/>
  <c r="J60" i="1" a="1"/>
  <c r="J89" i="1" a="1"/>
  <c r="J95" i="1" a="1"/>
  <c r="J51" i="1" a="1"/>
  <c r="J122" i="1" a="1"/>
  <c r="J29" i="1" a="1"/>
  <c r="J90" i="1" a="1"/>
  <c r="J112" i="1" a="1"/>
  <c r="J104" i="1" a="1"/>
  <c r="J76" i="1" a="1"/>
  <c r="J110" i="1" a="1"/>
  <c r="J63" i="1" a="1"/>
  <c r="J52" i="1" a="1"/>
  <c r="J94" i="1" a="1"/>
  <c r="J28" i="1" a="1"/>
  <c r="J103" i="1" a="1"/>
  <c r="J68" i="1" a="1"/>
  <c r="J62" i="1" a="1"/>
  <c r="J85" i="1" a="1"/>
  <c r="J46" i="1" a="1"/>
  <c r="J53" i="1" a="1"/>
  <c r="J27" i="1" a="1"/>
  <c r="J45" i="1" a="1"/>
  <c r="J39" i="1" a="1"/>
  <c r="J42" i="1" a="1"/>
  <c r="J111" i="1" a="1"/>
  <c r="J20" i="1" a="1"/>
  <c r="J72" i="1" a="1"/>
  <c r="J105" i="1" a="1"/>
  <c r="J102" i="1" a="1"/>
  <c r="J70" i="1" a="1"/>
  <c r="J55" i="1" a="1"/>
  <c r="J25" i="1" a="1"/>
  <c r="J119" i="1" a="1"/>
  <c r="J86" i="1" a="1"/>
  <c r="J43" i="1" a="1"/>
  <c r="J69" i="1" a="1"/>
  <c r="J21" i="1" a="1"/>
  <c r="J120" i="1" a="1"/>
  <c r="J98" i="1" a="1"/>
  <c r="J114" i="1" a="1"/>
  <c r="J84" i="1" a="1"/>
  <c r="J18" i="1" a="1"/>
  <c r="J16" i="1" a="1"/>
  <c r="J17" i="1" a="1"/>
  <c r="J99" i="1" a="1"/>
  <c r="J79" i="1" a="1"/>
  <c r="J77" i="1" a="1"/>
  <c r="J113" i="1" a="1"/>
  <c r="J115" i="1" a="1"/>
  <c r="J59" i="1" a="1"/>
  <c r="M94" i="2" a="1"/>
  <c r="M76" i="2" a="1"/>
  <c r="J34" i="2" a="1"/>
  <c r="J46" i="2" a="1"/>
  <c r="L96" i="2" a="1"/>
  <c r="L37" i="2" a="1"/>
  <c r="L104" i="2" a="1"/>
  <c r="M119" i="2" a="1"/>
  <c r="M43" i="2" a="1"/>
  <c r="J51" i="2" a="1"/>
  <c r="J20" i="2" a="1"/>
  <c r="L77" i="2" a="1"/>
  <c r="L70" i="2" a="1"/>
  <c r="M38" i="2" a="1"/>
  <c r="M114" i="2" a="1"/>
  <c r="J54" i="2" a="1"/>
  <c r="J29" i="2" a="1"/>
  <c r="J122" i="2" a="1"/>
  <c r="L36" i="2" a="1"/>
  <c r="L105" i="2" a="1"/>
  <c r="L60" i="2" a="1"/>
  <c r="M51" i="2" a="1"/>
  <c r="M106" i="2" a="1"/>
  <c r="J103" i="2" a="1"/>
  <c r="J89" i="2" a="1"/>
  <c r="L69" i="2" a="1"/>
  <c r="L113" i="2" a="1"/>
  <c r="M54" i="2" a="1"/>
  <c r="M71" i="2" a="1"/>
  <c r="L27" i="2" a="1"/>
  <c r="L45" i="2" a="1"/>
  <c r="M103" i="2" a="1"/>
  <c r="M80" i="2" a="1"/>
  <c r="J67" i="2" a="1"/>
  <c r="L121" i="2" a="1"/>
  <c r="L87" i="2" a="1"/>
  <c r="L97" i="2" a="1"/>
  <c r="M59" i="2" a="1"/>
  <c r="M47" i="2" a="1"/>
  <c r="J59" i="2" a="1"/>
  <c r="L68" i="2" a="1"/>
  <c r="M25" i="2" a="1"/>
  <c r="M62" i="2" a="1"/>
  <c r="J25" i="2" a="1"/>
  <c r="J76" i="2" a="1"/>
  <c r="F99" i="2" a="1"/>
  <c r="L35" i="2" a="1"/>
  <c r="L26" i="2" a="1"/>
  <c r="L78" i="2" a="1"/>
  <c r="L19" i="2" a="1"/>
  <c r="L18" i="2" a="1"/>
  <c r="M17" i="2" a="1"/>
  <c r="M46" i="2" a="1"/>
  <c r="F107" i="2" a="1"/>
  <c r="L112" i="2" a="1"/>
  <c r="L53" i="2" a="1"/>
  <c r="M98" i="2" a="1"/>
  <c r="M20" i="2" a="1"/>
  <c r="J17" i="2" a="1"/>
  <c r="J43" i="2" a="1"/>
  <c r="F50" i="2" a="1"/>
  <c r="F75" i="2" a="1"/>
  <c r="L44" i="2" a="1"/>
  <c r="L52" i="2" a="1"/>
  <c r="M111" i="2" a="1"/>
  <c r="M122" i="2" a="1"/>
  <c r="J114" i="2" a="1"/>
  <c r="L86" i="2" a="1"/>
  <c r="L61" i="2" a="1"/>
  <c r="M85" i="2" a="1"/>
  <c r="J94" i="2" a="1"/>
  <c r="J98" i="2" a="1"/>
  <c r="J106" i="2" a="1"/>
  <c r="F90" i="2" a="1"/>
  <c r="L28" i="2" a="1"/>
  <c r="M34" i="2" a="1"/>
  <c r="J111" i="2" a="1"/>
  <c r="J71" i="2" a="1"/>
  <c r="F66" i="2" a="1"/>
  <c r="F42" i="2" a="1"/>
  <c r="L120" i="2" a="1"/>
  <c r="M29" i="2" a="1"/>
  <c r="J80" i="2" a="1"/>
  <c r="L88" i="2" a="1"/>
  <c r="M89" i="2" a="1"/>
  <c r="J119" i="2" a="1"/>
  <c r="J47" i="2" a="1"/>
  <c r="F110" i="2" a="1"/>
  <c r="L95" i="2" a="1"/>
  <c r="M67" i="2" a="1"/>
  <c r="J38" i="2" a="1"/>
  <c r="J85" i="2" a="1"/>
  <c r="J62" i="2" a="1"/>
  <c r="F93" i="2" a="1"/>
  <c r="L79" i="2" a="1"/>
  <c r="F81" i="2" a="1"/>
  <c r="F115" i="2" a="1"/>
  <c r="F55" i="2" a="1"/>
  <c r="F39" i="2" a="1"/>
  <c r="K99" i="2" a="1"/>
  <c r="K107" i="2" a="1"/>
  <c r="K50" i="2" a="1"/>
  <c r="K75" i="2" a="1"/>
  <c r="K90" i="2" a="1"/>
  <c r="K66" i="2" a="1"/>
  <c r="K42" i="2" a="1"/>
  <c r="K110" i="2" a="1"/>
  <c r="K93" i="2" a="1"/>
  <c r="K81" i="2" a="1"/>
  <c r="K115" i="2" a="1"/>
  <c r="K55" i="2" a="1"/>
  <c r="K39" i="2" a="1"/>
  <c r="M54" i="3" a="1"/>
  <c r="M76" i="3" a="1"/>
  <c r="L59" i="3" a="1"/>
  <c r="J90" i="3" a="1"/>
  <c r="J63" i="3" a="1"/>
  <c r="L53" i="3" a="1"/>
  <c r="L45" i="3" a="1"/>
  <c r="M107" i="3" a="1"/>
  <c r="L98" i="3" a="1"/>
  <c r="L19" i="3" a="1"/>
  <c r="L95" i="3" a="1"/>
  <c r="M122" i="3" a="1"/>
  <c r="J54" i="3" a="1"/>
  <c r="J50" i="3" a="1"/>
  <c r="J119" i="3" a="1"/>
  <c r="L120" i="3" a="1"/>
  <c r="M114" i="3" a="1"/>
  <c r="L28" i="3" a="1"/>
  <c r="M90" i="3" a="1"/>
  <c r="L60" i="3" a="1"/>
  <c r="L30" i="3" a="1"/>
  <c r="L36" i="3" a="1"/>
  <c r="L70" i="3" a="1"/>
  <c r="L18" i="3" a="1"/>
  <c r="L97" i="3" a="1"/>
  <c r="L87" i="3" a="1"/>
  <c r="J76" i="3" a="1"/>
  <c r="M50" i="3" a="1"/>
  <c r="L121" i="3" a="1"/>
  <c r="L113" i="3" a="1"/>
  <c r="L43" i="3" a="1"/>
  <c r="L112" i="3" a="1"/>
  <c r="M119" i="3" a="1"/>
  <c r="L94" i="3" a="1"/>
  <c r="J20" i="3" a="1"/>
  <c r="L62" i="3" a="1"/>
  <c r="L71" i="3" a="1"/>
  <c r="M20" i="3" a="1"/>
  <c r="J122" i="3" a="1"/>
  <c r="L78" i="3" a="1"/>
  <c r="L38" i="3" a="1"/>
  <c r="M111" i="3" a="1"/>
  <c r="L104" i="3" a="1"/>
  <c r="L89" i="3" a="1"/>
  <c r="L29" i="3" a="1"/>
  <c r="M63" i="3" a="1"/>
  <c r="L37" i="3" a="1"/>
  <c r="L103" i="3" a="1"/>
  <c r="L35" i="3" a="1"/>
  <c r="L44" i="3" a="1"/>
  <c r="J80" i="3" a="1"/>
  <c r="J93" i="3" a="1"/>
  <c r="M80" i="3" a="1"/>
  <c r="L52" i="3" a="1"/>
  <c r="L88" i="3" a="1"/>
  <c r="L68" i="3" a="1"/>
  <c r="M34" i="3" a="1"/>
  <c r="L51" i="3" a="1"/>
  <c r="L79" i="3" a="1"/>
  <c r="J34" i="3" a="1"/>
  <c r="J85" i="3" a="1"/>
  <c r="L106" i="3" a="1"/>
  <c r="M102" i="3" a="1"/>
  <c r="L25" i="3" a="1"/>
  <c r="L61" i="3" a="1"/>
  <c r="J102" i="3" a="1"/>
  <c r="L69" i="3" a="1"/>
  <c r="M67" i="3" a="1"/>
  <c r="L96" i="3" a="1"/>
  <c r="J111" i="3" a="1"/>
  <c r="L77" i="3" a="1"/>
  <c r="J67" i="3" a="1"/>
  <c r="L17" i="3" a="1"/>
  <c r="L86" i="3" a="1"/>
  <c r="M85" i="3" a="1"/>
  <c r="J107" i="3" a="1"/>
  <c r="L26" i="3" a="1"/>
  <c r="M93" i="3" a="1"/>
  <c r="J114" i="3" a="1"/>
  <c r="L46" i="3" a="1"/>
  <c r="L27" i="3" a="1"/>
  <c r="L105" i="3" a="1"/>
  <c r="K84" i="3" a="1"/>
  <c r="K58" i="3" a="1"/>
  <c r="K110" i="3" a="1"/>
  <c r="K118" i="3" a="1"/>
  <c r="K72" i="3" a="1"/>
  <c r="K42" i="3" a="1"/>
  <c r="K24" i="3" a="1"/>
  <c r="K21" i="3" a="1"/>
  <c r="K16" i="3" a="1"/>
  <c r="K75" i="3" a="1"/>
  <c r="K39" i="3" a="1"/>
  <c r="K99" i="3" a="1"/>
  <c r="K47" i="3" a="1"/>
  <c r="D99" i="4" l="1"/>
  <c r="N47" i="4"/>
  <c r="E21" i="4"/>
  <c r="N20" i="4" s="1"/>
  <c r="D39" i="4"/>
  <c r="O38" i="4" s="1"/>
  <c r="D30" i="4"/>
  <c r="N29" i="4" s="1"/>
  <c r="D115" i="4"/>
  <c r="O114" i="4" s="1"/>
  <c r="O89" i="4"/>
  <c r="E72" i="4"/>
  <c r="O71" i="4" s="1"/>
  <c r="N55" i="4"/>
  <c r="E75" i="4"/>
  <c r="E118" i="4"/>
  <c r="O80" i="4"/>
  <c r="D110" i="4"/>
  <c r="D33" i="4"/>
  <c r="D123" i="4"/>
  <c r="D63" i="4"/>
  <c r="N62" i="4" s="1"/>
  <c r="N90" i="4"/>
  <c r="N107" i="4"/>
  <c r="D84" i="4"/>
  <c r="D50" i="4"/>
  <c r="N63" i="4"/>
  <c r="D102" i="4"/>
  <c r="N98" i="4"/>
  <c r="E24" i="4"/>
  <c r="N39" i="4"/>
  <c r="E107" i="4"/>
  <c r="D42" i="4"/>
  <c r="E47" i="4"/>
  <c r="E66" i="4"/>
  <c r="E16" i="4"/>
  <c r="N115" i="4"/>
  <c r="N99" i="4"/>
  <c r="N89" i="4"/>
  <c r="D93" i="4"/>
  <c r="E55" i="4"/>
  <c r="E58" i="4"/>
  <c r="O98" i="4"/>
  <c r="N123" i="4"/>
  <c r="K47" i="3"/>
  <c r="K99" i="3"/>
  <c r="K39" i="3"/>
  <c r="K75" i="3"/>
  <c r="K16" i="3"/>
  <c r="K21" i="3"/>
  <c r="K24" i="3"/>
  <c r="K42" i="3"/>
  <c r="K72" i="3"/>
  <c r="K118" i="3"/>
  <c r="K110" i="3"/>
  <c r="K58" i="3"/>
  <c r="K84" i="3"/>
  <c r="L105" i="3"/>
  <c r="N105" i="3" s="1"/>
  <c r="L27" i="3"/>
  <c r="N27" i="3" s="1"/>
  <c r="L46" i="3"/>
  <c r="N46" i="3" s="1"/>
  <c r="J114" i="3"/>
  <c r="M93" i="3"/>
  <c r="O93" i="3" s="1"/>
  <c r="L26" i="3"/>
  <c r="N26" i="3" s="1"/>
  <c r="J107" i="3"/>
  <c r="M85" i="3"/>
  <c r="O85" i="3" s="1"/>
  <c r="L86" i="3"/>
  <c r="N86" i="3" s="1"/>
  <c r="L17" i="3"/>
  <c r="J67" i="3"/>
  <c r="L77" i="3"/>
  <c r="N77" i="3" s="1"/>
  <c r="J111" i="3"/>
  <c r="L96" i="3"/>
  <c r="N96" i="3" s="1"/>
  <c r="M67" i="3"/>
  <c r="O67" i="3" s="1"/>
  <c r="L69" i="3"/>
  <c r="N69" i="3" s="1"/>
  <c r="J102" i="3"/>
  <c r="L61" i="3"/>
  <c r="N61" i="3" s="1"/>
  <c r="L25" i="3"/>
  <c r="M102" i="3"/>
  <c r="O102" i="3" s="1"/>
  <c r="L106" i="3"/>
  <c r="N106" i="3" s="1"/>
  <c r="J85" i="3"/>
  <c r="J34" i="3"/>
  <c r="L79" i="3"/>
  <c r="N79" i="3" s="1"/>
  <c r="L51" i="3"/>
  <c r="M34" i="3"/>
  <c r="O34" i="3" s="1"/>
  <c r="L68" i="3"/>
  <c r="N68" i="3" s="1"/>
  <c r="L88" i="3"/>
  <c r="N88" i="3" s="1"/>
  <c r="L52" i="3"/>
  <c r="N52" i="3" s="1"/>
  <c r="M80" i="3"/>
  <c r="O80" i="3" s="1"/>
  <c r="J93" i="3"/>
  <c r="J80" i="3"/>
  <c r="L44" i="3"/>
  <c r="N44" i="3" s="1"/>
  <c r="L35" i="3"/>
  <c r="N35" i="3" s="1"/>
  <c r="L103" i="3"/>
  <c r="L37" i="3"/>
  <c r="N37" i="3" s="1"/>
  <c r="M63" i="3"/>
  <c r="O63" i="3" s="1"/>
  <c r="L29" i="3"/>
  <c r="N29" i="3" s="1"/>
  <c r="L89" i="3"/>
  <c r="N89" i="3" s="1"/>
  <c r="L104" i="3"/>
  <c r="N104" i="3" s="1"/>
  <c r="M111" i="3"/>
  <c r="O111" i="3" s="1"/>
  <c r="L38" i="3"/>
  <c r="N38" i="3" s="1"/>
  <c r="L78" i="3"/>
  <c r="N78" i="3" s="1"/>
  <c r="J122" i="3"/>
  <c r="M20" i="3"/>
  <c r="O20" i="3" s="1"/>
  <c r="L71" i="3"/>
  <c r="N71" i="3" s="1"/>
  <c r="L62" i="3"/>
  <c r="N62" i="3" s="1"/>
  <c r="J20" i="3"/>
  <c r="L94" i="3"/>
  <c r="M119" i="3"/>
  <c r="O119" i="3" s="1"/>
  <c r="L112" i="3"/>
  <c r="N112" i="3" s="1"/>
  <c r="L43" i="3"/>
  <c r="N43" i="3" s="1"/>
  <c r="L113" i="3"/>
  <c r="N113" i="3" s="1"/>
  <c r="L121" i="3"/>
  <c r="N121" i="3" s="1"/>
  <c r="M50" i="3"/>
  <c r="O50" i="3" s="1"/>
  <c r="J76" i="3"/>
  <c r="L87" i="3"/>
  <c r="N87" i="3" s="1"/>
  <c r="L97" i="3"/>
  <c r="N97" i="3" s="1"/>
  <c r="L18" i="3"/>
  <c r="N18" i="3" s="1"/>
  <c r="L70" i="3"/>
  <c r="N70" i="3" s="1"/>
  <c r="L36" i="3"/>
  <c r="N36" i="3" s="1"/>
  <c r="L30" i="3"/>
  <c r="N30" i="3" s="1"/>
  <c r="L60" i="3"/>
  <c r="N60" i="3" s="1"/>
  <c r="M90" i="3"/>
  <c r="O90" i="3" s="1"/>
  <c r="L28" i="3"/>
  <c r="N28" i="3" s="1"/>
  <c r="M114" i="3"/>
  <c r="O114" i="3" s="1"/>
  <c r="L120" i="3"/>
  <c r="N120" i="3" s="1"/>
  <c r="J119" i="3"/>
  <c r="J50" i="3"/>
  <c r="J54" i="3"/>
  <c r="M122" i="3"/>
  <c r="O122" i="3" s="1"/>
  <c r="L95" i="3"/>
  <c r="N95" i="3" s="1"/>
  <c r="L19" i="3"/>
  <c r="N19" i="3" s="1"/>
  <c r="L98" i="3"/>
  <c r="N98" i="3" s="1"/>
  <c r="M107" i="3"/>
  <c r="O107" i="3" s="1"/>
  <c r="L45" i="3"/>
  <c r="N45" i="3" s="1"/>
  <c r="L53" i="3"/>
  <c r="N53" i="3" s="1"/>
  <c r="J63" i="3"/>
  <c r="J90" i="3"/>
  <c r="L59" i="3"/>
  <c r="M76" i="3"/>
  <c r="O76" i="3" s="1"/>
  <c r="M54" i="3"/>
  <c r="O54" i="3" s="1"/>
  <c r="T114" i="3"/>
  <c r="S114" i="3"/>
  <c r="P46" i="3"/>
  <c r="P98" i="3"/>
  <c r="S107" i="3"/>
  <c r="T107" i="3"/>
  <c r="Q38" i="3"/>
  <c r="T67" i="3"/>
  <c r="S67" i="3"/>
  <c r="T111" i="3"/>
  <c r="S111" i="3"/>
  <c r="Q80" i="3"/>
  <c r="D123" i="3"/>
  <c r="T102" i="3"/>
  <c r="S102" i="3"/>
  <c r="T85" i="3"/>
  <c r="S85" i="3"/>
  <c r="S34" i="3"/>
  <c r="T34" i="3"/>
  <c r="T93" i="3"/>
  <c r="S93" i="3"/>
  <c r="T80" i="3"/>
  <c r="S80" i="3"/>
  <c r="E66" i="3"/>
  <c r="Q16" i="3"/>
  <c r="P20" i="3"/>
  <c r="P75" i="3"/>
  <c r="P81" i="3"/>
  <c r="E33" i="3"/>
  <c r="P16" i="3"/>
  <c r="Q24" i="3"/>
  <c r="D115" i="3"/>
  <c r="T122" i="3"/>
  <c r="S122" i="3"/>
  <c r="P42" i="3"/>
  <c r="P33" i="3"/>
  <c r="Q114" i="3"/>
  <c r="P71" i="3"/>
  <c r="T20" i="3"/>
  <c r="S20" i="3"/>
  <c r="P110" i="3"/>
  <c r="Q71" i="3"/>
  <c r="D55" i="3"/>
  <c r="T76" i="3"/>
  <c r="S76" i="3"/>
  <c r="Q46" i="3"/>
  <c r="P118" i="3"/>
  <c r="Q54" i="3"/>
  <c r="T119" i="3"/>
  <c r="S119" i="3"/>
  <c r="S50" i="3"/>
  <c r="T50" i="3"/>
  <c r="S54" i="3"/>
  <c r="T54" i="3"/>
  <c r="D81" i="3"/>
  <c r="P58" i="3"/>
  <c r="Q42" i="3"/>
  <c r="S63" i="3"/>
  <c r="T63" i="3"/>
  <c r="T90" i="3"/>
  <c r="S90" i="3"/>
  <c r="K39" i="2"/>
  <c r="K55" i="2"/>
  <c r="K115" i="2"/>
  <c r="K81" i="2"/>
  <c r="K93" i="2"/>
  <c r="K110" i="2"/>
  <c r="K42" i="2"/>
  <c r="K66" i="2"/>
  <c r="K90" i="2"/>
  <c r="K75" i="2"/>
  <c r="K50" i="2"/>
  <c r="K107" i="2"/>
  <c r="K99" i="2"/>
  <c r="F39" i="2"/>
  <c r="F55" i="2"/>
  <c r="F115" i="2"/>
  <c r="F81" i="2"/>
  <c r="F93" i="2"/>
  <c r="J62" i="2"/>
  <c r="J85" i="2"/>
  <c r="J38" i="2"/>
  <c r="M67" i="2"/>
  <c r="F110" i="2"/>
  <c r="J47" i="2"/>
  <c r="J119" i="2"/>
  <c r="M89" i="2"/>
  <c r="J80" i="2"/>
  <c r="M29" i="2"/>
  <c r="F42" i="2"/>
  <c r="F66" i="2"/>
  <c r="J71" i="2"/>
  <c r="J111" i="2"/>
  <c r="M34" i="2"/>
  <c r="F90" i="2"/>
  <c r="J106" i="2"/>
  <c r="J98" i="2"/>
  <c r="J94" i="2"/>
  <c r="M85" i="2"/>
  <c r="J114" i="2"/>
  <c r="M122" i="2"/>
  <c r="M111" i="2"/>
  <c r="F75" i="2"/>
  <c r="F50" i="2"/>
  <c r="J43" i="2"/>
  <c r="J17" i="2"/>
  <c r="M20" i="2"/>
  <c r="M98" i="2"/>
  <c r="F107" i="2"/>
  <c r="M46" i="2"/>
  <c r="M17" i="2"/>
  <c r="F99" i="2"/>
  <c r="J76" i="2"/>
  <c r="J25" i="2"/>
  <c r="M62" i="2"/>
  <c r="M25" i="2"/>
  <c r="J59" i="2"/>
  <c r="M47" i="2"/>
  <c r="M59" i="2"/>
  <c r="J67" i="2"/>
  <c r="M80" i="2"/>
  <c r="M103" i="2"/>
  <c r="M71" i="2"/>
  <c r="M54" i="2"/>
  <c r="J89" i="2"/>
  <c r="J103" i="2"/>
  <c r="M106" i="2"/>
  <c r="M51" i="2"/>
  <c r="J122" i="2"/>
  <c r="J29" i="2"/>
  <c r="J54" i="2"/>
  <c r="M114" i="2"/>
  <c r="M38" i="2"/>
  <c r="J20" i="2"/>
  <c r="J51" i="2"/>
  <c r="M43" i="2"/>
  <c r="M119" i="2"/>
  <c r="J46" i="2"/>
  <c r="J34" i="2"/>
  <c r="M76" i="2"/>
  <c r="M94" i="2"/>
  <c r="Q42" i="2"/>
  <c r="E30" i="2"/>
  <c r="P98" i="2"/>
  <c r="Q75" i="2"/>
  <c r="P38" i="2"/>
  <c r="P54" i="2"/>
  <c r="P114" i="2"/>
  <c r="P80" i="2"/>
  <c r="L28" i="2"/>
  <c r="L27" i="2"/>
  <c r="L26" i="2"/>
  <c r="L19" i="2"/>
  <c r="L18" i="2"/>
  <c r="L120" i="2"/>
  <c r="L121" i="2"/>
  <c r="L112" i="2"/>
  <c r="L113" i="2"/>
  <c r="L52" i="2"/>
  <c r="L53" i="2"/>
  <c r="L44" i="2"/>
  <c r="L45" i="2"/>
  <c r="L104" i="2"/>
  <c r="L105" i="2"/>
  <c r="L95" i="2"/>
  <c r="L96" i="2"/>
  <c r="L97" i="2"/>
  <c r="L86" i="2"/>
  <c r="L87" i="2"/>
  <c r="L88" i="2"/>
  <c r="L77" i="2"/>
  <c r="L79" i="2"/>
  <c r="L78" i="2"/>
  <c r="L68" i="2"/>
  <c r="L69" i="2"/>
  <c r="L70" i="2"/>
  <c r="L60" i="2"/>
  <c r="L61" i="2"/>
  <c r="L35" i="2"/>
  <c r="L37" i="2"/>
  <c r="L36" i="2"/>
  <c r="J16" i="1"/>
  <c r="J21" i="1"/>
  <c r="J20" i="1"/>
  <c r="J19" i="1"/>
  <c r="J18" i="1"/>
  <c r="J17" i="1"/>
  <c r="J37" i="1"/>
  <c r="J34" i="1"/>
  <c r="J39" i="1"/>
  <c r="J36" i="1"/>
  <c r="J33" i="1"/>
  <c r="J38" i="1"/>
  <c r="J35" i="1"/>
  <c r="J28" i="1"/>
  <c r="J25" i="1"/>
  <c r="J30" i="1"/>
  <c r="J27" i="1"/>
  <c r="J24" i="1"/>
  <c r="J29" i="1"/>
  <c r="J26" i="1"/>
  <c r="J68" i="1"/>
  <c r="J70" i="1"/>
  <c r="J67" i="1"/>
  <c r="J72" i="1"/>
  <c r="J69" i="1"/>
  <c r="J66" i="1"/>
  <c r="J71" i="1"/>
  <c r="J77" i="1"/>
  <c r="J79" i="1"/>
  <c r="J76" i="1"/>
  <c r="J81" i="1"/>
  <c r="J78" i="1"/>
  <c r="J75" i="1"/>
  <c r="J80" i="1"/>
  <c r="J88" i="1"/>
  <c r="J85" i="1"/>
  <c r="J90" i="1"/>
  <c r="J87" i="1"/>
  <c r="J84" i="1"/>
  <c r="J89" i="1"/>
  <c r="J86" i="1"/>
  <c r="J118" i="1"/>
  <c r="J123" i="1"/>
  <c r="J120" i="1"/>
  <c r="J122" i="1"/>
  <c r="J121" i="1"/>
  <c r="J119" i="1"/>
  <c r="J113" i="1"/>
  <c r="J110" i="1"/>
  <c r="J115" i="1"/>
  <c r="J112" i="1"/>
  <c r="J114" i="1"/>
  <c r="J111" i="1"/>
  <c r="J94" i="1"/>
  <c r="J99" i="1"/>
  <c r="J96" i="1"/>
  <c r="J97" i="1"/>
  <c r="J93" i="1"/>
  <c r="J98" i="1"/>
  <c r="J95" i="1"/>
  <c r="J107" i="1"/>
  <c r="J102" i="1"/>
  <c r="J104" i="1"/>
  <c r="J106" i="1"/>
  <c r="J105" i="1"/>
  <c r="J103" i="1"/>
  <c r="J61" i="1"/>
  <c r="J58" i="1"/>
  <c r="J63" i="1"/>
  <c r="J60" i="1"/>
  <c r="J62" i="1"/>
  <c r="J59" i="1"/>
  <c r="J50" i="1"/>
  <c r="J55" i="1"/>
  <c r="J53" i="1"/>
  <c r="J52" i="1"/>
  <c r="J54" i="1"/>
  <c r="J51" i="1"/>
  <c r="J42" i="1"/>
  <c r="J47" i="1"/>
  <c r="J44" i="1"/>
  <c r="J45" i="1"/>
  <c r="J46" i="1"/>
  <c r="J43" i="1"/>
  <c r="E30" i="1"/>
  <c r="O29" i="1" s="1"/>
  <c r="D84" i="2"/>
  <c r="P89" i="2"/>
  <c r="D72" i="2"/>
  <c r="Q71" i="2" s="1"/>
  <c r="P75" i="2"/>
  <c r="P21" i="2"/>
  <c r="P29" i="2"/>
  <c r="E63" i="2"/>
  <c r="Q38" i="2"/>
  <c r="Q106" i="2"/>
  <c r="Q84" i="2"/>
  <c r="P42" i="2"/>
  <c r="P107" i="2"/>
  <c r="D33" i="2"/>
  <c r="Q80" i="2"/>
  <c r="E16" i="2"/>
  <c r="D21" i="2"/>
  <c r="P106" i="2"/>
  <c r="D118" i="2"/>
  <c r="E58" i="2"/>
  <c r="E24" i="2"/>
  <c r="P123" i="2"/>
  <c r="D102" i="2"/>
  <c r="P93" i="2"/>
  <c r="P110" i="2"/>
  <c r="P50" i="2"/>
  <c r="P66" i="2"/>
  <c r="P55" i="2"/>
  <c r="Q93" i="2"/>
  <c r="D123" i="2"/>
  <c r="Q54" i="2"/>
  <c r="Q50" i="2"/>
  <c r="N90" i="1"/>
  <c r="E42" i="1"/>
  <c r="N42" i="1" s="1"/>
  <c r="D39" i="1"/>
  <c r="D33" i="1"/>
  <c r="N115" i="1"/>
  <c r="E21" i="1"/>
  <c r="O20" i="1" s="1"/>
  <c r="N55" i="1"/>
  <c r="D24" i="1"/>
  <c r="N24" i="1" s="1"/>
  <c r="D47" i="1"/>
  <c r="N46" i="1" s="1"/>
  <c r="E110" i="1"/>
  <c r="O110" i="1" s="1"/>
  <c r="O71" i="1"/>
  <c r="N107" i="1"/>
  <c r="N123" i="1"/>
  <c r="E50" i="1"/>
  <c r="O50" i="1" s="1"/>
  <c r="N66" i="1"/>
  <c r="E102" i="1"/>
  <c r="O102" i="1" s="1"/>
  <c r="D75" i="1"/>
  <c r="D58" i="1"/>
  <c r="N58" i="1" s="1"/>
  <c r="O89" i="1"/>
  <c r="N29" i="1"/>
  <c r="E93" i="1"/>
  <c r="O93" i="1" s="1"/>
  <c r="O106" i="1"/>
  <c r="N114" i="1"/>
  <c r="E118" i="1"/>
  <c r="N118" i="1" s="1"/>
  <c r="N122" i="1"/>
  <c r="E84" i="1"/>
  <c r="N84" i="1" s="1"/>
  <c r="E55" i="1"/>
  <c r="O122" i="1"/>
  <c r="D99" i="1"/>
  <c r="O98" i="1" s="1"/>
  <c r="D63" i="1"/>
  <c r="O62" i="1" s="1"/>
  <c r="O80" i="1"/>
  <c r="D16" i="1"/>
  <c r="N81" i="1"/>
  <c r="P47" i="1" a="1"/>
  <c r="P90" i="1" a="1"/>
  <c r="P115" i="1" a="1"/>
  <c r="P21" i="1" a="1"/>
  <c r="P123" i="1" a="1"/>
  <c r="P99" i="1" a="1"/>
  <c r="P39" i="1" a="1"/>
  <c r="P81" i="1" a="1"/>
  <c r="P55" i="1" a="1"/>
  <c r="P107" i="1" a="1"/>
  <c r="P30" i="1" a="1"/>
  <c r="P72" i="1" a="1"/>
  <c r="P63" i="1" a="1"/>
  <c r="M39" i="2" a="1"/>
  <c r="J81" i="2" a="1"/>
  <c r="L103" i="2" a="1"/>
  <c r="M55" i="2" a="1"/>
  <c r="J93" i="2" a="1"/>
  <c r="J90" i="2" a="1"/>
  <c r="F30" i="2" a="1"/>
  <c r="M115" i="2" a="1"/>
  <c r="L62" i="2" a="1"/>
  <c r="L106" i="2" a="1"/>
  <c r="J99" i="2" a="1"/>
  <c r="M81" i="2" a="1"/>
  <c r="L85" i="2" a="1"/>
  <c r="L98" i="2" a="1"/>
  <c r="L76" i="2" a="1"/>
  <c r="L122" i="2" a="1"/>
  <c r="F118" i="2" a="1"/>
  <c r="F58" i="2" a="1"/>
  <c r="M93" i="2" a="1"/>
  <c r="L38" i="2" a="1"/>
  <c r="L94" i="2" a="1"/>
  <c r="L25" i="2" a="1"/>
  <c r="L29" i="2" a="1"/>
  <c r="M110" i="2" a="1"/>
  <c r="L54" i="2" a="1"/>
  <c r="F72" i="2" a="1"/>
  <c r="M42" i="2" a="1"/>
  <c r="J110" i="2" a="1"/>
  <c r="L114" i="2" a="1"/>
  <c r="M66" i="2" a="1"/>
  <c r="L47" i="2" a="1"/>
  <c r="L59" i="2" a="1"/>
  <c r="F24" i="2" a="1"/>
  <c r="M90" i="2" a="1"/>
  <c r="L119" i="2" a="1"/>
  <c r="L20" i="2" a="1"/>
  <c r="M75" i="2" a="1"/>
  <c r="J75" i="2" a="1"/>
  <c r="L51" i="2" a="1"/>
  <c r="F63" i="2" a="1"/>
  <c r="F102" i="2" a="1"/>
  <c r="M50" i="2" a="1"/>
  <c r="L80" i="2" a="1"/>
  <c r="J50" i="2" a="1"/>
  <c r="L67" i="2" a="1"/>
  <c r="M107" i="2" a="1"/>
  <c r="L43" i="2" a="1"/>
  <c r="M99" i="2" a="1"/>
  <c r="J42" i="2" a="1"/>
  <c r="L17" i="2" a="1"/>
  <c r="L46" i="2" a="1"/>
  <c r="J39" i="2" a="1"/>
  <c r="J66" i="2" a="1"/>
  <c r="L34" i="2" a="1"/>
  <c r="J55" i="2" a="1"/>
  <c r="L71" i="2" a="1"/>
  <c r="J115" i="2" a="1"/>
  <c r="L111" i="2" a="1"/>
  <c r="J107" i="2" a="1"/>
  <c r="L89" i="2" a="1"/>
  <c r="F84" i="2" a="1"/>
  <c r="F33" i="2" a="1"/>
  <c r="F21" i="2" a="1"/>
  <c r="F123" i="2" a="1"/>
  <c r="K30" i="2" a="1"/>
  <c r="K118" i="2" a="1"/>
  <c r="K58" i="2" a="1"/>
  <c r="K72" i="2" a="1"/>
  <c r="K24" i="2" a="1"/>
  <c r="K63" i="2" a="1"/>
  <c r="K102" i="2" a="1"/>
  <c r="K84" i="2" a="1"/>
  <c r="K33" i="2" a="1"/>
  <c r="K21" i="2" a="1"/>
  <c r="K123" i="2" a="1"/>
  <c r="M47" i="3" a="1"/>
  <c r="L114" i="3" a="1"/>
  <c r="M99" i="3" a="1"/>
  <c r="J75" i="3" a="1"/>
  <c r="M39" i="3" a="1"/>
  <c r="J24" i="3" a="1"/>
  <c r="J118" i="3" a="1"/>
  <c r="M75" i="3" a="1"/>
  <c r="J47" i="3" a="1"/>
  <c r="L102" i="3" a="1"/>
  <c r="L93" i="3" a="1"/>
  <c r="M16" i="3" a="1"/>
  <c r="L80" i="3" a="1"/>
  <c r="L63" i="3" a="1"/>
  <c r="M21" i="3" a="1"/>
  <c r="J99" i="3" a="1"/>
  <c r="R30" i="3" a="1"/>
  <c r="L90" i="3" a="1"/>
  <c r="M24" i="3" a="1"/>
  <c r="L122" i="3" a="1"/>
  <c r="L119" i="3" a="1"/>
  <c r="R63" i="3" a="1"/>
  <c r="M42" i="3" a="1"/>
  <c r="L107" i="3" a="1"/>
  <c r="R107" i="3" a="1"/>
  <c r="L50" i="3" a="1"/>
  <c r="M72" i="3" a="1"/>
  <c r="L85" i="3" a="1"/>
  <c r="J42" i="3" a="1"/>
  <c r="L54" i="3" a="1"/>
  <c r="M118" i="3" a="1"/>
  <c r="J39" i="3" a="1"/>
  <c r="L34" i="3" a="1"/>
  <c r="J110" i="3" a="1"/>
  <c r="M110" i="3" a="1"/>
  <c r="J16" i="3" a="1"/>
  <c r="J72" i="3" a="1"/>
  <c r="L76" i="3" a="1"/>
  <c r="M58" i="3" a="1"/>
  <c r="J58" i="3" a="1"/>
  <c r="M84" i="3" a="1"/>
  <c r="J84" i="3" a="1"/>
  <c r="L67" i="3" a="1"/>
  <c r="J21" i="3" a="1"/>
  <c r="L20" i="3" a="1"/>
  <c r="L111" i="3" a="1"/>
  <c r="R99" i="3" a="1"/>
  <c r="K55" i="3" a="1"/>
  <c r="K81" i="3" a="1"/>
  <c r="K115" i="3" a="1"/>
  <c r="K123" i="3" a="1"/>
  <c r="K66" i="3" a="1"/>
  <c r="K33" i="3" a="1"/>
  <c r="K16" i="2" a="1"/>
  <c r="F75" i="4" a="1"/>
  <c r="H52" i="4" a="1"/>
  <c r="H68" i="4" a="1"/>
  <c r="H114" i="4" a="1"/>
  <c r="I95" i="4" a="1"/>
  <c r="H19" i="4" a="1"/>
  <c r="H29" i="4" a="1"/>
  <c r="H78" i="4" a="1"/>
  <c r="H86" i="4" a="1"/>
  <c r="I30" i="4" a="1"/>
  <c r="F42" i="4" a="1"/>
  <c r="F84" i="4" a="1"/>
  <c r="I52" i="4" a="1"/>
  <c r="H69" i="4" a="1"/>
  <c r="I111" i="4" a="1"/>
  <c r="I17" i="4" a="1"/>
  <c r="H25" i="4" a="1"/>
  <c r="H79" i="4" a="1"/>
  <c r="I89" i="4" a="1"/>
  <c r="H77" i="4" a="1"/>
  <c r="I80" i="4" a="1"/>
  <c r="H90" i="4" a="1"/>
  <c r="I26" i="4" a="1"/>
  <c r="H60" i="4" a="1"/>
  <c r="H87" i="4" a="1"/>
  <c r="H71" i="4" a="1"/>
  <c r="H97" i="4" a="1"/>
  <c r="I76" i="4" a="1"/>
  <c r="I114" i="4" a="1"/>
  <c r="I72" i="4" a="1"/>
  <c r="I90" i="4" a="1"/>
  <c r="I53" i="4" a="1"/>
  <c r="I69" i="4" a="1"/>
  <c r="I113" i="4" a="1"/>
  <c r="I39" i="4" a="1"/>
  <c r="I20" i="4" a="1"/>
  <c r="I29" i="4" a="1"/>
  <c r="I77" i="4" a="1"/>
  <c r="I19" i="4" a="1"/>
  <c r="I94" i="4" a="1"/>
  <c r="H85" i="4" a="1"/>
  <c r="H51" i="4" a="1"/>
  <c r="I70" i="4" a="1"/>
  <c r="I61" i="4" a="1"/>
  <c r="I67" i="4" a="1"/>
  <c r="I87" i="4" a="1"/>
  <c r="I123" i="4" a="1"/>
  <c r="H119" i="4" a="1"/>
  <c r="H106" i="4" a="1"/>
  <c r="I71" i="4" a="1"/>
  <c r="I112" i="4" a="1"/>
  <c r="H34" i="4" a="1"/>
  <c r="H18" i="4" a="1"/>
  <c r="I25" i="4" a="1"/>
  <c r="I78" i="4" a="1"/>
  <c r="I36" i="4" a="1"/>
  <c r="I75" i="4" a="1"/>
  <c r="H81" i="4" a="1"/>
  <c r="I54" i="4" a="1"/>
  <c r="H39" i="4" a="1"/>
  <c r="H17" i="4" a="1"/>
  <c r="F110" i="4" a="1"/>
  <c r="H122" i="4" a="1"/>
  <c r="I106" i="4" a="1"/>
  <c r="I68" i="4" a="1"/>
  <c r="H113" i="4" a="1"/>
  <c r="H38" i="4" a="1"/>
  <c r="I18" i="4" a="1"/>
  <c r="H27" i="4" a="1"/>
  <c r="I79" i="4" a="1"/>
  <c r="H28" i="4" a="1"/>
  <c r="I60" i="4" a="1"/>
  <c r="I85" i="4" a="1"/>
  <c r="H36" i="4" a="1"/>
  <c r="H44" i="4" a="1"/>
  <c r="I110" i="4" a="1"/>
  <c r="I51" i="4" a="1"/>
  <c r="F93" i="4" a="1"/>
  <c r="I119" i="4" a="1"/>
  <c r="I103" i="4" a="1"/>
  <c r="H46" i="4" a="1"/>
  <c r="H112" i="4" a="1"/>
  <c r="I38" i="4" a="1"/>
  <c r="H59" i="4" a="1"/>
  <c r="I96" i="4" a="1"/>
  <c r="H54" i="4" a="1"/>
  <c r="I86" i="4" a="1"/>
  <c r="I115" i="4" a="1"/>
  <c r="I120" i="4" a="1"/>
  <c r="H103" i="4" a="1"/>
  <c r="I43" i="4" a="1"/>
  <c r="I99" i="4" a="1"/>
  <c r="I34" i="4" a="1"/>
  <c r="H62" i="4" a="1"/>
  <c r="I27" i="4" a="1"/>
  <c r="I28" i="4" a="1"/>
  <c r="H61" i="4" a="1"/>
  <c r="I62" i="4" a="1"/>
  <c r="I21" i="4" a="1"/>
  <c r="H80" i="4" a="1"/>
  <c r="F33" i="4" a="1"/>
  <c r="I33" i="4" s="1" a="1"/>
  <c r="I121" i="4" a="1"/>
  <c r="H105" i="4" a="1"/>
  <c r="H43" i="4" a="1"/>
  <c r="H37" i="4" a="1"/>
  <c r="H67" i="4" a="1"/>
  <c r="I81" i="4" a="1"/>
  <c r="H20" i="4" a="1"/>
  <c r="F16" i="4" a="1"/>
  <c r="I122" i="4" a="1"/>
  <c r="I104" i="4" a="1"/>
  <c r="I46" i="4" a="1"/>
  <c r="H94" i="4" a="1"/>
  <c r="I35" i="4" a="1"/>
  <c r="I59" i="4" a="1"/>
  <c r="H26" i="4" a="1"/>
  <c r="H89" i="4" a="1"/>
  <c r="H35" i="4" a="1"/>
  <c r="I37" i="4" a="1"/>
  <c r="H88" i="4" a="1"/>
  <c r="H99" i="4" a="1"/>
  <c r="H120" i="4" a="1"/>
  <c r="H104" i="4" a="1"/>
  <c r="H45" i="4" a="1"/>
  <c r="I98" i="4" a="1"/>
  <c r="F24" i="4" a="1"/>
  <c r="F58" i="4" a="1"/>
  <c r="H121" i="4" a="1"/>
  <c r="I105" i="4" a="1"/>
  <c r="I44" i="4" a="1"/>
  <c r="H98" i="4" a="1"/>
  <c r="I88" i="4" a="1"/>
  <c r="H21" i="4" a="1"/>
  <c r="I45" i="4" a="1"/>
  <c r="H76" i="4" a="1"/>
  <c r="F118" i="4" a="1"/>
  <c r="I118" i="4" a="1"/>
  <c r="H96" i="4" a="1"/>
  <c r="H30" i="4" a="1"/>
  <c r="F50" i="4" a="1"/>
  <c r="F102" i="4" a="1"/>
  <c r="I102" i="4" s="1" a="1"/>
  <c r="H95" i="4" a="1"/>
  <c r="F66" i="4" a="1"/>
  <c r="I107" i="4" a="1"/>
  <c r="H53" i="4" a="1"/>
  <c r="H70" i="4" a="1"/>
  <c r="H111" i="4" a="1"/>
  <c r="I97" i="4" a="1"/>
  <c r="N38" i="4" l="1"/>
  <c r="O29" i="4"/>
  <c r="N114" i="4"/>
  <c r="O20" i="4"/>
  <c r="I89" i="4"/>
  <c r="H86" i="4"/>
  <c r="I86" i="4"/>
  <c r="I87" i="4"/>
  <c r="H88" i="4"/>
  <c r="I88" i="4"/>
  <c r="H87" i="4"/>
  <c r="I85" i="4"/>
  <c r="H85" i="4"/>
  <c r="H89" i="4"/>
  <c r="I80" i="4"/>
  <c r="H77" i="4"/>
  <c r="I79" i="4"/>
  <c r="I78" i="4"/>
  <c r="I77" i="4"/>
  <c r="H79" i="4"/>
  <c r="H78" i="4"/>
  <c r="H76" i="4"/>
  <c r="H80" i="4"/>
  <c r="I76" i="4"/>
  <c r="I26" i="4"/>
  <c r="H26" i="4"/>
  <c r="I28" i="4"/>
  <c r="I27" i="4"/>
  <c r="H28" i="4"/>
  <c r="H27" i="4"/>
  <c r="I25" i="4"/>
  <c r="I29" i="4"/>
  <c r="H25" i="4"/>
  <c r="H29" i="4"/>
  <c r="I61" i="4"/>
  <c r="I62" i="4"/>
  <c r="H61" i="4"/>
  <c r="H60" i="4"/>
  <c r="I60" i="4"/>
  <c r="I59" i="4"/>
  <c r="H59" i="4"/>
  <c r="H62" i="4"/>
  <c r="I19" i="4"/>
  <c r="I18" i="4"/>
  <c r="H18" i="4"/>
  <c r="I20" i="4"/>
  <c r="I17" i="4"/>
  <c r="H19" i="4"/>
  <c r="H20" i="4"/>
  <c r="H17" i="4"/>
  <c r="I37" i="4"/>
  <c r="H36" i="4"/>
  <c r="H35" i="4"/>
  <c r="I36" i="4"/>
  <c r="I35" i="4"/>
  <c r="H37" i="4"/>
  <c r="I34" i="4"/>
  <c r="I38" i="4"/>
  <c r="H38" i="4"/>
  <c r="H34" i="4"/>
  <c r="I39" i="4"/>
  <c r="I95" i="4"/>
  <c r="I97" i="4"/>
  <c r="H95" i="4"/>
  <c r="H97" i="4"/>
  <c r="H96" i="4"/>
  <c r="I96" i="4"/>
  <c r="H98" i="4"/>
  <c r="I98" i="4"/>
  <c r="H94" i="4"/>
  <c r="I94" i="4"/>
  <c r="H112" i="4"/>
  <c r="H113" i="4"/>
  <c r="I112" i="4"/>
  <c r="I113" i="4"/>
  <c r="I111" i="4"/>
  <c r="H114" i="4"/>
  <c r="H111" i="4"/>
  <c r="I114" i="4"/>
  <c r="H44" i="4"/>
  <c r="I45" i="4"/>
  <c r="I44" i="4"/>
  <c r="H45" i="4"/>
  <c r="I46" i="4"/>
  <c r="H43" i="4"/>
  <c r="I43" i="4"/>
  <c r="H46" i="4"/>
  <c r="I68" i="4"/>
  <c r="I71" i="4"/>
  <c r="I69" i="4"/>
  <c r="H69" i="4"/>
  <c r="H68" i="4"/>
  <c r="H70" i="4"/>
  <c r="I67" i="4"/>
  <c r="I70" i="4"/>
  <c r="H71" i="4"/>
  <c r="H67" i="4"/>
  <c r="I105" i="4"/>
  <c r="H104" i="4"/>
  <c r="I104" i="4"/>
  <c r="H105" i="4"/>
  <c r="H103" i="4"/>
  <c r="I103" i="4"/>
  <c r="I106" i="4"/>
  <c r="H106" i="4"/>
  <c r="I53" i="4"/>
  <c r="I52" i="4"/>
  <c r="H52" i="4"/>
  <c r="H53" i="4"/>
  <c r="I51" i="4"/>
  <c r="H54" i="4"/>
  <c r="I54" i="4"/>
  <c r="H51" i="4"/>
  <c r="H121" i="4"/>
  <c r="H120" i="4"/>
  <c r="I122" i="4"/>
  <c r="I121" i="4"/>
  <c r="I120" i="4"/>
  <c r="I119" i="4"/>
  <c r="H122" i="4"/>
  <c r="H119" i="4"/>
  <c r="F84" i="4"/>
  <c r="R88" i="4"/>
  <c r="Q88" i="4"/>
  <c r="R86" i="4"/>
  <c r="Q86" i="4"/>
  <c r="R87" i="4"/>
  <c r="Q87" i="4"/>
  <c r="R89" i="4"/>
  <c r="Q89" i="4"/>
  <c r="R85" i="4"/>
  <c r="Q85" i="4"/>
  <c r="F75" i="4"/>
  <c r="R80" i="4"/>
  <c r="R77" i="4"/>
  <c r="Q80" i="4"/>
  <c r="Q77" i="4"/>
  <c r="R78" i="4"/>
  <c r="R79" i="4"/>
  <c r="Q78" i="4"/>
  <c r="Q79" i="4"/>
  <c r="R81" i="4"/>
  <c r="R76" i="4"/>
  <c r="Q76" i="4"/>
  <c r="Q81" i="4"/>
  <c r="F24" i="4"/>
  <c r="R27" i="4"/>
  <c r="Q27" i="4"/>
  <c r="R29" i="4"/>
  <c r="Q29" i="4"/>
  <c r="R28" i="4"/>
  <c r="R26" i="4"/>
  <c r="Q28" i="4"/>
  <c r="Q26" i="4"/>
  <c r="R25" i="4"/>
  <c r="Q25" i="4"/>
  <c r="F58" i="4"/>
  <c r="R60" i="4"/>
  <c r="Q60" i="4"/>
  <c r="R61" i="4"/>
  <c r="Q61" i="4"/>
  <c r="R59" i="4"/>
  <c r="Q59" i="4"/>
  <c r="R62" i="4"/>
  <c r="Q62" i="4"/>
  <c r="F16" i="4"/>
  <c r="R19" i="4"/>
  <c r="Q19" i="4"/>
  <c r="Q20" i="4"/>
  <c r="R20" i="4"/>
  <c r="R18" i="4"/>
  <c r="Q18" i="4"/>
  <c r="R21" i="4"/>
  <c r="Q17" i="4"/>
  <c r="Q21" i="4"/>
  <c r="R17" i="4"/>
  <c r="F33" i="4"/>
  <c r="R37" i="4"/>
  <c r="Q37" i="4"/>
  <c r="R36" i="4"/>
  <c r="Q36" i="4"/>
  <c r="R35" i="4"/>
  <c r="Q35" i="4"/>
  <c r="R38" i="4"/>
  <c r="Q38" i="4"/>
  <c r="R34" i="4"/>
  <c r="Q34" i="4"/>
  <c r="F93" i="4"/>
  <c r="R96" i="4"/>
  <c r="Q96" i="4"/>
  <c r="R97" i="4"/>
  <c r="Q97" i="4"/>
  <c r="R95" i="4"/>
  <c r="Q95" i="4"/>
  <c r="R94" i="4"/>
  <c r="Q94" i="4"/>
  <c r="R98" i="4"/>
  <c r="Q98" i="4"/>
  <c r="F110" i="4"/>
  <c r="R110" i="4" s="1"/>
  <c r="R112" i="4"/>
  <c r="Q112" i="4"/>
  <c r="R113" i="4"/>
  <c r="Q113" i="4"/>
  <c r="R114" i="4"/>
  <c r="R111" i="4"/>
  <c r="Q114" i="4"/>
  <c r="Q111" i="4"/>
  <c r="F42" i="4"/>
  <c r="R44" i="4"/>
  <c r="Q44" i="4"/>
  <c r="R45" i="4"/>
  <c r="Q45" i="4"/>
  <c r="R46" i="4"/>
  <c r="Q46" i="4"/>
  <c r="R43" i="4"/>
  <c r="Q43" i="4"/>
  <c r="F66" i="4"/>
  <c r="R71" i="4"/>
  <c r="Q71" i="4"/>
  <c r="R69" i="4"/>
  <c r="Q69" i="4"/>
  <c r="R70" i="4"/>
  <c r="R68" i="4"/>
  <c r="Q70" i="4"/>
  <c r="Q68" i="4"/>
  <c r="Q67" i="4"/>
  <c r="R67" i="4"/>
  <c r="F102" i="4"/>
  <c r="Q104" i="4"/>
  <c r="R105" i="4"/>
  <c r="Q105" i="4"/>
  <c r="R104" i="4"/>
  <c r="R106" i="4"/>
  <c r="Q106" i="4"/>
  <c r="R103" i="4"/>
  <c r="Q103" i="4"/>
  <c r="F50" i="4"/>
  <c r="R53" i="4"/>
  <c r="Q53" i="4"/>
  <c r="R52" i="4"/>
  <c r="Q52" i="4"/>
  <c r="R51" i="4"/>
  <c r="Q51" i="4"/>
  <c r="R54" i="4"/>
  <c r="Q54" i="4"/>
  <c r="F118" i="4"/>
  <c r="R118" i="4" s="1"/>
  <c r="R121" i="4"/>
  <c r="Q121" i="4"/>
  <c r="R120" i="4"/>
  <c r="Q120" i="4"/>
  <c r="R119" i="4"/>
  <c r="Q119" i="4"/>
  <c r="R122" i="4"/>
  <c r="Q122" i="4"/>
  <c r="N54" i="4"/>
  <c r="O93" i="4"/>
  <c r="N110" i="4"/>
  <c r="N71" i="4"/>
  <c r="O102" i="4"/>
  <c r="N106" i="4"/>
  <c r="N75" i="4"/>
  <c r="N46" i="4"/>
  <c r="I30" i="4"/>
  <c r="I115" i="4"/>
  <c r="I21" i="4"/>
  <c r="I90" i="4"/>
  <c r="O75" i="4"/>
  <c r="I118" i="4"/>
  <c r="I75" i="4"/>
  <c r="H81" i="4"/>
  <c r="I81" i="4"/>
  <c r="I72" i="4"/>
  <c r="I99" i="4"/>
  <c r="N118" i="4"/>
  <c r="O118" i="4"/>
  <c r="I123" i="4"/>
  <c r="I33" i="4"/>
  <c r="I110" i="4"/>
  <c r="R33" i="4"/>
  <c r="H21" i="4"/>
  <c r="O62" i="4"/>
  <c r="N122" i="4"/>
  <c r="O122" i="4"/>
  <c r="O33" i="4"/>
  <c r="N33" i="4"/>
  <c r="O110" i="4"/>
  <c r="I107" i="4"/>
  <c r="I102" i="4"/>
  <c r="H39" i="4"/>
  <c r="H99" i="4"/>
  <c r="H30" i="4"/>
  <c r="H90" i="4"/>
  <c r="O58" i="4"/>
  <c r="O24" i="4"/>
  <c r="O54" i="4"/>
  <c r="N84" i="4"/>
  <c r="R39" i="4"/>
  <c r="Q39" i="4"/>
  <c r="N93" i="4"/>
  <c r="O84" i="4"/>
  <c r="N58" i="4"/>
  <c r="R99" i="4"/>
  <c r="Q99" i="4"/>
  <c r="O16" i="4"/>
  <c r="N42" i="4"/>
  <c r="O46" i="4"/>
  <c r="N24" i="4"/>
  <c r="O42" i="4"/>
  <c r="R30" i="4"/>
  <c r="Q30" i="4"/>
  <c r="R115" i="4"/>
  <c r="Q115" i="4"/>
  <c r="R90" i="4"/>
  <c r="Q90" i="4"/>
  <c r="R123" i="4"/>
  <c r="Q123" i="4"/>
  <c r="O66" i="4"/>
  <c r="N16" i="4"/>
  <c r="N66" i="4"/>
  <c r="N50" i="4"/>
  <c r="O106" i="4"/>
  <c r="N102" i="4"/>
  <c r="R63" i="4"/>
  <c r="Q63" i="4"/>
  <c r="O50" i="4"/>
  <c r="K33" i="3"/>
  <c r="K66" i="3"/>
  <c r="K123" i="3"/>
  <c r="K115" i="3"/>
  <c r="K81" i="3"/>
  <c r="K55" i="3"/>
  <c r="R99" i="3"/>
  <c r="L111" i="3"/>
  <c r="L20" i="3"/>
  <c r="J21" i="3"/>
  <c r="L67" i="3"/>
  <c r="J84" i="3"/>
  <c r="M84" i="3"/>
  <c r="O84" i="3" s="1"/>
  <c r="J58" i="3"/>
  <c r="M58" i="3"/>
  <c r="O58" i="3" s="1"/>
  <c r="L76" i="3"/>
  <c r="J72" i="3"/>
  <c r="J16" i="3"/>
  <c r="M110" i="3"/>
  <c r="O110" i="3" s="1"/>
  <c r="J110" i="3"/>
  <c r="L34" i="3"/>
  <c r="J39" i="3"/>
  <c r="M118" i="3"/>
  <c r="O118" i="3" s="1"/>
  <c r="L54" i="3"/>
  <c r="J42" i="3"/>
  <c r="L85" i="3"/>
  <c r="M72" i="3"/>
  <c r="O72" i="3" s="1"/>
  <c r="L50" i="3"/>
  <c r="N50" i="3" s="1"/>
  <c r="R107" i="3"/>
  <c r="L107" i="3"/>
  <c r="N107" i="3" s="1"/>
  <c r="M42" i="3"/>
  <c r="O42" i="3" s="1"/>
  <c r="R63" i="3"/>
  <c r="L119" i="3"/>
  <c r="L122" i="3"/>
  <c r="N122" i="3" s="1"/>
  <c r="M24" i="3"/>
  <c r="O24" i="3" s="1"/>
  <c r="L90" i="3"/>
  <c r="N90" i="3" s="1"/>
  <c r="R30" i="3"/>
  <c r="J99" i="3"/>
  <c r="M21" i="3"/>
  <c r="O21" i="3" s="1"/>
  <c r="L63" i="3"/>
  <c r="N63" i="3" s="1"/>
  <c r="L80" i="3"/>
  <c r="N80" i="3" s="1"/>
  <c r="M16" i="3"/>
  <c r="O16" i="3" s="1"/>
  <c r="L93" i="3"/>
  <c r="N93" i="3" s="1"/>
  <c r="L102" i="3"/>
  <c r="N102" i="3" s="1"/>
  <c r="J47" i="3"/>
  <c r="M75" i="3"/>
  <c r="O75" i="3" s="1"/>
  <c r="J118" i="3"/>
  <c r="J24" i="3"/>
  <c r="M39" i="3"/>
  <c r="O39" i="3" s="1"/>
  <c r="J75" i="3"/>
  <c r="M99" i="3"/>
  <c r="O99" i="3" s="1"/>
  <c r="L114" i="3"/>
  <c r="N114" i="3" s="1"/>
  <c r="M47" i="3"/>
  <c r="O47" i="3" s="1"/>
  <c r="Q33" i="3"/>
  <c r="N94" i="3"/>
  <c r="T21" i="3"/>
  <c r="S21" i="3"/>
  <c r="T84" i="3"/>
  <c r="S84" i="3"/>
  <c r="N17" i="3"/>
  <c r="T58" i="3"/>
  <c r="S58" i="3"/>
  <c r="N51" i="3"/>
  <c r="Q66" i="3"/>
  <c r="P122" i="3"/>
  <c r="T72" i="3"/>
  <c r="S72" i="3"/>
  <c r="T16" i="3"/>
  <c r="S16" i="3"/>
  <c r="P66" i="3"/>
  <c r="S110" i="3"/>
  <c r="T110" i="3"/>
  <c r="T39" i="3"/>
  <c r="S39" i="3"/>
  <c r="T42" i="3"/>
  <c r="S42" i="3"/>
  <c r="Q122" i="3"/>
  <c r="N103" i="3"/>
  <c r="N59" i="3"/>
  <c r="N25" i="3"/>
  <c r="T99" i="3"/>
  <c r="S99" i="3"/>
  <c r="T47" i="3"/>
  <c r="S47" i="3"/>
  <c r="P114" i="3"/>
  <c r="T118" i="3"/>
  <c r="S118" i="3"/>
  <c r="T24" i="3"/>
  <c r="S24" i="3"/>
  <c r="T75" i="3"/>
  <c r="S75" i="3"/>
  <c r="P80" i="3"/>
  <c r="P54" i="3"/>
  <c r="K123" i="2"/>
  <c r="K21" i="2"/>
  <c r="K33" i="2"/>
  <c r="K84" i="2"/>
  <c r="K102" i="2"/>
  <c r="K63" i="2"/>
  <c r="K24" i="2"/>
  <c r="K72" i="2"/>
  <c r="K58" i="2"/>
  <c r="K118" i="2"/>
  <c r="K16" i="2"/>
  <c r="K30" i="2"/>
  <c r="F123" i="2"/>
  <c r="F21" i="2"/>
  <c r="F33" i="2"/>
  <c r="F84" i="2"/>
  <c r="L89" i="2"/>
  <c r="J107" i="2"/>
  <c r="L111" i="2"/>
  <c r="J115" i="2"/>
  <c r="L71" i="2"/>
  <c r="J55" i="2"/>
  <c r="L34" i="2"/>
  <c r="J66" i="2"/>
  <c r="J39" i="2"/>
  <c r="L46" i="2"/>
  <c r="L17" i="2"/>
  <c r="J42" i="2"/>
  <c r="M99" i="2"/>
  <c r="L43" i="2"/>
  <c r="M107" i="2"/>
  <c r="L67" i="2"/>
  <c r="J50" i="2"/>
  <c r="L80" i="2"/>
  <c r="M50" i="2"/>
  <c r="F102" i="2"/>
  <c r="F63" i="2"/>
  <c r="L51" i="2"/>
  <c r="J75" i="2"/>
  <c r="M75" i="2"/>
  <c r="L20" i="2"/>
  <c r="L119" i="2"/>
  <c r="M90" i="2"/>
  <c r="F24" i="2"/>
  <c r="L59" i="2"/>
  <c r="L47" i="2"/>
  <c r="N47" i="2" s="1"/>
  <c r="M66" i="2"/>
  <c r="L114" i="2"/>
  <c r="J110" i="2"/>
  <c r="M42" i="2"/>
  <c r="F72" i="2"/>
  <c r="L54" i="2"/>
  <c r="M110" i="2"/>
  <c r="L29" i="2"/>
  <c r="L25" i="2"/>
  <c r="L94" i="2"/>
  <c r="L38" i="2"/>
  <c r="M93" i="2"/>
  <c r="F58" i="2"/>
  <c r="F118" i="2"/>
  <c r="L122" i="2"/>
  <c r="L76" i="2"/>
  <c r="L98" i="2"/>
  <c r="N98" i="2" s="1"/>
  <c r="L85" i="2"/>
  <c r="M81" i="2"/>
  <c r="J99" i="2"/>
  <c r="L106" i="2"/>
  <c r="L62" i="2"/>
  <c r="M115" i="2"/>
  <c r="F30" i="2"/>
  <c r="J90" i="2"/>
  <c r="J93" i="2"/>
  <c r="M55" i="2"/>
  <c r="L103" i="2"/>
  <c r="J81" i="2"/>
  <c r="M39" i="2"/>
  <c r="P71" i="2"/>
  <c r="Q62" i="2"/>
  <c r="Q24" i="2"/>
  <c r="Q58" i="2"/>
  <c r="Q16" i="2"/>
  <c r="Q29" i="2"/>
  <c r="P122" i="2"/>
  <c r="P20" i="2"/>
  <c r="P33" i="2"/>
  <c r="P84" i="2"/>
  <c r="P63" i="1"/>
  <c r="P72" i="1"/>
  <c r="P30" i="1"/>
  <c r="P107" i="1"/>
  <c r="P55" i="1"/>
  <c r="P81" i="1"/>
  <c r="P39" i="1"/>
  <c r="P99" i="1"/>
  <c r="P123" i="1"/>
  <c r="P21" i="1"/>
  <c r="P115" i="1"/>
  <c r="P90" i="1"/>
  <c r="P47" i="1"/>
  <c r="O42" i="1"/>
  <c r="P62" i="2"/>
  <c r="Q33" i="2"/>
  <c r="P16" i="2"/>
  <c r="Q20" i="2"/>
  <c r="O46" i="2"/>
  <c r="O47" i="2"/>
  <c r="O45" i="2"/>
  <c r="T78" i="2"/>
  <c r="S78" i="2"/>
  <c r="N78" i="2"/>
  <c r="O52" i="2"/>
  <c r="O96" i="2"/>
  <c r="S84" i="2"/>
  <c r="T47" i="2"/>
  <c r="S47" i="2"/>
  <c r="O78" i="2"/>
  <c r="N53" i="2"/>
  <c r="S53" i="2"/>
  <c r="T53" i="2"/>
  <c r="O97" i="2"/>
  <c r="S90" i="2"/>
  <c r="T42" i="2"/>
  <c r="S42" i="2"/>
  <c r="T79" i="2"/>
  <c r="S79" i="2"/>
  <c r="N79" i="2"/>
  <c r="T50" i="2"/>
  <c r="S50" i="2"/>
  <c r="S98" i="2"/>
  <c r="T98" i="2"/>
  <c r="P118" i="2"/>
  <c r="Q122" i="2"/>
  <c r="T86" i="2"/>
  <c r="S86" i="2"/>
  <c r="T80" i="2"/>
  <c r="S80" i="2"/>
  <c r="N80" i="2"/>
  <c r="O50" i="2"/>
  <c r="O98" i="2"/>
  <c r="O80" i="2"/>
  <c r="O51" i="2"/>
  <c r="T93" i="2"/>
  <c r="S93" i="2"/>
  <c r="S52" i="2"/>
  <c r="N52" i="2"/>
  <c r="T52" i="2"/>
  <c r="T76" i="2"/>
  <c r="S76" i="2"/>
  <c r="N76" i="2"/>
  <c r="O42" i="2"/>
  <c r="O81" i="2"/>
  <c r="T75" i="2"/>
  <c r="S75" i="2"/>
  <c r="S99" i="2"/>
  <c r="T99" i="2"/>
  <c r="O43" i="2"/>
  <c r="O75" i="2"/>
  <c r="T81" i="2"/>
  <c r="S81" i="2"/>
  <c r="O53" i="2"/>
  <c r="O93" i="2"/>
  <c r="N43" i="2"/>
  <c r="T43" i="2"/>
  <c r="S43" i="2"/>
  <c r="O54" i="2"/>
  <c r="O99" i="2"/>
  <c r="O86" i="2"/>
  <c r="P58" i="2"/>
  <c r="O44" i="2"/>
  <c r="O79" i="2"/>
  <c r="T54" i="2"/>
  <c r="S54" i="2"/>
  <c r="N54" i="2"/>
  <c r="N94" i="2"/>
  <c r="T94" i="2"/>
  <c r="S94" i="2"/>
  <c r="P102" i="2"/>
  <c r="T46" i="2"/>
  <c r="S46" i="2"/>
  <c r="N46" i="2"/>
  <c r="O76" i="2"/>
  <c r="T55" i="2"/>
  <c r="S55" i="2"/>
  <c r="N95" i="2"/>
  <c r="T95" i="2"/>
  <c r="S95" i="2"/>
  <c r="T87" i="2"/>
  <c r="S87" i="2"/>
  <c r="S88" i="2"/>
  <c r="T88" i="2"/>
  <c r="Q102" i="2"/>
  <c r="S44" i="2"/>
  <c r="T44" i="2"/>
  <c r="N44" i="2"/>
  <c r="S77" i="2"/>
  <c r="N77" i="2"/>
  <c r="T77" i="2"/>
  <c r="O55" i="2"/>
  <c r="O94" i="2"/>
  <c r="O95" i="2"/>
  <c r="T89" i="2"/>
  <c r="S89" i="2"/>
  <c r="Q118" i="2"/>
  <c r="T45" i="2"/>
  <c r="N45" i="2"/>
  <c r="S45" i="2"/>
  <c r="O77" i="2"/>
  <c r="T51" i="2"/>
  <c r="N51" i="2"/>
  <c r="S51" i="2"/>
  <c r="T97" i="2"/>
  <c r="S97" i="2"/>
  <c r="N97" i="2"/>
  <c r="N96" i="2"/>
  <c r="S96" i="2"/>
  <c r="T96" i="2"/>
  <c r="P24" i="2"/>
  <c r="Q69" i="1"/>
  <c r="O46" i="1"/>
  <c r="N33" i="1"/>
  <c r="N20" i="1"/>
  <c r="N110" i="1"/>
  <c r="O33" i="1"/>
  <c r="O38" i="1"/>
  <c r="N38" i="1"/>
  <c r="Q68" i="1"/>
  <c r="Q67" i="1"/>
  <c r="O58" i="1"/>
  <c r="Q72" i="1"/>
  <c r="Q71" i="1"/>
  <c r="N50" i="1"/>
  <c r="O24" i="1"/>
  <c r="Q70" i="1"/>
  <c r="N102" i="1"/>
  <c r="N75" i="1"/>
  <c r="O75" i="1"/>
  <c r="N93" i="1"/>
  <c r="Q77" i="1"/>
  <c r="Q81" i="1"/>
  <c r="Q75" i="1"/>
  <c r="M27" i="1"/>
  <c r="L69" i="1"/>
  <c r="Q27" i="1"/>
  <c r="M81" i="1"/>
  <c r="O118" i="1"/>
  <c r="Q29" i="1"/>
  <c r="Q28" i="1"/>
  <c r="Q38" i="1"/>
  <c r="Q39" i="1"/>
  <c r="O16" i="1"/>
  <c r="Q45" i="1"/>
  <c r="N16" i="1"/>
  <c r="O54" i="1"/>
  <c r="O84" i="1"/>
  <c r="N54" i="1"/>
  <c r="N62" i="1"/>
  <c r="N98" i="1"/>
  <c r="M123" i="2" a="1"/>
  <c r="L50" i="2" a="1"/>
  <c r="L110" i="2" a="1"/>
  <c r="M21" i="2" a="1"/>
  <c r="L107" i="2" a="1"/>
  <c r="M33" i="2" a="1"/>
  <c r="R115" i="2" a="1"/>
  <c r="J72" i="2" a="1"/>
  <c r="L99" i="2" a="1"/>
  <c r="M84" i="2" a="1"/>
  <c r="L115" i="2" a="1"/>
  <c r="J102" i="2" a="1"/>
  <c r="M102" i="2" a="1"/>
  <c r="J63" i="2" a="1"/>
  <c r="M63" i="2" a="1"/>
  <c r="L55" i="2" a="1"/>
  <c r="R55" i="2" a="1"/>
  <c r="M24" i="2" a="1"/>
  <c r="R39" i="2" a="1"/>
  <c r="L75" i="2" a="1"/>
  <c r="R30" i="2" a="1"/>
  <c r="J30" i="2" a="1"/>
  <c r="M72" i="2" a="1"/>
  <c r="L66" i="2" a="1"/>
  <c r="R99" i="2" a="1"/>
  <c r="L90" i="2" a="1"/>
  <c r="M58" i="2" a="1"/>
  <c r="L39" i="2" a="1"/>
  <c r="L93" i="2" a="1"/>
  <c r="M118" i="2" a="1"/>
  <c r="R123" i="2" a="1"/>
  <c r="R21" i="2" a="1"/>
  <c r="J58" i="2" a="1"/>
  <c r="R107" i="2" a="1"/>
  <c r="M30" i="2" a="1"/>
  <c r="L42" i="2" a="1"/>
  <c r="J24" i="2" a="1"/>
  <c r="J118" i="2" a="1"/>
  <c r="L81" i="2" a="1"/>
  <c r="J123" i="2" a="1"/>
  <c r="R63" i="2" a="1"/>
  <c r="J21" i="2" a="1"/>
  <c r="R81" i="2" a="1"/>
  <c r="J33" i="2" a="1"/>
  <c r="J84" i="2" a="1"/>
  <c r="R72" i="2" a="1"/>
  <c r="R90" i="2" a="1"/>
  <c r="M33" i="3" a="1"/>
  <c r="L39" i="3" a="1"/>
  <c r="L99" i="3" a="1"/>
  <c r="J81" i="3" a="1"/>
  <c r="M66" i="3" a="1"/>
  <c r="J66" i="3" a="1"/>
  <c r="M123" i="3" a="1"/>
  <c r="R55" i="3" a="1"/>
  <c r="M115" i="3" a="1"/>
  <c r="J123" i="3" a="1"/>
  <c r="L42" i="3" a="1"/>
  <c r="J55" i="3" a="1"/>
  <c r="M81" i="3" a="1"/>
  <c r="R90" i="3" a="1"/>
  <c r="M55" i="3" a="1"/>
  <c r="R81" i="3" a="1"/>
  <c r="L72" i="3" a="1"/>
  <c r="T10" i="3" a="1"/>
  <c r="S10" i="3" a="1"/>
  <c r="J33" i="3" a="1"/>
  <c r="L16" i="3" a="1"/>
  <c r="L47" i="3" a="1"/>
  <c r="R115" i="3" a="1"/>
  <c r="J115" i="3" a="1"/>
  <c r="R21" i="3" a="1"/>
  <c r="L21" i="3" a="1"/>
  <c r="R123" i="3" a="1"/>
  <c r="L118" i="3" a="1"/>
  <c r="R72" i="3" a="1"/>
  <c r="L24" i="3" a="1"/>
  <c r="L84" i="3" a="1"/>
  <c r="L110" i="3" a="1"/>
  <c r="L75" i="3" a="1"/>
  <c r="L58" i="3" a="1"/>
  <c r="R39" i="3" a="1"/>
  <c r="T10" i="2" a="1"/>
  <c r="F8" i="2" a="1"/>
  <c r="J16" i="2" a="1"/>
  <c r="M16" i="2" a="1"/>
  <c r="G8" i="2" a="1"/>
  <c r="S10" i="2" a="1"/>
  <c r="F9" i="2" a="1"/>
  <c r="F7" i="2" a="1"/>
  <c r="G7" i="2" a="1"/>
  <c r="J61" i="4" a="1"/>
  <c r="J60" i="4" a="1"/>
  <c r="K76" i="4" a="1"/>
  <c r="J26" i="4" a="1"/>
  <c r="H107" i="4" a="1"/>
  <c r="I93" i="4" a="1"/>
  <c r="J89" i="4" a="1"/>
  <c r="H24" i="4" a="1"/>
  <c r="J104" i="4" a="1"/>
  <c r="J29" i="4" a="1"/>
  <c r="H110" i="4" a="1"/>
  <c r="J35" i="4" a="1"/>
  <c r="K36" i="4" a="1"/>
  <c r="K59" i="4" a="1"/>
  <c r="J62" i="4" a="1"/>
  <c r="K85" i="4" a="1"/>
  <c r="K75" i="4" a="1"/>
  <c r="J27" i="4" a="1"/>
  <c r="K118" i="4" a="1"/>
  <c r="J67" i="4" a="1"/>
  <c r="K123" i="4" a="1"/>
  <c r="K89" i="4" a="1"/>
  <c r="K98" i="4" a="1"/>
  <c r="J94" i="4" a="1"/>
  <c r="J37" i="4" a="1"/>
  <c r="K38" i="4" a="1"/>
  <c r="K27" i="4" a="1"/>
  <c r="J85" i="4" a="1"/>
  <c r="K20" i="4" a="1"/>
  <c r="I42" i="4" a="1"/>
  <c r="J51" i="4" a="1"/>
  <c r="H118" i="4" a="1"/>
  <c r="H75" i="4" a="1"/>
  <c r="I24" i="4" a="1"/>
  <c r="K67" i="4" a="1"/>
  <c r="H63" i="4" a="1"/>
  <c r="J86" i="4" a="1"/>
  <c r="K30" i="4" a="1"/>
  <c r="J43" i="4" a="1"/>
  <c r="K43" i="4" a="1"/>
  <c r="J112" i="4" a="1"/>
  <c r="K112" i="4" a="1"/>
  <c r="K18" i="4" a="1"/>
  <c r="J28" i="4" a="1"/>
  <c r="K95" i="4" a="1"/>
  <c r="H93" i="4" a="1"/>
  <c r="J99" i="4" a="1"/>
  <c r="H66" i="4" a="1"/>
  <c r="K29" i="4" a="1"/>
  <c r="J105" i="4" a="1"/>
  <c r="J103" i="4" a="1"/>
  <c r="K68" i="4" a="1"/>
  <c r="K69" i="4" a="1"/>
  <c r="J34" i="4" a="1"/>
  <c r="J18" i="4" a="1"/>
  <c r="J111" i="4" a="1"/>
  <c r="J77" i="4" a="1"/>
  <c r="K78" i="4" a="1"/>
  <c r="I66" i="4" a="1"/>
  <c r="H123" i="4" a="1"/>
  <c r="K39" i="4" a="1"/>
  <c r="I47" i="4" a="1"/>
  <c r="J20" i="4" a="1"/>
  <c r="K121" i="4" a="1"/>
  <c r="K120" i="4" a="1"/>
  <c r="K106" i="4" a="1"/>
  <c r="K53" i="4" a="1"/>
  <c r="K111" i="4" a="1"/>
  <c r="K90" i="4" a="1"/>
  <c r="K96" i="4" a="1"/>
  <c r="K81" i="4" a="1"/>
  <c r="K86" i="4" a="1"/>
  <c r="J122" i="4" a="1"/>
  <c r="J87" i="4" a="1"/>
  <c r="J68" i="4" a="1"/>
  <c r="J114" i="4" a="1"/>
  <c r="K51" i="4" a="1"/>
  <c r="J19" i="4" a="1"/>
  <c r="J17" i="4" a="1"/>
  <c r="K21" i="4" a="1"/>
  <c r="J121" i="4" a="1"/>
  <c r="J119" i="4" a="1"/>
  <c r="K122" i="4" a="1"/>
  <c r="H115" i="4" a="1"/>
  <c r="J80" i="4" a="1"/>
  <c r="J88" i="4" a="1"/>
  <c r="K28" i="4" a="1"/>
  <c r="J52" i="4" a="1"/>
  <c r="J70" i="4" a="1"/>
  <c r="K80" i="4" a="1"/>
  <c r="J95" i="4" a="1"/>
  <c r="J96" i="4" a="1"/>
  <c r="J21" i="4" a="1"/>
  <c r="K110" i="4" a="1"/>
  <c r="K60" i="4" a="1"/>
  <c r="K26" i="4" a="1"/>
  <c r="K19" i="4" a="1"/>
  <c r="I55" i="4" a="1"/>
  <c r="J53" i="4" a="1"/>
  <c r="K25" i="4" a="1"/>
  <c r="J44" i="4" a="1"/>
  <c r="K44" i="4" a="1"/>
  <c r="J79" i="4" a="1"/>
  <c r="H16" i="4" a="1"/>
  <c r="K35" i="4" a="1"/>
  <c r="J59" i="4" a="1"/>
  <c r="J38" i="4" a="1"/>
  <c r="J39" i="4" a="1"/>
  <c r="I84" i="4" a="1"/>
  <c r="K17" i="4" a="1"/>
  <c r="J71" i="4" a="1"/>
  <c r="K105" i="4" a="1"/>
  <c r="K62" i="4" a="1"/>
  <c r="H33" i="4" a="1"/>
  <c r="K94" i="4" a="1"/>
  <c r="K34" i="4" a="1"/>
  <c r="K113" i="4" a="1"/>
  <c r="K115" i="4" a="1"/>
  <c r="K33" i="4" a="1"/>
  <c r="K97" i="4" a="1"/>
  <c r="K54" i="4" a="1"/>
  <c r="J36" i="4" a="1"/>
  <c r="H42" i="4" a="1"/>
  <c r="J46" i="4" a="1"/>
  <c r="J113" i="4" a="1"/>
  <c r="J69" i="4" a="1"/>
  <c r="H102" i="4" a="1"/>
  <c r="H47" i="4" a="1"/>
  <c r="K114" i="4" a="1"/>
  <c r="K107" i="4" a="1"/>
  <c r="K77" i="4" a="1"/>
  <c r="J98" i="4" a="1"/>
  <c r="I16" i="4" a="1"/>
  <c r="K103" i="4" a="1"/>
  <c r="K71" i="4" a="1"/>
  <c r="K52" i="4" a="1"/>
  <c r="I63" i="4" a="1"/>
  <c r="H84" i="4" a="1"/>
  <c r="K70" i="4" a="1"/>
  <c r="K79" i="4" a="1"/>
  <c r="K61" i="4" a="1"/>
  <c r="K46" i="4" a="1"/>
  <c r="K72" i="4" a="1"/>
  <c r="K119" i="4" a="1"/>
  <c r="J106" i="4" a="1"/>
  <c r="K102" i="4" a="1"/>
  <c r="J30" i="4" a="1"/>
  <c r="I58" i="4" a="1"/>
  <c r="J54" i="4" a="1"/>
  <c r="J25" i="4" a="1"/>
  <c r="K37" i="4" a="1"/>
  <c r="K104" i="4" a="1"/>
  <c r="J78" i="4" a="1"/>
  <c r="J76" i="4" a="1"/>
  <c r="K87" i="4" a="1"/>
  <c r="K88" i="4" a="1"/>
  <c r="H58" i="4" a="1"/>
  <c r="I50" i="4" a="1"/>
  <c r="J90" i="4" a="1"/>
  <c r="H72" i="4" a="1"/>
  <c r="J97" i="4" a="1"/>
  <c r="J45" i="4" a="1"/>
  <c r="H55" i="4" a="1"/>
  <c r="K45" i="4" a="1"/>
  <c r="K99" i="4" a="1"/>
  <c r="J120" i="4" a="1"/>
  <c r="H50" i="4" a="1"/>
  <c r="J81" i="4" a="1"/>
  <c r="K122" i="4" l="1"/>
  <c r="M122" i="4" s="1"/>
  <c r="K104" i="4"/>
  <c r="M104" i="4" s="1"/>
  <c r="K46" i="4"/>
  <c r="M46" i="4" s="1"/>
  <c r="J98" i="4"/>
  <c r="L98" i="4" s="1"/>
  <c r="J36" i="4"/>
  <c r="L36" i="4" s="1"/>
  <c r="K62" i="4"/>
  <c r="M62" i="4" s="1"/>
  <c r="J79" i="4"/>
  <c r="L79" i="4" s="1"/>
  <c r="J120" i="4"/>
  <c r="L120" i="4" s="1"/>
  <c r="J104" i="4"/>
  <c r="L104" i="4" s="1"/>
  <c r="J45" i="4"/>
  <c r="L45" i="4" s="1"/>
  <c r="K96" i="4"/>
  <c r="M96" i="4" s="1"/>
  <c r="K37" i="4"/>
  <c r="M37" i="4" s="1"/>
  <c r="K61" i="4"/>
  <c r="M61" i="4" s="1"/>
  <c r="K77" i="4"/>
  <c r="M77" i="4" s="1"/>
  <c r="J121" i="4"/>
  <c r="L121" i="4" s="1"/>
  <c r="K105" i="4"/>
  <c r="M105" i="4" s="1"/>
  <c r="K44" i="4"/>
  <c r="M44" i="4" s="1"/>
  <c r="J96" i="4"/>
  <c r="L96" i="4" s="1"/>
  <c r="J17" i="4"/>
  <c r="J29" i="4"/>
  <c r="L29" i="4" s="1"/>
  <c r="K78" i="4"/>
  <c r="M78" i="4" s="1"/>
  <c r="J51" i="4"/>
  <c r="J67" i="4"/>
  <c r="K45" i="4"/>
  <c r="M45" i="4" s="1"/>
  <c r="J97" i="4"/>
  <c r="L97" i="4" s="1"/>
  <c r="J20" i="4"/>
  <c r="L20" i="4" s="1"/>
  <c r="J25" i="4"/>
  <c r="L25" i="4" s="1"/>
  <c r="K79" i="4"/>
  <c r="M79" i="4" s="1"/>
  <c r="K54" i="4"/>
  <c r="M54" i="4" s="1"/>
  <c r="J71" i="4"/>
  <c r="L71" i="4" s="1"/>
  <c r="J44" i="4"/>
  <c r="L44" i="4" s="1"/>
  <c r="J95" i="4"/>
  <c r="L95" i="4" s="1"/>
  <c r="J19" i="4"/>
  <c r="L19" i="4" s="1"/>
  <c r="K29" i="4"/>
  <c r="M29" i="4" s="1"/>
  <c r="J77" i="4"/>
  <c r="L77" i="4" s="1"/>
  <c r="J54" i="4"/>
  <c r="L54" i="4" s="1"/>
  <c r="K70" i="4"/>
  <c r="M70" i="4" s="1"/>
  <c r="K114" i="4"/>
  <c r="M114" i="4" s="1"/>
  <c r="K97" i="4"/>
  <c r="M97" i="4" s="1"/>
  <c r="K17" i="4"/>
  <c r="M17" i="4" s="1"/>
  <c r="K25" i="4"/>
  <c r="M25" i="4" s="1"/>
  <c r="K80" i="4"/>
  <c r="M80" i="4" s="1"/>
  <c r="K51" i="4"/>
  <c r="M51" i="4" s="1"/>
  <c r="K67" i="4"/>
  <c r="M67" i="4" s="1"/>
  <c r="J111" i="4"/>
  <c r="K95" i="4"/>
  <c r="M95" i="4" s="1"/>
  <c r="K20" i="4"/>
  <c r="M20" i="4" s="1"/>
  <c r="J27" i="4"/>
  <c r="L27" i="4" s="1"/>
  <c r="J89" i="4"/>
  <c r="L89" i="4" s="1"/>
  <c r="J53" i="4"/>
  <c r="L53" i="4" s="1"/>
  <c r="J70" i="4"/>
  <c r="L70" i="4" s="1"/>
  <c r="J114" i="4"/>
  <c r="L114" i="4" s="1"/>
  <c r="K39" i="4"/>
  <c r="M39" i="4" s="1"/>
  <c r="J18" i="4"/>
  <c r="L18" i="4" s="1"/>
  <c r="J28" i="4"/>
  <c r="L28" i="4" s="1"/>
  <c r="J85" i="4"/>
  <c r="J52" i="4"/>
  <c r="L52" i="4" s="1"/>
  <c r="J68" i="4"/>
  <c r="L68" i="4" s="1"/>
  <c r="K111" i="4"/>
  <c r="M111" i="4" s="1"/>
  <c r="J34" i="4"/>
  <c r="L34" i="4" s="1"/>
  <c r="K18" i="4"/>
  <c r="M18" i="4" s="1"/>
  <c r="K27" i="4"/>
  <c r="M27" i="4" s="1"/>
  <c r="K85" i="4"/>
  <c r="M85" i="4" s="1"/>
  <c r="K52" i="4"/>
  <c r="M52" i="4" s="1"/>
  <c r="J69" i="4"/>
  <c r="L69" i="4" s="1"/>
  <c r="K113" i="4"/>
  <c r="M113" i="4" s="1"/>
  <c r="J38" i="4"/>
  <c r="L38" i="4" s="1"/>
  <c r="K19" i="4"/>
  <c r="M19" i="4" s="1"/>
  <c r="K28" i="4"/>
  <c r="M28" i="4" s="1"/>
  <c r="J87" i="4"/>
  <c r="L87" i="4" s="1"/>
  <c r="K53" i="4"/>
  <c r="M53" i="4" s="1"/>
  <c r="K69" i="4"/>
  <c r="M69" i="4" s="1"/>
  <c r="K112" i="4"/>
  <c r="M112" i="4" s="1"/>
  <c r="K38" i="4"/>
  <c r="M38" i="4" s="1"/>
  <c r="J62" i="4"/>
  <c r="L62" i="4" s="1"/>
  <c r="J26" i="4"/>
  <c r="L26" i="4" s="1"/>
  <c r="K88" i="4"/>
  <c r="M88" i="4" s="1"/>
  <c r="J119" i="4"/>
  <c r="L119" i="4" s="1"/>
  <c r="J106" i="4"/>
  <c r="L106" i="4" s="1"/>
  <c r="K71" i="4"/>
  <c r="M71" i="4" s="1"/>
  <c r="J113" i="4"/>
  <c r="L113" i="4" s="1"/>
  <c r="K34" i="4"/>
  <c r="M34" i="4" s="1"/>
  <c r="J59" i="4"/>
  <c r="K26" i="4"/>
  <c r="M26" i="4" s="1"/>
  <c r="J88" i="4"/>
  <c r="L88" i="4" s="1"/>
  <c r="J122" i="4"/>
  <c r="L122" i="4" s="1"/>
  <c r="K106" i="4"/>
  <c r="M106" i="4" s="1"/>
  <c r="K68" i="4"/>
  <c r="M68" i="4" s="1"/>
  <c r="J112" i="4"/>
  <c r="L112" i="4" s="1"/>
  <c r="J37" i="4"/>
  <c r="L37" i="4" s="1"/>
  <c r="K59" i="4"/>
  <c r="M59" i="4" s="1"/>
  <c r="K76" i="4"/>
  <c r="M76" i="4" s="1"/>
  <c r="K87" i="4"/>
  <c r="M87" i="4" s="1"/>
  <c r="K119" i="4"/>
  <c r="M119" i="4" s="1"/>
  <c r="K103" i="4"/>
  <c r="M103" i="4" s="1"/>
  <c r="J46" i="4"/>
  <c r="L46" i="4" s="1"/>
  <c r="K94" i="4"/>
  <c r="M94" i="4" s="1"/>
  <c r="K35" i="4"/>
  <c r="M35" i="4" s="1"/>
  <c r="K60" i="4"/>
  <c r="M60" i="4" s="1"/>
  <c r="J80" i="4"/>
  <c r="L80" i="4" s="1"/>
  <c r="K86" i="4"/>
  <c r="M86" i="4" s="1"/>
  <c r="K120" i="4"/>
  <c r="M120" i="4" s="1"/>
  <c r="J103" i="4"/>
  <c r="L103" i="4" s="1"/>
  <c r="K43" i="4"/>
  <c r="M43" i="4" s="1"/>
  <c r="J94" i="4"/>
  <c r="L94" i="4" s="1"/>
  <c r="K36" i="4"/>
  <c r="M36" i="4" s="1"/>
  <c r="J60" i="4"/>
  <c r="L60" i="4" s="1"/>
  <c r="J76" i="4"/>
  <c r="J86" i="4"/>
  <c r="L86" i="4" s="1"/>
  <c r="K121" i="4"/>
  <c r="M121" i="4" s="1"/>
  <c r="J105" i="4"/>
  <c r="L105" i="4" s="1"/>
  <c r="J43" i="4"/>
  <c r="L43" i="4" s="1"/>
  <c r="K98" i="4"/>
  <c r="M98" i="4" s="1"/>
  <c r="J35" i="4"/>
  <c r="L35" i="4" s="1"/>
  <c r="J61" i="4"/>
  <c r="L61" i="4" s="1"/>
  <c r="J78" i="4"/>
  <c r="L78" i="4" s="1"/>
  <c r="K89" i="4"/>
  <c r="M89" i="4" s="1"/>
  <c r="H115" i="4"/>
  <c r="H72" i="4"/>
  <c r="Q72" i="4"/>
  <c r="R72" i="4"/>
  <c r="I84" i="4"/>
  <c r="K115" i="4"/>
  <c r="M115" i="4" s="1"/>
  <c r="I63" i="4"/>
  <c r="K30" i="4"/>
  <c r="M30" i="4" s="1"/>
  <c r="H16" i="4"/>
  <c r="I16" i="4"/>
  <c r="K90" i="4"/>
  <c r="M90" i="4" s="1"/>
  <c r="K21" i="4"/>
  <c r="M21" i="4" s="1"/>
  <c r="I55" i="4"/>
  <c r="I24" i="4"/>
  <c r="I50" i="4"/>
  <c r="Q110" i="4"/>
  <c r="I58" i="4"/>
  <c r="I42" i="4"/>
  <c r="K99" i="4"/>
  <c r="M99" i="4" s="1"/>
  <c r="H75" i="4"/>
  <c r="K72" i="4"/>
  <c r="M72" i="4" s="1"/>
  <c r="H118" i="4"/>
  <c r="K81" i="4"/>
  <c r="M81" i="4" s="1"/>
  <c r="I66" i="4"/>
  <c r="I47" i="4"/>
  <c r="J81" i="4"/>
  <c r="L81" i="4" s="1"/>
  <c r="I93" i="4"/>
  <c r="K75" i="4"/>
  <c r="M75" i="4" s="1"/>
  <c r="K118" i="4"/>
  <c r="M118" i="4" s="1"/>
  <c r="Q33" i="4"/>
  <c r="Q75" i="4"/>
  <c r="R75" i="4"/>
  <c r="Q118" i="4"/>
  <c r="J21" i="4"/>
  <c r="L21" i="4" s="1"/>
  <c r="H110" i="4"/>
  <c r="H33" i="4"/>
  <c r="H123" i="4"/>
  <c r="H63" i="4"/>
  <c r="K110" i="4"/>
  <c r="M110" i="4" s="1"/>
  <c r="K33" i="4"/>
  <c r="M33" i="4" s="1"/>
  <c r="K123" i="4"/>
  <c r="M123" i="4" s="1"/>
  <c r="H58" i="4"/>
  <c r="H102" i="4"/>
  <c r="K102" i="4"/>
  <c r="M102" i="4" s="1"/>
  <c r="H66" i="4"/>
  <c r="J90" i="4"/>
  <c r="L90" i="4" s="1"/>
  <c r="K107" i="4"/>
  <c r="M107" i="4" s="1"/>
  <c r="H107" i="4"/>
  <c r="H42" i="4"/>
  <c r="J30" i="4"/>
  <c r="L30" i="4" s="1"/>
  <c r="H50" i="4"/>
  <c r="H93" i="4"/>
  <c r="H24" i="4"/>
  <c r="J39" i="4"/>
  <c r="L39" i="4" s="1"/>
  <c r="H47" i="4"/>
  <c r="H84" i="4"/>
  <c r="J99" i="4"/>
  <c r="L99" i="4" s="1"/>
  <c r="H55" i="4"/>
  <c r="R58" i="4"/>
  <c r="Q58" i="4"/>
  <c r="R102" i="4"/>
  <c r="Q102" i="4"/>
  <c r="R66" i="4"/>
  <c r="Q66" i="4"/>
  <c r="R107" i="4"/>
  <c r="Q107" i="4"/>
  <c r="R42" i="4"/>
  <c r="Q42" i="4"/>
  <c r="Q16" i="4"/>
  <c r="R16" i="4"/>
  <c r="R50" i="4"/>
  <c r="Q50" i="4"/>
  <c r="R93" i="4"/>
  <c r="Q93" i="4"/>
  <c r="L59" i="4"/>
  <c r="R24" i="4"/>
  <c r="Q24" i="4"/>
  <c r="R47" i="4"/>
  <c r="Q47" i="4"/>
  <c r="L85" i="4"/>
  <c r="L17" i="4"/>
  <c r="R84" i="4"/>
  <c r="Q84" i="4"/>
  <c r="L51" i="4"/>
  <c r="R55" i="4"/>
  <c r="Q55" i="4"/>
  <c r="R39" i="3"/>
  <c r="L58" i="3"/>
  <c r="N58" i="3" s="1"/>
  <c r="L75" i="3"/>
  <c r="N75" i="3" s="1"/>
  <c r="L110" i="3"/>
  <c r="N110" i="3" s="1"/>
  <c r="L84" i="3"/>
  <c r="N84" i="3" s="1"/>
  <c r="L24" i="3"/>
  <c r="N24" i="3" s="1"/>
  <c r="R72" i="3"/>
  <c r="L118" i="3"/>
  <c r="N118" i="3" s="1"/>
  <c r="R123" i="3"/>
  <c r="L21" i="3"/>
  <c r="N21" i="3" s="1"/>
  <c r="R21" i="3"/>
  <c r="J115" i="3"/>
  <c r="R115" i="3"/>
  <c r="L47" i="3"/>
  <c r="N47" i="3" s="1"/>
  <c r="L16" i="3"/>
  <c r="N16" i="3" s="1"/>
  <c r="J33" i="3"/>
  <c r="S10" i="3"/>
  <c r="T10" i="3"/>
  <c r="L72" i="3"/>
  <c r="N72" i="3" s="1"/>
  <c r="R81" i="3"/>
  <c r="M55" i="3"/>
  <c r="O55" i="3" s="1"/>
  <c r="R90" i="3"/>
  <c r="M81" i="3"/>
  <c r="O81" i="3" s="1"/>
  <c r="J55" i="3"/>
  <c r="L42" i="3"/>
  <c r="J123" i="3"/>
  <c r="M115" i="3"/>
  <c r="O115" i="3" s="1"/>
  <c r="R55" i="3"/>
  <c r="M123" i="3"/>
  <c r="O123" i="3" s="1"/>
  <c r="J66" i="3"/>
  <c r="M66" i="3"/>
  <c r="O66" i="3" s="1"/>
  <c r="J81" i="3"/>
  <c r="L99" i="3"/>
  <c r="N99" i="3" s="1"/>
  <c r="L39" i="3"/>
  <c r="N39" i="3" s="1"/>
  <c r="M33" i="3"/>
  <c r="O33" i="3" s="1"/>
  <c r="N34" i="3"/>
  <c r="N67" i="3"/>
  <c r="N119" i="3"/>
  <c r="N20" i="3"/>
  <c r="T115" i="3"/>
  <c r="S115" i="3"/>
  <c r="N111" i="3"/>
  <c r="S33" i="3"/>
  <c r="T33" i="3"/>
  <c r="N76" i="3"/>
  <c r="N85" i="3"/>
  <c r="T55" i="3"/>
  <c r="S55" i="3"/>
  <c r="T123" i="3"/>
  <c r="S123" i="3"/>
  <c r="N54" i="3"/>
  <c r="S66" i="3"/>
  <c r="T66" i="3"/>
  <c r="T81" i="3"/>
  <c r="S81" i="3"/>
  <c r="R90" i="2"/>
  <c r="R72" i="2"/>
  <c r="J84" i="2"/>
  <c r="J33" i="2"/>
  <c r="R81" i="2"/>
  <c r="J21" i="2"/>
  <c r="R63" i="2"/>
  <c r="J123" i="2"/>
  <c r="L81" i="2"/>
  <c r="N81" i="2" s="1"/>
  <c r="J118" i="2"/>
  <c r="J24" i="2"/>
  <c r="L42" i="2"/>
  <c r="M30" i="2"/>
  <c r="R107" i="2"/>
  <c r="J58" i="2"/>
  <c r="R21" i="2"/>
  <c r="M16" i="2"/>
  <c r="R123" i="2"/>
  <c r="M118" i="2"/>
  <c r="L93" i="2"/>
  <c r="N93" i="2" s="1"/>
  <c r="L39" i="2"/>
  <c r="M58" i="2"/>
  <c r="L90" i="2"/>
  <c r="R99" i="2"/>
  <c r="L66" i="2"/>
  <c r="M72" i="2"/>
  <c r="J30" i="2"/>
  <c r="R30" i="2"/>
  <c r="L75" i="2"/>
  <c r="N75" i="2" s="1"/>
  <c r="R39" i="2"/>
  <c r="M24" i="2"/>
  <c r="R55" i="2"/>
  <c r="L55" i="2"/>
  <c r="N55" i="2" s="1"/>
  <c r="M63" i="2"/>
  <c r="J63" i="2"/>
  <c r="M102" i="2"/>
  <c r="J102" i="2"/>
  <c r="L115" i="2"/>
  <c r="M84" i="2"/>
  <c r="L99" i="2"/>
  <c r="N99" i="2" s="1"/>
  <c r="J72" i="2"/>
  <c r="R115" i="2"/>
  <c r="M33" i="2"/>
  <c r="S10" i="2"/>
  <c r="T10" i="2"/>
  <c r="G7" i="2"/>
  <c r="F7" i="2"/>
  <c r="F9" i="2"/>
  <c r="F8" i="2"/>
  <c r="G8" i="2"/>
  <c r="J16" i="2"/>
  <c r="L107" i="2"/>
  <c r="M21" i="2"/>
  <c r="L110" i="2"/>
  <c r="L50" i="2"/>
  <c r="N50" i="2" s="1"/>
  <c r="M123" i="2"/>
  <c r="N85" i="2"/>
  <c r="O90" i="2"/>
  <c r="N86" i="2"/>
  <c r="N88" i="2"/>
  <c r="N87" i="2"/>
  <c r="O89" i="2"/>
  <c r="O87" i="2"/>
  <c r="O88" i="2"/>
  <c r="O85" i="2"/>
  <c r="N89" i="2"/>
  <c r="T34" i="2"/>
  <c r="S36" i="2"/>
  <c r="O84" i="2"/>
  <c r="N90" i="2"/>
  <c r="T84" i="2"/>
  <c r="T90" i="2"/>
  <c r="S85" i="2"/>
  <c r="T85" i="2"/>
  <c r="O111" i="2"/>
  <c r="S26" i="2"/>
  <c r="N26" i="2"/>
  <c r="T26" i="2"/>
  <c r="O66" i="2"/>
  <c r="T112" i="2"/>
  <c r="S112" i="2"/>
  <c r="N112" i="2"/>
  <c r="N25" i="2"/>
  <c r="S25" i="2"/>
  <c r="T25" i="2"/>
  <c r="O26" i="2"/>
  <c r="T68" i="2"/>
  <c r="S68" i="2"/>
  <c r="N68" i="2"/>
  <c r="O72" i="2"/>
  <c r="T37" i="2"/>
  <c r="S37" i="2"/>
  <c r="O112" i="2"/>
  <c r="T71" i="2"/>
  <c r="S71" i="2"/>
  <c r="N71" i="2"/>
  <c r="O27" i="2"/>
  <c r="O68" i="2"/>
  <c r="O67" i="2"/>
  <c r="T39" i="2"/>
  <c r="T113" i="2"/>
  <c r="S113" i="2"/>
  <c r="N113" i="2"/>
  <c r="S17" i="2"/>
  <c r="T17" i="2"/>
  <c r="O113" i="2"/>
  <c r="O71" i="2"/>
  <c r="S24" i="2"/>
  <c r="T24" i="2"/>
  <c r="T72" i="2"/>
  <c r="S72" i="2"/>
  <c r="T114" i="2"/>
  <c r="S114" i="2"/>
  <c r="N114" i="2"/>
  <c r="S30" i="2"/>
  <c r="T30" i="2"/>
  <c r="S66" i="2"/>
  <c r="N66" i="2"/>
  <c r="T66" i="2"/>
  <c r="O36" i="2"/>
  <c r="T115" i="2"/>
  <c r="S115" i="2"/>
  <c r="N115" i="2"/>
  <c r="S29" i="2"/>
  <c r="N29" i="2"/>
  <c r="T29" i="2"/>
  <c r="O24" i="2"/>
  <c r="O115" i="2"/>
  <c r="S67" i="2"/>
  <c r="N67" i="2"/>
  <c r="T67" i="2"/>
  <c r="T28" i="2"/>
  <c r="N28" i="2"/>
  <c r="S28" i="2"/>
  <c r="O30" i="2"/>
  <c r="T69" i="2"/>
  <c r="S69" i="2"/>
  <c r="N69" i="2"/>
  <c r="S33" i="2"/>
  <c r="T33" i="2"/>
  <c r="T38" i="2"/>
  <c r="S38" i="2"/>
  <c r="S110" i="2"/>
  <c r="N110" i="2"/>
  <c r="T110" i="2"/>
  <c r="O25" i="2"/>
  <c r="O29" i="2"/>
  <c r="S27" i="2"/>
  <c r="T27" i="2"/>
  <c r="N27" i="2"/>
  <c r="O69" i="2"/>
  <c r="S34" i="2"/>
  <c r="S111" i="2"/>
  <c r="N111" i="2"/>
  <c r="T111" i="2"/>
  <c r="N70" i="2"/>
  <c r="T70" i="2"/>
  <c r="S70" i="2"/>
  <c r="T35" i="2"/>
  <c r="S35" i="2"/>
  <c r="O114" i="2"/>
  <c r="O28" i="2"/>
  <c r="O70" i="2"/>
  <c r="O110" i="2"/>
  <c r="Q37" i="1"/>
  <c r="Q30" i="1"/>
  <c r="Q76" i="1"/>
  <c r="Q66" i="1"/>
  <c r="Q42" i="1"/>
  <c r="Q47" i="1"/>
  <c r="Q36" i="1"/>
  <c r="Q80" i="1"/>
  <c r="Q78" i="1"/>
  <c r="Q35" i="1"/>
  <c r="Q46" i="1"/>
  <c r="Q34" i="1"/>
  <c r="Q26" i="1"/>
  <c r="Q79" i="1"/>
  <c r="Q44" i="1"/>
  <c r="Q24" i="1"/>
  <c r="Q94" i="1"/>
  <c r="Q33" i="1"/>
  <c r="Q43" i="1"/>
  <c r="Q25" i="1"/>
  <c r="Q19" i="1"/>
  <c r="Q55" i="1"/>
  <c r="Q16" i="1"/>
  <c r="Q20" i="1"/>
  <c r="Q18" i="1"/>
  <c r="Q51" i="1"/>
  <c r="Q21" i="1"/>
  <c r="L72" i="1"/>
  <c r="L67" i="1"/>
  <c r="M66" i="1"/>
  <c r="M70" i="1"/>
  <c r="L66" i="1"/>
  <c r="M68" i="1"/>
  <c r="M71" i="1"/>
  <c r="M67" i="1"/>
  <c r="M72" i="1"/>
  <c r="L70" i="1"/>
  <c r="Q111" i="1"/>
  <c r="Q112" i="1"/>
  <c r="L68" i="1"/>
  <c r="Q113" i="1"/>
  <c r="M69" i="1"/>
  <c r="L71" i="1"/>
  <c r="L112" i="1"/>
  <c r="L76" i="1"/>
  <c r="L77" i="1"/>
  <c r="L78" i="1"/>
  <c r="M77" i="1"/>
  <c r="M78" i="1"/>
  <c r="L75" i="1"/>
  <c r="M76" i="1"/>
  <c r="L79" i="1"/>
  <c r="L81" i="1"/>
  <c r="M75" i="1"/>
  <c r="L80" i="1"/>
  <c r="M79" i="1"/>
  <c r="Q118" i="1"/>
  <c r="Q119" i="1"/>
  <c r="Q123" i="1"/>
  <c r="Q122" i="1"/>
  <c r="Q107" i="1"/>
  <c r="M80" i="1"/>
  <c r="L94" i="1"/>
  <c r="L59" i="1"/>
  <c r="Q62" i="1"/>
  <c r="M35" i="1"/>
  <c r="M47" i="1"/>
  <c r="L46" i="1"/>
  <c r="M33" i="1"/>
  <c r="M34" i="1"/>
  <c r="L36" i="1"/>
  <c r="M26" i="1"/>
  <c r="M46" i="1"/>
  <c r="M45" i="1"/>
  <c r="L19" i="1"/>
  <c r="L34" i="1"/>
  <c r="M39" i="1"/>
  <c r="M55" i="1"/>
  <c r="L27" i="1"/>
  <c r="Q97" i="1"/>
  <c r="M44" i="1"/>
  <c r="L28" i="1"/>
  <c r="M118" i="1"/>
  <c r="Q96" i="1"/>
  <c r="Q60" i="1"/>
  <c r="L45" i="1"/>
  <c r="L33" i="1"/>
  <c r="M24" i="1"/>
  <c r="L47" i="1"/>
  <c r="Q95" i="1"/>
  <c r="Q58" i="1"/>
  <c r="M43" i="1"/>
  <c r="L38" i="1"/>
  <c r="L24" i="1"/>
  <c r="M28" i="1"/>
  <c r="M30" i="1"/>
  <c r="L35" i="1"/>
  <c r="L39" i="1"/>
  <c r="Q63" i="1"/>
  <c r="L26" i="1"/>
  <c r="M42" i="1"/>
  <c r="L37" i="1"/>
  <c r="M29" i="1"/>
  <c r="M25" i="1"/>
  <c r="L44" i="1"/>
  <c r="M38" i="1"/>
  <c r="L29" i="1"/>
  <c r="Q59" i="1"/>
  <c r="L43" i="1"/>
  <c r="M37" i="1"/>
  <c r="Q99" i="1"/>
  <c r="L42" i="1"/>
  <c r="M36" i="1"/>
  <c r="L30" i="1"/>
  <c r="L25" i="1"/>
  <c r="Q90" i="1"/>
  <c r="Q84" i="1"/>
  <c r="L84" i="2" a="1"/>
  <c r="L63" i="2" a="1"/>
  <c r="L33" i="2" a="1"/>
  <c r="L102" i="2" a="1"/>
  <c r="L21" i="2" a="1"/>
  <c r="L123" i="2" a="1"/>
  <c r="L72" i="2" a="1"/>
  <c r="L118" i="2" a="1"/>
  <c r="L24" i="2" a="1"/>
  <c r="L30" i="2" a="1"/>
  <c r="R47" i="2" a="1"/>
  <c r="L58" i="2" a="1"/>
  <c r="L33" i="3" a="1"/>
  <c r="L81" i="3" a="1"/>
  <c r="L55" i="3" a="1"/>
  <c r="R47" i="3" a="1"/>
  <c r="L123" i="3" a="1"/>
  <c r="L115" i="3" a="1"/>
  <c r="L66" i="3" a="1"/>
  <c r="L16" i="2" a="1"/>
  <c r="G10" i="2" a="1"/>
  <c r="F10" i="2" a="1"/>
  <c r="P72" i="4" a="1"/>
  <c r="K58" i="4" a="1"/>
  <c r="J33" i="4" a="1"/>
  <c r="P107" i="4" a="1"/>
  <c r="J24" i="4" a="1"/>
  <c r="K66" i="4" a="1"/>
  <c r="P90" i="4" a="1"/>
  <c r="P30" i="4" a="1"/>
  <c r="J75" i="4" a="1"/>
  <c r="J55" i="4" a="1"/>
  <c r="J93" i="4" a="1"/>
  <c r="K24" i="4" a="1"/>
  <c r="P55" i="4" a="1"/>
  <c r="K84" i="4" a="1"/>
  <c r="K63" i="4" a="1"/>
  <c r="J66" i="4" a="1"/>
  <c r="K16" i="4" a="1"/>
  <c r="J102" i="4" a="1"/>
  <c r="K55" i="4" a="1"/>
  <c r="J42" i="4" a="1"/>
  <c r="J58" i="4" a="1"/>
  <c r="J118" i="4" a="1"/>
  <c r="K42" i="4" a="1"/>
  <c r="J84" i="4" a="1"/>
  <c r="K47" i="4" a="1"/>
  <c r="P99" i="4" a="1"/>
  <c r="P39" i="4" a="1"/>
  <c r="P21" i="4" a="1"/>
  <c r="J110" i="4" a="1"/>
  <c r="P81" i="4" a="1"/>
  <c r="J63" i="4" a="1"/>
  <c r="P63" i="4" a="1"/>
  <c r="J72" i="4" a="1"/>
  <c r="P115" i="4" a="1"/>
  <c r="J115" i="4" a="1"/>
  <c r="K93" i="4" a="1"/>
  <c r="J107" i="4" a="1"/>
  <c r="P123" i="4" a="1"/>
  <c r="J16" i="4" a="1"/>
  <c r="J50" i="4" a="1"/>
  <c r="J123" i="4" a="1"/>
  <c r="J47" i="4" a="1"/>
  <c r="K50" i="4" a="1"/>
  <c r="P123" i="4" l="1"/>
  <c r="P115" i="4"/>
  <c r="P81" i="4"/>
  <c r="P39" i="4"/>
  <c r="P30" i="4"/>
  <c r="P99" i="4"/>
  <c r="P90" i="4"/>
  <c r="P107" i="4"/>
  <c r="P72" i="4"/>
  <c r="P55" i="4"/>
  <c r="P63" i="4"/>
  <c r="P21" i="4"/>
  <c r="L111" i="4"/>
  <c r="L67" i="4"/>
  <c r="L76" i="4"/>
  <c r="J115" i="4"/>
  <c r="L115" i="4" s="1"/>
  <c r="J72" i="4"/>
  <c r="L72" i="4" s="1"/>
  <c r="K50" i="4"/>
  <c r="M50" i="4" s="1"/>
  <c r="K24" i="4"/>
  <c r="M24" i="4" s="1"/>
  <c r="K55" i="4"/>
  <c r="M55" i="4" s="1"/>
  <c r="K16" i="4"/>
  <c r="M16" i="4" s="1"/>
  <c r="J16" i="4"/>
  <c r="L16" i="4" s="1"/>
  <c r="K63" i="4"/>
  <c r="M63" i="4" s="1"/>
  <c r="K84" i="4"/>
  <c r="M84" i="4" s="1"/>
  <c r="J118" i="4"/>
  <c r="L118" i="4" s="1"/>
  <c r="K93" i="4"/>
  <c r="M93" i="4" s="1"/>
  <c r="K47" i="4"/>
  <c r="M47" i="4" s="1"/>
  <c r="K66" i="4"/>
  <c r="M66" i="4" s="1"/>
  <c r="J75" i="4"/>
  <c r="L75" i="4" s="1"/>
  <c r="K42" i="4"/>
  <c r="M42" i="4" s="1"/>
  <c r="K58" i="4"/>
  <c r="M58" i="4" s="1"/>
  <c r="J63" i="4"/>
  <c r="L63" i="4" s="1"/>
  <c r="J123" i="4"/>
  <c r="L123" i="4" s="1"/>
  <c r="J33" i="4"/>
  <c r="L33" i="4" s="1"/>
  <c r="J110" i="4"/>
  <c r="L110" i="4" s="1"/>
  <c r="J55" i="4"/>
  <c r="L55" i="4" s="1"/>
  <c r="J47" i="4"/>
  <c r="L47" i="4" s="1"/>
  <c r="J42" i="4"/>
  <c r="J107" i="4"/>
  <c r="L107" i="4" s="1"/>
  <c r="J84" i="4"/>
  <c r="L84" i="4" s="1"/>
  <c r="J24" i="4"/>
  <c r="L24" i="4" s="1"/>
  <c r="J66" i="4"/>
  <c r="L66" i="4" s="1"/>
  <c r="J102" i="4"/>
  <c r="L102" i="4" s="1"/>
  <c r="J93" i="4"/>
  <c r="L93" i="4" s="1"/>
  <c r="J50" i="4"/>
  <c r="L50" i="4" s="1"/>
  <c r="J58" i="4"/>
  <c r="L58" i="4" s="1"/>
  <c r="L66" i="3"/>
  <c r="N66" i="3" s="1"/>
  <c r="L115" i="3"/>
  <c r="N115" i="3" s="1"/>
  <c r="L123" i="3"/>
  <c r="N123" i="3" s="1"/>
  <c r="R47" i="3"/>
  <c r="L55" i="3"/>
  <c r="N55" i="3" s="1"/>
  <c r="L81" i="3"/>
  <c r="N81" i="3" s="1"/>
  <c r="L33" i="3"/>
  <c r="N33" i="3" s="1"/>
  <c r="N42" i="3"/>
  <c r="F10" i="2"/>
  <c r="L58" i="2"/>
  <c r="G10" i="2"/>
  <c r="R47" i="2"/>
  <c r="L30" i="2"/>
  <c r="N30" i="2" s="1"/>
  <c r="L24" i="2"/>
  <c r="N24" i="2" s="1"/>
  <c r="L118" i="2"/>
  <c r="L72" i="2"/>
  <c r="N72" i="2" s="1"/>
  <c r="L123" i="2"/>
  <c r="L21" i="2"/>
  <c r="L102" i="2"/>
  <c r="L33" i="2"/>
  <c r="L16" i="2"/>
  <c r="N16" i="2" s="1"/>
  <c r="L63" i="2"/>
  <c r="L84" i="2"/>
  <c r="N84" i="2" s="1"/>
  <c r="N42" i="2"/>
  <c r="T16" i="2"/>
  <c r="H7" i="2"/>
  <c r="S20" i="2"/>
  <c r="T18" i="2"/>
  <c r="T19" i="2"/>
  <c r="S19" i="2"/>
  <c r="S18" i="2"/>
  <c r="S16" i="2"/>
  <c r="O37" i="2"/>
  <c r="N39" i="2"/>
  <c r="O35" i="2"/>
  <c r="O33" i="2"/>
  <c r="N37" i="2"/>
  <c r="N35" i="2"/>
  <c r="O34" i="2"/>
  <c r="O39" i="2"/>
  <c r="N34" i="2"/>
  <c r="N38" i="2"/>
  <c r="O38" i="2"/>
  <c r="N33" i="2"/>
  <c r="T20" i="2"/>
  <c r="S39" i="2"/>
  <c r="T36" i="2"/>
  <c r="N36" i="2"/>
  <c r="N19" i="2"/>
  <c r="O19" i="2"/>
  <c r="N18" i="2"/>
  <c r="O16" i="2"/>
  <c r="T21" i="2"/>
  <c r="S21" i="2"/>
  <c r="O102" i="2"/>
  <c r="N60" i="2"/>
  <c r="T60" i="2"/>
  <c r="S60" i="2"/>
  <c r="T123" i="2"/>
  <c r="S123" i="2"/>
  <c r="N123" i="2"/>
  <c r="T103" i="2"/>
  <c r="S103" i="2"/>
  <c r="N103" i="2"/>
  <c r="T61" i="2"/>
  <c r="N61" i="2"/>
  <c r="S61" i="2"/>
  <c r="O123" i="2"/>
  <c r="N59" i="2"/>
  <c r="T59" i="2"/>
  <c r="S59" i="2"/>
  <c r="T118" i="2"/>
  <c r="S118" i="2"/>
  <c r="N118" i="2"/>
  <c r="O103" i="2"/>
  <c r="O118" i="2"/>
  <c r="O59" i="2"/>
  <c r="O104" i="2"/>
  <c r="O61" i="2"/>
  <c r="T119" i="2"/>
  <c r="S119" i="2"/>
  <c r="N119" i="2"/>
  <c r="N104" i="2"/>
  <c r="T104" i="2"/>
  <c r="S104" i="2"/>
  <c r="S62" i="2"/>
  <c r="T62" i="2"/>
  <c r="N62" i="2"/>
  <c r="O119" i="2"/>
  <c r="T102" i="2"/>
  <c r="S102" i="2"/>
  <c r="N102" i="2"/>
  <c r="N105" i="2"/>
  <c r="T105" i="2"/>
  <c r="S105" i="2"/>
  <c r="O60" i="2"/>
  <c r="T120" i="2"/>
  <c r="S120" i="2"/>
  <c r="N120" i="2"/>
  <c r="O105" i="2"/>
  <c r="O62" i="2"/>
  <c r="O120" i="2"/>
  <c r="N106" i="2"/>
  <c r="T106" i="2"/>
  <c r="S106" i="2"/>
  <c r="S63" i="2"/>
  <c r="T63" i="2"/>
  <c r="N63" i="2"/>
  <c r="T121" i="2"/>
  <c r="S121" i="2"/>
  <c r="N121" i="2"/>
  <c r="O106" i="2"/>
  <c r="O121" i="2"/>
  <c r="O63" i="2"/>
  <c r="N107" i="2"/>
  <c r="T107" i="2"/>
  <c r="S107" i="2"/>
  <c r="T122" i="2"/>
  <c r="S122" i="2"/>
  <c r="N122" i="2"/>
  <c r="N58" i="2"/>
  <c r="T58" i="2"/>
  <c r="S58" i="2"/>
  <c r="O107" i="2"/>
  <c r="O58" i="2"/>
  <c r="O122" i="2"/>
  <c r="Q88" i="1"/>
  <c r="Q93" i="1"/>
  <c r="Q85" i="1"/>
  <c r="Q114" i="1"/>
  <c r="Q89" i="1"/>
  <c r="Q17" i="1"/>
  <c r="Q121" i="1"/>
  <c r="Q98" i="1"/>
  <c r="Q52" i="1"/>
  <c r="Q87" i="1"/>
  <c r="Q106" i="1"/>
  <c r="Q110" i="1"/>
  <c r="Q53" i="1"/>
  <c r="Q102" i="1"/>
  <c r="Q105" i="1"/>
  <c r="Q86" i="1"/>
  <c r="Q104" i="1"/>
  <c r="Q120" i="1"/>
  <c r="Q50" i="1"/>
  <c r="Q103" i="1"/>
  <c r="Q61" i="1"/>
  <c r="Q115" i="1"/>
  <c r="Q54" i="1"/>
  <c r="L54" i="1"/>
  <c r="L20" i="1"/>
  <c r="M51" i="1"/>
  <c r="L16" i="1"/>
  <c r="M21" i="1"/>
  <c r="L52" i="1"/>
  <c r="L17" i="1"/>
  <c r="M16" i="1"/>
  <c r="M52" i="1"/>
  <c r="L53" i="1"/>
  <c r="M17" i="1"/>
  <c r="L55" i="1"/>
  <c r="L18" i="1"/>
  <c r="M19" i="1"/>
  <c r="L50" i="1"/>
  <c r="M50" i="1"/>
  <c r="M53" i="1"/>
  <c r="L21" i="1"/>
  <c r="M54" i="1"/>
  <c r="L51" i="1"/>
  <c r="M20" i="1"/>
  <c r="M18" i="1"/>
  <c r="M115" i="1"/>
  <c r="L114" i="1"/>
  <c r="M110" i="1"/>
  <c r="L111" i="1"/>
  <c r="M114" i="1"/>
  <c r="M113" i="1"/>
  <c r="L110" i="1"/>
  <c r="M111" i="1"/>
  <c r="L113" i="1"/>
  <c r="L115" i="1"/>
  <c r="M112" i="1"/>
  <c r="M120" i="1"/>
  <c r="L121" i="1"/>
  <c r="M123" i="1"/>
  <c r="M122" i="1"/>
  <c r="L123" i="1"/>
  <c r="L119" i="1"/>
  <c r="L118" i="1"/>
  <c r="M119" i="1"/>
  <c r="L120" i="1"/>
  <c r="M121" i="1"/>
  <c r="M102" i="1"/>
  <c r="L107" i="1"/>
  <c r="M107" i="1"/>
  <c r="M106" i="1"/>
  <c r="M103" i="1"/>
  <c r="L122" i="1"/>
  <c r="L106" i="1"/>
  <c r="M105" i="1"/>
  <c r="L105" i="1"/>
  <c r="L104" i="1"/>
  <c r="L102" i="1"/>
  <c r="L103" i="1"/>
  <c r="M104" i="1"/>
  <c r="M93" i="1"/>
  <c r="L87" i="1"/>
  <c r="M58" i="1"/>
  <c r="L95" i="1"/>
  <c r="M87" i="1"/>
  <c r="M95" i="1"/>
  <c r="M63" i="1"/>
  <c r="L99" i="1"/>
  <c r="M85" i="1"/>
  <c r="L60" i="1"/>
  <c r="M86" i="1"/>
  <c r="L86" i="1"/>
  <c r="M96" i="1"/>
  <c r="M84" i="1"/>
  <c r="L96" i="1"/>
  <c r="M62" i="1"/>
  <c r="L85" i="1"/>
  <c r="L93" i="1"/>
  <c r="L63" i="1"/>
  <c r="L61" i="1"/>
  <c r="M99" i="1"/>
  <c r="L84" i="1"/>
  <c r="L90" i="1"/>
  <c r="M90" i="1"/>
  <c r="L89" i="1"/>
  <c r="M94" i="1"/>
  <c r="M60" i="1"/>
  <c r="M61" i="1"/>
  <c r="M98" i="1"/>
  <c r="M89" i="1"/>
  <c r="M59" i="1"/>
  <c r="M88" i="1"/>
  <c r="M97" i="1"/>
  <c r="L97" i="1"/>
  <c r="L88" i="1"/>
  <c r="L98" i="1"/>
  <c r="L58" i="1"/>
  <c r="L62" i="1"/>
  <c r="I7" i="2" a="1"/>
  <c r="J7" i="2" a="1"/>
  <c r="P47" i="4" a="1"/>
  <c r="P47" i="4" l="1"/>
  <c r="L42" i="4"/>
  <c r="J7" i="2"/>
  <c r="I7" i="2"/>
  <c r="O21" i="2"/>
  <c r="O17" i="2"/>
  <c r="O18" i="2"/>
  <c r="N17" i="2"/>
  <c r="N21" i="2"/>
  <c r="O20" i="2"/>
  <c r="N20" i="2"/>
  <c r="H8" i="2"/>
  <c r="R118" i="1"/>
  <c r="R110" i="1"/>
  <c r="R104" i="1"/>
  <c r="R102" i="1"/>
  <c r="R93" i="1"/>
  <c r="R84" i="1"/>
  <c r="R75" i="1"/>
  <c r="R70" i="1"/>
  <c r="R66" i="1"/>
  <c r="R61" i="1"/>
  <c r="R58" i="1"/>
  <c r="R50" i="1"/>
  <c r="R44" i="1"/>
  <c r="R42" i="1"/>
  <c r="R33" i="1"/>
  <c r="R24" i="1"/>
  <c r="R21" i="1"/>
  <c r="R20" i="1"/>
  <c r="R19" i="1"/>
  <c r="R17" i="1"/>
  <c r="R16" i="1"/>
  <c r="I8" i="2" a="1"/>
  <c r="I8" i="2" l="1"/>
  <c r="I9" i="2"/>
  <c r="R87" i="1"/>
  <c r="R112" i="1"/>
  <c r="R53" i="1"/>
  <c r="R54" i="1"/>
  <c r="R78" i="1"/>
  <c r="R95" i="1"/>
  <c r="R71" i="1"/>
  <c r="R88" i="1"/>
  <c r="R105" i="1"/>
  <c r="R122" i="1"/>
  <c r="R27" i="1"/>
  <c r="R36" i="1"/>
  <c r="R37" i="1"/>
  <c r="R121" i="1"/>
  <c r="R25" i="1"/>
  <c r="R59" i="1"/>
  <c r="R76" i="1"/>
  <c r="R99" i="1"/>
  <c r="R38" i="1"/>
  <c r="R55" i="1"/>
  <c r="R72" i="1"/>
  <c r="R89" i="1"/>
  <c r="R106" i="1"/>
  <c r="R123" i="1"/>
  <c r="R39" i="1"/>
  <c r="R67" i="1"/>
  <c r="R90" i="1"/>
  <c r="R107" i="1"/>
  <c r="R34" i="1"/>
  <c r="R51" i="1"/>
  <c r="R68" i="1"/>
  <c r="R85" i="1"/>
  <c r="R26" i="1"/>
  <c r="R43" i="1"/>
  <c r="R60" i="1"/>
  <c r="R77" i="1"/>
  <c r="R94" i="1"/>
  <c r="R30" i="1"/>
  <c r="R47" i="1"/>
  <c r="R81" i="1"/>
  <c r="R98" i="1"/>
  <c r="R115" i="1"/>
  <c r="R111" i="1"/>
  <c r="R18" i="1"/>
  <c r="R35" i="1"/>
  <c r="R52" i="1"/>
  <c r="R69" i="1"/>
  <c r="R86" i="1"/>
  <c r="R103" i="1"/>
  <c r="R120" i="1"/>
  <c r="R28" i="1"/>
  <c r="R45" i="1"/>
  <c r="R62" i="1"/>
  <c r="R79" i="1"/>
  <c r="R96" i="1"/>
  <c r="R113" i="1"/>
  <c r="R29" i="1"/>
  <c r="R46" i="1"/>
  <c r="R63" i="1"/>
  <c r="R80" i="1"/>
  <c r="R97" i="1"/>
  <c r="R114" i="1"/>
  <c r="R119" i="1"/>
  <c r="J8" i="2" a="1"/>
  <c r="J9" i="2" a="1"/>
  <c r="J9" i="2" l="1"/>
  <c r="J8" i="2"/>
  <c r="J10" i="2" a="1"/>
  <c r="J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Duijndam, Bart PM GSNL-PTU/E/S</author>
  </authors>
  <commentList>
    <comment ref="O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Duijndam, Bart PM GSNL-PTU/E/S:</t>
        </r>
        <r>
          <rPr>
            <sz val="9"/>
            <color indexed="81"/>
            <rFont val="Tahoma"/>
            <family val="2"/>
          </rPr>
          <t xml:space="preserve">
deg clockwise from North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Duijndam, Bart PM GSNL-PTU/E/S</author>
  </authors>
  <commentList>
    <comment ref="Q15" authorId="0" shapeId="0" xr:uid="{A5E163C2-5C2E-486A-90E6-A0A95691B56C}">
      <text>
        <r>
          <rPr>
            <b/>
            <sz val="9"/>
            <color indexed="81"/>
            <rFont val="Tahoma"/>
            <family val="2"/>
          </rPr>
          <t>Duijndam, Bart PM GSNL-PTU/E/S:</t>
        </r>
        <r>
          <rPr>
            <sz val="9"/>
            <color indexed="81"/>
            <rFont val="Tahoma"/>
            <family val="2"/>
          </rPr>
          <t xml:space="preserve">
deg clockwise from North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Duijndam, Bart PM GSNL-PTU/E/S</author>
  </authors>
  <commentList>
    <comment ref="Q15" authorId="0" shapeId="0" xr:uid="{C301332E-244C-450E-9D63-CE128C0BA861}">
      <text>
        <r>
          <rPr>
            <b/>
            <sz val="9"/>
            <color indexed="81"/>
            <rFont val="Tahoma"/>
            <family val="2"/>
          </rPr>
          <t>Duijndam, Bart PM GSNL-PTU/E/S:</t>
        </r>
        <r>
          <rPr>
            <sz val="9"/>
            <color indexed="81"/>
            <rFont val="Tahoma"/>
            <family val="2"/>
          </rPr>
          <t xml:space="preserve">
deg clockwise from North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Duijndam, Bart PM GSNL-PTU/E/S</author>
  </authors>
  <commentList>
    <comment ref="O15" authorId="0" shapeId="0" xr:uid="{6464D326-AF22-41BB-8440-AA32FF404BE2}">
      <text>
        <r>
          <rPr>
            <b/>
            <sz val="9"/>
            <color indexed="81"/>
            <rFont val="Tahoma"/>
            <family val="2"/>
          </rPr>
          <t>Duijndam, Bart PM GSNL-PTU/E/S:</t>
        </r>
        <r>
          <rPr>
            <sz val="9"/>
            <color indexed="81"/>
            <rFont val="Tahoma"/>
            <family val="2"/>
          </rPr>
          <t xml:space="preserve">
deg clockwise from North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<sst xmlns="http://schemas.openxmlformats.org/spreadsheetml/2006/main" count="880" uniqueCount="146">
  <si>
    <t xml:space="preserve"> </t>
  </si>
  <si>
    <t>|R|</t>
  </si>
  <si>
    <t>Phi</t>
  </si>
  <si>
    <t>Easting</t>
  </si>
  <si>
    <t>Northing</t>
  </si>
  <si>
    <t>SP-taper-in/out</t>
  </si>
  <si>
    <t>[m]</t>
  </si>
  <si>
    <t>End-point</t>
  </si>
  <si>
    <t>Start- point</t>
  </si>
  <si>
    <t>Start-point</t>
  </si>
  <si>
    <t>Mid-point</t>
  </si>
  <si>
    <t>Total m</t>
  </si>
  <si>
    <t>FM</t>
  </si>
  <si>
    <t>RP-taper-in/out</t>
  </si>
  <si>
    <t>Total SP</t>
  </si>
  <si>
    <t>Long</t>
  </si>
  <si>
    <t>Lat</t>
  </si>
  <si>
    <t>EPSG  definition</t>
  </si>
  <si>
    <t>&lt;?xml version="1.0" ?&gt;&lt;gpx xmlns="http://www.topografix.com/GPX/1/1" xmlns:xsi="http://www.w3.org/2001/XMLSchema-instance" xsi:schemaLocation="http://www.topografix.com/GPX/1/1 http://www.topografix.com/GPX/1/1/gpx.xsd" version="1.1" creator="GPS Data Team ( http://www.gps-data-team.com )"&gt;</t>
  </si>
  <si>
    <t>&lt;/gpx&gt;</t>
  </si>
  <si>
    <t>&lt;Style id="track001"&gt;&lt;LineStyle&gt;&lt;color&gt;96ff00d5&lt;/color&gt;&lt;width&gt;3.0&lt;/width&gt;&lt;/LineStyle&gt;&lt;/Style&gt;</t>
  </si>
  <si>
    <t>&lt;/coordinates&gt;&lt;/LineString&gt;&lt;/MultiGeometry&gt;&lt;/Placemark&gt;</t>
  </si>
  <si>
    <t>&lt;/Document&gt;&lt;/kml&gt;</t>
  </si>
  <si>
    <t>&lt;?xml version="1.0" encoding="UTF-8"?&gt;&lt;kml xmlns="http://www.opengis.net/kml/2.2" xmlns:gx="http://www.google.com/kml/ext/2.2" xmlns:atom="http://www.w3.org/2005/Atom"&gt;&lt;Document&gt;&lt;atom:author&gt;&lt;atom:name&gt;Bart Duijndam&lt;/atom:name&gt;&lt;/atom:author&gt;</t>
  </si>
  <si>
    <t>Alb'87 GK Z4 EPSG:</t>
  </si>
  <si>
    <t>WGS' 84 EPSG:</t>
  </si>
  <si>
    <t>Description</t>
  </si>
  <si>
    <t>EPSG Code</t>
  </si>
  <si>
    <t>Proj4 CRS Description string</t>
  </si>
  <si>
    <t>Comment</t>
  </si>
  <si>
    <t>A_001</t>
  </si>
  <si>
    <t>A_002</t>
  </si>
  <si>
    <t>B_008</t>
  </si>
  <si>
    <t>B_009</t>
  </si>
  <si>
    <t>B_010</t>
  </si>
  <si>
    <t>D_011</t>
  </si>
  <si>
    <t>D_012</t>
  </si>
  <si>
    <t>D_013</t>
  </si>
  <si>
    <t>D_014</t>
  </si>
  <si>
    <t>D_015</t>
  </si>
  <si>
    <t>D_016</t>
  </si>
  <si>
    <t>D_017</t>
  </si>
  <si>
    <t>deltaLong</t>
  </si>
  <si>
    <t>deltaLat</t>
  </si>
  <si>
    <t>KML</t>
  </si>
  <si>
    <t>GPX</t>
  </si>
  <si>
    <t>A_003</t>
  </si>
  <si>
    <t>line 1</t>
  </si>
  <si>
    <t>Line 2</t>
  </si>
  <si>
    <t>Line 3</t>
  </si>
  <si>
    <t>Line 4</t>
  </si>
  <si>
    <t>Line 5</t>
  </si>
  <si>
    <t>Line 6</t>
  </si>
  <si>
    <t>Line 7</t>
  </si>
  <si>
    <t>Line 19</t>
  </si>
  <si>
    <t>Line 20</t>
  </si>
  <si>
    <t>Line 21</t>
  </si>
  <si>
    <t>Line 22</t>
  </si>
  <si>
    <t>Line 23</t>
  </si>
  <si>
    <t>Line 24</t>
  </si>
  <si>
    <t>Line 25</t>
  </si>
  <si>
    <t>Line 28</t>
  </si>
  <si>
    <t>Line 29</t>
  </si>
  <si>
    <t>Line 30</t>
  </si>
  <si>
    <t>Line 31</t>
  </si>
  <si>
    <t>Line 32</t>
  </si>
  <si>
    <t>Line 33</t>
  </si>
  <si>
    <t>Line 36</t>
  </si>
  <si>
    <t>Line 37</t>
  </si>
  <si>
    <t>Line 38</t>
  </si>
  <si>
    <t>Line 39</t>
  </si>
  <si>
    <t>Line 40</t>
  </si>
  <si>
    <t>Line 41</t>
  </si>
  <si>
    <t>Line 44</t>
  </si>
  <si>
    <t>Line 45</t>
  </si>
  <si>
    <t>Line 46</t>
  </si>
  <si>
    <t>Line 47</t>
  </si>
  <si>
    <t>Line 48</t>
  </si>
  <si>
    <t>Line 49</t>
  </si>
  <si>
    <t>Line 52</t>
  </si>
  <si>
    <t>Line 53</t>
  </si>
  <si>
    <t>Line 54</t>
  </si>
  <si>
    <t>Line 55</t>
  </si>
  <si>
    <t>Line 56</t>
  </si>
  <si>
    <t>Line 57</t>
  </si>
  <si>
    <t>Line 58</t>
  </si>
  <si>
    <t>Line 61</t>
  </si>
  <si>
    <t>Line 62</t>
  </si>
  <si>
    <t>Line 63</t>
  </si>
  <si>
    <t>Line 64</t>
  </si>
  <si>
    <t>Line 65</t>
  </si>
  <si>
    <t>Line 66</t>
  </si>
  <si>
    <t>Line 67</t>
  </si>
  <si>
    <t>Line 70</t>
  </si>
  <si>
    <t>Line 71</t>
  </si>
  <si>
    <t>Line 72</t>
  </si>
  <si>
    <t>Line 73</t>
  </si>
  <si>
    <t>Line 74</t>
  </si>
  <si>
    <t>Line 75</t>
  </si>
  <si>
    <t>Line 76</t>
  </si>
  <si>
    <t>Line 79</t>
  </si>
  <si>
    <t>Line 80</t>
  </si>
  <si>
    <t>Line 81</t>
  </si>
  <si>
    <t>Line 82</t>
  </si>
  <si>
    <t>Line 83</t>
  </si>
  <si>
    <t>Line 84</t>
  </si>
  <si>
    <t>Line 85</t>
  </si>
  <si>
    <t>Line 88</t>
  </si>
  <si>
    <t>Line 89</t>
  </si>
  <si>
    <t>Line 90</t>
  </si>
  <si>
    <t>Line 91</t>
  </si>
  <si>
    <t>Line 92</t>
  </si>
  <si>
    <t>Line 93</t>
  </si>
  <si>
    <t>Line 96</t>
  </si>
  <si>
    <t>Line 97</t>
  </si>
  <si>
    <t>Line 98</t>
  </si>
  <si>
    <t>Line 99</t>
  </si>
  <si>
    <t>Line 100</t>
  </si>
  <si>
    <t>Line 101</t>
  </si>
  <si>
    <t>Line 104</t>
  </si>
  <si>
    <t>Line 105</t>
  </si>
  <si>
    <t>Line 106</t>
  </si>
  <si>
    <t>Line 107</t>
  </si>
  <si>
    <t>Line 108</t>
  </si>
  <si>
    <t>Line 109</t>
  </si>
  <si>
    <t>Comment 1</t>
  </si>
  <si>
    <t>Description 1</t>
  </si>
  <si>
    <t>Line # in table</t>
  </si>
  <si>
    <t>Random elev</t>
  </si>
  <si>
    <t>KML-string</t>
  </si>
  <si>
    <t>GPX-string</t>
  </si>
  <si>
    <t>Comment 2</t>
  </si>
  <si>
    <t>Description 2</t>
  </si>
  <si>
    <t>line 2</t>
  </si>
  <si>
    <t>SharpProj version</t>
  </si>
  <si>
    <t>CRS Name</t>
  </si>
  <si>
    <t>Geodetic CRS Name</t>
  </si>
  <si>
    <t>Geodetic CRS Type</t>
  </si>
  <si>
    <t>CRS As Json String</t>
  </si>
  <si>
    <t>ProjExcel Version:</t>
  </si>
  <si>
    <t>Transform options</t>
  </si>
  <si>
    <t xml:space="preserve"> CRS is deprecated</t>
  </si>
  <si>
    <t>Source Crs</t>
  </si>
  <si>
    <t>Target Crs</t>
  </si>
  <si>
    <t>NAD27 / Alaska Albers</t>
  </si>
  <si>
    <t>WGS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</si>
</sst>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0000"/>
    <numFmt numFmtId="165" formatCode="#,##0.0000000"/>
    <numFmt numFmtId="166" formatCode="0.000000000"/>
    <numFmt numFmtId="167" formatCode="#,##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ourier New"/>
      <family val="3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A31515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10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259">
    <xf numFmtId="0" fontId="0" fillId="0" borderId="0" xfId="0"/>
    <xf numFmtId="2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right" indent="2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" fontId="1" fillId="3" borderId="0" xfId="1" applyNumberFormat="1" applyAlignment="1">
      <alignment horizontal="right" indent="1"/>
    </xf>
    <xf numFmtId="2" fontId="3" fillId="2" borderId="0" xfId="0" applyNumberFormat="1" applyFont="1" applyFill="1" applyAlignment="1">
      <alignment horizontal="right" indent="1"/>
    </xf>
    <xf numFmtId="3" fontId="0" fillId="5" borderId="6" xfId="0" applyNumberFormat="1" applyFill="1" applyBorder="1" applyAlignment="1">
      <alignment horizontal="right" indent="1"/>
    </xf>
    <xf numFmtId="3" fontId="0" fillId="5" borderId="8" xfId="0" applyNumberFormat="1" applyFill="1" applyBorder="1" applyAlignment="1">
      <alignment horizontal="right" indent="1"/>
    </xf>
    <xf numFmtId="3" fontId="5" fillId="5" borderId="11" xfId="0" applyNumberFormat="1" applyFont="1" applyFill="1" applyBorder="1" applyAlignment="1">
      <alignment horizontal="right" indent="1"/>
    </xf>
    <xf numFmtId="0" fontId="2" fillId="3" borderId="5" xfId="1" applyFont="1" applyBorder="1"/>
    <xf numFmtId="0" fontId="0" fillId="6" borderId="12" xfId="0" applyFill="1" applyBorder="1"/>
    <xf numFmtId="0" fontId="0" fillId="6" borderId="13" xfId="0" applyFill="1" applyBorder="1"/>
    <xf numFmtId="3" fontId="5" fillId="5" borderId="8" xfId="0" applyNumberFormat="1" applyFont="1" applyFill="1" applyBorder="1" applyAlignment="1">
      <alignment horizontal="right" indent="1"/>
    </xf>
    <xf numFmtId="0" fontId="5" fillId="8" borderId="14" xfId="0" applyFont="1" applyFill="1" applyBorder="1"/>
    <xf numFmtId="0" fontId="0" fillId="8" borderId="15" xfId="0" applyFill="1" applyBorder="1"/>
    <xf numFmtId="0" fontId="5" fillId="8" borderId="16" xfId="0" applyFont="1" applyFill="1" applyBorder="1"/>
    <xf numFmtId="2" fontId="1" fillId="3" borderId="11" xfId="1" applyNumberFormat="1" applyBorder="1" applyAlignment="1">
      <alignment horizontal="right" indent="1"/>
    </xf>
    <xf numFmtId="0" fontId="4" fillId="2" borderId="5" xfId="0" applyFont="1" applyFill="1" applyBorder="1"/>
    <xf numFmtId="2" fontId="3" fillId="2" borderId="11" xfId="0" applyNumberFormat="1" applyFont="1" applyFill="1" applyBorder="1" applyAlignment="1">
      <alignment horizontal="right" indent="1"/>
    </xf>
    <xf numFmtId="0" fontId="0" fillId="6" borderId="5" xfId="0" applyFill="1" applyBorder="1" applyAlignment="1">
      <alignment horizontal="center"/>
    </xf>
    <xf numFmtId="0" fontId="8" fillId="8" borderId="15" xfId="0" applyFont="1" applyFill="1" applyBorder="1"/>
    <xf numFmtId="0" fontId="0" fillId="2" borderId="0" xfId="0" applyFill="1"/>
    <xf numFmtId="0" fontId="0" fillId="9" borderId="0" xfId="0" applyFill="1"/>
    <xf numFmtId="3" fontId="9" fillId="8" borderId="17" xfId="0" applyNumberFormat="1" applyFont="1" applyFill="1" applyBorder="1" applyAlignment="1">
      <alignment horizontal="right" indent="1"/>
    </xf>
    <xf numFmtId="2" fontId="0" fillId="5" borderId="6" xfId="0" applyNumberFormat="1" applyFill="1" applyBorder="1" applyAlignment="1">
      <alignment horizontal="right" indent="1"/>
    </xf>
    <xf numFmtId="2" fontId="0" fillId="5" borderId="7" xfId="0" applyNumberFormat="1" applyFill="1" applyBorder="1" applyAlignment="1">
      <alignment horizontal="right" indent="1"/>
    </xf>
    <xf numFmtId="2" fontId="1" fillId="3" borderId="3" xfId="1" applyNumberFormat="1" applyBorder="1" applyAlignment="1">
      <alignment horizontal="right" indent="1"/>
    </xf>
    <xf numFmtId="2" fontId="0" fillId="5" borderId="8" xfId="0" applyNumberFormat="1" applyFill="1" applyBorder="1" applyAlignment="1">
      <alignment horizontal="right" indent="1"/>
    </xf>
    <xf numFmtId="2" fontId="0" fillId="5" borderId="9" xfId="0" applyNumberFormat="1" applyFill="1" applyBorder="1" applyAlignment="1">
      <alignment horizontal="right" indent="1"/>
    </xf>
    <xf numFmtId="2" fontId="0" fillId="8" borderId="17" xfId="0" applyNumberFormat="1" applyFill="1" applyBorder="1" applyAlignment="1">
      <alignment horizontal="right" indent="1"/>
    </xf>
    <xf numFmtId="2" fontId="8" fillId="8" borderId="15" xfId="0" applyNumberFormat="1" applyFont="1" applyFill="1" applyBorder="1"/>
    <xf numFmtId="2" fontId="0" fillId="8" borderId="15" xfId="0" applyNumberFormat="1" applyFill="1" applyBorder="1"/>
    <xf numFmtId="3" fontId="5" fillId="5" borderId="10" xfId="0" applyNumberFormat="1" applyFont="1" applyFill="1" applyBorder="1" applyAlignment="1">
      <alignment horizontal="right" indent="1"/>
    </xf>
    <xf numFmtId="0" fontId="0" fillId="6" borderId="9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2" fontId="0" fillId="5" borderId="11" xfId="0" applyNumberFormat="1" applyFill="1" applyBorder="1" applyAlignment="1">
      <alignment horizontal="right" indent="1"/>
    </xf>
    <xf numFmtId="2" fontId="0" fillId="5" borderId="3" xfId="0" applyNumberFormat="1" applyFill="1" applyBorder="1" applyAlignment="1">
      <alignment horizontal="right" indent="1"/>
    </xf>
    <xf numFmtId="3" fontId="0" fillId="5" borderId="11" xfId="0" applyNumberFormat="1" applyFill="1" applyBorder="1" applyAlignment="1">
      <alignment horizontal="right" indent="1"/>
    </xf>
    <xf numFmtId="0" fontId="0" fillId="8" borderId="0" xfId="0" applyFill="1"/>
    <xf numFmtId="0" fontId="0" fillId="6" borderId="18" xfId="0" applyFill="1" applyBorder="1"/>
    <xf numFmtId="0" fontId="9" fillId="8" borderId="0" xfId="0" applyFont="1" applyFill="1"/>
    <xf numFmtId="0" fontId="5" fillId="6" borderId="13" xfId="0" applyFont="1" applyFill="1" applyBorder="1"/>
    <xf numFmtId="0" fontId="11" fillId="10" borderId="12" xfId="0" applyFont="1" applyFill="1" applyBorder="1"/>
    <xf numFmtId="0" fontId="11" fillId="10" borderId="13" xfId="0" applyFont="1" applyFill="1" applyBorder="1"/>
    <xf numFmtId="49" fontId="11" fillId="10" borderId="18" xfId="0" applyNumberFormat="1" applyFont="1" applyFill="1" applyBorder="1"/>
    <xf numFmtId="49" fontId="11" fillId="10" borderId="13" xfId="0" applyNumberFormat="1" applyFont="1" applyFill="1" applyBorder="1"/>
    <xf numFmtId="0" fontId="10" fillId="7" borderId="5" xfId="2" applyFill="1" applyBorder="1" applyAlignment="1">
      <alignment horizontal="center"/>
    </xf>
    <xf numFmtId="0" fontId="10" fillId="7" borderId="23" xfId="2" applyFill="1" applyBorder="1" applyAlignment="1">
      <alignment horizontal="center"/>
    </xf>
    <xf numFmtId="0" fontId="5" fillId="6" borderId="23" xfId="0" applyFont="1" applyFill="1" applyBorder="1"/>
    <xf numFmtId="0" fontId="0" fillId="6" borderId="23" xfId="0" applyFill="1" applyBorder="1" applyAlignment="1">
      <alignment horizontal="right" vertical="center"/>
    </xf>
    <xf numFmtId="0" fontId="0" fillId="6" borderId="5" xfId="0" applyFill="1" applyBorder="1" applyAlignment="1">
      <alignment horizontal="right"/>
    </xf>
    <xf numFmtId="0" fontId="5" fillId="6" borderId="5" xfId="0" applyFont="1" applyFill="1" applyBorder="1"/>
    <xf numFmtId="0" fontId="5" fillId="6" borderId="18" xfId="0" applyFont="1" applyFill="1" applyBorder="1"/>
    <xf numFmtId="0" fontId="5" fillId="6" borderId="12" xfId="0" applyFont="1" applyFill="1" applyBorder="1"/>
    <xf numFmtId="0" fontId="0" fillId="6" borderId="22" xfId="0" applyFill="1" applyBorder="1"/>
    <xf numFmtId="0" fontId="0" fillId="6" borderId="2" xfId="0" applyFill="1" applyBorder="1"/>
    <xf numFmtId="0" fontId="5" fillId="6" borderId="4" xfId="0" applyFont="1" applyFill="1" applyBorder="1"/>
    <xf numFmtId="0" fontId="5" fillId="6" borderId="23" xfId="0" applyFont="1" applyFill="1" applyBorder="1" applyAlignment="1">
      <alignment horizontal="right" vertical="center"/>
    </xf>
    <xf numFmtId="0" fontId="5" fillId="6" borderId="2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4" xfId="0" applyFill="1" applyBorder="1"/>
    <xf numFmtId="0" fontId="0" fillId="11" borderId="22" xfId="0" applyFill="1" applyBorder="1"/>
    <xf numFmtId="2" fontId="0" fillId="11" borderId="2" xfId="0" applyNumberFormat="1" applyFill="1" applyBorder="1"/>
    <xf numFmtId="0" fontId="0" fillId="11" borderId="24" xfId="0" applyFill="1" applyBorder="1"/>
    <xf numFmtId="0" fontId="0" fillId="11" borderId="20" xfId="0" applyFill="1" applyBorder="1"/>
    <xf numFmtId="0" fontId="0" fillId="11" borderId="21" xfId="0" applyFill="1" applyBorder="1"/>
    <xf numFmtId="0" fontId="0" fillId="11" borderId="14" xfId="0" applyFill="1" applyBorder="1"/>
    <xf numFmtId="0" fontId="0" fillId="11" borderId="9" xfId="0" applyFill="1" applyBorder="1"/>
    <xf numFmtId="3" fontId="0" fillId="7" borderId="10" xfId="0" applyNumberFormat="1" applyFill="1" applyBorder="1" applyAlignment="1">
      <alignment horizontal="center"/>
    </xf>
    <xf numFmtId="164" fontId="0" fillId="12" borderId="6" xfId="0" applyNumberFormat="1" applyFill="1" applyBorder="1" applyAlignment="1">
      <alignment horizontal="right" indent="1"/>
    </xf>
    <xf numFmtId="164" fontId="0" fillId="12" borderId="17" xfId="0" applyNumberFormat="1" applyFill="1" applyBorder="1" applyAlignment="1">
      <alignment horizontal="right" indent="1"/>
    </xf>
    <xf numFmtId="164" fontId="0" fillId="12" borderId="11" xfId="0" applyNumberFormat="1" applyFill="1" applyBorder="1" applyAlignment="1">
      <alignment horizontal="right" indent="1"/>
    </xf>
    <xf numFmtId="164" fontId="0" fillId="12" borderId="0" xfId="0" applyNumberFormat="1" applyFill="1" applyAlignment="1">
      <alignment horizontal="right" indent="1"/>
    </xf>
    <xf numFmtId="164" fontId="1" fillId="12" borderId="11" xfId="1" applyNumberFormat="1" applyFill="1" applyBorder="1" applyAlignment="1">
      <alignment horizontal="right" indent="1"/>
    </xf>
    <xf numFmtId="164" fontId="1" fillId="12" borderId="0" xfId="1" applyNumberFormat="1" applyFill="1" applyBorder="1" applyAlignment="1">
      <alignment horizontal="right" indent="1"/>
    </xf>
    <xf numFmtId="164" fontId="0" fillId="12" borderId="8" xfId="0" applyNumberFormat="1" applyFill="1" applyBorder="1" applyAlignment="1">
      <alignment horizontal="right" indent="1"/>
    </xf>
    <xf numFmtId="164" fontId="0" fillId="12" borderId="15" xfId="0" applyNumberFormat="1" applyFill="1" applyBorder="1" applyAlignment="1">
      <alignment horizontal="right" indent="1"/>
    </xf>
    <xf numFmtId="165" fontId="0" fillId="12" borderId="17" xfId="0" applyNumberFormat="1" applyFill="1" applyBorder="1" applyAlignment="1">
      <alignment horizontal="right" indent="1"/>
    </xf>
    <xf numFmtId="165" fontId="0" fillId="12" borderId="0" xfId="0" applyNumberFormat="1" applyFill="1" applyAlignment="1">
      <alignment horizontal="right" indent="1"/>
    </xf>
    <xf numFmtId="165" fontId="1" fillId="12" borderId="0" xfId="1" applyNumberFormat="1" applyFill="1" applyBorder="1" applyAlignment="1">
      <alignment horizontal="right" indent="1"/>
    </xf>
    <xf numFmtId="165" fontId="0" fillId="12" borderId="15" xfId="0" applyNumberFormat="1" applyFill="1" applyBorder="1" applyAlignment="1">
      <alignment horizontal="right" indent="1"/>
    </xf>
    <xf numFmtId="165" fontId="0" fillId="12" borderId="6" xfId="0" applyNumberFormat="1" applyFill="1" applyBorder="1" applyAlignment="1">
      <alignment horizontal="right" indent="1"/>
    </xf>
    <xf numFmtId="165" fontId="0" fillId="12" borderId="11" xfId="0" applyNumberFormat="1" applyFill="1" applyBorder="1" applyAlignment="1">
      <alignment horizontal="right" indent="1"/>
    </xf>
    <xf numFmtId="165" fontId="1" fillId="12" borderId="11" xfId="1" applyNumberFormat="1" applyFill="1" applyBorder="1" applyAlignment="1">
      <alignment horizontal="right" indent="1"/>
    </xf>
    <xf numFmtId="165" fontId="0" fillId="12" borderId="8" xfId="0" applyNumberFormat="1" applyFill="1" applyBorder="1" applyAlignment="1">
      <alignment horizontal="right" indent="1"/>
    </xf>
    <xf numFmtId="3" fontId="5" fillId="11" borderId="5" xfId="0" applyNumberFormat="1" applyFont="1" applyFill="1" applyBorder="1" applyAlignment="1">
      <alignment horizontal="center"/>
    </xf>
    <xf numFmtId="0" fontId="9" fillId="8" borderId="17" xfId="0" applyFont="1" applyFill="1" applyBorder="1"/>
    <xf numFmtId="4" fontId="0" fillId="5" borderId="3" xfId="0" applyNumberFormat="1" applyFill="1" applyBorder="1" applyAlignment="1">
      <alignment horizontal="center"/>
    </xf>
    <xf numFmtId="3" fontId="5" fillId="11" borderId="10" xfId="0" applyNumberFormat="1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4" fontId="5" fillId="5" borderId="3" xfId="0" applyNumberFormat="1" applyFont="1" applyFill="1" applyBorder="1" applyAlignment="1">
      <alignment horizontal="center"/>
    </xf>
    <xf numFmtId="4" fontId="0" fillId="5" borderId="18" xfId="0" applyNumberForma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13" borderId="2" xfId="0" applyFill="1" applyBorder="1"/>
    <xf numFmtId="0" fontId="11" fillId="10" borderId="2" xfId="0" applyFont="1" applyFill="1" applyBorder="1"/>
    <xf numFmtId="0" fontId="11" fillId="10" borderId="3" xfId="0" applyFont="1" applyFill="1" applyBorder="1"/>
    <xf numFmtId="0" fontId="11" fillId="10" borderId="9" xfId="0" applyFont="1" applyFill="1" applyBorder="1"/>
    <xf numFmtId="0" fontId="5" fillId="4" borderId="5" xfId="0" applyFon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" fontId="0" fillId="5" borderId="7" xfId="0" applyNumberForma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4" fontId="0" fillId="5" borderId="9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3" borderId="5" xfId="1" applyFont="1" applyBorder="1" applyAlignment="1">
      <alignment horizontal="center"/>
    </xf>
    <xf numFmtId="0" fontId="9" fillId="8" borderId="0" xfId="0" applyFont="1" applyFill="1" applyAlignment="1">
      <alignment horizontal="center"/>
    </xf>
    <xf numFmtId="167" fontId="9" fillId="8" borderId="0" xfId="0" applyNumberFormat="1" applyFont="1" applyFill="1" applyAlignment="1">
      <alignment horizontal="center"/>
    </xf>
    <xf numFmtId="167" fontId="0" fillId="8" borderId="17" xfId="0" applyNumberFormat="1" applyFill="1" applyBorder="1" applyAlignment="1">
      <alignment horizontal="center"/>
    </xf>
    <xf numFmtId="0" fontId="2" fillId="3" borderId="4" xfId="1" applyFont="1" applyBorder="1" applyAlignment="1">
      <alignment horizontal="center"/>
    </xf>
    <xf numFmtId="0" fontId="0" fillId="11" borderId="5" xfId="0" applyFill="1" applyBorder="1"/>
    <xf numFmtId="164" fontId="0" fillId="14" borderId="6" xfId="0" applyNumberFormat="1" applyFill="1" applyBorder="1" applyAlignment="1">
      <alignment horizontal="right" indent="1"/>
    </xf>
    <xf numFmtId="164" fontId="0" fillId="14" borderId="28" xfId="0" applyNumberFormat="1" applyFill="1" applyBorder="1" applyAlignment="1">
      <alignment horizontal="right" indent="1"/>
    </xf>
    <xf numFmtId="164" fontId="0" fillId="14" borderId="6" xfId="0" applyNumberFormat="1" applyFill="1" applyBorder="1" applyAlignment="1">
      <alignment horizontal="center"/>
    </xf>
    <xf numFmtId="164" fontId="0" fillId="14" borderId="7" xfId="0" applyNumberFormat="1" applyFill="1" applyBorder="1" applyAlignment="1">
      <alignment horizontal="center"/>
    </xf>
    <xf numFmtId="164" fontId="0" fillId="14" borderId="28" xfId="0" applyNumberFormat="1" applyFill="1" applyBorder="1" applyAlignment="1">
      <alignment horizontal="center"/>
    </xf>
    <xf numFmtId="164" fontId="0" fillId="14" borderId="29" xfId="0" applyNumberFormat="1" applyFill="1" applyBorder="1" applyAlignment="1">
      <alignment horizontal="center"/>
    </xf>
    <xf numFmtId="164" fontId="0" fillId="14" borderId="25" xfId="0" applyNumberFormat="1" applyFill="1" applyBorder="1" applyAlignment="1">
      <alignment horizontal="right" indent="1"/>
    </xf>
    <xf numFmtId="164" fontId="0" fillId="14" borderId="30" xfId="0" applyNumberFormat="1" applyFill="1" applyBorder="1" applyAlignment="1">
      <alignment horizontal="right" indent="1"/>
    </xf>
    <xf numFmtId="165" fontId="0" fillId="12" borderId="7" xfId="0" applyNumberFormat="1" applyFill="1" applyBorder="1" applyAlignment="1">
      <alignment horizontal="right" indent="1"/>
    </xf>
    <xf numFmtId="165" fontId="0" fillId="12" borderId="28" xfId="0" applyNumberFormat="1" applyFill="1" applyBorder="1" applyAlignment="1">
      <alignment horizontal="right" indent="1"/>
    </xf>
    <xf numFmtId="165" fontId="0" fillId="12" borderId="29" xfId="0" applyNumberFormat="1" applyFill="1" applyBorder="1" applyAlignment="1">
      <alignment horizontal="right" indent="1"/>
    </xf>
    <xf numFmtId="168" fontId="0" fillId="0" borderId="0" xfId="0" applyNumberFormat="1"/>
    <xf numFmtId="169" fontId="0" fillId="0" borderId="0" xfId="0" applyNumberFormat="1"/>
    <xf numFmtId="164" fontId="0" fillId="15" borderId="6" xfId="0" applyNumberFormat="1" applyFill="1" applyBorder="1" applyAlignment="1">
      <alignment horizontal="right" indent="1"/>
    </xf>
    <xf numFmtId="164" fontId="0" fillId="15" borderId="17" xfId="0" applyNumberFormat="1" applyFill="1" applyBorder="1" applyAlignment="1">
      <alignment horizontal="right" indent="1"/>
    </xf>
    <xf numFmtId="164" fontId="0" fillId="15" borderId="7" xfId="0" applyNumberFormat="1" applyFill="1" applyBorder="1" applyAlignment="1">
      <alignment horizontal="right" indent="1"/>
    </xf>
    <xf numFmtId="164" fontId="0" fillId="15" borderId="11" xfId="0" applyNumberFormat="1" applyFill="1" applyBorder="1" applyAlignment="1">
      <alignment horizontal="right" indent="1"/>
    </xf>
    <xf numFmtId="164" fontId="0" fillId="15" borderId="0" xfId="0" applyNumberFormat="1" applyFill="1" applyAlignment="1">
      <alignment horizontal="right" indent="1"/>
    </xf>
    <xf numFmtId="164" fontId="0" fillId="15" borderId="3" xfId="0" applyNumberFormat="1" applyFill="1" applyBorder="1" applyAlignment="1">
      <alignment horizontal="right" indent="1"/>
    </xf>
    <xf numFmtId="164" fontId="1" fillId="15" borderId="11" xfId="1" applyNumberFormat="1" applyFill="1" applyBorder="1" applyAlignment="1">
      <alignment horizontal="right" indent="1"/>
    </xf>
    <xf numFmtId="164" fontId="1" fillId="15" borderId="0" xfId="1" applyNumberFormat="1" applyFill="1" applyBorder="1" applyAlignment="1">
      <alignment horizontal="right" indent="1"/>
    </xf>
    <xf numFmtId="164" fontId="1" fillId="15" borderId="3" xfId="1" applyNumberFormat="1" applyFill="1" applyBorder="1" applyAlignment="1">
      <alignment horizontal="right" indent="1"/>
    </xf>
    <xf numFmtId="164" fontId="0" fillId="15" borderId="8" xfId="0" applyNumberFormat="1" applyFill="1" applyBorder="1" applyAlignment="1">
      <alignment horizontal="right" indent="1"/>
    </xf>
    <xf numFmtId="164" fontId="0" fillId="15" borderId="15" xfId="0" applyNumberFormat="1" applyFill="1" applyBorder="1" applyAlignment="1">
      <alignment horizontal="right" indent="1"/>
    </xf>
    <xf numFmtId="164" fontId="0" fillId="15" borderId="9" xfId="0" applyNumberFormat="1" applyFill="1" applyBorder="1" applyAlignment="1">
      <alignment horizontal="right" indent="1"/>
    </xf>
    <xf numFmtId="164" fontId="0" fillId="15" borderId="26" xfId="0" applyNumberFormat="1" applyFill="1" applyBorder="1" applyAlignment="1">
      <alignment horizontal="right" indent="1"/>
    </xf>
    <xf numFmtId="164" fontId="1" fillId="15" borderId="11" xfId="1" applyNumberFormat="1" applyFill="1" applyBorder="1" applyAlignment="1">
      <alignment horizontal="center"/>
    </xf>
    <xf numFmtId="164" fontId="1" fillId="15" borderId="3" xfId="1" applyNumberFormat="1" applyFill="1" applyBorder="1" applyAlignment="1">
      <alignment horizontal="center"/>
    </xf>
    <xf numFmtId="164" fontId="0" fillId="15" borderId="11" xfId="0" applyNumberFormat="1" applyFill="1" applyBorder="1" applyAlignment="1">
      <alignment horizontal="center"/>
    </xf>
    <xf numFmtId="164" fontId="0" fillId="15" borderId="3" xfId="0" applyNumberFormat="1" applyFill="1" applyBorder="1" applyAlignment="1">
      <alignment horizontal="center"/>
    </xf>
    <xf numFmtId="164" fontId="0" fillId="15" borderId="27" xfId="0" applyNumberFormat="1" applyFill="1" applyBorder="1" applyAlignment="1">
      <alignment horizontal="right" indent="1"/>
    </xf>
    <xf numFmtId="164" fontId="0" fillId="15" borderId="8" xfId="0" applyNumberFormat="1" applyFill="1" applyBorder="1" applyAlignment="1">
      <alignment horizontal="center"/>
    </xf>
    <xf numFmtId="164" fontId="0" fillId="15" borderId="9" xfId="0" applyNumberFormat="1" applyFill="1" applyBorder="1" applyAlignment="1">
      <alignment horizontal="center"/>
    </xf>
    <xf numFmtId="167" fontId="0" fillId="12" borderId="17" xfId="0" applyNumberFormat="1" applyFill="1" applyBorder="1" applyAlignment="1">
      <alignment horizontal="center"/>
    </xf>
    <xf numFmtId="3" fontId="0" fillId="12" borderId="18" xfId="0" applyNumberFormat="1" applyFill="1" applyBorder="1" applyAlignment="1">
      <alignment horizontal="center"/>
    </xf>
    <xf numFmtId="167" fontId="0" fillId="12" borderId="0" xfId="0" applyNumberFormat="1" applyFill="1" applyAlignment="1">
      <alignment horizontal="center"/>
    </xf>
    <xf numFmtId="3" fontId="0" fillId="12" borderId="12" xfId="0" applyNumberFormat="1" applyFill="1" applyBorder="1" applyAlignment="1">
      <alignment horizontal="center"/>
    </xf>
    <xf numFmtId="167" fontId="1" fillId="12" borderId="0" xfId="1" applyNumberFormat="1" applyFill="1" applyBorder="1" applyAlignment="1">
      <alignment horizontal="center"/>
    </xf>
    <xf numFmtId="167" fontId="0" fillId="12" borderId="15" xfId="0" applyNumberFormat="1" applyFill="1" applyBorder="1" applyAlignment="1">
      <alignment horizontal="center"/>
    </xf>
    <xf numFmtId="22" fontId="0" fillId="12" borderId="12" xfId="0" applyNumberFormat="1" applyFill="1" applyBorder="1" applyAlignment="1">
      <alignment horizontal="center"/>
    </xf>
    <xf numFmtId="164" fontId="0" fillId="15" borderId="25" xfId="0" applyNumberFormat="1" applyFill="1" applyBorder="1" applyAlignment="1">
      <alignment horizontal="right" indent="1"/>
    </xf>
    <xf numFmtId="164" fontId="1" fillId="15" borderId="26" xfId="1" applyNumberFormat="1" applyFill="1" applyBorder="1" applyAlignment="1">
      <alignment horizontal="right" indent="1"/>
    </xf>
    <xf numFmtId="3" fontId="0" fillId="12" borderId="6" xfId="0" applyNumberFormat="1" applyFill="1" applyBorder="1" applyAlignment="1">
      <alignment horizontal="right" indent="1"/>
    </xf>
    <xf numFmtId="3" fontId="0" fillId="12" borderId="11" xfId="0" applyNumberFormat="1" applyFill="1" applyBorder="1" applyAlignment="1">
      <alignment horizontal="right" indent="1"/>
    </xf>
    <xf numFmtId="3" fontId="5" fillId="12" borderId="11" xfId="0" applyNumberFormat="1" applyFont="1" applyFill="1" applyBorder="1" applyAlignment="1">
      <alignment horizontal="right" indent="1"/>
    </xf>
    <xf numFmtId="3" fontId="5" fillId="12" borderId="10" xfId="0" applyNumberFormat="1" applyFont="1" applyFill="1" applyBorder="1" applyAlignment="1">
      <alignment horizontal="right" indent="1"/>
    </xf>
    <xf numFmtId="3" fontId="0" fillId="12" borderId="13" xfId="0" applyNumberFormat="1" applyFill="1" applyBorder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0" fontId="0" fillId="6" borderId="13" xfId="0" applyFill="1" applyBorder="1" applyAlignment="1">
      <alignment horizontal="right"/>
    </xf>
    <xf numFmtId="0" fontId="10" fillId="7" borderId="13" xfId="2" applyFill="1" applyBorder="1" applyAlignment="1">
      <alignment horizontal="center"/>
    </xf>
    <xf numFmtId="0" fontId="0" fillId="11" borderId="15" xfId="0" applyFill="1" applyBorder="1"/>
    <xf numFmtId="2" fontId="0" fillId="11" borderId="9" xfId="0" applyNumberFormat="1" applyFill="1" applyBorder="1"/>
    <xf numFmtId="0" fontId="0" fillId="15" borderId="0" xfId="0" applyFill="1"/>
    <xf numFmtId="0" fontId="0" fillId="6" borderId="0" xfId="0" applyFill="1"/>
    <xf numFmtId="0" fontId="0" fillId="15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15" borderId="16" xfId="0" applyFill="1" applyBorder="1"/>
    <xf numFmtId="0" fontId="0" fillId="15" borderId="7" xfId="0" applyFill="1" applyBorder="1"/>
    <xf numFmtId="0" fontId="0" fillId="15" borderId="19" xfId="0" applyFill="1" applyBorder="1"/>
    <xf numFmtId="0" fontId="0" fillId="15" borderId="3" xfId="0" applyFill="1" applyBorder="1"/>
    <xf numFmtId="0" fontId="0" fillId="15" borderId="14" xfId="0" applyFill="1" applyBorder="1"/>
    <xf numFmtId="0" fontId="0" fillId="15" borderId="9" xfId="0" applyFill="1" applyBorder="1"/>
    <xf numFmtId="0" fontId="0" fillId="15" borderId="4" xfId="0" applyFill="1" applyBorder="1"/>
    <xf numFmtId="0" fontId="0" fillId="15" borderId="22" xfId="0" applyFill="1" applyBorder="1"/>
    <xf numFmtId="0" fontId="0" fillId="15" borderId="2" xfId="0" applyFill="1" applyBorder="1"/>
    <xf numFmtId="4" fontId="0" fillId="5" borderId="6" xfId="0" applyNumberFormat="1" applyFill="1" applyBorder="1" applyAlignment="1">
      <alignment horizontal="right" indent="1"/>
    </xf>
    <xf numFmtId="4" fontId="0" fillId="5" borderId="7" xfId="0" applyNumberFormat="1" applyFill="1" applyBorder="1" applyAlignment="1">
      <alignment horizontal="right" indent="1"/>
    </xf>
    <xf numFmtId="4" fontId="0" fillId="5" borderId="11" xfId="0" applyNumberFormat="1" applyFill="1" applyBorder="1" applyAlignment="1">
      <alignment horizontal="right" indent="1"/>
    </xf>
    <xf numFmtId="4" fontId="0" fillId="5" borderId="3" xfId="0" applyNumberFormat="1" applyFill="1" applyBorder="1" applyAlignment="1">
      <alignment horizontal="right" indent="1"/>
    </xf>
    <xf numFmtId="4" fontId="1" fillId="3" borderId="11" xfId="1" applyNumberFormat="1" applyBorder="1" applyAlignment="1">
      <alignment horizontal="right" indent="1"/>
    </xf>
    <xf numFmtId="4" fontId="1" fillId="3" borderId="3" xfId="1" applyNumberFormat="1" applyBorder="1" applyAlignment="1">
      <alignment horizontal="right" indent="1"/>
    </xf>
    <xf numFmtId="4" fontId="0" fillId="5" borderId="8" xfId="0" applyNumberFormat="1" applyFill="1" applyBorder="1" applyAlignment="1">
      <alignment horizontal="right" indent="1"/>
    </xf>
    <xf numFmtId="4" fontId="0" fillId="5" borderId="9" xfId="0" applyNumberFormat="1" applyFill="1" applyBorder="1" applyAlignment="1">
      <alignment horizontal="right" indent="1"/>
    </xf>
    <xf numFmtId="4" fontId="0" fillId="8" borderId="17" xfId="0" applyNumberFormat="1" applyFill="1" applyBorder="1" applyAlignment="1">
      <alignment horizontal="right" indent="1"/>
    </xf>
    <xf numFmtId="4" fontId="0" fillId="8" borderId="15" xfId="0" applyNumberFormat="1" applyFill="1" applyBorder="1"/>
    <xf numFmtId="4" fontId="1" fillId="3" borderId="0" xfId="1" applyNumberFormat="1" applyAlignment="1">
      <alignment horizontal="right" indent="1"/>
    </xf>
    <xf numFmtId="4" fontId="3" fillId="2" borderId="11" xfId="0" applyNumberFormat="1" applyFont="1" applyFill="1" applyBorder="1" applyAlignment="1">
      <alignment horizontal="right" indent="1"/>
    </xf>
    <xf numFmtId="4" fontId="3" fillId="2" borderId="0" xfId="0" applyNumberFormat="1" applyFont="1" applyFill="1" applyAlignment="1">
      <alignment horizontal="right" indent="1"/>
    </xf>
    <xf numFmtId="0" fontId="0" fillId="0" borderId="19" xfId="0" applyBorder="1"/>
    <xf numFmtId="0" fontId="0" fillId="0" borderId="3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0" fillId="15" borderId="2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5" borderId="24" xfId="0" applyFill="1" applyBorder="1"/>
    <xf numFmtId="0" fontId="0" fillId="15" borderId="20" xfId="0" applyFill="1" applyBorder="1"/>
    <xf numFmtId="0" fontId="0" fillId="15" borderId="21" xfId="0" applyFill="1" applyBorder="1"/>
    <xf numFmtId="43" fontId="0" fillId="15" borderId="5" xfId="3" applyFont="1" applyFill="1" applyBorder="1" applyAlignment="1">
      <alignment horizontal="center"/>
    </xf>
    <xf numFmtId="2" fontId="0" fillId="15" borderId="2" xfId="0" applyNumberFormat="1" applyFill="1" applyBorder="1"/>
    <xf numFmtId="0" fontId="0" fillId="7" borderId="7" xfId="0" applyFill="1" applyBorder="1"/>
    <xf numFmtId="0" fontId="0" fillId="7" borderId="9" xfId="0" applyFill="1" applyBorder="1"/>
    <xf numFmtId="0" fontId="0" fillId="15" borderId="0" xfId="0" applyFill="1" applyAlignment="1">
      <alignment horizontal="left"/>
    </xf>
    <xf numFmtId="0" fontId="0" fillId="15" borderId="15" xfId="0" applyFill="1" applyBorder="1" applyAlignment="1">
      <alignment horizontal="left"/>
    </xf>
    <xf numFmtId="0" fontId="0" fillId="15" borderId="15" xfId="0" applyFill="1" applyBorder="1"/>
    <xf numFmtId="0" fontId="0" fillId="6" borderId="22" xfId="0" applyFill="1" applyBorder="1" applyAlignment="1">
      <alignment horizontal="center"/>
    </xf>
    <xf numFmtId="0" fontId="0" fillId="15" borderId="12" xfId="0" applyFill="1" applyBorder="1" applyAlignment="1">
      <alignment horizontal="left"/>
    </xf>
    <xf numFmtId="0" fontId="0" fillId="15" borderId="13" xfId="0" applyFill="1" applyBorder="1" applyAlignment="1">
      <alignment horizontal="left"/>
    </xf>
    <xf numFmtId="2" fontId="0" fillId="15" borderId="22" xfId="0" applyNumberFormat="1" applyFill="1" applyBorder="1"/>
    <xf numFmtId="0" fontId="0" fillId="15" borderId="3" xfId="0" applyFill="1" applyBorder="1" applyAlignment="1">
      <alignment horizontal="left"/>
    </xf>
    <xf numFmtId="0" fontId="0" fillId="15" borderId="9" xfId="0" applyFill="1" applyBorder="1" applyAlignment="1">
      <alignment horizontal="left"/>
    </xf>
    <xf numFmtId="0" fontId="0" fillId="7" borderId="3" xfId="0" applyFill="1" applyBorder="1"/>
    <xf numFmtId="0" fontId="14" fillId="0" borderId="0" xfId="0" applyFont="1" applyAlignment="1">
      <alignment vertical="center"/>
    </xf>
    <xf numFmtId="0" fontId="0" fillId="6" borderId="5" xfId="0" applyFill="1" applyBorder="1" applyAlignment="1">
      <alignment horizontal="left"/>
    </xf>
    <xf numFmtId="0" fontId="0" fillId="12" borderId="7" xfId="0" applyFill="1" applyBorder="1"/>
    <xf numFmtId="0" fontId="0" fillId="12" borderId="3" xfId="0" applyFill="1" applyBorder="1"/>
    <xf numFmtId="0" fontId="0" fillId="6" borderId="13" xfId="0" applyFill="1" applyBorder="1" applyAlignment="1">
      <alignment horizontal="left"/>
    </xf>
    <xf numFmtId="0" fontId="0" fillId="12" borderId="4" xfId="0" applyFill="1" applyBorder="1"/>
    <xf numFmtId="0" fontId="0" fillId="12" borderId="22" xfId="0" applyFill="1" applyBorder="1"/>
    <xf numFmtId="2" fontId="0" fillId="12" borderId="22" xfId="0" applyNumberFormat="1" applyFill="1" applyBorder="1"/>
    <xf numFmtId="0" fontId="0" fillId="12" borderId="22" xfId="0" applyFill="1" applyBorder="1" applyAlignment="1">
      <alignment horizontal="center"/>
    </xf>
    <xf numFmtId="0" fontId="0" fillId="12" borderId="2" xfId="0" applyFill="1" applyBorder="1"/>
    <xf numFmtId="1" fontId="10" fillId="7" borderId="13" xfId="2" applyNumberFormat="1" applyFill="1" applyBorder="1" applyAlignment="1">
      <alignment horizontal="center"/>
    </xf>
    <xf numFmtId="0" fontId="0" fillId="15" borderId="17" xfId="0" applyFill="1" applyBorder="1"/>
    <xf numFmtId="0" fontId="0" fillId="15" borderId="7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2" fontId="0" fillId="6" borderId="18" xfId="0" applyNumberFormat="1" applyFill="1" applyBorder="1"/>
    <xf numFmtId="2" fontId="0" fillId="6" borderId="12" xfId="0" applyNumberFormat="1" applyFill="1" applyBorder="1"/>
    <xf numFmtId="2" fontId="0" fillId="6" borderId="13" xfId="0" applyNumberFormat="1" applyFill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15" borderId="0" xfId="0" applyFill="1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7" xfId="0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2" fontId="0" fillId="0" borderId="17" xfId="0" applyNumberFormat="1" applyBorder="1"/>
    <xf numFmtId="0" fontId="0" fillId="0" borderId="17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/>
    <xf numFmtId="0" fontId="0" fillId="0" borderId="0" xfId="0" applyBorder="1" applyAlignment="1">
      <alignment horizontal="center"/>
    </xf>
  </cellXfs>
  <cellStyles count="4">
    <cellStyle name="Comma" xfId="3" builtinId="3"/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66FFFF"/>
      <color rgb="FFCCFFCC"/>
      <color rgb="FFCCFFFF"/>
      <color rgb="FFFFFFCC"/>
      <color rgb="FF66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DegreeTest!$D$16:$D$63</c:f>
              <c:numCache>
                <c:formatCode>0.00</c:formatCode>
                <c:ptCount val="48"/>
                <c:pt idx="0">
                  <c:v>4384181.1909950031</c:v>
                </c:pt>
                <c:pt idx="1">
                  <c:v>4387128.8234257158</c:v>
                </c:pt>
                <c:pt idx="2">
                  <c:v>4391059</c:v>
                </c:pt>
                <c:pt idx="3">
                  <c:v>4412436.5</c:v>
                </c:pt>
                <c:pt idx="4">
                  <c:v>4416366.6765742842</c:v>
                </c:pt>
                <c:pt idx="5">
                  <c:v>4419314.3090049969</c:v>
                </c:pt>
                <c:pt idx="8">
                  <c:v>4387562.2711180365</c:v>
                </c:pt>
                <c:pt idx="9">
                  <c:v>4390473.8692103066</c:v>
                </c:pt>
                <c:pt idx="10">
                  <c:v>4394356</c:v>
                </c:pt>
                <c:pt idx="11">
                  <c:v>4403398</c:v>
                </c:pt>
                <c:pt idx="12">
                  <c:v>4424105</c:v>
                </c:pt>
                <c:pt idx="13">
                  <c:v>4427968.1628626352</c:v>
                </c:pt>
                <c:pt idx="14">
                  <c:v>4430865.5350096123</c:v>
                </c:pt>
                <c:pt idx="17">
                  <c:v>4390607.5559663102</c:v>
                </c:pt>
                <c:pt idx="18">
                  <c:v>4393317.1122664632</c:v>
                </c:pt>
                <c:pt idx="19">
                  <c:v>4396929.8540000003</c:v>
                </c:pt>
                <c:pt idx="20">
                  <c:v>4406636.2084999997</c:v>
                </c:pt>
                <c:pt idx="21">
                  <c:v>4412794.4870999996</c:v>
                </c:pt>
                <c:pt idx="22">
                  <c:v>4416344.6399260061</c:v>
                </c:pt>
                <c:pt idx="23">
                  <c:v>4419007.2545455107</c:v>
                </c:pt>
                <c:pt idx="26">
                  <c:v>4404410.3431884293</c:v>
                </c:pt>
                <c:pt idx="27">
                  <c:v>4407221.6251076739</c:v>
                </c:pt>
                <c:pt idx="28">
                  <c:v>4410970.0010000002</c:v>
                </c:pt>
                <c:pt idx="29">
                  <c:v>4437328.9976000004</c:v>
                </c:pt>
                <c:pt idx="30">
                  <c:v>4441077.3734923266</c:v>
                </c:pt>
                <c:pt idx="31">
                  <c:v>4443888.6554115713</c:v>
                </c:pt>
                <c:pt idx="34">
                  <c:v>4406643.6515580909</c:v>
                </c:pt>
                <c:pt idx="35">
                  <c:v>4409489.0872474806</c:v>
                </c:pt>
                <c:pt idx="36">
                  <c:v>4413283.0015000002</c:v>
                </c:pt>
                <c:pt idx="37">
                  <c:v>4436934.9972999999</c:v>
                </c:pt>
                <c:pt idx="38">
                  <c:v>4440728.9115525195</c:v>
                </c:pt>
                <c:pt idx="39">
                  <c:v>4443574.3472419092</c:v>
                </c:pt>
                <c:pt idx="42">
                  <c:v>4408801.9388487665</c:v>
                </c:pt>
                <c:pt idx="43">
                  <c:v>4411690.5356278662</c:v>
                </c:pt>
                <c:pt idx="44">
                  <c:v>4415541.9979999997</c:v>
                </c:pt>
                <c:pt idx="45">
                  <c:v>4436484.0023999996</c:v>
                </c:pt>
                <c:pt idx="46">
                  <c:v>4440335.4647721332</c:v>
                </c:pt>
                <c:pt idx="47">
                  <c:v>4443224.0615512328</c:v>
                </c:pt>
              </c:numCache>
            </c:numRef>
          </c:xVal>
          <c:yVal>
            <c:numRef>
              <c:f>DegreeTest!$E$16:$E$63</c:f>
              <c:numCache>
                <c:formatCode>0.00</c:formatCode>
                <c:ptCount val="48"/>
                <c:pt idx="0">
                  <c:v>4511477.2929155556</c:v>
                </c:pt>
                <c:pt idx="1">
                  <c:v>4512035.3816660317</c:v>
                </c:pt>
                <c:pt idx="2">
                  <c:v>4512779.5</c:v>
                </c:pt>
                <c:pt idx="3">
                  <c:v>4516827</c:v>
                </c:pt>
                <c:pt idx="4">
                  <c:v>4517571.1183339683</c:v>
                </c:pt>
                <c:pt idx="5">
                  <c:v>4518129.2070844444</c:v>
                </c:pt>
                <c:pt idx="8">
                  <c:v>4509248.2137425337</c:v>
                </c:pt>
                <c:pt idx="9">
                  <c:v>4509971.1221385906</c:v>
                </c:pt>
                <c:pt idx="10">
                  <c:v>4510935</c:v>
                </c:pt>
                <c:pt idx="11">
                  <c:v>4513180</c:v>
                </c:pt>
                <c:pt idx="12">
                  <c:v>4518740</c:v>
                </c:pt>
                <c:pt idx="13">
                  <c:v>4519777.2910376322</c:v>
                </c:pt>
                <c:pt idx="14">
                  <c:v>4520555.2593158567</c:v>
                </c:pt>
                <c:pt idx="17">
                  <c:v>4525483.832561858</c:v>
                </c:pt>
                <c:pt idx="18">
                  <c:v>4524196.0807782048</c:v>
                </c:pt>
                <c:pt idx="19">
                  <c:v>4522479.0784</c:v>
                </c:pt>
                <c:pt idx="20">
                  <c:v>4517866.0075000003</c:v>
                </c:pt>
                <c:pt idx="21">
                  <c:v>4514669.1546</c:v>
                </c:pt>
                <c:pt idx="22">
                  <c:v>4512826.2181084193</c:v>
                </c:pt>
                <c:pt idx="23">
                  <c:v>4511444.0157397343</c:v>
                </c:pt>
                <c:pt idx="26">
                  <c:v>4466849.4596596127</c:v>
                </c:pt>
                <c:pt idx="27">
                  <c:v>4467896.6912340643</c:v>
                </c:pt>
                <c:pt idx="28">
                  <c:v>4469293</c:v>
                </c:pt>
                <c:pt idx="29">
                  <c:v>4479111.9987000003</c:v>
                </c:pt>
                <c:pt idx="30">
                  <c:v>4480508.3074659361</c:v>
                </c:pt>
                <c:pt idx="31">
                  <c:v>4481555.5390403876</c:v>
                </c:pt>
                <c:pt idx="34">
                  <c:v>4464929.1109348536</c:v>
                </c:pt>
                <c:pt idx="35">
                  <c:v>4465879.6348627731</c:v>
                </c:pt>
                <c:pt idx="36">
                  <c:v>4467147.0000999998</c:v>
                </c:pt>
                <c:pt idx="37">
                  <c:v>4475048.0003000004</c:v>
                </c:pt>
                <c:pt idx="38">
                  <c:v>4476315.3655372271</c:v>
                </c:pt>
                <c:pt idx="39">
                  <c:v>4477265.8894651467</c:v>
                </c:pt>
                <c:pt idx="42">
                  <c:v>4463055.1312818611</c:v>
                </c:pt>
                <c:pt idx="43">
                  <c:v>4463865.0748896347</c:v>
                </c:pt>
                <c:pt idx="44">
                  <c:v>4464944.9996999996</c:v>
                </c:pt>
                <c:pt idx="45">
                  <c:v>4470817.0005000001</c:v>
                </c:pt>
                <c:pt idx="46">
                  <c:v>4471896.9253103649</c:v>
                </c:pt>
                <c:pt idx="47">
                  <c:v>4472706.8689181386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E-4E52-9F13-16AAC9E85626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DegreeTest!$D$66:$D$123</c:f>
              <c:numCache>
                <c:formatCode>0.00</c:formatCode>
                <c:ptCount val="58"/>
                <c:pt idx="0">
                  <c:v>4414260.3500275882</c:v>
                </c:pt>
                <c:pt idx="1">
                  <c:v>4416794.4632157646</c:v>
                </c:pt>
                <c:pt idx="2">
                  <c:v>4420173.2807999998</c:v>
                </c:pt>
                <c:pt idx="3">
                  <c:v>4428983.9234999996</c:v>
                </c:pt>
                <c:pt idx="4">
                  <c:v>4435281.0193999996</c:v>
                </c:pt>
                <c:pt idx="5">
                  <c:v>4438193.819369413</c:v>
                </c:pt>
                <c:pt idx="6">
                  <c:v>4440378.4193464732</c:v>
                </c:pt>
                <c:pt idx="9">
                  <c:v>4415630.3413818749</c:v>
                </c:pt>
                <c:pt idx="10">
                  <c:v>4418223.6560324999</c:v>
                </c:pt>
                <c:pt idx="11">
                  <c:v>4421681.4089000002</c:v>
                </c:pt>
                <c:pt idx="12">
                  <c:v>4431735.5955999997</c:v>
                </c:pt>
                <c:pt idx="13">
                  <c:v>4443430.2023999998</c:v>
                </c:pt>
                <c:pt idx="14">
                  <c:v>4446600.6983544026</c:v>
                </c:pt>
                <c:pt idx="15">
                  <c:v>4448978.5703202048</c:v>
                </c:pt>
                <c:pt idx="18">
                  <c:v>4420707.4260443719</c:v>
                </c:pt>
                <c:pt idx="19">
                  <c:v>4423301.9944539266</c:v>
                </c:pt>
                <c:pt idx="20">
                  <c:v>4426761.4189999998</c:v>
                </c:pt>
                <c:pt idx="21">
                  <c:v>4438561.6190999998</c:v>
                </c:pt>
                <c:pt idx="22">
                  <c:v>4455230.6425999999</c:v>
                </c:pt>
                <c:pt idx="23">
                  <c:v>4458578.0626816265</c:v>
                </c:pt>
                <c:pt idx="24">
                  <c:v>4461088.6277428465</c:v>
                </c:pt>
                <c:pt idx="27">
                  <c:v>4418722.884392594</c:v>
                </c:pt>
                <c:pt idx="28">
                  <c:v>4420927.2947243396</c:v>
                </c:pt>
                <c:pt idx="29">
                  <c:v>4423866.5085000005</c:v>
                </c:pt>
                <c:pt idx="30">
                  <c:v>4435733.0947000002</c:v>
                </c:pt>
                <c:pt idx="31">
                  <c:v>4451965.3147</c:v>
                </c:pt>
                <c:pt idx="32">
                  <c:v>4454867.260333728</c:v>
                </c:pt>
                <c:pt idx="33">
                  <c:v>4457043.7195590241</c:v>
                </c:pt>
                <c:pt idx="36">
                  <c:v>4425586.4315139065</c:v>
                </c:pt>
                <c:pt idx="37">
                  <c:v>4427957.9608650897</c:v>
                </c:pt>
                <c:pt idx="38">
                  <c:v>4431120</c:v>
                </c:pt>
                <c:pt idx="39">
                  <c:v>4455360</c:v>
                </c:pt>
                <c:pt idx="40">
                  <c:v>4458522.0391349103</c:v>
                </c:pt>
                <c:pt idx="41">
                  <c:v>4460893.5684860935</c:v>
                </c:pt>
                <c:pt idx="44">
                  <c:v>4413360.1537933266</c:v>
                </c:pt>
                <c:pt idx="45">
                  <c:v>4415348.6593104722</c:v>
                </c:pt>
                <c:pt idx="46">
                  <c:v>4418000</c:v>
                </c:pt>
                <c:pt idx="47">
                  <c:v>4437045</c:v>
                </c:pt>
                <c:pt idx="48">
                  <c:v>4439696.3406895278</c:v>
                </c:pt>
                <c:pt idx="49">
                  <c:v>4441684.8462066734</c:v>
                </c:pt>
                <c:pt idx="52">
                  <c:v>4428210.5100967251</c:v>
                </c:pt>
                <c:pt idx="53">
                  <c:v>4430652.7864838429</c:v>
                </c:pt>
                <c:pt idx="54">
                  <c:v>4433909.1550000003</c:v>
                </c:pt>
                <c:pt idx="55">
                  <c:v>4440780.4550999999</c:v>
                </c:pt>
                <c:pt idx="56">
                  <c:v>4444036.8236161573</c:v>
                </c:pt>
                <c:pt idx="57">
                  <c:v>4446479.1000032751</c:v>
                </c:pt>
              </c:numCache>
            </c:numRef>
          </c:xVal>
          <c:yVal>
            <c:numRef>
              <c:f>DegreeTest!$E$66:$E$123</c:f>
              <c:numCache>
                <c:formatCode>0.00</c:formatCode>
                <c:ptCount val="58"/>
                <c:pt idx="0">
                  <c:v>4450574.3227219004</c:v>
                </c:pt>
                <c:pt idx="1">
                  <c:v>4452180.0220553717</c:v>
                </c:pt>
                <c:pt idx="2">
                  <c:v>4454320.9545</c:v>
                </c:pt>
                <c:pt idx="3">
                  <c:v>4459903.6739999996</c:v>
                </c:pt>
                <c:pt idx="4">
                  <c:v>4465830.3525</c:v>
                </c:pt>
                <c:pt idx="5">
                  <c:v>4468571.8112974633</c:v>
                </c:pt>
                <c:pt idx="6">
                  <c:v>4470627.9053955609</c:v>
                </c:pt>
                <c:pt idx="9">
                  <c:v>4441250.3036329644</c:v>
                </c:pt>
                <c:pt idx="10">
                  <c:v>4442758.5208331225</c:v>
                </c:pt>
                <c:pt idx="11">
                  <c:v>4444769.4770999998</c:v>
                </c:pt>
                <c:pt idx="12">
                  <c:v>4450616.7803999996</c:v>
                </c:pt>
                <c:pt idx="13">
                  <c:v>4459612.6317999996</c:v>
                </c:pt>
                <c:pt idx="14">
                  <c:v>4462051.4748460185</c:v>
                </c:pt>
                <c:pt idx="15">
                  <c:v>4463880.6071305331</c:v>
                </c:pt>
                <c:pt idx="18">
                  <c:v>4429507.8151147934</c:v>
                </c:pt>
                <c:pt idx="19">
                  <c:v>4431013.8744655959</c:v>
                </c:pt>
                <c:pt idx="20">
                  <c:v>4433021.9535999997</c:v>
                </c:pt>
                <c:pt idx="21">
                  <c:v>4439871.5713</c:v>
                </c:pt>
                <c:pt idx="22">
                  <c:v>4450775.5307999998</c:v>
                </c:pt>
                <c:pt idx="23">
                  <c:v>4452965.229134731</c:v>
                </c:pt>
                <c:pt idx="24">
                  <c:v>4454607.5028857794</c:v>
                </c:pt>
                <c:pt idx="27">
                  <c:v>4468581.3680245327</c:v>
                </c:pt>
                <c:pt idx="28">
                  <c:v>4466546.5277140187</c:v>
                </c:pt>
                <c:pt idx="29">
                  <c:v>4463833.4073000001</c:v>
                </c:pt>
                <c:pt idx="30">
                  <c:v>4452879.6354</c:v>
                </c:pt>
                <c:pt idx="31">
                  <c:v>4437480.8546000002</c:v>
                </c:pt>
                <c:pt idx="32">
                  <c:v>4434727.9086254323</c:v>
                </c:pt>
                <c:pt idx="33">
                  <c:v>4432663.1991445068</c:v>
                </c:pt>
                <c:pt idx="36">
                  <c:v>4468437.1458815532</c:v>
                </c:pt>
                <c:pt idx="37">
                  <c:v>4466599.7976466017</c:v>
                </c:pt>
                <c:pt idx="38">
                  <c:v>4464150</c:v>
                </c:pt>
                <c:pt idx="39">
                  <c:v>4445370</c:v>
                </c:pt>
                <c:pt idx="40">
                  <c:v>4442920.2023533983</c:v>
                </c:pt>
                <c:pt idx="41">
                  <c:v>4441082.8541184468</c:v>
                </c:pt>
                <c:pt idx="44">
                  <c:v>4456901.3573793834</c:v>
                </c:pt>
                <c:pt idx="45">
                  <c:v>4454655.0613596477</c:v>
                </c:pt>
                <c:pt idx="46">
                  <c:v>4451660</c:v>
                </c:pt>
                <c:pt idx="47">
                  <c:v>4430146</c:v>
                </c:pt>
                <c:pt idx="48">
                  <c:v>4427150.9386403523</c:v>
                </c:pt>
                <c:pt idx="49">
                  <c:v>4424904.6426206166</c:v>
                </c:pt>
                <c:pt idx="52">
                  <c:v>4452852.3097855086</c:v>
                </c:pt>
                <c:pt idx="53">
                  <c:v>4454594.5170202907</c:v>
                </c:pt>
                <c:pt idx="54">
                  <c:v>4456917.46</c:v>
                </c:pt>
                <c:pt idx="55">
                  <c:v>4461819.1283</c:v>
                </c:pt>
                <c:pt idx="56">
                  <c:v>4464142.0712797092</c:v>
                </c:pt>
                <c:pt idx="57">
                  <c:v>4465884.2785144914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E-4E52-9F13-16AAC9E85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632384"/>
        <c:axId val="391633920"/>
      </c:scatterChart>
      <c:valAx>
        <c:axId val="39163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3920"/>
        <c:crosses val="autoZero"/>
        <c:crossBetween val="midCat"/>
        <c:majorUnit val="10000"/>
        <c:minorUnit val="2000"/>
      </c:valAx>
      <c:valAx>
        <c:axId val="3916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2384"/>
        <c:crosses val="autoZero"/>
        <c:crossBetween val="midCat"/>
        <c:majorUnit val="10000"/>
        <c:minorUnit val="2000"/>
      </c:valAx>
      <c:spPr>
        <a:noFill/>
        <a:ln w="1905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KmlGpxTest!$D$16:$D$63</c:f>
              <c:numCache>
                <c:formatCode>0.00</c:formatCode>
                <c:ptCount val="48"/>
                <c:pt idx="0">
                  <c:v>4384181.1909950031</c:v>
                </c:pt>
                <c:pt idx="1">
                  <c:v>4387128.8234257158</c:v>
                </c:pt>
                <c:pt idx="2">
                  <c:v>4391059</c:v>
                </c:pt>
                <c:pt idx="3">
                  <c:v>4412436.5</c:v>
                </c:pt>
                <c:pt idx="4">
                  <c:v>4416366.6765742842</c:v>
                </c:pt>
                <c:pt idx="5">
                  <c:v>4419314.3090049969</c:v>
                </c:pt>
                <c:pt idx="8">
                  <c:v>4387562.2711180365</c:v>
                </c:pt>
                <c:pt idx="9">
                  <c:v>4390473.8692103066</c:v>
                </c:pt>
                <c:pt idx="10">
                  <c:v>4394356</c:v>
                </c:pt>
                <c:pt idx="11">
                  <c:v>4403398</c:v>
                </c:pt>
                <c:pt idx="12">
                  <c:v>4424105</c:v>
                </c:pt>
                <c:pt idx="13">
                  <c:v>4427968.1628626352</c:v>
                </c:pt>
                <c:pt idx="14">
                  <c:v>4430865.5350096123</c:v>
                </c:pt>
                <c:pt idx="17">
                  <c:v>4390607.5559663102</c:v>
                </c:pt>
                <c:pt idx="18">
                  <c:v>4393317.1122664632</c:v>
                </c:pt>
                <c:pt idx="19">
                  <c:v>4396929.8540000003</c:v>
                </c:pt>
                <c:pt idx="20">
                  <c:v>4406636.2084999997</c:v>
                </c:pt>
                <c:pt idx="21">
                  <c:v>4412794.4870999996</c:v>
                </c:pt>
                <c:pt idx="22">
                  <c:v>4416344.6399260061</c:v>
                </c:pt>
                <c:pt idx="23">
                  <c:v>4419007.2545455107</c:v>
                </c:pt>
                <c:pt idx="26">
                  <c:v>4404410.3431884293</c:v>
                </c:pt>
                <c:pt idx="27">
                  <c:v>4407221.6251076739</c:v>
                </c:pt>
                <c:pt idx="28">
                  <c:v>4410970.0010000002</c:v>
                </c:pt>
                <c:pt idx="29">
                  <c:v>4437328.9976000004</c:v>
                </c:pt>
                <c:pt idx="30">
                  <c:v>4441077.3734923266</c:v>
                </c:pt>
                <c:pt idx="31">
                  <c:v>4443888.6554115713</c:v>
                </c:pt>
                <c:pt idx="34">
                  <c:v>4406643.6515580909</c:v>
                </c:pt>
                <c:pt idx="35">
                  <c:v>4409489.0872474806</c:v>
                </c:pt>
                <c:pt idx="36">
                  <c:v>4413283.0015000002</c:v>
                </c:pt>
                <c:pt idx="37">
                  <c:v>4436934.9972999999</c:v>
                </c:pt>
                <c:pt idx="38">
                  <c:v>4440728.9115525195</c:v>
                </c:pt>
                <c:pt idx="39">
                  <c:v>4443574.3472419092</c:v>
                </c:pt>
                <c:pt idx="42">
                  <c:v>4408801.9388487665</c:v>
                </c:pt>
                <c:pt idx="43">
                  <c:v>4411690.5356278662</c:v>
                </c:pt>
                <c:pt idx="44">
                  <c:v>4415541.9979999997</c:v>
                </c:pt>
                <c:pt idx="45">
                  <c:v>4436484.0023999996</c:v>
                </c:pt>
                <c:pt idx="46">
                  <c:v>4440335.4647721332</c:v>
                </c:pt>
                <c:pt idx="47">
                  <c:v>4443224.0615512328</c:v>
                </c:pt>
              </c:numCache>
            </c:numRef>
          </c:xVal>
          <c:yVal>
            <c:numRef>
              <c:f>KmlGpxTest!$E$16:$E$63</c:f>
              <c:numCache>
                <c:formatCode>0.00</c:formatCode>
                <c:ptCount val="48"/>
                <c:pt idx="0">
                  <c:v>4511477.2929155556</c:v>
                </c:pt>
                <c:pt idx="1">
                  <c:v>4512035.3816660317</c:v>
                </c:pt>
                <c:pt idx="2">
                  <c:v>4512779.5</c:v>
                </c:pt>
                <c:pt idx="3">
                  <c:v>4516827</c:v>
                </c:pt>
                <c:pt idx="4">
                  <c:v>4517571.1183339683</c:v>
                </c:pt>
                <c:pt idx="5">
                  <c:v>4518129.2070844444</c:v>
                </c:pt>
                <c:pt idx="8">
                  <c:v>4509248.2137425337</c:v>
                </c:pt>
                <c:pt idx="9">
                  <c:v>4509971.1221385906</c:v>
                </c:pt>
                <c:pt idx="10">
                  <c:v>4510935</c:v>
                </c:pt>
                <c:pt idx="11">
                  <c:v>4513180</c:v>
                </c:pt>
                <c:pt idx="12">
                  <c:v>4518740</c:v>
                </c:pt>
                <c:pt idx="13">
                  <c:v>4519777.2910376322</c:v>
                </c:pt>
                <c:pt idx="14">
                  <c:v>4520555.2593158567</c:v>
                </c:pt>
                <c:pt idx="17">
                  <c:v>4525483.832561858</c:v>
                </c:pt>
                <c:pt idx="18">
                  <c:v>4524196.0807782048</c:v>
                </c:pt>
                <c:pt idx="19">
                  <c:v>4522479.0784</c:v>
                </c:pt>
                <c:pt idx="20">
                  <c:v>4517866.0075000003</c:v>
                </c:pt>
                <c:pt idx="21">
                  <c:v>4514669.1546</c:v>
                </c:pt>
                <c:pt idx="22">
                  <c:v>4512826.2181084193</c:v>
                </c:pt>
                <c:pt idx="23">
                  <c:v>4511444.0157397343</c:v>
                </c:pt>
                <c:pt idx="26">
                  <c:v>4466849.4596596127</c:v>
                </c:pt>
                <c:pt idx="27">
                  <c:v>4467896.6912340643</c:v>
                </c:pt>
                <c:pt idx="28">
                  <c:v>4469293</c:v>
                </c:pt>
                <c:pt idx="29">
                  <c:v>4479111.9987000003</c:v>
                </c:pt>
                <c:pt idx="30">
                  <c:v>4480508.3074659361</c:v>
                </c:pt>
                <c:pt idx="31">
                  <c:v>4481555.5390403876</c:v>
                </c:pt>
                <c:pt idx="34">
                  <c:v>4464929.1109348536</c:v>
                </c:pt>
                <c:pt idx="35">
                  <c:v>4465879.6348627731</c:v>
                </c:pt>
                <c:pt idx="36">
                  <c:v>4467147.0000999998</c:v>
                </c:pt>
                <c:pt idx="37">
                  <c:v>4475048.0003000004</c:v>
                </c:pt>
                <c:pt idx="38">
                  <c:v>4476315.3655372271</c:v>
                </c:pt>
                <c:pt idx="39">
                  <c:v>4477265.8894651467</c:v>
                </c:pt>
                <c:pt idx="42">
                  <c:v>4463055.1312818611</c:v>
                </c:pt>
                <c:pt idx="43">
                  <c:v>4463865.0748896347</c:v>
                </c:pt>
                <c:pt idx="44">
                  <c:v>4464944.9996999996</c:v>
                </c:pt>
                <c:pt idx="45">
                  <c:v>4470817.0005000001</c:v>
                </c:pt>
                <c:pt idx="46">
                  <c:v>4471896.9253103649</c:v>
                </c:pt>
                <c:pt idx="47">
                  <c:v>4472706.8689181386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F-4C12-A195-D735C4FF8342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KmlGpxTest!$D$66:$D$123</c:f>
              <c:numCache>
                <c:formatCode>0.00</c:formatCode>
                <c:ptCount val="58"/>
                <c:pt idx="0">
                  <c:v>4414260.3500275882</c:v>
                </c:pt>
                <c:pt idx="1">
                  <c:v>4416794.4632157646</c:v>
                </c:pt>
                <c:pt idx="2">
                  <c:v>4420173.2807999998</c:v>
                </c:pt>
                <c:pt idx="3">
                  <c:v>4428983.9234999996</c:v>
                </c:pt>
                <c:pt idx="4">
                  <c:v>4435281.0193999996</c:v>
                </c:pt>
                <c:pt idx="5">
                  <c:v>4438193.819369413</c:v>
                </c:pt>
                <c:pt idx="6">
                  <c:v>4440378.4193464732</c:v>
                </c:pt>
                <c:pt idx="9">
                  <c:v>4415630.3413818749</c:v>
                </c:pt>
                <c:pt idx="10">
                  <c:v>4418223.6560324999</c:v>
                </c:pt>
                <c:pt idx="11">
                  <c:v>4421681.4089000002</c:v>
                </c:pt>
                <c:pt idx="12">
                  <c:v>4431735.5955999997</c:v>
                </c:pt>
                <c:pt idx="13">
                  <c:v>4443430.2023999998</c:v>
                </c:pt>
                <c:pt idx="14">
                  <c:v>4446600.6983544026</c:v>
                </c:pt>
                <c:pt idx="15">
                  <c:v>4448978.5703202048</c:v>
                </c:pt>
                <c:pt idx="18">
                  <c:v>4420707.4260443719</c:v>
                </c:pt>
                <c:pt idx="19">
                  <c:v>4423301.9944539266</c:v>
                </c:pt>
                <c:pt idx="20">
                  <c:v>4426761.4189999998</c:v>
                </c:pt>
                <c:pt idx="21">
                  <c:v>4438561.6190999998</c:v>
                </c:pt>
                <c:pt idx="22">
                  <c:v>4455230.6425999999</c:v>
                </c:pt>
                <c:pt idx="23">
                  <c:v>4458578.0626816265</c:v>
                </c:pt>
                <c:pt idx="24">
                  <c:v>4461088.6277428465</c:v>
                </c:pt>
                <c:pt idx="27">
                  <c:v>4418722.884392594</c:v>
                </c:pt>
                <c:pt idx="28">
                  <c:v>4420927.2947243396</c:v>
                </c:pt>
                <c:pt idx="29">
                  <c:v>4423866.5085000005</c:v>
                </c:pt>
                <c:pt idx="30">
                  <c:v>4435733.0947000002</c:v>
                </c:pt>
                <c:pt idx="31">
                  <c:v>4451965.3147</c:v>
                </c:pt>
                <c:pt idx="32">
                  <c:v>4454867.260333728</c:v>
                </c:pt>
                <c:pt idx="33">
                  <c:v>4457043.7195590241</c:v>
                </c:pt>
                <c:pt idx="36">
                  <c:v>4425586.4315139065</c:v>
                </c:pt>
                <c:pt idx="37">
                  <c:v>4427957.9608650897</c:v>
                </c:pt>
                <c:pt idx="38">
                  <c:v>4431120</c:v>
                </c:pt>
                <c:pt idx="39">
                  <c:v>4455360</c:v>
                </c:pt>
                <c:pt idx="40">
                  <c:v>4458522.0391349103</c:v>
                </c:pt>
                <c:pt idx="41">
                  <c:v>4460893.5684860935</c:v>
                </c:pt>
                <c:pt idx="44">
                  <c:v>4413360.1537933266</c:v>
                </c:pt>
                <c:pt idx="45">
                  <c:v>4415348.6593104722</c:v>
                </c:pt>
                <c:pt idx="46">
                  <c:v>4418000</c:v>
                </c:pt>
                <c:pt idx="47">
                  <c:v>4437045</c:v>
                </c:pt>
                <c:pt idx="48">
                  <c:v>4439696.3406895278</c:v>
                </c:pt>
                <c:pt idx="49">
                  <c:v>4441684.8462066734</c:v>
                </c:pt>
                <c:pt idx="52">
                  <c:v>4428210.5100967251</c:v>
                </c:pt>
                <c:pt idx="53">
                  <c:v>4430652.7864838429</c:v>
                </c:pt>
                <c:pt idx="54">
                  <c:v>4433909.1550000003</c:v>
                </c:pt>
                <c:pt idx="55">
                  <c:v>4440780.4550999999</c:v>
                </c:pt>
                <c:pt idx="56">
                  <c:v>4444036.8236161573</c:v>
                </c:pt>
                <c:pt idx="57">
                  <c:v>4446479.1000032751</c:v>
                </c:pt>
              </c:numCache>
            </c:numRef>
          </c:xVal>
          <c:yVal>
            <c:numRef>
              <c:f>KmlGpxTest!$E$66:$E$123</c:f>
              <c:numCache>
                <c:formatCode>0.00</c:formatCode>
                <c:ptCount val="58"/>
                <c:pt idx="0">
                  <c:v>4450574.3227219004</c:v>
                </c:pt>
                <c:pt idx="1">
                  <c:v>4452180.0220553717</c:v>
                </c:pt>
                <c:pt idx="2">
                  <c:v>4454320.9545</c:v>
                </c:pt>
                <c:pt idx="3">
                  <c:v>4459903.6739999996</c:v>
                </c:pt>
                <c:pt idx="4">
                  <c:v>4465830.3525</c:v>
                </c:pt>
                <c:pt idx="5">
                  <c:v>4468571.8112974633</c:v>
                </c:pt>
                <c:pt idx="6">
                  <c:v>4470627.9053955609</c:v>
                </c:pt>
                <c:pt idx="9">
                  <c:v>4441250.3036329644</c:v>
                </c:pt>
                <c:pt idx="10">
                  <c:v>4442758.5208331225</c:v>
                </c:pt>
                <c:pt idx="11">
                  <c:v>4444769.4770999998</c:v>
                </c:pt>
                <c:pt idx="12">
                  <c:v>4450616.7803999996</c:v>
                </c:pt>
                <c:pt idx="13">
                  <c:v>4459612.6317999996</c:v>
                </c:pt>
                <c:pt idx="14">
                  <c:v>4462051.4748460185</c:v>
                </c:pt>
                <c:pt idx="15">
                  <c:v>4463880.6071305331</c:v>
                </c:pt>
                <c:pt idx="18">
                  <c:v>4429507.8151147934</c:v>
                </c:pt>
                <c:pt idx="19">
                  <c:v>4431013.8744655959</c:v>
                </c:pt>
                <c:pt idx="20">
                  <c:v>4433021.9535999997</c:v>
                </c:pt>
                <c:pt idx="21">
                  <c:v>4439871.5713</c:v>
                </c:pt>
                <c:pt idx="22">
                  <c:v>4450775.5307999998</c:v>
                </c:pt>
                <c:pt idx="23">
                  <c:v>4452965.229134731</c:v>
                </c:pt>
                <c:pt idx="24">
                  <c:v>4454607.5028857794</c:v>
                </c:pt>
                <c:pt idx="27">
                  <c:v>4468581.3680245327</c:v>
                </c:pt>
                <c:pt idx="28">
                  <c:v>4466546.5277140187</c:v>
                </c:pt>
                <c:pt idx="29">
                  <c:v>4463833.4073000001</c:v>
                </c:pt>
                <c:pt idx="30">
                  <c:v>4452879.6354</c:v>
                </c:pt>
                <c:pt idx="31">
                  <c:v>4437480.8546000002</c:v>
                </c:pt>
                <c:pt idx="32">
                  <c:v>4434727.9086254323</c:v>
                </c:pt>
                <c:pt idx="33">
                  <c:v>4432663.1991445068</c:v>
                </c:pt>
                <c:pt idx="36">
                  <c:v>4468437.1458815532</c:v>
                </c:pt>
                <c:pt idx="37">
                  <c:v>4466599.7976466017</c:v>
                </c:pt>
                <c:pt idx="38">
                  <c:v>4464150</c:v>
                </c:pt>
                <c:pt idx="39">
                  <c:v>4445370</c:v>
                </c:pt>
                <c:pt idx="40">
                  <c:v>4442920.2023533983</c:v>
                </c:pt>
                <c:pt idx="41">
                  <c:v>4441082.8541184468</c:v>
                </c:pt>
                <c:pt idx="44">
                  <c:v>4456901.3573793834</c:v>
                </c:pt>
                <c:pt idx="45">
                  <c:v>4454655.0613596477</c:v>
                </c:pt>
                <c:pt idx="46">
                  <c:v>4451660</c:v>
                </c:pt>
                <c:pt idx="47">
                  <c:v>4430146</c:v>
                </c:pt>
                <c:pt idx="48">
                  <c:v>4427150.9386403523</c:v>
                </c:pt>
                <c:pt idx="49">
                  <c:v>4424904.6426206166</c:v>
                </c:pt>
                <c:pt idx="52">
                  <c:v>4452852.3097855086</c:v>
                </c:pt>
                <c:pt idx="53">
                  <c:v>4454594.5170202907</c:v>
                </c:pt>
                <c:pt idx="54">
                  <c:v>4456917.46</c:v>
                </c:pt>
                <c:pt idx="55">
                  <c:v>4461819.1283</c:v>
                </c:pt>
                <c:pt idx="56">
                  <c:v>4464142.0712797092</c:v>
                </c:pt>
                <c:pt idx="57">
                  <c:v>4465884.2785144914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F-4C12-A195-D735C4FF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632384"/>
        <c:axId val="391633920"/>
      </c:scatterChart>
      <c:valAx>
        <c:axId val="39163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3920"/>
        <c:crosses val="autoZero"/>
        <c:crossBetween val="midCat"/>
        <c:majorUnit val="10000"/>
        <c:minorUnit val="2000"/>
      </c:valAx>
      <c:valAx>
        <c:axId val="3916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2384"/>
        <c:crosses val="autoZero"/>
        <c:crossBetween val="midCat"/>
        <c:majorUnit val="10000"/>
        <c:minorUnit val="2000"/>
      </c:valAx>
      <c:spPr>
        <a:noFill/>
        <a:ln w="1905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ApplyForwardEx!$D$16:$D$63</c:f>
              <c:numCache>
                <c:formatCode>0.00</c:formatCode>
                <c:ptCount val="48"/>
                <c:pt idx="0">
                  <c:v>4384181.1909950031</c:v>
                </c:pt>
                <c:pt idx="1">
                  <c:v>4387128.8234257158</c:v>
                </c:pt>
                <c:pt idx="2">
                  <c:v>4391059</c:v>
                </c:pt>
                <c:pt idx="3">
                  <c:v>4412436.5</c:v>
                </c:pt>
                <c:pt idx="4">
                  <c:v>4416366.6765742842</c:v>
                </c:pt>
                <c:pt idx="5">
                  <c:v>4419314.3090049969</c:v>
                </c:pt>
                <c:pt idx="8">
                  <c:v>4387562.2711180365</c:v>
                </c:pt>
                <c:pt idx="9">
                  <c:v>4390473.8692103066</c:v>
                </c:pt>
                <c:pt idx="10">
                  <c:v>4394356</c:v>
                </c:pt>
                <c:pt idx="11">
                  <c:v>4403398</c:v>
                </c:pt>
                <c:pt idx="12">
                  <c:v>4424105</c:v>
                </c:pt>
                <c:pt idx="13">
                  <c:v>4427968.1628626352</c:v>
                </c:pt>
                <c:pt idx="14">
                  <c:v>4430865.5350096123</c:v>
                </c:pt>
                <c:pt idx="17">
                  <c:v>4390607.5559663102</c:v>
                </c:pt>
                <c:pt idx="18">
                  <c:v>4393317.1122664632</c:v>
                </c:pt>
                <c:pt idx="19">
                  <c:v>4396929.8540000003</c:v>
                </c:pt>
                <c:pt idx="20">
                  <c:v>4406636.2084999997</c:v>
                </c:pt>
                <c:pt idx="21">
                  <c:v>4412794.4870999996</c:v>
                </c:pt>
                <c:pt idx="22">
                  <c:v>4416344.6399260061</c:v>
                </c:pt>
                <c:pt idx="23">
                  <c:v>4419007.2545455107</c:v>
                </c:pt>
                <c:pt idx="26">
                  <c:v>4404410.3431884293</c:v>
                </c:pt>
                <c:pt idx="27">
                  <c:v>4407221.6251076739</c:v>
                </c:pt>
                <c:pt idx="28">
                  <c:v>4410970.0010000002</c:v>
                </c:pt>
                <c:pt idx="29">
                  <c:v>4437328.9976000004</c:v>
                </c:pt>
                <c:pt idx="30">
                  <c:v>4441077.3734923266</c:v>
                </c:pt>
                <c:pt idx="31">
                  <c:v>4443888.6554115713</c:v>
                </c:pt>
                <c:pt idx="34">
                  <c:v>4406643.6515580909</c:v>
                </c:pt>
                <c:pt idx="35">
                  <c:v>4409489.0872474806</c:v>
                </c:pt>
                <c:pt idx="36">
                  <c:v>4413283.0015000002</c:v>
                </c:pt>
                <c:pt idx="37">
                  <c:v>4436934.9972999999</c:v>
                </c:pt>
                <c:pt idx="38">
                  <c:v>4440728.9115525195</c:v>
                </c:pt>
                <c:pt idx="39">
                  <c:v>4443574.3472419092</c:v>
                </c:pt>
                <c:pt idx="42">
                  <c:v>4408801.9388487665</c:v>
                </c:pt>
                <c:pt idx="43">
                  <c:v>4411690.5356278662</c:v>
                </c:pt>
                <c:pt idx="44">
                  <c:v>4415541.9979999997</c:v>
                </c:pt>
                <c:pt idx="45">
                  <c:v>4436484.0023999996</c:v>
                </c:pt>
                <c:pt idx="46">
                  <c:v>4440335.4647721332</c:v>
                </c:pt>
                <c:pt idx="47">
                  <c:v>4443224.0615512328</c:v>
                </c:pt>
              </c:numCache>
            </c:numRef>
          </c:xVal>
          <c:yVal>
            <c:numRef>
              <c:f>ApplyForwardEx!$E$16:$E$63</c:f>
              <c:numCache>
                <c:formatCode>0.00</c:formatCode>
                <c:ptCount val="48"/>
                <c:pt idx="0">
                  <c:v>4511477.2929155556</c:v>
                </c:pt>
                <c:pt idx="1">
                  <c:v>4512035.3816660317</c:v>
                </c:pt>
                <c:pt idx="2">
                  <c:v>4512779.5</c:v>
                </c:pt>
                <c:pt idx="3">
                  <c:v>4516827</c:v>
                </c:pt>
                <c:pt idx="4">
                  <c:v>4517571.1183339683</c:v>
                </c:pt>
                <c:pt idx="5">
                  <c:v>4518129.2070844444</c:v>
                </c:pt>
                <c:pt idx="8">
                  <c:v>4509248.2137425337</c:v>
                </c:pt>
                <c:pt idx="9">
                  <c:v>4509971.1221385906</c:v>
                </c:pt>
                <c:pt idx="10">
                  <c:v>4510935</c:v>
                </c:pt>
                <c:pt idx="11">
                  <c:v>4513180</c:v>
                </c:pt>
                <c:pt idx="12">
                  <c:v>4518740</c:v>
                </c:pt>
                <c:pt idx="13">
                  <c:v>4519777.2910376322</c:v>
                </c:pt>
                <c:pt idx="14">
                  <c:v>4520555.2593158567</c:v>
                </c:pt>
                <c:pt idx="17">
                  <c:v>4525483.832561858</c:v>
                </c:pt>
                <c:pt idx="18">
                  <c:v>4524196.0807782048</c:v>
                </c:pt>
                <c:pt idx="19">
                  <c:v>4522479.0784</c:v>
                </c:pt>
                <c:pt idx="20">
                  <c:v>4517866.0075000003</c:v>
                </c:pt>
                <c:pt idx="21">
                  <c:v>4514669.1546</c:v>
                </c:pt>
                <c:pt idx="22">
                  <c:v>4512826.2181084193</c:v>
                </c:pt>
                <c:pt idx="23">
                  <c:v>4511444.0157397343</c:v>
                </c:pt>
                <c:pt idx="26">
                  <c:v>4466849.4596596127</c:v>
                </c:pt>
                <c:pt idx="27">
                  <c:v>4467896.6912340643</c:v>
                </c:pt>
                <c:pt idx="28">
                  <c:v>4469293</c:v>
                </c:pt>
                <c:pt idx="29">
                  <c:v>4479111.9987000003</c:v>
                </c:pt>
                <c:pt idx="30">
                  <c:v>4480508.3074659361</c:v>
                </c:pt>
                <c:pt idx="31">
                  <c:v>4481555.5390403876</c:v>
                </c:pt>
                <c:pt idx="34">
                  <c:v>4464929.1109348536</c:v>
                </c:pt>
                <c:pt idx="35">
                  <c:v>4465879.6348627731</c:v>
                </c:pt>
                <c:pt idx="36">
                  <c:v>4467147.0000999998</c:v>
                </c:pt>
                <c:pt idx="37">
                  <c:v>4475048.0003000004</c:v>
                </c:pt>
                <c:pt idx="38">
                  <c:v>4476315.3655372271</c:v>
                </c:pt>
                <c:pt idx="39">
                  <c:v>4477265.8894651467</c:v>
                </c:pt>
                <c:pt idx="42">
                  <c:v>4463055.1312818611</c:v>
                </c:pt>
                <c:pt idx="43">
                  <c:v>4463865.0748896347</c:v>
                </c:pt>
                <c:pt idx="44">
                  <c:v>4464944.9996999996</c:v>
                </c:pt>
                <c:pt idx="45">
                  <c:v>4470817.0005000001</c:v>
                </c:pt>
                <c:pt idx="46">
                  <c:v>4471896.9253103649</c:v>
                </c:pt>
                <c:pt idx="47">
                  <c:v>4472706.8689181386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3-4B96-BDE7-96A49282B4BF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ApplyForwardEx!$D$66:$D$123</c:f>
              <c:numCache>
                <c:formatCode>0.00</c:formatCode>
                <c:ptCount val="58"/>
                <c:pt idx="0">
                  <c:v>4414260.3500275882</c:v>
                </c:pt>
                <c:pt idx="1">
                  <c:v>4416794.4632157646</c:v>
                </c:pt>
                <c:pt idx="2">
                  <c:v>4420173.2807999998</c:v>
                </c:pt>
                <c:pt idx="3">
                  <c:v>4428983.9234999996</c:v>
                </c:pt>
                <c:pt idx="4">
                  <c:v>4435281.0193999996</c:v>
                </c:pt>
                <c:pt idx="5">
                  <c:v>4438193.819369413</c:v>
                </c:pt>
                <c:pt idx="6">
                  <c:v>4440378.4193464732</c:v>
                </c:pt>
                <c:pt idx="9">
                  <c:v>4415630.3413818749</c:v>
                </c:pt>
                <c:pt idx="10">
                  <c:v>4418223.6560324999</c:v>
                </c:pt>
                <c:pt idx="11">
                  <c:v>4421681.4089000002</c:v>
                </c:pt>
                <c:pt idx="12">
                  <c:v>4431735.5955999997</c:v>
                </c:pt>
                <c:pt idx="13">
                  <c:v>4443430.2023999998</c:v>
                </c:pt>
                <c:pt idx="14">
                  <c:v>4446600.6983544026</c:v>
                </c:pt>
                <c:pt idx="15">
                  <c:v>4448978.5703202048</c:v>
                </c:pt>
                <c:pt idx="18">
                  <c:v>4420707.4260443719</c:v>
                </c:pt>
                <c:pt idx="19">
                  <c:v>4423301.9944539266</c:v>
                </c:pt>
                <c:pt idx="20">
                  <c:v>4426761.4189999998</c:v>
                </c:pt>
                <c:pt idx="21">
                  <c:v>4438561.6190999998</c:v>
                </c:pt>
                <c:pt idx="22">
                  <c:v>4455230.6425999999</c:v>
                </c:pt>
                <c:pt idx="23">
                  <c:v>4458578.0626816265</c:v>
                </c:pt>
                <c:pt idx="24">
                  <c:v>4461088.6277428465</c:v>
                </c:pt>
                <c:pt idx="27">
                  <c:v>4418722.884392594</c:v>
                </c:pt>
                <c:pt idx="28">
                  <c:v>4420927.2947243396</c:v>
                </c:pt>
                <c:pt idx="29">
                  <c:v>4423866.5085000005</c:v>
                </c:pt>
                <c:pt idx="30">
                  <c:v>4435733.0947000002</c:v>
                </c:pt>
                <c:pt idx="31">
                  <c:v>4451965.3147</c:v>
                </c:pt>
                <c:pt idx="32">
                  <c:v>4454867.260333728</c:v>
                </c:pt>
                <c:pt idx="33">
                  <c:v>4457043.7195590241</c:v>
                </c:pt>
                <c:pt idx="36">
                  <c:v>4425586.4315139065</c:v>
                </c:pt>
                <c:pt idx="37">
                  <c:v>4427957.9608650897</c:v>
                </c:pt>
                <c:pt idx="38">
                  <c:v>4431120</c:v>
                </c:pt>
                <c:pt idx="39">
                  <c:v>4455360</c:v>
                </c:pt>
                <c:pt idx="40">
                  <c:v>4458522.0391349103</c:v>
                </c:pt>
                <c:pt idx="41">
                  <c:v>4460893.5684860935</c:v>
                </c:pt>
                <c:pt idx="44">
                  <c:v>4413360.1537933266</c:v>
                </c:pt>
                <c:pt idx="45">
                  <c:v>4415348.6593104722</c:v>
                </c:pt>
                <c:pt idx="46">
                  <c:v>4418000</c:v>
                </c:pt>
                <c:pt idx="47">
                  <c:v>4437045</c:v>
                </c:pt>
                <c:pt idx="48">
                  <c:v>4439696.3406895278</c:v>
                </c:pt>
                <c:pt idx="49">
                  <c:v>4441684.8462066734</c:v>
                </c:pt>
                <c:pt idx="52">
                  <c:v>4428210.5100967251</c:v>
                </c:pt>
                <c:pt idx="53">
                  <c:v>4430652.7864838429</c:v>
                </c:pt>
                <c:pt idx="54">
                  <c:v>4433909.1550000003</c:v>
                </c:pt>
                <c:pt idx="55">
                  <c:v>4440780.4550999999</c:v>
                </c:pt>
                <c:pt idx="56">
                  <c:v>4444036.8236161573</c:v>
                </c:pt>
                <c:pt idx="57">
                  <c:v>4446479.1000032751</c:v>
                </c:pt>
              </c:numCache>
            </c:numRef>
          </c:xVal>
          <c:yVal>
            <c:numRef>
              <c:f>ApplyForwardEx!$E$66:$E$123</c:f>
              <c:numCache>
                <c:formatCode>0.00</c:formatCode>
                <c:ptCount val="58"/>
                <c:pt idx="0">
                  <c:v>4450574.3227219004</c:v>
                </c:pt>
                <c:pt idx="1">
                  <c:v>4452180.0220553717</c:v>
                </c:pt>
                <c:pt idx="2">
                  <c:v>4454320.9545</c:v>
                </c:pt>
                <c:pt idx="3">
                  <c:v>4459903.6739999996</c:v>
                </c:pt>
                <c:pt idx="4">
                  <c:v>4465830.3525</c:v>
                </c:pt>
                <c:pt idx="5">
                  <c:v>4468571.8112974633</c:v>
                </c:pt>
                <c:pt idx="6">
                  <c:v>4470627.9053955609</c:v>
                </c:pt>
                <c:pt idx="9">
                  <c:v>4441250.3036329644</c:v>
                </c:pt>
                <c:pt idx="10">
                  <c:v>4442758.5208331225</c:v>
                </c:pt>
                <c:pt idx="11">
                  <c:v>4444769.4770999998</c:v>
                </c:pt>
                <c:pt idx="12">
                  <c:v>4450616.7803999996</c:v>
                </c:pt>
                <c:pt idx="13">
                  <c:v>4459612.6317999996</c:v>
                </c:pt>
                <c:pt idx="14">
                  <c:v>4462051.4748460185</c:v>
                </c:pt>
                <c:pt idx="15">
                  <c:v>4463880.6071305331</c:v>
                </c:pt>
                <c:pt idx="18">
                  <c:v>4429507.8151147934</c:v>
                </c:pt>
                <c:pt idx="19">
                  <c:v>4431013.8744655959</c:v>
                </c:pt>
                <c:pt idx="20">
                  <c:v>4433021.9535999997</c:v>
                </c:pt>
                <c:pt idx="21">
                  <c:v>4439871.5713</c:v>
                </c:pt>
                <c:pt idx="22">
                  <c:v>4450775.5307999998</c:v>
                </c:pt>
                <c:pt idx="23">
                  <c:v>4452965.229134731</c:v>
                </c:pt>
                <c:pt idx="24">
                  <c:v>4454607.5028857794</c:v>
                </c:pt>
                <c:pt idx="27">
                  <c:v>4468581.3680245327</c:v>
                </c:pt>
                <c:pt idx="28">
                  <c:v>4466546.5277140187</c:v>
                </c:pt>
                <c:pt idx="29">
                  <c:v>4463833.4073000001</c:v>
                </c:pt>
                <c:pt idx="30">
                  <c:v>4452879.6354</c:v>
                </c:pt>
                <c:pt idx="31">
                  <c:v>4437480.8546000002</c:v>
                </c:pt>
                <c:pt idx="32">
                  <c:v>4434727.9086254323</c:v>
                </c:pt>
                <c:pt idx="33">
                  <c:v>4432663.1991445068</c:v>
                </c:pt>
                <c:pt idx="36">
                  <c:v>4468437.1458815532</c:v>
                </c:pt>
                <c:pt idx="37">
                  <c:v>4466599.7976466017</c:v>
                </c:pt>
                <c:pt idx="38">
                  <c:v>4464150</c:v>
                </c:pt>
                <c:pt idx="39">
                  <c:v>4445370</c:v>
                </c:pt>
                <c:pt idx="40">
                  <c:v>4442920.2023533983</c:v>
                </c:pt>
                <c:pt idx="41">
                  <c:v>4441082.8541184468</c:v>
                </c:pt>
                <c:pt idx="44">
                  <c:v>4456901.3573793834</c:v>
                </c:pt>
                <c:pt idx="45">
                  <c:v>4454655.0613596477</c:v>
                </c:pt>
                <c:pt idx="46">
                  <c:v>4451660</c:v>
                </c:pt>
                <c:pt idx="47">
                  <c:v>4430146</c:v>
                </c:pt>
                <c:pt idx="48">
                  <c:v>4427150.9386403523</c:v>
                </c:pt>
                <c:pt idx="49">
                  <c:v>4424904.6426206166</c:v>
                </c:pt>
                <c:pt idx="52">
                  <c:v>4452852.3097855086</c:v>
                </c:pt>
                <c:pt idx="53">
                  <c:v>4454594.5170202907</c:v>
                </c:pt>
                <c:pt idx="54">
                  <c:v>4456917.46</c:v>
                </c:pt>
                <c:pt idx="55">
                  <c:v>4461819.1283</c:v>
                </c:pt>
                <c:pt idx="56">
                  <c:v>4464142.0712797092</c:v>
                </c:pt>
                <c:pt idx="57">
                  <c:v>4465884.2785144914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83-4B96-BDE7-96A49282B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632384"/>
        <c:axId val="391633920"/>
      </c:scatterChart>
      <c:valAx>
        <c:axId val="39163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3920"/>
        <c:crosses val="autoZero"/>
        <c:crossBetween val="midCat"/>
        <c:majorUnit val="10000"/>
        <c:minorUnit val="2000"/>
      </c:valAx>
      <c:valAx>
        <c:axId val="3916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2384"/>
        <c:crosses val="autoZero"/>
        <c:crossBetween val="midCat"/>
        <c:majorUnit val="10000"/>
        <c:minorUnit val="2000"/>
      </c:valAx>
      <c:spPr>
        <a:noFill/>
        <a:ln w="1905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XfmTest!$D$16:$D$63</c:f>
              <c:numCache>
                <c:formatCode>#,##0.00</c:formatCode>
                <c:ptCount val="48"/>
                <c:pt idx="0">
                  <c:v>4384181.1909950031</c:v>
                </c:pt>
                <c:pt idx="1">
                  <c:v>4387128.8234257158</c:v>
                </c:pt>
                <c:pt idx="2">
                  <c:v>4391059</c:v>
                </c:pt>
                <c:pt idx="3">
                  <c:v>4412436.5</c:v>
                </c:pt>
                <c:pt idx="4">
                  <c:v>4416366.6765742842</c:v>
                </c:pt>
                <c:pt idx="5">
                  <c:v>4419314.3090049969</c:v>
                </c:pt>
                <c:pt idx="8">
                  <c:v>4387562.2711180365</c:v>
                </c:pt>
                <c:pt idx="9">
                  <c:v>4390473.8692103066</c:v>
                </c:pt>
                <c:pt idx="10">
                  <c:v>4394356</c:v>
                </c:pt>
                <c:pt idx="11">
                  <c:v>4403398</c:v>
                </c:pt>
                <c:pt idx="12">
                  <c:v>4424105</c:v>
                </c:pt>
                <c:pt idx="13">
                  <c:v>4427968.1628626352</c:v>
                </c:pt>
                <c:pt idx="14">
                  <c:v>4430865.5350096123</c:v>
                </c:pt>
                <c:pt idx="17">
                  <c:v>4390607.5559663102</c:v>
                </c:pt>
                <c:pt idx="18">
                  <c:v>4393317.1122664632</c:v>
                </c:pt>
                <c:pt idx="19">
                  <c:v>4396929.8540000003</c:v>
                </c:pt>
                <c:pt idx="20">
                  <c:v>4406636.2084999997</c:v>
                </c:pt>
                <c:pt idx="21">
                  <c:v>4412794.4870999996</c:v>
                </c:pt>
                <c:pt idx="22">
                  <c:v>4416344.6399260061</c:v>
                </c:pt>
                <c:pt idx="23">
                  <c:v>4419007.2545455107</c:v>
                </c:pt>
                <c:pt idx="26">
                  <c:v>4404410.3431884293</c:v>
                </c:pt>
                <c:pt idx="27">
                  <c:v>4407221.6251076739</c:v>
                </c:pt>
                <c:pt idx="28">
                  <c:v>4410970.0010000002</c:v>
                </c:pt>
                <c:pt idx="29">
                  <c:v>4437328.9976000004</c:v>
                </c:pt>
                <c:pt idx="30">
                  <c:v>4441077.3734923266</c:v>
                </c:pt>
                <c:pt idx="31">
                  <c:v>4443888.6554115713</c:v>
                </c:pt>
                <c:pt idx="34">
                  <c:v>4406643.6515580909</c:v>
                </c:pt>
                <c:pt idx="35">
                  <c:v>4409489.0872474806</c:v>
                </c:pt>
                <c:pt idx="36">
                  <c:v>4413283.0015000002</c:v>
                </c:pt>
                <c:pt idx="37">
                  <c:v>4436934.9972999999</c:v>
                </c:pt>
                <c:pt idx="38">
                  <c:v>4440728.9115525195</c:v>
                </c:pt>
                <c:pt idx="39">
                  <c:v>4443574.3472419092</c:v>
                </c:pt>
                <c:pt idx="42">
                  <c:v>4408801.9388487665</c:v>
                </c:pt>
                <c:pt idx="43">
                  <c:v>4411690.5356278662</c:v>
                </c:pt>
                <c:pt idx="44">
                  <c:v>4415541.9979999997</c:v>
                </c:pt>
                <c:pt idx="45">
                  <c:v>4436484.0023999996</c:v>
                </c:pt>
                <c:pt idx="46">
                  <c:v>4440335.4647721332</c:v>
                </c:pt>
                <c:pt idx="47">
                  <c:v>4443224.0615512328</c:v>
                </c:pt>
              </c:numCache>
            </c:numRef>
          </c:xVal>
          <c:yVal>
            <c:numRef>
              <c:f>XfmTest!$E$16:$E$63</c:f>
              <c:numCache>
                <c:formatCode>#,##0.00</c:formatCode>
                <c:ptCount val="48"/>
                <c:pt idx="0">
                  <c:v>4511477.2929155556</c:v>
                </c:pt>
                <c:pt idx="1">
                  <c:v>4512035.3816660317</c:v>
                </c:pt>
                <c:pt idx="2">
                  <c:v>4512779.5</c:v>
                </c:pt>
                <c:pt idx="3">
                  <c:v>4516827</c:v>
                </c:pt>
                <c:pt idx="4">
                  <c:v>4517571.1183339683</c:v>
                </c:pt>
                <c:pt idx="5">
                  <c:v>4518129.2070844444</c:v>
                </c:pt>
                <c:pt idx="8">
                  <c:v>4509248.2137425337</c:v>
                </c:pt>
                <c:pt idx="9">
                  <c:v>4509971.1221385906</c:v>
                </c:pt>
                <c:pt idx="10">
                  <c:v>4510935</c:v>
                </c:pt>
                <c:pt idx="11">
                  <c:v>4513180</c:v>
                </c:pt>
                <c:pt idx="12">
                  <c:v>4518740</c:v>
                </c:pt>
                <c:pt idx="13">
                  <c:v>4519777.2910376322</c:v>
                </c:pt>
                <c:pt idx="14">
                  <c:v>4520555.2593158567</c:v>
                </c:pt>
                <c:pt idx="17">
                  <c:v>4525483.832561858</c:v>
                </c:pt>
                <c:pt idx="18">
                  <c:v>4524196.0807782048</c:v>
                </c:pt>
                <c:pt idx="19">
                  <c:v>4522479.0784</c:v>
                </c:pt>
                <c:pt idx="20">
                  <c:v>4517866.0075000003</c:v>
                </c:pt>
                <c:pt idx="21">
                  <c:v>4514669.1546</c:v>
                </c:pt>
                <c:pt idx="22">
                  <c:v>4512826.2181084193</c:v>
                </c:pt>
                <c:pt idx="23">
                  <c:v>4511444.0157397343</c:v>
                </c:pt>
                <c:pt idx="26">
                  <c:v>4466849.4596596127</c:v>
                </c:pt>
                <c:pt idx="27">
                  <c:v>4467896.6912340643</c:v>
                </c:pt>
                <c:pt idx="28">
                  <c:v>4469293</c:v>
                </c:pt>
                <c:pt idx="29">
                  <c:v>4479111.9987000003</c:v>
                </c:pt>
                <c:pt idx="30">
                  <c:v>4480508.3074659361</c:v>
                </c:pt>
                <c:pt idx="31">
                  <c:v>4481555.5390403876</c:v>
                </c:pt>
                <c:pt idx="34">
                  <c:v>4464929.1109348536</c:v>
                </c:pt>
                <c:pt idx="35">
                  <c:v>4465879.6348627731</c:v>
                </c:pt>
                <c:pt idx="36">
                  <c:v>4467147.0000999998</c:v>
                </c:pt>
                <c:pt idx="37">
                  <c:v>4475048.0003000004</c:v>
                </c:pt>
                <c:pt idx="38">
                  <c:v>4476315.3655372271</c:v>
                </c:pt>
                <c:pt idx="39">
                  <c:v>4477265.8894651467</c:v>
                </c:pt>
                <c:pt idx="42">
                  <c:v>4463055.1312818611</c:v>
                </c:pt>
                <c:pt idx="43">
                  <c:v>4463865.0748896347</c:v>
                </c:pt>
                <c:pt idx="44">
                  <c:v>4464944.9996999996</c:v>
                </c:pt>
                <c:pt idx="45">
                  <c:v>4470817.0005000001</c:v>
                </c:pt>
                <c:pt idx="46">
                  <c:v>4471896.9253103649</c:v>
                </c:pt>
                <c:pt idx="47">
                  <c:v>4472706.8689181386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C-46C3-9568-DBB10469B1B0}"/>
            </c:ext>
          </c:extLst>
        </c:ser>
        <c:ser>
          <c:idx val="1"/>
          <c:order val="1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XfmTest!$D$66:$D$123</c:f>
              <c:numCache>
                <c:formatCode>#,##0.00</c:formatCode>
                <c:ptCount val="58"/>
                <c:pt idx="0">
                  <c:v>4414260.3500275882</c:v>
                </c:pt>
                <c:pt idx="1">
                  <c:v>4416794.4632157646</c:v>
                </c:pt>
                <c:pt idx="2">
                  <c:v>4420173.2807999998</c:v>
                </c:pt>
                <c:pt idx="3">
                  <c:v>4428983.9234999996</c:v>
                </c:pt>
                <c:pt idx="4">
                  <c:v>4435281.0193999996</c:v>
                </c:pt>
                <c:pt idx="5">
                  <c:v>4438193.819369413</c:v>
                </c:pt>
                <c:pt idx="6">
                  <c:v>4440378.4193464732</c:v>
                </c:pt>
                <c:pt idx="9">
                  <c:v>4415630.3413818749</c:v>
                </c:pt>
                <c:pt idx="10">
                  <c:v>4418223.6560324999</c:v>
                </c:pt>
                <c:pt idx="11">
                  <c:v>4421681.4089000002</c:v>
                </c:pt>
                <c:pt idx="12">
                  <c:v>4431735.5955999997</c:v>
                </c:pt>
                <c:pt idx="13">
                  <c:v>4443430.2023999998</c:v>
                </c:pt>
                <c:pt idx="14">
                  <c:v>4446600.6983544026</c:v>
                </c:pt>
                <c:pt idx="15">
                  <c:v>4448978.5703202048</c:v>
                </c:pt>
                <c:pt idx="18">
                  <c:v>4420707.4260443719</c:v>
                </c:pt>
                <c:pt idx="19">
                  <c:v>4423301.9944539266</c:v>
                </c:pt>
                <c:pt idx="20">
                  <c:v>4426761.4189999998</c:v>
                </c:pt>
                <c:pt idx="21">
                  <c:v>4438561.6190999998</c:v>
                </c:pt>
                <c:pt idx="22">
                  <c:v>4455230.6425999999</c:v>
                </c:pt>
                <c:pt idx="23">
                  <c:v>4458578.0626816265</c:v>
                </c:pt>
                <c:pt idx="24">
                  <c:v>4461088.6277428465</c:v>
                </c:pt>
                <c:pt idx="27">
                  <c:v>4418722.884392594</c:v>
                </c:pt>
                <c:pt idx="28">
                  <c:v>4420927.2947243396</c:v>
                </c:pt>
                <c:pt idx="29">
                  <c:v>4423866.5085000005</c:v>
                </c:pt>
                <c:pt idx="30">
                  <c:v>4435733.0947000002</c:v>
                </c:pt>
                <c:pt idx="31">
                  <c:v>4451965.3147</c:v>
                </c:pt>
                <c:pt idx="32">
                  <c:v>4454867.260333728</c:v>
                </c:pt>
                <c:pt idx="33">
                  <c:v>4457043.7195590241</c:v>
                </c:pt>
                <c:pt idx="36">
                  <c:v>4425586.4315139065</c:v>
                </c:pt>
                <c:pt idx="37">
                  <c:v>4427957.9608650897</c:v>
                </c:pt>
                <c:pt idx="38">
                  <c:v>4431120</c:v>
                </c:pt>
                <c:pt idx="39">
                  <c:v>4455360</c:v>
                </c:pt>
                <c:pt idx="40">
                  <c:v>4458522.0391349103</c:v>
                </c:pt>
                <c:pt idx="41">
                  <c:v>4460893.5684860935</c:v>
                </c:pt>
                <c:pt idx="44">
                  <c:v>4413360.1537933266</c:v>
                </c:pt>
                <c:pt idx="45">
                  <c:v>4415348.6593104722</c:v>
                </c:pt>
                <c:pt idx="46">
                  <c:v>4418000</c:v>
                </c:pt>
                <c:pt idx="47">
                  <c:v>4437045</c:v>
                </c:pt>
                <c:pt idx="48">
                  <c:v>4439696.3406895278</c:v>
                </c:pt>
                <c:pt idx="49">
                  <c:v>4441684.8462066734</c:v>
                </c:pt>
                <c:pt idx="52">
                  <c:v>4428210.5100967251</c:v>
                </c:pt>
                <c:pt idx="53">
                  <c:v>4430652.7864838429</c:v>
                </c:pt>
                <c:pt idx="54">
                  <c:v>4433909.1550000003</c:v>
                </c:pt>
                <c:pt idx="55">
                  <c:v>4440780.4550999999</c:v>
                </c:pt>
                <c:pt idx="56">
                  <c:v>4444036.8236161573</c:v>
                </c:pt>
                <c:pt idx="57">
                  <c:v>4446479.1000032751</c:v>
                </c:pt>
              </c:numCache>
            </c:numRef>
          </c:xVal>
          <c:yVal>
            <c:numRef>
              <c:f>XfmTest!$E$66:$E$123</c:f>
              <c:numCache>
                <c:formatCode>#,##0.00</c:formatCode>
                <c:ptCount val="58"/>
                <c:pt idx="0">
                  <c:v>4450574.3227219004</c:v>
                </c:pt>
                <c:pt idx="1">
                  <c:v>4452180.0220553717</c:v>
                </c:pt>
                <c:pt idx="2">
                  <c:v>4454320.9545</c:v>
                </c:pt>
                <c:pt idx="3">
                  <c:v>4459903.6739999996</c:v>
                </c:pt>
                <c:pt idx="4">
                  <c:v>4465830.3525</c:v>
                </c:pt>
                <c:pt idx="5">
                  <c:v>4468571.8112974633</c:v>
                </c:pt>
                <c:pt idx="6">
                  <c:v>4470627.9053955609</c:v>
                </c:pt>
                <c:pt idx="9">
                  <c:v>4441250.3036329644</c:v>
                </c:pt>
                <c:pt idx="10">
                  <c:v>4442758.5208331225</c:v>
                </c:pt>
                <c:pt idx="11">
                  <c:v>4444769.4770999998</c:v>
                </c:pt>
                <c:pt idx="12">
                  <c:v>4450616.7803999996</c:v>
                </c:pt>
                <c:pt idx="13">
                  <c:v>4459612.6317999996</c:v>
                </c:pt>
                <c:pt idx="14">
                  <c:v>4462051.4748460185</c:v>
                </c:pt>
                <c:pt idx="15">
                  <c:v>4463880.6071305331</c:v>
                </c:pt>
                <c:pt idx="18">
                  <c:v>4429507.8151147934</c:v>
                </c:pt>
                <c:pt idx="19">
                  <c:v>4431013.8744655959</c:v>
                </c:pt>
                <c:pt idx="20">
                  <c:v>4433021.9535999997</c:v>
                </c:pt>
                <c:pt idx="21">
                  <c:v>4439871.5713</c:v>
                </c:pt>
                <c:pt idx="22">
                  <c:v>4450775.5307999998</c:v>
                </c:pt>
                <c:pt idx="23">
                  <c:v>4452965.229134731</c:v>
                </c:pt>
                <c:pt idx="24">
                  <c:v>4454607.5028857794</c:v>
                </c:pt>
                <c:pt idx="27">
                  <c:v>4468581.3680245327</c:v>
                </c:pt>
                <c:pt idx="28">
                  <c:v>4466546.5277140187</c:v>
                </c:pt>
                <c:pt idx="29">
                  <c:v>4463833.4073000001</c:v>
                </c:pt>
                <c:pt idx="30">
                  <c:v>4452879.6354</c:v>
                </c:pt>
                <c:pt idx="31">
                  <c:v>4437480.8546000002</c:v>
                </c:pt>
                <c:pt idx="32">
                  <c:v>4434727.9086254323</c:v>
                </c:pt>
                <c:pt idx="33">
                  <c:v>4432663.1991445068</c:v>
                </c:pt>
                <c:pt idx="36">
                  <c:v>4468437.1458815532</c:v>
                </c:pt>
                <c:pt idx="37">
                  <c:v>4466599.7976466017</c:v>
                </c:pt>
                <c:pt idx="38">
                  <c:v>4464150</c:v>
                </c:pt>
                <c:pt idx="39">
                  <c:v>4445370</c:v>
                </c:pt>
                <c:pt idx="40">
                  <c:v>4442920.2023533983</c:v>
                </c:pt>
                <c:pt idx="41">
                  <c:v>4441082.8541184468</c:v>
                </c:pt>
                <c:pt idx="44">
                  <c:v>4456901.3573793834</c:v>
                </c:pt>
                <c:pt idx="45">
                  <c:v>4454655.0613596477</c:v>
                </c:pt>
                <c:pt idx="46">
                  <c:v>4451660</c:v>
                </c:pt>
                <c:pt idx="47">
                  <c:v>4430146</c:v>
                </c:pt>
                <c:pt idx="48">
                  <c:v>4427150.9386403523</c:v>
                </c:pt>
                <c:pt idx="49">
                  <c:v>4424904.6426206166</c:v>
                </c:pt>
                <c:pt idx="52">
                  <c:v>4452852.3097855086</c:v>
                </c:pt>
                <c:pt idx="53">
                  <c:v>4454594.5170202907</c:v>
                </c:pt>
                <c:pt idx="54">
                  <c:v>4456917.46</c:v>
                </c:pt>
                <c:pt idx="55">
                  <c:v>4461819.1283</c:v>
                </c:pt>
                <c:pt idx="56">
                  <c:v>4464142.0712797092</c:v>
                </c:pt>
                <c:pt idx="57">
                  <c:v>4465884.2785144914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BC-46C3-9568-DBB10469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632384"/>
        <c:axId val="391633920"/>
      </c:scatterChart>
      <c:valAx>
        <c:axId val="39163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3920"/>
        <c:crosses val="autoZero"/>
        <c:crossBetween val="midCat"/>
        <c:majorUnit val="10000"/>
        <c:minorUnit val="2000"/>
      </c:valAx>
      <c:valAx>
        <c:axId val="3916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1632384"/>
        <c:crosses val="autoZero"/>
        <c:crossBetween val="midCat"/>
        <c:majorUnit val="10000"/>
        <c:minorUnit val="2000"/>
      </c:valAx>
      <c:spPr>
        <a:noFill/>
        <a:ln w="1905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91440</xdr:colOff>
      <xdr:row>11</xdr:row>
      <xdr:rowOff>25717</xdr:rowOff>
    </xdr:from>
    <xdr:to>
      <xdr:col>25</xdr:col>
      <xdr:colOff>213360</xdr:colOff>
      <xdr:row>50</xdr:row>
      <xdr:rowOff>107632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</xdr:colOff>
      <xdr:row>0</xdr:row>
      <xdr:rowOff>138430</xdr:rowOff>
    </xdr:from>
    <xdr:to>
      <xdr:col>11</xdr:col>
      <xdr:colOff>476250</xdr:colOff>
      <xdr:row>16</xdr:row>
      <xdr:rowOff>168910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848578-A0C9-40A2-A91A-E828DC04D40F}"/>
            </a:ext>
          </a:extLst>
        </xdr:cNvPr>
        <xdr:cNvSpPr txBox="1"/>
      </xdr:nvSpPr>
      <xdr:spPr>
        <a:xfrm>
          <a:off x="7660640" y="138430"/>
          <a:ext cx="3261360" cy="306578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Albanian_1987_GK_Zone_4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WKID: 2462 Authority: EPSG</a:t>
          </a:r>
          <a:r>
            <a:rPr lang="nl-NL"/>
            <a:t> 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Projection: Gauss_Kruger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False_Easting: 4500000.0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False_Northing: 0.0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Central_Meridian: 21.0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Scale_Factor: 1.0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Latitude_Of_Origin: 0.0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Linear Unit: Meter (1.0)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Geographic Coordinate System: GCS_Albanian_1987</a:t>
          </a:r>
          <a:r>
            <a:rPr lang="nl-NL"/>
            <a:t> </a:t>
          </a:r>
          <a:br>
            <a:rPr lang="nl-NL"/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Angular Unit: Degree (0.0174532925199433)</a:t>
          </a:r>
          <a:r>
            <a:rPr lang="nl-NL"/>
            <a:t> </a:t>
          </a:r>
          <a:br>
            <a:rPr lang="nl-NL"/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 Meridian: Greenwich (0.0)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Datum: D_Albanian_1987</a:t>
          </a:r>
          <a:r>
            <a:rPr lang="nl-NL"/>
            <a:t> 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Semimajor Axis: 6378245.0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Semiminor Axis: 6356863.018773047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Inverse Flattening: 298.3</a:t>
          </a:r>
          <a:r>
            <a:rPr lang="nl-NL"/>
            <a:t> 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960120</xdr:colOff>
      <xdr:row>15</xdr:row>
      <xdr:rowOff>142240</xdr:rowOff>
    </xdr:from>
    <xdr:to>
      <xdr:col>17</xdr:col>
      <xdr:colOff>4785360</xdr:colOff>
      <xdr:row>53</xdr:row>
      <xdr:rowOff>36830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8A48A2D-16AF-4855-A8C4-21DA642FF325}"/>
            </a:ext>
          </a:extLst>
        </xdr:cNvPr>
        <xdr:cNvSpPr txBox="1"/>
      </xdr:nvSpPr>
      <xdr:spPr>
        <a:xfrm>
          <a:off x="16219170" y="2987040"/>
          <a:ext cx="5977890" cy="712089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PROJCRS["Albanian 1987 / Gauss-Kruger zone 4 (with axis order normalized for visualization)",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BASEGEOGCRS["Albanian 1987",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DATUM["Albanian 1987",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ELLIPSOID["Krassowsky 1940",6378245,298.3,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LENGTHUNIT["metre",1]]],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PRIMEM["Greenwich",0,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ANGLEUNIT["degree",0.0174532925199433]],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ID["EPSG",4191]],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CONVERSION["6-degree Gauss-Kruger zone 4",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METHOD["Transverse Mercator",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ID["EPSG",9807]],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PARAMETER["Latitude of natural origin",0,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ANGLEUNIT["degree",0.0174532925199433],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ID["EPSG",8801]],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PARAMETER["Longitude of natural origin",21,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ANGLEUNIT["degree",0.0174532925199433],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ID["EPSG",8802]],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PARAMETER["Scale factor at natural origin",1,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SCALEUNIT["unity",1],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ID["EPSG",8805]],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PARAMETER["False easting",4500000,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ID["EPSG",8806]],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PARAMETER["False northing",0,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ID["EPSG",8807]],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ID["EPSG",16204]],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CS[Cartesian,2],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AXIS["easting (Y)",east,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ORDER[1],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ID["EPSG",9001]]],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AXIS["northing (X)",north,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ORDER[2],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ID["EPSG",9001]]],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USAGE[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SCOPE["Cadastre, engineering survey, topographic mapping."],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AREA["Albania - onshore."],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BBOX[39.64,19.22,42.67,21.06]],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REMARK["Axis order reversed compared to EPSG:2462"]]</a:t>
          </a:r>
          <a:r>
            <a:rPr lang="nl-NL"/>
            <a:t> </a:t>
          </a:r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91440</xdr:colOff>
      <xdr:row>11</xdr:row>
      <xdr:rowOff>25717</xdr:rowOff>
    </xdr:from>
    <xdr:to>
      <xdr:col>27</xdr:col>
      <xdr:colOff>213360</xdr:colOff>
      <xdr:row>50</xdr:row>
      <xdr:rowOff>107632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7B99E-24B7-4E31-A0A3-14614BB4B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695960</xdr:colOff>
      <xdr:row>13</xdr:row>
      <xdr:rowOff>46990</xdr:rowOff>
    </xdr:from>
    <xdr:to>
      <xdr:col>9</xdr:col>
      <xdr:colOff>138480</xdr:colOff>
      <xdr:row>19</xdr:row>
      <xdr:rowOff>39369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BD0C99A-6A22-4B9D-BD65-6F40AD31FA2E}"/>
            </a:ext>
          </a:extLst>
        </xdr:cNvPr>
        <xdr:cNvSpPr/>
      </xdr:nvSpPr>
      <xdr:spPr>
        <a:xfrm>
          <a:off x="7357110" y="2517140"/>
          <a:ext cx="1468170" cy="11353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Annotation Tests</a:t>
          </a:r>
          <a:endParaRPr lang="en-NL" sz="1400"/>
        </a:p>
      </xdr:txBody>
    </xdr:sp>
    <xdr:clientData/>
  </xdr:twoCellAnchor>
  <xdr:twoCellAnchor>
    <xdr:from>
      <xdr:col>19</xdr:col>
      <xdr:colOff>624840</xdr:colOff>
      <xdr:row>15</xdr:row>
      <xdr:rowOff>160020</xdr:rowOff>
    </xdr:from>
    <xdr:to>
      <xdr:col>20</xdr:col>
      <xdr:colOff>266700</xdr:colOff>
      <xdr:row>122</xdr:row>
      <xdr:rowOff>182880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2C5E4E-A907-414C-82D7-DBC56DFD912A}"/>
            </a:ext>
          </a:extLst>
        </xdr:cNvPr>
        <xdr:cNvSpPr txBox="1"/>
      </xdr:nvSpPr>
      <xdr:spPr>
        <a:xfrm>
          <a:off x="22684740" y="3009900"/>
          <a:ext cx="5509260" cy="2036064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GPX</a:t>
          </a:r>
        </a:p>
        <a:p>
          <a:endParaRPr lang="nl-NL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"&lt;?xml version=""1.0"" ?&gt;&lt;gpx xmlns=""http://www.topografix.com/GPX/1/1"" xmlns:xsi=""http://www.w3.org/2001/XMLSchema-instance"" xsi:schemaLocation=""http://www.topografix.com/GPX/1/1 http://www.topografix.com/GPX/1/1/gpx.xsd"" version=""1.1"" creator=""GPS Data Team ( http://www.gps-data-team.com )""&gt;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&lt;trk&gt;&lt;name&gt;A_001&lt;/name&gt;&lt;cmt&gt;Comment 1&lt;/cmt&gt;&lt;desc&gt;Description 1&lt;/desc&gt;&lt;type &gt;line 1&lt;/type 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lat=""40.72865741"" lon=""19.62750129""&gt;&lt;ele&gt;77.0&lt;/ele&gt;&lt;name&gt;Line 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lat=""40.73409119"" lon=""19.66228249""&gt;&lt;ele&gt;621.0&lt;/ele&gt;&lt;name&gt;Line 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lat=""40.74132006"" lon=""19.70866663""&gt;&lt;ele&gt;636.0&lt;/ele&gt;&lt;name&gt;Line 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lat=""40.78031571"" lon=""19.96114792""&gt;&lt;ele&gt;599.0&lt;/ele&gt;&lt;name&gt;Line 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lat=""40.78742515"" lon=""20.00759903""&gt;&lt;ele&gt;906.0&lt;/ele&gt;&lt;name&gt;Line 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lat=""40.79274503"" lon=""20.04244409""&gt;&lt;ele&gt;136.0&lt;/ele&gt;&lt;name&gt;Line 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&lt;trk&gt;&lt;name&gt;A_002&lt;/name&gt;&lt;trkseg&gt;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lat=""40.70905889"" lon=""19.66791271""&gt;&lt;ele&gt;956.0&lt;/ele&gt;&lt;time&gt;2022-03-07T09:45:00&lt;/time&gt;&lt;/trkpt&gt;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lat=""40.71595944"" lon=""19.70223219""&gt;&lt;ele&gt;344.0&lt;/ele&gt;&lt;time&gt;2022-03-07T10:09:00&lt;/time&gt;&lt;/trkpt&gt;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lat=""40.72514444"" lon=""19.74800291""&gt;&lt;ele&gt;458.0&lt;/ele&gt;&lt;time&gt;2022-03-07T10:33:00&lt;/time&gt;&lt;/trkpt&gt;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lat=""40.74646776"" lon=""19.85465938""&gt;&lt;ele&gt;590.0&lt;/ele&gt;&lt;time&gt;2022-03-07T10:57:00&lt;/time&gt;&lt;/trkpt&gt;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lat=""40.79870154"" lon=""20.09912497""&gt;&lt;ele&gt;331.0&lt;/ele&gt;&lt;time&gt;2022-03-07T11:21:00&lt;/time&gt;&lt;/trkpt&gt;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lat=""40.80838949"" lon=""20.14477660""&gt;&lt;ele&gt;460.0&lt;/ele&gt;&lt;time&gt;2022-03-07T11:45:00&lt;/time&gt;&lt;/trkpt&gt;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lat=""40.81564368"" lon=""20.17902421""&gt;&lt;ele&gt;820.0&lt;/ele&gt;&lt;time&gt;2022-03-07T12:09:00&lt;/time&gt;&lt;/trkpt&gt;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&lt;trk&gt;&lt;name&gt;A_003&lt;/name&gt;&lt;trkseg&gt;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lat=""40.85563173"" lon=""19.70109529""&gt;&lt;ele&gt;48.0&lt;/ele&gt;&lt;name&gt;Line 19&lt;/name&gt;&lt;/trkpt&gt;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lat=""40.84439597"" lon=""19.73344265""&gt;&lt;ele&gt;928.0&lt;/ele&gt;&lt;name&gt;Line 20&lt;/name&gt;&lt;/trkpt&gt;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lat=""40.82940056"" lon=""19.77655573""&gt;&lt;ele&gt;37.0&lt;/ele&gt;&lt;name&gt;Line 21&lt;/name&gt;&lt;/trkpt&gt;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lat=""40.78903112"" lon=""19.89229294""&gt;&lt;ele&gt;762.0&lt;/ele&gt;&lt;name&gt;Line 22&lt;/name&gt;&lt;/trkpt&gt;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lat=""40.76092575"" lon=""19.96568939""&gt;&lt;ele&gt;476.0&lt;/ele&gt;&lt;name&gt;Line 23&lt;/name&gt;&lt;/trkpt&gt;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lat=""40.74470183"" lon=""20.00797354""&gt;&lt;ele&gt;385.0&lt;/ele&gt;&lt;name&gt;Line 24&lt;/name&gt;&lt;/trkpt&gt;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lat=""40.73252354"" lon=""20.03967331""&gt;&lt;ele&gt;343.0&lt;/ele&gt;&lt;name&gt;Line 25&lt;/name&gt;&lt;/trkpt&gt;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&lt;trk&gt;&lt;name&gt;B_008&lt;/name&gt;&lt;cmt&gt;Comment 2&lt;/cmt&gt;&lt;desc&gt;Description 2&lt;/desc&gt;&lt;type &gt;line 2&lt;/type 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lat=""40.32944753"" lon=""19.87365246""&gt;&lt;ele&gt;592.0&lt;/ele&gt;&lt;name&gt;Line 28&lt;/name&gt;&lt;/trkpt&gt;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lat=""40.33919413"" lon=""19.90657473""&gt;&lt;ele&gt;282.0&lt;/ele&gt;&lt;name&gt;Line 29&lt;/name&gt;&lt;/trkpt&gt;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lat=""40.35217520"" lon=""19.95048610""&gt;&lt;ele&gt;880.0&lt;/ele&gt;&lt;name&gt;Line 30&lt;/name&gt;&lt;/trkpt&gt;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lat=""40.44299225"" lon=""20.25975872""&gt;&lt;ele&gt;381.0&lt;/ele&gt;&lt;name&gt;Line 31&lt;/name&gt;&lt;/trkpt&gt;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lat=""40.45584015"" lon=""20.30380720""&gt;&lt;ele&gt;914.0&lt;/ele&gt;&lt;name&gt;Line 32&lt;/name&gt;&lt;/trkpt&gt;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lat=""40.46546513"" lon=""20.33685471""&gt;&lt;ele&gt;426.0&lt;/ele&gt;&lt;name&gt;Line 33&lt;/name&gt;&lt;/trkpt&gt;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&lt;trk&gt;&lt;name&gt;B_009&lt;/name&gt;&lt;trkseg&gt;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lat=""40.31240967"" lon=""19.90020776""&gt;&lt;ele&gt;438.0&lt;/ele&gt;&lt;name&gt;Line 36&lt;/name&gt;&lt;/trkpt&gt;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lat=""40.32128164"" lon=""19.93354127""&gt;&lt;ele&gt;349.0&lt;/ele&gt;&lt;name&gt;Line 37&lt;/name&gt;&lt;/trkpt&gt;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lat=""40.33309612"" lon=""19.97799982""&gt;&lt;ele&gt;818.0&lt;/ele&gt;&lt;name&gt;Line 38&lt;/name&gt;&lt;/trkpt&gt;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lat=""40.40636732"" lon=""20.25551871""&gt;&lt;ele&gt;533.0&lt;/ele&gt;&lt;name&gt;Line 39&lt;/name&gt;&lt;/trkpt&gt;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lat=""40.41805885"" lon=""20.30009113""&gt;&lt;ele&gt;302.0&lt;/ele&gt;&lt;name&gt;Line 40&lt;/name&gt;&lt;/trkpt&gt;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lat=""40.42681629"" lon=""20.33353071""&gt;&lt;ele&gt;699.0&lt;/ele&gt;&lt;name&gt;Line 41&lt;/name&gt;&lt;/trkpt&gt;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&lt;trk&gt;&lt;name&gt;B_010&lt;/name&gt;&lt;trkseg&gt;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lat=""40.29577482"" lon=""19.92586096""&gt;&lt;ele&gt;727.0&lt;/ele&gt;&lt;name&gt;Line 44&lt;/name&gt;&lt;/trkpt&gt;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lat=""40.30337811"" lon=""19.95971689""&gt;&lt;ele&gt;618.0&lt;/ele&gt;&lt;name&gt;Line 45&lt;/name&gt;&lt;/trkpt&gt;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lat=""40.31350055"" lon=""20.00487024""&gt;&lt;ele&gt;492.0&lt;/ele&gt;&lt;name&gt;Line 46&lt;/name&gt;&lt;/trkpt&gt;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lat=""40.36823389"" lon=""20.25062865""&gt;&lt;ele&gt;565.0&lt;/ele&gt;&lt;name&gt;Line 47&lt;/name&gt;&lt;/trkpt&gt;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lat=""40.37824342"" lon=""20.29587036""&gt;&lt;ele&gt;557.0&lt;/ele&gt;&lt;name&gt;Line 48&lt;/name&gt;&lt;/trkpt&gt;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lat=""40.38573901"" lon=""20.32981058""&gt;&lt;ele&gt;577.0&lt;/ele&gt;&lt;name&gt;Line 49&lt;/name&gt;&lt;/trkpt&gt;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&lt;trk&gt;&lt;name&gt;D_011&lt;/name&gt;&lt;trkseg&gt;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lat=""40.18397142"" lon=""19.99171711""&gt;&lt;ele&gt;552.0&lt;/ele&gt;&lt;name&gt;Line 52&lt;/name&gt;&lt;/trkpt&gt;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lat=""40.19868528"" lon=""20.02126020""&gt;&lt;ele&gt;327.0&lt;/ele&gt;&lt;name&gt;Line 53&lt;/name&gt;&lt;/trkpt&gt;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lat=""40.21829221"" lon=""20.06067099""&gt;&lt;ele&gt;880.0&lt;/ele&gt;&lt;name&gt;Line 54&lt;/name&gt;&lt;/trkpt&gt;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lat=""40.26935712"" lon=""20.16354660""&gt;&lt;ele&gt;125.0&lt;/ele&gt;&lt;name&gt;Line 55&lt;/name&gt;&lt;/trkpt&gt;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lat=""40.32323755"" lon=""20.23697239""&gt;&lt;ele&gt;252.0&lt;/ele&gt;&lt;name&gt;Line 56&lt;/name&gt;&lt;/trkpt&gt;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lat=""40.34814502"" lon=""20.27097592""&gt;&lt;ele&gt;863.0&lt;/ele&gt;&lt;name&gt;Line 57&lt;/name&gt;&lt;/trkpt&gt;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lat=""40.36681914"" lon=""20.29649500""&gt;&lt;ele&gt;521.0&lt;/ele&gt;&lt;name&gt;Line 58&lt;/name&gt;&lt;/trkpt&gt;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&lt;trk&gt;&lt;name&gt;D_012&lt;/name&gt;&lt;trkseg&gt;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lat=""40.10015177"" lon=""20.00902181""&gt;&lt;ele&gt;685.0&lt;/ele&gt;&lt;name&gt;Line 61&lt;/name&gt;&lt;/trkpt&gt;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lat=""40.11398901"" lon=""20.03923947""&gt;&lt;ele&gt;775.0&lt;/ele&gt;&lt;name&gt;Line 62&lt;/name&gt;&lt;/trkpt&gt;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lat=""40.13242656"" lon=""20.07954890""&gt;&lt;ele&gt;366.0&lt;/ele&gt;&lt;name&gt;Line 63&lt;/name&gt;&lt;/trkpt&gt;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lat=""40.18595905"" lon=""20.19688230""&gt;&lt;ele&gt;273.0&lt;/ele&gt;&lt;name&gt;Line 64&lt;/name&gt;&lt;/trkpt&gt;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lat=""40.26783938"" lon=""20.33339927""&gt;&lt;ele&gt;158.0&lt;/ele&gt;&lt;name&gt;Line 65&lt;/name&gt;&lt;/trkpt&gt;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lat=""40.29001025"" lon=""20.37046690""&gt;&lt;ele&gt;562.0&lt;/ele&gt;&lt;name&gt;Line 66&lt;/name&gt;&lt;/trkpt&gt;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lat=""40.30663068"" lon=""20.39828357""&gt;&lt;ele&gt;502.0&lt;/ele&gt;&lt;name&gt;Line 67&lt;/name&gt;&lt;/trkpt&gt;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&lt;trk&gt;&lt;name&gt;D_013&lt;/name&gt;&lt;trkseg&gt;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lat=""39.99490639"" lon=""20.06999344""&gt;&lt;ele&gt;850.0&lt;/ele&gt;&lt;name&gt;Line 70&lt;/name&gt;&lt;/trkpt&gt;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lat=""40.00870828"" lon=""20.10019263""&gt;&lt;ele&gt;741.0&lt;/ele&gt;&lt;name&gt;Line 71&lt;/name&gt;&lt;/trkpt&gt;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lat=""40.02709870"" lon=""20.14047727""&gt;&lt;ele&gt;209.0&lt;/ele&gt;&lt;name&gt;Line 72&lt;/name&gt;&lt;/trkpt&gt;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lat=""40.08972468"" lon=""20.27805340""&gt;&lt;ele&gt;60.0&lt;/ele&gt;&lt;name&gt;Line 73&lt;/name&gt;&lt;/trkpt&gt;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lat=""40.18897396"" lon=""20.47274082""&gt;&lt;ele&gt;297.0&lt;/ele&gt;&lt;name&gt;Line 74&lt;/name&gt;&lt;/trkpt&gt;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lat=""40.20886563"" lon=""20.51190595""&gt;&lt;ele&gt;541.0&lt;/ele&gt;&lt;name&gt;Line 75&lt;/name&gt;&lt;/trkpt&gt;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lat=""40.22377573"" lon=""20.54129488""&gt;&lt;ele&gt;944.0&lt;/ele&gt;&lt;name&gt;Line 76&lt;/name&gt;&lt;/trkpt&gt;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&lt;trk&gt;&lt;name&gt;D_014&lt;/name&gt;&lt;trkseg&gt;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lat=""40.34655953"" lon=""20.04182284""&gt;&lt;ele&gt;873.0&lt;/ele&gt;&lt;name&gt;Line 79&lt;/name&gt;&lt;/trkpt&gt;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lat=""40.32844903"" lon=""20.06801759""&gt;&lt;ele&gt;260.0&lt;/ele&gt;&lt;name&gt;Line 80&lt;/name&gt;&lt;/trkpt&gt;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lat=""40.30429215"" lon=""20.10292216""&gt;&lt;ele&gt;248.0&lt;/ele&gt;&lt;name&gt;Line 81&lt;/name&gt;&lt;/trkpt&gt;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lat=""40.20665226"" lon=""20.24359133""&gt;&lt;ele&gt;45.0&lt;/ele&gt;&lt;name&gt;Line 82&lt;/name&gt;&lt;/trkpt&gt;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lat=""40.06906793"" lon=""20.43539022""&gt;&lt;ele&gt;47.0&lt;/ele&gt;&lt;name&gt;Line 83&lt;/name&gt;&lt;/trkpt&gt;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lat=""40.04443667"" lon=""20.46959808""&gt;&lt;ele&gt;26.0&lt;/ele&gt;&lt;name&gt;Line 84&lt;/name&gt;&lt;/trkpt&gt;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lat=""40.02595642"" lon=""20.49523782""&gt;&lt;ele&gt;820.0&lt;/ele&gt;&lt;name&gt;Line 85&lt;/name&gt;&lt;/trkpt&gt;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&lt;trk&gt;&lt;name&gt;D_015&lt;/name&gt;&lt;trkseg&gt;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lat=""40.34590191"" lon=""20.12261409""&gt;&lt;ele&gt;34.0&lt;/ele&gt;&lt;name&gt;Line 88&lt;/name&gt;&lt;/trkpt&gt;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lat=""40.32956568"" lon=""20.15073125""&gt;&lt;ele&gt;18.0&lt;/ele&gt;&lt;name&gt;Line 89&lt;/name&gt;&lt;/trkpt&gt;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lat=""40.30777312"" lon=""20.18819977""&gt;&lt;ele&gt;936.0&lt;/ele&gt;&lt;name&gt;Line 90&lt;/name&gt;&lt;/trkpt&gt;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lat=""40.14030141"" lon=""20.47463523""&gt;&lt;ele&gt;665.0&lt;/ele&gt;&lt;name&gt;Line 91&lt;/name&gt;&lt;/trkpt&gt;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lat=""40.11840193"" lon=""20.51189631""&gt;&lt;ele&gt;806.0&lt;/ele&gt;&lt;name&gt;Line 92&lt;/name&gt;&lt;/trkpt&gt;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lat=""40.10196931"" lon=""20.53982647""&gt;&lt;ele&gt;8.0&lt;/ele&gt;&lt;name&gt;Line 93&lt;/name&gt;&lt;/trkpt&gt;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&lt;trk&gt;&lt;name&gt;D_016&lt;/name&gt;&lt;trkseg&gt;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lat=""40.24084983"" lon=""19.98029510""&gt;&lt;ele&gt;364.0&lt;/ele&gt;&lt;name&gt;Line 96&lt;/name&gt;&lt;/trkpt&gt;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lat=""40.22082681"" lon=""20.00395632""&gt;&lt;ele&gt;990.0&lt;/ele&gt;&lt;name&gt;Line 97&lt;/name&gt;&lt;/trkpt&gt;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lat=""40.19412156"" lon=""20.03548291""&gt;&lt;ele&gt;916.0&lt;/ele&gt;&lt;name&gt;Line 98&lt;/name&gt;&lt;/trkpt&gt;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lat=""40.00203074"" lon=""20.26121758""&gt;&lt;ele&gt;221.0&lt;/ele&gt;&lt;name&gt;Line 99&lt;/name&gt;&lt;/trkpt&gt;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lat=""39.97525263"" lon=""20.29254254""&gt;&lt;ele&gt;570.0&lt;/ele&gt;&lt;name&gt;Line 100&lt;/name&gt;&lt;/trkpt&gt;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lat=""39.95516326"" lon=""20.31602018""&gt;&lt;ele&gt;398.0&lt;/ele&gt;&lt;name&gt;Line 101&lt;/name&gt;&lt;/trkpt&gt;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&lt;trk&gt;&lt;name&gt;D_017&lt;/name&gt;&lt;trkseg&gt;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lat=""40.20579509"" lon=""20.15524439""&gt;&lt;ele&gt;790.0&lt;/ele&gt;&lt;name&gt;Line 104&lt;/name&gt;&lt;/trkpt&gt;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lat=""40.22168924"" lon=""20.18373939""&gt;&lt;ele&gt;618.0&lt;/ele&gt;&lt;name&gt;Line 105&lt;/name&gt;&lt;/trkpt&gt;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lat=""40.24287067"" lon=""20.22175353""&gt;&lt;ele&gt;443.0&lt;/ele&gt;&lt;name&gt;Line 106&lt;/name&gt;&lt;/trkpt&gt;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lat=""40.28752528"" lon=""20.30204570""&gt;&lt;ele&gt;539.0&lt;/ele&gt;&lt;name&gt;Line 107&lt;/name&gt;&lt;/trkpt&gt;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lat=""40.30866821"" lon=""20.34013389""&gt;&lt;ele&gt;819.0&lt;/ele&gt;&lt;name&gt;Line 108&lt;/name&gt;&lt;/trkpt&gt;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lat=""40.32451724"" lon=""20.36871567""&gt;&lt;ele&gt;792.0&lt;/ele&gt;&lt;name&gt;Line 109&lt;/name&gt;&lt;/trkpt&gt;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&lt;/gpx&gt;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endParaRPr lang="nl-NL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30480</xdr:colOff>
      <xdr:row>26</xdr:row>
      <xdr:rowOff>177800</xdr:rowOff>
    </xdr:from>
    <xdr:to>
      <xdr:col>34</xdr:col>
      <xdr:colOff>121920</xdr:colOff>
      <xdr:row>45</xdr:row>
      <xdr:rowOff>31750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383942-1EC6-4D38-994A-7590353F0B78}"/>
            </a:ext>
          </a:extLst>
        </xdr:cNvPr>
        <xdr:cNvSpPr txBox="1"/>
      </xdr:nvSpPr>
      <xdr:spPr>
        <a:xfrm>
          <a:off x="16572230" y="5118100"/>
          <a:ext cx="22564090" cy="34671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KML without elevation (2 input columns)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"&lt;?xml version=""1.0"" encoding=""UTF-8""?&gt;&lt;kml xmlns=""http://www.opengis.net/kml/2.2"" xmlns:gx=""http://www.google.com/kml/ext/2.2"" xmlns:atom=""http://www.w3.org/2005/Atom""&gt;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&lt;Document&gt;&lt;atom:author&gt;&lt;atom:name&gt;Bart Duijndam&lt;/atom:name&gt;&lt;/atom:author&gt;&lt;Style id=""style001""&gt;&lt;LineStyle&gt;&lt;color&gt;96ff00d5&lt;/color&gt;&lt;width&gt;3.0&lt;/width&gt;&lt;/LineStyle&gt;&lt;/Style&gt;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&lt;Placemark&gt;&lt;name&gt;&lt;name&gt;A_001&lt;/name&gt;&lt;/name&gt;&lt;styleUrl&gt;#style001&lt;/styleUrl&gt;&lt;MultiGeometry&gt;&lt;LineString&gt;&lt;coordinates&gt; 19.62750129,40.72865741 19.66228249,40.73409119 19.70866663,40.74132006 19.96114792,40.78031571 20.00759903,40.78742515 20.04244409,40.79274503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&lt;Placemark&gt;&lt;name&gt;&lt;name&gt;A_002&lt;/name&gt;&lt;/name&gt;&lt;styleUrl&gt;#style001&lt;/styleUrl&gt;&lt;MultiGeometry&gt;&lt;LineString&gt;&lt;coordinates&gt; 19.66791271,40.70905889 19.70223219,40.71595944 19.74800291,40.72514444 19.85465938,40.74646776 20.09912497,40.79870154 20.14477660,40.80838949 20.17902421,40.81564368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&lt;Placemark&gt;&lt;name&gt;&lt;name&gt;A_003&lt;/name&gt;&lt;/name&gt;&lt;styleUrl&gt;#style001&lt;/styleUrl&gt;&lt;MultiGeometry&gt;&lt;LineString&gt;&lt;coordinates&gt; 19.70109529,40.85563173 19.73344265,40.84439597 19.77655573,40.82940056 19.89229294,40.78903112 19.96568939,40.76092575 20.00797354,40.74470183 20.03967331,40.73252354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&lt;Placemark&gt;&lt;name&gt;&lt;name&gt;B_008&lt;/name&gt;&lt;/name&gt;&lt;styleUrl&gt;#style001&lt;/styleUrl&gt;&lt;MultiGeometry&gt;&lt;LineString&gt;&lt;coordinates&gt; 19.87365246,40.32944753 19.90657473,40.33919413 19.95048610,40.35217520 20.25975872,40.44299225 20.30380720,40.45584015 20.33685471,40.46546513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&lt;Placemark&gt;&lt;name&gt;&lt;name&gt;B_009&lt;/name&gt;&lt;/name&gt;&lt;styleUrl&gt;#style001&lt;/styleUrl&gt;&lt;MultiGeometry&gt;&lt;LineString&gt;&lt;coordinates&gt; 19.90020776,40.31240967 19.93354127,40.32128164 19.97799982,40.33309612 20.25551871,40.40636732 20.30009113,40.41805885 20.33353071,40.42681629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&lt;Placemark&gt;&lt;name&gt;&lt;name&gt;B_010&lt;/name&gt;&lt;/name&gt;&lt;styleUrl&gt;#style001&lt;/styleUrl&gt;&lt;MultiGeometry&gt;&lt;LineString&gt;&lt;coordinates&gt; 19.92586096,40.29577482 19.95971689,40.30337811 20.00487024,40.31350055 20.25062865,40.36823389 20.29587036,40.37824342 20.32981058,40.38573901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&lt;Placemark&gt;&lt;name&gt;&lt;name&gt;D_011&lt;/name&gt;&lt;/name&gt;&lt;styleUrl&gt;#style001&lt;/styleUrl&gt;&lt;MultiGeometry&gt;&lt;LineString&gt;&lt;coordinates&gt; 19.99171711,40.18397142 20.02126020,40.19868528 20.06067099,40.21829221 20.16354660,40.26935712 20.23697239,40.32323755 20.27097592,40.34814502 20.29649500,40.36681914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&lt;Placemark&gt;&lt;name&gt;&lt;name&gt;D_012&lt;/name&gt;&lt;/name&gt;&lt;styleUrl&gt;#style001&lt;/styleUrl&gt;&lt;MultiGeometry&gt;&lt;LineString&gt;&lt;coordinates&gt; 20.00902181,40.10015177 20.03923947,40.11398901 20.07954890,40.13242656 20.19688230,40.18595905 20.33339927,40.26783938 20.37046690,40.29001025 20.39828357,40.30663068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&lt;Placemark&gt;&lt;name&gt;&lt;name&gt;D_013&lt;/name&gt;&lt;/name&gt;&lt;styleUrl&gt;#style001&lt;/styleUrl&gt;&lt;MultiGeometry&gt;&lt;LineString&gt;&lt;coordinates&gt; 20.06999344,39.99490639 20.10019263,40.00870828 20.14047727,40.02709870 20.27805340,40.08972468 20.47274082,40.18897396 20.51190595,40.20886563 20.54129488,40.22377573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&lt;Placemark&gt;&lt;name&gt;&lt;name&gt;D_014&lt;/name&gt;&lt;/name&gt;&lt;styleUrl&gt;#style001&lt;/styleUrl&gt;&lt;MultiGeometry&gt;&lt;LineString&gt;&lt;coordinates&gt; 20.04182284,40.34655953 20.06801759,40.32844903 20.10292216,40.30429215 20.24359133,40.20665226 20.43539022,40.06906793 20.46959808,40.04443667 20.49523782,40.02595642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&lt;Placemark&gt;&lt;name&gt;&lt;name&gt;D_015&lt;/name&gt;&lt;/name&gt;&lt;styleUrl&gt;#style001&lt;/styleUrl&gt;&lt;MultiGeometry&gt;&lt;LineString&gt;&lt;coordinates&gt; 20.12261409,40.34590191 20.15073125,40.32956568 20.18819977,40.30777312 20.47463523,40.14030141 20.51189631,40.11840193 20.53982647,40.10196931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&lt;Placemark&gt;&lt;name&gt;&lt;name&gt;D_016&lt;/name&gt;&lt;/name&gt;&lt;styleUrl&gt;#style001&lt;/styleUrl&gt;&lt;MultiGeometry&gt;&lt;LineString&gt;&lt;coordinates&gt; 19.98029510,40.24084983 20.00395632,40.22082681 20.03548291,40.19412156 20.26121758,40.00203074 20.29254254,39.97525263 20.31602018,39.95516326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&lt;Placemark&gt;&lt;name&gt;&lt;name&gt;D_017&lt;/name&gt;&lt;/name&gt;&lt;styleUrl&gt;#style001&lt;/styleUrl&gt;&lt;MultiGeometry&gt;&lt;LineString&gt;&lt;coordinates&gt; 20.15524439,40.20579509 20.18373939,40.22168924 20.22175353,40.24287067 20.30204570,40.28752528 20.34013389,40.30866821 20.36871567,40.32451724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&lt;/Document&gt;&lt;/kml&gt;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12700</xdr:colOff>
      <xdr:row>47</xdr:row>
      <xdr:rowOff>69850</xdr:rowOff>
    </xdr:from>
    <xdr:to>
      <xdr:col>37</xdr:col>
      <xdr:colOff>462280</xdr:colOff>
      <xdr:row>64</xdr:row>
      <xdr:rowOff>156210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C8AE78-866D-447B-AC97-52EA54801070}"/>
            </a:ext>
          </a:extLst>
        </xdr:cNvPr>
        <xdr:cNvSpPr txBox="1"/>
      </xdr:nvSpPr>
      <xdr:spPr>
        <a:xfrm>
          <a:off x="16554450" y="9004300"/>
          <a:ext cx="24751030" cy="332486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KML with elevation (3 input columns)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&lt;?xml version="1.0" encoding="UTF-8"?&gt;&lt;kml xmlns="http://www.opengis.net/kml/2.2" xmlns:gx="http://www.google.com/kml/ext/2.2" xmlns:atom="http://www.w3.org/2005/Atom"&gt;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&lt;Document&gt;&lt;atom:author&gt;&lt;atom:name&gt;Bart Duijndam&lt;/atom:name&gt;&lt;/atom:author&gt;&lt;Style id="track001"&gt;&lt;LineStyle&gt;&lt;color&gt;96ff00d5&lt;/color&gt;&lt;width&gt;3.0&lt;/width&gt;&lt;/LineStyle&gt;&lt;/Style&gt;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&lt;Placemark&gt;&lt;name&gt;&lt;name&gt;A_001&lt;/name&gt;&lt;/name&gt;&lt;styleUrl&gt;#track001&lt;/styleUrl&gt;&lt;MultiGeometry&gt;&lt;LineString&gt;&lt;coordinates&gt; -19.62750129,-40.72865741,77.0 -19.66228249,-40.73409119,621.0 -19.70866663,-40.74132006,636.0 -19.96114792,-40.78031571,599.0 -20.00759903,-40.78742515,906.0 -20.04244409,-40.79274503,136.0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&lt;Placemark&gt;&lt;name&gt;&lt;name&gt;segment 2&lt;/name&gt;&lt;/name&gt;&lt;styleUrl&gt;#track001&lt;/styleUrl&gt;&lt;MultiGeometry&gt;&lt;LineString&gt;&lt;coordinates&gt; 19.66791271,40.70905889,956.0 19.70223219,40.71595944,344.0 19.74800291,40.72514444,458.0 19.85465938,40.74646776,590.0 20.09912497,40.79870154,331.0 20.14477660,40.80838949,460.0 20.17902421,40.81564368,820.0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&lt;Placemark&gt;&lt;name&gt;&lt;name&gt;segment 3&lt;/name&gt;&lt;/name&gt;&lt;styleUrl&gt;#track001&lt;/styleUrl&gt;&lt;MultiGeometry&gt;&lt;LineString&gt;&lt;coordinates&gt; 19.70109529,40.85563173,48.0 19.73344265,40.84439597,928.0 19.77655573,40.82940056,37.0 19.89229294,40.78903112,762.0 19.96568939,40.76092575,476.0 20.00797354,40.74470183,385.0 20.03967331,40.73252354,343.0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&lt;Placemark&gt;&lt;name&gt;&lt;name&gt;B_008&lt;/name&gt;&lt;/name&gt;&lt;styleUrl&gt;#track001&lt;/styleUrl&gt;&lt;MultiGeometry&gt;&lt;LineString&gt;&lt;coordinates&gt; 19.87365246,40.32944753,592.0 19.90657473,40.33919413,282.0 19.95048610,40.35217520,880.0 20.25975872,40.44299225,381.0 20.30380720,40.45584015,914.0 20.33685471,40.46546513,426.0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&lt;Placemark&gt;&lt;name&gt;&lt;name&gt;B_009&lt;/name&gt;&lt;/name&gt;&lt;styleUrl&gt;#track001&lt;/styleUrl&gt;&lt;MultiGeometry&gt;&lt;LineString&gt;&lt;coordinates&gt; 19.90020776,40.31240967,438.0 19.93354127,40.32128164,349.0 19.97799982,40.33309612,818.0 20.25551871,40.40636732,533.0 20.30009113,40.41805885,302.0 20.33353071,40.42681629,699.0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&lt;Placemark&gt;&lt;name&gt;&lt;name&gt;B_010&lt;/name&gt;&lt;/name&gt;&lt;styleUrl&gt;#track001&lt;/styleUrl&gt;&lt;MultiGeometry&gt;&lt;LineString&gt;&lt;coordinates&gt; 19.92586096,40.29577482,727.0 19.95971689,40.30337811,618.0 20.00487024,40.31350055,492.0 20.25062865,40.36823389,565.0 20.29587036,40.37824342,557.0 20.32981058,40.38573901,577.0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&lt;Placemark&gt;&lt;name&gt;&lt;name&gt;D_011&lt;/name&gt;&lt;/name&gt;&lt;styleUrl&gt;#track001&lt;/styleUrl&gt;&lt;MultiGeometry&gt;&lt;LineString&gt;&lt;coordinates&gt; 19.99171711,40.18397142,552.0 20.02126020,40.19868528,327.0 20.06067099,40.21829221,880.0 20.16354660,40.26935712,125.0 20.23697239,40.32323755,252.0 20.27097592,40.34814502,863.0 20.29649500,40.36681914,521.0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&lt;Placemark&gt;&lt;name&gt;&lt;name&gt;D_012&lt;/name&gt;&lt;/name&gt;&lt;styleUrl&gt;#track001&lt;/styleUrl&gt;&lt;MultiGeometry&gt;&lt;LineString&gt;&lt;coordinates&gt; 20.00902181,40.10015177,685.0 20.03923947,40.11398901,775.0 20.07954890,40.13242656,366.0 20.19688230,40.18595905,273.0 20.33339927,40.26783938,158.0 20.37046690,40.29001025,562.0 20.39828357,40.30663068,502.0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&lt;Placemark&gt;&lt;name&gt;&lt;name&gt;D_013&lt;/name&gt;&lt;/name&gt;&lt;styleUrl&gt;#track001&lt;/styleUrl&gt;&lt;MultiGeometry&gt;&lt;LineString&gt;&lt;coordinates&gt; 20.06999344,39.99490639,850.0 20.10019263,40.00870828,741.0 20.14047727,40.02709870,209.0 20.27805340,40.08972468,60.0 20.47274082,40.18897396,297.0 20.51190595,40.20886563,541.0 20.54129488,40.22377573,944.0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&lt;Placemark&gt;&lt;name&gt;&lt;name&gt;D_014&lt;/name&gt;&lt;/name&gt;&lt;styleUrl&gt;#track001&lt;/styleUrl&gt;&lt;MultiGeometry&gt;&lt;LineString&gt;&lt;coordinates&gt; 20.04182284,40.34655953,873.0 20.06801759,40.32844903,260.0 20.10292216,40.30429215,248.0 20.24359133,40.20665226,45.0 20.43539022,40.06906793,47.0 20.46959808,40.04443667,26.0 20.49523782,40.02595642,820.0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&lt;Placemark&gt;&lt;name&gt;&lt;name&gt;D_015&lt;/name&gt;&lt;/name&gt;&lt;styleUrl&gt;#track001&lt;/styleUrl&gt;&lt;MultiGeometry&gt;&lt;LineString&gt;&lt;coordinates&gt; 20.12261409,40.34590191,34.0 20.15073125,40.32956568,18.0 20.18819977,40.30777312,936.0 20.47463523,40.14030141,665.0 20.51189631,40.11840193,806.0 20.53982647,40.10196931,8.0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&lt;Placemark&gt;&lt;name&gt;&lt;name&gt;D_016&lt;/name&gt;&lt;/name&gt;&lt;styleUrl&gt;#track001&lt;/styleUrl&gt;&lt;MultiGeometry&gt;&lt;LineString&gt;&lt;coordinates&gt; 19.98029510,40.24084983,364.0 20.00395632,40.22082681,990.0 20.03548291,40.19412156,916.0 20.26121758,40.00203074,221.0 20.29254254,39.97525263,570.0 20.31602018,39.95516326,398.0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&lt;Placemark&gt;&lt;name&gt;&lt;name&gt;D_017&lt;/name&gt;&lt;/name&gt;&lt;styleUrl&gt;#track001&lt;/styleUrl&gt;&lt;MultiGeometry&gt;&lt;LineString&gt;&lt;coordinates&gt; 20.15524439,40.20579509,790.0 20.18373939,40.22168924,618.0 20.22175353,40.24287067,443.0 20.30204570,40.28752528,539.0 20.34013389,40.30866821,819.0 20.36871567,40.32451724,792.0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&lt;/Document&gt;&lt;/kml&gt;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91440</xdr:colOff>
      <xdr:row>11</xdr:row>
      <xdr:rowOff>25717</xdr:rowOff>
    </xdr:from>
    <xdr:to>
      <xdr:col>27</xdr:col>
      <xdr:colOff>213360</xdr:colOff>
      <xdr:row>50</xdr:row>
      <xdr:rowOff>107632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D51BD-DB9A-46AF-9A03-677B0470F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695960</xdr:colOff>
      <xdr:row>13</xdr:row>
      <xdr:rowOff>46990</xdr:rowOff>
    </xdr:from>
    <xdr:to>
      <xdr:col>9</xdr:col>
      <xdr:colOff>138480</xdr:colOff>
      <xdr:row>19</xdr:row>
      <xdr:rowOff>39369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032577B-FB1A-4A30-9016-EB29BD06A6DA}"/>
            </a:ext>
          </a:extLst>
        </xdr:cNvPr>
        <xdr:cNvSpPr/>
      </xdr:nvSpPr>
      <xdr:spPr>
        <a:xfrm>
          <a:off x="7496810" y="2510790"/>
          <a:ext cx="1468170" cy="11353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Annotation Tests</a:t>
          </a:r>
          <a:endParaRPr lang="en-NL" sz="1400"/>
        </a:p>
      </xdr:txBody>
    </xdr:sp>
    <xdr:clientData/>
  </xdr:twoCellAnchor>
  <xdr:twoCellAnchor>
    <xdr:from>
      <xdr:col>19</xdr:col>
      <xdr:colOff>624840</xdr:colOff>
      <xdr:row>15</xdr:row>
      <xdr:rowOff>160020</xdr:rowOff>
    </xdr:from>
    <xdr:to>
      <xdr:col>20</xdr:col>
      <xdr:colOff>266700</xdr:colOff>
      <xdr:row>122</xdr:row>
      <xdr:rowOff>182880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C4D495-E6DB-470D-AFB5-2C6FF38DDD5D}"/>
            </a:ext>
          </a:extLst>
        </xdr:cNvPr>
        <xdr:cNvSpPr txBox="1"/>
      </xdr:nvSpPr>
      <xdr:spPr>
        <a:xfrm>
          <a:off x="23224490" y="3004820"/>
          <a:ext cx="5617210" cy="2036826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GPX</a:t>
          </a:r>
        </a:p>
        <a:p>
          <a:endParaRPr lang="nl-NL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"&lt;?xml version=""1.0"" ?&gt;&lt;gpx xmlns=""http://www.topografix.com/GPX/1/1"" xmlns:xsi=""http://www.w3.org/2001/XMLSchema-instance"" xsi:schemaLocation=""http://www.topografix.com/GPX/1/1 http://www.topografix.com/GPX/1/1/gpx.xsd"" version=""1.1"" creator=""GPS Data Team ( http://www.gps-data-team.com )""&gt;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&lt;trk&gt;&lt;name&gt;A_001&lt;/name&gt;&lt;cmt&gt;Comment 1&lt;/cmt&gt;&lt;desc&gt;Description 1&lt;/desc&gt;&lt;type &gt;line 1&lt;/type 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lat=""40.72865741"" lon=""19.62750129""&gt;&lt;ele&gt;77.0&lt;/ele&gt;&lt;name&gt;Line 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lat=""40.73409119"" lon=""19.66228249""&gt;&lt;ele&gt;621.0&lt;/ele&gt;&lt;name&gt;Line 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lat=""40.74132006"" lon=""19.70866663""&gt;&lt;ele&gt;636.0&lt;/ele&gt;&lt;name&gt;Line 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lat=""40.78031571"" lon=""19.96114792""&gt;&lt;ele&gt;599.0&lt;/ele&gt;&lt;name&gt;Line 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lat=""40.78742515"" lon=""20.00759903""&gt;&lt;ele&gt;906.0&lt;/ele&gt;&lt;name&gt;Line 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lat=""40.79274503"" lon=""20.04244409""&gt;&lt;ele&gt;136.0&lt;/ele&gt;&lt;name&gt;Line 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&lt;trk&gt;&lt;name&gt;A_002&lt;/name&gt;&lt;trkseg&gt;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lat=""40.70905889"" lon=""19.66791271""&gt;&lt;ele&gt;956.0&lt;/ele&gt;&lt;time&gt;2022-03-07T09:45:00&lt;/time&gt;&lt;/trkpt&gt;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lat=""40.71595944"" lon=""19.70223219""&gt;&lt;ele&gt;344.0&lt;/ele&gt;&lt;time&gt;2022-03-07T10:09:00&lt;/time&gt;&lt;/trkpt&gt;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lat=""40.72514444"" lon=""19.74800291""&gt;&lt;ele&gt;458.0&lt;/ele&gt;&lt;time&gt;2022-03-07T10:33:00&lt;/time&gt;&lt;/trkpt&gt;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lat=""40.74646776"" lon=""19.85465938""&gt;&lt;ele&gt;590.0&lt;/ele&gt;&lt;time&gt;2022-03-07T10:57:00&lt;/time&gt;&lt;/trkpt&gt;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lat=""40.79870154"" lon=""20.09912497""&gt;&lt;ele&gt;331.0&lt;/ele&gt;&lt;time&gt;2022-03-07T11:21:00&lt;/time&gt;&lt;/trkpt&gt;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lat=""40.80838949"" lon=""20.14477660""&gt;&lt;ele&gt;460.0&lt;/ele&gt;&lt;time&gt;2022-03-07T11:45:00&lt;/time&gt;&lt;/trkpt&gt;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lat=""40.81564368"" lon=""20.17902421""&gt;&lt;ele&gt;820.0&lt;/ele&gt;&lt;time&gt;2022-03-07T12:09:00&lt;/time&gt;&lt;/trkpt&gt;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&lt;trk&gt;&lt;name&gt;A_003&lt;/name&gt;&lt;trkseg&gt;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lat=""40.85563173"" lon=""19.70109529""&gt;&lt;ele&gt;48.0&lt;/ele&gt;&lt;name&gt;Line 19&lt;/name&gt;&lt;/trkpt&gt;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lat=""40.84439597"" lon=""19.73344265""&gt;&lt;ele&gt;928.0&lt;/ele&gt;&lt;name&gt;Line 20&lt;/name&gt;&lt;/trkpt&gt;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lat=""40.82940056"" lon=""19.77655573""&gt;&lt;ele&gt;37.0&lt;/ele&gt;&lt;name&gt;Line 21&lt;/name&gt;&lt;/trkpt&gt;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lat=""40.78903112"" lon=""19.89229294""&gt;&lt;ele&gt;762.0&lt;/ele&gt;&lt;name&gt;Line 22&lt;/name&gt;&lt;/trkpt&gt;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lat=""40.76092575"" lon=""19.96568939""&gt;&lt;ele&gt;476.0&lt;/ele&gt;&lt;name&gt;Line 23&lt;/name&gt;&lt;/trkpt&gt;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lat=""40.74470183"" lon=""20.00797354""&gt;&lt;ele&gt;385.0&lt;/ele&gt;&lt;name&gt;Line 24&lt;/name&gt;&lt;/trkpt&gt;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lat=""40.73252354"" lon=""20.03967331""&gt;&lt;ele&gt;343.0&lt;/ele&gt;&lt;name&gt;Line 25&lt;/name&gt;&lt;/trkpt&gt;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&lt;trk&gt;&lt;name&gt;B_008&lt;/name&gt;&lt;cmt&gt;Comment 2&lt;/cmt&gt;&lt;desc&gt;Description 2&lt;/desc&gt;&lt;type &gt;line 2&lt;/type 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lat=""40.32944753"" lon=""19.87365246""&gt;&lt;ele&gt;592.0&lt;/ele&gt;&lt;name&gt;Line 28&lt;/name&gt;&lt;/trkpt&gt;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lat=""40.33919413"" lon=""19.90657473""&gt;&lt;ele&gt;282.0&lt;/ele&gt;&lt;name&gt;Line 29&lt;/name&gt;&lt;/trkpt&gt;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lat=""40.35217520"" lon=""19.95048610""&gt;&lt;ele&gt;880.0&lt;/ele&gt;&lt;name&gt;Line 30&lt;/name&gt;&lt;/trkpt&gt;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lat=""40.44299225"" lon=""20.25975872""&gt;&lt;ele&gt;381.0&lt;/ele&gt;&lt;name&gt;Line 31&lt;/name&gt;&lt;/trkpt&gt;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lat=""40.45584015"" lon=""20.30380720""&gt;&lt;ele&gt;914.0&lt;/ele&gt;&lt;name&gt;Line 32&lt;/name&gt;&lt;/trkpt&gt;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lat=""40.46546513"" lon=""20.33685471""&gt;&lt;ele&gt;426.0&lt;/ele&gt;&lt;name&gt;Line 33&lt;/name&gt;&lt;/trkpt&gt;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&lt;trk&gt;&lt;name&gt;B_009&lt;/name&gt;&lt;trkseg&gt;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lat=""40.31240967"" lon=""19.90020776""&gt;&lt;ele&gt;438.0&lt;/ele&gt;&lt;name&gt;Line 36&lt;/name&gt;&lt;/trkpt&gt;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lat=""40.32128164"" lon=""19.93354127""&gt;&lt;ele&gt;349.0&lt;/ele&gt;&lt;name&gt;Line 37&lt;/name&gt;&lt;/trkpt&gt;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lat=""40.33309612"" lon=""19.97799982""&gt;&lt;ele&gt;818.0&lt;/ele&gt;&lt;name&gt;Line 38&lt;/name&gt;&lt;/trkpt&gt;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lat=""40.40636732"" lon=""20.25551871""&gt;&lt;ele&gt;533.0&lt;/ele&gt;&lt;name&gt;Line 39&lt;/name&gt;&lt;/trkpt&gt;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lat=""40.41805885"" lon=""20.30009113""&gt;&lt;ele&gt;302.0&lt;/ele&gt;&lt;name&gt;Line 40&lt;/name&gt;&lt;/trkpt&gt;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lat=""40.42681629"" lon=""20.33353071""&gt;&lt;ele&gt;699.0&lt;/ele&gt;&lt;name&gt;Line 41&lt;/name&gt;&lt;/trkpt&gt;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&lt;trk&gt;&lt;name&gt;B_010&lt;/name&gt;&lt;trkseg&gt;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lat=""40.29577482"" lon=""19.92586096""&gt;&lt;ele&gt;727.0&lt;/ele&gt;&lt;name&gt;Line 44&lt;/name&gt;&lt;/trkpt&gt;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lat=""40.30337811"" lon=""19.95971689""&gt;&lt;ele&gt;618.0&lt;/ele&gt;&lt;name&gt;Line 45&lt;/name&gt;&lt;/trkpt&gt;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lat=""40.31350055"" lon=""20.00487024""&gt;&lt;ele&gt;492.0&lt;/ele&gt;&lt;name&gt;Line 46&lt;/name&gt;&lt;/trkpt&gt;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lat=""40.36823389"" lon=""20.25062865""&gt;&lt;ele&gt;565.0&lt;/ele&gt;&lt;name&gt;Line 47&lt;/name&gt;&lt;/trkpt&gt;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lat=""40.37824342"" lon=""20.29587036""&gt;&lt;ele&gt;557.0&lt;/ele&gt;&lt;name&gt;Line 48&lt;/name&gt;&lt;/trkpt&gt;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lat=""40.38573901"" lon=""20.32981058""&gt;&lt;ele&gt;577.0&lt;/ele&gt;&lt;name&gt;Line 49&lt;/name&gt;&lt;/trkpt&gt;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&lt;trk&gt;&lt;name&gt;D_011&lt;/name&gt;&lt;trkseg&gt;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lat=""40.18397142"" lon=""19.99171711""&gt;&lt;ele&gt;552.0&lt;/ele&gt;&lt;name&gt;Line 52&lt;/name&gt;&lt;/trkpt&gt;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lat=""40.19868528"" lon=""20.02126020""&gt;&lt;ele&gt;327.0&lt;/ele&gt;&lt;name&gt;Line 53&lt;/name&gt;&lt;/trkpt&gt;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lat=""40.21829221"" lon=""20.06067099""&gt;&lt;ele&gt;880.0&lt;/ele&gt;&lt;name&gt;Line 54&lt;/name&gt;&lt;/trkpt&gt;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lat=""40.26935712"" lon=""20.16354660""&gt;&lt;ele&gt;125.0&lt;/ele&gt;&lt;name&gt;Line 55&lt;/name&gt;&lt;/trkpt&gt;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lat=""40.32323755"" lon=""20.23697239""&gt;&lt;ele&gt;252.0&lt;/ele&gt;&lt;name&gt;Line 56&lt;/name&gt;&lt;/trkpt&gt;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lat=""40.34814502"" lon=""20.27097592""&gt;&lt;ele&gt;863.0&lt;/ele&gt;&lt;name&gt;Line 57&lt;/name&gt;&lt;/trkpt&gt;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lat=""40.36681914"" lon=""20.29649500""&gt;&lt;ele&gt;521.0&lt;/ele&gt;&lt;name&gt;Line 58&lt;/name&gt;&lt;/trkpt&gt;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&lt;trk&gt;&lt;name&gt;D_012&lt;/name&gt;&lt;trkseg&gt;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lat=""40.10015177"" lon=""20.00902181""&gt;&lt;ele&gt;685.0&lt;/ele&gt;&lt;name&gt;Line 61&lt;/name&gt;&lt;/trkpt&gt;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lat=""40.11398901"" lon=""20.03923947""&gt;&lt;ele&gt;775.0&lt;/ele&gt;&lt;name&gt;Line 62&lt;/name&gt;&lt;/trkpt&gt;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lat=""40.13242656"" lon=""20.07954890""&gt;&lt;ele&gt;366.0&lt;/ele&gt;&lt;name&gt;Line 63&lt;/name&gt;&lt;/trkpt&gt;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lat=""40.18595905"" lon=""20.19688230""&gt;&lt;ele&gt;273.0&lt;/ele&gt;&lt;name&gt;Line 64&lt;/name&gt;&lt;/trkpt&gt;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lat=""40.26783938"" lon=""20.33339927""&gt;&lt;ele&gt;158.0&lt;/ele&gt;&lt;name&gt;Line 65&lt;/name&gt;&lt;/trkpt&gt;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lat=""40.29001025"" lon=""20.37046690""&gt;&lt;ele&gt;562.0&lt;/ele&gt;&lt;name&gt;Line 66&lt;/name&gt;&lt;/trkpt&gt;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lat=""40.30663068"" lon=""20.39828357""&gt;&lt;ele&gt;502.0&lt;/ele&gt;&lt;name&gt;Line 67&lt;/name&gt;&lt;/trkpt&gt;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&lt;trk&gt;&lt;name&gt;D_013&lt;/name&gt;&lt;trkseg&gt;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lat=""39.99490639"" lon=""20.06999344""&gt;&lt;ele&gt;850.0&lt;/ele&gt;&lt;name&gt;Line 70&lt;/name&gt;&lt;/trkpt&gt;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lat=""40.00870828"" lon=""20.10019263""&gt;&lt;ele&gt;741.0&lt;/ele&gt;&lt;name&gt;Line 71&lt;/name&gt;&lt;/trkpt&gt;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lat=""40.02709870"" lon=""20.14047727""&gt;&lt;ele&gt;209.0&lt;/ele&gt;&lt;name&gt;Line 72&lt;/name&gt;&lt;/trkpt&gt;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lat=""40.08972468"" lon=""20.27805340""&gt;&lt;ele&gt;60.0&lt;/ele&gt;&lt;name&gt;Line 73&lt;/name&gt;&lt;/trkpt&gt;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lat=""40.18897396"" lon=""20.47274082""&gt;&lt;ele&gt;297.0&lt;/ele&gt;&lt;name&gt;Line 74&lt;/name&gt;&lt;/trkpt&gt;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lat=""40.20886563"" lon=""20.51190595""&gt;&lt;ele&gt;541.0&lt;/ele&gt;&lt;name&gt;Line 75&lt;/name&gt;&lt;/trkpt&gt;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lat=""40.22377573"" lon=""20.54129488""&gt;&lt;ele&gt;944.0&lt;/ele&gt;&lt;name&gt;Line 76&lt;/name&gt;&lt;/trkpt&gt;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&lt;trk&gt;&lt;name&gt;D_014&lt;/name&gt;&lt;trkseg&gt;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lat=""40.34655953"" lon=""20.04182284""&gt;&lt;ele&gt;873.0&lt;/ele&gt;&lt;name&gt;Line 79&lt;/name&gt;&lt;/trkpt&gt;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lat=""40.32844903"" lon=""20.06801759""&gt;&lt;ele&gt;260.0&lt;/ele&gt;&lt;name&gt;Line 80&lt;/name&gt;&lt;/trkpt&gt;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lat=""40.30429215"" lon=""20.10292216""&gt;&lt;ele&gt;248.0&lt;/ele&gt;&lt;name&gt;Line 81&lt;/name&gt;&lt;/trkpt&gt;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lat=""40.20665226"" lon=""20.24359133""&gt;&lt;ele&gt;45.0&lt;/ele&gt;&lt;name&gt;Line 82&lt;/name&gt;&lt;/trkpt&gt;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lat=""40.06906793"" lon=""20.43539022""&gt;&lt;ele&gt;47.0&lt;/ele&gt;&lt;name&gt;Line 83&lt;/name&gt;&lt;/trkpt&gt;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lat=""40.04443667"" lon=""20.46959808""&gt;&lt;ele&gt;26.0&lt;/ele&gt;&lt;name&gt;Line 84&lt;/name&gt;&lt;/trkpt&gt;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lat=""40.02595642"" lon=""20.49523782""&gt;&lt;ele&gt;820.0&lt;/ele&gt;&lt;name&gt;Line 85&lt;/name&gt;&lt;/trkpt&gt;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&lt;trk&gt;&lt;name&gt;D_015&lt;/name&gt;&lt;trkseg&gt;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lat=""40.34590191"" lon=""20.12261409""&gt;&lt;ele&gt;34.0&lt;/ele&gt;&lt;name&gt;Line 88&lt;/name&gt;&lt;/trkpt&gt;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lat=""40.32956568"" lon=""20.15073125""&gt;&lt;ele&gt;18.0&lt;/ele&gt;&lt;name&gt;Line 89&lt;/name&gt;&lt;/trkpt&gt;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lat=""40.30777312"" lon=""20.18819977""&gt;&lt;ele&gt;936.0&lt;/ele&gt;&lt;name&gt;Line 90&lt;/name&gt;&lt;/trkpt&gt;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lat=""40.14030141"" lon=""20.47463523""&gt;&lt;ele&gt;665.0&lt;/ele&gt;&lt;name&gt;Line 91&lt;/name&gt;&lt;/trkpt&gt;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lat=""40.11840193"" lon=""20.51189631""&gt;&lt;ele&gt;806.0&lt;/ele&gt;&lt;name&gt;Line 92&lt;/name&gt;&lt;/trkpt&gt;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lat=""40.10196931"" lon=""20.53982647""&gt;&lt;ele&gt;8.0&lt;/ele&gt;&lt;name&gt;Line 93&lt;/name&gt;&lt;/trkpt&gt;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&lt;trk&gt;&lt;name&gt;D_016&lt;/name&gt;&lt;trkseg&gt;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lat=""40.24084983"" lon=""19.98029510""&gt;&lt;ele&gt;364.0&lt;/ele&gt;&lt;name&gt;Line 96&lt;/name&gt;&lt;/trkpt&gt;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lat=""40.22082681"" lon=""20.00395632""&gt;&lt;ele&gt;990.0&lt;/ele&gt;&lt;name&gt;Line 97&lt;/name&gt;&lt;/trkpt&gt;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lat=""40.19412156"" lon=""20.03548291""&gt;&lt;ele&gt;916.0&lt;/ele&gt;&lt;name&gt;Line 98&lt;/name&gt;&lt;/trkpt&gt;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lat=""40.00203074"" lon=""20.26121758""&gt;&lt;ele&gt;221.0&lt;/ele&gt;&lt;name&gt;Line 99&lt;/name&gt;&lt;/trkpt&gt;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lat=""39.97525263"" lon=""20.29254254""&gt;&lt;ele&gt;570.0&lt;/ele&gt;&lt;name&gt;Line 100&lt;/name&gt;&lt;/trkpt&gt;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lat=""39.95516326"" lon=""20.31602018""&gt;&lt;ele&gt;398.0&lt;/ele&gt;&lt;name&gt;Line 101&lt;/name&gt;&lt;/trkpt&gt;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&lt;trk&gt;&lt;name&gt;D_017&lt;/name&gt;&lt;trkseg&gt;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lat=""40.20579509"" lon=""20.15524439""&gt;&lt;ele&gt;790.0&lt;/ele&gt;&lt;name&gt;Line 104&lt;/name&gt;&lt;/trkpt&gt;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lat=""40.22168924"" lon=""20.18373939""&gt;&lt;ele&gt;618.0&lt;/ele&gt;&lt;name&gt;Line 105&lt;/name&gt;&lt;/trkpt&gt;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lat=""40.24287067"" lon=""20.22175353""&gt;&lt;ele&gt;443.0&lt;/ele&gt;&lt;name&gt;Line 106&lt;/name&gt;&lt;/trkpt&gt;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lat=""40.28752528"" lon=""20.30204570""&gt;&lt;ele&gt;539.0&lt;/ele&gt;&lt;name&gt;Line 107&lt;/name&gt;&lt;/trkpt&gt;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lat=""40.30866821"" lon=""20.34013389""&gt;&lt;ele&gt;819.0&lt;/ele&gt;&lt;name&gt;Line 108&lt;/name&gt;&lt;/trkpt&gt;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&lt;trkpt lat=""40.32451724"" lon=""20.36871567""&gt;&lt;ele&gt;792.0&lt;/ele&gt;&lt;name&gt;Line 109&lt;/name&gt;&lt;/trkpt&gt;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&lt;/trkseg&gt;&lt;/trk&gt;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&lt;/gpx&gt;</a:t>
          </a:r>
        </a:p>
        <a:p>
          <a:r>
            <a:rPr lang="nl-NL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endParaRPr lang="nl-NL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30480</xdr:colOff>
      <xdr:row>26</xdr:row>
      <xdr:rowOff>177800</xdr:rowOff>
    </xdr:from>
    <xdr:to>
      <xdr:col>34</xdr:col>
      <xdr:colOff>121920</xdr:colOff>
      <xdr:row>45</xdr:row>
      <xdr:rowOff>31750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9B8666-18AC-49B6-8AD5-D730B6B7E0BA}"/>
            </a:ext>
          </a:extLst>
        </xdr:cNvPr>
        <xdr:cNvSpPr txBox="1"/>
      </xdr:nvSpPr>
      <xdr:spPr>
        <a:xfrm>
          <a:off x="16711930" y="5111750"/>
          <a:ext cx="22564090" cy="34671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KML without elevation (2 input columns)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"&lt;?xml version=""1.0"" encoding=""UTF-8""?&gt;&lt;kml xmlns=""http://www.opengis.net/kml/2.2"" xmlns:gx=""http://www.google.com/kml/ext/2.2"" xmlns:atom=""http://www.w3.org/2005/Atom""&gt;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&lt;Document&gt;&lt;atom:author&gt;&lt;atom:name&gt;Bart Duijndam&lt;/atom:name&gt;&lt;/atom:author&gt;&lt;Style id=""style001""&gt;&lt;LineStyle&gt;&lt;color&gt;96ff00d5&lt;/color&gt;&lt;width&gt;3.0&lt;/width&gt;&lt;/LineStyle&gt;&lt;/Style&gt;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&lt;Placemark&gt;&lt;name&gt;&lt;name&gt;A_001&lt;/name&gt;&lt;/name&gt;&lt;styleUrl&gt;#style001&lt;/styleUrl&gt;&lt;MultiGeometry&gt;&lt;LineString&gt;&lt;coordinates&gt; 19.62750129,40.72865741 19.66228249,40.73409119 19.70866663,40.74132006 19.96114792,40.78031571 20.00759903,40.78742515 20.04244409,40.79274503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&lt;Placemark&gt;&lt;name&gt;&lt;name&gt;A_002&lt;/name&gt;&lt;/name&gt;&lt;styleUrl&gt;#style001&lt;/styleUrl&gt;&lt;MultiGeometry&gt;&lt;LineString&gt;&lt;coordinates&gt; 19.66791271,40.70905889 19.70223219,40.71595944 19.74800291,40.72514444 19.85465938,40.74646776 20.09912497,40.79870154 20.14477660,40.80838949 20.17902421,40.81564368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&lt;Placemark&gt;&lt;name&gt;&lt;name&gt;A_003&lt;/name&gt;&lt;/name&gt;&lt;styleUrl&gt;#style001&lt;/styleUrl&gt;&lt;MultiGeometry&gt;&lt;LineString&gt;&lt;coordinates&gt; 19.70109529,40.85563173 19.73344265,40.84439597 19.77655573,40.82940056 19.89229294,40.78903112 19.96568939,40.76092575 20.00797354,40.74470183 20.03967331,40.73252354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&lt;Placemark&gt;&lt;name&gt;&lt;name&gt;B_008&lt;/name&gt;&lt;/name&gt;&lt;styleUrl&gt;#style001&lt;/styleUrl&gt;&lt;MultiGeometry&gt;&lt;LineString&gt;&lt;coordinates&gt; 19.87365246,40.32944753 19.90657473,40.33919413 19.95048610,40.35217520 20.25975872,40.44299225 20.30380720,40.45584015 20.33685471,40.46546513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&lt;Placemark&gt;&lt;name&gt;&lt;name&gt;B_009&lt;/name&gt;&lt;/name&gt;&lt;styleUrl&gt;#style001&lt;/styleUrl&gt;&lt;MultiGeometry&gt;&lt;LineString&gt;&lt;coordinates&gt; 19.90020776,40.31240967 19.93354127,40.32128164 19.97799982,40.33309612 20.25551871,40.40636732 20.30009113,40.41805885 20.33353071,40.42681629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&lt;Placemark&gt;&lt;name&gt;&lt;name&gt;B_010&lt;/name&gt;&lt;/name&gt;&lt;styleUrl&gt;#style001&lt;/styleUrl&gt;&lt;MultiGeometry&gt;&lt;LineString&gt;&lt;coordinates&gt; 19.92586096,40.29577482 19.95971689,40.30337811 20.00487024,40.31350055 20.25062865,40.36823389 20.29587036,40.37824342 20.32981058,40.38573901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&lt;Placemark&gt;&lt;name&gt;&lt;name&gt;D_011&lt;/name&gt;&lt;/name&gt;&lt;styleUrl&gt;#style001&lt;/styleUrl&gt;&lt;MultiGeometry&gt;&lt;LineString&gt;&lt;coordinates&gt; 19.99171711,40.18397142 20.02126020,40.19868528 20.06067099,40.21829221 20.16354660,40.26935712 20.23697239,40.32323755 20.27097592,40.34814502 20.29649500,40.36681914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&lt;Placemark&gt;&lt;name&gt;&lt;name&gt;D_012&lt;/name&gt;&lt;/name&gt;&lt;styleUrl&gt;#style001&lt;/styleUrl&gt;&lt;MultiGeometry&gt;&lt;LineString&gt;&lt;coordinates&gt; 20.00902181,40.10015177 20.03923947,40.11398901 20.07954890,40.13242656 20.19688230,40.18595905 20.33339927,40.26783938 20.37046690,40.29001025 20.39828357,40.30663068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&lt;Placemark&gt;&lt;name&gt;&lt;name&gt;D_013&lt;/name&gt;&lt;/name&gt;&lt;styleUrl&gt;#style001&lt;/styleUrl&gt;&lt;MultiGeometry&gt;&lt;LineString&gt;&lt;coordinates&gt; 20.06999344,39.99490639 20.10019263,40.00870828 20.14047727,40.02709870 20.27805340,40.08972468 20.47274082,40.18897396 20.51190595,40.20886563 20.54129488,40.22377573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&lt;Placemark&gt;&lt;name&gt;&lt;name&gt;D_014&lt;/name&gt;&lt;/name&gt;&lt;styleUrl&gt;#style001&lt;/styleUrl&gt;&lt;MultiGeometry&gt;&lt;LineString&gt;&lt;coordinates&gt; 20.04182284,40.34655953 20.06801759,40.32844903 20.10292216,40.30429215 20.24359133,40.20665226 20.43539022,40.06906793 20.46959808,40.04443667 20.49523782,40.02595642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&lt;Placemark&gt;&lt;name&gt;&lt;name&gt;D_015&lt;/name&gt;&lt;/name&gt;&lt;styleUrl&gt;#style001&lt;/styleUrl&gt;&lt;MultiGeometry&gt;&lt;LineString&gt;&lt;coordinates&gt; 20.12261409,40.34590191 20.15073125,40.32956568 20.18819977,40.30777312 20.47463523,40.14030141 20.51189631,40.11840193 20.53982647,40.10196931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&lt;Placemark&gt;&lt;name&gt;&lt;name&gt;D_016&lt;/name&gt;&lt;/name&gt;&lt;styleUrl&gt;#style001&lt;/styleUrl&gt;&lt;MultiGeometry&gt;&lt;LineString&gt;&lt;coordinates&gt; 19.98029510,40.24084983 20.00395632,40.22082681 20.03548291,40.19412156 20.26121758,40.00203074 20.29254254,39.97525263 20.31602018,39.95516326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&lt;Placemark&gt;&lt;name&gt;&lt;name&gt;D_017&lt;/name&gt;&lt;/name&gt;&lt;styleUrl&gt;#style001&lt;/styleUrl&gt;&lt;MultiGeometry&gt;&lt;LineString&gt;&lt;coordinates&gt; 20.15524439,40.20579509 20.18373939,40.22168924 20.22175353,40.24287067 20.30204570,40.28752528 20.34013389,40.30866821 20.36871567,40.32451724 &lt;/coordinates&gt;&lt;/LineString&gt;&lt;/MultiGeometry&gt;&lt;/Placemark&gt;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&lt;/Document&gt;&lt;/kml&gt;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12700</xdr:colOff>
      <xdr:row>47</xdr:row>
      <xdr:rowOff>69850</xdr:rowOff>
    </xdr:from>
    <xdr:to>
      <xdr:col>37</xdr:col>
      <xdr:colOff>462280</xdr:colOff>
      <xdr:row>64</xdr:row>
      <xdr:rowOff>156210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2B91F6F-E129-4990-A815-8C16CA67FE67}"/>
            </a:ext>
          </a:extLst>
        </xdr:cNvPr>
        <xdr:cNvSpPr txBox="1"/>
      </xdr:nvSpPr>
      <xdr:spPr>
        <a:xfrm>
          <a:off x="16694150" y="8997950"/>
          <a:ext cx="24751030" cy="332486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KML with elevation (3 input columns)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&lt;?xml version="1.0" encoding="UTF-8"?&gt;&lt;kml xmlns="http://www.opengis.net/kml/2.2" xmlns:gx="http://www.google.com/kml/ext/2.2" xmlns:atom="http://www.w3.org/2005/Atom"&gt;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&lt;Document&gt;&lt;atom:author&gt;&lt;atom:name&gt;Bart Duijndam&lt;/atom:name&gt;&lt;/atom:author&gt;&lt;Style id="track001"&gt;&lt;LineStyle&gt;&lt;color&gt;96ff00d5&lt;/color&gt;&lt;width&gt;3.0&lt;/width&gt;&lt;/LineStyle&gt;&lt;/Style&gt;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&lt;Placemark&gt;&lt;name&gt;&lt;name&gt;A_001&lt;/name&gt;&lt;/name&gt;&lt;styleUrl&gt;#track001&lt;/styleUrl&gt;&lt;MultiGeometry&gt;&lt;LineString&gt;&lt;coordinates&gt; -19.62750129,-40.72865741,77.0 -19.66228249,-40.73409119,621.0 -19.70866663,-40.74132006,636.0 -19.96114792,-40.78031571,599.0 -20.00759903,-40.78742515,906.0 -20.04244409,-40.79274503,136.0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&lt;Placemark&gt;&lt;name&gt;&lt;name&gt;segment 2&lt;/name&gt;&lt;/name&gt;&lt;styleUrl&gt;#track001&lt;/styleUrl&gt;&lt;MultiGeometry&gt;&lt;LineString&gt;&lt;coordinates&gt; 19.66791271,40.70905889,956.0 19.70223219,40.71595944,344.0 19.74800291,40.72514444,458.0 19.85465938,40.74646776,590.0 20.09912497,40.79870154,331.0 20.14477660,40.80838949,460.0 20.17902421,40.81564368,820.0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&lt;Placemark&gt;&lt;name&gt;&lt;name&gt;segment 3&lt;/name&gt;&lt;/name&gt;&lt;styleUrl&gt;#track001&lt;/styleUrl&gt;&lt;MultiGeometry&gt;&lt;LineString&gt;&lt;coordinates&gt; 19.70109529,40.85563173,48.0 19.73344265,40.84439597,928.0 19.77655573,40.82940056,37.0 19.89229294,40.78903112,762.0 19.96568939,40.76092575,476.0 20.00797354,40.74470183,385.0 20.03967331,40.73252354,343.0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&lt;Placemark&gt;&lt;name&gt;&lt;name&gt;B_008&lt;/name&gt;&lt;/name&gt;&lt;styleUrl&gt;#track001&lt;/styleUrl&gt;&lt;MultiGeometry&gt;&lt;LineString&gt;&lt;coordinates&gt; 19.87365246,40.32944753,592.0 19.90657473,40.33919413,282.0 19.95048610,40.35217520,880.0 20.25975872,40.44299225,381.0 20.30380720,40.45584015,914.0 20.33685471,40.46546513,426.0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&lt;Placemark&gt;&lt;name&gt;&lt;name&gt;B_009&lt;/name&gt;&lt;/name&gt;&lt;styleUrl&gt;#track001&lt;/styleUrl&gt;&lt;MultiGeometry&gt;&lt;LineString&gt;&lt;coordinates&gt; 19.90020776,40.31240967,438.0 19.93354127,40.32128164,349.0 19.97799982,40.33309612,818.0 20.25551871,40.40636732,533.0 20.30009113,40.41805885,302.0 20.33353071,40.42681629,699.0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&lt;Placemark&gt;&lt;name&gt;&lt;name&gt;B_010&lt;/name&gt;&lt;/name&gt;&lt;styleUrl&gt;#track001&lt;/styleUrl&gt;&lt;MultiGeometry&gt;&lt;LineString&gt;&lt;coordinates&gt; 19.92586096,40.29577482,727.0 19.95971689,40.30337811,618.0 20.00487024,40.31350055,492.0 20.25062865,40.36823389,565.0 20.29587036,40.37824342,557.0 20.32981058,40.38573901,577.0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&lt;Placemark&gt;&lt;name&gt;&lt;name&gt;D_011&lt;/name&gt;&lt;/name&gt;&lt;styleUrl&gt;#track001&lt;/styleUrl&gt;&lt;MultiGeometry&gt;&lt;LineString&gt;&lt;coordinates&gt; 19.99171711,40.18397142,552.0 20.02126020,40.19868528,327.0 20.06067099,40.21829221,880.0 20.16354660,40.26935712,125.0 20.23697239,40.32323755,252.0 20.27097592,40.34814502,863.0 20.29649500,40.36681914,521.0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&lt;Placemark&gt;&lt;name&gt;&lt;name&gt;D_012&lt;/name&gt;&lt;/name&gt;&lt;styleUrl&gt;#track001&lt;/styleUrl&gt;&lt;MultiGeometry&gt;&lt;LineString&gt;&lt;coordinates&gt; 20.00902181,40.10015177,685.0 20.03923947,40.11398901,775.0 20.07954890,40.13242656,366.0 20.19688230,40.18595905,273.0 20.33339927,40.26783938,158.0 20.37046690,40.29001025,562.0 20.39828357,40.30663068,502.0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&lt;Placemark&gt;&lt;name&gt;&lt;name&gt;D_013&lt;/name&gt;&lt;/name&gt;&lt;styleUrl&gt;#track001&lt;/styleUrl&gt;&lt;MultiGeometry&gt;&lt;LineString&gt;&lt;coordinates&gt; 20.06999344,39.99490639,850.0 20.10019263,40.00870828,741.0 20.14047727,40.02709870,209.0 20.27805340,40.08972468,60.0 20.47274082,40.18897396,297.0 20.51190595,40.20886563,541.0 20.54129488,40.22377573,944.0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&lt;Placemark&gt;&lt;name&gt;&lt;name&gt;D_014&lt;/name&gt;&lt;/name&gt;&lt;styleUrl&gt;#track001&lt;/styleUrl&gt;&lt;MultiGeometry&gt;&lt;LineString&gt;&lt;coordinates&gt; 20.04182284,40.34655953,873.0 20.06801759,40.32844903,260.0 20.10292216,40.30429215,248.0 20.24359133,40.20665226,45.0 20.43539022,40.06906793,47.0 20.46959808,40.04443667,26.0 20.49523782,40.02595642,820.0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&lt;Placemark&gt;&lt;name&gt;&lt;name&gt;D_015&lt;/name&gt;&lt;/name&gt;&lt;styleUrl&gt;#track001&lt;/styleUrl&gt;&lt;MultiGeometry&gt;&lt;LineString&gt;&lt;coordinates&gt; 20.12261409,40.34590191,34.0 20.15073125,40.32956568,18.0 20.18819977,40.30777312,936.0 20.47463523,40.14030141,665.0 20.51189631,40.11840193,806.0 20.53982647,40.10196931,8.0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&lt;Placemark&gt;&lt;name&gt;&lt;name&gt;D_016&lt;/name&gt;&lt;/name&gt;&lt;styleUrl&gt;#track001&lt;/styleUrl&gt;&lt;MultiGeometry&gt;&lt;LineString&gt;&lt;coordinates&gt; 19.98029510,40.24084983,364.0 20.00395632,40.22082681,990.0 20.03548291,40.19412156,916.0 20.26121758,40.00203074,221.0 20.29254254,39.97525263,570.0 20.31602018,39.95516326,398.0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&lt;Placemark&gt;&lt;name&gt;&lt;name&gt;D_017&lt;/name&gt;&lt;/name&gt;&lt;styleUrl&gt;#track001&lt;/styleUrl&gt;&lt;MultiGeometry&gt;&lt;LineString&gt;&lt;coordinates&gt; 20.15524439,40.20579509,790.0 20.18373939,40.22168924,618.0 20.22175353,40.24287067,443.0 20.30204570,40.28752528,539.0 20.34013389,40.30866821,819.0 20.36871567,40.32451724,792.0 &lt;/coordinates&gt;&lt;/LineString&gt;&lt;/MultiGeometry&gt;&lt;/Placemark&gt;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&lt;/Document&gt;&lt;/kml&gt;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91440</xdr:colOff>
      <xdr:row>11</xdr:row>
      <xdr:rowOff>25717</xdr:rowOff>
    </xdr:from>
    <xdr:to>
      <xdr:col>25</xdr:col>
      <xdr:colOff>213360</xdr:colOff>
      <xdr:row>50</xdr:row>
      <xdr:rowOff>107632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382AF-4581-42AA-A404-4AE522291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1551940</xdr:colOff>
      <xdr:row>1</xdr:row>
      <xdr:rowOff>11430</xdr:rowOff>
    </xdr:from>
    <xdr:to>
      <xdr:col>17</xdr:col>
      <xdr:colOff>2660650</xdr:colOff>
      <xdr:row>17</xdr:row>
      <xdr:rowOff>35560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64A7AE-0AB0-41AB-9682-0ABB291C091E}"/>
            </a:ext>
          </a:extLst>
        </xdr:cNvPr>
        <xdr:cNvSpPr txBox="1"/>
      </xdr:nvSpPr>
      <xdr:spPr>
        <a:xfrm>
          <a:off x="16931640" y="195580"/>
          <a:ext cx="3261360" cy="306578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Albanian_1987_GK_Zone_4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WKID: 2462 Authority: EPSG</a:t>
          </a:r>
          <a:r>
            <a:rPr lang="nl-NL"/>
            <a:t> 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Projection: Gauss_Kruger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False_Easting: 4500000.0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False_Northing: 0.0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Central_Meridian: 21.0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Scale_Factor: 1.0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Latitude_Of_Origin: 0.0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Linear Unit: Meter (1.0)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Geographic Coordinate System: GCS_Albanian_1987</a:t>
          </a:r>
          <a:r>
            <a:rPr lang="nl-NL"/>
            <a:t> </a:t>
          </a:r>
          <a:br>
            <a:rPr lang="nl-NL"/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Angular Unit: Degree (0.0174532925199433)</a:t>
          </a:r>
          <a:r>
            <a:rPr lang="nl-NL"/>
            <a:t> </a:t>
          </a:r>
          <a:br>
            <a:rPr lang="nl-NL"/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 Meridian: Greenwich (0.0)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Datum: D_Albanian_1987</a:t>
          </a:r>
          <a:r>
            <a:rPr lang="nl-NL"/>
            <a:t> 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Semimajor Axis: 6378245.0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Semiminor Axis: 6356863.018773047</a:t>
          </a:r>
          <a:r>
            <a:rPr lang="nl-NL"/>
            <a:t> </a:t>
          </a:r>
        </a:p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Inverse Flattening: 298.3</a:t>
          </a:r>
          <a:r>
            <a:rPr lang="nl-NL"/>
            <a:t> </a:t>
          </a:r>
        </a:p>
        <a:p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960120</xdr:colOff>
      <xdr:row>15</xdr:row>
      <xdr:rowOff>142240</xdr:rowOff>
    </xdr:from>
    <xdr:to>
      <xdr:col>17</xdr:col>
      <xdr:colOff>4785360</xdr:colOff>
      <xdr:row>53</xdr:row>
      <xdr:rowOff>36830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37FC0C-DBA3-4890-A2A7-A215F862B49A}"/>
            </a:ext>
          </a:extLst>
        </xdr:cNvPr>
        <xdr:cNvSpPr txBox="1"/>
      </xdr:nvSpPr>
      <xdr:spPr>
        <a:xfrm>
          <a:off x="16327120" y="2987040"/>
          <a:ext cx="5977890" cy="712089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PROJCRS["Albanian 1987 / Gauss-Kruger zone 4 (with axis order normalized for visualization)",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BASEGEOGCRS["Albanian 1987",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DATUM["Albanian 1987",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ELLIPSOID["Krassowsky 1940",6378245,298.3,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LENGTHUNIT["metre",1]]],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PRIMEM["Greenwich",0,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ANGLEUNIT["degree",0.0174532925199433]],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ID["EPSG",4191]],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CONVERSION["6-degree Gauss-Kruger zone 4",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METHOD["Transverse Mercator",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ID["EPSG",9807]],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PARAMETER["Latitude of natural origin",0,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ANGLEUNIT["degree",0.0174532925199433],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ID["EPSG",8801]],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PARAMETER["Longitude of natural origin",21,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ANGLEUNIT["degree",0.0174532925199433],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ID["EPSG",8802]],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PARAMETER["Scale factor at natural origin",1,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SCALEUNIT["unity",1],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ID["EPSG",8805]],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PARAMETER["False easting",4500000,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ID["EPSG",8806]],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PARAMETER["False northing",0,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ID["EPSG",8807]],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ID["EPSG",16204]],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CS[Cartesian,2],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AXIS["easting (Y)",east,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ORDER[1],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ID["EPSG",9001]]],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AXIS["northing (X)",north,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ORDER[2],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LENGTHUNIT["metre",1,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ID["EPSG",9001]]],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USAGE[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SCOPE["Cadastre, engineering survey, topographic mapping."],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AREA["Albania - onshore."],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BBOX[39.64,19.22,42.67,21.06]],</a:t>
          </a:r>
          <a:b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REMARK["Axis order reversed compared to EPSG:2462"]]</a:t>
          </a:r>
          <a:r>
            <a:rPr lang="nl-NL"/>
            <a:t> </a:t>
          </a:r>
          <a:endParaRPr lang="nl-NL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psg.io/2462-6964" TargetMode="External"/><Relationship Id="rId1" Type="http://schemas.openxmlformats.org/officeDocument/2006/relationships/hyperlink" Target="https://epsg.io/4326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psg.io/2462-6964" TargetMode="External"/><Relationship Id="rId1" Type="http://schemas.openxmlformats.org/officeDocument/2006/relationships/hyperlink" Target="https://epsg.io/4326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psg.io/2462-6964" TargetMode="External"/><Relationship Id="rId1" Type="http://schemas.openxmlformats.org/officeDocument/2006/relationships/hyperlink" Target="https://epsg.io/4326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psg.io/2462-6964" TargetMode="External"/><Relationship Id="rId1" Type="http://schemas.openxmlformats.org/officeDocument/2006/relationships/hyperlink" Target="https://epsg.io/4326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05"/>
  <sheetViews>
    <sheetView topLeftCell="A96" zoomScaleNormal="100" workbookViewId="0">
      <selection activeCell="C11" sqref="C11"/>
    </sheetView>
  </sheetViews>
  <sheetFormatPr defaultRowHeight="14.5" x14ac:dyDescent="0.35"/>
  <cols>
    <col min="1" max="1" width="9" bestFit="1" customWidth="1"/>
    <col min="2" max="2" width="6.36328125" style="61" customWidth="1"/>
    <col min="3" max="3" width="22.08984375" customWidth="1"/>
    <col min="4" max="4" width="17.6328125" customWidth="1"/>
    <col min="5" max="5" width="15" customWidth="1"/>
    <col min="6" max="7" width="13.36328125" customWidth="1"/>
    <col min="8" max="8" width="12.36328125" customWidth="1"/>
    <col min="9" max="10" width="13.36328125" customWidth="1"/>
    <col min="11" max="11" width="13.6328125" customWidth="1"/>
    <col min="12" max="12" width="13" customWidth="1"/>
    <col min="13" max="13" width="14.6328125" style="1" bestFit="1" customWidth="1"/>
    <col min="14" max="14" width="15.6328125" customWidth="1"/>
    <col min="15" max="15" width="12.54296875" style="61" customWidth="1"/>
    <col min="16" max="16" width="14.6328125" customWidth="1"/>
    <col min="17" max="17" width="30.81640625" customWidth="1"/>
    <col min="18" max="18" width="85.54296875" customWidth="1"/>
    <col min="21" max="21" width="26.08984375" customWidth="1"/>
    <col min="24" max="24" width="20.6328125" customWidth="1"/>
  </cols>
  <sheetData>
    <row r="2" spans="1:20" ht="15" thickBot="1" x14ac:dyDescent="0.4"/>
    <row r="3" spans="1:20" ht="15" thickBot="1" x14ac:dyDescent="0.4">
      <c r="C3" s="59" t="s">
        <v>26</v>
      </c>
      <c r="D3" s="60" t="s">
        <v>27</v>
      </c>
      <c r="E3" s="58" t="s">
        <v>28</v>
      </c>
      <c r="F3" s="56"/>
      <c r="G3" s="56"/>
      <c r="H3" s="56"/>
      <c r="I3" s="56"/>
      <c r="J3" s="56"/>
      <c r="K3" s="56"/>
      <c r="L3" s="57"/>
      <c r="M3" s="50" t="s">
        <v>29</v>
      </c>
    </row>
    <row r="4" spans="1:20" ht="15" thickBot="1" x14ac:dyDescent="0.4">
      <c r="C4" s="51" t="s">
        <v>24</v>
      </c>
      <c r="D4" s="49">
        <v>2462</v>
      </c>
      <c r="E4" s="65" t="str" cm="1">
        <f t="array" ref="E4">_xll.PE.crs.AsProjString(D4)</f>
        <v>+proj=tmerc +lat_0=0 +lon_0=21 +k=1 +x_0=4500000 +y_0=0 +ellps=krass +units=m +no_defs +type=crs</v>
      </c>
      <c r="F4" s="66"/>
      <c r="G4" s="66"/>
      <c r="H4" s="66"/>
      <c r="I4" s="66"/>
      <c r="J4" s="66"/>
      <c r="K4" s="66"/>
      <c r="L4" s="67"/>
      <c r="M4" s="50" t="s">
        <v>17</v>
      </c>
      <c r="O4" s="166" cm="1">
        <f t="array" ref="O4">_xll.PE.crs.UsageArea.Center.X(D4)</f>
        <v>4426173.5325582689</v>
      </c>
      <c r="P4" s="167" cm="1">
        <f t="array" ref="P4">_xll.PE.crs.UsageArea.Center.Y(D4)</f>
        <v>4558658.032843451</v>
      </c>
    </row>
    <row r="5" spans="1:20" ht="15" thickBot="1" x14ac:dyDescent="0.4">
      <c r="C5" s="52" t="s">
        <v>25</v>
      </c>
      <c r="D5" s="48">
        <v>4326</v>
      </c>
      <c r="E5" s="62" t="str" cm="1">
        <f t="array" ref="E5">_xll.PE.crs.AsProjString(D5)</f>
        <v>+proj=longlat +datum=WGS84 +no_defs +type=crs</v>
      </c>
      <c r="F5" s="63"/>
      <c r="G5" s="63"/>
      <c r="H5" s="63"/>
      <c r="I5" s="63"/>
      <c r="J5" s="63"/>
      <c r="K5" s="63"/>
      <c r="L5" s="64"/>
      <c r="M5" s="53" t="s">
        <v>17</v>
      </c>
    </row>
    <row r="6" spans="1:20" ht="15" thickBot="1" x14ac:dyDescent="0.4">
      <c r="M6"/>
      <c r="T6" s="1"/>
    </row>
    <row r="7" spans="1:20" ht="15" thickBot="1" x14ac:dyDescent="0.4">
      <c r="C7" s="21" t="s">
        <v>13</v>
      </c>
      <c r="D7" s="70">
        <v>3000</v>
      </c>
      <c r="E7" s="3" t="s">
        <v>6</v>
      </c>
      <c r="M7"/>
      <c r="N7" t="s">
        <v>0</v>
      </c>
      <c r="T7" s="1"/>
    </row>
    <row r="8" spans="1:20" ht="15" thickBot="1" x14ac:dyDescent="0.4">
      <c r="C8" s="21" t="s">
        <v>5</v>
      </c>
      <c r="D8" s="70">
        <v>4000</v>
      </c>
      <c r="E8" s="3" t="s">
        <v>6</v>
      </c>
      <c r="M8"/>
      <c r="T8" s="1"/>
    </row>
    <row r="9" spans="1:20" ht="15" thickBot="1" x14ac:dyDescent="0.4">
      <c r="M9"/>
      <c r="T9" s="1"/>
    </row>
    <row r="10" spans="1:20" x14ac:dyDescent="0.35">
      <c r="C10" s="54" t="s">
        <v>139</v>
      </c>
      <c r="D10" s="176" t="str" cm="1">
        <f t="array" ref="D10:E13">_xll.PE.lib.Version(0)</f>
        <v>Assembly version</v>
      </c>
      <c r="E10" s="177" t="str">
        <v>1.0.0.0</v>
      </c>
      <c r="M10"/>
      <c r="T10" s="1"/>
    </row>
    <row r="11" spans="1:20" ht="15" thickBot="1" x14ac:dyDescent="0.4">
      <c r="C11" s="55"/>
      <c r="D11" s="178" t="str">
        <v>File version</v>
      </c>
      <c r="E11" s="179" t="str">
        <v>1.0.261012.1240</v>
      </c>
      <c r="M11"/>
    </row>
    <row r="12" spans="1:20" ht="15" thickBot="1" x14ac:dyDescent="0.4">
      <c r="C12" s="43"/>
      <c r="D12" s="180" t="str">
        <v>Info version</v>
      </c>
      <c r="E12" s="181" t="str">
        <v>1.0.261012.1240</v>
      </c>
      <c r="M12"/>
      <c r="Q12" s="100" t="s">
        <v>44</v>
      </c>
      <c r="R12" s="95" t="s">
        <v>45</v>
      </c>
    </row>
    <row r="13" spans="1:20" ht="15" thickBot="1" x14ac:dyDescent="0.4">
      <c r="C13" s="43" t="s">
        <v>134</v>
      </c>
      <c r="D13" s="180" t="str">
        <v>Proj version</v>
      </c>
      <c r="E13" s="181" t="str">
        <v>9.5.1</v>
      </c>
      <c r="M13"/>
      <c r="Q13" s="46" t="s">
        <v>23</v>
      </c>
      <c r="R13" s="96" t="s">
        <v>0</v>
      </c>
    </row>
    <row r="14" spans="1:20" ht="15" thickBot="1" x14ac:dyDescent="0.4">
      <c r="M14"/>
      <c r="Q14" s="47" t="s">
        <v>20</v>
      </c>
      <c r="R14" s="97" t="s">
        <v>18</v>
      </c>
      <c r="S14" t="s">
        <v>0</v>
      </c>
    </row>
    <row r="15" spans="1:20" ht="15" thickBot="1" x14ac:dyDescent="0.4">
      <c r="C15" s="11" t="s">
        <v>30</v>
      </c>
      <c r="D15" s="4" t="s">
        <v>3</v>
      </c>
      <c r="E15" s="5" t="s">
        <v>4</v>
      </c>
      <c r="F15" s="4" t="s">
        <v>15</v>
      </c>
      <c r="G15" s="5" t="s">
        <v>16</v>
      </c>
      <c r="H15" s="4" t="s">
        <v>15</v>
      </c>
      <c r="I15" s="5" t="s">
        <v>16</v>
      </c>
      <c r="J15" s="4" t="s">
        <v>15</v>
      </c>
      <c r="K15" s="5" t="s">
        <v>16</v>
      </c>
      <c r="L15" s="4" t="s">
        <v>42</v>
      </c>
      <c r="M15" s="5" t="s">
        <v>43</v>
      </c>
      <c r="N15" s="2" t="s">
        <v>1</v>
      </c>
      <c r="O15" s="107" t="s">
        <v>2</v>
      </c>
      <c r="P15" s="2" t="s">
        <v>1</v>
      </c>
      <c r="Q15" s="44" t="str">
        <f>CONCATENATE("&lt;Placemark&gt;&lt;name&gt;",A20,"&lt;/name&gt;&lt;styleUrl&gt;#track001&lt;/styleUrl&gt;&lt;MultiGeometry&gt;&lt;LineString&gt;&lt;coordinates&gt;")</f>
        <v>&lt;Placemark&gt;&lt;name&gt;A_001&lt;/name&gt;&lt;styleUrl&gt;#track001&lt;/styleUrl&gt;&lt;MultiGeometry&gt;&lt;LineString&gt;&lt;coordinates&gt;</v>
      </c>
      <c r="R15" s="98" t="str">
        <f>CONCATENATE("&lt;trk&gt;&lt;name&gt;",A20,"&lt;/name&gt;&lt;trkseg&gt;")</f>
        <v>&lt;trk&gt;&lt;name&gt;A_001&lt;/name&gt;&lt;trkseg&gt;</v>
      </c>
    </row>
    <row r="16" spans="1:20" ht="15" thickBot="1" x14ac:dyDescent="0.4">
      <c r="A16" s="24"/>
      <c r="B16" s="101">
        <v>1</v>
      </c>
      <c r="C16" s="12" t="s">
        <v>13</v>
      </c>
      <c r="D16" s="26">
        <f>D17-$D$7*SIN(RADIANS(O17))</f>
        <v>4384181.1909950031</v>
      </c>
      <c r="E16" s="27">
        <f>E17-$D$7*COS(RADIANS(O17))</f>
        <v>4511477.2929155556</v>
      </c>
      <c r="F16" s="132" cm="1">
        <f t="array" ref="F16:G16">_xll.PE.trf.FromEpsgNoToEpsgNo($D$4,$D$5,D16,E16)</f>
        <v>19.627501288698802</v>
      </c>
      <c r="G16" s="134">
        <v>40.728657406572829</v>
      </c>
      <c r="H16" s="132" t="str" cm="1">
        <f t="array" ref="H16">_xll.PE.deg.AsString(F16)</f>
        <v>19 37 39</v>
      </c>
      <c r="I16" s="133" t="str" cm="1">
        <f t="array" ref="I16">_xll.PE.deg.AsString(G16)</f>
        <v>40 43 43</v>
      </c>
      <c r="J16" s="132" cm="1">
        <f t="array" ref="J16">_xll.PE.deg.FromString(H16)</f>
        <v>19.627500000000001</v>
      </c>
      <c r="K16" s="134" cm="1">
        <f t="array" ref="K16">_xll.PE.deg.FromString(I16)</f>
        <v>40.728611111111114</v>
      </c>
      <c r="L16" s="83">
        <f t="shared" ref="L16:L21" si="0">F16-J16</f>
        <v>1.2886988010052391E-6</v>
      </c>
      <c r="M16" s="79">
        <f t="shared" ref="M16:M21" si="1">G16-K16</f>
        <v>4.629546171486254E-5</v>
      </c>
      <c r="N16" s="8">
        <f>SQRT((D17-D16)^2+(E17-E16)^2)</f>
        <v>2999.9999999995161</v>
      </c>
      <c r="O16" s="108">
        <f>IF(DEGREES(ATAN2(E17-E16,D17-D16))&lt;0,DEGREES(ATAN2(E17-E16,D17-D16))+360,(DEGREES(ATAN2(E17-E16,D17-D16))))</f>
        <v>79.278834728222535</v>
      </c>
      <c r="P16" s="89"/>
      <c r="Q16" s="44" t="str">
        <f t="shared" ref="Q16:Q21" si="2">CONCATENATE(TEXT(F16,"#.00000000"),",",TEXT(G16,"#.00000000"))</f>
        <v>19.62750129,40.72865741</v>
      </c>
      <c r="R16" s="98" t="str">
        <f t="shared" ref="R16:R21" si="3">CONCATENATE("&lt;trkpt lon=""",TEXT(F16,"#.00000000"),""" lat=""",TEXT(G16,"#.00000000"),"""","&gt;&lt;name&gt;S",TEXT(B16,"00"),"&lt;/name&gt;&lt;/trkpt&gt;")</f>
        <v>&lt;trkpt lon="19.62750129" lat="40.72865741"&gt;&lt;name&gt;S01&lt;/name&gt;&lt;/trkpt&gt;</v>
      </c>
    </row>
    <row r="17" spans="1:18" ht="15" thickBot="1" x14ac:dyDescent="0.4">
      <c r="A17" s="24"/>
      <c r="B17" s="102">
        <v>2</v>
      </c>
      <c r="C17" s="12" t="s">
        <v>5</v>
      </c>
      <c r="D17" s="37">
        <f>D18-$D$8*SIN(RADIANS(O18))</f>
        <v>4387128.8234257158</v>
      </c>
      <c r="E17" s="38">
        <f>E18-$D$8*COS(RADIANS(O18))</f>
        <v>4512035.3816660317</v>
      </c>
      <c r="F17" s="135" cm="1">
        <f t="array" ref="F17:G17">_xll.PE.trf.FromEpsgNoToEpsgNo($D$4,$D$5,D17,E17)</f>
        <v>19.662282485406411</v>
      </c>
      <c r="G17" s="137">
        <v>40.734091192706153</v>
      </c>
      <c r="H17" s="135" t="str" cm="1">
        <f t="array" ref="H17">_xll.PE.deg.AsString(F17)</f>
        <v>19 39 44</v>
      </c>
      <c r="I17" s="136" t="str" cm="1">
        <f t="array" ref="I17">_xll.PE.deg.AsString(G17)</f>
        <v>40 44 03</v>
      </c>
      <c r="J17" s="135" cm="1">
        <f t="array" ref="J17">_xll.PE.deg.FromString(H17)</f>
        <v>19.662222222222219</v>
      </c>
      <c r="K17" s="137" cm="1">
        <f t="array" ref="K17">_xll.PE.deg.FromString(I17)</f>
        <v>40.734166666666667</v>
      </c>
      <c r="L17" s="84">
        <f t="shared" si="0"/>
        <v>6.0263184192166364E-5</v>
      </c>
      <c r="M17" s="80">
        <f t="shared" si="1"/>
        <v>-7.5473960514216287E-5</v>
      </c>
      <c r="N17" s="39">
        <f>SQRT((D18-D17)^2+(E18-E17)^2)</f>
        <v>4000.0000000000232</v>
      </c>
      <c r="O17" s="89">
        <f>IF(DEGREES(ATAN2(E18-E17,D18-D17))&lt;0,DEGREES(ATAN2(E18-E17,D18-D17))+360,(DEGREES(ATAN2(E18-E17,D18-D17))))</f>
        <v>79.27883472821982</v>
      </c>
      <c r="P17" s="21">
        <v>2462</v>
      </c>
      <c r="Q17" s="44" t="str">
        <f t="shared" si="2"/>
        <v>19.66228249,40.73409119</v>
      </c>
      <c r="R17" s="98" t="str">
        <f t="shared" si="3"/>
        <v>&lt;trkpt lon="19.66228249" lat="40.73409119"&gt;&lt;name&gt;S02&lt;/name&gt;&lt;/trkpt&gt;</v>
      </c>
    </row>
    <row r="18" spans="1:18" ht="15" thickBot="1" x14ac:dyDescent="0.4">
      <c r="A18" s="24"/>
      <c r="B18" s="102">
        <v>3</v>
      </c>
      <c r="C18" s="12" t="s">
        <v>8</v>
      </c>
      <c r="D18" s="18">
        <v>4391059</v>
      </c>
      <c r="E18" s="28">
        <v>4512779.5</v>
      </c>
      <c r="F18" s="138" cm="1">
        <f t="array" ref="F18:G18">_xll.PE.trf.FromEpsgNoToEpsgNo($D$4,$D$5,D18,E18)</f>
        <v>19.708666633032713</v>
      </c>
      <c r="G18" s="140">
        <v>40.741320058972271</v>
      </c>
      <c r="H18" s="138" t="str" cm="1">
        <f t="array" ref="H18">_xll.PE.deg.AsString(F18)</f>
        <v>19 42 31</v>
      </c>
      <c r="I18" s="139" t="str" cm="1">
        <f t="array" ref="I18">_xll.PE.deg.AsString(G18)</f>
        <v>40 44 29</v>
      </c>
      <c r="J18" s="138" cm="1">
        <f t="array" ref="J18">_xll.PE.deg.FromString(H18)</f>
        <v>19.708611111111111</v>
      </c>
      <c r="K18" s="140" cm="1">
        <f t="array" ref="K18">_xll.PE.deg.FromString(I18)</f>
        <v>40.741388888888892</v>
      </c>
      <c r="L18" s="85">
        <f t="shared" si="0"/>
        <v>5.5521921602519342E-5</v>
      </c>
      <c r="M18" s="81">
        <f t="shared" si="1"/>
        <v>-6.8829916621382381E-5</v>
      </c>
      <c r="N18" s="10">
        <f>SQRT((D19-D18)^2+(E19-E18)^2)</f>
        <v>21757.292168374261</v>
      </c>
      <c r="O18" s="93">
        <f>IF(DEGREES(ATAN2(E19-E18,D19-D18))&lt;0,DEGREES(ATAN2(E19-E18,D19-D18))+360,(DEGREES(ATAN2(E19-E18,D19-D18))))</f>
        <v>79.278834728215031</v>
      </c>
      <c r="P18" s="90" cm="1">
        <f t="array" ref="P18">_xll.PE.crs.GeodesicDistance($D$4,D17:E20)</f>
        <v>29753.732339481572</v>
      </c>
      <c r="Q18" s="44" t="str">
        <f t="shared" si="2"/>
        <v>19.70866663,40.74132006</v>
      </c>
      <c r="R18" s="98" t="str">
        <f t="shared" si="3"/>
        <v>&lt;trkpt lon="19.70866663" lat="40.74132006"&gt;&lt;name&gt;S03&lt;/name&gt;&lt;/trkpt&gt;</v>
      </c>
    </row>
    <row r="19" spans="1:18" ht="15" thickBot="1" x14ac:dyDescent="0.4">
      <c r="A19" s="24"/>
      <c r="B19" s="102">
        <v>4</v>
      </c>
      <c r="C19" s="12" t="s">
        <v>7</v>
      </c>
      <c r="D19" s="18">
        <v>4412436.5</v>
      </c>
      <c r="E19" s="28">
        <v>4516827</v>
      </c>
      <c r="F19" s="138" cm="1">
        <f t="array" ref="F19:G19">_xll.PE.trf.FromEpsgNoToEpsgNo($D$4,$D$5,D19,E19)</f>
        <v>19.961147921469532</v>
      </c>
      <c r="G19" s="140">
        <v>40.780315713923812</v>
      </c>
      <c r="H19" s="138" t="str" cm="1">
        <f t="array" ref="H19">_xll.PE.deg.AsString(F19)</f>
        <v>19 57 40</v>
      </c>
      <c r="I19" s="139" t="str" cm="1">
        <f t="array" ref="I19">_xll.PE.deg.AsString(G19)</f>
        <v>40 46 49</v>
      </c>
      <c r="J19" s="138" cm="1">
        <f t="array" ref="J19">_xll.PE.deg.FromString(H19)</f>
        <v>19.961111111111112</v>
      </c>
      <c r="K19" s="140" cm="1">
        <f t="array" ref="K19">_xll.PE.deg.FromString(I19)</f>
        <v>40.780277777777776</v>
      </c>
      <c r="L19" s="85">
        <f t="shared" si="0"/>
        <v>3.6810358420069633E-5</v>
      </c>
      <c r="M19" s="81">
        <f t="shared" si="1"/>
        <v>3.7936146036088303E-5</v>
      </c>
      <c r="N19" s="39">
        <f>SQRT((D20-D19)^2+(E20-E19)^2)</f>
        <v>4000.0000000000232</v>
      </c>
      <c r="O19" s="89">
        <f>IF(DEGREES(ATAN2(E20-E19,D20-D19))&lt;0,DEGREES(ATAN2(E20-E19,D20-D19))+360,(DEGREES(ATAN2(E20-E19,D20-D19))))</f>
        <v>79.27883472821982</v>
      </c>
      <c r="P19" s="89"/>
      <c r="Q19" s="44" t="str">
        <f t="shared" si="2"/>
        <v>19.96114792,40.78031571</v>
      </c>
      <c r="R19" s="98" t="str">
        <f t="shared" si="3"/>
        <v>&lt;trkpt lon="19.96114792" lat="40.78031571"&gt;&lt;name&gt;S04&lt;/name&gt;&lt;/trkpt&gt;</v>
      </c>
    </row>
    <row r="20" spans="1:18" ht="15" thickBot="1" x14ac:dyDescent="0.4">
      <c r="A20" s="24" t="str">
        <f>C15</f>
        <v>A_001</v>
      </c>
      <c r="B20" s="102">
        <v>5</v>
      </c>
      <c r="C20" s="12" t="s">
        <v>5</v>
      </c>
      <c r="D20" s="37">
        <f>D19+$D$8*SIN(RADIANS(O18))</f>
        <v>4416366.6765742842</v>
      </c>
      <c r="E20" s="38">
        <f>E19+$D$8*COS(RADIANS(O18))</f>
        <v>4517571.1183339683</v>
      </c>
      <c r="F20" s="135" cm="1">
        <f t="array" ref="F20:G20">_xll.PE.trf.FromEpsgNoToEpsgNo($D$4,$D$5,D20,E20)</f>
        <v>20.007599027220387</v>
      </c>
      <c r="G20" s="137">
        <v>40.787425154590217</v>
      </c>
      <c r="H20" s="135" t="str" cm="1">
        <f t="array" ref="H20">_xll.PE.deg.AsString(F20)</f>
        <v>20 00 27</v>
      </c>
      <c r="I20" s="136" t="str" cm="1">
        <f t="array" ref="I20">_xll.PE.deg.AsString(G20)</f>
        <v>40 47 15</v>
      </c>
      <c r="J20" s="135" cm="1">
        <f t="array" ref="J20">_xll.PE.deg.FromString(H20)</f>
        <v>20.0075</v>
      </c>
      <c r="K20" s="137" cm="1">
        <f t="array" ref="K20">_xll.PE.deg.FromString(I20)</f>
        <v>40.787500000000001</v>
      </c>
      <c r="L20" s="84">
        <f t="shared" si="0"/>
        <v>9.9027220386460613E-5</v>
      </c>
      <c r="M20" s="80">
        <f t="shared" si="1"/>
        <v>-7.4845409784529693E-5</v>
      </c>
      <c r="N20" s="39">
        <f>SQRT((D21-D20)^2+(E21-E20)^2)</f>
        <v>2999.9999999995161</v>
      </c>
      <c r="O20" s="89">
        <f>IF(DEGREES(ATAN2(E21-E20,D21-D20))&lt;0,DEGREES(ATAN2(E21-E20,D21-D20))+360,(DEGREES(ATAN2(E21-E20,D21-D20))))</f>
        <v>79.278834728222535</v>
      </c>
      <c r="P20" s="5">
        <v>4326</v>
      </c>
      <c r="Q20" s="44" t="str">
        <f t="shared" si="2"/>
        <v>20.00759903,40.78742515</v>
      </c>
      <c r="R20" s="98" t="str">
        <f t="shared" si="3"/>
        <v>&lt;trkpt lon="20.00759903" lat="40.78742515"&gt;&lt;name&gt;S05&lt;/name&gt;&lt;/trkpt&gt;</v>
      </c>
    </row>
    <row r="21" spans="1:18" ht="15" thickBot="1" x14ac:dyDescent="0.4">
      <c r="A21" s="24"/>
      <c r="B21" s="103">
        <v>6</v>
      </c>
      <c r="C21" s="13" t="s">
        <v>13</v>
      </c>
      <c r="D21" s="29">
        <f>D20+$D$7*SIN(RADIANS(O19))</f>
        <v>4419314.3090049969</v>
      </c>
      <c r="E21" s="30">
        <f>E20+$D$7*COS(RADIANS(O19))</f>
        <v>4518129.2070844444</v>
      </c>
      <c r="F21" s="141" cm="1">
        <f t="array" ref="F21:G21">_xll.PE.trf.FromEpsgNoToEpsgNo($D$4,$D$5,D21,E21)</f>
        <v>20.042444089865263</v>
      </c>
      <c r="G21" s="143">
        <v>40.792745029791639</v>
      </c>
      <c r="H21" s="141" t="str" cm="1">
        <f t="array" ref="H21">_xll.PE.deg.AsString(F21)</f>
        <v>20 02 33</v>
      </c>
      <c r="I21" s="142" t="str" cm="1">
        <f t="array" ref="I21">_xll.PE.deg.AsString(G21)</f>
        <v>40 47 34</v>
      </c>
      <c r="J21" s="141" cm="1">
        <f t="array" ref="J21">_xll.PE.deg.FromString(H21)</f>
        <v>20.0425</v>
      </c>
      <c r="K21" s="143" cm="1">
        <f t="array" ref="K21">_xll.PE.deg.FromString(I21)</f>
        <v>40.792777777777779</v>
      </c>
      <c r="L21" s="86">
        <f t="shared" si="0"/>
        <v>-5.5910134737047201E-5</v>
      </c>
      <c r="M21" s="82">
        <f t="shared" si="1"/>
        <v>-3.2747986139725072E-5</v>
      </c>
      <c r="N21" s="34">
        <f>SUM(N17:N19)</f>
        <v>29757.292168374304</v>
      </c>
      <c r="O21" s="36" t="s">
        <v>14</v>
      </c>
      <c r="P21" s="90" cm="1">
        <f t="array" ref="P21">_xll.PE.crs.GeodesicDistance($D$5,J17:K20)</f>
        <v>29750.260289015008</v>
      </c>
      <c r="Q21" s="44" t="str">
        <f t="shared" si="2"/>
        <v>20.04244409,40.79274503</v>
      </c>
      <c r="R21" s="98" t="str">
        <f t="shared" si="3"/>
        <v>&lt;trkpt lon="20.04244409" lat="40.79274503"&gt;&lt;name&gt;S06&lt;/name&gt;&lt;/trkpt&gt;</v>
      </c>
    </row>
    <row r="22" spans="1:18" ht="15" thickBot="1" x14ac:dyDescent="0.4">
      <c r="A22" s="24"/>
      <c r="B22" s="104"/>
      <c r="C22" s="22"/>
      <c r="D22" s="31"/>
      <c r="E22" s="31"/>
      <c r="F22" s="42"/>
      <c r="G22" s="42"/>
      <c r="H22" s="42"/>
      <c r="I22" s="42"/>
      <c r="J22" s="42"/>
      <c r="K22" s="42"/>
      <c r="L22" s="42"/>
      <c r="M22" s="42"/>
      <c r="N22" s="25">
        <f>N18</f>
        <v>21757.292168374261</v>
      </c>
      <c r="O22" s="106" t="s">
        <v>12</v>
      </c>
      <c r="P22" s="91"/>
      <c r="Q22" s="44" t="s">
        <v>21</v>
      </c>
      <c r="R22" s="98" t="str">
        <f>CONCATENATE("&lt;/trkseg&gt;&lt;/trk&gt;")</f>
        <v>&lt;/trkseg&gt;&lt;/trk&gt;</v>
      </c>
    </row>
    <row r="23" spans="1:18" ht="15" thickBot="1" x14ac:dyDescent="0.4">
      <c r="A23" s="24"/>
      <c r="B23" s="104"/>
      <c r="C23" s="11" t="s">
        <v>31</v>
      </c>
      <c r="D23" s="32"/>
      <c r="E23" s="33"/>
      <c r="F23" s="40"/>
      <c r="G23" s="40"/>
      <c r="H23" s="40"/>
      <c r="I23" s="40"/>
      <c r="J23" s="40"/>
      <c r="K23" s="40"/>
      <c r="L23" s="40"/>
      <c r="M23" s="40"/>
      <c r="N23" s="16"/>
      <c r="O23" s="109"/>
      <c r="P23" s="92"/>
      <c r="Q23" s="44" t="str">
        <f>CONCATENATE("&lt;Placemark&gt;&lt;name&gt;",A29,"&lt;/name&gt;&lt;styleUrl&gt;#track001&lt;/styleUrl&gt;&lt;MultiGeometry&gt;&lt;LineString&gt;&lt;coordinates&gt;")</f>
        <v>&lt;Placemark&gt;&lt;name&gt;A_002&lt;/name&gt;&lt;styleUrl&gt;#track001&lt;/styleUrl&gt;&lt;MultiGeometry&gt;&lt;LineString&gt;&lt;coordinates&gt;</v>
      </c>
      <c r="R23" s="98" t="str">
        <f>CONCATENATE("&lt;trk&gt;&lt;name&gt;",A29,"&lt;/name&gt;&lt;trkseg&gt;")</f>
        <v>&lt;trk&gt;&lt;name&gt;A_002&lt;/name&gt;&lt;trkseg&gt;</v>
      </c>
    </row>
    <row r="24" spans="1:18" x14ac:dyDescent="0.35">
      <c r="A24" s="24"/>
      <c r="B24" s="101">
        <v>1</v>
      </c>
      <c r="C24" s="12" t="s">
        <v>13</v>
      </c>
      <c r="D24" s="26">
        <f>D25-$D$7*SIN(RADIANS(O25))</f>
        <v>4387562.2711180365</v>
      </c>
      <c r="E24" s="27">
        <f>E25-$D$7*COS(RADIANS(O25))</f>
        <v>4509248.2137425337</v>
      </c>
      <c r="F24" s="132" cm="1">
        <f t="array" ref="F24:G24">_xll.PE.trf.FromEpsgNoToEpsgNo($D$4,$D$5,D24,E24)</f>
        <v>19.667912708680866</v>
      </c>
      <c r="G24" s="134">
        <v>40.7090588923271</v>
      </c>
      <c r="H24" s="132" t="str" cm="1">
        <f t="array" ref="H24">_xll.PE.deg.AsString(F24)</f>
        <v>19 40 04</v>
      </c>
      <c r="I24" s="133" t="str" cm="1">
        <f t="array" ref="I24">_xll.PE.deg.AsString(G24)</f>
        <v>40 42 33</v>
      </c>
      <c r="J24" s="132" cm="1">
        <f t="array" ref="J24">_xll.PE.deg.FromString(H24)</f>
        <v>19.667777777777779</v>
      </c>
      <c r="K24" s="134" cm="1">
        <f t="array" ref="K24">_xll.PE.deg.FromString(I24)</f>
        <v>40.709166666666668</v>
      </c>
      <c r="L24" s="71">
        <f t="shared" ref="L24:L30" si="4">F24-J24</f>
        <v>1.3493090308713818E-4</v>
      </c>
      <c r="M24" s="72">
        <f t="shared" ref="M24:M30" si="5">G24-K24</f>
        <v>-1.0777433956832283E-4</v>
      </c>
      <c r="N24" s="8">
        <f t="shared" ref="N24:N29" si="6">SQRT((D25-D24)^2+(E25-E24)^2)</f>
        <v>3000.0000000000473</v>
      </c>
      <c r="O24" s="108">
        <f t="shared" ref="O24:O29" si="7">IF(DEGREES(ATAN2(E25-E24,D25-D24))&lt;0,DEGREES(ATAN2(E25-E24,D25-D24))+360,(DEGREES(ATAN2(E25-E24,D25-D24))))</f>
        <v>76.05623395495347</v>
      </c>
      <c r="P24" s="89"/>
      <c r="Q24" s="44" t="str">
        <f t="shared" ref="Q24:Q30" si="8">CONCATENATE(TEXT(F24,"#.00000000"),",",TEXT(G24,"#.00000000"))</f>
        <v>19.66791271,40.70905889</v>
      </c>
      <c r="R24" s="98" t="str">
        <f t="shared" ref="R24:R30" si="9">CONCATENATE("&lt;trkpt lon=""",TEXT(F24,"#.00000000"),""" lat=""",TEXT(G24,"#.00000000"),"""","&gt;&lt;name&gt;S",TEXT(B24,"00"),"&lt;/name&gt;&lt;/trkpt&gt;")</f>
        <v>&lt;trkpt lon="19.66791271" lat="40.70905889"&gt;&lt;name&gt;S01&lt;/name&gt;&lt;/trkpt&gt;</v>
      </c>
    </row>
    <row r="25" spans="1:18" ht="15" thickBot="1" x14ac:dyDescent="0.4">
      <c r="A25" s="24"/>
      <c r="B25" s="102">
        <v>2</v>
      </c>
      <c r="C25" s="12" t="s">
        <v>5</v>
      </c>
      <c r="D25" s="37">
        <f>D26-$D$8*SIN(RADIANS(O26))</f>
        <v>4390473.8692103066</v>
      </c>
      <c r="E25" s="38">
        <f>E26-$D$8*COS(RADIANS(O26))</f>
        <v>4509971.1221385906</v>
      </c>
      <c r="F25" s="135" cm="1">
        <f t="array" ref="F25:G25">_xll.PE.trf.FromEpsgNoToEpsgNo($D$4,$D$5,D25,E25)</f>
        <v>19.702232192676256</v>
      </c>
      <c r="G25" s="137">
        <v>40.715959438348861</v>
      </c>
      <c r="H25" s="135" t="str" cm="1">
        <f t="array" ref="H25">_xll.PE.deg.AsString(F25)</f>
        <v>19 42 08</v>
      </c>
      <c r="I25" s="136" t="str" cm="1">
        <f t="array" ref="I25">_xll.PE.deg.AsString(G25)</f>
        <v>40 42 57</v>
      </c>
      <c r="J25" s="135" cm="1">
        <f t="array" ref="J25">_xll.PE.deg.FromString(H25)</f>
        <v>19.702222222222222</v>
      </c>
      <c r="K25" s="137" cm="1">
        <f t="array" ref="K25">_xll.PE.deg.FromString(I25)</f>
        <v>40.715833333333336</v>
      </c>
      <c r="L25" s="73">
        <f t="shared" si="4"/>
        <v>9.9704540339473624E-6</v>
      </c>
      <c r="M25" s="74">
        <f t="shared" si="5"/>
        <v>1.2610501552501319E-4</v>
      </c>
      <c r="N25" s="39">
        <f t="shared" si="6"/>
        <v>4000.0000000001378</v>
      </c>
      <c r="O25" s="89">
        <f t="shared" si="7"/>
        <v>76.05623395494915</v>
      </c>
      <c r="P25" s="89"/>
      <c r="Q25" s="44" t="str">
        <f t="shared" si="8"/>
        <v>19.70223219,40.71595944</v>
      </c>
      <c r="R25" s="98" t="str">
        <f t="shared" si="9"/>
        <v>&lt;trkpt lon="19.70223219" lat="40.71595944"&gt;&lt;name&gt;S02&lt;/name&gt;&lt;/trkpt&gt;</v>
      </c>
    </row>
    <row r="26" spans="1:18" ht="15" thickBot="1" x14ac:dyDescent="0.4">
      <c r="A26" s="24"/>
      <c r="B26" s="102">
        <v>3</v>
      </c>
      <c r="C26" s="12" t="s">
        <v>9</v>
      </c>
      <c r="D26" s="18">
        <v>4394356</v>
      </c>
      <c r="E26" s="28">
        <v>4510935</v>
      </c>
      <c r="F26" s="138" cm="1">
        <f t="array" ref="F26:G26">_xll.PE.trf.FromEpsgNoToEpsgNo($D$4,$D$5,D26,E26)</f>
        <v>19.748002911094968</v>
      </c>
      <c r="G26" s="140">
        <v>40.725144440548164</v>
      </c>
      <c r="H26" s="138" t="str" cm="1">
        <f t="array" ref="H26">_xll.PE.deg.AsString(F26)</f>
        <v>19 44 53</v>
      </c>
      <c r="I26" s="139" t="str" cm="1">
        <f t="array" ref="I26">_xll.PE.deg.AsString(G26)</f>
        <v>40 43 31</v>
      </c>
      <c r="J26" s="138" cm="1">
        <f t="array" ref="J26">_xll.PE.deg.FromString(H26)</f>
        <v>19.748055555555556</v>
      </c>
      <c r="K26" s="140" cm="1">
        <f t="array" ref="K26">_xll.PE.deg.FromString(I26)</f>
        <v>40.725277777777777</v>
      </c>
      <c r="L26" s="75">
        <f t="shared" si="4"/>
        <v>-5.2644460588169295E-5</v>
      </c>
      <c r="M26" s="76">
        <f t="shared" si="5"/>
        <v>-1.3333722961306194E-4</v>
      </c>
      <c r="N26" s="10">
        <f t="shared" si="6"/>
        <v>9316.5330998177651</v>
      </c>
      <c r="O26" s="93">
        <f t="shared" si="7"/>
        <v>76.056233954952916</v>
      </c>
      <c r="P26" s="21">
        <v>2462</v>
      </c>
      <c r="Q26" s="44" t="str">
        <f t="shared" si="8"/>
        <v>19.74800291,40.72514444</v>
      </c>
      <c r="R26" s="98" t="str">
        <f t="shared" si="9"/>
        <v>&lt;trkpt lon="19.74800291" lat="40.72514444"&gt;&lt;name&gt;S03&lt;/name&gt;&lt;/trkpt&gt;</v>
      </c>
    </row>
    <row r="27" spans="1:18" ht="15" thickBot="1" x14ac:dyDescent="0.4">
      <c r="A27" s="24"/>
      <c r="B27" s="102">
        <v>4</v>
      </c>
      <c r="C27" s="12" t="s">
        <v>10</v>
      </c>
      <c r="D27" s="18">
        <v>4403398</v>
      </c>
      <c r="E27" s="28">
        <v>4513180</v>
      </c>
      <c r="F27" s="138" cm="1">
        <f t="array" ref="F27:G27">_xll.PE.trf.FromEpsgNoToEpsgNo($D$4,$D$5,D27,E27)</f>
        <v>19.854659382414237</v>
      </c>
      <c r="G27" s="140">
        <v>40.74646776162173</v>
      </c>
      <c r="H27" s="138" t="str" cm="1">
        <f t="array" ref="H27">_xll.PE.deg.AsString(F27)</f>
        <v>19 51 17</v>
      </c>
      <c r="I27" s="139" t="str" cm="1">
        <f t="array" ref="I27">_xll.PE.deg.AsString(G27)</f>
        <v>40 44 47</v>
      </c>
      <c r="J27" s="138" cm="1">
        <f t="array" ref="J27">_xll.PE.deg.FromString(H27)</f>
        <v>19.854722222222225</v>
      </c>
      <c r="K27" s="140" cm="1">
        <f t="array" ref="K27">_xll.PE.deg.FromString(I27)</f>
        <v>40.746388888888887</v>
      </c>
      <c r="L27" s="75">
        <f t="shared" si="4"/>
        <v>-6.2839807988268603E-5</v>
      </c>
      <c r="M27" s="76">
        <f t="shared" si="5"/>
        <v>7.8872732842683035E-5</v>
      </c>
      <c r="N27" s="10">
        <f t="shared" si="6"/>
        <v>21440.46289145829</v>
      </c>
      <c r="O27" s="93">
        <f t="shared" si="7"/>
        <v>74.970119111671551</v>
      </c>
      <c r="P27" s="90" cm="1">
        <f t="array" ref="P27">_xll.PE.crs.GeodesicDistance($D$4,D25:E29)</f>
        <v>38753.012950642144</v>
      </c>
      <c r="Q27" s="44" t="str">
        <f t="shared" si="8"/>
        <v>19.85465938,40.74646776</v>
      </c>
      <c r="R27" s="98" t="str">
        <f t="shared" si="9"/>
        <v>&lt;trkpt lon="19.85465938" lat="40.74646776"&gt;&lt;name&gt;S04&lt;/name&gt;&lt;/trkpt&gt;</v>
      </c>
    </row>
    <row r="28" spans="1:18" ht="15" thickBot="1" x14ac:dyDescent="0.4">
      <c r="A28" s="24"/>
      <c r="B28" s="102">
        <v>5</v>
      </c>
      <c r="C28" s="12" t="s">
        <v>7</v>
      </c>
      <c r="D28" s="18">
        <v>4424105</v>
      </c>
      <c r="E28" s="28">
        <v>4518740</v>
      </c>
      <c r="F28" s="138" cm="1">
        <f t="array" ref="F28:G28">_xll.PE.trf.FromEpsgNoToEpsgNo($D$4,$D$5,D28,E28)</f>
        <v>20.099124970644958</v>
      </c>
      <c r="G28" s="140">
        <v>40.798701544598003</v>
      </c>
      <c r="H28" s="138" t="str" cm="1">
        <f t="array" ref="H28">_xll.PE.deg.AsString(F28)</f>
        <v>20 05 57</v>
      </c>
      <c r="I28" s="139" t="str" cm="1">
        <f t="array" ref="I28">_xll.PE.deg.AsString(G28)</f>
        <v>40 47 55</v>
      </c>
      <c r="J28" s="138" cm="1">
        <f t="array" ref="J28">_xll.PE.deg.FromString(H28)</f>
        <v>20.099166666666665</v>
      </c>
      <c r="K28" s="140" cm="1">
        <f t="array" ref="K28">_xll.PE.deg.FromString(I28)</f>
        <v>40.798611111111107</v>
      </c>
      <c r="L28" s="75">
        <f t="shared" si="4"/>
        <v>-4.1696021707338105E-5</v>
      </c>
      <c r="M28" s="76">
        <f t="shared" si="5"/>
        <v>9.0433486896301929E-5</v>
      </c>
      <c r="N28" s="39">
        <f t="shared" si="6"/>
        <v>3999.9999999994898</v>
      </c>
      <c r="O28" s="89">
        <f t="shared" si="7"/>
        <v>74.970119111673426</v>
      </c>
      <c r="P28" s="89"/>
      <c r="Q28" s="44" t="str">
        <f t="shared" si="8"/>
        <v>20.09912497,40.79870154</v>
      </c>
      <c r="R28" s="98" t="str">
        <f t="shared" si="9"/>
        <v>&lt;trkpt lon="20.09912497" lat="40.79870154"&gt;&lt;name&gt;S05&lt;/name&gt;&lt;/trkpt&gt;</v>
      </c>
    </row>
    <row r="29" spans="1:18" ht="15" thickBot="1" x14ac:dyDescent="0.4">
      <c r="A29" s="24" t="str">
        <f>C23</f>
        <v>A_002</v>
      </c>
      <c r="B29" s="102">
        <v>6</v>
      </c>
      <c r="C29" s="12" t="s">
        <v>5</v>
      </c>
      <c r="D29" s="37">
        <f>D28+$D$8*SIN(RADIANS(O27))</f>
        <v>4427968.1628626352</v>
      </c>
      <c r="E29" s="38">
        <f>E28+$D$8*COS(RADIANS(O27))</f>
        <v>4519777.2910376322</v>
      </c>
      <c r="F29" s="135" cm="1">
        <f t="array" ref="F29:G29">_xll.PE.trf.FromEpsgNoToEpsgNo($D$4,$D$5,D29,E29)</f>
        <v>20.144776595350073</v>
      </c>
      <c r="G29" s="137">
        <v>40.808389494859469</v>
      </c>
      <c r="H29" s="135" t="str" cm="1">
        <f t="array" ref="H29">_xll.PE.deg.AsString(F29)</f>
        <v>20 08 41</v>
      </c>
      <c r="I29" s="136" t="str" cm="1">
        <f t="array" ref="I29">_xll.PE.deg.AsString(G29)</f>
        <v>40 48 30</v>
      </c>
      <c r="J29" s="135" cm="1">
        <f t="array" ref="J29">_xll.PE.deg.FromString(H29)</f>
        <v>20.144722222222221</v>
      </c>
      <c r="K29" s="137" cm="1">
        <f t="array" ref="K29">_xll.PE.deg.FromString(I29)</f>
        <v>40.80833333333333</v>
      </c>
      <c r="L29" s="73">
        <f t="shared" si="4"/>
        <v>5.4373127852613834E-5</v>
      </c>
      <c r="M29" s="74">
        <f t="shared" si="5"/>
        <v>5.6161526138964746E-5</v>
      </c>
      <c r="N29" s="39">
        <f t="shared" si="6"/>
        <v>3000.0000000004125</v>
      </c>
      <c r="O29" s="89">
        <f t="shared" si="7"/>
        <v>74.970119111668296</v>
      </c>
      <c r="P29" s="5">
        <v>4326</v>
      </c>
      <c r="Q29" s="44" t="str">
        <f t="shared" si="8"/>
        <v>20.14477660,40.80838949</v>
      </c>
      <c r="R29" s="98" t="str">
        <f t="shared" si="9"/>
        <v>&lt;trkpt lon="20.14477660" lat="40.80838949"&gt;&lt;name&gt;S06&lt;/name&gt;&lt;/trkpt&gt;</v>
      </c>
    </row>
    <row r="30" spans="1:18" ht="15" thickBot="1" x14ac:dyDescent="0.4">
      <c r="A30" s="24"/>
      <c r="B30" s="103">
        <v>7</v>
      </c>
      <c r="C30" s="13" t="s">
        <v>13</v>
      </c>
      <c r="D30" s="29">
        <f>D29+$D$7*SIN(RADIANS(O28))</f>
        <v>4430865.5350096123</v>
      </c>
      <c r="E30" s="30">
        <f>E29+$D$7*COS(RADIANS(O28))</f>
        <v>4520555.2593158567</v>
      </c>
      <c r="F30" s="141" cm="1">
        <f t="array" ref="F30:G30">_xll.PE.trf.FromEpsgNoToEpsgNo($D$4,$D$5,D30,E30)</f>
        <v>20.17902421260742</v>
      </c>
      <c r="G30" s="143">
        <v>40.815643676429772</v>
      </c>
      <c r="H30" s="141" t="str" cm="1">
        <f t="array" ref="H30">_xll.PE.deg.AsString(F30)</f>
        <v>20 10 44</v>
      </c>
      <c r="I30" s="142" t="str" cm="1">
        <f t="array" ref="I30">_xll.PE.deg.AsString(G30)</f>
        <v>40 48 56</v>
      </c>
      <c r="J30" s="141" cm="1">
        <f t="array" ref="J30">_xll.PE.deg.FromString(H30)</f>
        <v>20.178888888888888</v>
      </c>
      <c r="K30" s="143" cm="1">
        <f t="array" ref="K30">_xll.PE.deg.FromString(I30)</f>
        <v>40.815555555555555</v>
      </c>
      <c r="L30" s="77">
        <f t="shared" si="4"/>
        <v>1.3532371853131053E-4</v>
      </c>
      <c r="M30" s="78">
        <f t="shared" si="5"/>
        <v>8.8120874217167966E-5</v>
      </c>
      <c r="N30" s="34">
        <f>SUM(N25:N28)</f>
        <v>38756.995991275682</v>
      </c>
      <c r="O30" s="5" t="s">
        <v>11</v>
      </c>
      <c r="P30" s="90" cm="1">
        <f t="array" ref="P30">_xll.PE.crs.GeodesicDistance($D$5,J25:K29)</f>
        <v>38751.296513615664</v>
      </c>
      <c r="Q30" s="44" t="str">
        <f t="shared" si="8"/>
        <v>20.17902421,40.81564368</v>
      </c>
      <c r="R30" s="98" t="str">
        <f t="shared" si="9"/>
        <v>&lt;trkpt lon="20.17902421" lat="40.81564368"&gt;&lt;name&gt;S07&lt;/name&gt;&lt;/trkpt&gt;</v>
      </c>
    </row>
    <row r="31" spans="1:18" ht="15" thickBot="1" x14ac:dyDescent="0.4">
      <c r="A31" s="24"/>
      <c r="B31" s="104"/>
      <c r="C31" s="15"/>
      <c r="D31" s="31"/>
      <c r="E31" s="31"/>
      <c r="F31" s="42"/>
      <c r="G31" s="42"/>
      <c r="H31" s="42"/>
      <c r="I31" s="42"/>
      <c r="J31" s="42"/>
      <c r="K31" s="42"/>
      <c r="L31" s="42"/>
      <c r="M31" s="42"/>
      <c r="N31" s="25">
        <f>N26+N27</f>
        <v>30756.995991276053</v>
      </c>
      <c r="O31" s="106" t="s">
        <v>12</v>
      </c>
      <c r="P31" s="91"/>
      <c r="Q31" s="44" t="s">
        <v>21</v>
      </c>
      <c r="R31" s="98" t="str">
        <f>CONCATENATE("&lt;/trkseg&gt;&lt;/trk&gt;")</f>
        <v>&lt;/trkseg&gt;&lt;/trk&gt;</v>
      </c>
    </row>
    <row r="32" spans="1:18" ht="15" thickBot="1" x14ac:dyDescent="0.4">
      <c r="A32" s="24"/>
      <c r="B32" s="104"/>
      <c r="C32" s="11" t="s">
        <v>46</v>
      </c>
      <c r="D32" s="33"/>
      <c r="E32" s="33"/>
      <c r="F32" s="40"/>
      <c r="G32" s="40"/>
      <c r="H32" s="40"/>
      <c r="I32" s="40"/>
      <c r="J32" s="40"/>
      <c r="K32" s="40"/>
      <c r="L32" s="40"/>
      <c r="M32" s="40"/>
      <c r="N32" s="16"/>
      <c r="O32" s="109"/>
      <c r="P32" s="92"/>
      <c r="Q32" s="44" t="str">
        <f>CONCATENATE("&lt;Placemark&gt;&lt;name&gt;",A38,"&lt;/name&gt;&lt;styleUrl&gt;#track001&lt;/styleUrl&gt;&lt;MultiGeometry&gt;&lt;LineString&gt;&lt;coordinates&gt;")</f>
        <v>&lt;Placemark&gt;&lt;name&gt;A_003&lt;/name&gt;&lt;styleUrl&gt;#track001&lt;/styleUrl&gt;&lt;MultiGeometry&gt;&lt;LineString&gt;&lt;coordinates&gt;</v>
      </c>
      <c r="R32" s="98" t="str">
        <f>CONCATENATE("&lt;trk&gt;&lt;name&gt;",A38,"&lt;/name&gt;&lt;trkseg&gt;")</f>
        <v>&lt;trk&gt;&lt;name&gt;A_003&lt;/name&gt;&lt;trkseg&gt;</v>
      </c>
    </row>
    <row r="33" spans="1:18" x14ac:dyDescent="0.35">
      <c r="A33" s="24"/>
      <c r="B33" s="101">
        <v>1</v>
      </c>
      <c r="C33" s="12" t="s">
        <v>13</v>
      </c>
      <c r="D33" s="26">
        <f>D34-$D$7*SIN(RADIANS(O34))</f>
        <v>4390607.5559663102</v>
      </c>
      <c r="E33" s="27">
        <f>E34-$D$7*COS(RADIANS(O34))</f>
        <v>4525483.832561858</v>
      </c>
      <c r="F33" s="132" cm="1">
        <f t="array" ref="F33:G33">_xll.PE.trf.FromEpsgNoToEpsgNo($D$4,$D$5,D33,E33)</f>
        <v>19.701095294756342</v>
      </c>
      <c r="G33" s="134">
        <v>40.855631732298527</v>
      </c>
      <c r="H33" s="132" t="str" cm="1">
        <f t="array" ref="H33">_xll.PE.deg.AsString(F33)</f>
        <v>19 42 04</v>
      </c>
      <c r="I33" s="133" t="str" cm="1">
        <f t="array" ref="I33">_xll.PE.deg.AsString(G33)</f>
        <v>40 51 20</v>
      </c>
      <c r="J33" s="132" cm="1">
        <f t="array" ref="J33">_xll.PE.deg.FromString(H33)</f>
        <v>19.701111111111111</v>
      </c>
      <c r="K33" s="134" cm="1">
        <f t="array" ref="K33">_xll.PE.deg.FromString(I33)</f>
        <v>40.855555555555554</v>
      </c>
      <c r="L33" s="71">
        <f t="shared" ref="L33:L39" si="10">F33-J33</f>
        <v>-1.5816354768105612E-5</v>
      </c>
      <c r="M33" s="72">
        <f t="shared" ref="M33:M39" si="11">G33-K33</f>
        <v>7.6176742972222655E-5</v>
      </c>
      <c r="N33" s="8">
        <f t="shared" ref="N33:N38" si="12">SQRT((D34-D33)^2+(E34-E33)^2)</f>
        <v>3000.0000000001414</v>
      </c>
      <c r="O33" s="108">
        <f t="shared" ref="O33:O38" si="13">IF(DEGREES(ATAN2(E34-E33,D34-D33))&lt;0,DEGREES(ATAN2(E34-E33,D34-D33))+360,(DEGREES(ATAN2(E34-E33,D34-D33))))</f>
        <v>115.42001039005864</v>
      </c>
      <c r="P33" s="89"/>
      <c r="Q33" s="44" t="str">
        <f t="shared" ref="Q33:Q39" si="14">CONCATENATE(TEXT(F33,"#.00000000"),",",TEXT(G33,"#.00000000"))</f>
        <v>19.70109529,40.85563173</v>
      </c>
      <c r="R33" s="98" t="str">
        <f t="shared" ref="R33:R39" si="15">CONCATENATE("&lt;trkpt lon=""",TEXT(F33,"#.00000000"),""" lat=""",TEXT(G33,"#.00000000"),"""","&gt;&lt;name&gt;S",TEXT(B33,"00"),"&lt;/name&gt;&lt;/trkpt&gt;")</f>
        <v>&lt;trkpt lon="19.70109529" lat="40.85563173"&gt;&lt;name&gt;S01&lt;/name&gt;&lt;/trkpt&gt;</v>
      </c>
    </row>
    <row r="34" spans="1:18" ht="15" thickBot="1" x14ac:dyDescent="0.4">
      <c r="A34" s="24"/>
      <c r="B34" s="102">
        <v>2</v>
      </c>
      <c r="C34" s="12" t="s">
        <v>5</v>
      </c>
      <c r="D34" s="37">
        <f>D35-$D$8*SIN(RADIANS(O35))</f>
        <v>4393317.1122664632</v>
      </c>
      <c r="E34" s="38">
        <f>E35-$D$8*COS(RADIANS(O35))</f>
        <v>4524196.0807782048</v>
      </c>
      <c r="F34" s="135" cm="1">
        <f t="array" ref="F34:G34">_xll.PE.trf.FromEpsgNoToEpsgNo($D$4,$D$5,D34,E34)</f>
        <v>19.733442649612513</v>
      </c>
      <c r="G34" s="137">
        <v>40.844395968057178</v>
      </c>
      <c r="H34" s="135" t="str" cm="1">
        <f t="array" ref="H34">_xll.PE.deg.AsString(F34)</f>
        <v>19 44 00</v>
      </c>
      <c r="I34" s="136" t="str" cm="1">
        <f t="array" ref="I34">_xll.PE.deg.AsString(G34)</f>
        <v>40 50 40</v>
      </c>
      <c r="J34" s="135" cm="1">
        <f t="array" ref="J34">_xll.PE.deg.FromString(H34)</f>
        <v>19.733333333333334</v>
      </c>
      <c r="K34" s="137" cm="1">
        <f t="array" ref="K34">_xll.PE.deg.FromString(I34)</f>
        <v>40.844444444444449</v>
      </c>
      <c r="L34" s="73">
        <f t="shared" si="10"/>
        <v>1.0931627917898368E-4</v>
      </c>
      <c r="M34" s="74">
        <f t="shared" si="11"/>
        <v>-4.8476387270568466E-5</v>
      </c>
      <c r="N34" s="39">
        <f t="shared" si="12"/>
        <v>4000.0000000001746</v>
      </c>
      <c r="O34" s="89">
        <f t="shared" si="13"/>
        <v>115.42001039006858</v>
      </c>
      <c r="P34" s="89"/>
      <c r="Q34" s="44" t="str">
        <f t="shared" si="14"/>
        <v>19.73344265,40.84439597</v>
      </c>
      <c r="R34" s="98" t="str">
        <f t="shared" si="15"/>
        <v>&lt;trkpt lon="19.73344265" lat="40.84439597"&gt;&lt;name&gt;S02&lt;/name&gt;&lt;/trkpt&gt;</v>
      </c>
    </row>
    <row r="35" spans="1:18" ht="15" thickBot="1" x14ac:dyDescent="0.4">
      <c r="A35" s="24"/>
      <c r="B35" s="102">
        <v>3</v>
      </c>
      <c r="C35" s="12" t="s">
        <v>9</v>
      </c>
      <c r="D35" s="18">
        <v>4396929.8540000003</v>
      </c>
      <c r="E35" s="6">
        <v>4522479.0784</v>
      </c>
      <c r="F35" s="138" cm="1">
        <f t="array" ref="F35:G35">_xll.PE.trf.FromEpsgNoToEpsgNo($D$4,$D$5,D35,E35)</f>
        <v>19.776555734991796</v>
      </c>
      <c r="G35" s="140">
        <v>40.829400558913271</v>
      </c>
      <c r="H35" s="138" t="str" cm="1">
        <f t="array" ref="H35">_xll.PE.deg.AsString(F35)</f>
        <v>19 46 36</v>
      </c>
      <c r="I35" s="139" t="str" cm="1">
        <f t="array" ref="I35">_xll.PE.deg.AsString(G35)</f>
        <v>40 49 46</v>
      </c>
      <c r="J35" s="138" cm="1">
        <f t="array" ref="J35">_xll.PE.deg.FromString(H35)</f>
        <v>19.776666666666667</v>
      </c>
      <c r="K35" s="140" cm="1">
        <f t="array" ref="K35">_xll.PE.deg.FromString(I35)</f>
        <v>40.829444444444448</v>
      </c>
      <c r="L35" s="75">
        <f t="shared" si="10"/>
        <v>-1.1093167487175037E-4</v>
      </c>
      <c r="M35" s="76">
        <f t="shared" si="11"/>
        <v>-4.388553117706806E-5</v>
      </c>
      <c r="N35" s="10">
        <f t="shared" si="12"/>
        <v>10746.801422194574</v>
      </c>
      <c r="O35" s="93">
        <f t="shared" si="13"/>
        <v>115.42001039006327</v>
      </c>
      <c r="P35" s="21">
        <v>2462</v>
      </c>
      <c r="Q35" s="44" t="str">
        <f t="shared" si="14"/>
        <v>19.77655573,40.82940056</v>
      </c>
      <c r="R35" s="98" t="str">
        <f t="shared" si="15"/>
        <v>&lt;trkpt lon="19.77655573" lat="40.82940056"&gt;&lt;name&gt;S03&lt;/name&gt;&lt;/trkpt&gt;</v>
      </c>
    </row>
    <row r="36" spans="1:18" ht="15" thickBot="1" x14ac:dyDescent="0.4">
      <c r="A36" s="24"/>
      <c r="B36" s="102">
        <v>4</v>
      </c>
      <c r="C36" s="12" t="s">
        <v>10</v>
      </c>
      <c r="D36" s="18">
        <v>4406636.2084999997</v>
      </c>
      <c r="E36" s="6">
        <v>4517866.0075000003</v>
      </c>
      <c r="F36" s="138" cm="1">
        <f t="array" ref="F36:G36">_xll.PE.trf.FromEpsgNoToEpsgNo($D$4,$D$5,D36,E36)</f>
        <v>19.892292936682402</v>
      </c>
      <c r="G36" s="140">
        <v>40.78903112296662</v>
      </c>
      <c r="H36" s="138" t="str" cm="1">
        <f t="array" ref="H36">_xll.PE.deg.AsString(F36)</f>
        <v>19 53 32</v>
      </c>
      <c r="I36" s="139" t="str" cm="1">
        <f t="array" ref="I36">_xll.PE.deg.AsString(G36)</f>
        <v>40 47 21</v>
      </c>
      <c r="J36" s="138" cm="1">
        <f t="array" ref="J36">_xll.PE.deg.FromString(H36)</f>
        <v>19.892222222222223</v>
      </c>
      <c r="K36" s="140" cm="1">
        <f t="array" ref="K36">_xll.PE.deg.FromString(I36)</f>
        <v>40.789166666666667</v>
      </c>
      <c r="L36" s="75">
        <f t="shared" si="10"/>
        <v>7.0714460179033267E-5</v>
      </c>
      <c r="M36" s="76">
        <f t="shared" si="11"/>
        <v>-1.3554370004698058E-4</v>
      </c>
      <c r="N36" s="10">
        <f t="shared" si="12"/>
        <v>6938.6067606873576</v>
      </c>
      <c r="O36" s="93">
        <f t="shared" si="13"/>
        <v>117.43448926212268</v>
      </c>
      <c r="P36" s="90" cm="1">
        <f t="array" ref="P36">_xll.PE.crs.GeodesicDistance($D$4,D34:E38)</f>
        <v>25682.535382420487</v>
      </c>
      <c r="Q36" s="44" t="str">
        <f t="shared" si="14"/>
        <v>19.89229294,40.78903112</v>
      </c>
      <c r="R36" s="98" t="str">
        <f t="shared" si="15"/>
        <v>&lt;trkpt lon="19.89229294" lat="40.78903112"&gt;&lt;name&gt;S04&lt;/name&gt;&lt;/trkpt&gt;</v>
      </c>
    </row>
    <row r="37" spans="1:18" ht="15" thickBot="1" x14ac:dyDescent="0.4">
      <c r="A37" s="24"/>
      <c r="B37" s="102">
        <v>5</v>
      </c>
      <c r="C37" s="12" t="s">
        <v>7</v>
      </c>
      <c r="D37" s="18">
        <v>4412794.4870999996</v>
      </c>
      <c r="E37" s="6">
        <v>4514669.1546</v>
      </c>
      <c r="F37" s="138" cm="1">
        <f t="array" ref="F37:G37">_xll.PE.trf.FromEpsgNoToEpsgNo($D$4,$D$5,D37,E37)</f>
        <v>19.965689392996619</v>
      </c>
      <c r="G37" s="140">
        <v>40.760925753185163</v>
      </c>
      <c r="H37" s="138" t="str" cm="1">
        <f t="array" ref="H37">_xll.PE.deg.AsString(F37)</f>
        <v>19 57 56</v>
      </c>
      <c r="I37" s="139" t="str" cm="1">
        <f t="array" ref="I37">_xll.PE.deg.AsString(G37)</f>
        <v>40 45 39</v>
      </c>
      <c r="J37" s="138" cm="1">
        <f t="array" ref="J37">_xll.PE.deg.FromString(H37)</f>
        <v>19.965555555555554</v>
      </c>
      <c r="K37" s="140" cm="1">
        <f t="array" ref="K37">_xll.PE.deg.FromString(I37)</f>
        <v>40.760833333333331</v>
      </c>
      <c r="L37" s="75">
        <f t="shared" si="10"/>
        <v>1.3383744106576501E-4</v>
      </c>
      <c r="M37" s="76">
        <f t="shared" si="11"/>
        <v>9.2419851831948563E-5</v>
      </c>
      <c r="N37" s="39">
        <f t="shared" si="12"/>
        <v>4000.0000000002269</v>
      </c>
      <c r="O37" s="89">
        <f t="shared" si="13"/>
        <v>117.43448926211632</v>
      </c>
      <c r="P37" s="89"/>
      <c r="Q37" s="44" t="str">
        <f t="shared" si="14"/>
        <v>19.96568939,40.76092575</v>
      </c>
      <c r="R37" s="98" t="str">
        <f t="shared" si="15"/>
        <v>&lt;trkpt lon="19.96568939" lat="40.76092575"&gt;&lt;name&gt;S05&lt;/name&gt;&lt;/trkpt&gt;</v>
      </c>
    </row>
    <row r="38" spans="1:18" ht="15" thickBot="1" x14ac:dyDescent="0.4">
      <c r="A38" s="24" t="str">
        <f>C32</f>
        <v>A_003</v>
      </c>
      <c r="B38" s="102">
        <v>6</v>
      </c>
      <c r="C38" s="12" t="s">
        <v>5</v>
      </c>
      <c r="D38" s="37">
        <f>D37+$D$8*SIN(RADIANS(O36))</f>
        <v>4416344.6399260061</v>
      </c>
      <c r="E38" s="38">
        <f>E37+$D$8*COS(RADIANS(O36))</f>
        <v>4512826.2181084193</v>
      </c>
      <c r="F38" s="135" cm="1">
        <f t="array" ref="F38:G38">_xll.PE.trf.FromEpsgNoToEpsgNo($D$4,$D$5,D38,E38)</f>
        <v>20.007973540197661</v>
      </c>
      <c r="G38" s="137">
        <v>40.744701833348564</v>
      </c>
      <c r="H38" s="135" t="str" cm="1">
        <f t="array" ref="H38">_xll.PE.deg.AsString(F38)</f>
        <v>20 00 29</v>
      </c>
      <c r="I38" s="136" t="str" cm="1">
        <f t="array" ref="I38">_xll.PE.deg.AsString(G38)</f>
        <v>40 44 41</v>
      </c>
      <c r="J38" s="135" cm="1">
        <f t="array" ref="J38">_xll.PE.deg.FromString(H38)</f>
        <v>20.008055555555554</v>
      </c>
      <c r="K38" s="137" cm="1">
        <f t="array" ref="K38">_xll.PE.deg.FromString(I38)</f>
        <v>40.744722222222222</v>
      </c>
      <c r="L38" s="73">
        <f t="shared" si="10"/>
        <v>-8.2015357893538976E-5</v>
      </c>
      <c r="M38" s="74">
        <f t="shared" si="11"/>
        <v>-2.0388873657850581E-5</v>
      </c>
      <c r="N38" s="39">
        <f t="shared" si="12"/>
        <v>2999.999999999749</v>
      </c>
      <c r="O38" s="89">
        <f t="shared" si="13"/>
        <v>117.43448926211049</v>
      </c>
      <c r="P38" s="5">
        <v>4326</v>
      </c>
      <c r="Q38" s="44" t="str">
        <f t="shared" si="14"/>
        <v>20.00797354,40.74470183</v>
      </c>
      <c r="R38" s="98" t="str">
        <f t="shared" si="15"/>
        <v>&lt;trkpt lon="20.00797354" lat="40.74470183"&gt;&lt;name&gt;S06&lt;/name&gt;&lt;/trkpt&gt;</v>
      </c>
    </row>
    <row r="39" spans="1:18" ht="15" thickBot="1" x14ac:dyDescent="0.4">
      <c r="A39" s="24"/>
      <c r="B39" s="103">
        <v>7</v>
      </c>
      <c r="C39" s="13" t="s">
        <v>13</v>
      </c>
      <c r="D39" s="29">
        <f>D38+$D$7*SIN(RADIANS(O37))</f>
        <v>4419007.2545455107</v>
      </c>
      <c r="E39" s="30">
        <f>E38+$D$7*COS(RADIANS(O37))</f>
        <v>4511444.0157397343</v>
      </c>
      <c r="F39" s="141" cm="1">
        <f t="array" ref="F39:G39">_xll.PE.trf.FromEpsgNoToEpsgNo($D$4,$D$5,D39,E39)</f>
        <v>20.039673311207402</v>
      </c>
      <c r="G39" s="143">
        <v>40.732523543254402</v>
      </c>
      <c r="H39" s="141" t="str" cm="1">
        <f t="array" ref="H39">_xll.PE.deg.AsString(F39)</f>
        <v>20 02 23</v>
      </c>
      <c r="I39" s="142" t="str" cm="1">
        <f t="array" ref="I39">_xll.PE.deg.AsString(G39)</f>
        <v>40 43 57</v>
      </c>
      <c r="J39" s="141" cm="1">
        <f t="array" ref="J39">_xll.PE.deg.FromString(H39)</f>
        <v>20.039722222222224</v>
      </c>
      <c r="K39" s="143" cm="1">
        <f t="array" ref="K39">_xll.PE.deg.FromString(I39)</f>
        <v>40.732500000000002</v>
      </c>
      <c r="L39" s="77">
        <f t="shared" si="10"/>
        <v>-4.8911014822294874E-5</v>
      </c>
      <c r="M39" s="78">
        <f t="shared" si="11"/>
        <v>2.3543254400237856E-5</v>
      </c>
      <c r="N39" s="34">
        <f>SUM(N34:N37)</f>
        <v>25685.408182882333</v>
      </c>
      <c r="O39" s="5" t="s">
        <v>11</v>
      </c>
      <c r="P39" s="90" cm="1">
        <f t="array" ref="P39">_xll.PE.crs.GeodesicDistance($D$5,J34:K38)</f>
        <v>25698.595848817353</v>
      </c>
      <c r="Q39" s="44" t="str">
        <f t="shared" si="14"/>
        <v>20.03967331,40.73252354</v>
      </c>
      <c r="R39" s="98" t="str">
        <f t="shared" si="15"/>
        <v>&lt;trkpt lon="20.03967331" lat="40.73252354"&gt;&lt;name&gt;S07&lt;/name&gt;&lt;/trkpt&gt;</v>
      </c>
    </row>
    <row r="40" spans="1:18" ht="15" thickBot="1" x14ac:dyDescent="0.4">
      <c r="A40" s="24"/>
      <c r="B40" s="104"/>
      <c r="C40" s="17"/>
      <c r="D40" s="31"/>
      <c r="E40" s="31"/>
      <c r="F40" s="42"/>
      <c r="G40" s="42"/>
      <c r="H40" s="42"/>
      <c r="I40" s="42"/>
      <c r="J40" s="42"/>
      <c r="K40" s="42"/>
      <c r="L40" s="42"/>
      <c r="M40" s="42"/>
      <c r="N40" s="25">
        <f>N35+N36</f>
        <v>17685.408182881933</v>
      </c>
      <c r="O40" s="106" t="s">
        <v>12</v>
      </c>
      <c r="P40" s="91"/>
      <c r="Q40" s="44" t="s">
        <v>21</v>
      </c>
      <c r="R40" s="98" t="str">
        <f>CONCATENATE("&lt;/trkseg&gt;&lt;/trk&gt;")</f>
        <v>&lt;/trkseg&gt;&lt;/trk&gt;</v>
      </c>
    </row>
    <row r="41" spans="1:18" ht="15" thickBot="1" x14ac:dyDescent="0.4">
      <c r="A41" s="24"/>
      <c r="B41" s="104"/>
      <c r="C41" s="11" t="s">
        <v>32</v>
      </c>
      <c r="D41" s="33"/>
      <c r="E41" s="33"/>
      <c r="F41" s="40"/>
      <c r="G41" s="40"/>
      <c r="H41" s="40"/>
      <c r="I41" s="40"/>
      <c r="J41" s="40"/>
      <c r="K41" s="40"/>
      <c r="L41" s="40"/>
      <c r="M41" s="40"/>
      <c r="N41" s="16"/>
      <c r="O41" s="109"/>
      <c r="P41" s="92"/>
      <c r="Q41" s="44" t="str">
        <f>CONCATENATE("&lt;Placemark&gt;&lt;name&gt;",A46,"&lt;/name&gt;&lt;styleUrl&gt;#track001&lt;/styleUrl&gt;&lt;MultiGeometry&gt;&lt;LineString&gt;&lt;coordinates&gt;")</f>
        <v>&lt;Placemark&gt;&lt;name&gt;B_008&lt;/name&gt;&lt;styleUrl&gt;#track001&lt;/styleUrl&gt;&lt;MultiGeometry&gt;&lt;LineString&gt;&lt;coordinates&gt;</v>
      </c>
      <c r="R41" s="98" t="str">
        <f>CONCATENATE("&lt;trk&gt;&lt;name&gt;",A46,"&lt;/name&gt;&lt;trkseg&gt;")</f>
        <v>&lt;trk&gt;&lt;name&gt;B_008&lt;/name&gt;&lt;trkseg&gt;</v>
      </c>
    </row>
    <row r="42" spans="1:18" ht="15" thickBot="1" x14ac:dyDescent="0.4">
      <c r="A42" s="24"/>
      <c r="B42" s="101">
        <v>1</v>
      </c>
      <c r="C42" s="41" t="s">
        <v>13</v>
      </c>
      <c r="D42" s="26">
        <f>D43-$D$7*SIN(RADIANS(O43))</f>
        <v>4404410.3431884293</v>
      </c>
      <c r="E42" s="27">
        <f>E43-$D$7*COS(RADIANS(O43))</f>
        <v>4466849.4596596127</v>
      </c>
      <c r="F42" s="132" cm="1">
        <f t="array" ref="F42:G42">_xll.PE.trf.FromEpsgNoToEpsgNo($D$4,$D$5,D42,E42)</f>
        <v>19.873652457410753</v>
      </c>
      <c r="G42" s="134">
        <v>40.329447526505525</v>
      </c>
      <c r="H42" s="132" t="str" cm="1">
        <f t="array" ref="H42">_xll.PE.deg.AsString(F42)</f>
        <v>19 52 25</v>
      </c>
      <c r="I42" s="133" t="str" cm="1">
        <f t="array" ref="I42">_xll.PE.deg.AsString(G42)</f>
        <v>40 19 46</v>
      </c>
      <c r="J42" s="132" cm="1">
        <f t="array" ref="J42">_xll.PE.deg.FromString(H42)</f>
        <v>19.87361111111111</v>
      </c>
      <c r="K42" s="134" cm="1">
        <f t="array" ref="K42">_xll.PE.deg.FromString(I42)</f>
        <v>40.329444444444448</v>
      </c>
      <c r="L42" s="83">
        <f t="shared" ref="L42:L47" si="16">F42-J42</f>
        <v>4.1346299642697204E-5</v>
      </c>
      <c r="M42" s="79">
        <f t="shared" ref="M42:M47" si="17">G42-K42</f>
        <v>3.0820610774640045E-6</v>
      </c>
      <c r="N42" s="8">
        <f>SQRT((D43-D42)^2+(E43-E42)^2)</f>
        <v>3000.0000000000514</v>
      </c>
      <c r="O42" s="108">
        <f>IF(DEGREES(ATAN2(E43-E42,D43-D42))&lt;0,DEGREES(ATAN2(E43-E42,D43-D42))+360,(DEGREES(ATAN2(E43-E42,D43-D42))))</f>
        <v>69.569117585364779</v>
      </c>
      <c r="P42" s="89"/>
      <c r="Q42" s="44" t="str">
        <f t="shared" ref="Q42:Q47" si="18">CONCATENATE(TEXT(F42,"#.00000000"),",",TEXT(G42,"#.00000000"))</f>
        <v>19.87365246,40.32944753</v>
      </c>
      <c r="R42" s="98" t="str">
        <f t="shared" ref="R42:R47" si="19">CONCATENATE("&lt;trkpt lon=""",TEXT(F42,"#.00000000"),""" lat=""",TEXT(G42,"#.00000000"),"""","&gt;&lt;name&gt;S",TEXT(B42,"00"),"&lt;/name&gt;&lt;/trkpt&gt;")</f>
        <v>&lt;trkpt lon="19.87365246" lat="40.32944753"&gt;&lt;name&gt;S01&lt;/name&gt;&lt;/trkpt&gt;</v>
      </c>
    </row>
    <row r="43" spans="1:18" ht="15" thickBot="1" x14ac:dyDescent="0.4">
      <c r="A43" s="24"/>
      <c r="B43" s="102">
        <v>2</v>
      </c>
      <c r="C43" s="12" t="s">
        <v>5</v>
      </c>
      <c r="D43" s="37">
        <f>D44-$D$8*SIN(RADIANS(O44))</f>
        <v>4407221.6251076739</v>
      </c>
      <c r="E43" s="38">
        <f>E44-$D$8*COS(RADIANS(O44))</f>
        <v>4467896.6912340643</v>
      </c>
      <c r="F43" s="135" cm="1">
        <f t="array" ref="F43:G43">_xll.PE.trf.FromEpsgNoToEpsgNo($D$4,$D$5,D43,E43)</f>
        <v>19.906574728018438</v>
      </c>
      <c r="G43" s="137">
        <v>40.339194134416083</v>
      </c>
      <c r="H43" s="135" t="str" cm="1">
        <f t="array" ref="H43">_xll.PE.deg.AsString(F43)</f>
        <v>19 54 24</v>
      </c>
      <c r="I43" s="136" t="str" cm="1">
        <f t="array" ref="I43">_xll.PE.deg.AsString(G43)</f>
        <v>40 20 21</v>
      </c>
      <c r="J43" s="135" cm="1">
        <f t="array" ref="J43">_xll.PE.deg.FromString(H43)</f>
        <v>19.906666666666666</v>
      </c>
      <c r="K43" s="137" cm="1">
        <f t="array" ref="K43">_xll.PE.deg.FromString(I43)</f>
        <v>40.339166666666671</v>
      </c>
      <c r="L43" s="84">
        <f t="shared" si="16"/>
        <v>-9.1938648228762077E-5</v>
      </c>
      <c r="M43" s="80">
        <f t="shared" si="17"/>
        <v>2.7467749411869136E-5</v>
      </c>
      <c r="N43" s="39">
        <f>SQRT((D44-D43)^2+(E44-E43)^2)</f>
        <v>4000.0000000001769</v>
      </c>
      <c r="O43" s="89">
        <f>IF(DEGREES(ATAN2(E44-E43,D44-D43))&lt;0,DEGREES(ATAN2(E44-E43,D44-D43))+360,(DEGREES(ATAN2(E44-E43,D44-D43))))</f>
        <v>69.56911758536063</v>
      </c>
      <c r="P43" s="21">
        <v>2462</v>
      </c>
      <c r="Q43" s="44" t="str">
        <f t="shared" si="18"/>
        <v>19.90657473,40.33919413</v>
      </c>
      <c r="R43" s="98" t="str">
        <f t="shared" si="19"/>
        <v>&lt;trkpt lon="19.90657473" lat="40.33919413"&gt;&lt;name&gt;S02&lt;/name&gt;&lt;/trkpt&gt;</v>
      </c>
    </row>
    <row r="44" spans="1:18" ht="15" thickBot="1" x14ac:dyDescent="0.4">
      <c r="A44" s="24"/>
      <c r="B44" s="102">
        <v>3</v>
      </c>
      <c r="C44" s="12" t="s">
        <v>8</v>
      </c>
      <c r="D44" s="18">
        <v>4410970.0010000002</v>
      </c>
      <c r="E44" s="6">
        <v>4469293</v>
      </c>
      <c r="F44" s="138" cm="1">
        <f t="array" ref="F44:G44">_xll.PE.trf.FromEpsgNoToEpsgNo($D$4,$D$5,D44,E44)</f>
        <v>19.950486102913491</v>
      </c>
      <c r="G44" s="140">
        <v>40.352175195042321</v>
      </c>
      <c r="H44" s="138" t="str" cm="1">
        <f t="array" ref="H44">_xll.PE.deg.AsString(F44)</f>
        <v>19 57 02</v>
      </c>
      <c r="I44" s="139" t="str" cm="1">
        <f t="array" ref="I44">_xll.PE.deg.AsString(G44)</f>
        <v>40 21 08</v>
      </c>
      <c r="J44" s="138" cm="1">
        <f t="array" ref="J44">_xll.PE.deg.FromString(H44)</f>
        <v>19.950555555555553</v>
      </c>
      <c r="K44" s="140" cm="1">
        <f t="array" ref="K44">_xll.PE.deg.FromString(I44)</f>
        <v>40.352222222222224</v>
      </c>
      <c r="L44" s="85">
        <f t="shared" si="16"/>
        <v>-6.9452642062373116E-5</v>
      </c>
      <c r="M44" s="81">
        <f t="shared" si="17"/>
        <v>-4.7027179903125216E-5</v>
      </c>
      <c r="N44" s="10">
        <f>SQRT((D45-D44)^2+(E45-E44)^2)</f>
        <v>28128.445339716698</v>
      </c>
      <c r="O44" s="93">
        <f>IF(DEGREES(ATAN2(E45-E44,D45-D44))&lt;0,DEGREES(ATAN2(E45-E44,D45-D44))+360,(DEGREES(ATAN2(E45-E44,D45-D44))))</f>
        <v>69.569117585353467</v>
      </c>
      <c r="P44" s="90" cm="1">
        <f t="array" ref="P44">_xll.PE.crs.GeodesicDistance($D$4,D43:E46)</f>
        <v>36125.845604931084</v>
      </c>
      <c r="Q44" s="44" t="str">
        <f t="shared" si="18"/>
        <v>19.95048610,40.35217520</v>
      </c>
      <c r="R44" s="98" t="str">
        <f t="shared" si="19"/>
        <v>&lt;trkpt lon="19.95048610" lat="40.35217520"&gt;&lt;name&gt;S03&lt;/name&gt;&lt;/trkpt&gt;</v>
      </c>
    </row>
    <row r="45" spans="1:18" ht="15" thickBot="1" x14ac:dyDescent="0.4">
      <c r="A45" s="24"/>
      <c r="B45" s="102">
        <v>4</v>
      </c>
      <c r="C45" s="12" t="s">
        <v>7</v>
      </c>
      <c r="D45" s="18">
        <v>4437328.9976000004</v>
      </c>
      <c r="E45" s="6">
        <v>4479111.9987000003</v>
      </c>
      <c r="F45" s="138" cm="1">
        <f t="array" ref="F45:G45">_xll.PE.trf.FromEpsgNoToEpsgNo($D$4,$D$5,D45,E45)</f>
        <v>20.259758719416958</v>
      </c>
      <c r="G45" s="140">
        <v>40.442992245042944</v>
      </c>
      <c r="H45" s="138" t="str" cm="1">
        <f t="array" ref="H45">_xll.PE.deg.AsString(F45)</f>
        <v>20 15 35</v>
      </c>
      <c r="I45" s="139" t="str" cm="1">
        <f t="array" ref="I45">_xll.PE.deg.AsString(G45)</f>
        <v>40 26 35</v>
      </c>
      <c r="J45" s="138" cm="1">
        <f t="array" ref="J45">_xll.PE.deg.FromString(H45)</f>
        <v>20.259722222222223</v>
      </c>
      <c r="K45" s="140" cm="1">
        <f t="array" ref="K45">_xll.PE.deg.FromString(I45)</f>
        <v>40.443055555555553</v>
      </c>
      <c r="L45" s="85">
        <f t="shared" si="16"/>
        <v>3.6497194734863569E-5</v>
      </c>
      <c r="M45" s="81">
        <f t="shared" si="17"/>
        <v>-6.3310512608438785E-5</v>
      </c>
      <c r="N45" s="39">
        <f>SQRT((D46-D45)^2+(E46-E45)^2)</f>
        <v>4000.0000000001769</v>
      </c>
      <c r="O45" s="89">
        <f>IF(DEGREES(ATAN2(E46-E45,D46-D45))&lt;0,DEGREES(ATAN2(E46-E45,D46-D45))+360,(DEGREES(ATAN2(E46-E45,D46-D45))))</f>
        <v>69.56911758536063</v>
      </c>
      <c r="P45" s="89"/>
      <c r="Q45" s="44" t="str">
        <f t="shared" si="18"/>
        <v>20.25975872,40.44299225</v>
      </c>
      <c r="R45" s="98" t="str">
        <f t="shared" si="19"/>
        <v>&lt;trkpt lon="20.25975872" lat="40.44299225"&gt;&lt;name&gt;S04&lt;/name&gt;&lt;/trkpt&gt;</v>
      </c>
    </row>
    <row r="46" spans="1:18" ht="15" thickBot="1" x14ac:dyDescent="0.4">
      <c r="A46" s="24" t="str">
        <f>C41</f>
        <v>B_008</v>
      </c>
      <c r="B46" s="102">
        <v>5</v>
      </c>
      <c r="C46" s="12" t="s">
        <v>5</v>
      </c>
      <c r="D46" s="37">
        <f>D45+$D$8*SIN(RADIANS(O44))</f>
        <v>4441077.3734923266</v>
      </c>
      <c r="E46" s="38">
        <f>E45+$D$8*COS(RADIANS(O44))</f>
        <v>4480508.3074659361</v>
      </c>
      <c r="F46" s="135" cm="1">
        <f t="array" ref="F46:G46">_xll.PE.trf.FromEpsgNoToEpsgNo($D$4,$D$5,D46,E46)</f>
        <v>20.303807202490884</v>
      </c>
      <c r="G46" s="137">
        <v>40.455840147522494</v>
      </c>
      <c r="H46" s="135" t="str" cm="1">
        <f t="array" ref="H46">_xll.PE.deg.AsString(F46)</f>
        <v>20 18 14</v>
      </c>
      <c r="I46" s="136" t="str" cm="1">
        <f t="array" ref="I46">_xll.PE.deg.AsString(G46)</f>
        <v>40 27 21</v>
      </c>
      <c r="J46" s="135" cm="1">
        <f t="array" ref="J46">_xll.PE.deg.FromString(H46)</f>
        <v>20.303888888888888</v>
      </c>
      <c r="K46" s="137" cm="1">
        <f t="array" ref="K46">_xll.PE.deg.FromString(I46)</f>
        <v>40.455833333333338</v>
      </c>
      <c r="L46" s="84">
        <f t="shared" si="16"/>
        <v>-8.1686398004876537E-5</v>
      </c>
      <c r="M46" s="80">
        <f t="shared" si="17"/>
        <v>6.8141891560458134E-6</v>
      </c>
      <c r="N46" s="39">
        <f>SQRT((D47-D46)^2+(E47-E46)^2)</f>
        <v>3000.0000000000514</v>
      </c>
      <c r="O46" s="89">
        <f>IF(DEGREES(ATAN2(E47-E46,D47-D46))&lt;0,DEGREES(ATAN2(E47-E46,D47-D46))+360,(DEGREES(ATAN2(E47-E46,D47-D46))))</f>
        <v>69.569117585364779</v>
      </c>
      <c r="P46" s="5">
        <v>4326</v>
      </c>
      <c r="Q46" s="44" t="str">
        <f t="shared" si="18"/>
        <v>20.30380720,40.45584015</v>
      </c>
      <c r="R46" s="98" t="str">
        <f t="shared" si="19"/>
        <v>&lt;trkpt lon="20.30380720" lat="40.45584015"&gt;&lt;name&gt;S05&lt;/name&gt;&lt;/trkpt&gt;</v>
      </c>
    </row>
    <row r="47" spans="1:18" ht="15" thickBot="1" x14ac:dyDescent="0.4">
      <c r="A47" s="24"/>
      <c r="B47" s="103">
        <v>6</v>
      </c>
      <c r="C47" s="13" t="s">
        <v>13</v>
      </c>
      <c r="D47" s="29">
        <f>D46+$D$7*SIN(RADIANS(O45))</f>
        <v>4443888.6554115713</v>
      </c>
      <c r="E47" s="30">
        <f>E46+$D$7*COS(RADIANS(O45))</f>
        <v>4481555.5390403876</v>
      </c>
      <c r="F47" s="141" cm="1">
        <f t="array" ref="F47:G47">_xll.PE.trf.FromEpsgNoToEpsgNo($D$4,$D$5,D47,E47)</f>
        <v>20.336854707752281</v>
      </c>
      <c r="G47" s="143">
        <v>40.465465128118076</v>
      </c>
      <c r="H47" s="141" t="str" cm="1">
        <f t="array" ref="H47">_xll.PE.deg.AsString(F47)</f>
        <v>20 20 13</v>
      </c>
      <c r="I47" s="142" t="str" cm="1">
        <f t="array" ref="I47">_xll.PE.deg.AsString(G47)</f>
        <v>40 27 56</v>
      </c>
      <c r="J47" s="141" cm="1">
        <f t="array" ref="J47">_xll.PE.deg.FromString(H47)</f>
        <v>20.336944444444445</v>
      </c>
      <c r="K47" s="143" cm="1">
        <f t="array" ref="K47">_xll.PE.deg.FromString(I47)</f>
        <v>40.465555555555561</v>
      </c>
      <c r="L47" s="86">
        <f t="shared" si="16"/>
        <v>-8.9736692164166243E-5</v>
      </c>
      <c r="M47" s="82">
        <f t="shared" si="17"/>
        <v>-9.0427437484663642E-5</v>
      </c>
      <c r="N47" s="34">
        <f>SUM(N43:N45)</f>
        <v>36128.445339717051</v>
      </c>
      <c r="O47" s="5" t="s">
        <v>11</v>
      </c>
      <c r="P47" s="90" cm="1">
        <f t="array" ref="P47">_xll.PE.crs.GeodesicDistance($D$5,J42:K46)</f>
        <v>39134.832653386409</v>
      </c>
      <c r="Q47" s="44" t="str">
        <f t="shared" si="18"/>
        <v>20.33685471,40.46546513</v>
      </c>
      <c r="R47" s="98" t="str">
        <f t="shared" si="19"/>
        <v>&lt;trkpt lon="20.33685471" lat="40.46546513"&gt;&lt;name&gt;S06&lt;/name&gt;&lt;/trkpt&gt;</v>
      </c>
    </row>
    <row r="48" spans="1:18" ht="15" thickBot="1" x14ac:dyDescent="0.4">
      <c r="A48" s="24"/>
      <c r="B48" s="104"/>
      <c r="C48" s="17"/>
      <c r="D48" s="31"/>
      <c r="E48" s="31"/>
      <c r="F48" s="42"/>
      <c r="G48" s="42"/>
      <c r="H48" s="42"/>
      <c r="I48" s="42"/>
      <c r="J48" s="42"/>
      <c r="K48" s="42"/>
      <c r="L48" s="42"/>
      <c r="M48" s="42"/>
      <c r="N48" s="25">
        <f>N44</f>
        <v>28128.445339716698</v>
      </c>
      <c r="O48" s="106" t="s">
        <v>12</v>
      </c>
      <c r="P48" s="91"/>
      <c r="Q48" s="44" t="s">
        <v>21</v>
      </c>
      <c r="R48" s="98" t="str">
        <f>CONCATENATE("&lt;/trkseg&gt;&lt;/trk&gt;")</f>
        <v>&lt;/trkseg&gt;&lt;/trk&gt;</v>
      </c>
    </row>
    <row r="49" spans="1:18" ht="15" thickBot="1" x14ac:dyDescent="0.4">
      <c r="A49" s="24"/>
      <c r="B49" s="104"/>
      <c r="C49" s="11" t="s">
        <v>33</v>
      </c>
      <c r="D49" s="33"/>
      <c r="E49" s="33"/>
      <c r="F49" s="40"/>
      <c r="G49" s="40"/>
      <c r="H49" s="40"/>
      <c r="I49" s="40"/>
      <c r="J49" s="40"/>
      <c r="K49" s="40"/>
      <c r="L49" s="40"/>
      <c r="M49" s="40"/>
      <c r="N49" s="16"/>
      <c r="O49" s="109"/>
      <c r="P49" s="92"/>
      <c r="Q49" s="44" t="str">
        <f>CONCATENATE("&lt;Placemark&gt;&lt;name&gt;",A54,"&lt;/name&gt;&lt;styleUrl&gt;#track001&lt;/styleUrl&gt;&lt;MultiGeometry&gt;&lt;LineString&gt;&lt;coordinates&gt;")</f>
        <v>&lt;Placemark&gt;&lt;name&gt;B_009&lt;/name&gt;&lt;styleUrl&gt;#track001&lt;/styleUrl&gt;&lt;MultiGeometry&gt;&lt;LineString&gt;&lt;coordinates&gt;</v>
      </c>
      <c r="R49" s="98" t="str">
        <f>CONCATENATE("&lt;trk&gt;&lt;name&gt;",A54,"&lt;/name&gt;&lt;trkseg&gt;")</f>
        <v>&lt;trk&gt;&lt;name&gt;B_009&lt;/name&gt;&lt;trkseg&gt;</v>
      </c>
    </row>
    <row r="50" spans="1:18" ht="15" thickBot="1" x14ac:dyDescent="0.4">
      <c r="A50" s="24"/>
      <c r="B50" s="101">
        <v>1</v>
      </c>
      <c r="C50" s="41" t="s">
        <v>13</v>
      </c>
      <c r="D50" s="26">
        <f>D51-$D$7*SIN(RADIANS(O51))</f>
        <v>4406643.6515580909</v>
      </c>
      <c r="E50" s="27">
        <f>E51-$D$7*COS(RADIANS(O51))</f>
        <v>4464929.1109348536</v>
      </c>
      <c r="F50" s="132" cm="1">
        <f t="array" ref="F50:G50">_xll.PE.trf.FromEpsgNoToEpsgNo($D$4,$D$5,D50,E50)</f>
        <v>19.900207757522892</v>
      </c>
      <c r="G50" s="134">
        <v>40.312409673182536</v>
      </c>
      <c r="H50" s="132" t="str" cm="1">
        <f t="array" ref="H50">_xll.PE.deg.AsString(F50)</f>
        <v>19 54 01</v>
      </c>
      <c r="I50" s="133" t="str" cm="1">
        <f t="array" ref="I50">_xll.PE.deg.AsString(G50)</f>
        <v>40 18 45</v>
      </c>
      <c r="J50" s="132" cm="1">
        <f t="array" ref="J50">_xll.PE.deg.FromString(H50)</f>
        <v>19.900277777777777</v>
      </c>
      <c r="K50" s="134" cm="1">
        <f t="array" ref="K50">_xll.PE.deg.FromString(I50)</f>
        <v>40.3125</v>
      </c>
      <c r="L50" s="83">
        <f t="shared" ref="L50:L55" si="20">F50-J50</f>
        <v>-7.0020254884894939E-5</v>
      </c>
      <c r="M50" s="79">
        <f t="shared" ref="M50:M55" si="21">G50-K50</f>
        <v>-9.0326817463903808E-5</v>
      </c>
      <c r="N50" s="8">
        <f>SQRT((D51-D50)^2+(E51-E50)^2)</f>
        <v>3000.0000000000518</v>
      </c>
      <c r="O50" s="108">
        <f>IF(DEGREES(ATAN2(E51-E50,D51-D50))&lt;0,DEGREES(ATAN2(E51-E50,D51-D50))+360,(DEGREES(ATAN2(E51-E50,D51-D50))))</f>
        <v>71.527992199095209</v>
      </c>
      <c r="P50" s="89"/>
      <c r="Q50" s="44" t="str">
        <f t="shared" ref="Q50:Q55" si="22">CONCATENATE(TEXT(F50,"#.00000000"),",",TEXT(G50,"#.00000000"))</f>
        <v>19.90020776,40.31240967</v>
      </c>
      <c r="R50" s="98" t="str">
        <f t="shared" ref="R50:R55" si="23">CONCATENATE("&lt;trkpt lon=""",TEXT(F50,"#.00000000"),""" lat=""",TEXT(G50,"#.00000000"),"""","&gt;&lt;name&gt;S",TEXT(B50,"00"),"&lt;/name&gt;&lt;/trkpt&gt;")</f>
        <v>&lt;trkpt lon="19.90020776" lat="40.31240967"&gt;&lt;name&gt;S01&lt;/name&gt;&lt;/trkpt&gt;</v>
      </c>
    </row>
    <row r="51" spans="1:18" ht="15" thickBot="1" x14ac:dyDescent="0.4">
      <c r="A51" s="24"/>
      <c r="B51" s="102">
        <v>2</v>
      </c>
      <c r="C51" s="12" t="s">
        <v>5</v>
      </c>
      <c r="D51" s="37">
        <f>D52-$D$8*SIN(RADIANS(O52))</f>
        <v>4409489.0872474806</v>
      </c>
      <c r="E51" s="38">
        <f>E52-$D$8*COS(RADIANS(O52))</f>
        <v>4465879.6348627731</v>
      </c>
      <c r="F51" s="135" cm="1">
        <f t="array" ref="F51:G51">_xll.PE.trf.FromEpsgNoToEpsgNo($D$4,$D$5,D51,E51)</f>
        <v>19.933541273379543</v>
      </c>
      <c r="G51" s="137">
        <v>40.321281636115572</v>
      </c>
      <c r="H51" s="135" t="str" cm="1">
        <f t="array" ref="H51">_xll.PE.deg.AsString(F51)</f>
        <v>19 56 01</v>
      </c>
      <c r="I51" s="136" t="str" cm="1">
        <f t="array" ref="I51">_xll.PE.deg.AsString(G51)</f>
        <v>40 19 17</v>
      </c>
      <c r="J51" s="135" cm="1">
        <f t="array" ref="J51">_xll.PE.deg.FromString(H51)</f>
        <v>19.933611111111112</v>
      </c>
      <c r="K51" s="137" cm="1">
        <f t="array" ref="K51">_xll.PE.deg.FromString(I51)</f>
        <v>40.32138888888889</v>
      </c>
      <c r="L51" s="84">
        <f t="shared" si="20"/>
        <v>-6.9837731569322159E-5</v>
      </c>
      <c r="M51" s="80">
        <f t="shared" si="21"/>
        <v>-1.0725277331857797E-4</v>
      </c>
      <c r="N51" s="39">
        <f>SQRT((D52-D51)^2+(E52-E51)^2)</f>
        <v>4000.0000000002656</v>
      </c>
      <c r="O51" s="89">
        <f>IF(DEGREES(ATAN2(E52-E51,D52-D51))&lt;0,DEGREES(ATAN2(E52-E51,D52-D51))+360,(DEGREES(ATAN2(E52-E51,D52-D51))))</f>
        <v>71.527992199086768</v>
      </c>
      <c r="P51" s="21">
        <v>2462</v>
      </c>
      <c r="Q51" s="44" t="str">
        <f t="shared" si="22"/>
        <v>19.93354127,40.32128164</v>
      </c>
      <c r="R51" s="98" t="str">
        <f t="shared" si="23"/>
        <v>&lt;trkpt lon="19.93354127" lat="40.32128164"&gt;&lt;name&gt;S02&lt;/name&gt;&lt;/trkpt&gt;</v>
      </c>
    </row>
    <row r="52" spans="1:18" ht="15" thickBot="1" x14ac:dyDescent="0.4">
      <c r="A52" s="24"/>
      <c r="B52" s="102">
        <v>3</v>
      </c>
      <c r="C52" s="12" t="s">
        <v>8</v>
      </c>
      <c r="D52" s="18">
        <v>4413283.0015000002</v>
      </c>
      <c r="E52" s="6">
        <v>4467147.0000999998</v>
      </c>
      <c r="F52" s="138" cm="1">
        <f t="array" ref="F52:G52">_xll.PE.trf.FromEpsgNoToEpsgNo($D$4,$D$5,D52,E52)</f>
        <v>19.97799981976652</v>
      </c>
      <c r="G52" s="140">
        <v>40.333096123789161</v>
      </c>
      <c r="H52" s="138" t="str" cm="1">
        <f t="array" ref="H52">_xll.PE.deg.AsString(F52)</f>
        <v>19 58 41</v>
      </c>
      <c r="I52" s="139" t="str" cm="1">
        <f t="array" ref="I52">_xll.PE.deg.AsString(G52)</f>
        <v>40 19 59</v>
      </c>
      <c r="J52" s="138" cm="1">
        <f t="array" ref="J52">_xll.PE.deg.FromString(H52)</f>
        <v>19.978055555555553</v>
      </c>
      <c r="K52" s="140" cm="1">
        <f t="array" ref="K52">_xll.PE.deg.FromString(I52)</f>
        <v>40.333055555555561</v>
      </c>
      <c r="L52" s="85">
        <f t="shared" si="20"/>
        <v>-5.5735789032951288E-5</v>
      </c>
      <c r="M52" s="81">
        <f t="shared" si="21"/>
        <v>4.0568233600879466E-5</v>
      </c>
      <c r="N52" s="10">
        <f>SQRT((D53-D52)^2+(E53-E52)^2)</f>
        <v>24936.774239737024</v>
      </c>
      <c r="O52" s="93">
        <f>IF(DEGREES(ATAN2(E53-E52,D53-D52))&lt;0,DEGREES(ATAN2(E53-E52,D53-D52))+360,(DEGREES(ATAN2(E53-E52,D53-D52))))</f>
        <v>71.527992199092083</v>
      </c>
      <c r="P52" s="90" cm="1">
        <f t="array" ref="P52">_xll.PE.crs.GeodesicDistance($D$4,D51:E54)</f>
        <v>32934.468512886939</v>
      </c>
      <c r="Q52" s="44" t="str">
        <f t="shared" si="22"/>
        <v>19.97799982,40.33309612</v>
      </c>
      <c r="R52" s="98" t="str">
        <f t="shared" si="23"/>
        <v>&lt;trkpt lon="19.97799982" lat="40.33309612"&gt;&lt;name&gt;S03&lt;/name&gt;&lt;/trkpt&gt;</v>
      </c>
    </row>
    <row r="53" spans="1:18" ht="15" thickBot="1" x14ac:dyDescent="0.4">
      <c r="A53" s="24"/>
      <c r="B53" s="102">
        <v>4</v>
      </c>
      <c r="C53" s="12" t="s">
        <v>7</v>
      </c>
      <c r="D53" s="18">
        <v>4436934.9972999999</v>
      </c>
      <c r="E53" s="6">
        <v>4475048.0003000004</v>
      </c>
      <c r="F53" s="138" cm="1">
        <f t="array" ref="F53:G53">_xll.PE.trf.FromEpsgNoToEpsgNo($D$4,$D$5,D53,E53)</f>
        <v>20.255518710888996</v>
      </c>
      <c r="G53" s="140">
        <v>40.406367319968865</v>
      </c>
      <c r="H53" s="138" t="str" cm="1">
        <f t="array" ref="H53">_xll.PE.deg.AsString(F53)</f>
        <v>20 15 20</v>
      </c>
      <c r="I53" s="139" t="str" cm="1">
        <f t="array" ref="I53">_xll.PE.deg.AsString(G53)</f>
        <v>40 24 23</v>
      </c>
      <c r="J53" s="138" cm="1">
        <f t="array" ref="J53">_xll.PE.deg.FromString(H53)</f>
        <v>20.255555555555556</v>
      </c>
      <c r="K53" s="140" cm="1">
        <f t="array" ref="K53">_xll.PE.deg.FromString(I53)</f>
        <v>40.406388888888884</v>
      </c>
      <c r="L53" s="85">
        <f t="shared" si="20"/>
        <v>-3.6844666560398309E-5</v>
      </c>
      <c r="M53" s="81">
        <f t="shared" si="21"/>
        <v>-2.1568920018921744E-5</v>
      </c>
      <c r="N53" s="39">
        <f>SQRT((D54-D53)^2+(E54-E53)^2)</f>
        <v>4000.0000000002656</v>
      </c>
      <c r="O53" s="89">
        <f>IF(DEGREES(ATAN2(E54-E53,D54-D53))&lt;0,DEGREES(ATAN2(E54-E53,D54-D53))+360,(DEGREES(ATAN2(E54-E53,D54-D53))))</f>
        <v>71.527992199086768</v>
      </c>
      <c r="P53" s="89"/>
      <c r="Q53" s="44" t="str">
        <f t="shared" si="22"/>
        <v>20.25551871,40.40636732</v>
      </c>
      <c r="R53" s="98" t="str">
        <f t="shared" si="23"/>
        <v>&lt;trkpt lon="20.25551871" lat="40.40636732"&gt;&lt;name&gt;S04&lt;/name&gt;&lt;/trkpt&gt;</v>
      </c>
    </row>
    <row r="54" spans="1:18" ht="15" thickBot="1" x14ac:dyDescent="0.4">
      <c r="A54" s="24" t="str">
        <f>C49</f>
        <v>B_009</v>
      </c>
      <c r="B54" s="102">
        <v>5</v>
      </c>
      <c r="C54" s="12" t="s">
        <v>5</v>
      </c>
      <c r="D54" s="37">
        <f>D53+$D$8*SIN(RADIANS(O52))</f>
        <v>4440728.9115525195</v>
      </c>
      <c r="E54" s="38">
        <f>E53+$D$8*COS(RADIANS(O52))</f>
        <v>4476315.3655372271</v>
      </c>
      <c r="F54" s="135" cm="1">
        <f t="array" ref="F54:G54">_xll.PE.trf.FromEpsgNoToEpsgNo($D$4,$D$5,D54,E54)</f>
        <v>20.300091131624491</v>
      </c>
      <c r="G54" s="137">
        <v>40.418058849922616</v>
      </c>
      <c r="H54" s="135" t="str" cm="1">
        <f t="array" ref="H54">_xll.PE.deg.AsString(F54)</f>
        <v>20 18 00</v>
      </c>
      <c r="I54" s="136" t="str" cm="1">
        <f t="array" ref="I54">_xll.PE.deg.AsString(G54)</f>
        <v>40 25 05</v>
      </c>
      <c r="J54" s="135" cm="1">
        <f t="array" ref="J54">_xll.PE.deg.FromString(H54)</f>
        <v>20.3</v>
      </c>
      <c r="K54" s="137" cm="1">
        <f t="array" ref="K54">_xll.PE.deg.FromString(I54)</f>
        <v>40.418055555555554</v>
      </c>
      <c r="L54" s="84">
        <f t="shared" si="20"/>
        <v>9.1131624490259355E-5</v>
      </c>
      <c r="M54" s="80">
        <f t="shared" si="21"/>
        <v>3.2943670618124088E-6</v>
      </c>
      <c r="N54" s="39">
        <f>SQRT((D55-D54)^2+(E55-E54)^2)</f>
        <v>3000.0000000000518</v>
      </c>
      <c r="O54" s="89">
        <f>IF(DEGREES(ATAN2(E55-E54,D55-D54))&lt;0,DEGREES(ATAN2(E55-E54,D55-D54))+360,(DEGREES(ATAN2(E55-E54,D55-D54))))</f>
        <v>71.527992199095209</v>
      </c>
      <c r="P54" s="5">
        <v>4326</v>
      </c>
      <c r="Q54" s="44" t="str">
        <f t="shared" si="22"/>
        <v>20.30009113,40.41805885</v>
      </c>
      <c r="R54" s="98" t="str">
        <f t="shared" si="23"/>
        <v>&lt;trkpt lon="20.30009113" lat="40.41805885"&gt;&lt;name&gt;S05&lt;/name&gt;&lt;/trkpt&gt;</v>
      </c>
    </row>
    <row r="55" spans="1:18" ht="15" thickBot="1" x14ac:dyDescent="0.4">
      <c r="A55" s="24"/>
      <c r="B55" s="103">
        <v>6</v>
      </c>
      <c r="C55" s="13" t="s">
        <v>13</v>
      </c>
      <c r="D55" s="29">
        <f>D54+$D$7*SIN(RADIANS(O53))</f>
        <v>4443574.3472419092</v>
      </c>
      <c r="E55" s="30">
        <f>E54+$D$7*COS(RADIANS(O53))</f>
        <v>4477265.8894651467</v>
      </c>
      <c r="F55" s="141" cm="1">
        <f t="array" ref="F55:G55">_xll.PE.trf.FromEpsgNoToEpsgNo($D$4,$D$5,D55,E55)</f>
        <v>20.333530712767278</v>
      </c>
      <c r="G55" s="143">
        <v>40.426816286558491</v>
      </c>
      <c r="H55" s="141" t="str" cm="1">
        <f t="array" ref="H55">_xll.PE.deg.AsString(F55)</f>
        <v>20 20 01</v>
      </c>
      <c r="I55" s="142" t="str" cm="1">
        <f t="array" ref="I55">_xll.PE.deg.AsString(G55)</f>
        <v>40 25 37</v>
      </c>
      <c r="J55" s="141" cm="1">
        <f t="array" ref="J55">_xll.PE.deg.FromString(H55)</f>
        <v>20.333611111111111</v>
      </c>
      <c r="K55" s="143" cm="1">
        <f t="array" ref="K55">_xll.PE.deg.FromString(I55)</f>
        <v>40.426944444444445</v>
      </c>
      <c r="L55" s="86">
        <f t="shared" si="20"/>
        <v>-8.0398343833110175E-5</v>
      </c>
      <c r="M55" s="82">
        <f t="shared" si="21"/>
        <v>-1.2815788595332833E-4</v>
      </c>
      <c r="N55" s="34">
        <f>SUM(N51:N53)</f>
        <v>32936.774239737555</v>
      </c>
      <c r="O55" s="5" t="s">
        <v>11</v>
      </c>
      <c r="P55" s="90" cm="1">
        <f t="array" ref="P55">_xll.PE.crs.GeodesicDistance($D$5,J51:K54)</f>
        <v>32917.277057803265</v>
      </c>
      <c r="Q55" s="44" t="str">
        <f t="shared" si="22"/>
        <v>20.33353071,40.42681629</v>
      </c>
      <c r="R55" s="98" t="str">
        <f t="shared" si="23"/>
        <v>&lt;trkpt lon="20.33353071" lat="40.42681629"&gt;&lt;name&gt;S06&lt;/name&gt;&lt;/trkpt&gt;</v>
      </c>
    </row>
    <row r="56" spans="1:18" ht="15" thickBot="1" x14ac:dyDescent="0.4">
      <c r="A56" s="24"/>
      <c r="B56" s="104"/>
      <c r="C56" s="17"/>
      <c r="D56" s="31"/>
      <c r="E56" s="31"/>
      <c r="F56" s="42"/>
      <c r="G56" s="42"/>
      <c r="H56" s="42"/>
      <c r="I56" s="42"/>
      <c r="J56" s="42"/>
      <c r="K56" s="42"/>
      <c r="L56" s="42"/>
      <c r="M56" s="42"/>
      <c r="N56" s="25">
        <f>N52</f>
        <v>24936.774239737024</v>
      </c>
      <c r="O56" s="106" t="s">
        <v>12</v>
      </c>
      <c r="P56" s="91"/>
      <c r="Q56" s="44" t="s">
        <v>21</v>
      </c>
      <c r="R56" s="98" t="str">
        <f>CONCATENATE("&lt;/trkseg&gt;&lt;/trk&gt;")</f>
        <v>&lt;/trkseg&gt;&lt;/trk&gt;</v>
      </c>
    </row>
    <row r="57" spans="1:18" ht="15" thickBot="1" x14ac:dyDescent="0.4">
      <c r="A57" s="24"/>
      <c r="B57" s="104"/>
      <c r="C57" s="11" t="s">
        <v>34</v>
      </c>
      <c r="D57" s="33"/>
      <c r="E57" s="33"/>
      <c r="F57" s="40"/>
      <c r="G57" s="40"/>
      <c r="H57" s="40"/>
      <c r="I57" s="40"/>
      <c r="J57" s="40"/>
      <c r="K57" s="40"/>
      <c r="L57" s="40"/>
      <c r="M57" s="40"/>
      <c r="N57" s="16"/>
      <c r="O57" s="109"/>
      <c r="P57" s="92"/>
      <c r="Q57" s="44" t="str">
        <f>CONCATENATE("&lt;Placemark&gt;&lt;name&gt;",A62,"&lt;/name&gt;&lt;styleUrl&gt;#track001&lt;/styleUrl&gt;&lt;MultiGeometry&gt;&lt;LineString&gt;&lt;coordinates&gt;")</f>
        <v>&lt;Placemark&gt;&lt;name&gt;B_010&lt;/name&gt;&lt;styleUrl&gt;#track001&lt;/styleUrl&gt;&lt;MultiGeometry&gt;&lt;LineString&gt;&lt;coordinates&gt;</v>
      </c>
      <c r="R57" s="98" t="str">
        <f>CONCATENATE("&lt;trk&gt;&lt;name&gt;",A62,"&lt;/name&gt;&lt;trkseg&gt;")</f>
        <v>&lt;trk&gt;&lt;name&gt;B_010&lt;/name&gt;&lt;trkseg&gt;</v>
      </c>
    </row>
    <row r="58" spans="1:18" ht="15" thickBot="1" x14ac:dyDescent="0.4">
      <c r="A58" s="24"/>
      <c r="B58" s="101">
        <v>1</v>
      </c>
      <c r="C58" s="41" t="s">
        <v>13</v>
      </c>
      <c r="D58" s="26">
        <f>D59-$D$7*SIN(RADIANS(O59))</f>
        <v>4408801.9388487665</v>
      </c>
      <c r="E58" s="27">
        <f>E59-$D$7*COS(RADIANS(O59))</f>
        <v>4463055.1312818611</v>
      </c>
      <c r="F58" s="132" cm="1">
        <f t="array" ref="F58:G58">_xll.PE.trf.FromEpsgNoToEpsgNo($D$4,$D$5,D58,E58)</f>
        <v>19.925860955743484</v>
      </c>
      <c r="G58" s="134">
        <v>40.295774822822679</v>
      </c>
      <c r="H58" s="132" t="str" cm="1">
        <f t="array" ref="H58">_xll.PE.deg.AsString(F58)</f>
        <v>19 55 33</v>
      </c>
      <c r="I58" s="133" t="str" cm="1">
        <f t="array" ref="I58">_xll.PE.deg.AsString(G58)</f>
        <v>40 17 45</v>
      </c>
      <c r="J58" s="132" cm="1">
        <f t="array" ref="J58">_xll.PE.deg.FromString(H58)</f>
        <v>19.925833333333333</v>
      </c>
      <c r="K58" s="134" cm="1">
        <f t="array" ref="K58">_xll.PE.deg.FromString(I58)</f>
        <v>40.295833333333334</v>
      </c>
      <c r="L58" s="83">
        <f t="shared" ref="L58:L63" si="24">F58-J58</f>
        <v>2.7622410151195709E-5</v>
      </c>
      <c r="M58" s="79">
        <f t="shared" ref="M58:M63" si="25">G58-K58</f>
        <v>-5.8510510655196413E-5</v>
      </c>
      <c r="N58" s="8">
        <f>SQRT((D59-D58)^2+(E59-E58)^2)</f>
        <v>2999.9999999997217</v>
      </c>
      <c r="O58" s="108">
        <f>IF(DEGREES(ATAN2(E59-E58,D59-D58))&lt;0,DEGREES(ATAN2(E59-E58,D59-D58))+360,(DEGREES(ATAN2(E59-E58,D59-D58))))</f>
        <v>74.336851700523653</v>
      </c>
      <c r="P58" s="89"/>
      <c r="Q58" s="44" t="str">
        <f t="shared" ref="Q58:Q63" si="26">CONCATENATE(TEXT(F58,"#.00000000"),",",TEXT(G58,"#.00000000"))</f>
        <v>19.92586096,40.29577482</v>
      </c>
      <c r="R58" s="98" t="str">
        <f t="shared" ref="R58:R63" si="27">CONCATENATE("&lt;trkpt lon=""",TEXT(F58,"#.00000000"),""" lat=""",TEXT(G58,"#.00000000"),"""","&gt;&lt;name&gt;S",TEXT(B58,"00"),"&lt;/name&gt;&lt;/trkpt&gt;")</f>
        <v>&lt;trkpt lon="19.92586096" lat="40.29577482"&gt;&lt;name&gt;S01&lt;/name&gt;&lt;/trkpt&gt;</v>
      </c>
    </row>
    <row r="59" spans="1:18" ht="15" thickBot="1" x14ac:dyDescent="0.4">
      <c r="A59" s="24"/>
      <c r="B59" s="102">
        <v>2</v>
      </c>
      <c r="C59" s="12" t="s">
        <v>5</v>
      </c>
      <c r="D59" s="37">
        <f>D60-$D$8*SIN(RADIANS(O60))</f>
        <v>4411690.5356278662</v>
      </c>
      <c r="E59" s="38">
        <f>E60-$D$8*COS(RADIANS(O60))</f>
        <v>4463865.0748896347</v>
      </c>
      <c r="F59" s="135" cm="1">
        <f t="array" ref="F59:G59">_xll.PE.trf.FromEpsgNoToEpsgNo($D$4,$D$5,D59,E59)</f>
        <v>19.959716888540239</v>
      </c>
      <c r="G59" s="137">
        <v>40.303378114903786</v>
      </c>
      <c r="H59" s="135" t="str" cm="1">
        <f t="array" ref="H59">_xll.PE.deg.AsString(F59)</f>
        <v>19 57 35</v>
      </c>
      <c r="I59" s="136" t="str" cm="1">
        <f t="array" ref="I59">_xll.PE.deg.AsString(G59)</f>
        <v>40 18 12</v>
      </c>
      <c r="J59" s="135" cm="1">
        <f t="array" ref="J59">_xll.PE.deg.FromString(H59)</f>
        <v>19.959722222222222</v>
      </c>
      <c r="K59" s="137" cm="1">
        <f t="array" ref="K59">_xll.PE.deg.FromString(I59)</f>
        <v>40.303333333333327</v>
      </c>
      <c r="L59" s="84">
        <f t="shared" si="24"/>
        <v>-5.3336819831883986E-6</v>
      </c>
      <c r="M59" s="80">
        <f t="shared" si="25"/>
        <v>4.4781570458951592E-5</v>
      </c>
      <c r="N59" s="39">
        <f>SQRT((D60-D59)^2+(E60-E59)^2)</f>
        <v>4000.0000000002265</v>
      </c>
      <c r="O59" s="89">
        <f>IF(DEGREES(ATAN2(E60-E59,D60-D59))&lt;0,DEGREES(ATAN2(E60-E59,D60-D59))+360,(DEGREES(ATAN2(E60-E59,D60-D59))))</f>
        <v>74.336851700526054</v>
      </c>
      <c r="P59" s="21">
        <v>2462</v>
      </c>
      <c r="Q59" s="44" t="str">
        <f t="shared" si="26"/>
        <v>19.95971689,40.30337811</v>
      </c>
      <c r="R59" s="98" t="str">
        <f t="shared" si="27"/>
        <v>&lt;trkpt lon="19.95971689" lat="40.30337811"&gt;&lt;name&gt;S02&lt;/name&gt;&lt;/trkpt&gt;</v>
      </c>
    </row>
    <row r="60" spans="1:18" ht="15" thickBot="1" x14ac:dyDescent="0.4">
      <c r="A60" s="24"/>
      <c r="B60" s="102">
        <v>3</v>
      </c>
      <c r="C60" s="12" t="s">
        <v>8</v>
      </c>
      <c r="D60" s="18">
        <v>4415541.9979999997</v>
      </c>
      <c r="E60" s="6">
        <v>4464944.9996999996</v>
      </c>
      <c r="F60" s="138" cm="1">
        <f t="array" ref="F60:G60">_xll.PE.trf.FromEpsgNoToEpsgNo($D$4,$D$5,D60,E60)</f>
        <v>20.00487023617189</v>
      </c>
      <c r="G60" s="140">
        <v>40.313500551006001</v>
      </c>
      <c r="H60" s="138" t="str" cm="1">
        <f t="array" ref="H60">_xll.PE.deg.AsString(F60)</f>
        <v>20 00 18</v>
      </c>
      <c r="I60" s="139" t="str" cm="1">
        <f t="array" ref="I60">_xll.PE.deg.AsString(G60)</f>
        <v>40 18 49</v>
      </c>
      <c r="J60" s="138" cm="1">
        <f t="array" ref="J60">_xll.PE.deg.FromString(H60)</f>
        <v>20.004999999999999</v>
      </c>
      <c r="K60" s="140" cm="1">
        <f t="array" ref="K60">_xll.PE.deg.FromString(I60)</f>
        <v>40.313611111111108</v>
      </c>
      <c r="L60" s="85">
        <f t="shared" si="24"/>
        <v>-1.2976382810947484E-4</v>
      </c>
      <c r="M60" s="81">
        <f t="shared" si="25"/>
        <v>-1.1056010510657188E-4</v>
      </c>
      <c r="N60" s="10">
        <f>SQRT((D61-D60)^2+(E61-E60)^2)</f>
        <v>21749.665323513025</v>
      </c>
      <c r="O60" s="93">
        <f>IF(DEGREES(ATAN2(E61-E60,D61-D60))&lt;0,DEGREES(ATAN2(E61-E60,D61-D60))+360,(DEGREES(ATAN2(E61-E60,D61-D60))))</f>
        <v>74.336851700519389</v>
      </c>
      <c r="P60" s="90" cm="1">
        <f t="array" ref="P60">_xll.PE.crs.GeodesicDistance($D$4,D59:E62)</f>
        <v>29747.63669229201</v>
      </c>
      <c r="Q60" s="44" t="str">
        <f t="shared" si="26"/>
        <v>20.00487024,40.31350055</v>
      </c>
      <c r="R60" s="98" t="str">
        <f t="shared" si="27"/>
        <v>&lt;trkpt lon="20.00487024" lat="40.31350055"&gt;&lt;name&gt;S03&lt;/name&gt;&lt;/trkpt&gt;</v>
      </c>
    </row>
    <row r="61" spans="1:18" ht="15" thickBot="1" x14ac:dyDescent="0.4">
      <c r="A61" s="24"/>
      <c r="B61" s="102">
        <v>4</v>
      </c>
      <c r="C61" s="12" t="s">
        <v>7</v>
      </c>
      <c r="D61" s="18">
        <v>4436484.0023999996</v>
      </c>
      <c r="E61" s="6">
        <v>4470817.0005000001</v>
      </c>
      <c r="F61" s="138" cm="1">
        <f t="array" ref="F61:G61">_xll.PE.trf.FromEpsgNoToEpsgNo($D$4,$D$5,D61,E61)</f>
        <v>20.250628652514411</v>
      </c>
      <c r="G61" s="140">
        <v>40.368233892392162</v>
      </c>
      <c r="H61" s="138" t="str" cm="1">
        <f t="array" ref="H61">_xll.PE.deg.AsString(F61)</f>
        <v>20 15 02</v>
      </c>
      <c r="I61" s="139" t="str" cm="1">
        <f t="array" ref="I61">_xll.PE.deg.AsString(G61)</f>
        <v>40 22 06</v>
      </c>
      <c r="J61" s="138" cm="1">
        <f t="array" ref="J61">_xll.PE.deg.FromString(H61)</f>
        <v>20.250555555555554</v>
      </c>
      <c r="K61" s="140" cm="1">
        <f t="array" ref="K61">_xll.PE.deg.FromString(I61)</f>
        <v>40.368333333333332</v>
      </c>
      <c r="L61" s="85">
        <f t="shared" si="24"/>
        <v>7.3096958857377103E-5</v>
      </c>
      <c r="M61" s="81">
        <f t="shared" si="25"/>
        <v>-9.9440941170314545E-5</v>
      </c>
      <c r="N61" s="39">
        <f>SQRT((D62-D61)^2+(E62-E61)^2)</f>
        <v>4000.0000000002265</v>
      </c>
      <c r="O61" s="89">
        <f>IF(DEGREES(ATAN2(E62-E61,D62-D61))&lt;0,DEGREES(ATAN2(E62-E61,D62-D61))+360,(DEGREES(ATAN2(E62-E61,D62-D61))))</f>
        <v>74.336851700526054</v>
      </c>
      <c r="P61" s="89"/>
      <c r="Q61" s="44" t="str">
        <f t="shared" si="26"/>
        <v>20.25062865,40.36823389</v>
      </c>
      <c r="R61" s="98" t="str">
        <f t="shared" si="27"/>
        <v>&lt;trkpt lon="20.25062865" lat="40.36823389"&gt;&lt;name&gt;S04&lt;/name&gt;&lt;/trkpt&gt;</v>
      </c>
    </row>
    <row r="62" spans="1:18" ht="15" thickBot="1" x14ac:dyDescent="0.4">
      <c r="A62" s="24" t="str">
        <f>C57</f>
        <v>B_010</v>
      </c>
      <c r="B62" s="102">
        <v>5</v>
      </c>
      <c r="C62" s="12" t="s">
        <v>5</v>
      </c>
      <c r="D62" s="37">
        <f>D61+$D$8*SIN(RADIANS(O60))</f>
        <v>4440335.4647721332</v>
      </c>
      <c r="E62" s="38">
        <f>E61+$D$8*COS(RADIANS(O60))</f>
        <v>4471896.9253103649</v>
      </c>
      <c r="F62" s="135" cm="1">
        <f t="array" ref="F62:G62">_xll.PE.trf.FromEpsgNoToEpsgNo($D$4,$D$5,D62,E62)</f>
        <v>20.295870360336661</v>
      </c>
      <c r="G62" s="137">
        <v>40.378243418278601</v>
      </c>
      <c r="H62" s="135" t="str" cm="1">
        <f t="array" ref="H62">_xll.PE.deg.AsString(F62)</f>
        <v>20 17 45</v>
      </c>
      <c r="I62" s="136" t="str" cm="1">
        <f t="array" ref="I62">_xll.PE.deg.AsString(G62)</f>
        <v>40 22 42</v>
      </c>
      <c r="J62" s="135" cm="1">
        <f t="array" ref="J62">_xll.PE.deg.FromString(H62)</f>
        <v>20.295833333333334</v>
      </c>
      <c r="K62" s="137" cm="1">
        <f t="array" ref="K62">_xll.PE.deg.FromString(I62)</f>
        <v>40.37833333333333</v>
      </c>
      <c r="L62" s="84">
        <f t="shared" si="24"/>
        <v>3.7027003326528529E-5</v>
      </c>
      <c r="M62" s="80">
        <f t="shared" si="25"/>
        <v>-8.9915054729772237E-5</v>
      </c>
      <c r="N62" s="39">
        <f>SQRT((D63-D62)^2+(E63-E62)^2)</f>
        <v>2999.9999999997217</v>
      </c>
      <c r="O62" s="89">
        <f>IF(DEGREES(ATAN2(E63-E62,D63-D62))&lt;0,DEGREES(ATAN2(E63-E62,D63-D62))+360,(DEGREES(ATAN2(E63-E62,D63-D62))))</f>
        <v>74.336851700523653</v>
      </c>
      <c r="P62" s="5">
        <v>4326</v>
      </c>
      <c r="Q62" s="44" t="str">
        <f t="shared" si="26"/>
        <v>20.29587036,40.37824342</v>
      </c>
      <c r="R62" s="98" t="str">
        <f t="shared" si="27"/>
        <v>&lt;trkpt lon="20.29587036" lat="40.37824342"&gt;&lt;name&gt;S05&lt;/name&gt;&lt;/trkpt&gt;</v>
      </c>
    </row>
    <row r="63" spans="1:18" ht="15" thickBot="1" x14ac:dyDescent="0.4">
      <c r="A63" s="24"/>
      <c r="B63" s="103">
        <v>6</v>
      </c>
      <c r="C63" s="13" t="s">
        <v>13</v>
      </c>
      <c r="D63" s="29">
        <f>D62+$D$7*SIN(RADIANS(O61))</f>
        <v>4443224.0615512328</v>
      </c>
      <c r="E63" s="30">
        <f>E62+$D$7*COS(RADIANS(O61))</f>
        <v>4472706.8689181386</v>
      </c>
      <c r="F63" s="141" cm="1">
        <f t="array" ref="F63:G63">_xll.PE.trf.FromEpsgNoToEpsgNo($D$4,$D$5,D63,E63)</f>
        <v>20.32981057815698</v>
      </c>
      <c r="G63" s="143">
        <v>40.385739007087452</v>
      </c>
      <c r="H63" s="141" t="str" cm="1">
        <f t="array" ref="H63">_xll.PE.deg.AsString(F63)</f>
        <v>20 19 47</v>
      </c>
      <c r="I63" s="142" t="str" cm="1">
        <f t="array" ref="I63">_xll.PE.deg.AsString(G63)</f>
        <v>40 23 09</v>
      </c>
      <c r="J63" s="141" cm="1">
        <f t="array" ref="J63">_xll.PE.deg.FromString(H63)</f>
        <v>20.329722222222223</v>
      </c>
      <c r="K63" s="143" cm="1">
        <f t="array" ref="K63">_xll.PE.deg.FromString(I63)</f>
        <v>40.385833333333331</v>
      </c>
      <c r="L63" s="86">
        <f t="shared" si="24"/>
        <v>8.8355934757089472E-5</v>
      </c>
      <c r="M63" s="82">
        <f t="shared" si="25"/>
        <v>-9.4326245879017279E-5</v>
      </c>
      <c r="N63" s="34">
        <f>SUM(N59:N61)</f>
        <v>29749.665323513476</v>
      </c>
      <c r="O63" s="5" t="s">
        <v>11</v>
      </c>
      <c r="P63" s="90" cm="1">
        <f t="array" ref="P63">_xll.PE.crs.GeodesicDistance($D$5,J59:K62)</f>
        <v>29748.130977686935</v>
      </c>
      <c r="Q63" s="44" t="str">
        <f t="shared" si="26"/>
        <v>20.32981058,40.38573901</v>
      </c>
      <c r="R63" s="98" t="str">
        <f t="shared" si="27"/>
        <v>&lt;trkpt lon="20.32981058" lat="40.38573901"&gt;&lt;name&gt;S06&lt;/name&gt;&lt;/trkpt&gt;</v>
      </c>
    </row>
    <row r="64" spans="1:18" ht="15" thickBot="1" x14ac:dyDescent="0.4">
      <c r="C64" s="17"/>
      <c r="D64" s="31"/>
      <c r="E64" s="31"/>
      <c r="F64" s="42"/>
      <c r="G64" s="42"/>
      <c r="H64" s="42"/>
      <c r="I64" s="42"/>
      <c r="J64" s="42"/>
      <c r="K64" s="42"/>
      <c r="L64" s="42"/>
      <c r="M64" s="42"/>
      <c r="N64" s="25">
        <f>N60</f>
        <v>21749.665323513025</v>
      </c>
      <c r="O64" s="106" t="s">
        <v>12</v>
      </c>
      <c r="P64" s="91"/>
      <c r="Q64" s="44" t="s">
        <v>21</v>
      </c>
      <c r="R64" s="98" t="str">
        <f>CONCATENATE("&lt;/trkseg&gt;&lt;/trk&gt;")</f>
        <v>&lt;/trkseg&gt;&lt;/trk&gt;</v>
      </c>
    </row>
    <row r="65" spans="1:18" ht="15" thickBot="1" x14ac:dyDescent="0.4">
      <c r="C65" s="19" t="s">
        <v>35</v>
      </c>
      <c r="D65" s="33"/>
      <c r="E65" s="33"/>
      <c r="F65" s="40"/>
      <c r="G65" s="40"/>
      <c r="H65" s="40"/>
      <c r="I65" s="40"/>
      <c r="J65" s="40"/>
      <c r="K65" s="40"/>
      <c r="L65" s="40"/>
      <c r="M65" s="40"/>
      <c r="N65" s="16"/>
      <c r="O65" s="109"/>
      <c r="P65" s="92"/>
      <c r="Q65" s="44" t="str">
        <f>CONCATENATE("&lt;Placemark&gt;&lt;name&gt;",A71,"&lt;/name&gt;&lt;styleUrl&gt;#track001&lt;/styleUrl&gt;&lt;MultiGeometry&gt;&lt;LineString&gt;&lt;coordinates&gt;")</f>
        <v>&lt;Placemark&gt;&lt;name&gt;D_011&lt;/name&gt;&lt;styleUrl&gt;#track001&lt;/styleUrl&gt;&lt;MultiGeometry&gt;&lt;LineString&gt;&lt;coordinates&gt;</v>
      </c>
      <c r="R65" s="98" t="str">
        <f>CONCATENATE("&lt;trk&gt;&lt;name&gt;",A71,"&lt;/name&gt;&lt;trkseg&gt;")</f>
        <v>&lt;trk&gt;&lt;name&gt;D_011&lt;/name&gt;&lt;trkseg&gt;</v>
      </c>
    </row>
    <row r="66" spans="1:18" x14ac:dyDescent="0.35">
      <c r="A66" s="23"/>
      <c r="B66" s="101">
        <v>1</v>
      </c>
      <c r="C66" s="41" t="s">
        <v>13</v>
      </c>
      <c r="D66" s="26">
        <f>D67-$D$7*SIN(RADIANS(O67))</f>
        <v>4414260.3500275882</v>
      </c>
      <c r="E66" s="27">
        <f>E67-$D$7*COS(RADIANS(O67))</f>
        <v>4450574.3227219004</v>
      </c>
      <c r="F66" s="132" cm="1">
        <f t="array" ref="F66:G66">_xll.PE.trf.FromEpsgNoToEpsgNo($D$4,$D$5,D66,E66)</f>
        <v>19.99171711359562</v>
      </c>
      <c r="G66" s="134">
        <v>40.183971418221908</v>
      </c>
      <c r="H66" s="132" t="str" cm="1">
        <f t="array" ref="H66">_xll.PE.deg.AsString(F66)</f>
        <v>19 59 30</v>
      </c>
      <c r="I66" s="133" t="str" cm="1">
        <f t="array" ref="I66">_xll.PE.deg.AsString(G66)</f>
        <v>40 11 02</v>
      </c>
      <c r="J66" s="132" cm="1">
        <f t="array" ref="J66">_xll.PE.deg.FromString(H66)</f>
        <v>19.991666666666667</v>
      </c>
      <c r="K66" s="134" cm="1">
        <f t="array" ref="K66">_xll.PE.deg.FromString(I66)</f>
        <v>40.183888888888887</v>
      </c>
      <c r="L66" s="71">
        <f t="shared" ref="L66:L72" si="28">F66-J66</f>
        <v>5.0446928952396775E-5</v>
      </c>
      <c r="M66" s="72">
        <f t="shared" ref="M66:M72" si="29">G66-K66</f>
        <v>8.2529333020886497E-5</v>
      </c>
      <c r="N66" s="8">
        <f t="shared" ref="N66:N71" si="30">SQRT((D67-D66)^2+(E67-E66)^2)</f>
        <v>2999.9999999999404</v>
      </c>
      <c r="O66" s="108">
        <f t="shared" ref="O66:O71" si="31">IF(DEGREES(ATAN2(E67-E66,D67-D66))&lt;0,DEGREES(ATAN2(E67-E66,D67-D66))+360,(DEGREES(ATAN2(E67-E66,D67-D66))))</f>
        <v>57.640278182395008</v>
      </c>
      <c r="P66" s="89"/>
      <c r="Q66" s="44" t="str">
        <f t="shared" ref="Q66:Q72" si="32">CONCATENATE(TEXT(F66,"#.00000000"),",",TEXT(G66,"#.00000000"))</f>
        <v>19.99171711,40.18397142</v>
      </c>
      <c r="R66" s="98" t="str">
        <f t="shared" ref="R66:R72" si="33">CONCATENATE("&lt;trkpt lon=""",TEXT(F66,"#.00000000"),""" lat=""",TEXT(G66,"#.00000000"),"""","&gt;&lt;name&gt;S",TEXT(B66,"00"),"&lt;/name&gt;&lt;/trkpt&gt;")</f>
        <v>&lt;trkpt lon="19.99171711" lat="40.18397142"&gt;&lt;name&gt;S01&lt;/name&gt;&lt;/trkpt&gt;</v>
      </c>
    </row>
    <row r="67" spans="1:18" ht="15" thickBot="1" x14ac:dyDescent="0.4">
      <c r="A67" s="23"/>
      <c r="B67" s="102">
        <v>2</v>
      </c>
      <c r="C67" s="12" t="s">
        <v>5</v>
      </c>
      <c r="D67" s="37">
        <f>D68-$D$8*SIN(RADIANS(O68))</f>
        <v>4416794.4632157646</v>
      </c>
      <c r="E67" s="38">
        <f>E68-$D$8*COS(RADIANS(O68))</f>
        <v>4452180.0220553717</v>
      </c>
      <c r="F67" s="135" cm="1">
        <f t="array" ref="F67:G67">_xll.PE.trf.FromEpsgNoToEpsgNo($D$4,$D$5,D67,E67)</f>
        <v>20.021260198241439</v>
      </c>
      <c r="G67" s="137">
        <v>40.198685281102414</v>
      </c>
      <c r="H67" s="135" t="str" cm="1">
        <f t="array" ref="H67">_xll.PE.deg.AsString(F67)</f>
        <v>20 01 17</v>
      </c>
      <c r="I67" s="136" t="str" cm="1">
        <f t="array" ref="I67">_xll.PE.deg.AsString(G67)</f>
        <v>40 11 55</v>
      </c>
      <c r="J67" s="135" cm="1">
        <f t="array" ref="J67">_xll.PE.deg.FromString(H67)</f>
        <v>20.02138888888889</v>
      </c>
      <c r="K67" s="137" cm="1">
        <f t="array" ref="K67">_xll.PE.deg.FromString(I67)</f>
        <v>40.198611111111106</v>
      </c>
      <c r="L67" s="73">
        <f t="shared" si="28"/>
        <v>-1.2869064745046899E-4</v>
      </c>
      <c r="M67" s="74">
        <f t="shared" si="29"/>
        <v>7.4169991307826422E-5</v>
      </c>
      <c r="N67" s="39">
        <f t="shared" si="30"/>
        <v>3999.9999999999204</v>
      </c>
      <c r="O67" s="89">
        <f t="shared" si="31"/>
        <v>57.640278182395008</v>
      </c>
      <c r="P67" s="89"/>
      <c r="Q67" s="44" t="str">
        <f t="shared" si="32"/>
        <v>20.02126020,40.19868528</v>
      </c>
      <c r="R67" s="98" t="str">
        <f t="shared" si="33"/>
        <v>&lt;trkpt lon="20.02126020" lat="40.19868528"&gt;&lt;name&gt;S02&lt;/name&gt;&lt;/trkpt&gt;</v>
      </c>
    </row>
    <row r="68" spans="1:18" ht="15" thickBot="1" x14ac:dyDescent="0.4">
      <c r="A68" s="23"/>
      <c r="B68" s="102">
        <v>3</v>
      </c>
      <c r="C68" s="12" t="s">
        <v>9</v>
      </c>
      <c r="D68" s="20">
        <v>4420173.2807999998</v>
      </c>
      <c r="E68" s="7">
        <v>4454320.9545</v>
      </c>
      <c r="F68" s="138" cm="1">
        <f t="array" ref="F68:G68">_xll.PE.trf.FromEpsgNoToEpsgNo($D$4,$D$5,D68,E68)</f>
        <v>20.06067098541865</v>
      </c>
      <c r="G68" s="140">
        <v>40.218292206114242</v>
      </c>
      <c r="H68" s="138" t="str" cm="1">
        <f t="array" ref="H68">_xll.PE.deg.AsString(F68)</f>
        <v>20 03 38</v>
      </c>
      <c r="I68" s="139" t="str" cm="1">
        <f t="array" ref="I68">_xll.PE.deg.AsString(G68)</f>
        <v>40 13 06</v>
      </c>
      <c r="J68" s="138" cm="1">
        <f t="array" ref="J68">_xll.PE.deg.FromString(H68)</f>
        <v>20.060555555555556</v>
      </c>
      <c r="K68" s="140" cm="1">
        <f t="array" ref="K68">_xll.PE.deg.FromString(I68)</f>
        <v>40.218333333333334</v>
      </c>
      <c r="L68" s="75">
        <f t="shared" si="28"/>
        <v>1.1542986309365233E-4</v>
      </c>
      <c r="M68" s="76">
        <f t="shared" si="29"/>
        <v>-4.1127219091663392E-5</v>
      </c>
      <c r="N68" s="10">
        <f t="shared" si="30"/>
        <v>10430.444947495531</v>
      </c>
      <c r="O68" s="93">
        <f t="shared" si="31"/>
        <v>57.640278182402504</v>
      </c>
      <c r="P68" s="21">
        <v>2462</v>
      </c>
      <c r="Q68" s="44" t="str">
        <f t="shared" si="32"/>
        <v>20.06067099,40.21829221</v>
      </c>
      <c r="R68" s="98" t="str">
        <f t="shared" si="33"/>
        <v>&lt;trkpt lon="20.06067099" lat="40.21829221"&gt;&lt;name&gt;S03&lt;/name&gt;&lt;/trkpt&gt;</v>
      </c>
    </row>
    <row r="69" spans="1:18" ht="15" thickBot="1" x14ac:dyDescent="0.4">
      <c r="A69" s="23"/>
      <c r="B69" s="102">
        <v>4</v>
      </c>
      <c r="C69" s="12" t="s">
        <v>10</v>
      </c>
      <c r="D69" s="20">
        <v>4428983.9234999996</v>
      </c>
      <c r="E69" s="7">
        <v>4459903.6739999996</v>
      </c>
      <c r="F69" s="138" cm="1">
        <f t="array" ref="F69:G69">_xll.PE.trf.FromEpsgNoToEpsgNo($D$4,$D$5,D69,E69)</f>
        <v>20.163546599470713</v>
      </c>
      <c r="G69" s="140">
        <v>40.269357117836726</v>
      </c>
      <c r="H69" s="138" t="str" cm="1">
        <f t="array" ref="H69">_xll.PE.deg.AsString(F69)</f>
        <v>20 09 49</v>
      </c>
      <c r="I69" s="139" t="str" cm="1">
        <f t="array" ref="I69">_xll.PE.deg.AsString(G69)</f>
        <v>40 16 10</v>
      </c>
      <c r="J69" s="138" cm="1">
        <f t="array" ref="J69">_xll.PE.deg.FromString(H69)</f>
        <v>20.163611111111109</v>
      </c>
      <c r="K69" s="140" cm="1">
        <f t="array" ref="K69">_xll.PE.deg.FromString(I69)</f>
        <v>40.269444444444446</v>
      </c>
      <c r="L69" s="75">
        <f t="shared" si="28"/>
        <v>-6.45116403958923E-5</v>
      </c>
      <c r="M69" s="76">
        <f t="shared" si="29"/>
        <v>-8.7326607719262483E-5</v>
      </c>
      <c r="N69" s="10">
        <f t="shared" si="30"/>
        <v>8647.4814146180488</v>
      </c>
      <c r="O69" s="93">
        <f t="shared" si="31"/>
        <v>46.735704560545393</v>
      </c>
      <c r="P69" s="90" cm="1">
        <f t="array" ref="P69">_xll.PE.crs.GeodesicDistance($D$4,D67:E71)</f>
        <v>27076.181068575235</v>
      </c>
      <c r="Q69" s="44" t="str">
        <f t="shared" si="32"/>
        <v>20.16354660,40.26935712</v>
      </c>
      <c r="R69" s="98" t="str">
        <f t="shared" si="33"/>
        <v>&lt;trkpt lon="20.16354660" lat="40.26935712"&gt;&lt;name&gt;S04&lt;/name&gt;&lt;/trkpt&gt;</v>
      </c>
    </row>
    <row r="70" spans="1:18" ht="15" thickBot="1" x14ac:dyDescent="0.4">
      <c r="A70" s="23"/>
      <c r="B70" s="102">
        <v>5</v>
      </c>
      <c r="C70" s="12" t="s">
        <v>7</v>
      </c>
      <c r="D70" s="20">
        <v>4435281.0193999996</v>
      </c>
      <c r="E70" s="7">
        <v>4465830.3525</v>
      </c>
      <c r="F70" s="138" cm="1">
        <f t="array" ref="F70:G70">_xll.PE.trf.FromEpsgNoToEpsgNo($D$4,$D$5,D70,E70)</f>
        <v>20.236972394273813</v>
      </c>
      <c r="G70" s="140">
        <v>40.323237545161852</v>
      </c>
      <c r="H70" s="138" t="str" cm="1">
        <f t="array" ref="H70">_xll.PE.deg.AsString(F70)</f>
        <v>20 14 13</v>
      </c>
      <c r="I70" s="139" t="str" cm="1">
        <f t="array" ref="I70">_xll.PE.deg.AsString(G70)</f>
        <v>40 19 24</v>
      </c>
      <c r="J70" s="138" cm="1">
        <f t="array" ref="J70">_xll.PE.deg.FromString(H70)</f>
        <v>20.236944444444447</v>
      </c>
      <c r="K70" s="140" cm="1">
        <f t="array" ref="K70">_xll.PE.deg.FromString(I70)</f>
        <v>40.323333333333338</v>
      </c>
      <c r="L70" s="75">
        <f t="shared" si="28"/>
        <v>2.7949829366491485E-5</v>
      </c>
      <c r="M70" s="76">
        <f t="shared" si="29"/>
        <v>-9.5788171485367002E-5</v>
      </c>
      <c r="N70" s="39">
        <f t="shared" si="30"/>
        <v>4000.0000000003356</v>
      </c>
      <c r="O70" s="89">
        <f t="shared" si="31"/>
        <v>46.735704560543653</v>
      </c>
      <c r="P70" s="89"/>
      <c r="Q70" s="44" t="str">
        <f t="shared" si="32"/>
        <v>20.23697239,40.32323755</v>
      </c>
      <c r="R70" s="98" t="str">
        <f t="shared" si="33"/>
        <v>&lt;trkpt lon="20.23697239" lat="40.32323755"&gt;&lt;name&gt;S05&lt;/name&gt;&lt;/trkpt&gt;</v>
      </c>
    </row>
    <row r="71" spans="1:18" ht="15" thickBot="1" x14ac:dyDescent="0.4">
      <c r="A71" s="23" t="str">
        <f>C65</f>
        <v>D_011</v>
      </c>
      <c r="B71" s="102">
        <v>6</v>
      </c>
      <c r="C71" s="12" t="s">
        <v>5</v>
      </c>
      <c r="D71" s="37">
        <f>D70+$D$8*SIN(RADIANS(O69))</f>
        <v>4438193.819369413</v>
      </c>
      <c r="E71" s="38">
        <f>E70+$D$8*COS(RADIANS(O69))</f>
        <v>4468571.8112974633</v>
      </c>
      <c r="F71" s="135" cm="1">
        <f t="array" ref="F71:G71">_xll.PE.trf.FromEpsgNoToEpsgNo($D$4,$D$5,D71,E71)</f>
        <v>20.270975922742149</v>
      </c>
      <c r="G71" s="137">
        <v>40.348145024869751</v>
      </c>
      <c r="H71" s="135" t="str" cm="1">
        <f t="array" ref="H71">_xll.PE.deg.AsString(F71)</f>
        <v>20 16 16</v>
      </c>
      <c r="I71" s="136" t="str" cm="1">
        <f t="array" ref="I71">_xll.PE.deg.AsString(G71)</f>
        <v>40 20 53</v>
      </c>
      <c r="J71" s="135" cm="1">
        <f t="array" ref="J71">_xll.PE.deg.FromString(H71)</f>
        <v>20.271111111111111</v>
      </c>
      <c r="K71" s="137" cm="1">
        <f t="array" ref="K71">_xll.PE.deg.FromString(I71)</f>
        <v>40.348055555555561</v>
      </c>
      <c r="L71" s="73">
        <f t="shared" si="28"/>
        <v>-1.351883689615363E-4</v>
      </c>
      <c r="M71" s="74">
        <f t="shared" si="29"/>
        <v>8.9469314190182558E-5</v>
      </c>
      <c r="N71" s="39">
        <f t="shared" si="30"/>
        <v>3000.0000000005812</v>
      </c>
      <c r="O71" s="89">
        <f t="shared" si="31"/>
        <v>46.735704560543461</v>
      </c>
      <c r="P71" s="5">
        <v>4326</v>
      </c>
      <c r="Q71" s="44" t="str">
        <f t="shared" si="32"/>
        <v>20.27097592,40.34814502</v>
      </c>
      <c r="R71" s="98" t="str">
        <f t="shared" si="33"/>
        <v>&lt;trkpt lon="20.27097592" lat="40.34814502"&gt;&lt;name&gt;S06&lt;/name&gt;&lt;/trkpt&gt;</v>
      </c>
    </row>
    <row r="72" spans="1:18" ht="15" thickBot="1" x14ac:dyDescent="0.4">
      <c r="A72" s="23"/>
      <c r="B72" s="103">
        <v>7</v>
      </c>
      <c r="C72" s="13" t="s">
        <v>13</v>
      </c>
      <c r="D72" s="29">
        <f>D71+$D$7*SIN(RADIANS(O70))</f>
        <v>4440378.4193464732</v>
      </c>
      <c r="E72" s="30">
        <f>E71+$D$7*COS(RADIANS(O70))</f>
        <v>4470627.9053955609</v>
      </c>
      <c r="F72" s="141" cm="1">
        <f t="array" ref="F72:G72">_xll.PE.trf.FromEpsgNoToEpsgNo($D$4,$D$5,D72,E72)</f>
        <v>20.296494997345555</v>
      </c>
      <c r="G72" s="143">
        <v>40.366819144150845</v>
      </c>
      <c r="H72" s="141" t="str" cm="1">
        <f t="array" ref="H72">_xll.PE.deg.AsString(F72)</f>
        <v>20 17 47</v>
      </c>
      <c r="I72" s="142" t="str" cm="1">
        <f t="array" ref="I72">_xll.PE.deg.AsString(G72)</f>
        <v>40 22 01</v>
      </c>
      <c r="J72" s="141" cm="1">
        <f t="array" ref="J72">_xll.PE.deg.FromString(H72)</f>
        <v>20.296388888888892</v>
      </c>
      <c r="K72" s="143" cm="1">
        <f t="array" ref="K72">_xll.PE.deg.FromString(I72)</f>
        <v>40.366944444444442</v>
      </c>
      <c r="L72" s="77">
        <f t="shared" si="28"/>
        <v>1.0610845666292334E-4</v>
      </c>
      <c r="M72" s="78">
        <f t="shared" si="29"/>
        <v>-1.2530029359680839E-4</v>
      </c>
      <c r="N72" s="34">
        <f>SUM(N67:N70)</f>
        <v>27077.926362113834</v>
      </c>
      <c r="O72" s="5" t="s">
        <v>11</v>
      </c>
      <c r="P72" s="90" cm="1">
        <f t="array" ref="P72">_xll.PE.crs.GeodesicDistance($D$5,J67:K71)</f>
        <v>27072.023467884705</v>
      </c>
      <c r="Q72" s="44" t="str">
        <f t="shared" si="32"/>
        <v>20.29649500,40.36681914</v>
      </c>
      <c r="R72" s="98" t="str">
        <f t="shared" si="33"/>
        <v>&lt;trkpt lon="20.29649500" lat="40.36681914"&gt;&lt;name&gt;S07&lt;/name&gt;&lt;/trkpt&gt;</v>
      </c>
    </row>
    <row r="73" spans="1:18" ht="15" thickBot="1" x14ac:dyDescent="0.4">
      <c r="A73" s="23"/>
      <c r="B73" s="105"/>
      <c r="C73" s="17"/>
      <c r="D73" s="31"/>
      <c r="E73" s="31"/>
      <c r="F73" s="42"/>
      <c r="G73" s="42"/>
      <c r="H73" s="42"/>
      <c r="I73" s="42"/>
      <c r="J73" s="42"/>
      <c r="K73" s="42"/>
      <c r="L73" s="42"/>
      <c r="M73" s="42"/>
      <c r="N73" s="25">
        <f>N68+N69</f>
        <v>19077.92636211358</v>
      </c>
      <c r="O73" s="106" t="s">
        <v>12</v>
      </c>
      <c r="P73" s="91"/>
      <c r="Q73" s="44" t="s">
        <v>21</v>
      </c>
      <c r="R73" s="98" t="str">
        <f>CONCATENATE("&lt;/trkseg&gt;&lt;/trk&gt;")</f>
        <v>&lt;/trkseg&gt;&lt;/trk&gt;</v>
      </c>
    </row>
    <row r="74" spans="1:18" ht="15" thickBot="1" x14ac:dyDescent="0.4">
      <c r="A74" s="23"/>
      <c r="B74" s="105"/>
      <c r="C74" s="19" t="s">
        <v>36</v>
      </c>
      <c r="D74" s="33"/>
      <c r="E74" s="33"/>
      <c r="F74" s="40"/>
      <c r="G74" s="40"/>
      <c r="H74" s="40"/>
      <c r="I74" s="40"/>
      <c r="J74" s="40"/>
      <c r="K74" s="40"/>
      <c r="L74" s="40"/>
      <c r="M74" s="40"/>
      <c r="N74" s="16"/>
      <c r="O74" s="109"/>
      <c r="P74" s="92"/>
      <c r="Q74" s="44" t="str">
        <f>CONCATENATE("&lt;Placemark&gt;&lt;name&gt;",A80,"&lt;/name&gt;&lt;styleUrl&gt;#track001&lt;/styleUrl&gt;&lt;MultiGeometry&gt;&lt;LineString&gt;&lt;coordinates&gt;")</f>
        <v>&lt;Placemark&gt;&lt;name&gt;D_012&lt;/name&gt;&lt;styleUrl&gt;#track001&lt;/styleUrl&gt;&lt;MultiGeometry&gt;&lt;LineString&gt;&lt;coordinates&gt;</v>
      </c>
      <c r="R74" s="98" t="str">
        <f>CONCATENATE("&lt;trk&gt;&lt;name&gt;",A80,"&lt;/name&gt;&lt;trkseg&gt;")</f>
        <v>&lt;trk&gt;&lt;name&gt;D_012&lt;/name&gt;&lt;trkseg&gt;</v>
      </c>
    </row>
    <row r="75" spans="1:18" x14ac:dyDescent="0.35">
      <c r="A75" s="23"/>
      <c r="B75" s="101">
        <v>1</v>
      </c>
      <c r="C75" s="41" t="s">
        <v>13</v>
      </c>
      <c r="D75" s="26">
        <f>D76-$D$7*SIN(RADIANS(O76))</f>
        <v>4415630.3413818749</v>
      </c>
      <c r="E75" s="27">
        <f>E76-$D$7*COS(RADIANS(O76))</f>
        <v>4441250.3036329644</v>
      </c>
      <c r="F75" s="132" cm="1">
        <f t="array" ref="F75:G75">_xll.PE.trf.FromEpsgNoToEpsgNo($D$4,$D$5,D75,E75)</f>
        <v>20.009021806680682</v>
      </c>
      <c r="G75" s="134">
        <v>40.100151765718145</v>
      </c>
      <c r="H75" s="132" t="str" cm="1">
        <f t="array" ref="H75">_xll.PE.deg.AsString(F75)</f>
        <v>20 00 32</v>
      </c>
      <c r="I75" s="133" t="str" cm="1">
        <f t="array" ref="I75">_xll.PE.deg.AsString(G75)</f>
        <v>40 06 01</v>
      </c>
      <c r="J75" s="132" cm="1">
        <f t="array" ref="J75">_xll.PE.deg.FromString(H75)</f>
        <v>20.00888888888889</v>
      </c>
      <c r="K75" s="134" cm="1">
        <f t="array" ref="K75">_xll.PE.deg.FromString(I75)</f>
        <v>40.100277777777777</v>
      </c>
      <c r="L75" s="71">
        <f t="shared" ref="L75:L81" si="34">F75-J75</f>
        <v>1.3291779179169794E-4</v>
      </c>
      <c r="M75" s="72">
        <f t="shared" ref="M75:M81" si="35">G75-K75</f>
        <v>-1.2601205963136408E-4</v>
      </c>
      <c r="N75" s="8">
        <f t="shared" ref="N75:N80" si="36">SQRT((D76-D75)^2+(E76-E75)^2)</f>
        <v>2999.9999999998577</v>
      </c>
      <c r="O75" s="108">
        <f t="shared" ref="O75:O80" si="37">IF(DEGREES(ATAN2(E76-E75,D76-D75))&lt;0,DEGREES(ATAN2(E76-E75,D76-D75))+360,(DEGREES(ATAN2(E76-E75,D76-D75))))</f>
        <v>59.818618744838837</v>
      </c>
      <c r="P75" s="89"/>
      <c r="Q75" s="44" t="str">
        <f t="shared" ref="Q75:Q81" si="38">CONCATENATE(TEXT(F75,"#.00000000"),",",TEXT(G75,"#.00000000"))</f>
        <v>20.00902181,40.10015177</v>
      </c>
      <c r="R75" s="98" t="str">
        <f t="shared" ref="R75:R81" si="39">CONCATENATE("&lt;trkpt lon=""",TEXT(F75,"#.00000000"),""" lat=""",TEXT(G75,"#.00000000"),"""","&gt;&lt;name&gt;S",TEXT(B75,"00"),"&lt;/name&gt;&lt;/trkpt&gt;")</f>
        <v>&lt;trkpt lon="20.00902181" lat="40.10015177"&gt;&lt;name&gt;S01&lt;/name&gt;&lt;/trkpt&gt;</v>
      </c>
    </row>
    <row r="76" spans="1:18" ht="15" thickBot="1" x14ac:dyDescent="0.4">
      <c r="A76" s="23"/>
      <c r="B76" s="102">
        <v>2</v>
      </c>
      <c r="C76" s="12" t="s">
        <v>5</v>
      </c>
      <c r="D76" s="37">
        <f>D77-$D$8*SIN(RADIANS(O77))</f>
        <v>4418223.6560324999</v>
      </c>
      <c r="E76" s="38">
        <f>E77-$D$8*COS(RADIANS(O77))</f>
        <v>4442758.5208331225</v>
      </c>
      <c r="F76" s="135" cm="1">
        <f t="array" ref="F76:G76">_xll.PE.trf.FromEpsgNoToEpsgNo($D$4,$D$5,D76,E76)</f>
        <v>20.039239468543986</v>
      </c>
      <c r="G76" s="137">
        <v>40.113989007241472</v>
      </c>
      <c r="H76" s="135" t="str" cm="1">
        <f t="array" ref="H76">_xll.PE.deg.AsString(F76)</f>
        <v>20 02 21</v>
      </c>
      <c r="I76" s="136" t="str" cm="1">
        <f t="array" ref="I76">_xll.PE.deg.AsString(G76)</f>
        <v>40 06 50</v>
      </c>
      <c r="J76" s="135" cm="1">
        <f t="array" ref="J76">_xll.PE.deg.FromString(H76)</f>
        <v>20.039166666666667</v>
      </c>
      <c r="K76" s="137" cm="1">
        <f t="array" ref="K76">_xll.PE.deg.FromString(I76)</f>
        <v>40.113888888888887</v>
      </c>
      <c r="L76" s="73">
        <f t="shared" si="34"/>
        <v>7.2801877319506048E-5</v>
      </c>
      <c r="M76" s="74">
        <f t="shared" si="35"/>
        <v>1.001183525843885E-4</v>
      </c>
      <c r="N76" s="39">
        <f t="shared" si="36"/>
        <v>3999.9999999999231</v>
      </c>
      <c r="O76" s="89">
        <f t="shared" si="37"/>
        <v>59.818618744844919</v>
      </c>
      <c r="P76" s="89"/>
      <c r="Q76" s="44" t="str">
        <f t="shared" si="38"/>
        <v>20.03923947,40.11398901</v>
      </c>
      <c r="R76" s="98" t="str">
        <f t="shared" si="39"/>
        <v>&lt;trkpt lon="20.03923947" lat="40.11398901"&gt;&lt;name&gt;S02&lt;/name&gt;&lt;/trkpt&gt;</v>
      </c>
    </row>
    <row r="77" spans="1:18" ht="15" thickBot="1" x14ac:dyDescent="0.4">
      <c r="A77" s="23"/>
      <c r="B77" s="102">
        <v>3</v>
      </c>
      <c r="C77" s="12" t="s">
        <v>9</v>
      </c>
      <c r="D77" s="20">
        <v>4421681.4089000002</v>
      </c>
      <c r="E77" s="7">
        <v>4444769.4770999998</v>
      </c>
      <c r="F77" s="138" cm="1">
        <f t="array" ref="F77:G77">_xll.PE.trf.FromEpsgNoToEpsgNo($D$4,$D$5,D77,E77)</f>
        <v>20.079548896305266</v>
      </c>
      <c r="G77" s="140">
        <v>40.132426562297368</v>
      </c>
      <c r="H77" s="138" t="str" cm="1">
        <f t="array" ref="H77">_xll.PE.deg.AsString(F77)</f>
        <v>20 04 46</v>
      </c>
      <c r="I77" s="139" t="str" cm="1">
        <f t="array" ref="I77">_xll.PE.deg.AsString(G77)</f>
        <v>40 07 57</v>
      </c>
      <c r="J77" s="138" cm="1">
        <f t="array" ref="J77">_xll.PE.deg.FromString(H77)</f>
        <v>20.079444444444444</v>
      </c>
      <c r="K77" s="140" cm="1">
        <f t="array" ref="K77">_xll.PE.deg.FromString(I77)</f>
        <v>40.1325</v>
      </c>
      <c r="L77" s="75">
        <f t="shared" si="34"/>
        <v>1.0445186082108648E-4</v>
      </c>
      <c r="M77" s="76">
        <f t="shared" si="35"/>
        <v>-7.3437702631906632E-5</v>
      </c>
      <c r="N77" s="10">
        <f t="shared" si="36"/>
        <v>11630.891026943518</v>
      </c>
      <c r="O77" s="93">
        <f t="shared" si="37"/>
        <v>59.818618744844358</v>
      </c>
      <c r="P77" s="21">
        <v>2462</v>
      </c>
      <c r="Q77" s="44" t="str">
        <f t="shared" si="38"/>
        <v>20.07954890,40.13242656</v>
      </c>
      <c r="R77" s="98" t="str">
        <f t="shared" si="39"/>
        <v>&lt;trkpt lon="20.07954890" lat="40.13242656"&gt;&lt;name&gt;S03&lt;/name&gt;&lt;/trkpt&gt;</v>
      </c>
    </row>
    <row r="78" spans="1:18" ht="15" thickBot="1" x14ac:dyDescent="0.4">
      <c r="A78" s="23"/>
      <c r="B78" s="102">
        <v>4</v>
      </c>
      <c r="C78" s="12" t="s">
        <v>10</v>
      </c>
      <c r="D78" s="20">
        <v>4431735.5955999997</v>
      </c>
      <c r="E78" s="7">
        <v>4450616.7803999996</v>
      </c>
      <c r="F78" s="138" cm="1">
        <f t="array" ref="F78:G78">_xll.PE.trf.FromEpsgNoToEpsgNo($D$4,$D$5,D78,E78)</f>
        <v>20.196882297215772</v>
      </c>
      <c r="G78" s="140">
        <v>40.185959052012649</v>
      </c>
      <c r="H78" s="138" t="str" cm="1">
        <f t="array" ref="H78">_xll.PE.deg.AsString(F78)</f>
        <v>20 11 49</v>
      </c>
      <c r="I78" s="139" t="str" cm="1">
        <f t="array" ref="I78">_xll.PE.deg.AsString(G78)</f>
        <v>40 11 09</v>
      </c>
      <c r="J78" s="138" cm="1">
        <f t="array" ref="J78">_xll.PE.deg.FromString(H78)</f>
        <v>20.196944444444444</v>
      </c>
      <c r="K78" s="140" cm="1">
        <f t="array" ref="K78">_xll.PE.deg.FromString(I78)</f>
        <v>40.185833333333328</v>
      </c>
      <c r="L78" s="75">
        <f t="shared" si="34"/>
        <v>-6.2147228671705079E-5</v>
      </c>
      <c r="M78" s="76">
        <f t="shared" si="35"/>
        <v>1.2571867932109626E-4</v>
      </c>
      <c r="N78" s="10">
        <f t="shared" si="36"/>
        <v>14754.293294410725</v>
      </c>
      <c r="O78" s="93">
        <f t="shared" si="37"/>
        <v>52.431407923818661</v>
      </c>
      <c r="P78" s="90" cm="1">
        <f t="array" ref="P78">_xll.PE.crs.GeodesicDistance($D$4,D76:E80)</f>
        <v>34383.240875944546</v>
      </c>
      <c r="Q78" s="44" t="str">
        <f t="shared" si="38"/>
        <v>20.19688230,40.18595905</v>
      </c>
      <c r="R78" s="98" t="str">
        <f t="shared" si="39"/>
        <v>&lt;trkpt lon="20.19688230" lat="40.18595905"&gt;&lt;name&gt;S04&lt;/name&gt;&lt;/trkpt&gt;</v>
      </c>
    </row>
    <row r="79" spans="1:18" ht="15" thickBot="1" x14ac:dyDescent="0.4">
      <c r="A79" s="23"/>
      <c r="B79" s="102">
        <v>5</v>
      </c>
      <c r="C79" s="12" t="s">
        <v>7</v>
      </c>
      <c r="D79" s="20">
        <v>4443430.2023999998</v>
      </c>
      <c r="E79" s="7">
        <v>4459612.6317999996</v>
      </c>
      <c r="F79" s="138" cm="1">
        <f t="array" ref="F79:G79">_xll.PE.trf.FromEpsgNoToEpsgNo($D$4,$D$5,D79,E79)</f>
        <v>20.333399268047305</v>
      </c>
      <c r="G79" s="140">
        <v>40.267839383536206</v>
      </c>
      <c r="H79" s="138" t="str" cm="1">
        <f t="array" ref="H79">_xll.PE.deg.AsString(F79)</f>
        <v>20 20 00</v>
      </c>
      <c r="I79" s="139" t="str" cm="1">
        <f t="array" ref="I79">_xll.PE.deg.AsString(G79)</f>
        <v>40 16 04</v>
      </c>
      <c r="J79" s="138" cm="1">
        <f t="array" ref="J79">_xll.PE.deg.FromString(H79)</f>
        <v>20.333333333333332</v>
      </c>
      <c r="K79" s="140" cm="1">
        <f t="array" ref="K79">_xll.PE.deg.FromString(I79)</f>
        <v>40.267777777777773</v>
      </c>
      <c r="L79" s="75">
        <f t="shared" si="34"/>
        <v>6.5934713973092585E-5</v>
      </c>
      <c r="M79" s="76">
        <f t="shared" si="35"/>
        <v>6.1605758432392577E-5</v>
      </c>
      <c r="N79" s="39">
        <f t="shared" si="36"/>
        <v>3999.999999999819</v>
      </c>
      <c r="O79" s="89">
        <f t="shared" si="37"/>
        <v>52.431407923821524</v>
      </c>
      <c r="P79" s="89"/>
      <c r="Q79" s="44" t="str">
        <f t="shared" si="38"/>
        <v>20.33339927,40.26783938</v>
      </c>
      <c r="R79" s="98" t="str">
        <f t="shared" si="39"/>
        <v>&lt;trkpt lon="20.33339927" lat="40.26783938"&gt;&lt;name&gt;S05&lt;/name&gt;&lt;/trkpt&gt;</v>
      </c>
    </row>
    <row r="80" spans="1:18" ht="15" thickBot="1" x14ac:dyDescent="0.4">
      <c r="A80" s="23" t="str">
        <f>C74</f>
        <v>D_012</v>
      </c>
      <c r="B80" s="102">
        <v>6</v>
      </c>
      <c r="C80" s="12" t="s">
        <v>5</v>
      </c>
      <c r="D80" s="37">
        <f>D79+$D$8*SIN(RADIANS(O78))</f>
        <v>4446600.6983544026</v>
      </c>
      <c r="E80" s="38">
        <f>E79+$D$8*COS(RADIANS(O78))</f>
        <v>4462051.4748460185</v>
      </c>
      <c r="F80" s="135" cm="1">
        <f t="array" ref="F80:G80">_xll.PE.trf.FromEpsgNoToEpsgNo($D$4,$D$5,D80,E80)</f>
        <v>20.370466902167522</v>
      </c>
      <c r="G80" s="137">
        <v>40.290010254686557</v>
      </c>
      <c r="H80" s="135" t="str" cm="1">
        <f t="array" ref="H80">_xll.PE.deg.AsString(F80)</f>
        <v>20 22 14</v>
      </c>
      <c r="I80" s="136" t="str" cm="1">
        <f t="array" ref="I80">_xll.PE.deg.AsString(G80)</f>
        <v>40 17 24</v>
      </c>
      <c r="J80" s="135" cm="1">
        <f t="array" ref="J80">_xll.PE.deg.FromString(H80)</f>
        <v>20.370555555555555</v>
      </c>
      <c r="K80" s="137" cm="1">
        <f t="array" ref="K80">_xll.PE.deg.FromString(I80)</f>
        <v>40.29</v>
      </c>
      <c r="L80" s="73">
        <f t="shared" si="34"/>
        <v>-8.8653388033321789E-5</v>
      </c>
      <c r="M80" s="74">
        <f t="shared" si="35"/>
        <v>1.025468655768691E-5</v>
      </c>
      <c r="N80" s="39">
        <f t="shared" si="36"/>
        <v>3000.0000000003324</v>
      </c>
      <c r="O80" s="89">
        <f t="shared" si="37"/>
        <v>52.43140792381719</v>
      </c>
      <c r="P80" s="5">
        <v>4326</v>
      </c>
      <c r="Q80" s="44" t="str">
        <f t="shared" si="38"/>
        <v>20.37046690,40.29001025</v>
      </c>
      <c r="R80" s="98" t="str">
        <f t="shared" si="39"/>
        <v>&lt;trkpt lon="20.37046690" lat="40.29001025"&gt;&lt;name&gt;S06&lt;/name&gt;&lt;/trkpt&gt;</v>
      </c>
    </row>
    <row r="81" spans="1:18" ht="15" thickBot="1" x14ac:dyDescent="0.4">
      <c r="A81" s="23"/>
      <c r="B81" s="103">
        <v>7</v>
      </c>
      <c r="C81" s="13" t="s">
        <v>13</v>
      </c>
      <c r="D81" s="29">
        <f>D80+$D$7*SIN(RADIANS(O79))</f>
        <v>4448978.5703202048</v>
      </c>
      <c r="E81" s="30">
        <f>E80+$D$7*COS(RADIANS(O79))</f>
        <v>4463880.6071305331</v>
      </c>
      <c r="F81" s="141" cm="1">
        <f t="array" ref="F81:G81">_xll.PE.trf.FromEpsgNoToEpsgNo($D$4,$D$5,D81,E81)</f>
        <v>20.398283565718462</v>
      </c>
      <c r="G81" s="143">
        <v>40.306630675756253</v>
      </c>
      <c r="H81" s="141" t="str" cm="1">
        <f t="array" ref="H81">_xll.PE.deg.AsString(F81)</f>
        <v>20 23 54</v>
      </c>
      <c r="I81" s="142" t="str" cm="1">
        <f t="array" ref="I81">_xll.PE.deg.AsString(G81)</f>
        <v>40 18 24</v>
      </c>
      <c r="J81" s="141" cm="1">
        <f t="array" ref="J81">_xll.PE.deg.FromString(H81)</f>
        <v>20.398333333333333</v>
      </c>
      <c r="K81" s="143" cm="1">
        <f t="array" ref="K81">_xll.PE.deg.FromString(I81)</f>
        <v>40.306666666666665</v>
      </c>
      <c r="L81" s="77">
        <f t="shared" si="34"/>
        <v>-4.9767614871853993E-5</v>
      </c>
      <c r="M81" s="78">
        <f t="shared" si="35"/>
        <v>-3.5990910411953791E-5</v>
      </c>
      <c r="N81" s="34">
        <f>SUM(N76:N79)</f>
        <v>34385.184321353983</v>
      </c>
      <c r="O81" s="5" t="s">
        <v>11</v>
      </c>
      <c r="P81" s="90" cm="1">
        <f t="array" ref="P81">_xll.PE.crs.GeodesicDistance($D$5,J76:K80)</f>
        <v>34401.169697441554</v>
      </c>
      <c r="Q81" s="44" t="str">
        <f t="shared" si="38"/>
        <v>20.39828357,40.30663068</v>
      </c>
      <c r="R81" s="98" t="str">
        <f t="shared" si="39"/>
        <v>&lt;trkpt lon="20.39828357" lat="40.30663068"&gt;&lt;name&gt;S07&lt;/name&gt;&lt;/trkpt&gt;</v>
      </c>
    </row>
    <row r="82" spans="1:18" ht="15" thickBot="1" x14ac:dyDescent="0.4">
      <c r="A82" s="23"/>
      <c r="B82" s="105"/>
      <c r="C82" s="17"/>
      <c r="D82" s="31"/>
      <c r="E82" s="31"/>
      <c r="F82" s="42"/>
      <c r="G82" s="42"/>
      <c r="H82" s="42"/>
      <c r="I82" s="42"/>
      <c r="J82" s="42"/>
      <c r="K82" s="42"/>
      <c r="L82" s="42"/>
      <c r="M82" s="42"/>
      <c r="N82" s="25">
        <f>N77+N78</f>
        <v>26385.184321354245</v>
      </c>
      <c r="O82" s="106" t="s">
        <v>12</v>
      </c>
      <c r="P82" s="91"/>
      <c r="Q82" s="44" t="s">
        <v>21</v>
      </c>
      <c r="R82" s="98" t="str">
        <f>CONCATENATE("&lt;/trkseg&gt;&lt;/trk&gt;")</f>
        <v>&lt;/trkseg&gt;&lt;/trk&gt;</v>
      </c>
    </row>
    <row r="83" spans="1:18" ht="15" thickBot="1" x14ac:dyDescent="0.4">
      <c r="A83" s="23"/>
      <c r="B83" s="105"/>
      <c r="C83" s="19" t="s">
        <v>37</v>
      </c>
      <c r="D83" s="33"/>
      <c r="E83" s="33"/>
      <c r="F83" s="40"/>
      <c r="G83" s="40"/>
      <c r="H83" s="40"/>
      <c r="I83" s="40"/>
      <c r="J83" s="40"/>
      <c r="K83" s="40"/>
      <c r="L83" s="40"/>
      <c r="M83" s="40"/>
      <c r="N83" s="16"/>
      <c r="O83" s="109"/>
      <c r="P83" s="92"/>
      <c r="Q83" s="44" t="str">
        <f>CONCATENATE("&lt;Placemark&gt;&lt;name&gt;",A89,"&lt;/name&gt;&lt;styleUrl&gt;#track001&lt;/styleUrl&gt;&lt;MultiGeometry&gt;&lt;LineString&gt;&lt;coordinates&gt;")</f>
        <v>&lt;Placemark&gt;&lt;name&gt;D_013&lt;/name&gt;&lt;styleUrl&gt;#track001&lt;/styleUrl&gt;&lt;MultiGeometry&gt;&lt;LineString&gt;&lt;coordinates&gt;</v>
      </c>
      <c r="R83" s="98" t="str">
        <f>CONCATENATE("&lt;trk&gt;&lt;name&gt;",A89,"&lt;/name&gt;&lt;trkseg&gt;")</f>
        <v>&lt;trk&gt;&lt;name&gt;D_013&lt;/name&gt;&lt;trkseg&gt;</v>
      </c>
    </row>
    <row r="84" spans="1:18" x14ac:dyDescent="0.35">
      <c r="A84" s="23"/>
      <c r="B84" s="101">
        <v>1</v>
      </c>
      <c r="C84" s="41" t="s">
        <v>13</v>
      </c>
      <c r="D84" s="26">
        <f>D85-$D$7*SIN(RADIANS(O85))</f>
        <v>4420707.4260443719</v>
      </c>
      <c r="E84" s="27">
        <f>E85-$D$7*COS(RADIANS(O85))</f>
        <v>4429507.8151147934</v>
      </c>
      <c r="F84" s="132" cm="1">
        <f t="array" ref="F84:G84">_xll.PE.trf.FromEpsgNoToEpsgNo($D$4,$D$5,D84,E84)</f>
        <v>20.069993444467798</v>
      </c>
      <c r="G84" s="134">
        <v>39.994906393702017</v>
      </c>
      <c r="H84" s="132" t="str" cm="1">
        <f t="array" ref="H84">_xll.PE.deg.AsString(F84)</f>
        <v>20 04 12</v>
      </c>
      <c r="I84" s="133" t="str" cm="1">
        <f t="array" ref="I84">_xll.PE.deg.AsString(G84)</f>
        <v>39 59 42</v>
      </c>
      <c r="J84" s="132" cm="1">
        <f t="array" ref="J84">_xll.PE.deg.FromString(H84)</f>
        <v>20.07</v>
      </c>
      <c r="K84" s="134" cm="1">
        <f t="array" ref="K84">_xll.PE.deg.FromString(I84)</f>
        <v>39.994999999999997</v>
      </c>
      <c r="L84" s="71">
        <f t="shared" ref="L84:L90" si="40">F84-J84</f>
        <v>-6.5555322024124507E-6</v>
      </c>
      <c r="M84" s="72">
        <f t="shared" ref="M84:M90" si="41">G84-K84</f>
        <v>-9.3606297980386444E-5</v>
      </c>
      <c r="N84" s="8">
        <f t="shared" ref="N84:N89" si="42">SQRT((D85-D84)^2+(E85-E84)^2)</f>
        <v>2999.9999999998063</v>
      </c>
      <c r="O84" s="108">
        <f t="shared" ref="O84:O89" si="43">IF(DEGREES(ATAN2(E85-E84,D85-D84))&lt;0,DEGREES(ATAN2(E85-E84,D85-D84))+360,(DEGREES(ATAN2(E85-E84,D85-D84))))</f>
        <v>59.866281983325656</v>
      </c>
      <c r="P84" s="89"/>
      <c r="Q84" s="44" t="str">
        <f t="shared" ref="Q84:Q90" si="44">CONCATENATE(TEXT(F84,"#.00000000"),",",TEXT(G84,"#.00000000"))</f>
        <v>20.06999344,39.99490639</v>
      </c>
      <c r="R84" s="98" t="str">
        <f t="shared" ref="R84:R90" si="45">CONCATENATE("&lt;trkpt lon=""",TEXT(F84,"#.00000000"),""" lat=""",TEXT(G84,"#.00000000"),"""","&gt;&lt;name&gt;S",TEXT(B84,"00"),"&lt;/name&gt;&lt;/trkpt&gt;")</f>
        <v>&lt;trkpt lon="20.06999344" lat="39.99490639"&gt;&lt;name&gt;S01&lt;/name&gt;&lt;/trkpt&gt;</v>
      </c>
    </row>
    <row r="85" spans="1:18" ht="15" thickBot="1" x14ac:dyDescent="0.4">
      <c r="A85" s="23"/>
      <c r="B85" s="102">
        <v>2</v>
      </c>
      <c r="C85" s="12" t="s">
        <v>5</v>
      </c>
      <c r="D85" s="37">
        <f>D86-$D$8*SIN(RADIANS(O86))</f>
        <v>4423301.9944539266</v>
      </c>
      <c r="E85" s="38">
        <f>E86-$D$8*COS(RADIANS(O86))</f>
        <v>4431013.8744655959</v>
      </c>
      <c r="F85" s="135" cm="1">
        <f t="array" ref="F85:G85">_xll.PE.trf.FromEpsgNoToEpsgNo($D$4,$D$5,D85,E85)</f>
        <v>20.100192626928944</v>
      </c>
      <c r="G85" s="137">
        <v>40.00870828034725</v>
      </c>
      <c r="H85" s="135" t="str" cm="1">
        <f t="array" ref="H85">_xll.PE.deg.AsString(F85)</f>
        <v>20 06 01</v>
      </c>
      <c r="I85" s="136" t="str" cm="1">
        <f t="array" ref="I85">_xll.PE.deg.AsString(G85)</f>
        <v>40 00 31</v>
      </c>
      <c r="J85" s="135" cm="1">
        <f t="array" ref="J85">_xll.PE.deg.FromString(H85)</f>
        <v>20.10027777777778</v>
      </c>
      <c r="K85" s="137" cm="1">
        <f t="array" ref="K85">_xll.PE.deg.FromString(I85)</f>
        <v>40.008611111111108</v>
      </c>
      <c r="L85" s="73">
        <f t="shared" si="40"/>
        <v>-8.5150848835979787E-5</v>
      </c>
      <c r="M85" s="74">
        <f t="shared" si="41"/>
        <v>9.7169236141780857E-5</v>
      </c>
      <c r="N85" s="39">
        <f t="shared" si="42"/>
        <v>4000.000000000166</v>
      </c>
      <c r="O85" s="89">
        <f t="shared" si="43"/>
        <v>59.866281983324043</v>
      </c>
      <c r="P85" s="89"/>
      <c r="Q85" s="44" t="str">
        <f t="shared" si="44"/>
        <v>20.10019263,40.00870828</v>
      </c>
      <c r="R85" s="98" t="str">
        <f t="shared" si="45"/>
        <v>&lt;trkpt lon="20.10019263" lat="40.00870828"&gt;&lt;name&gt;S02&lt;/name&gt;&lt;/trkpt&gt;</v>
      </c>
    </row>
    <row r="86" spans="1:18" ht="15" thickBot="1" x14ac:dyDescent="0.4">
      <c r="A86" s="23"/>
      <c r="B86" s="102">
        <v>3</v>
      </c>
      <c r="C86" s="12" t="s">
        <v>9</v>
      </c>
      <c r="D86" s="20">
        <v>4426761.4189999998</v>
      </c>
      <c r="E86" s="7">
        <v>4433021.9535999997</v>
      </c>
      <c r="F86" s="138" cm="1">
        <f t="array" ref="F86:G86">_xll.PE.trf.FromEpsgNoToEpsgNo($D$4,$D$5,D86,E86)</f>
        <v>20.140477274654241</v>
      </c>
      <c r="G86" s="140">
        <v>40.027098704556671</v>
      </c>
      <c r="H86" s="138" t="str" cm="1">
        <f t="array" ref="H86">_xll.PE.deg.AsString(F86)</f>
        <v>20 08 26</v>
      </c>
      <c r="I86" s="139" t="str" cm="1">
        <f t="array" ref="I86">_xll.PE.deg.AsString(G86)</f>
        <v>40 01 38</v>
      </c>
      <c r="J86" s="138" cm="1">
        <f t="array" ref="J86">_xll.PE.deg.FromString(H86)</f>
        <v>20.140555555555554</v>
      </c>
      <c r="K86" s="140" cm="1">
        <f t="array" ref="K86">_xll.PE.deg.FromString(I86)</f>
        <v>40.027222222222221</v>
      </c>
      <c r="L86" s="75">
        <f t="shared" si="40"/>
        <v>-7.8280901313121376E-5</v>
      </c>
      <c r="M86" s="76">
        <f t="shared" si="41"/>
        <v>-1.2351766554985488E-4</v>
      </c>
      <c r="N86" s="10">
        <f t="shared" si="42"/>
        <v>13644.119064131539</v>
      </c>
      <c r="O86" s="93">
        <f t="shared" si="43"/>
        <v>59.866281983324463</v>
      </c>
      <c r="P86" s="21">
        <v>2462</v>
      </c>
      <c r="Q86" s="44" t="str">
        <f t="shared" si="44"/>
        <v>20.14047727,40.02709870</v>
      </c>
      <c r="R86" s="98" t="str">
        <f t="shared" si="45"/>
        <v>&lt;trkpt lon="20.14047727" lat="40.02709870"&gt;&lt;name&gt;S03&lt;/name&gt;&lt;/trkpt&gt;</v>
      </c>
    </row>
    <row r="87" spans="1:18" ht="15" thickBot="1" x14ac:dyDescent="0.4">
      <c r="A87" s="23"/>
      <c r="B87" s="102">
        <v>4</v>
      </c>
      <c r="C87" s="12" t="s">
        <v>10</v>
      </c>
      <c r="D87" s="20">
        <v>4438561.6190999998</v>
      </c>
      <c r="E87" s="7">
        <v>4439871.5713</v>
      </c>
      <c r="F87" s="138" cm="1">
        <f t="array" ref="F87:G87">_xll.PE.trf.FromEpsgNoToEpsgNo($D$4,$D$5,D87,E87)</f>
        <v>20.278053401830466</v>
      </c>
      <c r="G87" s="140">
        <v>40.089724675701291</v>
      </c>
      <c r="H87" s="138" t="str" cm="1">
        <f t="array" ref="H87">_xll.PE.deg.AsString(F87)</f>
        <v>20 16 41</v>
      </c>
      <c r="I87" s="139" t="str" cm="1">
        <f t="array" ref="I87">_xll.PE.deg.AsString(G87)</f>
        <v>40 05 23</v>
      </c>
      <c r="J87" s="138" cm="1">
        <f t="array" ref="J87">_xll.PE.deg.FromString(H87)</f>
        <v>20.278055555555554</v>
      </c>
      <c r="K87" s="140" cm="1">
        <f t="array" ref="K87">_xll.PE.deg.FromString(I87)</f>
        <v>40.089722222222221</v>
      </c>
      <c r="L87" s="75">
        <f t="shared" si="40"/>
        <v>-2.1537250880498959E-6</v>
      </c>
      <c r="M87" s="76">
        <f t="shared" si="41"/>
        <v>2.4534790696861819E-6</v>
      </c>
      <c r="N87" s="10">
        <f t="shared" si="42"/>
        <v>19918.651491032069</v>
      </c>
      <c r="O87" s="93">
        <f t="shared" si="43"/>
        <v>56.809492571931429</v>
      </c>
      <c r="P87" s="90" cm="1">
        <f t="array" ref="P87">_xll.PE.crs.GeodesicDistance($D$4,D85:E89)</f>
        <v>41560.942438470796</v>
      </c>
      <c r="Q87" s="44" t="str">
        <f t="shared" si="44"/>
        <v>20.27805340,40.08972468</v>
      </c>
      <c r="R87" s="98" t="str">
        <f t="shared" si="45"/>
        <v>&lt;trkpt lon="20.27805340" lat="40.08972468"&gt;&lt;name&gt;S04&lt;/name&gt;&lt;/trkpt&gt;</v>
      </c>
    </row>
    <row r="88" spans="1:18" ht="15" thickBot="1" x14ac:dyDescent="0.4">
      <c r="A88" s="23"/>
      <c r="B88" s="102">
        <v>5</v>
      </c>
      <c r="C88" s="12" t="s">
        <v>7</v>
      </c>
      <c r="D88" s="20">
        <v>4455230.6425999999</v>
      </c>
      <c r="E88" s="7">
        <v>4450775.5307999998</v>
      </c>
      <c r="F88" s="138" cm="1">
        <f t="array" ref="F88:G88">_xll.PE.trf.FromEpsgNoToEpsgNo($D$4,$D$5,D88,E88)</f>
        <v>20.472740821899968</v>
      </c>
      <c r="G88" s="140">
        <v>40.188973955050109</v>
      </c>
      <c r="H88" s="138" t="str" cm="1">
        <f t="array" ref="H88">_xll.PE.deg.AsString(F88)</f>
        <v>20 28 22</v>
      </c>
      <c r="I88" s="139" t="str" cm="1">
        <f t="array" ref="I88">_xll.PE.deg.AsString(G88)</f>
        <v>40 11 20</v>
      </c>
      <c r="J88" s="138" cm="1">
        <f t="array" ref="J88">_xll.PE.deg.FromString(H88)</f>
        <v>20.472777777777775</v>
      </c>
      <c r="K88" s="140" cm="1">
        <f t="array" ref="K88">_xll.PE.deg.FromString(I88)</f>
        <v>40.188888888888883</v>
      </c>
      <c r="L88" s="75">
        <f t="shared" si="40"/>
        <v>-3.6955877806832405E-5</v>
      </c>
      <c r="M88" s="76">
        <f t="shared" si="41"/>
        <v>8.5066161226166059E-5</v>
      </c>
      <c r="N88" s="39">
        <f t="shared" si="42"/>
        <v>4000.0000000002019</v>
      </c>
      <c r="O88" s="89">
        <f t="shared" si="43"/>
        <v>56.809492571930086</v>
      </c>
      <c r="P88" s="89"/>
      <c r="Q88" s="44" t="str">
        <f t="shared" si="44"/>
        <v>20.47274082,40.18897396</v>
      </c>
      <c r="R88" s="98" t="str">
        <f t="shared" si="45"/>
        <v>&lt;trkpt lon="20.47274082" lat="40.18897396"&gt;&lt;name&gt;S05&lt;/name&gt;&lt;/trkpt&gt;</v>
      </c>
    </row>
    <row r="89" spans="1:18" ht="15" thickBot="1" x14ac:dyDescent="0.4">
      <c r="A89" s="23" t="str">
        <f>C83</f>
        <v>D_013</v>
      </c>
      <c r="B89" s="102">
        <v>6</v>
      </c>
      <c r="C89" s="12" t="s">
        <v>5</v>
      </c>
      <c r="D89" s="37">
        <f>D88+$D$8*SIN(RADIANS(O87))</f>
        <v>4458578.0626816265</v>
      </c>
      <c r="E89" s="38">
        <f>E88+$D$8*COS(RADIANS(O87))</f>
        <v>4452965.229134731</v>
      </c>
      <c r="F89" s="135" cm="1">
        <f t="array" ref="F89:G89">_xll.PE.trf.FromEpsgNoToEpsgNo($D$4,$D$5,D89,E89)</f>
        <v>20.511905954708112</v>
      </c>
      <c r="G89" s="137">
        <v>40.208865629399845</v>
      </c>
      <c r="H89" s="135" t="str" cm="1">
        <f t="array" ref="H89">_xll.PE.deg.AsString(F89)</f>
        <v>20 30 43</v>
      </c>
      <c r="I89" s="136" t="str" cm="1">
        <f t="array" ref="I89">_xll.PE.deg.AsString(G89)</f>
        <v>40 12 32</v>
      </c>
      <c r="J89" s="135" cm="1">
        <f t="array" ref="J89">_xll.PE.deg.FromString(H89)</f>
        <v>20.511944444444445</v>
      </c>
      <c r="K89" s="137" cm="1">
        <f t="array" ref="K89">_xll.PE.deg.FromString(I89)</f>
        <v>40.208888888888893</v>
      </c>
      <c r="L89" s="73">
        <f t="shared" si="40"/>
        <v>-3.8489736333247038E-5</v>
      </c>
      <c r="M89" s="74">
        <f t="shared" si="41"/>
        <v>-2.325948904768893E-5</v>
      </c>
      <c r="N89" s="9">
        <f t="shared" si="42"/>
        <v>3000.0000000001514</v>
      </c>
      <c r="O89" s="110">
        <f t="shared" si="43"/>
        <v>56.809492571930086</v>
      </c>
      <c r="P89" s="5">
        <v>4326</v>
      </c>
      <c r="Q89" s="44" t="str">
        <f t="shared" si="44"/>
        <v>20.51190595,40.20886563</v>
      </c>
      <c r="R89" s="98" t="str">
        <f t="shared" si="45"/>
        <v>&lt;trkpt lon="20.51190595" lat="40.20886563"&gt;&lt;name&gt;S06&lt;/name&gt;&lt;/trkpt&gt;</v>
      </c>
    </row>
    <row r="90" spans="1:18" ht="15" thickBot="1" x14ac:dyDescent="0.4">
      <c r="A90" s="23"/>
      <c r="B90" s="103">
        <v>7</v>
      </c>
      <c r="C90" s="13" t="s">
        <v>13</v>
      </c>
      <c r="D90" s="29">
        <f>D89+$D$7*SIN(RADIANS(O88))</f>
        <v>4461088.6277428465</v>
      </c>
      <c r="E90" s="30">
        <f>E89+$D$7*COS(RADIANS(O88))</f>
        <v>4454607.5028857794</v>
      </c>
      <c r="F90" s="141" cm="1">
        <f t="array" ref="F90:G90">_xll.PE.trf.FromEpsgNoToEpsgNo($D$4,$D$5,D90,E90)</f>
        <v>20.541294879939993</v>
      </c>
      <c r="G90" s="143">
        <v>40.223775729147633</v>
      </c>
      <c r="H90" s="141" t="str" cm="1">
        <f t="array" ref="H90">_xll.PE.deg.AsString(F90)</f>
        <v>20 32 29</v>
      </c>
      <c r="I90" s="142" t="str" cm="1">
        <f t="array" ref="I90">_xll.PE.deg.AsString(G90)</f>
        <v>40 13 26</v>
      </c>
      <c r="J90" s="141" cm="1">
        <f t="array" ref="J90">_xll.PE.deg.FromString(H90)</f>
        <v>20.541388888888889</v>
      </c>
      <c r="K90" s="143" cm="1">
        <f t="array" ref="K90">_xll.PE.deg.FromString(I90)</f>
        <v>40.223888888888894</v>
      </c>
      <c r="L90" s="77">
        <f t="shared" si="40"/>
        <v>-9.4008948895663025E-5</v>
      </c>
      <c r="M90" s="78">
        <f t="shared" si="41"/>
        <v>-1.1315974126091533E-4</v>
      </c>
      <c r="N90" s="34">
        <f>SUM(N85:N88)</f>
        <v>41562.770555163981</v>
      </c>
      <c r="O90" s="5" t="s">
        <v>11</v>
      </c>
      <c r="P90" s="90" cm="1">
        <f t="array" ref="P90">_xll.PE.crs.GeodesicDistance($D$5,J85:K89)</f>
        <v>41564.1105254254</v>
      </c>
      <c r="Q90" s="44" t="str">
        <f t="shared" si="44"/>
        <v>20.54129488,40.22377573</v>
      </c>
      <c r="R90" s="98" t="str">
        <f t="shared" si="45"/>
        <v>&lt;trkpt lon="20.54129488" lat="40.22377573"&gt;&lt;name&gt;S07&lt;/name&gt;&lt;/trkpt&gt;</v>
      </c>
    </row>
    <row r="91" spans="1:18" ht="15" thickBot="1" x14ac:dyDescent="0.4">
      <c r="A91" s="23"/>
      <c r="B91" s="105"/>
      <c r="C91" s="17"/>
      <c r="D91" s="31"/>
      <c r="E91" s="31"/>
      <c r="F91" s="42"/>
      <c r="G91" s="42"/>
      <c r="H91" s="42"/>
      <c r="I91" s="42"/>
      <c r="J91" s="42"/>
      <c r="K91" s="42"/>
      <c r="L91" s="42"/>
      <c r="M91" s="42"/>
      <c r="N91" s="25">
        <f>N86+N87</f>
        <v>33562.77055516361</v>
      </c>
      <c r="O91" s="106" t="s">
        <v>12</v>
      </c>
      <c r="P91" s="91"/>
      <c r="Q91" s="44" t="s">
        <v>21</v>
      </c>
      <c r="R91" s="98" t="str">
        <f>CONCATENATE("&lt;/trkseg&gt;&lt;/trk&gt;")</f>
        <v>&lt;/trkseg&gt;&lt;/trk&gt;</v>
      </c>
    </row>
    <row r="92" spans="1:18" ht="15" thickBot="1" x14ac:dyDescent="0.4">
      <c r="A92" s="23"/>
      <c r="B92" s="105"/>
      <c r="C92" s="19" t="s">
        <v>38</v>
      </c>
      <c r="D92" s="33"/>
      <c r="E92" s="33"/>
      <c r="F92" s="40"/>
      <c r="G92" s="40"/>
      <c r="H92" s="40"/>
      <c r="I92" s="40"/>
      <c r="J92" s="40"/>
      <c r="K92" s="40"/>
      <c r="L92" s="40"/>
      <c r="M92" s="40"/>
      <c r="N92" s="16"/>
      <c r="O92" s="109"/>
      <c r="P92" s="92"/>
      <c r="Q92" s="44" t="str">
        <f>CONCATENATE("&lt;Placemark&gt;&lt;name&gt;",A98,"&lt;/name&gt;&lt;styleUrl&gt;#track001&lt;/styleUrl&gt;&lt;MultiGeometry&gt;&lt;LineString&gt;&lt;coordinates&gt;")</f>
        <v>&lt;Placemark&gt;&lt;name&gt;D_014&lt;/name&gt;&lt;styleUrl&gt;#track001&lt;/styleUrl&gt;&lt;MultiGeometry&gt;&lt;LineString&gt;&lt;coordinates&gt;</v>
      </c>
      <c r="R92" s="98" t="str">
        <f>CONCATENATE("&lt;trk&gt;&lt;name&gt;",A98,"&lt;/name&gt;&lt;trkseg&gt;")</f>
        <v>&lt;trk&gt;&lt;name&gt;D_014&lt;/name&gt;&lt;trkseg&gt;</v>
      </c>
    </row>
    <row r="93" spans="1:18" x14ac:dyDescent="0.35">
      <c r="A93" s="23"/>
      <c r="B93" s="101">
        <v>1</v>
      </c>
      <c r="C93" s="41" t="s">
        <v>13</v>
      </c>
      <c r="D93" s="26">
        <f>D94-$D$7*SIN(RADIANS(O94))</f>
        <v>4418722.884392594</v>
      </c>
      <c r="E93" s="27">
        <f>E94-$D$7*COS(RADIANS(O94))</f>
        <v>4468581.3680245327</v>
      </c>
      <c r="F93" s="132" cm="1">
        <f t="array" ref="F93:G93">_xll.PE.trf.FromEpsgNoToEpsgNo($D$4,$D$5,D93,E93)</f>
        <v>20.041822842787745</v>
      </c>
      <c r="G93" s="134">
        <v>40.346559530862841</v>
      </c>
      <c r="H93" s="132" t="str" cm="1">
        <f t="array" ref="H93">_xll.PE.deg.AsString(F93)</f>
        <v>20 02 31</v>
      </c>
      <c r="I93" s="133" t="str" cm="1">
        <f t="array" ref="I93">_xll.PE.deg.AsString(G93)</f>
        <v>40 20 48</v>
      </c>
      <c r="J93" s="132" cm="1">
        <f t="array" ref="J93">_xll.PE.deg.FromString(H93)</f>
        <v>20.041944444444447</v>
      </c>
      <c r="K93" s="134" cm="1">
        <f t="array" ref="K93">_xll.PE.deg.FromString(I93)</f>
        <v>40.346666666666671</v>
      </c>
      <c r="L93" s="71">
        <f t="shared" ref="L93:L99" si="46">F93-J93</f>
        <v>-1.2160165670138667E-4</v>
      </c>
      <c r="M93" s="72">
        <f t="shared" ref="M93:M99" si="47">G93-K93</f>
        <v>-1.0713580383026056E-4</v>
      </c>
      <c r="N93" s="8">
        <f t="shared" ref="N93:N98" si="48">SQRT((D94-D93)^2+(E94-E93)^2)</f>
        <v>2999.999999999915</v>
      </c>
      <c r="O93" s="108">
        <f t="shared" ref="O93:O98" si="49">IF(DEGREES(ATAN2(E94-E93,D94-D93))&lt;0,DEGREES(ATAN2(E94-E93,D94-D93))+360,(DEGREES(ATAN2(E94-E93,D94-D93))))</f>
        <v>132.70939001752728</v>
      </c>
      <c r="P93" s="89"/>
      <c r="Q93" s="44" t="str">
        <f t="shared" ref="Q93:Q99" si="50">CONCATENATE(TEXT(F93,"#.00000000"),",",TEXT(G93,"#.00000000"))</f>
        <v>20.04182284,40.34655953</v>
      </c>
      <c r="R93" s="98" t="str">
        <f t="shared" ref="R93:R99" si="51">CONCATENATE("&lt;trkpt lon=""",TEXT(F93,"#.00000000"),""" lat=""",TEXT(G93,"#.00000000"),"""","&gt;&lt;name&gt;S",TEXT(B93,"00"),"&lt;/name&gt;&lt;/trkpt&gt;")</f>
        <v>&lt;trkpt lon="20.04182284" lat="40.34655953"&gt;&lt;name&gt;S01&lt;/name&gt;&lt;/trkpt&gt;</v>
      </c>
    </row>
    <row r="94" spans="1:18" ht="15" thickBot="1" x14ac:dyDescent="0.4">
      <c r="A94" s="23"/>
      <c r="B94" s="102">
        <v>2</v>
      </c>
      <c r="C94" s="12" t="s">
        <v>5</v>
      </c>
      <c r="D94" s="37">
        <f>D95-$D$8*SIN(RADIANS(O95))</f>
        <v>4420927.2947243396</v>
      </c>
      <c r="E94" s="38">
        <f>E95-$D$8*COS(RADIANS(O95))</f>
        <v>4466546.5277140187</v>
      </c>
      <c r="F94" s="135" cm="1">
        <f t="array" ref="F94:G94">_xll.PE.trf.FromEpsgNoToEpsgNo($D$4,$D$5,D94,E94)</f>
        <v>20.068017585449915</v>
      </c>
      <c r="G94" s="137">
        <v>40.328449033346601</v>
      </c>
      <c r="H94" s="135" t="str" cm="1">
        <f t="array" ref="H94">_xll.PE.deg.AsString(F94)</f>
        <v>20 04 05</v>
      </c>
      <c r="I94" s="136" t="str" cm="1">
        <f t="array" ref="I94">_xll.PE.deg.AsString(G94)</f>
        <v>40 19 42</v>
      </c>
      <c r="J94" s="135" cm="1">
        <f t="array" ref="J94">_xll.PE.deg.FromString(H94)</f>
        <v>20.068055555555556</v>
      </c>
      <c r="K94" s="137" cm="1">
        <f t="array" ref="K94">_xll.PE.deg.FromString(I94)</f>
        <v>40.328333333333333</v>
      </c>
      <c r="L94" s="73">
        <f t="shared" si="46"/>
        <v>-3.7970105640994234E-5</v>
      </c>
      <c r="M94" s="74">
        <f t="shared" si="47"/>
        <v>1.1570001326788315E-4</v>
      </c>
      <c r="N94" s="39">
        <f t="shared" si="48"/>
        <v>3999.9999999998868</v>
      </c>
      <c r="O94" s="89">
        <f t="shared" si="49"/>
        <v>132.70939001752728</v>
      </c>
      <c r="P94" s="89"/>
      <c r="Q94" s="44" t="str">
        <f t="shared" si="50"/>
        <v>20.06801759,40.32844903</v>
      </c>
      <c r="R94" s="98" t="str">
        <f t="shared" si="51"/>
        <v>&lt;trkpt lon="20.06801759" lat="40.32844903"&gt;&lt;name&gt;S02&lt;/name&gt;&lt;/trkpt&gt;</v>
      </c>
    </row>
    <row r="95" spans="1:18" ht="15" thickBot="1" x14ac:dyDescent="0.4">
      <c r="A95" s="23"/>
      <c r="B95" s="102">
        <v>3</v>
      </c>
      <c r="C95" s="12" t="s">
        <v>9</v>
      </c>
      <c r="D95" s="20">
        <v>4423866.5085000005</v>
      </c>
      <c r="E95" s="7">
        <v>4463833.4073000001</v>
      </c>
      <c r="F95" s="138" cm="1">
        <f t="array" ref="F95:G95">_xll.PE.trf.FromEpsgNoToEpsgNo($D$4,$D$5,D95,E95)</f>
        <v>20.102922159653534</v>
      </c>
      <c r="G95" s="140">
        <v>40.304292150475973</v>
      </c>
      <c r="H95" s="138" t="str" cm="1">
        <f t="array" ref="H95">_xll.PE.deg.AsString(F95)</f>
        <v>20 06 11</v>
      </c>
      <c r="I95" s="139" t="str" cm="1">
        <f t="array" ref="I95">_xll.PE.deg.AsString(G95)</f>
        <v>40 18 15</v>
      </c>
      <c r="J95" s="138" cm="1">
        <f t="array" ref="J95">_xll.PE.deg.FromString(H95)</f>
        <v>20.103055555555557</v>
      </c>
      <c r="K95" s="140" cm="1">
        <f t="array" ref="K95">_xll.PE.deg.FromString(I95)</f>
        <v>40.304166666666667</v>
      </c>
      <c r="L95" s="75">
        <f t="shared" si="46"/>
        <v>-1.333959020222153E-4</v>
      </c>
      <c r="M95" s="76">
        <f t="shared" si="47"/>
        <v>1.2548380930610392E-4</v>
      </c>
      <c r="N95" s="10">
        <f t="shared" si="48"/>
        <v>16149.33394537546</v>
      </c>
      <c r="O95" s="93">
        <f t="shared" si="49"/>
        <v>132.70939001752339</v>
      </c>
      <c r="P95" s="21">
        <v>2462</v>
      </c>
      <c r="Q95" s="44" t="str">
        <f t="shared" si="50"/>
        <v>20.10292216,40.30429215</v>
      </c>
      <c r="R95" s="98" t="str">
        <f t="shared" si="51"/>
        <v>&lt;trkpt lon="20.10292216" lat="40.30429215"&gt;&lt;name&gt;S03&lt;/name&gt;&lt;/trkpt&gt;</v>
      </c>
    </row>
    <row r="96" spans="1:18" ht="15" thickBot="1" x14ac:dyDescent="0.4">
      <c r="A96" s="23"/>
      <c r="B96" s="102">
        <v>4</v>
      </c>
      <c r="C96" s="12" t="s">
        <v>10</v>
      </c>
      <c r="D96" s="20">
        <v>4435733.0947000002</v>
      </c>
      <c r="E96" s="7">
        <v>4452879.6354</v>
      </c>
      <c r="F96" s="138" cm="1">
        <f t="array" ref="F96:G96">_xll.PE.trf.FromEpsgNoToEpsgNo($D$4,$D$5,D96,E96)</f>
        <v>20.243591327481912</v>
      </c>
      <c r="G96" s="140">
        <v>40.206652264856999</v>
      </c>
      <c r="H96" s="138" t="str" cm="1">
        <f t="array" ref="H96">_xll.PE.deg.AsString(F96)</f>
        <v>20 14 37</v>
      </c>
      <c r="I96" s="139" t="str" cm="1">
        <f t="array" ref="I96">_xll.PE.deg.AsString(G96)</f>
        <v>40 12 24</v>
      </c>
      <c r="J96" s="138" cm="1">
        <f t="array" ref="J96">_xll.PE.deg.FromString(H96)</f>
        <v>20.243611111111111</v>
      </c>
      <c r="K96" s="140" cm="1">
        <f t="array" ref="K96">_xll.PE.deg.FromString(I96)</f>
        <v>40.206666666666671</v>
      </c>
      <c r="L96" s="75">
        <f t="shared" si="46"/>
        <v>-1.9783629198855124E-5</v>
      </c>
      <c r="M96" s="76">
        <f t="shared" si="47"/>
        <v>-1.4401809671937826E-5</v>
      </c>
      <c r="N96" s="10">
        <f t="shared" si="48"/>
        <v>22374.257892829319</v>
      </c>
      <c r="O96" s="93">
        <f t="shared" si="49"/>
        <v>133.49067367001715</v>
      </c>
      <c r="P96" s="90" cm="1">
        <f t="array" ref="P96">_xll.PE.crs.GeodesicDistance($D$4,D94:E98)</f>
        <v>46521.333054741852</v>
      </c>
      <c r="Q96" s="44" t="str">
        <f t="shared" si="50"/>
        <v>20.24359133,40.20665226</v>
      </c>
      <c r="R96" s="98" t="str">
        <f t="shared" si="51"/>
        <v>&lt;trkpt lon="20.24359133" lat="40.20665226"&gt;&lt;name&gt;S04&lt;/name&gt;&lt;/trkpt&gt;</v>
      </c>
    </row>
    <row r="97" spans="1:18" ht="15" thickBot="1" x14ac:dyDescent="0.4">
      <c r="A97" s="23"/>
      <c r="B97" s="102">
        <v>5</v>
      </c>
      <c r="C97" s="12" t="s">
        <v>7</v>
      </c>
      <c r="D97" s="20">
        <v>4451965.3147</v>
      </c>
      <c r="E97" s="7">
        <v>4437480.8546000002</v>
      </c>
      <c r="F97" s="138" cm="1">
        <f t="array" ref="F97:G97">_xll.PE.trf.FromEpsgNoToEpsgNo($D$4,$D$5,D97,E97)</f>
        <v>20.435390220595277</v>
      </c>
      <c r="G97" s="140">
        <v>40.069067928851965</v>
      </c>
      <c r="H97" s="138" t="str" cm="1">
        <f t="array" ref="H97">_xll.PE.deg.AsString(F97)</f>
        <v>20 26 07</v>
      </c>
      <c r="I97" s="139" t="str" cm="1">
        <f t="array" ref="I97">_xll.PE.deg.AsString(G97)</f>
        <v>40 04 09</v>
      </c>
      <c r="J97" s="138" cm="1">
        <f t="array" ref="J97">_xll.PE.deg.FromString(H97)</f>
        <v>20.435277777777777</v>
      </c>
      <c r="K97" s="140" cm="1">
        <f t="array" ref="K97">_xll.PE.deg.FromString(I97)</f>
        <v>40.069166666666668</v>
      </c>
      <c r="L97" s="75">
        <f t="shared" si="46"/>
        <v>1.1244281749966945E-4</v>
      </c>
      <c r="M97" s="76">
        <f t="shared" si="47"/>
        <v>-9.8737814703042659E-5</v>
      </c>
      <c r="N97" s="39">
        <f t="shared" si="48"/>
        <v>4000.0000000003711</v>
      </c>
      <c r="O97" s="89">
        <f t="shared" si="49"/>
        <v>133.49067367002033</v>
      </c>
      <c r="P97" s="89"/>
      <c r="Q97" s="44" t="str">
        <f t="shared" si="50"/>
        <v>20.43539022,40.06906793</v>
      </c>
      <c r="R97" s="98" t="str">
        <f t="shared" si="51"/>
        <v>&lt;trkpt lon="20.43539022" lat="40.06906793"&gt;&lt;name&gt;S05&lt;/name&gt;&lt;/trkpt&gt;</v>
      </c>
    </row>
    <row r="98" spans="1:18" ht="15" thickBot="1" x14ac:dyDescent="0.4">
      <c r="A98" s="23" t="str">
        <f>C92</f>
        <v>D_014</v>
      </c>
      <c r="B98" s="102">
        <v>6</v>
      </c>
      <c r="C98" s="12" t="s">
        <v>5</v>
      </c>
      <c r="D98" s="37">
        <f>D97+$D$8*SIN(RADIANS(O96))</f>
        <v>4454867.260333728</v>
      </c>
      <c r="E98" s="38">
        <f>E97+$D$8*COS(RADIANS(O96))</f>
        <v>4434727.9086254323</v>
      </c>
      <c r="F98" s="135" cm="1">
        <f t="array" ref="F98:G98">_xll.PE.trf.FromEpsgNoToEpsgNo($D$4,$D$5,D98,E98)</f>
        <v>20.469598076487333</v>
      </c>
      <c r="G98" s="137">
        <v>40.044436668263572</v>
      </c>
      <c r="H98" s="135" t="str" cm="1">
        <f t="array" ref="H98">_xll.PE.deg.AsString(F98)</f>
        <v>20 28 11</v>
      </c>
      <c r="I98" s="136" t="str" cm="1">
        <f t="array" ref="I98">_xll.PE.deg.AsString(G98)</f>
        <v>40 02 40</v>
      </c>
      <c r="J98" s="135" cm="1">
        <f t="array" ref="J98">_xll.PE.deg.FromString(H98)</f>
        <v>20.46972222222222</v>
      </c>
      <c r="K98" s="137" cm="1">
        <f t="array" ref="K98">_xll.PE.deg.FromString(I98)</f>
        <v>40.044444444444444</v>
      </c>
      <c r="L98" s="73">
        <f t="shared" si="46"/>
        <v>-1.24145734886838E-4</v>
      </c>
      <c r="M98" s="74">
        <f t="shared" si="47"/>
        <v>-7.7761808725540504E-6</v>
      </c>
      <c r="N98" s="9">
        <f t="shared" si="48"/>
        <v>2999.9999999999577</v>
      </c>
      <c r="O98" s="110">
        <f t="shared" si="49"/>
        <v>133.49067367001388</v>
      </c>
      <c r="P98" s="5">
        <v>4326</v>
      </c>
      <c r="Q98" s="44" t="str">
        <f t="shared" si="50"/>
        <v>20.46959808,40.04443667</v>
      </c>
      <c r="R98" s="98" t="str">
        <f t="shared" si="51"/>
        <v>&lt;trkpt lon="20.46959808" lat="40.04443667"&gt;&lt;name&gt;S06&lt;/name&gt;&lt;/trkpt&gt;</v>
      </c>
    </row>
    <row r="99" spans="1:18" ht="15" thickBot="1" x14ac:dyDescent="0.4">
      <c r="A99" s="23"/>
      <c r="B99" s="103">
        <v>7</v>
      </c>
      <c r="C99" s="13" t="s">
        <v>13</v>
      </c>
      <c r="D99" s="29">
        <f>D98+$D$7*SIN(RADIANS(O97))</f>
        <v>4457043.7195590241</v>
      </c>
      <c r="E99" s="30">
        <f>E98+$D$7*COS(RADIANS(O97))</f>
        <v>4432663.1991445068</v>
      </c>
      <c r="F99" s="141" cm="1">
        <f t="array" ref="F99:G99">_xll.PE.trf.FromEpsgNoToEpsgNo($D$4,$D$5,D99,E99)</f>
        <v>20.495237819768231</v>
      </c>
      <c r="G99" s="143">
        <v>40.02595642488258</v>
      </c>
      <c r="H99" s="141" t="str" cm="1">
        <f t="array" ref="H99">_xll.PE.deg.AsString(F99)</f>
        <v>20 29 43</v>
      </c>
      <c r="I99" s="142" t="str" cm="1">
        <f t="array" ref="I99">_xll.PE.deg.AsString(G99)</f>
        <v>40 01 33</v>
      </c>
      <c r="J99" s="141" cm="1">
        <f t="array" ref="J99">_xll.PE.deg.FromString(H99)</f>
        <v>20.49527777777778</v>
      </c>
      <c r="K99" s="143" cm="1">
        <f t="array" ref="K99">_xll.PE.deg.FromString(I99)</f>
        <v>40.025833333333331</v>
      </c>
      <c r="L99" s="77">
        <f t="shared" si="46"/>
        <v>-3.9958009548257678E-5</v>
      </c>
      <c r="M99" s="78">
        <f t="shared" si="47"/>
        <v>1.2309154924849963E-4</v>
      </c>
      <c r="N99" s="14">
        <f>SUM(N94:N97)</f>
        <v>46523.591838205037</v>
      </c>
      <c r="O99" s="35" t="s">
        <v>11</v>
      </c>
      <c r="P99" s="90" cm="1">
        <f t="array" ref="P99">_xll.PE.crs.GeodesicDistance($D$5,J94:K98)</f>
        <v>46517.121930830108</v>
      </c>
      <c r="Q99" s="44" t="str">
        <f t="shared" si="50"/>
        <v>20.49523782,40.02595642</v>
      </c>
      <c r="R99" s="98" t="str">
        <f t="shared" si="51"/>
        <v>&lt;trkpt lon="20.49523782" lat="40.02595642"&gt;&lt;name&gt;S07&lt;/name&gt;&lt;/trkpt&gt;</v>
      </c>
    </row>
    <row r="100" spans="1:18" ht="15" thickBot="1" x14ac:dyDescent="0.4">
      <c r="A100" s="23"/>
      <c r="B100" s="105"/>
      <c r="C100" s="17"/>
      <c r="D100" s="31"/>
      <c r="E100" s="31"/>
      <c r="F100" s="42"/>
      <c r="G100" s="42"/>
      <c r="H100" s="42"/>
      <c r="I100" s="42"/>
      <c r="J100" s="42"/>
      <c r="K100" s="42"/>
      <c r="L100" s="42"/>
      <c r="M100" s="42"/>
      <c r="N100" s="25">
        <f>N95+N96</f>
        <v>38523.591838204782</v>
      </c>
      <c r="O100" s="106" t="s">
        <v>12</v>
      </c>
      <c r="P100" s="91"/>
      <c r="Q100" s="44" t="s">
        <v>21</v>
      </c>
      <c r="R100" s="98" t="str">
        <f>CONCATENATE("&lt;/trkseg&gt;&lt;/trk&gt;")</f>
        <v>&lt;/trkseg&gt;&lt;/trk&gt;</v>
      </c>
    </row>
    <row r="101" spans="1:18" ht="15" thickBot="1" x14ac:dyDescent="0.4">
      <c r="A101" s="23"/>
      <c r="B101" s="105"/>
      <c r="C101" s="19" t="s">
        <v>39</v>
      </c>
      <c r="D101" s="33"/>
      <c r="E101" s="33"/>
      <c r="F101" s="40"/>
      <c r="G101" s="40"/>
      <c r="H101" s="40"/>
      <c r="I101" s="40"/>
      <c r="J101" s="40"/>
      <c r="K101" s="40"/>
      <c r="L101" s="40"/>
      <c r="M101" s="40"/>
      <c r="N101" s="16"/>
      <c r="O101" s="109"/>
      <c r="P101" s="92"/>
      <c r="Q101" s="44" t="str">
        <f>CONCATENATE("&lt;Placemark&gt;&lt;name&gt;",A106,"&lt;/name&gt;&lt;styleUrl&gt;#track001&lt;/styleUrl&gt;&lt;MultiGeometry&gt;&lt;LineString&gt;&lt;coordinates&gt;")</f>
        <v>&lt;Placemark&gt;&lt;name&gt;D_015&lt;/name&gt;&lt;styleUrl&gt;#track001&lt;/styleUrl&gt;&lt;MultiGeometry&gt;&lt;LineString&gt;&lt;coordinates&gt;</v>
      </c>
      <c r="R101" s="98" t="str">
        <f>CONCATENATE("&lt;trk&gt;&lt;name&gt;",A106,"&lt;/name&gt;&lt;trkseg&gt;")</f>
        <v>&lt;trk&gt;&lt;name&gt;D_015&lt;/name&gt;&lt;trkseg&gt;</v>
      </c>
    </row>
    <row r="102" spans="1:18" ht="15" thickBot="1" x14ac:dyDescent="0.4">
      <c r="A102" s="23"/>
      <c r="B102" s="101">
        <v>1</v>
      </c>
      <c r="C102" s="41" t="s">
        <v>13</v>
      </c>
      <c r="D102" s="26">
        <f>D103-$D$7*SIN(RADIANS(O103))</f>
        <v>4425586.4315139065</v>
      </c>
      <c r="E102" s="27">
        <f>E103-$D$7*COS(RADIANS(O103))</f>
        <v>4468437.1458815532</v>
      </c>
      <c r="F102" s="132" cm="1">
        <f t="array" ref="F102:G102">_xll.PE.trf.FromEpsgNoToEpsgNo($D$4,$D$5,D102,E102)</f>
        <v>20.122614090696832</v>
      </c>
      <c r="G102" s="134">
        <v>40.345901906338121</v>
      </c>
      <c r="H102" s="132" t="str" cm="1">
        <f t="array" ref="H102">_xll.PE.deg.AsString(F102)</f>
        <v>20 07 21</v>
      </c>
      <c r="I102" s="133" t="str" cm="1">
        <f t="array" ref="I102">_xll.PE.deg.AsString(G102)</f>
        <v>40 20 45</v>
      </c>
      <c r="J102" s="132" cm="1">
        <f t="array" ref="J102">_xll.PE.deg.FromString(H102)</f>
        <v>20.122499999999999</v>
      </c>
      <c r="K102" s="134" cm="1">
        <f t="array" ref="K102">_xll.PE.deg.FromString(I102)</f>
        <v>40.345833333333339</v>
      </c>
      <c r="L102" s="83">
        <f t="shared" ref="L102:L107" si="52">F102-J102</f>
        <v>1.1409069683310236E-4</v>
      </c>
      <c r="M102" s="79">
        <f t="shared" ref="M102:M107" si="53">G102-K102</f>
        <v>6.8573004782024327E-5</v>
      </c>
      <c r="N102" s="8">
        <f>SQRT((D103-D102)^2+(E103-E102)^2)</f>
        <v>3000.0000000004748</v>
      </c>
      <c r="O102" s="108">
        <f>IF(DEGREES(ATAN2(E103-E102,D103-D102))&lt;0,DEGREES(ATAN2(E103-E102,D103-D102))+360,(DEGREES(ATAN2(E103-E102,D103-D102))))</f>
        <v>127.76682287780757</v>
      </c>
      <c r="P102" s="94"/>
      <c r="Q102" s="44" t="str">
        <f t="shared" ref="Q102:Q107" si="54">CONCATENATE(TEXT(F102,"#.00000000"),",",TEXT(G102,"#.00000000"))</f>
        <v>20.12261409,40.34590191</v>
      </c>
      <c r="R102" s="98" t="str">
        <f t="shared" ref="R102:R107" si="55">CONCATENATE("&lt;trkpt lon=""",TEXT(F102,"#.00000000"),""" lat=""",TEXT(G102,"#.00000000"),"""","&gt;&lt;name&gt;S",TEXT(B102,"00"),"&lt;/name&gt;&lt;/trkpt&gt;")</f>
        <v>&lt;trkpt lon="20.12261409" lat="40.34590191"&gt;&lt;name&gt;S01&lt;/name&gt;&lt;/trkpt&gt;</v>
      </c>
    </row>
    <row r="103" spans="1:18" ht="15" thickBot="1" x14ac:dyDescent="0.4">
      <c r="A103" s="23"/>
      <c r="B103" s="102">
        <v>2</v>
      </c>
      <c r="C103" s="12" t="s">
        <v>5</v>
      </c>
      <c r="D103" s="37">
        <f>D104-$D$8*SIN(RADIANS(O104))</f>
        <v>4427957.9608650897</v>
      </c>
      <c r="E103" s="38">
        <f>E104-$D$8*COS(RADIANS(O104))</f>
        <v>4466599.7976466017</v>
      </c>
      <c r="F103" s="135" cm="1">
        <f t="array" ref="F103:G103">_xll.PE.trf.FromEpsgNoToEpsgNo($D$4,$D$5,D103,E103)</f>
        <v>20.150731246325268</v>
      </c>
      <c r="G103" s="137">
        <v>40.329565676373818</v>
      </c>
      <c r="H103" s="135" t="str" cm="1">
        <f t="array" ref="H103">_xll.PE.deg.AsString(F103)</f>
        <v>20 09 03</v>
      </c>
      <c r="I103" s="136" t="str" cm="1">
        <f t="array" ref="I103">_xll.PE.deg.AsString(G103)</f>
        <v>40 19 46</v>
      </c>
      <c r="J103" s="135" cm="1">
        <f t="array" ref="J103">_xll.PE.deg.FromString(H103)</f>
        <v>20.150833333333331</v>
      </c>
      <c r="K103" s="137" cm="1">
        <f t="array" ref="K103">_xll.PE.deg.FromString(I103)</f>
        <v>40.329444444444448</v>
      </c>
      <c r="L103" s="84">
        <f t="shared" si="52"/>
        <v>-1.0208700806302318E-4</v>
      </c>
      <c r="M103" s="80">
        <f t="shared" si="53"/>
        <v>1.2123192936996929E-4</v>
      </c>
      <c r="N103" s="39">
        <f>SQRT((D104-D103)^2+(E104-E103)^2)</f>
        <v>3999.9999999999527</v>
      </c>
      <c r="O103" s="89">
        <f>IF(DEGREES(ATAN2(E104-E103,D104-D103))&lt;0,DEGREES(ATAN2(E104-E103,D104-D103))+360,(DEGREES(ATAN2(E104-E103,D104-D103))))</f>
        <v>127.7668228778095</v>
      </c>
      <c r="P103" s="21">
        <v>2462</v>
      </c>
      <c r="Q103" s="44" t="str">
        <f t="shared" si="54"/>
        <v>20.15073125,40.32956568</v>
      </c>
      <c r="R103" s="98" t="str">
        <f t="shared" si="55"/>
        <v>&lt;trkpt lon="20.15073125" lat="40.32956568"&gt;&lt;name&gt;S02&lt;/name&gt;&lt;/trkpt&gt;</v>
      </c>
    </row>
    <row r="104" spans="1:18" ht="15" thickBot="1" x14ac:dyDescent="0.4">
      <c r="A104" s="23"/>
      <c r="B104" s="102">
        <v>3</v>
      </c>
      <c r="C104" s="12" t="s">
        <v>8</v>
      </c>
      <c r="D104" s="20">
        <v>4431120</v>
      </c>
      <c r="E104" s="7">
        <v>4464150</v>
      </c>
      <c r="F104" s="138" cm="1">
        <f t="array" ref="F104:G104">_xll.PE.trf.FromEpsgNoToEpsgNo($D$4,$D$5,D104,E104)</f>
        <v>20.188199773372965</v>
      </c>
      <c r="G104" s="140">
        <v>40.307773124662731</v>
      </c>
      <c r="H104" s="138" t="str" cm="1">
        <f t="array" ref="H104">_xll.PE.deg.AsString(F104)</f>
        <v>20 11 18</v>
      </c>
      <c r="I104" s="139" t="str" cm="1">
        <f t="array" ref="I104">_xll.PE.deg.AsString(G104)</f>
        <v>40 18 28</v>
      </c>
      <c r="J104" s="138" cm="1">
        <f t="array" ref="J104">_xll.PE.deg.FromString(H104)</f>
        <v>20.188333333333333</v>
      </c>
      <c r="K104" s="140" cm="1">
        <f t="array" ref="K104">_xll.PE.deg.FromString(I104)</f>
        <v>40.307777777777773</v>
      </c>
      <c r="L104" s="85">
        <f t="shared" si="52"/>
        <v>-1.3355996036779061E-4</v>
      </c>
      <c r="M104" s="81">
        <f t="shared" si="53"/>
        <v>-4.6531150417195022E-6</v>
      </c>
      <c r="N104" s="10">
        <f>SQRT((D105-D104)^2+(E105-E104)^2)</f>
        <v>30663.757108351874</v>
      </c>
      <c r="O104" s="93">
        <f>IF(DEGREES(ATAN2(E105-E104,D105-D104))&lt;0,DEGREES(ATAN2(E105-E104,D105-D104))+360,(DEGREES(ATAN2(E105-E104,D105-D104))))</f>
        <v>127.76682287780538</v>
      </c>
      <c r="P104" s="90" cm="1">
        <f t="array" ref="P104">_xll.PE.crs.GeodesicDistance($D$4,D103:E106)</f>
        <v>38662.187481098088</v>
      </c>
      <c r="Q104" s="44" t="str">
        <f t="shared" si="54"/>
        <v>20.18819977,40.30777312</v>
      </c>
      <c r="R104" s="98" t="str">
        <f t="shared" si="55"/>
        <v>&lt;trkpt lon="20.18819977" lat="40.30777312"&gt;&lt;name&gt;S03&lt;/name&gt;&lt;/trkpt&gt;</v>
      </c>
    </row>
    <row r="105" spans="1:18" ht="15" thickBot="1" x14ac:dyDescent="0.4">
      <c r="A105" s="23"/>
      <c r="B105" s="102">
        <v>4</v>
      </c>
      <c r="C105" s="12" t="s">
        <v>7</v>
      </c>
      <c r="D105" s="20">
        <v>4455360</v>
      </c>
      <c r="E105" s="7">
        <v>4445370</v>
      </c>
      <c r="F105" s="138" cm="1">
        <f t="array" ref="F105:G105">_xll.PE.trf.FromEpsgNoToEpsgNo($D$4,$D$5,D105,E105)</f>
        <v>20.474635225434131</v>
      </c>
      <c r="G105" s="140">
        <v>40.140301411599609</v>
      </c>
      <c r="H105" s="138" t="str" cm="1">
        <f t="array" ref="H105">_xll.PE.deg.AsString(F105)</f>
        <v>20 28 29</v>
      </c>
      <c r="I105" s="139" t="str" cm="1">
        <f t="array" ref="I105">_xll.PE.deg.AsString(G105)</f>
        <v>40 08 25</v>
      </c>
      <c r="J105" s="138" cm="1">
        <f t="array" ref="J105">_xll.PE.deg.FromString(H105)</f>
        <v>20.474722222222219</v>
      </c>
      <c r="K105" s="140" cm="1">
        <f t="array" ref="K105">_xll.PE.deg.FromString(I105)</f>
        <v>40.140277777777776</v>
      </c>
      <c r="L105" s="85">
        <f t="shared" si="52"/>
        <v>-8.6996788088100629E-5</v>
      </c>
      <c r="M105" s="81">
        <f t="shared" si="53"/>
        <v>2.3633821832902413E-5</v>
      </c>
      <c r="N105" s="39">
        <f>SQRT((D106-D105)^2+(E106-E105)^2)</f>
        <v>3999.9999999999527</v>
      </c>
      <c r="O105" s="89">
        <f>IF(DEGREES(ATAN2(E106-E105,D106-D105))&lt;0,DEGREES(ATAN2(E106-E105,D106-D105))+360,(DEGREES(ATAN2(E106-E105,D106-D105))))</f>
        <v>127.7668228778095</v>
      </c>
      <c r="P105" s="89"/>
      <c r="Q105" s="44" t="str">
        <f t="shared" si="54"/>
        <v>20.47463523,40.14030141</v>
      </c>
      <c r="R105" s="98" t="str">
        <f t="shared" si="55"/>
        <v>&lt;trkpt lon="20.47463523" lat="40.14030141"&gt;&lt;name&gt;S04&lt;/name&gt;&lt;/trkpt&gt;</v>
      </c>
    </row>
    <row r="106" spans="1:18" ht="15" thickBot="1" x14ac:dyDescent="0.4">
      <c r="A106" s="23" t="str">
        <f>C101</f>
        <v>D_015</v>
      </c>
      <c r="B106" s="102">
        <v>5</v>
      </c>
      <c r="C106" s="12" t="s">
        <v>5</v>
      </c>
      <c r="D106" s="37">
        <f>D105+$D$8*SIN(RADIANS(O104))</f>
        <v>4458522.0391349103</v>
      </c>
      <c r="E106" s="38">
        <f>E105+$D$8*COS(RADIANS(O104))</f>
        <v>4442920.2023533983</v>
      </c>
      <c r="F106" s="135" cm="1">
        <f t="array" ref="F106:G106">_xll.PE.trf.FromEpsgNoToEpsgNo($D$4,$D$5,D106,E106)</f>
        <v>20.511896311461349</v>
      </c>
      <c r="G106" s="137">
        <v>40.118401931638644</v>
      </c>
      <c r="H106" s="135" t="str" cm="1">
        <f t="array" ref="H106">_xll.PE.deg.AsString(F106)</f>
        <v>20 30 43</v>
      </c>
      <c r="I106" s="136" t="str" cm="1">
        <f t="array" ref="I106">_xll.PE.deg.AsString(G106)</f>
        <v>40 07 06</v>
      </c>
      <c r="J106" s="135" cm="1">
        <f t="array" ref="J106">_xll.PE.deg.FromString(H106)</f>
        <v>20.511944444444445</v>
      </c>
      <c r="K106" s="137" cm="1">
        <f t="array" ref="K106">_xll.PE.deg.FromString(I106)</f>
        <v>40.118333333333332</v>
      </c>
      <c r="L106" s="84">
        <f t="shared" si="52"/>
        <v>-4.813298309613856E-5</v>
      </c>
      <c r="M106" s="80">
        <f t="shared" si="53"/>
        <v>6.859830531169564E-5</v>
      </c>
      <c r="N106" s="9">
        <f>SQRT((D107-D106)^2+(E107-E106)^2)</f>
        <v>3000.0000000004748</v>
      </c>
      <c r="O106" s="110">
        <f>IF(DEGREES(ATAN2(E107-E106,D107-D106))&lt;0,DEGREES(ATAN2(E107-E106,D107-D106))+360,(DEGREES(ATAN2(E107-E106,D107-D106))))</f>
        <v>127.76682287780757</v>
      </c>
      <c r="P106" s="5">
        <v>4326</v>
      </c>
      <c r="Q106" s="44" t="str">
        <f t="shared" si="54"/>
        <v>20.51189631,40.11840193</v>
      </c>
      <c r="R106" s="98" t="str">
        <f t="shared" si="55"/>
        <v>&lt;trkpt lon="20.51189631" lat="40.11840193"&gt;&lt;name&gt;S05&lt;/name&gt;&lt;/trkpt&gt;</v>
      </c>
    </row>
    <row r="107" spans="1:18" ht="15" thickBot="1" x14ac:dyDescent="0.4">
      <c r="A107" s="23"/>
      <c r="B107" s="103">
        <v>6</v>
      </c>
      <c r="C107" s="13" t="s">
        <v>13</v>
      </c>
      <c r="D107" s="29">
        <f>D106+$D$7*SIN(RADIANS(O105))</f>
        <v>4460893.5684860935</v>
      </c>
      <c r="E107" s="30">
        <f>E106+$D$7*COS(RADIANS(O105))</f>
        <v>4441082.8541184468</v>
      </c>
      <c r="F107" s="141" cm="1">
        <f t="array" ref="F107:G107">_xll.PE.trf.FromEpsgNoToEpsgNo($D$4,$D$5,D107,E107)</f>
        <v>20.53982646884727</v>
      </c>
      <c r="G107" s="143">
        <v>40.101969310522684</v>
      </c>
      <c r="H107" s="141" t="str" cm="1">
        <f t="array" ref="H107">_xll.PE.deg.AsString(F107)</f>
        <v>20 32 23</v>
      </c>
      <c r="I107" s="142" t="str" cm="1">
        <f t="array" ref="I107">_xll.PE.deg.AsString(G107)</f>
        <v>40 06 07</v>
      </c>
      <c r="J107" s="141" cm="1">
        <f t="array" ref="J107">_xll.PE.deg.FromString(H107)</f>
        <v>20.539722222222224</v>
      </c>
      <c r="K107" s="143" cm="1">
        <f t="array" ref="K107">_xll.PE.deg.FromString(I107)</f>
        <v>40.101944444444449</v>
      </c>
      <c r="L107" s="86">
        <f t="shared" si="52"/>
        <v>1.0424662504604498E-4</v>
      </c>
      <c r="M107" s="82">
        <f t="shared" si="53"/>
        <v>2.4866078234708766E-5</v>
      </c>
      <c r="N107" s="14">
        <f>SUM(N103:N105)</f>
        <v>38663.757108351783</v>
      </c>
      <c r="O107" s="35" t="s">
        <v>11</v>
      </c>
      <c r="P107" s="87" cm="1">
        <f t="array" ref="P107">_xll.PE.crs.GeodesicDistance($D$5,J103:K106)</f>
        <v>38654.733582932749</v>
      </c>
      <c r="Q107" s="44" t="str">
        <f t="shared" si="54"/>
        <v>20.53982647,40.10196931</v>
      </c>
      <c r="R107" s="98" t="str">
        <f t="shared" si="55"/>
        <v>&lt;trkpt lon="20.53982647" lat="40.10196931"&gt;&lt;name&gt;S06&lt;/name&gt;&lt;/trkpt&gt;</v>
      </c>
    </row>
    <row r="108" spans="1:18" ht="15" thickBot="1" x14ac:dyDescent="0.4">
      <c r="A108" s="23"/>
      <c r="B108" s="105"/>
      <c r="C108" s="17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25">
        <f>N104</f>
        <v>30663.757108351874</v>
      </c>
      <c r="O108" s="106" t="s">
        <v>12</v>
      </c>
      <c r="P108" s="91"/>
      <c r="Q108" s="44" t="s">
        <v>21</v>
      </c>
      <c r="R108" s="98" t="str">
        <f>CONCATENATE("&lt;/trkseg&gt;&lt;/trk&gt;")</f>
        <v>&lt;/trkseg&gt;&lt;/trk&gt;</v>
      </c>
    </row>
    <row r="109" spans="1:18" ht="15" thickBot="1" x14ac:dyDescent="0.4">
      <c r="A109" s="23"/>
      <c r="B109" s="105"/>
      <c r="C109" s="19" t="s">
        <v>40</v>
      </c>
      <c r="D109" s="33"/>
      <c r="E109" s="33"/>
      <c r="F109" s="40"/>
      <c r="G109" s="40"/>
      <c r="H109" s="40"/>
      <c r="I109" s="40"/>
      <c r="J109" s="40"/>
      <c r="K109" s="40"/>
      <c r="L109" s="40"/>
      <c r="M109" s="40"/>
      <c r="N109" s="16"/>
      <c r="O109" s="109"/>
      <c r="P109" s="92"/>
      <c r="Q109" s="44" t="str">
        <f>CONCATENATE("&lt;Placemark&gt;&lt;name&gt;",A114,"&lt;/name&gt;&lt;styleUrl&gt;#track001&lt;/styleUrl&gt;&lt;MultiGeometry&gt;&lt;LineString&gt;&lt;coordinates&gt;")</f>
        <v>&lt;Placemark&gt;&lt;name&gt;D_016&lt;/name&gt;&lt;styleUrl&gt;#track001&lt;/styleUrl&gt;&lt;MultiGeometry&gt;&lt;LineString&gt;&lt;coordinates&gt;</v>
      </c>
      <c r="R109" s="98" t="str">
        <f>CONCATENATE("&lt;trk&gt;&lt;name&gt;",A114,"&lt;/name&gt;&lt;trkseg&gt;")</f>
        <v>&lt;trk&gt;&lt;name&gt;D_016&lt;/name&gt;&lt;trkseg&gt;</v>
      </c>
    </row>
    <row r="110" spans="1:18" ht="15" thickBot="1" x14ac:dyDescent="0.4">
      <c r="A110" s="23"/>
      <c r="B110" s="101">
        <v>1</v>
      </c>
      <c r="C110" s="41" t="s">
        <v>13</v>
      </c>
      <c r="D110" s="26">
        <f>D111-$D$7*SIN(RADIANS(O111))</f>
        <v>4413360.1537933266</v>
      </c>
      <c r="E110" s="27">
        <f>E111-$D$7*COS(RADIANS(O111))</f>
        <v>4456901.3573793834</v>
      </c>
      <c r="F110" s="132" cm="1">
        <f t="array" ref="F110:G110">_xll.PE.trf.FromEpsgNoToEpsgNo($D$4,$D$5,D110,E110)</f>
        <v>19.980295097411723</v>
      </c>
      <c r="G110" s="134">
        <v>40.240849828416813</v>
      </c>
      <c r="H110" s="132" t="str" cm="1">
        <f t="array" ref="H110">_xll.PE.deg.AsString(F110)</f>
        <v>19 58 49</v>
      </c>
      <c r="I110" s="133" t="str" cm="1">
        <f t="array" ref="I110">_xll.PE.deg.AsString(G110)</f>
        <v>40 14 27</v>
      </c>
      <c r="J110" s="132" cm="1">
        <f t="array" ref="J110">_xll.PE.deg.FromString(H110)</f>
        <v>19.980277777777776</v>
      </c>
      <c r="K110" s="134" cm="1">
        <f t="array" ref="K110">_xll.PE.deg.FromString(I110)</f>
        <v>40.240833333333335</v>
      </c>
      <c r="L110" s="83">
        <f t="shared" ref="L110:L115" si="56">F110-J110</f>
        <v>1.7319633947465718E-5</v>
      </c>
      <c r="M110" s="79">
        <f t="shared" ref="M110:M115" si="57">G110-K110</f>
        <v>1.6495083478673678E-5</v>
      </c>
      <c r="N110" s="8">
        <f>SQRT((D111-D110)^2+(E111-E110)^2)</f>
        <v>2999.9999999998699</v>
      </c>
      <c r="O110" s="108">
        <f>IF(DEGREES(ATAN2(E111-E110,D111-D110))&lt;0,DEGREES(ATAN2(E111-E110,D111-D110))+360,(DEGREES(ATAN2(E111-E110,D111-D110))))</f>
        <v>138.48354071791988</v>
      </c>
      <c r="P110" s="89"/>
      <c r="Q110" s="44" t="str">
        <f t="shared" ref="Q110:Q115" si="58">CONCATENATE(TEXT(F110,"#.00000000"),",",TEXT(G110,"#.00000000"))</f>
        <v>19.98029510,40.24084983</v>
      </c>
      <c r="R110" s="98" t="str">
        <f t="shared" ref="R110:R115" si="59">CONCATENATE("&lt;trkpt lon=""",TEXT(F110,"#.00000000"),""" lat=""",TEXT(G110,"#.00000000"),"""","&gt;&lt;name&gt;S",TEXT(B110,"00"),"&lt;/name&gt;&lt;/trkpt&gt;")</f>
        <v>&lt;trkpt lon="19.98029510" lat="40.24084983"&gt;&lt;name&gt;S01&lt;/name&gt;&lt;/trkpt&gt;</v>
      </c>
    </row>
    <row r="111" spans="1:18" ht="15" thickBot="1" x14ac:dyDescent="0.4">
      <c r="A111" s="23"/>
      <c r="B111" s="102">
        <v>2</v>
      </c>
      <c r="C111" s="12" t="s">
        <v>5</v>
      </c>
      <c r="D111" s="37">
        <f>D112-$D$8*SIN(RADIANS(O112))</f>
        <v>4415348.6593104722</v>
      </c>
      <c r="E111" s="38">
        <f>E112-$D$8*COS(RADIANS(O112))</f>
        <v>4454655.0613596477</v>
      </c>
      <c r="F111" s="135" cm="1">
        <f t="array" ref="F111:G111">_xll.PE.trf.FromEpsgNoToEpsgNo($D$4,$D$5,D111,E111)</f>
        <v>20.003956316830397</v>
      </c>
      <c r="G111" s="137">
        <v>40.220826808208159</v>
      </c>
      <c r="H111" s="135" t="str" cm="1">
        <f t="array" ref="H111">_xll.PE.deg.AsString(F111)</f>
        <v>20 00 14</v>
      </c>
      <c r="I111" s="136" t="str" cm="1">
        <f t="array" ref="I111">_xll.PE.deg.AsString(G111)</f>
        <v>40 13 15</v>
      </c>
      <c r="J111" s="135" cm="1">
        <f t="array" ref="J111">_xll.PE.deg.FromString(H111)</f>
        <v>20.003888888888888</v>
      </c>
      <c r="K111" s="137" cm="1">
        <f t="array" ref="K111">_xll.PE.deg.FromString(I111)</f>
        <v>40.220833333333339</v>
      </c>
      <c r="L111" s="84">
        <f t="shared" si="56"/>
        <v>6.7427941509379252E-5</v>
      </c>
      <c r="M111" s="80">
        <f t="shared" si="57"/>
        <v>-6.5251251797349141E-6</v>
      </c>
      <c r="N111" s="39">
        <f>SQRT((D112-D111)^2+(E112-E111)^2)</f>
        <v>4000.0000000000323</v>
      </c>
      <c r="O111" s="89">
        <f>IF(DEGREES(ATAN2(E112-E111,D112-D111))&lt;0,DEGREES(ATAN2(E112-E111,D112-D111))+360,(DEGREES(ATAN2(E112-E111,D112-D111))))</f>
        <v>138.48354071791653</v>
      </c>
      <c r="P111" s="21">
        <v>2462</v>
      </c>
      <c r="Q111" s="44" t="str">
        <f t="shared" si="58"/>
        <v>20.00395632,40.22082681</v>
      </c>
      <c r="R111" s="98" t="str">
        <f t="shared" si="59"/>
        <v>&lt;trkpt lon="20.00395632" lat="40.22082681"&gt;&lt;name&gt;S02&lt;/name&gt;&lt;/trkpt&gt;</v>
      </c>
    </row>
    <row r="112" spans="1:18" ht="15" thickBot="1" x14ac:dyDescent="0.4">
      <c r="A112" s="23"/>
      <c r="B112" s="102">
        <v>3</v>
      </c>
      <c r="C112" s="12" t="s">
        <v>8</v>
      </c>
      <c r="D112" s="20">
        <v>4418000</v>
      </c>
      <c r="E112" s="7">
        <v>4451660</v>
      </c>
      <c r="F112" s="138" cm="1">
        <f t="array" ref="F112:G112">_xll.PE.trf.FromEpsgNoToEpsgNo($D$4,$D$5,D112,E112)</f>
        <v>20.035482907483946</v>
      </c>
      <c r="G112" s="140">
        <v>40.194121561226794</v>
      </c>
      <c r="H112" s="138" t="str" cm="1">
        <f t="array" ref="H112">_xll.PE.deg.AsString(F112)</f>
        <v>20 02 08</v>
      </c>
      <c r="I112" s="139" t="str" cm="1">
        <f t="array" ref="I112">_xll.PE.deg.AsString(G112)</f>
        <v>40 11 39</v>
      </c>
      <c r="J112" s="138" cm="1">
        <f t="array" ref="J112">_xll.PE.deg.FromString(H112)</f>
        <v>20.035555555555558</v>
      </c>
      <c r="K112" s="140" cm="1">
        <f t="array" ref="K112">_xll.PE.deg.FromString(I112)</f>
        <v>40.194166666666661</v>
      </c>
      <c r="L112" s="85">
        <f t="shared" si="56"/>
        <v>-7.2648071611780551E-5</v>
      </c>
      <c r="M112" s="81">
        <f t="shared" si="57"/>
        <v>-4.5105439866688357E-5</v>
      </c>
      <c r="N112" s="10">
        <f>SQRT((D113-D112)^2+(E113-E112)^2)</f>
        <v>28732.63338087896</v>
      </c>
      <c r="O112" s="93">
        <f>IF(DEGREES(ATAN2(E113-E112,D113-D112))&lt;0,DEGREES(ATAN2(E113-E112,D113-D112))+360,(DEGREES(ATAN2(E113-E112,D113-D112))))</f>
        <v>138.48354071792221</v>
      </c>
      <c r="P112" s="90" cm="1">
        <f t="array" ref="P112">_xll.PE.crs.GeodesicDistance($D$4,D111:E114)</f>
        <v>36730.236939526818</v>
      </c>
      <c r="Q112" s="44" t="str">
        <f t="shared" si="58"/>
        <v>20.03548291,40.19412156</v>
      </c>
      <c r="R112" s="98" t="str">
        <f t="shared" si="59"/>
        <v>&lt;trkpt lon="20.03548291" lat="40.19412156"&gt;&lt;name&gt;S03&lt;/name&gt;&lt;/trkpt&gt;</v>
      </c>
    </row>
    <row r="113" spans="1:18" ht="15" thickBot="1" x14ac:dyDescent="0.4">
      <c r="A113" s="23"/>
      <c r="B113" s="102">
        <v>4</v>
      </c>
      <c r="C113" s="12" t="s">
        <v>7</v>
      </c>
      <c r="D113" s="20">
        <v>4437045</v>
      </c>
      <c r="E113" s="7">
        <v>4430146</v>
      </c>
      <c r="F113" s="138" cm="1">
        <f t="array" ref="F113:G113">_xll.PE.trf.FromEpsgNoToEpsgNo($D$4,$D$5,D113,E113)</f>
        <v>20.261217584877354</v>
      </c>
      <c r="G113" s="140">
        <v>40.002030742739421</v>
      </c>
      <c r="H113" s="138" t="str" cm="1">
        <f t="array" ref="H113">_xll.PE.deg.AsString(F113)</f>
        <v>20 15 40</v>
      </c>
      <c r="I113" s="139" t="str" cm="1">
        <f t="array" ref="I113">_xll.PE.deg.AsString(G113)</f>
        <v>40 00 07</v>
      </c>
      <c r="J113" s="138" cm="1">
        <f t="array" ref="J113">_xll.PE.deg.FromString(H113)</f>
        <v>20.261111111111113</v>
      </c>
      <c r="K113" s="140" cm="1">
        <f t="array" ref="K113">_xll.PE.deg.FromString(I113)</f>
        <v>40.001944444444447</v>
      </c>
      <c r="L113" s="85">
        <f t="shared" si="56"/>
        <v>1.0647376624106641E-4</v>
      </c>
      <c r="M113" s="81">
        <f t="shared" si="57"/>
        <v>8.6298294974085366E-5</v>
      </c>
      <c r="N113" s="39">
        <f>SQRT((D114-D113)^2+(E114-E113)^2)</f>
        <v>4000.0000000000323</v>
      </c>
      <c r="O113" s="89">
        <f>IF(DEGREES(ATAN2(E114-E113,D114-D113))&lt;0,DEGREES(ATAN2(E114-E113,D114-D113))+360,(DEGREES(ATAN2(E114-E113,D114-D113))))</f>
        <v>138.48354071791653</v>
      </c>
      <c r="P113" s="89"/>
      <c r="Q113" s="44" t="str">
        <f t="shared" si="58"/>
        <v>20.26121758,40.00203074</v>
      </c>
      <c r="R113" s="98" t="str">
        <f t="shared" si="59"/>
        <v>&lt;trkpt lon="20.26121758" lat="40.00203074"&gt;&lt;name&gt;S04&lt;/name&gt;&lt;/trkpt&gt;</v>
      </c>
    </row>
    <row r="114" spans="1:18" ht="15" thickBot="1" x14ac:dyDescent="0.4">
      <c r="A114" s="23" t="str">
        <f>C109</f>
        <v>D_016</v>
      </c>
      <c r="B114" s="102">
        <v>5</v>
      </c>
      <c r="C114" s="12" t="s">
        <v>5</v>
      </c>
      <c r="D114" s="37">
        <f>D113+$D$8*SIN(RADIANS(O112))</f>
        <v>4439696.3406895278</v>
      </c>
      <c r="E114" s="38">
        <f>E113+$D$8*COS(RADIANS(O112))</f>
        <v>4427150.9386403523</v>
      </c>
      <c r="F114" s="135" cm="1">
        <f t="array" ref="F114:G114">_xll.PE.trf.FromEpsgNoToEpsgNo($D$4,$D$5,D114,E114)</f>
        <v>20.292542535155217</v>
      </c>
      <c r="G114" s="137">
        <v>39.975252625030251</v>
      </c>
      <c r="H114" s="135" t="str" cm="1">
        <f t="array" ref="H114">_xll.PE.deg.AsString(F114)</f>
        <v>20 17 33</v>
      </c>
      <c r="I114" s="136" t="str" cm="1">
        <f t="array" ref="I114">_xll.PE.deg.AsString(G114)</f>
        <v>39 58 31</v>
      </c>
      <c r="J114" s="135" cm="1">
        <f t="array" ref="J114">_xll.PE.deg.FromString(H114)</f>
        <v>20.2925</v>
      </c>
      <c r="K114" s="137" cm="1">
        <f t="array" ref="K114">_xll.PE.deg.FromString(I114)</f>
        <v>39.975277777777777</v>
      </c>
      <c r="L114" s="84">
        <f t="shared" si="56"/>
        <v>4.2535155216683052E-5</v>
      </c>
      <c r="M114" s="80">
        <f t="shared" si="57"/>
        <v>-2.5152747525680752E-5</v>
      </c>
      <c r="N114" s="9">
        <f>SQRT((D115-D114)^2+(E115-E114)^2)</f>
        <v>2999.9999999998699</v>
      </c>
      <c r="O114" s="110">
        <f>IF(DEGREES(ATAN2(E115-E114,D115-D114))&lt;0,DEGREES(ATAN2(E115-E114,D115-D114))+360,(DEGREES(ATAN2(E115-E114,D115-D114))))</f>
        <v>138.48354071791988</v>
      </c>
      <c r="P114" s="5">
        <v>4326</v>
      </c>
      <c r="Q114" s="44" t="str">
        <f t="shared" si="58"/>
        <v>20.29254254,39.97525263</v>
      </c>
      <c r="R114" s="98" t="str">
        <f t="shared" si="59"/>
        <v>&lt;trkpt lon="20.29254254" lat="39.97525263"&gt;&lt;name&gt;S05&lt;/name&gt;&lt;/trkpt&gt;</v>
      </c>
    </row>
    <row r="115" spans="1:18" ht="15" thickBot="1" x14ac:dyDescent="0.4">
      <c r="A115" s="23"/>
      <c r="B115" s="103">
        <v>6</v>
      </c>
      <c r="C115" s="13" t="s">
        <v>13</v>
      </c>
      <c r="D115" s="29">
        <f>D114+$D$7*SIN(RADIANS(O113))</f>
        <v>4441684.8462066734</v>
      </c>
      <c r="E115" s="30">
        <f>E114+$D$7*COS(RADIANS(O113))</f>
        <v>4424904.6426206166</v>
      </c>
      <c r="F115" s="141" cm="1">
        <f t="array" ref="F115:G115">_xll.PE.trf.FromEpsgNoToEpsgNo($D$4,$D$5,D115,E115)</f>
        <v>20.316020182948577</v>
      </c>
      <c r="G115" s="143">
        <v>39.955163263756695</v>
      </c>
      <c r="H115" s="141" t="str" cm="1">
        <f t="array" ref="H115">_xll.PE.deg.AsString(F115)</f>
        <v>20 18 58</v>
      </c>
      <c r="I115" s="142" t="str" cm="1">
        <f t="array" ref="I115">_xll.PE.deg.AsString(G115)</f>
        <v>39 57 19</v>
      </c>
      <c r="J115" s="141" cm="1">
        <f t="array" ref="J115">_xll.PE.deg.FromString(H115)</f>
        <v>20.316111111111113</v>
      </c>
      <c r="K115" s="143" cm="1">
        <f t="array" ref="K115">_xll.PE.deg.FromString(I115)</f>
        <v>39.955277777777781</v>
      </c>
      <c r="L115" s="86">
        <f t="shared" si="56"/>
        <v>-9.0928162535419688E-5</v>
      </c>
      <c r="M115" s="82">
        <f t="shared" si="57"/>
        <v>-1.1451402108519915E-4</v>
      </c>
      <c r="N115" s="14">
        <f>SUM(N111:N113)</f>
        <v>36732.633380879022</v>
      </c>
      <c r="O115" s="35" t="s">
        <v>11</v>
      </c>
      <c r="P115" s="90" cm="1">
        <f t="array" ref="P115">_xll.PE.crs.GeodesicDistance($D$5,J111:K114)</f>
        <v>36729.862302124151</v>
      </c>
      <c r="Q115" s="44" t="str">
        <f t="shared" si="58"/>
        <v>20.31602018,39.95516326</v>
      </c>
      <c r="R115" s="98" t="str">
        <f t="shared" si="59"/>
        <v>&lt;trkpt lon="20.31602018" lat="39.95516326"&gt;&lt;name&gt;S06&lt;/name&gt;&lt;/trkpt&gt;</v>
      </c>
    </row>
    <row r="116" spans="1:18" ht="15" thickBot="1" x14ac:dyDescent="0.4">
      <c r="A116" s="23"/>
      <c r="B116" s="105"/>
      <c r="C116" s="17"/>
      <c r="D116" s="31"/>
      <c r="E116" s="31"/>
      <c r="F116" s="42"/>
      <c r="G116" s="42"/>
      <c r="H116" s="42"/>
      <c r="I116" s="42"/>
      <c r="J116" s="42"/>
      <c r="K116" s="42"/>
      <c r="L116" s="42"/>
      <c r="M116" s="42"/>
      <c r="N116" s="25">
        <f>N112</f>
        <v>28732.63338087896</v>
      </c>
      <c r="O116" s="106" t="s">
        <v>12</v>
      </c>
      <c r="P116" s="91"/>
      <c r="Q116" s="44" t="s">
        <v>21</v>
      </c>
      <c r="R116" s="98" t="str">
        <f>CONCATENATE("&lt;/trkseg&gt;&lt;/trk&gt;")</f>
        <v>&lt;/trkseg&gt;&lt;/trk&gt;</v>
      </c>
    </row>
    <row r="117" spans="1:18" ht="15" thickBot="1" x14ac:dyDescent="0.4">
      <c r="A117" s="23"/>
      <c r="B117" s="105"/>
      <c r="C117" s="19" t="s">
        <v>41</v>
      </c>
      <c r="D117" s="33"/>
      <c r="E117" s="33"/>
      <c r="F117" s="40"/>
      <c r="G117" s="40"/>
      <c r="H117" s="40"/>
      <c r="I117" s="40"/>
      <c r="J117" s="40"/>
      <c r="K117" s="40"/>
      <c r="L117" s="40"/>
      <c r="M117" s="40"/>
      <c r="N117" s="16"/>
      <c r="O117" s="109"/>
      <c r="P117" s="92"/>
      <c r="Q117" s="44" t="str">
        <f>CONCATENATE("&lt;Placemark&gt;&lt;name&gt;",A122,"&lt;/name&gt;&lt;styleUrl&gt;#track001&lt;/styleUrl&gt;&lt;MultiGeometry&gt;&lt;LineString&gt;&lt;coordinates&gt;")</f>
        <v>&lt;Placemark&gt;&lt;name&gt;D_017&lt;/name&gt;&lt;styleUrl&gt;#track001&lt;/styleUrl&gt;&lt;MultiGeometry&gt;&lt;LineString&gt;&lt;coordinates&gt;</v>
      </c>
      <c r="R117" s="98" t="str">
        <f>CONCATENATE("&lt;trk&gt;&lt;name&gt;",A122,"&lt;/name&gt;&lt;trkseg&gt;")</f>
        <v>&lt;trk&gt;&lt;name&gt;D_017&lt;/name&gt;&lt;trkseg&gt;</v>
      </c>
    </row>
    <row r="118" spans="1:18" ht="15" thickBot="1" x14ac:dyDescent="0.4">
      <c r="A118" s="23"/>
      <c r="B118" s="101">
        <v>1</v>
      </c>
      <c r="C118" s="41" t="s">
        <v>13</v>
      </c>
      <c r="D118" s="26">
        <f>D119-$D$7*SIN(RADIANS(O119))</f>
        <v>4428210.5100967251</v>
      </c>
      <c r="E118" s="27">
        <f>E119-$D$7*COS(RADIANS(O119))</f>
        <v>4452852.3097855086</v>
      </c>
      <c r="F118" s="132" cm="1">
        <f t="array" ref="F118:G118">_xll.PE.trf.FromEpsgNoToEpsgNo($D$4,$D$5,D118,E118)</f>
        <v>20.155244386653319</v>
      </c>
      <c r="G118" s="134">
        <v>40.205795085677487</v>
      </c>
      <c r="H118" s="132" t="str" cm="1">
        <f t="array" ref="H118">_xll.PE.deg.AsString(F118)</f>
        <v>20 09 19</v>
      </c>
      <c r="I118" s="133" t="str" cm="1">
        <f t="array" ref="I118">_xll.PE.deg.AsString(G118)</f>
        <v>40 12 21</v>
      </c>
      <c r="J118" s="132" cm="1">
        <f t="array" ref="J118">_xll.PE.deg.FromString(H118)</f>
        <v>20.155277777777776</v>
      </c>
      <c r="K118" s="134" cm="1">
        <f t="array" ref="K118">_xll.PE.deg.FromString(I118)</f>
        <v>40.205833333333338</v>
      </c>
      <c r="L118" s="83">
        <f t="shared" ref="L118:L123" si="60">F118-J118</f>
        <v>-3.3391124457438082E-5</v>
      </c>
      <c r="M118" s="79">
        <f t="shared" ref="M118:M123" si="61">G118-K118</f>
        <v>-3.824765585136447E-5</v>
      </c>
      <c r="N118" s="8">
        <f>SQRT((D119-D118)^2+(E119-E118)^2)</f>
        <v>3000.0000000000855</v>
      </c>
      <c r="O118" s="108">
        <f>IF(DEGREES(ATAN2(E119-E118,D119-D118))&lt;0,DEGREES(ATAN2(E119-E118,D119-D118))+360,(DEGREES(ATAN2(E119-E118,D119-D118))))</f>
        <v>54.497692329086064</v>
      </c>
      <c r="P118" s="94"/>
      <c r="Q118" s="44" t="str">
        <f t="shared" ref="Q118:Q123" si="62">CONCATENATE(TEXT(F118,"#.00000000"),",",TEXT(G118,"#.00000000"))</f>
        <v>20.15524439,40.20579509</v>
      </c>
      <c r="R118" s="98" t="str">
        <f t="shared" ref="R118:R123" si="63">CONCATENATE("&lt;trkpt lon=""",TEXT(F118,"#.00000000"),""" lat=""",TEXT(G118,"#.00000000"),"""","&gt;&lt;name&gt;S",TEXT(B118,"00"),"&lt;/name&gt;&lt;/trkpt&gt;")</f>
        <v>&lt;trkpt lon="20.15524439" lat="40.20579509"&gt;&lt;name&gt;S01&lt;/name&gt;&lt;/trkpt&gt;</v>
      </c>
    </row>
    <row r="119" spans="1:18" ht="15" thickBot="1" x14ac:dyDescent="0.4">
      <c r="A119" s="23"/>
      <c r="B119" s="102">
        <v>2</v>
      </c>
      <c r="C119" s="12" t="s">
        <v>5</v>
      </c>
      <c r="D119" s="37">
        <f>D120-$D$8*SIN(RADIANS(O120))</f>
        <v>4430652.7864838429</v>
      </c>
      <c r="E119" s="38">
        <f>E120-$D$8*COS(RADIANS(O120))</f>
        <v>4454594.5170202907</v>
      </c>
      <c r="F119" s="135" cm="1">
        <f t="array" ref="F119:G119">_xll.PE.trf.FromEpsgNoToEpsgNo($D$4,$D$5,D119,E119)</f>
        <v>20.183739389448178</v>
      </c>
      <c r="G119" s="137">
        <v>40.22168924313722</v>
      </c>
      <c r="H119" s="135" t="str" cm="1">
        <f t="array" ref="H119">_xll.PE.deg.AsString(F119)</f>
        <v>20 11 01</v>
      </c>
      <c r="I119" s="136" t="str" cm="1">
        <f t="array" ref="I119">_xll.PE.deg.AsString(G119)</f>
        <v>40 13 18</v>
      </c>
      <c r="J119" s="135" cm="1">
        <f t="array" ref="J119">_xll.PE.deg.FromString(H119)</f>
        <v>20.183611111111112</v>
      </c>
      <c r="K119" s="137" cm="1">
        <f t="array" ref="K119">_xll.PE.deg.FromString(I119)</f>
        <v>40.221666666666671</v>
      </c>
      <c r="L119" s="84">
        <f t="shared" si="60"/>
        <v>1.2827833706552383E-4</v>
      </c>
      <c r="M119" s="80">
        <f t="shared" si="61"/>
        <v>2.257647054904055E-5</v>
      </c>
      <c r="N119" s="39">
        <f>SQRT((D120-D119)^2+(E120-E119)^2)</f>
        <v>4000.0000000001864</v>
      </c>
      <c r="O119" s="89">
        <f>IF(DEGREES(ATAN2(E120-E119,D120-D119))&lt;0,DEGREES(ATAN2(E120-E119,D120-D119))+360,(DEGREES(ATAN2(E120-E119,D120-D119))))</f>
        <v>54.49769232909226</v>
      </c>
      <c r="P119" s="21">
        <v>2462</v>
      </c>
      <c r="Q119" s="44" t="str">
        <f t="shared" si="62"/>
        <v>20.18373939,40.22168924</v>
      </c>
      <c r="R119" s="98" t="str">
        <f t="shared" si="63"/>
        <v>&lt;trkpt lon="20.18373939" lat="40.22168924"&gt;&lt;name&gt;S02&lt;/name&gt;&lt;/trkpt&gt;</v>
      </c>
    </row>
    <row r="120" spans="1:18" ht="15" thickBot="1" x14ac:dyDescent="0.4">
      <c r="A120" s="23"/>
      <c r="B120" s="102">
        <v>3</v>
      </c>
      <c r="C120" s="12" t="s">
        <v>8</v>
      </c>
      <c r="D120" s="20">
        <v>4433909.1550000003</v>
      </c>
      <c r="E120" s="7">
        <v>4456917.46</v>
      </c>
      <c r="F120" s="138" cm="1">
        <f t="array" ref="F120:G120">_xll.PE.trf.FromEpsgNoToEpsgNo($D$4,$D$5,D120,E120)</f>
        <v>20.22175353346173</v>
      </c>
      <c r="G120" s="140">
        <v>40.2428706698594</v>
      </c>
      <c r="H120" s="138" t="str" cm="1">
        <f t="array" ref="H120">_xll.PE.deg.AsString(F120)</f>
        <v>20 13 18</v>
      </c>
      <c r="I120" s="139" t="str" cm="1">
        <f t="array" ref="I120">_xll.PE.deg.AsString(G120)</f>
        <v>40 14 34</v>
      </c>
      <c r="J120" s="138" cm="1">
        <f t="array" ref="J120">_xll.PE.deg.FromString(H120)</f>
        <v>20.221666666666664</v>
      </c>
      <c r="K120" s="140" cm="1">
        <f t="array" ref="K120">_xll.PE.deg.FromString(I120)</f>
        <v>40.242777777777782</v>
      </c>
      <c r="L120" s="85">
        <f t="shared" si="60"/>
        <v>8.6866795065532187E-5</v>
      </c>
      <c r="M120" s="81">
        <f t="shared" si="61"/>
        <v>9.2892081617890199E-5</v>
      </c>
      <c r="N120" s="10">
        <f>SQRT((D121-D120)^2+(E121-E120)^2)</f>
        <v>8440.4453192636811</v>
      </c>
      <c r="O120" s="93">
        <f>IF(DEGREES(ATAN2(E121-E120,D121-D120))&lt;0,DEGREES(ATAN2(E121-E120,D121-D120))+360,(DEGREES(ATAN2(E121-E120,D121-D120))))</f>
        <v>54.497692329097134</v>
      </c>
      <c r="P120" s="90" cm="1">
        <f t="array" ref="P120">_xll.PE.crs.GeodesicDistance($D$4,D119:E122)</f>
        <v>16439.648223364071</v>
      </c>
      <c r="Q120" s="44" t="str">
        <f t="shared" si="62"/>
        <v>20.22175353,40.24287067</v>
      </c>
      <c r="R120" s="98" t="str">
        <f t="shared" si="63"/>
        <v>&lt;trkpt lon="20.22175353" lat="40.24287067"&gt;&lt;name&gt;S03&lt;/name&gt;&lt;/trkpt&gt;</v>
      </c>
    </row>
    <row r="121" spans="1:18" ht="15" thickBot="1" x14ac:dyDescent="0.4">
      <c r="A121" s="23"/>
      <c r="B121" s="102">
        <v>4</v>
      </c>
      <c r="C121" s="12" t="s">
        <v>7</v>
      </c>
      <c r="D121" s="20">
        <v>4440780.4550999999</v>
      </c>
      <c r="E121" s="7">
        <v>4461819.1283</v>
      </c>
      <c r="F121" s="138" cm="1">
        <f t="array" ref="F121:G121">_xll.PE.trf.FromEpsgNoToEpsgNo($D$4,$D$5,D121,E121)</f>
        <v>20.302045697642804</v>
      </c>
      <c r="G121" s="140">
        <v>40.287525281732698</v>
      </c>
      <c r="H121" s="138" t="str" cm="1">
        <f t="array" ref="H121">_xll.PE.deg.AsString(F121)</f>
        <v>20 18 07</v>
      </c>
      <c r="I121" s="139" t="str" cm="1">
        <f t="array" ref="I121">_xll.PE.deg.AsString(G121)</f>
        <v>40 17 15</v>
      </c>
      <c r="J121" s="138" cm="1">
        <f t="array" ref="J121">_xll.PE.deg.FromString(H121)</f>
        <v>20.301944444444445</v>
      </c>
      <c r="K121" s="140" cm="1">
        <f t="array" ref="K121">_xll.PE.deg.FromString(I121)</f>
        <v>40.287500000000001</v>
      </c>
      <c r="L121" s="85">
        <f t="shared" si="60"/>
        <v>1.0125319835907476E-4</v>
      </c>
      <c r="M121" s="81">
        <f t="shared" si="61"/>
        <v>2.5281732696669224E-5</v>
      </c>
      <c r="N121" s="39">
        <f>SQRT((D122-D121)^2+(E122-E121)^2)</f>
        <v>4000.0000000001864</v>
      </c>
      <c r="O121" s="89">
        <f>IF(DEGREES(ATAN2(E122-E121,D122-D121))&lt;0,DEGREES(ATAN2(E122-E121,D122-D121))+360,(DEGREES(ATAN2(E122-E121,D122-D121))))</f>
        <v>54.49769232909226</v>
      </c>
      <c r="P121" s="89"/>
      <c r="Q121" s="44" t="str">
        <f t="shared" si="62"/>
        <v>20.30204570,40.28752528</v>
      </c>
      <c r="R121" s="98" t="str">
        <f t="shared" si="63"/>
        <v>&lt;trkpt lon="20.30204570" lat="40.28752528"&gt;&lt;name&gt;S04&lt;/name&gt;&lt;/trkpt&gt;</v>
      </c>
    </row>
    <row r="122" spans="1:18" ht="15" thickBot="1" x14ac:dyDescent="0.4">
      <c r="A122" s="23" t="str">
        <f>C117</f>
        <v>D_017</v>
      </c>
      <c r="B122" s="102">
        <v>5</v>
      </c>
      <c r="C122" s="12" t="s">
        <v>5</v>
      </c>
      <c r="D122" s="37">
        <f>D121+$D$8*SIN(RADIANS(O120))</f>
        <v>4444036.8236161573</v>
      </c>
      <c r="E122" s="38">
        <f>E121+$D$8*COS(RADIANS(O120))</f>
        <v>4464142.0712797092</v>
      </c>
      <c r="F122" s="135" cm="1">
        <f t="array" ref="F122:G122">_xll.PE.trf.FromEpsgNoToEpsgNo($D$4,$D$5,D122,E122)</f>
        <v>20.340133885134307</v>
      </c>
      <c r="G122" s="137">
        <v>40.308668208385107</v>
      </c>
      <c r="H122" s="135" t="str" cm="1">
        <f t="array" ref="H122">_xll.PE.deg.AsString(F122)</f>
        <v>20 20 24</v>
      </c>
      <c r="I122" s="136" t="str" cm="1">
        <f t="array" ref="I122">_xll.PE.deg.AsString(G122)</f>
        <v>40 18 31</v>
      </c>
      <c r="J122" s="135" cm="1">
        <f t="array" ref="J122">_xll.PE.deg.FromString(H122)</f>
        <v>20.34</v>
      </c>
      <c r="K122" s="137" cm="1">
        <f t="array" ref="K122">_xll.PE.deg.FromString(I122)</f>
        <v>40.308611111111105</v>
      </c>
      <c r="L122" s="84">
        <f t="shared" si="60"/>
        <v>1.3388513430712123E-4</v>
      </c>
      <c r="M122" s="80">
        <f t="shared" si="61"/>
        <v>5.7097274002160248E-5</v>
      </c>
      <c r="N122" s="9">
        <f>SQRT((D123-D122)^2+(E123-E122)^2)</f>
        <v>3000.0000000000855</v>
      </c>
      <c r="O122" s="110">
        <f>IF(DEGREES(ATAN2(E123-E122,D123-D122))&lt;0,DEGREES(ATAN2(E123-E122,D123-D122))+360,(DEGREES(ATAN2(E123-E122,D123-D122))))</f>
        <v>54.497692329086064</v>
      </c>
      <c r="P122" s="21">
        <v>2462</v>
      </c>
      <c r="Q122" s="44" t="str">
        <f t="shared" si="62"/>
        <v>20.34013389,40.30866821</v>
      </c>
      <c r="R122" s="98" t="str">
        <f t="shared" si="63"/>
        <v>&lt;trkpt lon="20.34013389" lat="40.30866821"&gt;&lt;name&gt;S05&lt;/name&gt;&lt;/trkpt&gt;</v>
      </c>
    </row>
    <row r="123" spans="1:18" ht="15" thickBot="1" x14ac:dyDescent="0.4">
      <c r="A123" s="23"/>
      <c r="B123" s="103">
        <v>6</v>
      </c>
      <c r="C123" s="13" t="s">
        <v>13</v>
      </c>
      <c r="D123" s="29">
        <f>D122+$D$7*SIN(RADIANS(O121))</f>
        <v>4446479.1000032751</v>
      </c>
      <c r="E123" s="30">
        <f>E122+$D$7*COS(RADIANS(O121))</f>
        <v>4465884.2785144914</v>
      </c>
      <c r="F123" s="141" cm="1">
        <f t="array" ref="F123:G123">_xll.PE.trf.FromEpsgNoToEpsgNo($D$4,$D$5,D123,E123)</f>
        <v>20.3687156675634</v>
      </c>
      <c r="G123" s="143">
        <v>40.324517243329709</v>
      </c>
      <c r="H123" s="141" t="str" cm="1">
        <f t="array" ref="H123">_xll.PE.deg.AsString(F123)</f>
        <v>20 22 07</v>
      </c>
      <c r="I123" s="142" t="str" cm="1">
        <f t="array" ref="I123">_xll.PE.deg.AsString(G123)</f>
        <v>40 19 28</v>
      </c>
      <c r="J123" s="141" cm="1">
        <f t="array" ref="J123">_xll.PE.deg.FromString(H123)</f>
        <v>20.368611111111111</v>
      </c>
      <c r="K123" s="143" cm="1">
        <f t="array" ref="K123">_xll.PE.deg.FromString(I123)</f>
        <v>40.324444444444445</v>
      </c>
      <c r="L123" s="86">
        <f t="shared" si="60"/>
        <v>1.0455645228901744E-4</v>
      </c>
      <c r="M123" s="82">
        <f t="shared" si="61"/>
        <v>7.2798885263125612E-5</v>
      </c>
      <c r="N123" s="14">
        <f>SUM(N119:N121)</f>
        <v>16440.445319264054</v>
      </c>
      <c r="O123" s="35" t="s">
        <v>11</v>
      </c>
      <c r="P123" s="87" cm="1">
        <f t="array" ref="P123">_xll.PE.crs.GeodesicDistance($D$5,J119:K122)</f>
        <v>16436.893372856532</v>
      </c>
      <c r="Q123" s="44" t="str">
        <f t="shared" si="62"/>
        <v>20.36871567,40.32451724</v>
      </c>
      <c r="R123" s="98" t="str">
        <f t="shared" si="63"/>
        <v>&lt;trkpt lon="20.36871567" lat="40.32451724"&gt;&lt;name&gt;S06&lt;/name&gt;&lt;/trkpt&gt;</v>
      </c>
    </row>
    <row r="124" spans="1:18" x14ac:dyDescent="0.35">
      <c r="A124" s="23"/>
      <c r="B124" s="105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88"/>
      <c r="N124" s="25">
        <f>N120</f>
        <v>8440.4453192636811</v>
      </c>
      <c r="O124" s="106" t="s">
        <v>12</v>
      </c>
      <c r="P124" s="91"/>
      <c r="Q124" s="98" t="s">
        <v>21</v>
      </c>
      <c r="R124" s="98" t="str">
        <f>CONCATENATE("&lt;/trkseg&gt;&lt;/trk&gt;")</f>
        <v>&lt;/trkseg&gt;&lt;/trk&gt;</v>
      </c>
    </row>
    <row r="125" spans="1:18" ht="15" thickBot="1" x14ac:dyDescent="0.4">
      <c r="M125"/>
      <c r="Q125" s="45" t="s">
        <v>22</v>
      </c>
      <c r="R125" s="99" t="s">
        <v>19</v>
      </c>
    </row>
    <row r="126" spans="1:18" x14ac:dyDescent="0.35">
      <c r="M126"/>
    </row>
    <row r="127" spans="1:18" x14ac:dyDescent="0.35">
      <c r="M127"/>
    </row>
    <row r="128" spans="1:18" x14ac:dyDescent="0.35">
      <c r="M128"/>
    </row>
    <row r="129" spans="3:13" x14ac:dyDescent="0.35">
      <c r="M129"/>
    </row>
    <row r="130" spans="3:13" x14ac:dyDescent="0.35">
      <c r="C130" s="173" t="s">
        <v>136</v>
      </c>
      <c r="D130" s="172" t="str" cm="1">
        <f t="array" ref="D130">_xll.PE.crs.GeodeticCRS.Name(D4)</f>
        <v>Albanian 1987</v>
      </c>
      <c r="M130"/>
    </row>
    <row r="131" spans="3:13" x14ac:dyDescent="0.35">
      <c r="C131" s="12" t="s">
        <v>137</v>
      </c>
      <c r="D131" s="172" t="str" cm="1">
        <f t="array" ref="D131">_xll.PE.crs.GeodeticCRS.Type(D4)</f>
        <v>Geographic2DCrs</v>
      </c>
      <c r="M131"/>
    </row>
    <row r="132" spans="3:13" x14ac:dyDescent="0.35">
      <c r="C132" t="s">
        <v>138</v>
      </c>
      <c r="D132" s="172" t="str" cm="1">
        <f t="array" ref="D132">_xll.PE.crs.AsJsonString(D4)</f>
        <v>{
  "$schema": "https://proj.org/schemas/v0.7/projjson.schema.json",
  "type": "ProjectedCRS",
  "name": "Albanian 1987 / Gauss-Kruger zone 4 (with axis order normalized for visualization)",
  "base_crs": {
    "name": "Albanian 1987",
    "datum": {
      "type": "GeodeticReferenceFrame",
      "name": "Albanian 1987",
      "ellipsoid": {
        "name": "Krassowsky 1940",
        "semi_major_axis": 6378245,
        "inverse_flattening": 298.3
      }
    },
    "coordinate_system": {
      "subtype": "ellipsoidal",
      "axis": [
        {
          "name": "Geodetic latitude",
          "abbreviation": "Lat",
          "direction": "north",
          "unit": "degree"
        },
        {
          "name": "Geodetic longitude",
          "abbreviation": "Lon",
          "direction": "east",
          "unit": "degree"
        }
      ]
    },
    "id": {
      "authority": "EPSG",
      "code": 4191
    }
  },
  "conversion": {
    "name": "6-degree Gauss-Kruger zone 4",
    "method": {
      "name": "Transverse Mercator",
      "id": {
        "authority": "EPSG",
        "code": 9807
      }
    },
    "parameters": [
      {
        "name": "Latitude of natural origin",
        "value": 0,
        "unit": "degree",
        "id": {
          "authority": "EPSG",
          "code": 8801
        }
      },
      {
        "name": "Longitude of natural origin",
        "value": 21,
        "unit": "degree",
        "id": {
          "authority": "EPSG",
          "code": 8802
        }
      },
      {
        "name": "Scale factor at natural origin",
        "value": 1,
        "unit": "unity",
        "id": {
          "authority": "EPSG",
          "code": 8805
        }
      },
      {
        "name": "False easting",
        "value": 4500000,
        "unit": "metre",
        "id": {
          "authority": "EPSG",
          "code": 8806
        }
      },
      {
        "name": "False northing",
        "value": 0,
        "unit": "metre",
        "id": {
          "authority": "EPSG",
          "code": 8807
        }
      }
    ],
    "id": {
      "authority": "EPSG",
      "code": 16204
    }
  },
  "coordinate_system": {
    "subtype": "Cartesian",
    "axis": [
      {
        "name": "Easting",
        "abbreviation": "Y",
        "direction": "east",
        "unit": "metre"
      },
      {
        "name": "Northing",
        "abbreviation": "X",
        "direction": "north",
        "unit": "metre"
      }
    ]
  },
  "scope": "Cadastre, engineering survey, topographic mapping.",
  "area": "Albania - onshore.",
  "bbox": {
    "south_latitude": 39.64,
    "west_longitude": 19.22,
    "north_latitude": 42.67,
    "east_longitude": 21.06
  },
  "remarks": "Axis order reversed compared to EPSG:2462"
}</v>
      </c>
      <c r="M132"/>
    </row>
    <row r="133" spans="3:13" x14ac:dyDescent="0.35">
      <c r="D133" s="172" t="str" cm="1">
        <f t="array" ref="D133">_xll.PE.crs.AsProjString(D4)</f>
        <v>+proj=tmerc +lat_0=0 +lon_0=21 +k=1 +x_0=4500000 +y_0=0 +ellps=krass +units=m +no_defs +type=crs</v>
      </c>
      <c r="M133"/>
    </row>
    <row r="134" spans="3:13" x14ac:dyDescent="0.35">
      <c r="D134" s="172" t="str" cm="1">
        <f t="array" ref="D134">_xll.PE.crs.AsWktString(D4)</f>
        <v>PROJCRS["Albanian 1987 / Gauss-Kruger zone 4 (with axis order normalized for visualization)",
    BASEGEOGCRS["Albanian 1987",
        DATUM["Albanian 1987",
            ELLIPSOID["Krassowsky 1940",6378245,298.3,
                LENGTHUNIT["metre",1]]],
        PRIMEM["Greenwich",0,
            ANGLEUNIT["degree",0.0174532925199433]],
        ID["EPSG",4191]],
    CONVERSION["6-degree Gauss-Kruger zone 4",
        METHOD["Transverse Mercator",
            ID["EPSG",9807]],
        PARAMETER["Latitude of natural origin",0,
            ANGLEUNIT["degree",0.0174532925199433],
            ID["EPSG",8801]],
        PARAMETER["Longitude of natural origin",21,
            ANGLEUNIT["degree",0.0174532925199433],
            ID["EPSG",8802]],
        PARAMETER["Scale factor at natural origin",1,
            SCALEUNIT["unity",1],
            ID["EPSG",8805]],
        PARAMETER["False easting",4500000,
            LENGTHUNIT["metre",1],
            ID["EPSG",8806]],
        PARAMETER["False northing",0,
            LENGTHUNIT["metre",1],
            ID["EPSG",8807]],
        ID["EPSG",16204]],
    CS[Cartesian,2],
        AXIS["easting (Y)",east,
            ORDER[1],
            LENGTHUNIT["metre",1,
                ID["EPSG",9001]]],
        AXIS["northing (X)",north,
            ORDER[2],
            LENGTHUNIT["metre",1,
                ID["EPSG",9001]]],
    USAGE[
        SCOPE["Cadastre, engineering survey, topographic mapping."],
        AREA["Albania - onshore."],
        BBOX[39.64,19.22,42.67,21.06]],
    REMARK["Axis order reversed compared to EPSG:2462"]]</v>
      </c>
      <c r="M134"/>
    </row>
    <row r="135" spans="3:13" x14ac:dyDescent="0.35">
      <c r="D135" s="174" t="str" cm="1">
        <f t="array" ref="D135">_xll.PE.crs.Axis.Abbreviation(D4,0,TRUE)</f>
        <v>Y</v>
      </c>
      <c r="M135"/>
    </row>
    <row r="136" spans="3:13" x14ac:dyDescent="0.35">
      <c r="D136" s="174" cm="1">
        <f t="array" ref="D136">_xll.PE.crs.Axis.Count(D4,TRUE)</f>
        <v>2</v>
      </c>
      <c r="M136"/>
    </row>
    <row r="137" spans="3:13" x14ac:dyDescent="0.35">
      <c r="M137"/>
    </row>
    <row r="138" spans="3:13" x14ac:dyDescent="0.35">
      <c r="M138"/>
    </row>
    <row r="139" spans="3:13" x14ac:dyDescent="0.35">
      <c r="M139"/>
    </row>
    <row r="140" spans="3:13" x14ac:dyDescent="0.35">
      <c r="M140"/>
    </row>
    <row r="141" spans="3:13" x14ac:dyDescent="0.35">
      <c r="M141"/>
    </row>
    <row r="142" spans="3:13" x14ac:dyDescent="0.35">
      <c r="M142"/>
    </row>
    <row r="143" spans="3:13" x14ac:dyDescent="0.35">
      <c r="M143"/>
    </row>
    <row r="144" spans="3:13" x14ac:dyDescent="0.35">
      <c r="M144"/>
    </row>
    <row r="145" spans="13:13" x14ac:dyDescent="0.35">
      <c r="M145"/>
    </row>
    <row r="146" spans="13:13" x14ac:dyDescent="0.35">
      <c r="M146"/>
    </row>
    <row r="147" spans="13:13" x14ac:dyDescent="0.35">
      <c r="M147"/>
    </row>
    <row r="148" spans="13:13" x14ac:dyDescent="0.35">
      <c r="M148"/>
    </row>
    <row r="149" spans="13:13" x14ac:dyDescent="0.35">
      <c r="M149"/>
    </row>
    <row r="150" spans="13:13" x14ac:dyDescent="0.35">
      <c r="M150"/>
    </row>
    <row r="151" spans="13:13" x14ac:dyDescent="0.35">
      <c r="M151"/>
    </row>
    <row r="152" spans="13:13" x14ac:dyDescent="0.35">
      <c r="M152"/>
    </row>
    <row r="153" spans="13:13" x14ac:dyDescent="0.35">
      <c r="M153"/>
    </row>
    <row r="154" spans="13:13" x14ac:dyDescent="0.35">
      <c r="M154"/>
    </row>
    <row r="155" spans="13:13" x14ac:dyDescent="0.35">
      <c r="M155"/>
    </row>
    <row r="156" spans="13:13" x14ac:dyDescent="0.35">
      <c r="M156"/>
    </row>
    <row r="157" spans="13:13" x14ac:dyDescent="0.35">
      <c r="M157"/>
    </row>
    <row r="158" spans="13:13" x14ac:dyDescent="0.35">
      <c r="M158"/>
    </row>
    <row r="159" spans="13:13" x14ac:dyDescent="0.35">
      <c r="M159"/>
    </row>
    <row r="160" spans="13:13" x14ac:dyDescent="0.35">
      <c r="M160"/>
    </row>
    <row r="161" spans="13:13" x14ac:dyDescent="0.35">
      <c r="M161"/>
    </row>
    <row r="162" spans="13:13" x14ac:dyDescent="0.35">
      <c r="M162"/>
    </row>
    <row r="163" spans="13:13" x14ac:dyDescent="0.35">
      <c r="M163"/>
    </row>
    <row r="164" spans="13:13" x14ac:dyDescent="0.35">
      <c r="M164"/>
    </row>
    <row r="165" spans="13:13" x14ac:dyDescent="0.35">
      <c r="M165"/>
    </row>
    <row r="166" spans="13:13" x14ac:dyDescent="0.35">
      <c r="M166"/>
    </row>
    <row r="167" spans="13:13" x14ac:dyDescent="0.35">
      <c r="M167"/>
    </row>
    <row r="168" spans="13:13" x14ac:dyDescent="0.35">
      <c r="M168"/>
    </row>
    <row r="169" spans="13:13" x14ac:dyDescent="0.35">
      <c r="M169"/>
    </row>
    <row r="170" spans="13:13" x14ac:dyDescent="0.35">
      <c r="M170"/>
    </row>
    <row r="171" spans="13:13" x14ac:dyDescent="0.35">
      <c r="M171"/>
    </row>
    <row r="172" spans="13:13" x14ac:dyDescent="0.35">
      <c r="M172"/>
    </row>
    <row r="173" spans="13:13" x14ac:dyDescent="0.35">
      <c r="M173"/>
    </row>
    <row r="174" spans="13:13" x14ac:dyDescent="0.35">
      <c r="M174"/>
    </row>
    <row r="175" spans="13:13" x14ac:dyDescent="0.35">
      <c r="M175"/>
    </row>
    <row r="176" spans="13:13" x14ac:dyDescent="0.35">
      <c r="M176"/>
    </row>
    <row r="177" spans="13:13" x14ac:dyDescent="0.35">
      <c r="M177"/>
    </row>
    <row r="178" spans="13:13" x14ac:dyDescent="0.35">
      <c r="M178"/>
    </row>
    <row r="179" spans="13:13" x14ac:dyDescent="0.35">
      <c r="M179"/>
    </row>
    <row r="180" spans="13:13" x14ac:dyDescent="0.35">
      <c r="M180"/>
    </row>
    <row r="181" spans="13:13" x14ac:dyDescent="0.35">
      <c r="M181"/>
    </row>
    <row r="182" spans="13:13" x14ac:dyDescent="0.35">
      <c r="M182"/>
    </row>
    <row r="183" spans="13:13" x14ac:dyDescent="0.35">
      <c r="M183"/>
    </row>
    <row r="184" spans="13:13" x14ac:dyDescent="0.35">
      <c r="M184"/>
    </row>
    <row r="185" spans="13:13" x14ac:dyDescent="0.35">
      <c r="M185"/>
    </row>
    <row r="186" spans="13:13" x14ac:dyDescent="0.35">
      <c r="M186"/>
    </row>
    <row r="187" spans="13:13" x14ac:dyDescent="0.35">
      <c r="M187"/>
    </row>
    <row r="188" spans="13:13" x14ac:dyDescent="0.35">
      <c r="M188"/>
    </row>
    <row r="189" spans="13:13" x14ac:dyDescent="0.35">
      <c r="M189"/>
    </row>
    <row r="190" spans="13:13" x14ac:dyDescent="0.35">
      <c r="M190"/>
    </row>
    <row r="191" spans="13:13" x14ac:dyDescent="0.35">
      <c r="M191"/>
    </row>
    <row r="192" spans="13:13" x14ac:dyDescent="0.35">
      <c r="M192"/>
    </row>
    <row r="193" spans="13:13" x14ac:dyDescent="0.35">
      <c r="M193"/>
    </row>
    <row r="194" spans="13:13" x14ac:dyDescent="0.35">
      <c r="M194"/>
    </row>
    <row r="195" spans="13:13" x14ac:dyDescent="0.35">
      <c r="M195"/>
    </row>
    <row r="196" spans="13:13" x14ac:dyDescent="0.35">
      <c r="M196"/>
    </row>
    <row r="197" spans="13:13" x14ac:dyDescent="0.35">
      <c r="M197"/>
    </row>
    <row r="198" spans="13:13" x14ac:dyDescent="0.35">
      <c r="M198"/>
    </row>
    <row r="199" spans="13:13" x14ac:dyDescent="0.35">
      <c r="M199"/>
    </row>
    <row r="200" spans="13:13" x14ac:dyDescent="0.35">
      <c r="M200"/>
    </row>
    <row r="201" spans="13:13" x14ac:dyDescent="0.35">
      <c r="M201"/>
    </row>
    <row r="202" spans="13:13" x14ac:dyDescent="0.35">
      <c r="M202"/>
    </row>
    <row r="203" spans="13:13" x14ac:dyDescent="0.35">
      <c r="M203"/>
    </row>
    <row r="204" spans="13:13" x14ac:dyDescent="0.35">
      <c r="M204"/>
    </row>
    <row r="205" spans="13:13" x14ac:dyDescent="0.35">
      <c r="M205"/>
    </row>
    <row r="206" spans="13:13" x14ac:dyDescent="0.35">
      <c r="M206"/>
    </row>
    <row r="207" spans="13:13" x14ac:dyDescent="0.35">
      <c r="M207"/>
    </row>
    <row r="208" spans="13:13" x14ac:dyDescent="0.35">
      <c r="M208"/>
    </row>
    <row r="209" spans="13:13" x14ac:dyDescent="0.35">
      <c r="M209"/>
    </row>
    <row r="210" spans="13:13" x14ac:dyDescent="0.35">
      <c r="M210"/>
    </row>
    <row r="211" spans="13:13" x14ac:dyDescent="0.35">
      <c r="M211"/>
    </row>
    <row r="212" spans="13:13" x14ac:dyDescent="0.35">
      <c r="M212"/>
    </row>
    <row r="213" spans="13:13" x14ac:dyDescent="0.35">
      <c r="M213"/>
    </row>
    <row r="214" spans="13:13" x14ac:dyDescent="0.35">
      <c r="M214"/>
    </row>
    <row r="215" spans="13:13" x14ac:dyDescent="0.35">
      <c r="M215"/>
    </row>
    <row r="216" spans="13:13" x14ac:dyDescent="0.35">
      <c r="M216"/>
    </row>
    <row r="217" spans="13:13" x14ac:dyDescent="0.35">
      <c r="M217"/>
    </row>
    <row r="218" spans="13:13" x14ac:dyDescent="0.35">
      <c r="M218"/>
    </row>
    <row r="219" spans="13:13" x14ac:dyDescent="0.35">
      <c r="M219"/>
    </row>
    <row r="220" spans="13:13" x14ac:dyDescent="0.35">
      <c r="M220"/>
    </row>
    <row r="221" spans="13:13" x14ac:dyDescent="0.35">
      <c r="M221"/>
    </row>
    <row r="222" spans="13:13" x14ac:dyDescent="0.35">
      <c r="M222"/>
    </row>
    <row r="223" spans="13:13" x14ac:dyDescent="0.35">
      <c r="M223"/>
    </row>
    <row r="224" spans="13:13" x14ac:dyDescent="0.35">
      <c r="M224"/>
    </row>
    <row r="225" spans="13:13" x14ac:dyDescent="0.35">
      <c r="M225"/>
    </row>
    <row r="226" spans="13:13" x14ac:dyDescent="0.35">
      <c r="M226"/>
    </row>
    <row r="227" spans="13:13" x14ac:dyDescent="0.35">
      <c r="M227"/>
    </row>
    <row r="228" spans="13:13" x14ac:dyDescent="0.35">
      <c r="M228"/>
    </row>
    <row r="229" spans="13:13" x14ac:dyDescent="0.35">
      <c r="M229"/>
    </row>
    <row r="230" spans="13:13" x14ac:dyDescent="0.35">
      <c r="M230"/>
    </row>
    <row r="231" spans="13:13" x14ac:dyDescent="0.35">
      <c r="M231"/>
    </row>
    <row r="232" spans="13:13" x14ac:dyDescent="0.35">
      <c r="M232"/>
    </row>
    <row r="233" spans="13:13" x14ac:dyDescent="0.35">
      <c r="M233"/>
    </row>
    <row r="234" spans="13:13" x14ac:dyDescent="0.35">
      <c r="M234"/>
    </row>
    <row r="235" spans="13:13" x14ac:dyDescent="0.35">
      <c r="M235"/>
    </row>
    <row r="236" spans="13:13" x14ac:dyDescent="0.35">
      <c r="M236"/>
    </row>
    <row r="237" spans="13:13" x14ac:dyDescent="0.35">
      <c r="M237"/>
    </row>
    <row r="238" spans="13:13" x14ac:dyDescent="0.35">
      <c r="M238"/>
    </row>
    <row r="239" spans="13:13" x14ac:dyDescent="0.35">
      <c r="M239"/>
    </row>
    <row r="240" spans="13:13" x14ac:dyDescent="0.35">
      <c r="M240"/>
    </row>
    <row r="241" spans="13:13" x14ac:dyDescent="0.35">
      <c r="M241"/>
    </row>
    <row r="242" spans="13:13" x14ac:dyDescent="0.35">
      <c r="M242"/>
    </row>
    <row r="243" spans="13:13" x14ac:dyDescent="0.35">
      <c r="M243"/>
    </row>
    <row r="244" spans="13:13" x14ac:dyDescent="0.35">
      <c r="M244"/>
    </row>
    <row r="245" spans="13:13" x14ac:dyDescent="0.35">
      <c r="M245"/>
    </row>
    <row r="246" spans="13:13" x14ac:dyDescent="0.35">
      <c r="M246"/>
    </row>
    <row r="247" spans="13:13" x14ac:dyDescent="0.35">
      <c r="M247"/>
    </row>
    <row r="248" spans="13:13" x14ac:dyDescent="0.35">
      <c r="M248"/>
    </row>
    <row r="249" spans="13:13" x14ac:dyDescent="0.35">
      <c r="M249"/>
    </row>
    <row r="250" spans="13:13" x14ac:dyDescent="0.35">
      <c r="M250"/>
    </row>
    <row r="251" spans="13:13" x14ac:dyDescent="0.35">
      <c r="M251"/>
    </row>
    <row r="252" spans="13:13" x14ac:dyDescent="0.35">
      <c r="M252"/>
    </row>
    <row r="253" spans="13:13" x14ac:dyDescent="0.35">
      <c r="M253"/>
    </row>
    <row r="254" spans="13:13" x14ac:dyDescent="0.35">
      <c r="M254"/>
    </row>
    <row r="255" spans="13:13" x14ac:dyDescent="0.35">
      <c r="M255"/>
    </row>
    <row r="256" spans="13:13" x14ac:dyDescent="0.35">
      <c r="M256"/>
    </row>
    <row r="257" spans="13:15" x14ac:dyDescent="0.35">
      <c r="M257"/>
      <c r="O257" s="111"/>
    </row>
    <row r="258" spans="13:15" x14ac:dyDescent="0.35">
      <c r="M258"/>
      <c r="O258" s="111"/>
    </row>
    <row r="259" spans="13:15" x14ac:dyDescent="0.35">
      <c r="M259"/>
      <c r="O259" s="111"/>
    </row>
    <row r="260" spans="13:15" x14ac:dyDescent="0.35">
      <c r="M260"/>
      <c r="O260" s="111"/>
    </row>
    <row r="261" spans="13:15" x14ac:dyDescent="0.35">
      <c r="M261"/>
      <c r="O261" s="111"/>
    </row>
    <row r="262" spans="13:15" x14ac:dyDescent="0.35">
      <c r="M262"/>
      <c r="O262" s="111"/>
    </row>
    <row r="263" spans="13:15" x14ac:dyDescent="0.35">
      <c r="M263"/>
      <c r="O263" s="111"/>
    </row>
    <row r="264" spans="13:15" x14ac:dyDescent="0.35">
      <c r="M264"/>
      <c r="O264" s="111"/>
    </row>
    <row r="265" spans="13:15" x14ac:dyDescent="0.35">
      <c r="M265"/>
      <c r="O265" s="111"/>
    </row>
    <row r="266" spans="13:15" x14ac:dyDescent="0.35">
      <c r="M266"/>
      <c r="O266" s="111"/>
    </row>
    <row r="267" spans="13:15" x14ac:dyDescent="0.35">
      <c r="M267"/>
      <c r="O267" s="111"/>
    </row>
    <row r="268" spans="13:15" x14ac:dyDescent="0.35">
      <c r="M268"/>
      <c r="O268" s="111"/>
    </row>
    <row r="269" spans="13:15" x14ac:dyDescent="0.35">
      <c r="M269"/>
      <c r="O269" s="111"/>
    </row>
    <row r="270" spans="13:15" x14ac:dyDescent="0.35">
      <c r="M270"/>
      <c r="O270" s="111"/>
    </row>
    <row r="271" spans="13:15" x14ac:dyDescent="0.35">
      <c r="M271"/>
      <c r="O271" s="111"/>
    </row>
    <row r="272" spans="13:15" x14ac:dyDescent="0.35">
      <c r="M272"/>
      <c r="O272" s="111"/>
    </row>
    <row r="273" spans="13:15" x14ac:dyDescent="0.35">
      <c r="M273"/>
      <c r="O273" s="111"/>
    </row>
    <row r="274" spans="13:15" x14ac:dyDescent="0.35">
      <c r="M274"/>
      <c r="O274" s="111"/>
    </row>
    <row r="275" spans="13:15" x14ac:dyDescent="0.35">
      <c r="M275"/>
      <c r="O275" s="111"/>
    </row>
    <row r="276" spans="13:15" x14ac:dyDescent="0.35">
      <c r="M276"/>
      <c r="O276" s="111"/>
    </row>
    <row r="277" spans="13:15" x14ac:dyDescent="0.35">
      <c r="M277"/>
      <c r="O277" s="111"/>
    </row>
    <row r="278" spans="13:15" x14ac:dyDescent="0.35">
      <c r="M278"/>
      <c r="O278" s="111"/>
    </row>
    <row r="279" spans="13:15" x14ac:dyDescent="0.35">
      <c r="M279"/>
      <c r="O279" s="111"/>
    </row>
    <row r="280" spans="13:15" x14ac:dyDescent="0.35">
      <c r="M280"/>
      <c r="O280" s="111"/>
    </row>
    <row r="281" spans="13:15" x14ac:dyDescent="0.35">
      <c r="M281"/>
      <c r="O281" s="111"/>
    </row>
    <row r="282" spans="13:15" x14ac:dyDescent="0.35">
      <c r="M282"/>
      <c r="O282" s="111"/>
    </row>
    <row r="283" spans="13:15" x14ac:dyDescent="0.35">
      <c r="M283"/>
      <c r="O283" s="111"/>
    </row>
    <row r="284" spans="13:15" x14ac:dyDescent="0.35">
      <c r="M284"/>
      <c r="O284" s="111"/>
    </row>
    <row r="285" spans="13:15" x14ac:dyDescent="0.35">
      <c r="M285"/>
      <c r="O285" s="111"/>
    </row>
    <row r="286" spans="13:15" x14ac:dyDescent="0.35">
      <c r="M286"/>
      <c r="O286" s="111"/>
    </row>
    <row r="287" spans="13:15" x14ac:dyDescent="0.35">
      <c r="M287"/>
      <c r="O287" s="111"/>
    </row>
    <row r="288" spans="13:15" x14ac:dyDescent="0.35">
      <c r="M288"/>
      <c r="O288" s="111"/>
    </row>
    <row r="289" spans="13:13" x14ac:dyDescent="0.35">
      <c r="M289"/>
    </row>
    <row r="290" spans="13:13" x14ac:dyDescent="0.35">
      <c r="M290"/>
    </row>
    <row r="291" spans="13:13" x14ac:dyDescent="0.35">
      <c r="M291"/>
    </row>
    <row r="292" spans="13:13" x14ac:dyDescent="0.35">
      <c r="M292"/>
    </row>
    <row r="293" spans="13:13" x14ac:dyDescent="0.35">
      <c r="M293"/>
    </row>
    <row r="294" spans="13:13" x14ac:dyDescent="0.35">
      <c r="M294"/>
    </row>
    <row r="295" spans="13:13" x14ac:dyDescent="0.35">
      <c r="M295"/>
    </row>
    <row r="296" spans="13:13" x14ac:dyDescent="0.35">
      <c r="M296"/>
    </row>
    <row r="297" spans="13:13" x14ac:dyDescent="0.35">
      <c r="M297"/>
    </row>
    <row r="298" spans="13:13" x14ac:dyDescent="0.35">
      <c r="M298"/>
    </row>
    <row r="299" spans="13:13" x14ac:dyDescent="0.35">
      <c r="M299"/>
    </row>
    <row r="300" spans="13:13" x14ac:dyDescent="0.35">
      <c r="M300"/>
    </row>
    <row r="301" spans="13:13" x14ac:dyDescent="0.35">
      <c r="M301"/>
    </row>
    <row r="302" spans="13:13" x14ac:dyDescent="0.35">
      <c r="M302"/>
    </row>
    <row r="303" spans="13:13" x14ac:dyDescent="0.35">
      <c r="M303"/>
    </row>
    <row r="304" spans="13:13" x14ac:dyDescent="0.35">
      <c r="M304"/>
    </row>
    <row r="305" spans="13:13" x14ac:dyDescent="0.35">
      <c r="M305"/>
    </row>
  </sheetData>
  <hyperlinks>
    <hyperlink ref="D5" r:id="rId1" display="EPSG:4326" xr:uid="{189D0C05-BB88-45B0-A711-2F4D2C38DEE4}"/>
    <hyperlink ref="D4" r:id="rId2" display="EPSG:2462" xr:uid="{84524EC1-A7F4-425B-B1F1-2DCE659C63A6}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5868-50BC-47ED-BAAA-E95A4A7C661C}">
  <dimension ref="A2:V11796"/>
  <sheetViews>
    <sheetView topLeftCell="A101" zoomScaleNormal="100" workbookViewId="0">
      <selection activeCell="D128" sqref="D128"/>
    </sheetView>
  </sheetViews>
  <sheetFormatPr defaultRowHeight="14.5" x14ac:dyDescent="0.35"/>
  <cols>
    <col min="1" max="1" width="9" bestFit="1" customWidth="1"/>
    <col min="2" max="2" width="6.36328125" style="61" customWidth="1"/>
    <col min="3" max="3" width="22.08984375" customWidth="1"/>
    <col min="4" max="4" width="17.6328125" customWidth="1"/>
    <col min="5" max="5" width="15.54296875" customWidth="1"/>
    <col min="6" max="8" width="13.36328125" customWidth="1"/>
    <col min="9" max="10" width="15.6328125" bestFit="1" customWidth="1"/>
    <col min="11" max="11" width="15.54296875" bestFit="1" customWidth="1"/>
    <col min="12" max="12" width="13.36328125" customWidth="1"/>
    <col min="13" max="13" width="13.6328125" customWidth="1"/>
    <col min="14" max="14" width="13" customWidth="1"/>
    <col min="15" max="15" width="14.6328125" style="1" bestFit="1" customWidth="1"/>
    <col min="16" max="16" width="15.6328125" customWidth="1"/>
    <col min="17" max="17" width="11" style="61" customWidth="1"/>
    <col min="18" max="18" width="14.6328125" customWidth="1"/>
    <col min="19" max="19" width="70.08984375" customWidth="1"/>
    <col min="20" max="20" width="85.54296875" customWidth="1"/>
    <col min="23" max="23" width="26.08984375" customWidth="1"/>
    <col min="26" max="26" width="20.6328125" customWidth="1"/>
  </cols>
  <sheetData>
    <row r="2" spans="1:22" ht="15" thickBot="1" x14ac:dyDescent="0.4"/>
    <row r="3" spans="1:22" ht="15" thickBot="1" x14ac:dyDescent="0.4">
      <c r="C3" s="59" t="s">
        <v>26</v>
      </c>
      <c r="D3" s="60" t="s">
        <v>27</v>
      </c>
      <c r="E3" s="58" t="s">
        <v>28</v>
      </c>
      <c r="F3" s="56"/>
      <c r="G3" s="56"/>
      <c r="H3" s="56"/>
      <c r="I3" s="56"/>
      <c r="J3" s="57"/>
      <c r="K3" s="50" t="s">
        <v>29</v>
      </c>
      <c r="L3" s="56" t="s">
        <v>135</v>
      </c>
      <c r="M3" s="56"/>
      <c r="N3" s="56"/>
      <c r="O3" s="56"/>
      <c r="P3" s="57"/>
    </row>
    <row r="4" spans="1:22" x14ac:dyDescent="0.35">
      <c r="C4" s="51" t="s">
        <v>24</v>
      </c>
      <c r="D4" s="49">
        <v>2462</v>
      </c>
      <c r="E4" s="65" t="str" cm="1">
        <f t="array" ref="E4">_xll.PE.crs.AsProjString(D4)</f>
        <v>+proj=tmerc +lat_0=0 +lon_0=21 +k=1 +x_0=4500000 +y_0=0 +ellps=krass +units=m +no_defs +type=crs</v>
      </c>
      <c r="F4" s="66"/>
      <c r="G4" s="66"/>
      <c r="H4" s="66"/>
      <c r="I4" s="66"/>
      <c r="J4" s="67"/>
      <c r="K4" s="50" t="s">
        <v>17</v>
      </c>
      <c r="L4" s="66" t="str" cm="1">
        <f t="array" ref="L4">_xll.PE.crs.Name(D4)</f>
        <v>Albanian 1987 / Gauss-Kruger zone 4 (with axis order normalized for visualization)</v>
      </c>
      <c r="M4" s="66"/>
      <c r="N4" s="66"/>
      <c r="O4" s="66"/>
      <c r="P4" s="67"/>
    </row>
    <row r="5" spans="1:22" ht="15" thickBot="1" x14ac:dyDescent="0.4">
      <c r="C5" s="168" t="s">
        <v>25</v>
      </c>
      <c r="D5" s="169">
        <v>4326</v>
      </c>
      <c r="E5" s="68" t="str" cm="1">
        <f t="array" ref="E5">_xll.PE.crs.AsProjString(D5)</f>
        <v>+proj=longlat +datum=WGS84 +no_defs +type=crs</v>
      </c>
      <c r="F5" s="170"/>
      <c r="G5" s="170"/>
      <c r="H5" s="170"/>
      <c r="I5" s="170"/>
      <c r="J5" s="171"/>
      <c r="K5" s="43" t="s">
        <v>17</v>
      </c>
      <c r="L5" s="170" t="str" cm="1">
        <f t="array" ref="L5">_xll.PE.crs.Name(D5)</f>
        <v>WGS 84 (with axis order normalized for visualization)</v>
      </c>
      <c r="M5" s="170"/>
      <c r="N5" s="170"/>
      <c r="O5" s="170"/>
      <c r="P5" s="69"/>
    </row>
    <row r="6" spans="1:22" ht="15" thickBot="1" x14ac:dyDescent="0.4">
      <c r="O6"/>
      <c r="V6" s="1"/>
    </row>
    <row r="7" spans="1:22" ht="15" thickBot="1" x14ac:dyDescent="0.4">
      <c r="C7" s="21" t="s">
        <v>13</v>
      </c>
      <c r="D7" s="70">
        <v>3000</v>
      </c>
      <c r="E7" s="3" t="s">
        <v>6</v>
      </c>
      <c r="F7" cm="1">
        <f t="array" ref="F7">_xll.PE.deg.GetHours(F16)</f>
        <v>19</v>
      </c>
      <c r="G7" cm="1">
        <f t="array" ref="G7">_xll.PE.deg.GetHours(F16)</f>
        <v>19</v>
      </c>
      <c r="H7">
        <f>G7+720</f>
        <v>739</v>
      </c>
      <c r="I7" cm="1">
        <f t="array" ref="I7">_xll.PE.deg.Normalize0to360(H7)</f>
        <v>19</v>
      </c>
      <c r="J7" t="b" cm="1">
        <f t="array" ref="J7">_xll.PE.deg.IsWithin0to360(H7)</f>
        <v>0</v>
      </c>
      <c r="O7"/>
      <c r="P7" t="s">
        <v>0</v>
      </c>
      <c r="V7" s="1"/>
    </row>
    <row r="8" spans="1:22" ht="15" thickBot="1" x14ac:dyDescent="0.4">
      <c r="C8" s="21" t="s">
        <v>5</v>
      </c>
      <c r="D8" s="70">
        <v>4000</v>
      </c>
      <c r="E8" s="3" t="s">
        <v>6</v>
      </c>
      <c r="F8" cm="1">
        <f t="array" ref="F8">_xll.PE.deg.GetMinutes(F16)</f>
        <v>37</v>
      </c>
      <c r="G8" s="131" cm="1">
        <f t="array" ref="G8">_xll.PE.deg.GetDecimalMinutes(F16)</f>
        <v>37.650077321928137</v>
      </c>
      <c r="H8">
        <f>H7</f>
        <v>739</v>
      </c>
      <c r="I8" cm="1">
        <f t="array" ref="I8">_xll.PE.deg.Normalize180to180(H8)</f>
        <v>19</v>
      </c>
      <c r="J8" t="b" cm="1">
        <f t="array" ref="J8">_xll.PE.deg.IsWithin180to180(I8)</f>
        <v>1</v>
      </c>
      <c r="O8"/>
      <c r="V8" s="1"/>
    </row>
    <row r="9" spans="1:22" ht="15" thickBot="1" x14ac:dyDescent="0.4">
      <c r="F9" s="130" cm="1">
        <f t="array" ref="F9">_xll.PE.deg.GetSeconds(F16)</f>
        <v>39.004639315688223</v>
      </c>
      <c r="I9">
        <f>I8</f>
        <v>19</v>
      </c>
      <c r="J9" cm="1">
        <f t="array" ref="J9">_xll.PE.deg.ToRadians(I9)</f>
        <v>0.33161255787892258</v>
      </c>
      <c r="O9"/>
      <c r="S9" s="100" t="s">
        <v>129</v>
      </c>
      <c r="T9" s="95" t="s">
        <v>130</v>
      </c>
      <c r="V9" s="1"/>
    </row>
    <row r="10" spans="1:22" ht="15" thickBot="1" x14ac:dyDescent="0.4">
      <c r="C10" s="54" t="s">
        <v>139</v>
      </c>
      <c r="D10" s="176" t="str" cm="1">
        <f t="array" ref="D10:E13">_xll.PE.lib.Version(0)</f>
        <v>Assembly version</v>
      </c>
      <c r="E10" s="177" t="str">
        <v>1.0.0.0</v>
      </c>
      <c r="F10" cm="1">
        <f t="array" ref="F10">_xll.PE.deg.FromDmsValues(F7,F8,F9)</f>
        <v>19.627501288698802</v>
      </c>
      <c r="G10" cm="1">
        <f t="array" ref="G10">_xll.PE.deg.FromDmValues(G7,G8)</f>
        <v>19.627501288698802</v>
      </c>
      <c r="H10" s="112"/>
      <c r="I10" s="112"/>
      <c r="J10" cm="1">
        <f t="array" ref="J10">_xll.PE.deg.FromRadians(J9)</f>
        <v>19</v>
      </c>
      <c r="O10"/>
      <c r="S10" s="118" t="str" cm="1">
        <f t="array" ref="S10">_xll.PE.gps.AsKmlTracks(F15:G123)</f>
        <v xml:space="preserve">&lt;?xml version="1.0" encoding="UTF-8"?&gt;&lt;kml xmlns="http://www.opengis.net/kml/2.2" xmlns:gx="http://www.google.com/kml/ext/2.2" xmlns:atom="http://www.w3.org/2005/Atom"&gt;
&lt;Document&gt;&lt;atom:author&gt;&lt;atom:name&gt;Bart Duijndam&lt;/atom:name&gt;&lt;/atom:author&gt;&lt;Style id="style001"&gt;&lt;LineStyle&gt;&lt;color&gt;96ff00d5&lt;/color&gt;&lt;width&gt;3.0&lt;/width&gt;&lt;/LineStyle&gt;&lt;/Style&gt;
&lt;Placemark&gt;&lt;name&gt;&lt;name&gt;A_001&lt;/name&gt;&lt;/name&gt;&lt;styleUrl&gt;#style001&lt;/styleUrl&gt;&lt;MultiGeometry&gt;&lt;LineString&gt;&lt;coordinates&gt; 19.62750129,40.72865741 19.66228249,40.73409119 19.70866663,40.74132006 19.96114792,40.78031571 20.00759903,40.78742515 20.04244409,40.79274503 &lt;/coordinates&gt;&lt;/LineString&gt;&lt;/MultiGeometry&gt;&lt;/Placemark&gt;
&lt;Placemark&gt;&lt;name&gt;&lt;name&gt;A_002&lt;/name&gt;&lt;/name&gt;&lt;styleUrl&gt;#style001&lt;/styleUrl&gt;&lt;MultiGeometry&gt;&lt;LineString&gt;&lt;coordinates&gt; 19.66791271,40.70905889 19.70223219,40.71595944 19.74800291,40.72514444 19.85465938,40.74646776 20.09912497,40.79870154 20.14477660,40.80838949 20.17902421,40.81564368 &lt;/coordinates&gt;&lt;/LineString&gt;&lt;/MultiGeometry&gt;&lt;/Placemark&gt;
&lt;Placemark&gt;&lt;name&gt;&lt;name&gt;A_003&lt;/name&gt;&lt;/name&gt;&lt;styleUrl&gt;#style001&lt;/styleUrl&gt;&lt;MultiGeometry&gt;&lt;LineString&gt;&lt;coordinates&gt; 19.70109529,40.85563173 19.73344265,40.84439597 19.77655573,40.82940056 19.89229294,40.78903112 19.96568939,40.76092575 20.00797354,40.74470183 20.03967331,40.73252354 &lt;/coordinates&gt;&lt;/LineString&gt;&lt;/MultiGeometry&gt;&lt;/Placemark&gt;
&lt;Placemark&gt;&lt;name&gt;&lt;name&gt;B_008&lt;/name&gt;&lt;/name&gt;&lt;styleUrl&gt;#style001&lt;/styleUrl&gt;&lt;MultiGeometry&gt;&lt;LineString&gt;&lt;coordinates&gt; 19.87365246,40.32944753 19.90657473,40.33919413 19.95048610,40.35217520 20.25975872,40.44299225 20.30380720,40.45584015 20.33685471,40.46546513 &lt;/coordinates&gt;&lt;/LineString&gt;&lt;/MultiGeometry&gt;&lt;/Placemark&gt;
&lt;Placemark&gt;&lt;name&gt;&lt;name&gt;B_009&lt;/name&gt;&lt;/name&gt;&lt;styleUrl&gt;#style001&lt;/styleUrl&gt;&lt;MultiGeometry&gt;&lt;LineString&gt;&lt;coordinates&gt; 19.90020776,40.31240967 19.93354127,40.32128164 19.97799982,40.33309612 20.25551871,40.40636732 20.30009113,40.41805885 20.33353071,40.42681629 &lt;/coordinates&gt;&lt;/LineString&gt;&lt;/MultiGeometry&gt;&lt;/Placemark&gt;
&lt;Placemark&gt;&lt;name&gt;&lt;name&gt;B_010&lt;/name&gt;&lt;/name&gt;&lt;styleUrl&gt;#style001&lt;/styleUrl&gt;&lt;MultiGeometry&gt;&lt;LineString&gt;&lt;coordinates&gt; 19.92586096,40.29577482 19.95971689,40.30337811 20.00487024,40.31350055 20.25062865,40.36823389 20.29587036,40.37824342 20.32981058,40.38573901 &lt;/coordinates&gt;&lt;/LineString&gt;&lt;/MultiGeometry&gt;&lt;/Placemark&gt;
&lt;Placemark&gt;&lt;name&gt;&lt;name&gt;D_011&lt;/name&gt;&lt;/name&gt;&lt;styleUrl&gt;#style001&lt;/styleUrl&gt;&lt;MultiGeometry&gt;&lt;LineString&gt;&lt;coordinates&gt; 19.99171711,40.18397142 20.02126020,40.19868528 20.06067099,40.21829221 20.16354660,40.26935712 20.23697239,40.32323755 20.27097592,40.34814502 20.29649500,40.36681914 &lt;/coordinates&gt;&lt;/LineString&gt;&lt;/MultiGeometry&gt;&lt;/Placemark&gt;
&lt;Placemark&gt;&lt;name&gt;&lt;name&gt;D_012&lt;/name&gt;&lt;/name&gt;&lt;styleUrl&gt;#style001&lt;/styleUrl&gt;&lt;MultiGeometry&gt;&lt;LineString&gt;&lt;coordinates&gt; 20.00902181,40.10015177 20.03923947,40.11398901 20.07954890,40.13242656 20.19688230,40.18595905 20.33339927,40.26783938 20.37046690,40.29001025 20.39828357,40.30663068 &lt;/coordinates&gt;&lt;/LineString&gt;&lt;/MultiGeometry&gt;&lt;/Placemark&gt;
&lt;Placemark&gt;&lt;name&gt;&lt;name&gt;D_013&lt;/name&gt;&lt;/name&gt;&lt;styleUrl&gt;#style001&lt;/styleUrl&gt;&lt;MultiGeometry&gt;&lt;LineString&gt;&lt;coordinates&gt; 20.06999344,39.99490639 20.10019263,40.00870828 20.14047727,40.02709870 20.27805340,40.08972468 20.47274082,40.18897396 20.51190595,40.20886563 20.54129488,40.22377573 &lt;/coordinates&gt;&lt;/LineString&gt;&lt;/MultiGeometry&gt;&lt;/Placemark&gt;
&lt;Placemark&gt;&lt;name&gt;&lt;name&gt;D_014&lt;/name&gt;&lt;/name&gt;&lt;styleUrl&gt;#style001&lt;/styleUrl&gt;&lt;MultiGeometry&gt;&lt;LineString&gt;&lt;coordinates&gt; 20.04182284,40.34655953 20.06801759,40.32844903 20.10292216,40.30429215 20.24359133,40.20665226 20.43539022,40.06906793 20.46959808,40.04443667 20.49523782,40.02595642 &lt;/coordinates&gt;&lt;/LineString&gt;&lt;/MultiGeometry&gt;&lt;/Placemark&gt;
&lt;Placemark&gt;&lt;name&gt;&lt;name&gt;D_015&lt;/name&gt;&lt;/name&gt;&lt;styleUrl&gt;#style001&lt;/styleUrl&gt;&lt;MultiGeometry&gt;&lt;LineString&gt;&lt;coordinates&gt; 20.12261409,40.34590191 20.15073125,40.32956568 20.18819977,40.30777312 20.47463523,40.14030141 20.51189631,40.11840193 20.53982647,40.10196931 &lt;/coordinates&gt;&lt;/LineString&gt;&lt;/MultiGeometry&gt;&lt;/Placemark&gt;
&lt;Placemark&gt;&lt;name&gt;&lt;name&gt;D_016&lt;/name&gt;&lt;/name&gt;&lt;styleUrl&gt;#style001&lt;/styleUrl&gt;&lt;MultiGeometry&gt;&lt;LineString&gt;&lt;coordinates&gt; 19.98029510,40.24084983 20.00395632,40.22082681 20.03548291,40.19412156 20.26121758,40.00203074 20.29254254,39.97525263 20.31602018,39.95516326 &lt;/coordinates&gt;&lt;/LineString&gt;&lt;/MultiGeometry&gt;&lt;/Placemark&gt;
&lt;Placemark&gt;&lt;name&gt;&lt;name&gt;D_017&lt;/name&gt;&lt;/name&gt;&lt;styleUrl&gt;#style001&lt;/styleUrl&gt;&lt;MultiGeometry&gt;&lt;LineString&gt;&lt;coordinates&gt; 20.15524439,40.20579509 20.18373939,40.22168924 20.22175353,40.24287067 20.30204570,40.28752528 20.34013389,40.30866821 20.36871567,40.32451724 &lt;/coordinates&gt;&lt;/LineString&gt;&lt;/MultiGeometry&gt;&lt;/Placemark&gt;
&lt;/Document&gt;&lt;/kml&gt;
</v>
      </c>
      <c r="T10" s="118" t="str" cm="1">
        <f t="array" ref="T10">_xll.PE.gps.AsGpxTracks(F15:I123)</f>
        <v xml:space="preserve">&lt;?xml version="1.0" ?&gt;&lt;gpx xmlns="http://www.topografix.com/GPX/1/1" xmlns:xsi="http://www.w3.org/2001/XMLSchema-instance" xsi:schemaLocation="http://www.topografix.com/GPX/1/1 http://www.topografix.com/GPX/1/1/gpx.xsd" version="1.1" creator="GPS Data Team ( http://www.gps-data-team.com )"&gt;
&lt;trk&gt;&lt;name&gt;A_001&lt;/name&gt;&lt;cmt&gt;Comment 1&lt;/cmt&gt;&lt;desc&gt;Description 1&lt;/desc&gt;&lt;type &gt;line 1&lt;/type &gt;&lt;trkseg&gt;
&lt;trkpt lat="40.72865741" lon="19.62750129"&gt;&lt;ele&gt;77.0&lt;/ele&gt;&lt;name&gt;Line 2&lt;/name&gt;&lt;/trkpt&gt;
&lt;trkpt lat="40.73409119" lon="19.66228249"&gt;&lt;ele&gt;621.0&lt;/ele&gt;&lt;name&gt;Line 3&lt;/name&gt;&lt;/trkpt&gt;
&lt;trkpt lat="40.74132006" lon="19.70866663"&gt;&lt;ele&gt;636.0&lt;/ele&gt;&lt;name&gt;Line 4&lt;/name&gt;&lt;/trkpt&gt;
&lt;trkpt lat="40.78031571" lon="19.96114792"&gt;&lt;ele&gt;599.0&lt;/ele&gt;&lt;name&gt;Line 5&lt;/name&gt;&lt;/trkpt&gt;
&lt;trkpt lat="40.78742515" lon="20.00759903"&gt;&lt;ele&gt;906.0&lt;/ele&gt;&lt;name&gt;Line 6&lt;/name&gt;&lt;/trkpt&gt;
&lt;trkpt lat="40.79274503" lon="20.04244409"&gt;&lt;ele&gt;136.0&lt;/ele&gt;&lt;name&gt;Line 7&lt;/name&gt;&lt;/trkpt&gt;
&lt;/trkseg&gt;&lt;/trk&gt;
&lt;trk&gt;&lt;name&gt;A_002&lt;/name&gt;&lt;trkseg&gt;
&lt;trkpt lat="40.70905889" lon="19.66791271"&gt;&lt;ele&gt;956.0&lt;/ele&gt;&lt;time&gt;2022-03-07T09:45:00&lt;/time&gt;&lt;/trkpt&gt;
&lt;trkpt lat="40.71595944" lon="19.70223219"&gt;&lt;ele&gt;344.0&lt;/ele&gt;&lt;time&gt;2022-03-07T10:09:00&lt;/time&gt;&lt;/trkpt&gt;
&lt;trkpt lat="40.72514444" lon="19.74800291"&gt;&lt;ele&gt;458.0&lt;/ele&gt;&lt;time&gt;2022-03-07T10:33:00&lt;/time&gt;&lt;/trkpt&gt;
&lt;trkpt lat="40.74646776" lon="19.85465938"&gt;&lt;ele&gt;590.0&lt;/ele&gt;&lt;time&gt;2022-03-07T10:57:00&lt;/time&gt;&lt;/trkpt&gt;
&lt;trkpt lat="40.79870154" lon="20.09912497"&gt;&lt;ele&gt;331.0&lt;/ele&gt;&lt;time&gt;2022-03-07T11:21:00&lt;/time&gt;&lt;/trkpt&gt;
&lt;trkpt lat="40.80838949" lon="20.14477660"&gt;&lt;ele&gt;460.0&lt;/ele&gt;&lt;time&gt;2022-03-07T11:45:00&lt;/time&gt;&lt;/trkpt&gt;
&lt;trkpt lat="40.81564368" lon="20.17902421"&gt;&lt;ele&gt;820.0&lt;/ele&gt;&lt;time&gt;2022-03-07T12:09:00&lt;/time&gt;&lt;/trkpt&gt;
&lt;/trkseg&gt;&lt;/trk&gt;
&lt;trk&gt;&lt;name&gt;A_003&lt;/name&gt;&lt;trkseg&gt;
&lt;trkpt lat="40.85563173" lon="19.70109529"&gt;&lt;ele&gt;48.0&lt;/ele&gt;&lt;name&gt;Line 19&lt;/name&gt;&lt;/trkpt&gt;
&lt;trkpt lat="40.84439597" lon="19.73344265"&gt;&lt;ele&gt;928.0&lt;/ele&gt;&lt;name&gt;Line 20&lt;/name&gt;&lt;/trkpt&gt;
&lt;trkpt lat="40.82940056" lon="19.77655573"&gt;&lt;ele&gt;37.0&lt;/ele&gt;&lt;name&gt;Line 21&lt;/name&gt;&lt;/trkpt&gt;
&lt;trkpt lat="40.78903112" lon="19.89229294"&gt;&lt;ele&gt;762.0&lt;/ele&gt;&lt;name&gt;Line 22&lt;/name&gt;&lt;/trkpt&gt;
&lt;trkpt lat="40.76092575" lon="19.96568939"&gt;&lt;ele&gt;476.0&lt;/ele&gt;&lt;name&gt;Line 23&lt;/name&gt;&lt;/trkpt&gt;
&lt;trkpt lat="40.74470183" lon="20.00797354"&gt;&lt;ele&gt;385.0&lt;/ele&gt;&lt;name&gt;Line 24&lt;/name&gt;&lt;/trkpt&gt;
&lt;trkpt lat="40.73252354" lon="20.03967331"&gt;&lt;ele&gt;343.0&lt;/ele&gt;&lt;name&gt;Line 25&lt;/name&gt;&lt;/trkpt&gt;
&lt;/trkseg&gt;&lt;/trk&gt;
&lt;trk&gt;&lt;name&gt;B_008&lt;/name&gt;&lt;cmt&gt;Comment 2&lt;/cmt&gt;&lt;desc&gt;Description 2&lt;/desc&gt;&lt;type &gt;line 2&lt;/type &gt;&lt;trkseg&gt;
&lt;trkpt lat="40.32944753" lon="19.87365246"&gt;&lt;ele&gt;592.0&lt;/ele&gt;&lt;name&gt;Line 28&lt;/name&gt;&lt;/trkpt&gt;
&lt;trkpt lat="40.33919413" lon="19.90657473"&gt;&lt;ele&gt;282.0&lt;/ele&gt;&lt;name&gt;Line 29&lt;/name&gt;&lt;/trkpt&gt;
&lt;trkpt lat="40.35217520" lon="19.95048610"&gt;&lt;ele&gt;880.0&lt;/ele&gt;&lt;name&gt;Line 30&lt;/name&gt;&lt;/trkpt&gt;
&lt;trkpt lat="40.44299225" lon="20.25975872"&gt;&lt;ele&gt;381.0&lt;/ele&gt;&lt;name&gt;Line 31&lt;/name&gt;&lt;/trkpt&gt;
&lt;trkpt lat="40.45584015" lon="20.30380720"&gt;&lt;ele&gt;914.0&lt;/ele&gt;&lt;name&gt;Line 32&lt;/name&gt;&lt;/trkpt&gt;
&lt;trkpt lat="40.46546513" lon="20.33685471"&gt;&lt;ele&gt;426.0&lt;/ele&gt;&lt;name&gt;Line 33&lt;/name&gt;&lt;/trkpt&gt;
&lt;/trkseg&gt;&lt;/trk&gt;
&lt;trk&gt;&lt;name&gt;B_009&lt;/name&gt;&lt;trkseg&gt;
&lt;trkpt lat="40.31240967" lon="19.90020776"&gt;&lt;ele&gt;438.0&lt;/ele&gt;&lt;name&gt;Line 36&lt;/name&gt;&lt;/trkpt&gt;
&lt;trkpt lat="40.32128164" lon="19.93354127"&gt;&lt;ele&gt;349.0&lt;/ele&gt;&lt;name&gt;Line 37&lt;/name&gt;&lt;/trkpt&gt;
&lt;trkpt lat="40.33309612" lon="19.97799982"&gt;&lt;ele&gt;818.0&lt;/ele&gt;&lt;name&gt;Line 38&lt;/name&gt;&lt;/trkpt&gt;
&lt;trkpt lat="40.40636732" lon="20.25551871"&gt;&lt;ele&gt;533.0&lt;/ele&gt;&lt;name&gt;Line 39&lt;/name&gt;&lt;/trkpt&gt;
&lt;trkpt lat="40.41805885" lon="20.30009113"&gt;&lt;ele&gt;302.0&lt;/ele&gt;&lt;name&gt;Line 40&lt;/name&gt;&lt;/trkpt&gt;
&lt;trkpt lat="40.42681629" lon="20.33353071"&gt;&lt;ele&gt;699.0&lt;/ele&gt;&lt;name&gt;Line 41&lt;/name&gt;&lt;/trkpt&gt;
&lt;/trkseg&gt;&lt;/trk&gt;
&lt;trk&gt;&lt;name&gt;B_010&lt;/name&gt;&lt;trkseg&gt;
&lt;trkpt lat="40.29577482" lon="19.92586096"&gt;&lt;ele&gt;727.0&lt;/ele&gt;&lt;name&gt;Line 44&lt;/name&gt;&lt;/trkpt&gt;
&lt;trkpt lat="40.30337811" lon="19.95971689"&gt;&lt;ele&gt;618.0&lt;/ele&gt;&lt;name&gt;Line 45&lt;/name&gt;&lt;/trkpt&gt;
&lt;trkpt lat="40.31350055" lon="20.00487024"&gt;&lt;ele&gt;492.0&lt;/ele&gt;&lt;name&gt;Line 46&lt;/name&gt;&lt;/trkpt&gt;
&lt;trkpt lat="40.36823389" lon="20.25062865"&gt;&lt;ele&gt;565.0&lt;/ele&gt;&lt;name&gt;Line 47&lt;/name&gt;&lt;/trkpt&gt;
&lt;trkpt lat="40.37824342" lon="20.29587036"&gt;&lt;ele&gt;557.0&lt;/ele&gt;&lt;name&gt;Line 48&lt;/name&gt;&lt;/trkpt&gt;
&lt;trkpt lat="40.38573901" lon="20.32981058"&gt;&lt;ele&gt;577.0&lt;/ele&gt;&lt;name&gt;Line 49&lt;/name&gt;&lt;/trkpt&gt;
&lt;/trkseg&gt;&lt;/trk&gt;
&lt;trk&gt;&lt;name&gt;D_011&lt;/name&gt;&lt;trkseg&gt;
&lt;trkpt lat="40.18397142" lon="19.99171711"&gt;&lt;ele&gt;552.0&lt;/ele&gt;&lt;name&gt;Line 52&lt;/name&gt;&lt;/trkpt&gt;
&lt;trkpt lat="40.19868528" lon="20.02126020"&gt;&lt;ele&gt;327.0&lt;/ele&gt;&lt;name&gt;Line 53&lt;/name&gt;&lt;/trkpt&gt;
&lt;trkpt lat="40.21829221" lon="20.06067099"&gt;&lt;ele&gt;880.0&lt;/ele&gt;&lt;name&gt;Line 54&lt;/name&gt;&lt;/trkpt&gt;
&lt;trkpt lat="40.26935712" lon="20.16354660"&gt;&lt;ele&gt;125.0&lt;/ele&gt;&lt;name&gt;Line 55&lt;/name&gt;&lt;/trkpt&gt;
&lt;trkpt lat="40.32323755" lon="20.23697239"&gt;&lt;ele&gt;252.0&lt;/ele&gt;&lt;name&gt;Line 56&lt;/name&gt;&lt;/trkpt&gt;
&lt;trkpt lat="40.34814502" lon="20.27097592"&gt;&lt;ele&gt;863.0&lt;/ele&gt;&lt;name&gt;Line 57&lt;/name&gt;&lt;/trkpt&gt;
&lt;trkpt lat="40.36681914" lon="20.29649500"&gt;&lt;ele&gt;521.0&lt;/ele&gt;&lt;name&gt;Line 58&lt;/name&gt;&lt;/trkpt&gt;
&lt;/trkseg&gt;&lt;/trk&gt;
&lt;trk&gt;&lt;name&gt;D_012&lt;/name&gt;&lt;trkseg&gt;
&lt;trkpt lat="40.10015177" lon="20.00902181"&gt;&lt;ele&gt;685.0&lt;/ele&gt;&lt;name&gt;Line 61&lt;/name&gt;&lt;/trkpt&gt;
&lt;trkpt lat="40.11398901" lon="20.03923947"&gt;&lt;ele&gt;775.0&lt;/ele&gt;&lt;name&gt;Line 62&lt;/name&gt;&lt;/trkpt&gt;
&lt;trkpt lat="40.13242656" lon="20.07954890"&gt;&lt;ele&gt;366.0&lt;/ele&gt;&lt;name&gt;Line 63&lt;/name&gt;&lt;/trkpt&gt;
&lt;trkpt lat="40.18595905" lon="20.19688230"&gt;&lt;ele&gt;273.0&lt;/ele&gt;&lt;name&gt;Line 64&lt;/name&gt;&lt;/trkpt&gt;
&lt;trkpt lat="40.26783938" lon="20.33339927"&gt;&lt;ele&gt;158.0&lt;/ele&gt;&lt;name&gt;Line 65&lt;/name&gt;&lt;/trkpt&gt;
&lt;trkpt lat="40.29001025" lon="20.37046690"&gt;&lt;ele&gt;562.0&lt;/ele&gt;&lt;name&gt;Line 66&lt;/name&gt;&lt;/trkpt&gt;
&lt;trkpt lat="40.30663068" lon="20.39828357"&gt;&lt;ele&gt;502.0&lt;/ele&gt;&lt;name&gt;Line 67&lt;/name&gt;&lt;/trkpt&gt;
&lt;/trkseg&gt;&lt;/trk&gt;
&lt;trk&gt;&lt;name&gt;D_013&lt;/name&gt;&lt;trkseg&gt;
&lt;trkpt lat="39.99490639" lon="20.06999344"&gt;&lt;ele&gt;850.0&lt;/ele&gt;&lt;name&gt;Line 70&lt;/name&gt;&lt;/trkpt&gt;
&lt;trkpt lat="40.00870828" lon="20.10019263"&gt;&lt;ele&gt;741.0&lt;/ele&gt;&lt;name&gt;Line 71&lt;/name&gt;&lt;/trkpt&gt;
&lt;trkpt lat="40.02709870" lon="20.14047727"&gt;&lt;ele&gt;209.0&lt;/ele&gt;&lt;name&gt;Line 72&lt;/name&gt;&lt;/trkpt&gt;
&lt;trkpt lat="40.08972468" lon="20.27805340"&gt;&lt;ele&gt;60.0&lt;/ele&gt;&lt;name&gt;Line 73&lt;/name&gt;&lt;/trkpt&gt;
&lt;trkpt lat="40.18897396" lon="20.47274082"&gt;&lt;ele&gt;297.0&lt;/ele&gt;&lt;name&gt;Line 74&lt;/name&gt;&lt;/trkpt&gt;
&lt;trkpt lat="40.20886563" lon="20.51190595"&gt;&lt;ele&gt;541.0&lt;/ele&gt;&lt;name&gt;Line 75&lt;/name&gt;&lt;/trkpt&gt;
&lt;trkpt lat="40.22377573" lon="20.54129488"&gt;&lt;ele&gt;944.0&lt;/ele&gt;&lt;name&gt;Line 76&lt;/name&gt;&lt;/trkpt&gt;
&lt;/trkseg&gt;&lt;/trk&gt;
&lt;trk&gt;&lt;name&gt;D_014&lt;/name&gt;&lt;trkseg&gt;
&lt;trkpt lat="40.34655953" lon="20.04182284"&gt;&lt;ele&gt;873.0&lt;/ele&gt;&lt;name&gt;Line 79&lt;/name&gt;&lt;/trkpt&gt;
&lt;trkpt lat="40.32844903" lon="20.06801759"&gt;&lt;ele&gt;260.0&lt;/ele&gt;&lt;name&gt;Line 80&lt;/name&gt;&lt;/trkpt&gt;
&lt;trkpt lat="40.30429215" lon="20.10292216"&gt;&lt;ele&gt;248.0&lt;/ele&gt;&lt;name&gt;Line 81&lt;/name&gt;&lt;/trkpt&gt;
&lt;trkpt lat="40.20665226" lon="20.24359133"&gt;&lt;ele&gt;45.0&lt;/ele&gt;&lt;name&gt;Line 82&lt;/name&gt;&lt;/trkpt&gt;
&lt;trkpt lat="40.06906793" lon="20.43539022"&gt;&lt;ele&gt;47.0&lt;/ele&gt;&lt;name&gt;Line 83&lt;/name&gt;&lt;/trkpt&gt;
&lt;trkpt lat="40.04443667" lon="20.46959808"&gt;&lt;ele&gt;26.0&lt;/ele&gt;&lt;name&gt;Line 84&lt;/name&gt;&lt;/trkpt&gt;
&lt;trkpt lat="40.02595642" lon="20.49523782"&gt;&lt;ele&gt;820.0&lt;/ele&gt;&lt;name&gt;Line 85&lt;/name&gt;&lt;/trkpt&gt;
&lt;/trkseg&gt;&lt;/trk&gt;
&lt;trk&gt;&lt;name&gt;D_015&lt;/name&gt;&lt;trkseg&gt;
&lt;trkpt lat="40.34590191" lon="20.12261409"&gt;&lt;ele&gt;34.0&lt;/ele&gt;&lt;name&gt;Line 88&lt;/name&gt;&lt;/trkpt&gt;
&lt;trkpt lat="40.32956568" lon="20.15073125"&gt;&lt;ele&gt;18.0&lt;/ele&gt;&lt;name&gt;Line 89&lt;/name&gt;&lt;/trkpt&gt;
&lt;trkpt lat="40.30777312" lon="20.18819977"&gt;&lt;ele&gt;936.0&lt;/ele&gt;&lt;name&gt;Line 90&lt;/name&gt;&lt;/trkpt&gt;
&lt;trkpt lat="40.14030141" lon="20.47463523"&gt;&lt;ele&gt;665.0&lt;/ele&gt;&lt;name&gt;Line 91&lt;/name&gt;&lt;/trkpt&gt;
&lt;trkpt lat="40.11840193" lon="20.51189631"&gt;&lt;ele&gt;806.0&lt;/ele&gt;&lt;name&gt;Line 92&lt;/name&gt;&lt;/trkpt&gt;
&lt;trkpt lat="40.10196931" lon="20.53982647"&gt;&lt;ele&gt;8.0&lt;/ele&gt;&lt;name&gt;Line 93&lt;/name&gt;&lt;/trkpt&gt;
&lt;/trkseg&gt;&lt;/trk&gt;
&lt;trk&gt;&lt;name&gt;D_016&lt;/name&gt;&lt;trkseg&gt;
&lt;trkpt lat="40.24084983" lon="19.98029510"&gt;&lt;ele&gt;364.0&lt;/ele&gt;&lt;name&gt;Line 96&lt;/name&gt;&lt;/trkpt&gt;
&lt;trkpt lat="40.22082681" lon="20.00395632"&gt;&lt;ele&gt;990.0&lt;/ele&gt;&lt;name&gt;Line 97&lt;/name&gt;&lt;/trkpt&gt;
&lt;trkpt lat="40.19412156" lon="20.03548291"&gt;&lt;ele&gt;916.0&lt;/ele&gt;&lt;name&gt;Line 98&lt;/name&gt;&lt;/trkpt&gt;
&lt;trkpt lat="40.00203074" lon="20.26121758"&gt;&lt;ele&gt;221.0&lt;/ele&gt;&lt;name&gt;Line 99&lt;/name&gt;&lt;/trkpt&gt;
&lt;trkpt lat="39.97525263" lon="20.29254254"&gt;&lt;ele&gt;570.0&lt;/ele&gt;&lt;name&gt;Line 100&lt;/name&gt;&lt;/trkpt&gt;
&lt;trkpt lat="39.95516326" lon="20.31602018"&gt;&lt;ele&gt;398.0&lt;/ele&gt;&lt;name&gt;Line 101&lt;/name&gt;&lt;/trkpt&gt;
&lt;/trkseg&gt;&lt;/trk&gt;
&lt;trk&gt;&lt;name&gt;D_017&lt;/name&gt;&lt;trkseg&gt;
&lt;trkpt lat="40.20579509" lon="20.15524439"&gt;&lt;ele&gt;790.0&lt;/ele&gt;&lt;name&gt;Line 104&lt;/name&gt;&lt;/trkpt&gt;
&lt;trkpt lat="40.22168924" lon="20.18373939"&gt;&lt;ele&gt;618.0&lt;/ele&gt;&lt;name&gt;Line 105&lt;/name&gt;&lt;/trkpt&gt;
&lt;trkpt lat="40.24287067" lon="20.22175353"&gt;&lt;ele&gt;443.0&lt;/ele&gt;&lt;name&gt;Line 106&lt;/name&gt;&lt;/trkpt&gt;
&lt;trkpt lat="40.28752528" lon="20.30204570"&gt;&lt;ele&gt;539.0&lt;/ele&gt;&lt;name&gt;Line 107&lt;/name&gt;&lt;/trkpt&gt;
&lt;trkpt lat="40.30866821" lon="20.34013389"&gt;&lt;ele&gt;819.0&lt;/ele&gt;&lt;name&gt;Line 108&lt;/name&gt;&lt;/trkpt&gt;
&lt;trkpt lat="40.32451724" lon="20.36871567"&gt;&lt;ele&gt;792.0&lt;/ele&gt;&lt;name&gt;Line 109&lt;/name&gt;&lt;/trkpt&gt;
&lt;/trkseg&gt;&lt;/trk&gt;
&lt;/gpx&gt;
</v>
      </c>
      <c r="U10" t="s">
        <v>0</v>
      </c>
      <c r="V10" s="1"/>
    </row>
    <row r="11" spans="1:22" ht="15" thickBot="1" x14ac:dyDescent="0.4">
      <c r="C11" s="55"/>
      <c r="D11" s="178" t="str">
        <v>File version</v>
      </c>
      <c r="E11" s="179" t="str">
        <v>1.0.261011.1728</v>
      </c>
      <c r="G11" s="61"/>
      <c r="H11" s="61"/>
      <c r="I11" s="61"/>
      <c r="O11"/>
    </row>
    <row r="12" spans="1:22" ht="15" thickBot="1" x14ac:dyDescent="0.4">
      <c r="C12" s="43"/>
      <c r="D12" s="180" t="str">
        <v>Info version</v>
      </c>
      <c r="E12" s="181" t="str">
        <v>1.0.261011.1728</v>
      </c>
      <c r="O12"/>
      <c r="S12" s="100" t="s">
        <v>44</v>
      </c>
      <c r="T12" s="95" t="s">
        <v>45</v>
      </c>
    </row>
    <row r="13" spans="1:22" ht="15" thickBot="1" x14ac:dyDescent="0.4">
      <c r="C13" s="43" t="s">
        <v>134</v>
      </c>
      <c r="D13" s="180" t="str">
        <v>Proj version</v>
      </c>
      <c r="E13" s="181" t="str">
        <v>9.5.1</v>
      </c>
      <c r="O13"/>
      <c r="S13" s="46" t="s">
        <v>23</v>
      </c>
      <c r="T13" s="96" t="s">
        <v>0</v>
      </c>
    </row>
    <row r="14" spans="1:22" ht="15" thickBot="1" x14ac:dyDescent="0.4">
      <c r="F14" s="4" t="s">
        <v>15</v>
      </c>
      <c r="G14" s="5" t="s">
        <v>16</v>
      </c>
      <c r="H14" s="4" t="s">
        <v>128</v>
      </c>
      <c r="I14" s="5" t="s">
        <v>127</v>
      </c>
      <c r="O14"/>
      <c r="S14" s="47" t="s">
        <v>20</v>
      </c>
      <c r="T14" s="97" t="s">
        <v>18</v>
      </c>
      <c r="U14" t="s">
        <v>0</v>
      </c>
    </row>
    <row r="15" spans="1:22" ht="15" thickBot="1" x14ac:dyDescent="0.4">
      <c r="C15" s="11" t="s">
        <v>30</v>
      </c>
      <c r="D15" s="4" t="s">
        <v>3</v>
      </c>
      <c r="E15" s="5" t="s">
        <v>4</v>
      </c>
      <c r="F15" s="113" t="str">
        <f>C15</f>
        <v>A_001</v>
      </c>
      <c r="G15" s="113" t="s">
        <v>125</v>
      </c>
      <c r="H15" s="117" t="s">
        <v>126</v>
      </c>
      <c r="I15" s="117" t="s">
        <v>47</v>
      </c>
      <c r="J15" s="4" t="s">
        <v>15</v>
      </c>
      <c r="K15" s="5" t="s">
        <v>16</v>
      </c>
      <c r="L15" s="4" t="s">
        <v>15</v>
      </c>
      <c r="M15" s="5" t="s">
        <v>16</v>
      </c>
      <c r="N15" s="4" t="s">
        <v>42</v>
      </c>
      <c r="O15" s="5" t="s">
        <v>43</v>
      </c>
      <c r="P15" s="2" t="s">
        <v>1</v>
      </c>
      <c r="Q15" s="107" t="s">
        <v>2</v>
      </c>
      <c r="R15" s="2" t="s">
        <v>1</v>
      </c>
      <c r="S15" s="44" t="str">
        <f>CONCATENATE("&lt;Placemark&gt;&lt;name&gt;",A20,"&lt;/name&gt;&lt;styleUrl&gt;#track001&lt;/styleUrl&gt;&lt;MultiGeometry&gt;&lt;LineString&gt;&lt;coordinates&gt;")</f>
        <v>&lt;Placemark&gt;&lt;name&gt;A_001&lt;/name&gt;&lt;styleUrl&gt;#track001&lt;/styleUrl&gt;&lt;MultiGeometry&gt;&lt;LineString&gt;&lt;coordinates&gt;</v>
      </c>
      <c r="T15" s="98" t="str">
        <f>CONCATENATE("&lt;trk&gt;&lt;name&gt;",A20,"&lt;/name&gt;&lt;trkseg&gt;")</f>
        <v>&lt;trk&gt;&lt;name&gt;A_001&lt;/name&gt;&lt;trkseg&gt;</v>
      </c>
    </row>
    <row r="16" spans="1:22" ht="15" thickBot="1" x14ac:dyDescent="0.4">
      <c r="A16" s="24"/>
      <c r="B16" s="101">
        <v>1</v>
      </c>
      <c r="C16" s="12" t="s">
        <v>13</v>
      </c>
      <c r="D16" s="26">
        <f>D17-$D$7*SIN(RADIANS(Q17))</f>
        <v>4384181.1909950031</v>
      </c>
      <c r="E16" s="27">
        <f>E17-$D$7*COS(RADIANS(Q17))</f>
        <v>4511477.2929155556</v>
      </c>
      <c r="F16" s="132" cm="1">
        <f t="array" ref="F16:G16">_xll.PE.trf.FromEpsgNoToEpsgNo($D$4,$D$5,D16,E16)</f>
        <v>19.627501288698802</v>
      </c>
      <c r="G16" s="134">
        <v>40.728657406572829</v>
      </c>
      <c r="H16" s="152">
        <v>77</v>
      </c>
      <c r="I16" s="153" t="s">
        <v>48</v>
      </c>
      <c r="J16" s="119" t="str" cm="1">
        <f t="array" ref="J16">_xll.PE.deg.AsString(F16,1, "dd.dddddd°")</f>
        <v>19.627501°E</v>
      </c>
      <c r="K16" s="125" t="str" cm="1">
        <f t="array" ref="K16">_xll.PE.deg.AsString(G16,2, "dd.dddddd°")</f>
        <v>40.728657°N</v>
      </c>
      <c r="L16" s="121" cm="1">
        <f t="array" ref="L16">_xll.PE.deg.FromString(J16)</f>
        <v>19.627500999999999</v>
      </c>
      <c r="M16" s="122" cm="1">
        <f t="array" ref="M16">_xll.PE.deg.FromString(K16)</f>
        <v>40.728656999999998</v>
      </c>
      <c r="N16" s="83">
        <f t="shared" ref="N16:O21" si="0">F16-L16</f>
        <v>2.8869880352999644E-7</v>
      </c>
      <c r="O16" s="127">
        <f t="shared" si="0"/>
        <v>4.0657283051359627E-7</v>
      </c>
      <c r="P16" s="161">
        <f>SQRT((D17-D16)^2+(E17-E16)^2)</f>
        <v>2999.9999999995161</v>
      </c>
      <c r="Q16" s="108">
        <f>IF(DEGREES(ATAN2(E17-E16,D17-D16))&lt;0,DEGREES(ATAN2(E17-E16,D17-D16))+360,(DEGREES(ATAN2(E17-E16,D17-D16))))</f>
        <v>79.278834728222535</v>
      </c>
      <c r="R16" s="89"/>
      <c r="S16" s="44" t="str">
        <f t="shared" ref="S16:S21" si="1">CONCATENATE(TEXT(F16,"#.00000000"),",",TEXT(G16,"#.00000000"))</f>
        <v>19.62750129,40.72865741</v>
      </c>
      <c r="T16" s="98" t="str">
        <f t="shared" ref="T16:T21" si="2">CONCATENATE("&lt;trkpt lon=""",TEXT(F16,"#.00000000"),""" lat=""",TEXT(G16,"#.00000000"),"""","&gt;&lt;name&gt;S",TEXT(B16,"00"),"&lt;/name&gt;&lt;/trkpt&gt;")</f>
        <v>&lt;trkpt lon="19.62750129" lat="40.72865741"&gt;&lt;name&gt;S01&lt;/name&gt;&lt;/trkpt&gt;</v>
      </c>
    </row>
    <row r="17" spans="1:20" ht="15" thickBot="1" x14ac:dyDescent="0.4">
      <c r="A17" s="24"/>
      <c r="B17" s="102">
        <v>2</v>
      </c>
      <c r="C17" s="12" t="s">
        <v>5</v>
      </c>
      <c r="D17" s="37">
        <f>D18-$D$8*SIN(RADIANS(Q18))</f>
        <v>4387128.8234257158</v>
      </c>
      <c r="E17" s="38">
        <f>E18-$D$8*COS(RADIANS(Q18))</f>
        <v>4512035.3816660317</v>
      </c>
      <c r="F17" s="135" cm="1">
        <f t="array" ref="F17:G17">_xll.PE.trf.FromEpsgNoToEpsgNo($D$4,$D$5,D17,E17)</f>
        <v>19.662282485406411</v>
      </c>
      <c r="G17" s="137">
        <v>40.734091192706153</v>
      </c>
      <c r="H17" s="154">
        <v>621</v>
      </c>
      <c r="I17" s="155" t="s">
        <v>49</v>
      </c>
      <c r="J17" s="120" t="str" cm="1">
        <f t="array" ref="J17">_xll.PE.deg.AsString(F17,3, "dd°mm'ss.sss""")</f>
        <v>E19°39'44.217"</v>
      </c>
      <c r="K17" s="126" t="str" cm="1">
        <f t="array" ref="K17">_xll.PE.deg.AsString(G17,4, "dd°mm'ss.sss""")</f>
        <v>N40°44'02.728"</v>
      </c>
      <c r="L17" s="123" cm="1">
        <f t="array" ref="L17">_xll.PE.deg.FromString(J17)</f>
        <v>19.6622825</v>
      </c>
      <c r="M17" s="124" cm="1">
        <f t="array" ref="M17">_xll.PE.deg.FromString(K17)</f>
        <v>40.734091111111113</v>
      </c>
      <c r="N17" s="128">
        <f t="shared" si="0"/>
        <v>-1.4593588559819182E-8</v>
      </c>
      <c r="O17" s="129">
        <f t="shared" si="0"/>
        <v>8.159504005789131E-8</v>
      </c>
      <c r="P17" s="162">
        <f>SQRT((D18-D17)^2+(E18-E17)^2)</f>
        <v>4000.0000000000232</v>
      </c>
      <c r="Q17" s="89">
        <f>IF(DEGREES(ATAN2(E18-E17,D18-D17))&lt;0,DEGREES(ATAN2(E18-E17,D18-D17))+360,(DEGREES(ATAN2(E18-E17,D18-D17))))</f>
        <v>79.27883472821982</v>
      </c>
      <c r="R17" s="21">
        <v>2462</v>
      </c>
      <c r="S17" s="44" t="str">
        <f t="shared" si="1"/>
        <v>19.66228249,40.73409119</v>
      </c>
      <c r="T17" s="98" t="str">
        <f t="shared" si="2"/>
        <v>&lt;trkpt lon="19.66228249" lat="40.73409119"&gt;&lt;name&gt;S02&lt;/name&gt;&lt;/trkpt&gt;</v>
      </c>
    </row>
    <row r="18" spans="1:20" ht="15" thickBot="1" x14ac:dyDescent="0.4">
      <c r="A18" s="24"/>
      <c r="B18" s="102">
        <v>3</v>
      </c>
      <c r="C18" s="12" t="s">
        <v>8</v>
      </c>
      <c r="D18" s="18">
        <v>4391059</v>
      </c>
      <c r="E18" s="28">
        <v>4512779.5</v>
      </c>
      <c r="F18" s="138" cm="1">
        <f t="array" ref="F18:G18">_xll.PE.trf.FromEpsgNoToEpsgNo($D$4,$D$5,D18,E18)</f>
        <v>19.708666633032713</v>
      </c>
      <c r="G18" s="140">
        <v>40.741320058972271</v>
      </c>
      <c r="H18" s="156">
        <v>636</v>
      </c>
      <c r="I18" s="155" t="s">
        <v>50</v>
      </c>
      <c r="J18" s="144" t="str" cm="1">
        <f t="array" ref="J18">_xll.PE.deg.AsString(F18)</f>
        <v>19 42 31</v>
      </c>
      <c r="K18" s="139" t="str" cm="1">
        <f t="array" ref="K18">_xll.PE.deg.AsString(G18)</f>
        <v>40 44 29</v>
      </c>
      <c r="L18" s="145" cm="1">
        <f t="array" ref="L18">_xll.PE.deg.FromString(J18)</f>
        <v>19.708611111111111</v>
      </c>
      <c r="M18" s="146" cm="1">
        <f t="array" ref="M18">_xll.PE.deg.FromString(K18)</f>
        <v>40.741388888888892</v>
      </c>
      <c r="N18" s="85">
        <f t="shared" si="0"/>
        <v>5.5521921602519342E-5</v>
      </c>
      <c r="O18" s="81">
        <f t="shared" si="0"/>
        <v>-6.8829916621382381E-5</v>
      </c>
      <c r="P18" s="163">
        <f>SQRT((D19-D18)^2+(E19-E18)^2)</f>
        <v>21757.292168374261</v>
      </c>
      <c r="Q18" s="93">
        <f>IF(DEGREES(ATAN2(E19-E18,D19-D18))&lt;0,DEGREES(ATAN2(E19-E18,D19-D18))+360,(DEGREES(ATAN2(E19-E18,D19-D18))))</f>
        <v>79.278834728215031</v>
      </c>
      <c r="R18" s="90" cm="1">
        <f t="array" ref="R18">_xll.PE.crs.GeodesicDistance($D$4,D17:E20)</f>
        <v>29753.732339481572</v>
      </c>
      <c r="S18" s="44" t="str">
        <f t="shared" si="1"/>
        <v>19.70866663,40.74132006</v>
      </c>
      <c r="T18" s="98" t="str">
        <f t="shared" si="2"/>
        <v>&lt;trkpt lon="19.70866663" lat="40.74132006"&gt;&lt;name&gt;S03&lt;/name&gt;&lt;/trkpt&gt;</v>
      </c>
    </row>
    <row r="19" spans="1:20" ht="15" thickBot="1" x14ac:dyDescent="0.4">
      <c r="A19" s="24"/>
      <c r="B19" s="102">
        <v>4</v>
      </c>
      <c r="C19" s="12" t="s">
        <v>7</v>
      </c>
      <c r="D19" s="18">
        <v>4412436.5</v>
      </c>
      <c r="E19" s="28">
        <v>4516827</v>
      </c>
      <c r="F19" s="138" cm="1">
        <f t="array" ref="F19:G19">_xll.PE.trf.FromEpsgNoToEpsgNo($D$4,$D$5,D19,E19)</f>
        <v>19.961147921469532</v>
      </c>
      <c r="G19" s="140">
        <v>40.780315713923812</v>
      </c>
      <c r="H19" s="156">
        <v>599</v>
      </c>
      <c r="I19" s="155" t="s">
        <v>51</v>
      </c>
      <c r="J19" s="144" t="str" cm="1">
        <f t="array" ref="J19">_xll.PE.deg.AsString(F19)</f>
        <v>19 57 40</v>
      </c>
      <c r="K19" s="139" t="str" cm="1">
        <f t="array" ref="K19">_xll.PE.deg.AsString(G19)</f>
        <v>40 46 49</v>
      </c>
      <c r="L19" s="145" cm="1">
        <f t="array" ref="L19">_xll.PE.deg.FromString(J19)</f>
        <v>19.961111111111112</v>
      </c>
      <c r="M19" s="146" cm="1">
        <f t="array" ref="M19">_xll.PE.deg.FromString(K19)</f>
        <v>40.780277777777776</v>
      </c>
      <c r="N19" s="85">
        <f t="shared" si="0"/>
        <v>3.6810358420069633E-5</v>
      </c>
      <c r="O19" s="81">
        <f t="shared" si="0"/>
        <v>3.7936146036088303E-5</v>
      </c>
      <c r="P19" s="162">
        <f>SQRT((D20-D19)^2+(E20-E19)^2)</f>
        <v>4000.0000000000232</v>
      </c>
      <c r="Q19" s="89">
        <f>IF(DEGREES(ATAN2(E20-E19,D20-D19))&lt;0,DEGREES(ATAN2(E20-E19,D20-D19))+360,(DEGREES(ATAN2(E20-E19,D20-D19))))</f>
        <v>79.27883472821982</v>
      </c>
      <c r="R19" s="89"/>
      <c r="S19" s="44" t="str">
        <f t="shared" si="1"/>
        <v>19.96114792,40.78031571</v>
      </c>
      <c r="T19" s="98" t="str">
        <f t="shared" si="2"/>
        <v>&lt;trkpt lon="19.96114792" lat="40.78031571"&gt;&lt;name&gt;S04&lt;/name&gt;&lt;/trkpt&gt;</v>
      </c>
    </row>
    <row r="20" spans="1:20" ht="15" thickBot="1" x14ac:dyDescent="0.4">
      <c r="A20" s="24" t="str">
        <f>C15</f>
        <v>A_001</v>
      </c>
      <c r="B20" s="102">
        <v>5</v>
      </c>
      <c r="C20" s="12" t="s">
        <v>5</v>
      </c>
      <c r="D20" s="37">
        <f>D19+$D$8*SIN(RADIANS(Q18))</f>
        <v>4416366.6765742842</v>
      </c>
      <c r="E20" s="38">
        <f>E19+$D$8*COS(RADIANS(Q18))</f>
        <v>4517571.1183339683</v>
      </c>
      <c r="F20" s="135" cm="1">
        <f t="array" ref="F20:G20">_xll.PE.trf.FromEpsgNoToEpsgNo($D$4,$D$5,D20,E20)</f>
        <v>20.007599027220387</v>
      </c>
      <c r="G20" s="137">
        <v>40.787425154590217</v>
      </c>
      <c r="H20" s="154">
        <v>906</v>
      </c>
      <c r="I20" s="155" t="s">
        <v>52</v>
      </c>
      <c r="J20" s="144" t="str" cm="1">
        <f t="array" ref="J20">_xll.PE.deg.AsString(F20)</f>
        <v>20 00 27</v>
      </c>
      <c r="K20" s="136" t="str" cm="1">
        <f t="array" ref="K20">_xll.PE.deg.AsString(G20)</f>
        <v>40 47 15</v>
      </c>
      <c r="L20" s="147" cm="1">
        <f t="array" ref="L20">_xll.PE.deg.FromString(J20)</f>
        <v>20.0075</v>
      </c>
      <c r="M20" s="148" cm="1">
        <f t="array" ref="M20">_xll.PE.deg.FromString(K20)</f>
        <v>40.787500000000001</v>
      </c>
      <c r="N20" s="84">
        <f t="shared" si="0"/>
        <v>9.9027220386460613E-5</v>
      </c>
      <c r="O20" s="80">
        <f t="shared" si="0"/>
        <v>-7.4845409784529693E-5</v>
      </c>
      <c r="P20" s="162">
        <f>SQRT((D21-D20)^2+(E21-E20)^2)</f>
        <v>2999.9999999995161</v>
      </c>
      <c r="Q20" s="89">
        <f>IF(DEGREES(ATAN2(E21-E20,D21-D20))&lt;0,DEGREES(ATAN2(E21-E20,D21-D20))+360,(DEGREES(ATAN2(E21-E20,D21-D20))))</f>
        <v>79.278834728222535</v>
      </c>
      <c r="R20" s="5">
        <v>4326</v>
      </c>
      <c r="S20" s="44" t="str">
        <f t="shared" si="1"/>
        <v>20.00759903,40.78742515</v>
      </c>
      <c r="T20" s="98" t="str">
        <f t="shared" si="2"/>
        <v>&lt;trkpt lon="20.00759903" lat="40.78742515"&gt;&lt;name&gt;S05&lt;/name&gt;&lt;/trkpt&gt;</v>
      </c>
    </row>
    <row r="21" spans="1:20" ht="15" thickBot="1" x14ac:dyDescent="0.4">
      <c r="A21" s="24"/>
      <c r="B21" s="103">
        <v>6</v>
      </c>
      <c r="C21" s="13" t="s">
        <v>13</v>
      </c>
      <c r="D21" s="29">
        <f>D20+$D$7*SIN(RADIANS(Q19))</f>
        <v>4419314.3090049969</v>
      </c>
      <c r="E21" s="30">
        <f>E20+$D$7*COS(RADIANS(Q19))</f>
        <v>4518129.2070844444</v>
      </c>
      <c r="F21" s="141" cm="1">
        <f t="array" ref="F21:G21">_xll.PE.trf.FromEpsgNoToEpsgNo($D$4,$D$5,D21,E21)</f>
        <v>20.042444089865263</v>
      </c>
      <c r="G21" s="143">
        <v>40.792745029791639</v>
      </c>
      <c r="H21" s="157">
        <v>136</v>
      </c>
      <c r="I21" s="155" t="s">
        <v>53</v>
      </c>
      <c r="J21" s="149" t="str" cm="1">
        <f t="array" ref="J21">_xll.PE.deg.AsString(F21)</f>
        <v>20 02 33</v>
      </c>
      <c r="K21" s="142" t="str" cm="1">
        <f t="array" ref="K21">_xll.PE.deg.AsString(G21)</f>
        <v>40 47 34</v>
      </c>
      <c r="L21" s="150" cm="1">
        <f t="array" ref="L21">_xll.PE.deg.FromString(J21)</f>
        <v>20.0425</v>
      </c>
      <c r="M21" s="151" cm="1">
        <f t="array" ref="M21">_xll.PE.deg.FromString(K21)</f>
        <v>40.792777777777779</v>
      </c>
      <c r="N21" s="86">
        <f t="shared" si="0"/>
        <v>-5.5910134737047201E-5</v>
      </c>
      <c r="O21" s="82">
        <f t="shared" si="0"/>
        <v>-3.2747986139725072E-5</v>
      </c>
      <c r="P21" s="164">
        <f>SUM(P17:P19)</f>
        <v>29757.292168374304</v>
      </c>
      <c r="Q21" s="36" t="s">
        <v>14</v>
      </c>
      <c r="R21" s="90" cm="1">
        <f t="array" ref="R21">_xll.PE.crs.GeodesicDistance($D$5,L17:M20)</f>
        <v>29746.96750261393</v>
      </c>
      <c r="S21" s="44" t="str">
        <f t="shared" si="1"/>
        <v>20.04244409,40.79274503</v>
      </c>
      <c r="T21" s="98" t="str">
        <f t="shared" si="2"/>
        <v>&lt;trkpt lon="20.04244409" lat="40.79274503"&gt;&lt;name&gt;S06&lt;/name&gt;&lt;/trkpt&gt;</v>
      </c>
    </row>
    <row r="22" spans="1:20" ht="15" thickBot="1" x14ac:dyDescent="0.4">
      <c r="A22" s="24"/>
      <c r="B22" s="104"/>
      <c r="C22" s="22"/>
      <c r="D22" s="31"/>
      <c r="E22" s="31"/>
      <c r="F22" s="114"/>
      <c r="G22" s="42"/>
      <c r="H22" s="42"/>
      <c r="I22" s="88"/>
      <c r="J22" s="42"/>
      <c r="K22" s="42"/>
      <c r="L22" s="42"/>
      <c r="M22" s="42"/>
      <c r="N22" s="42"/>
      <c r="O22" s="42"/>
      <c r="P22" s="25">
        <f>P18</f>
        <v>21757.292168374261</v>
      </c>
      <c r="Q22" s="106" t="s">
        <v>12</v>
      </c>
      <c r="R22" s="91"/>
      <c r="S22" s="44" t="s">
        <v>21</v>
      </c>
      <c r="T22" s="98" t="str">
        <f>CONCATENATE("&lt;/trkseg&gt;&lt;/trk&gt;")</f>
        <v>&lt;/trkseg&gt;&lt;/trk&gt;</v>
      </c>
    </row>
    <row r="23" spans="1:20" ht="15" thickBot="1" x14ac:dyDescent="0.4">
      <c r="A23" s="24"/>
      <c r="B23" s="104"/>
      <c r="C23" s="11" t="s">
        <v>31</v>
      </c>
      <c r="D23" s="32"/>
      <c r="E23" s="33"/>
      <c r="F23" s="113" t="str">
        <f>C23</f>
        <v>A_002</v>
      </c>
      <c r="G23" s="113">
        <v>1</v>
      </c>
      <c r="H23" s="113">
        <v>2</v>
      </c>
      <c r="I23" s="113">
        <v>3</v>
      </c>
      <c r="J23" s="40"/>
      <c r="K23" s="40"/>
      <c r="L23" s="40"/>
      <c r="M23" s="40"/>
      <c r="N23" s="40"/>
      <c r="O23" s="40"/>
      <c r="P23" s="16"/>
      <c r="Q23" s="109"/>
      <c r="R23" s="92"/>
      <c r="S23" s="44" t="str">
        <f>CONCATENATE("&lt;Placemark&gt;&lt;name&gt;",A29,"&lt;/name&gt;&lt;styleUrl&gt;#track001&lt;/styleUrl&gt;&lt;MultiGeometry&gt;&lt;LineString&gt;&lt;coordinates&gt;")</f>
        <v>&lt;Placemark&gt;&lt;name&gt;A_002&lt;/name&gt;&lt;styleUrl&gt;#track001&lt;/styleUrl&gt;&lt;MultiGeometry&gt;&lt;LineString&gt;&lt;coordinates&gt;</v>
      </c>
      <c r="T23" s="98" t="str">
        <f>CONCATENATE("&lt;trk&gt;&lt;name&gt;",A29,"&lt;/name&gt;&lt;trkseg&gt;")</f>
        <v>&lt;trk&gt;&lt;name&gt;A_002&lt;/name&gt;&lt;trkseg&gt;</v>
      </c>
    </row>
    <row r="24" spans="1:20" x14ac:dyDescent="0.35">
      <c r="A24" s="24"/>
      <c r="B24" s="101">
        <v>1</v>
      </c>
      <c r="C24" s="12" t="s">
        <v>13</v>
      </c>
      <c r="D24" s="26">
        <f>D25-$D$7*SIN(RADIANS(Q25))</f>
        <v>4387562.2711180365</v>
      </c>
      <c r="E24" s="27">
        <f>E25-$D$7*COS(RADIANS(Q25))</f>
        <v>4509248.2137425337</v>
      </c>
      <c r="F24" s="132" cm="1">
        <f t="array" ref="F24:G24">_xll.PE.trf.FromEpsgNoToEpsgNo($D$4,$D$5,D24,E24)</f>
        <v>19.667912708680866</v>
      </c>
      <c r="G24" s="134">
        <v>40.7090588923271</v>
      </c>
      <c r="H24" s="152">
        <v>956</v>
      </c>
      <c r="I24" s="158">
        <v>44627.406250347223</v>
      </c>
      <c r="J24" s="159" t="str" cm="1">
        <f t="array" ref="J24">_xll.PE.deg.AsString(F24)</f>
        <v>19 40 04</v>
      </c>
      <c r="K24" s="133" t="str" cm="1">
        <f t="array" ref="K24">_xll.PE.deg.AsString(G24)</f>
        <v>40 42 33</v>
      </c>
      <c r="L24" s="132" cm="1">
        <f t="array" ref="L24">_xll.PE.deg.FromString(J24)</f>
        <v>19.667777777777779</v>
      </c>
      <c r="M24" s="134" cm="1">
        <f t="array" ref="M24">_xll.PE.deg.FromString(K24)</f>
        <v>40.709166666666668</v>
      </c>
      <c r="N24" s="71">
        <f t="shared" ref="N24:O30" si="3">F24-L24</f>
        <v>1.3493090308713818E-4</v>
      </c>
      <c r="O24" s="72">
        <f t="shared" si="3"/>
        <v>-1.0777433956832283E-4</v>
      </c>
      <c r="P24" s="8">
        <f t="shared" ref="P24:P29" si="4">SQRT((D25-D24)^2+(E25-E24)^2)</f>
        <v>3000.0000000000473</v>
      </c>
      <c r="Q24" s="108">
        <f t="shared" ref="Q24:Q29" si="5">IF(DEGREES(ATAN2(E25-E24,D25-D24))&lt;0,DEGREES(ATAN2(E25-E24,D25-D24))+360,(DEGREES(ATAN2(E25-E24,D25-D24))))</f>
        <v>76.05623395495347</v>
      </c>
      <c r="R24" s="89"/>
      <c r="S24" s="44" t="str">
        <f t="shared" ref="S24:S30" si="6">CONCATENATE(TEXT(F24,"#.00000000"),",",TEXT(G24,"#.00000000"))</f>
        <v>19.66791271,40.70905889</v>
      </c>
      <c r="T24" s="98" t="str">
        <f t="shared" ref="T24:T30" si="7">CONCATENATE("&lt;trkpt lon=""",TEXT(F24,"#.00000000"),""" lat=""",TEXT(G24,"#.00000000"),"""","&gt;&lt;name&gt;S",TEXT(B24,"00"),"&lt;/name&gt;&lt;/trkpt&gt;")</f>
        <v>&lt;trkpt lon="19.66791271" lat="40.70905889"&gt;&lt;name&gt;S01&lt;/name&gt;&lt;/trkpt&gt;</v>
      </c>
    </row>
    <row r="25" spans="1:20" ht="15" thickBot="1" x14ac:dyDescent="0.4">
      <c r="A25" s="24"/>
      <c r="B25" s="102">
        <v>2</v>
      </c>
      <c r="C25" s="12" t="s">
        <v>5</v>
      </c>
      <c r="D25" s="37">
        <f>D26-$D$8*SIN(RADIANS(Q26))</f>
        <v>4390473.8692103066</v>
      </c>
      <c r="E25" s="38">
        <f>E26-$D$8*COS(RADIANS(Q26))</f>
        <v>4509971.1221385906</v>
      </c>
      <c r="F25" s="135" cm="1">
        <f t="array" ref="F25:G25">_xll.PE.trf.FromEpsgNoToEpsgNo($D$4,$D$5,D25,E25)</f>
        <v>19.702232192676256</v>
      </c>
      <c r="G25" s="137">
        <v>40.715959438348861</v>
      </c>
      <c r="H25" s="154">
        <v>344</v>
      </c>
      <c r="I25" s="158">
        <v>44627.422917013893</v>
      </c>
      <c r="J25" s="144" t="str" cm="1">
        <f t="array" ref="J25">_xll.PE.deg.AsString(F25)</f>
        <v>19 42 08</v>
      </c>
      <c r="K25" s="136" t="str" cm="1">
        <f t="array" ref="K25">_xll.PE.deg.AsString(G25)</f>
        <v>40 42 57</v>
      </c>
      <c r="L25" s="135" cm="1">
        <f t="array" ref="L25">_xll.PE.deg.FromString(J25)</f>
        <v>19.702222222222222</v>
      </c>
      <c r="M25" s="137" cm="1">
        <f t="array" ref="M25">_xll.PE.deg.FromString(K25)</f>
        <v>40.715833333333336</v>
      </c>
      <c r="N25" s="73">
        <f t="shared" si="3"/>
        <v>9.9704540339473624E-6</v>
      </c>
      <c r="O25" s="74">
        <f t="shared" si="3"/>
        <v>1.2610501552501319E-4</v>
      </c>
      <c r="P25" s="39">
        <f t="shared" si="4"/>
        <v>4000.0000000001378</v>
      </c>
      <c r="Q25" s="89">
        <f t="shared" si="5"/>
        <v>76.05623395494915</v>
      </c>
      <c r="R25" s="89"/>
      <c r="S25" s="44" t="str">
        <f t="shared" si="6"/>
        <v>19.70223219,40.71595944</v>
      </c>
      <c r="T25" s="98" t="str">
        <f t="shared" si="7"/>
        <v>&lt;trkpt lon="19.70223219" lat="40.71595944"&gt;&lt;name&gt;S02&lt;/name&gt;&lt;/trkpt&gt;</v>
      </c>
    </row>
    <row r="26" spans="1:20" ht="15" thickBot="1" x14ac:dyDescent="0.4">
      <c r="A26" s="24"/>
      <c r="B26" s="102">
        <v>3</v>
      </c>
      <c r="C26" s="12" t="s">
        <v>9</v>
      </c>
      <c r="D26" s="18">
        <v>4394356</v>
      </c>
      <c r="E26" s="28">
        <v>4510935</v>
      </c>
      <c r="F26" s="138" cm="1">
        <f t="array" ref="F26:G26">_xll.PE.trf.FromEpsgNoToEpsgNo($D$4,$D$5,D26,E26)</f>
        <v>19.748002911094968</v>
      </c>
      <c r="G26" s="140">
        <v>40.725144440548164</v>
      </c>
      <c r="H26" s="156">
        <v>458</v>
      </c>
      <c r="I26" s="158">
        <v>44627.439583680563</v>
      </c>
      <c r="J26" s="160" t="str" cm="1">
        <f t="array" ref="J26">_xll.PE.deg.AsString(F26)</f>
        <v>19 44 53</v>
      </c>
      <c r="K26" s="139" t="str" cm="1">
        <f t="array" ref="K26">_xll.PE.deg.AsString(G26)</f>
        <v>40 43 31</v>
      </c>
      <c r="L26" s="138" cm="1">
        <f t="array" ref="L26">_xll.PE.deg.FromString(J26)</f>
        <v>19.748055555555556</v>
      </c>
      <c r="M26" s="140" cm="1">
        <f t="array" ref="M26">_xll.PE.deg.FromString(K26)</f>
        <v>40.725277777777777</v>
      </c>
      <c r="N26" s="75">
        <f t="shared" si="3"/>
        <v>-5.2644460588169295E-5</v>
      </c>
      <c r="O26" s="76">
        <f t="shared" si="3"/>
        <v>-1.3333722961306194E-4</v>
      </c>
      <c r="P26" s="10">
        <f t="shared" si="4"/>
        <v>9316.5330998177651</v>
      </c>
      <c r="Q26" s="93">
        <f t="shared" si="5"/>
        <v>76.056233954952916</v>
      </c>
      <c r="R26" s="21">
        <v>2462</v>
      </c>
      <c r="S26" s="44" t="str">
        <f t="shared" si="6"/>
        <v>19.74800291,40.72514444</v>
      </c>
      <c r="T26" s="98" t="str">
        <f t="shared" si="7"/>
        <v>&lt;trkpt lon="19.74800291" lat="40.72514444"&gt;&lt;name&gt;S03&lt;/name&gt;&lt;/trkpt&gt;</v>
      </c>
    </row>
    <row r="27" spans="1:20" ht="15" thickBot="1" x14ac:dyDescent="0.4">
      <c r="A27" s="24"/>
      <c r="B27" s="102">
        <v>4</v>
      </c>
      <c r="C27" s="12" t="s">
        <v>10</v>
      </c>
      <c r="D27" s="18">
        <v>4403398</v>
      </c>
      <c r="E27" s="28">
        <v>4513180</v>
      </c>
      <c r="F27" s="138" cm="1">
        <f t="array" ref="F27:G27">_xll.PE.trf.FromEpsgNoToEpsgNo($D$4,$D$5,D27,E27)</f>
        <v>19.854659382414237</v>
      </c>
      <c r="G27" s="140">
        <v>40.74646776162173</v>
      </c>
      <c r="H27" s="156">
        <v>590</v>
      </c>
      <c r="I27" s="158">
        <v>44627.456250347233</v>
      </c>
      <c r="J27" s="160" t="str" cm="1">
        <f t="array" ref="J27">_xll.PE.deg.AsString(F27)</f>
        <v>19 51 17</v>
      </c>
      <c r="K27" s="139" t="str" cm="1">
        <f t="array" ref="K27">_xll.PE.deg.AsString(G27)</f>
        <v>40 44 47</v>
      </c>
      <c r="L27" s="138" cm="1">
        <f t="array" ref="L27">_xll.PE.deg.FromString(J27)</f>
        <v>19.854722222222225</v>
      </c>
      <c r="M27" s="140" cm="1">
        <f t="array" ref="M27">_xll.PE.deg.FromString(K27)</f>
        <v>40.746388888888887</v>
      </c>
      <c r="N27" s="75">
        <f t="shared" si="3"/>
        <v>-6.2839807988268603E-5</v>
      </c>
      <c r="O27" s="76">
        <f t="shared" si="3"/>
        <v>7.8872732842683035E-5</v>
      </c>
      <c r="P27" s="10">
        <f t="shared" si="4"/>
        <v>21440.46289145829</v>
      </c>
      <c r="Q27" s="93">
        <f t="shared" si="5"/>
        <v>74.970119111671551</v>
      </c>
      <c r="R27" s="90" cm="1">
        <f t="array" ref="R27">_xll.PE.crs.GeodesicDistance($D$4,D25:E29)</f>
        <v>38753.012950642144</v>
      </c>
      <c r="S27" s="44" t="str">
        <f t="shared" si="6"/>
        <v>19.85465938,40.74646776</v>
      </c>
      <c r="T27" s="98" t="str">
        <f t="shared" si="7"/>
        <v>&lt;trkpt lon="19.85465938" lat="40.74646776"&gt;&lt;name&gt;S04&lt;/name&gt;&lt;/trkpt&gt;</v>
      </c>
    </row>
    <row r="28" spans="1:20" ht="15" thickBot="1" x14ac:dyDescent="0.4">
      <c r="A28" s="24"/>
      <c r="B28" s="102">
        <v>5</v>
      </c>
      <c r="C28" s="12" t="s">
        <v>7</v>
      </c>
      <c r="D28" s="18">
        <v>4424105</v>
      </c>
      <c r="E28" s="28">
        <v>4518740</v>
      </c>
      <c r="F28" s="138" cm="1">
        <f t="array" ref="F28:G28">_xll.PE.trf.FromEpsgNoToEpsgNo($D$4,$D$5,D28,E28)</f>
        <v>20.099124970644958</v>
      </c>
      <c r="G28" s="140">
        <v>40.798701544598003</v>
      </c>
      <c r="H28" s="156">
        <v>331</v>
      </c>
      <c r="I28" s="158">
        <v>44627.472917013903</v>
      </c>
      <c r="J28" s="160" t="str" cm="1">
        <f t="array" ref="J28">_xll.PE.deg.AsString(F28)</f>
        <v>20 05 57</v>
      </c>
      <c r="K28" s="139" t="str" cm="1">
        <f t="array" ref="K28">_xll.PE.deg.AsString(G28)</f>
        <v>40 47 55</v>
      </c>
      <c r="L28" s="138" cm="1">
        <f t="array" ref="L28">_xll.PE.deg.FromString(J28)</f>
        <v>20.099166666666665</v>
      </c>
      <c r="M28" s="140" cm="1">
        <f t="array" ref="M28">_xll.PE.deg.FromString(K28)</f>
        <v>40.798611111111107</v>
      </c>
      <c r="N28" s="75">
        <f t="shared" si="3"/>
        <v>-4.1696021707338105E-5</v>
      </c>
      <c r="O28" s="76">
        <f t="shared" si="3"/>
        <v>9.0433486896301929E-5</v>
      </c>
      <c r="P28" s="39">
        <f t="shared" si="4"/>
        <v>3999.9999999994898</v>
      </c>
      <c r="Q28" s="89">
        <f t="shared" si="5"/>
        <v>74.970119111673426</v>
      </c>
      <c r="R28" s="89"/>
      <c r="S28" s="44" t="str">
        <f t="shared" si="6"/>
        <v>20.09912497,40.79870154</v>
      </c>
      <c r="T28" s="98" t="str">
        <f t="shared" si="7"/>
        <v>&lt;trkpt lon="20.09912497" lat="40.79870154"&gt;&lt;name&gt;S05&lt;/name&gt;&lt;/trkpt&gt;</v>
      </c>
    </row>
    <row r="29" spans="1:20" ht="15" thickBot="1" x14ac:dyDescent="0.4">
      <c r="A29" s="24" t="str">
        <f>C23</f>
        <v>A_002</v>
      </c>
      <c r="B29" s="102">
        <v>6</v>
      </c>
      <c r="C29" s="12" t="s">
        <v>5</v>
      </c>
      <c r="D29" s="37">
        <f>D28+$D$8*SIN(RADIANS(Q27))</f>
        <v>4427968.1628626352</v>
      </c>
      <c r="E29" s="38">
        <f>E28+$D$8*COS(RADIANS(Q27))</f>
        <v>4519777.2910376322</v>
      </c>
      <c r="F29" s="135" cm="1">
        <f t="array" ref="F29:G29">_xll.PE.trf.FromEpsgNoToEpsgNo($D$4,$D$5,D29,E29)</f>
        <v>20.144776595350073</v>
      </c>
      <c r="G29" s="137">
        <v>40.808389494859469</v>
      </c>
      <c r="H29" s="154">
        <v>460</v>
      </c>
      <c r="I29" s="158">
        <v>44627.489583680574</v>
      </c>
      <c r="J29" s="144" t="str" cm="1">
        <f t="array" ref="J29">_xll.PE.deg.AsString(F29)</f>
        <v>20 08 41</v>
      </c>
      <c r="K29" s="136" t="str" cm="1">
        <f t="array" ref="K29">_xll.PE.deg.AsString(G29)</f>
        <v>40 48 30</v>
      </c>
      <c r="L29" s="135" cm="1">
        <f t="array" ref="L29">_xll.PE.deg.FromString(J29)</f>
        <v>20.144722222222221</v>
      </c>
      <c r="M29" s="137" cm="1">
        <f t="array" ref="M29">_xll.PE.deg.FromString(K29)</f>
        <v>40.80833333333333</v>
      </c>
      <c r="N29" s="73">
        <f t="shared" si="3"/>
        <v>5.4373127852613834E-5</v>
      </c>
      <c r="O29" s="74">
        <f t="shared" si="3"/>
        <v>5.6161526138964746E-5</v>
      </c>
      <c r="P29" s="39">
        <f t="shared" si="4"/>
        <v>3000.0000000004125</v>
      </c>
      <c r="Q29" s="89">
        <f t="shared" si="5"/>
        <v>74.970119111668296</v>
      </c>
      <c r="R29" s="5">
        <v>4326</v>
      </c>
      <c r="S29" s="44" t="str">
        <f t="shared" si="6"/>
        <v>20.14477660,40.80838949</v>
      </c>
      <c r="T29" s="98" t="str">
        <f t="shared" si="7"/>
        <v>&lt;trkpt lon="20.14477660" lat="40.80838949"&gt;&lt;name&gt;S06&lt;/name&gt;&lt;/trkpt&gt;</v>
      </c>
    </row>
    <row r="30" spans="1:20" ht="15" thickBot="1" x14ac:dyDescent="0.4">
      <c r="A30" s="24"/>
      <c r="B30" s="103">
        <v>7</v>
      </c>
      <c r="C30" s="13" t="s">
        <v>13</v>
      </c>
      <c r="D30" s="29">
        <f>D29+$D$7*SIN(RADIANS(Q28))</f>
        <v>4430865.5350096123</v>
      </c>
      <c r="E30" s="30">
        <f>E29+$D$7*COS(RADIANS(Q28))</f>
        <v>4520555.2593158567</v>
      </c>
      <c r="F30" s="141" cm="1">
        <f t="array" ref="F30:G30">_xll.PE.trf.FromEpsgNoToEpsgNo($D$4,$D$5,D30,E30)</f>
        <v>20.17902421260742</v>
      </c>
      <c r="G30" s="143">
        <v>40.815643676429772</v>
      </c>
      <c r="H30" s="157">
        <v>820</v>
      </c>
      <c r="I30" s="158">
        <v>44627.506250347244</v>
      </c>
      <c r="J30" s="149" t="str" cm="1">
        <f t="array" ref="J30">_xll.PE.deg.AsString(F30)</f>
        <v>20 10 44</v>
      </c>
      <c r="K30" s="142" t="str" cm="1">
        <f t="array" ref="K30">_xll.PE.deg.AsString(G30)</f>
        <v>40 48 56</v>
      </c>
      <c r="L30" s="141" cm="1">
        <f t="array" ref="L30">_xll.PE.deg.FromString(J30)</f>
        <v>20.178888888888888</v>
      </c>
      <c r="M30" s="143" cm="1">
        <f t="array" ref="M30">_xll.PE.deg.FromString(K30)</f>
        <v>40.815555555555555</v>
      </c>
      <c r="N30" s="77">
        <f t="shared" si="3"/>
        <v>1.3532371853131053E-4</v>
      </c>
      <c r="O30" s="78">
        <f t="shared" si="3"/>
        <v>8.8120874217167966E-5</v>
      </c>
      <c r="P30" s="34">
        <f>SUM(P25:P28)</f>
        <v>38756.995991275682</v>
      </c>
      <c r="Q30" s="5" t="s">
        <v>11</v>
      </c>
      <c r="R30" s="90" cm="1">
        <f t="array" ref="R30">_xll.PE.crs.GeodesicDistance($D$5,L25:M29)</f>
        <v>38751.296513615664</v>
      </c>
      <c r="S30" s="44" t="str">
        <f t="shared" si="6"/>
        <v>20.17902421,40.81564368</v>
      </c>
      <c r="T30" s="98" t="str">
        <f t="shared" si="7"/>
        <v>&lt;trkpt lon="20.17902421" lat="40.81564368"&gt;&lt;name&gt;S07&lt;/name&gt;&lt;/trkpt&gt;</v>
      </c>
    </row>
    <row r="31" spans="1:20" ht="15" thickBot="1" x14ac:dyDescent="0.4">
      <c r="A31" s="24"/>
      <c r="B31" s="104"/>
      <c r="C31" s="15"/>
      <c r="D31" s="31"/>
      <c r="E31" s="31"/>
      <c r="F31" s="114"/>
      <c r="G31" s="42"/>
      <c r="H31" s="42"/>
      <c r="I31" s="88"/>
      <c r="J31" s="42"/>
      <c r="K31" s="42"/>
      <c r="L31" s="42"/>
      <c r="M31" s="42"/>
      <c r="N31" s="42"/>
      <c r="O31" s="42"/>
      <c r="P31" s="25">
        <f>P26+P27</f>
        <v>30756.995991276053</v>
      </c>
      <c r="Q31" s="106" t="s">
        <v>12</v>
      </c>
      <c r="R31" s="91"/>
      <c r="S31" s="44" t="s">
        <v>21</v>
      </c>
      <c r="T31" s="98" t="str">
        <f>CONCATENATE("&lt;/trkseg&gt;&lt;/trk&gt;")</f>
        <v>&lt;/trkseg&gt;&lt;/trk&gt;</v>
      </c>
    </row>
    <row r="32" spans="1:20" ht="15" thickBot="1" x14ac:dyDescent="0.4">
      <c r="A32" s="24"/>
      <c r="B32" s="104"/>
      <c r="C32" s="11" t="s">
        <v>46</v>
      </c>
      <c r="D32" s="33"/>
      <c r="E32" s="33"/>
      <c r="F32" s="113" t="str">
        <f>C32</f>
        <v>A_003</v>
      </c>
      <c r="G32" s="113"/>
      <c r="H32" s="113"/>
      <c r="I32" s="113"/>
      <c r="J32" s="40"/>
      <c r="K32" s="40"/>
      <c r="L32" s="40"/>
      <c r="M32" s="40"/>
      <c r="N32" s="40"/>
      <c r="O32" s="40"/>
      <c r="P32" s="16"/>
      <c r="Q32" s="109"/>
      <c r="R32" s="92"/>
      <c r="S32" s="44" t="str">
        <f>CONCATENATE("&lt;Placemark&gt;&lt;name&gt;",A38,"&lt;/name&gt;&lt;styleUrl&gt;#track001&lt;/styleUrl&gt;&lt;MultiGeometry&gt;&lt;LineString&gt;&lt;coordinates&gt;")</f>
        <v>&lt;Placemark&gt;&lt;name&gt;A_003&lt;/name&gt;&lt;styleUrl&gt;#track001&lt;/styleUrl&gt;&lt;MultiGeometry&gt;&lt;LineString&gt;&lt;coordinates&gt;</v>
      </c>
      <c r="T32" s="98" t="str">
        <f>CONCATENATE("&lt;trk&gt;&lt;name&gt;",A38,"&lt;/name&gt;&lt;trkseg&gt;")</f>
        <v>&lt;trk&gt;&lt;name&gt;A_003&lt;/name&gt;&lt;trkseg&gt;</v>
      </c>
    </row>
    <row r="33" spans="1:20" x14ac:dyDescent="0.35">
      <c r="A33" s="24"/>
      <c r="B33" s="101">
        <v>1</v>
      </c>
      <c r="C33" s="12" t="s">
        <v>13</v>
      </c>
      <c r="D33" s="26">
        <f>D34-$D$7*SIN(RADIANS(Q34))</f>
        <v>4390607.5559663102</v>
      </c>
      <c r="E33" s="27">
        <f>E34-$D$7*COS(RADIANS(Q34))</f>
        <v>4525483.832561858</v>
      </c>
      <c r="F33" s="132" cm="1">
        <f t="array" ref="F33:G33">_xll.PE.trf.FromEpsgNoToEpsgNo($D$4,$D$5,D33,E33)</f>
        <v>19.701095294756342</v>
      </c>
      <c r="G33" s="134">
        <v>40.855631732298527</v>
      </c>
      <c r="H33" s="152">
        <v>48</v>
      </c>
      <c r="I33" s="155" t="s">
        <v>54</v>
      </c>
      <c r="J33" s="159" t="str" cm="1">
        <f t="array" ref="J33">_xll.PE.deg.AsString(F33)</f>
        <v>19 42 04</v>
      </c>
      <c r="K33" s="133" t="str" cm="1">
        <f t="array" ref="K33">_xll.PE.deg.AsString(G33)</f>
        <v>40 51 20</v>
      </c>
      <c r="L33" s="132" cm="1">
        <f t="array" ref="L33">_xll.PE.deg.FromString(J33)</f>
        <v>19.701111111111111</v>
      </c>
      <c r="M33" s="134" cm="1">
        <f t="array" ref="M33">_xll.PE.deg.FromString(K33)</f>
        <v>40.855555555555554</v>
      </c>
      <c r="N33" s="71">
        <f t="shared" ref="N33:O39" si="8">F33-L33</f>
        <v>-1.5816354768105612E-5</v>
      </c>
      <c r="O33" s="72">
        <f t="shared" si="8"/>
        <v>7.6176742972222655E-5</v>
      </c>
      <c r="P33" s="8">
        <f t="shared" ref="P33:P38" si="9">SQRT((D34-D33)^2+(E34-E33)^2)</f>
        <v>3000.0000000001414</v>
      </c>
      <c r="Q33" s="108">
        <f t="shared" ref="Q33:Q38" si="10">IF(DEGREES(ATAN2(E34-E33,D34-D33))&lt;0,DEGREES(ATAN2(E34-E33,D34-D33))+360,(DEGREES(ATAN2(E34-E33,D34-D33))))</f>
        <v>115.42001039005864</v>
      </c>
      <c r="R33" s="89"/>
      <c r="S33" s="44" t="str">
        <f t="shared" ref="S33:S39" si="11">CONCATENATE(TEXT(F33,"#.00000000"),",",TEXT(G33,"#.00000000"))</f>
        <v>19.70109529,40.85563173</v>
      </c>
      <c r="T33" s="98" t="str">
        <f t="shared" ref="T33:T39" si="12">CONCATENATE("&lt;trkpt lon=""",TEXT(F33,"#.00000000"),""" lat=""",TEXT(G33,"#.00000000"),"""","&gt;&lt;name&gt;S",TEXT(B33,"00"),"&lt;/name&gt;&lt;/trkpt&gt;")</f>
        <v>&lt;trkpt lon="19.70109529" lat="40.85563173"&gt;&lt;name&gt;S01&lt;/name&gt;&lt;/trkpt&gt;</v>
      </c>
    </row>
    <row r="34" spans="1:20" ht="15" thickBot="1" x14ac:dyDescent="0.4">
      <c r="A34" s="24"/>
      <c r="B34" s="102">
        <v>2</v>
      </c>
      <c r="C34" s="12" t="s">
        <v>5</v>
      </c>
      <c r="D34" s="37">
        <f>D35-$D$8*SIN(RADIANS(Q35))</f>
        <v>4393317.1122664632</v>
      </c>
      <c r="E34" s="38">
        <f>E35-$D$8*COS(RADIANS(Q35))</f>
        <v>4524196.0807782048</v>
      </c>
      <c r="F34" s="135" cm="1">
        <f t="array" ref="F34:G34">_xll.PE.trf.FromEpsgNoToEpsgNo($D$4,$D$5,D34,E34)</f>
        <v>19.733442649612513</v>
      </c>
      <c r="G34" s="137">
        <v>40.844395968057178</v>
      </c>
      <c r="H34" s="154">
        <v>928</v>
      </c>
      <c r="I34" s="155" t="s">
        <v>55</v>
      </c>
      <c r="J34" s="144" t="str" cm="1">
        <f t="array" ref="J34">_xll.PE.deg.AsString(F34)</f>
        <v>19 44 00</v>
      </c>
      <c r="K34" s="136" t="str" cm="1">
        <f t="array" ref="K34">_xll.PE.deg.AsString(G34)</f>
        <v>40 50 40</v>
      </c>
      <c r="L34" s="135" cm="1">
        <f t="array" ref="L34">_xll.PE.deg.FromString(J34)</f>
        <v>19.733333333333334</v>
      </c>
      <c r="M34" s="137" cm="1">
        <f t="array" ref="M34">_xll.PE.deg.FromString(K34)</f>
        <v>40.844444444444449</v>
      </c>
      <c r="N34" s="73">
        <f t="shared" si="8"/>
        <v>1.0931627917898368E-4</v>
      </c>
      <c r="O34" s="74">
        <f t="shared" si="8"/>
        <v>-4.8476387270568466E-5</v>
      </c>
      <c r="P34" s="39">
        <f t="shared" si="9"/>
        <v>4000.0000000001746</v>
      </c>
      <c r="Q34" s="89">
        <f t="shared" si="10"/>
        <v>115.42001039006858</v>
      </c>
      <c r="R34" s="89"/>
      <c r="S34" s="44" t="str">
        <f t="shared" si="11"/>
        <v>19.73344265,40.84439597</v>
      </c>
      <c r="T34" s="98" t="str">
        <f t="shared" si="12"/>
        <v>&lt;trkpt lon="19.73344265" lat="40.84439597"&gt;&lt;name&gt;S02&lt;/name&gt;&lt;/trkpt&gt;</v>
      </c>
    </row>
    <row r="35" spans="1:20" ht="15" thickBot="1" x14ac:dyDescent="0.4">
      <c r="A35" s="24"/>
      <c r="B35" s="102">
        <v>3</v>
      </c>
      <c r="C35" s="12" t="s">
        <v>9</v>
      </c>
      <c r="D35" s="18">
        <v>4396929.8540000003</v>
      </c>
      <c r="E35" s="6">
        <v>4522479.0784</v>
      </c>
      <c r="F35" s="138" cm="1">
        <f t="array" ref="F35:G35">_xll.PE.trf.FromEpsgNoToEpsgNo($D$4,$D$5,D35,E35)</f>
        <v>19.776555734991796</v>
      </c>
      <c r="G35" s="140">
        <v>40.829400558913271</v>
      </c>
      <c r="H35" s="156">
        <v>37</v>
      </c>
      <c r="I35" s="155" t="s">
        <v>56</v>
      </c>
      <c r="J35" s="160" t="str" cm="1">
        <f t="array" ref="J35">_xll.PE.deg.AsString(F35)</f>
        <v>19 46 36</v>
      </c>
      <c r="K35" s="139" t="str" cm="1">
        <f t="array" ref="K35">_xll.PE.deg.AsString(G35)</f>
        <v>40 49 46</v>
      </c>
      <c r="L35" s="138" cm="1">
        <f t="array" ref="L35">_xll.PE.deg.FromString(J35)</f>
        <v>19.776666666666667</v>
      </c>
      <c r="M35" s="140" cm="1">
        <f t="array" ref="M35">_xll.PE.deg.FromString(K35)</f>
        <v>40.829444444444448</v>
      </c>
      <c r="N35" s="75">
        <f t="shared" si="8"/>
        <v>-1.1093167487175037E-4</v>
      </c>
      <c r="O35" s="76">
        <f t="shared" si="8"/>
        <v>-4.388553117706806E-5</v>
      </c>
      <c r="P35" s="10">
        <f t="shared" si="9"/>
        <v>10746.801422194574</v>
      </c>
      <c r="Q35" s="93">
        <f t="shared" si="10"/>
        <v>115.42001039006327</v>
      </c>
      <c r="R35" s="21">
        <v>2462</v>
      </c>
      <c r="S35" s="44" t="str">
        <f t="shared" si="11"/>
        <v>19.77655573,40.82940056</v>
      </c>
      <c r="T35" s="98" t="str">
        <f t="shared" si="12"/>
        <v>&lt;trkpt lon="19.77655573" lat="40.82940056"&gt;&lt;name&gt;S03&lt;/name&gt;&lt;/trkpt&gt;</v>
      </c>
    </row>
    <row r="36" spans="1:20" ht="15" thickBot="1" x14ac:dyDescent="0.4">
      <c r="A36" s="24"/>
      <c r="B36" s="102">
        <v>4</v>
      </c>
      <c r="C36" s="12" t="s">
        <v>10</v>
      </c>
      <c r="D36" s="18">
        <v>4406636.2084999997</v>
      </c>
      <c r="E36" s="6">
        <v>4517866.0075000003</v>
      </c>
      <c r="F36" s="138" cm="1">
        <f t="array" ref="F36:G36">_xll.PE.trf.FromEpsgNoToEpsgNo($D$4,$D$5,D36,E36)</f>
        <v>19.892292936682402</v>
      </c>
      <c r="G36" s="140">
        <v>40.78903112296662</v>
      </c>
      <c r="H36" s="156">
        <v>762</v>
      </c>
      <c r="I36" s="155" t="s">
        <v>57</v>
      </c>
      <c r="J36" s="160" t="str" cm="1">
        <f t="array" ref="J36">_xll.PE.deg.AsString(F36)</f>
        <v>19 53 32</v>
      </c>
      <c r="K36" s="139" t="str" cm="1">
        <f t="array" ref="K36">_xll.PE.deg.AsString(G36)</f>
        <v>40 47 21</v>
      </c>
      <c r="L36" s="138" cm="1">
        <f t="array" ref="L36">_xll.PE.deg.FromString(J36)</f>
        <v>19.892222222222223</v>
      </c>
      <c r="M36" s="140" cm="1">
        <f t="array" ref="M36">_xll.PE.deg.FromString(K36)</f>
        <v>40.789166666666667</v>
      </c>
      <c r="N36" s="75">
        <f t="shared" si="8"/>
        <v>7.0714460179033267E-5</v>
      </c>
      <c r="O36" s="76">
        <f t="shared" si="8"/>
        <v>-1.3554370004698058E-4</v>
      </c>
      <c r="P36" s="10">
        <f t="shared" si="9"/>
        <v>6938.6067606873576</v>
      </c>
      <c r="Q36" s="93">
        <f t="shared" si="10"/>
        <v>117.43448926212268</v>
      </c>
      <c r="R36" s="90" cm="1">
        <f t="array" ref="R36">_xll.PE.crs.GeodesicDistance($D$4,D34:E38)</f>
        <v>25682.535382420487</v>
      </c>
      <c r="S36" s="44" t="str">
        <f t="shared" si="11"/>
        <v>19.89229294,40.78903112</v>
      </c>
      <c r="T36" s="98" t="str">
        <f t="shared" si="12"/>
        <v>&lt;trkpt lon="19.89229294" lat="40.78903112"&gt;&lt;name&gt;S04&lt;/name&gt;&lt;/trkpt&gt;</v>
      </c>
    </row>
    <row r="37" spans="1:20" ht="15" thickBot="1" x14ac:dyDescent="0.4">
      <c r="A37" s="24"/>
      <c r="B37" s="102">
        <v>5</v>
      </c>
      <c r="C37" s="12" t="s">
        <v>7</v>
      </c>
      <c r="D37" s="18">
        <v>4412794.4870999996</v>
      </c>
      <c r="E37" s="6">
        <v>4514669.1546</v>
      </c>
      <c r="F37" s="138" cm="1">
        <f t="array" ref="F37:G37">_xll.PE.trf.FromEpsgNoToEpsgNo($D$4,$D$5,D37,E37)</f>
        <v>19.965689392996619</v>
      </c>
      <c r="G37" s="140">
        <v>40.760925753185163</v>
      </c>
      <c r="H37" s="156">
        <v>476</v>
      </c>
      <c r="I37" s="155" t="s">
        <v>58</v>
      </c>
      <c r="J37" s="160" t="str" cm="1">
        <f t="array" ref="J37">_xll.PE.deg.AsString(F37)</f>
        <v>19 57 56</v>
      </c>
      <c r="K37" s="139" t="str" cm="1">
        <f t="array" ref="K37">_xll.PE.deg.AsString(G37)</f>
        <v>40 45 39</v>
      </c>
      <c r="L37" s="138" cm="1">
        <f t="array" ref="L37">_xll.PE.deg.FromString(J37)</f>
        <v>19.965555555555554</v>
      </c>
      <c r="M37" s="140" cm="1">
        <f t="array" ref="M37">_xll.PE.deg.FromString(K37)</f>
        <v>40.760833333333331</v>
      </c>
      <c r="N37" s="75">
        <f t="shared" si="8"/>
        <v>1.3383744106576501E-4</v>
      </c>
      <c r="O37" s="76">
        <f t="shared" si="8"/>
        <v>9.2419851831948563E-5</v>
      </c>
      <c r="P37" s="39">
        <f t="shared" si="9"/>
        <v>4000.0000000002269</v>
      </c>
      <c r="Q37" s="89">
        <f t="shared" si="10"/>
        <v>117.43448926211632</v>
      </c>
      <c r="R37" s="89"/>
      <c r="S37" s="44" t="str">
        <f t="shared" si="11"/>
        <v>19.96568939,40.76092575</v>
      </c>
      <c r="T37" s="98" t="str">
        <f t="shared" si="12"/>
        <v>&lt;trkpt lon="19.96568939" lat="40.76092575"&gt;&lt;name&gt;S05&lt;/name&gt;&lt;/trkpt&gt;</v>
      </c>
    </row>
    <row r="38" spans="1:20" ht="15" thickBot="1" x14ac:dyDescent="0.4">
      <c r="A38" s="24" t="str">
        <f>C32</f>
        <v>A_003</v>
      </c>
      <c r="B38" s="102">
        <v>6</v>
      </c>
      <c r="C38" s="12" t="s">
        <v>5</v>
      </c>
      <c r="D38" s="37">
        <f>D37+$D$8*SIN(RADIANS(Q36))</f>
        <v>4416344.6399260061</v>
      </c>
      <c r="E38" s="38">
        <f>E37+$D$8*COS(RADIANS(Q36))</f>
        <v>4512826.2181084193</v>
      </c>
      <c r="F38" s="135" cm="1">
        <f t="array" ref="F38:G38">_xll.PE.trf.FromEpsgNoToEpsgNo($D$4,$D$5,D38,E38)</f>
        <v>20.007973540197661</v>
      </c>
      <c r="G38" s="137">
        <v>40.744701833348564</v>
      </c>
      <c r="H38" s="154">
        <v>385</v>
      </c>
      <c r="I38" s="155" t="s">
        <v>59</v>
      </c>
      <c r="J38" s="144" t="str" cm="1">
        <f t="array" ref="J38">_xll.PE.deg.AsString(F38)</f>
        <v>20 00 29</v>
      </c>
      <c r="K38" s="136" t="str" cm="1">
        <f t="array" ref="K38">_xll.PE.deg.AsString(G38)</f>
        <v>40 44 41</v>
      </c>
      <c r="L38" s="135" cm="1">
        <f t="array" ref="L38">_xll.PE.deg.FromString(J38)</f>
        <v>20.008055555555554</v>
      </c>
      <c r="M38" s="137" cm="1">
        <f t="array" ref="M38">_xll.PE.deg.FromString(K38)</f>
        <v>40.744722222222222</v>
      </c>
      <c r="N38" s="73">
        <f t="shared" si="8"/>
        <v>-8.2015357893538976E-5</v>
      </c>
      <c r="O38" s="74">
        <f t="shared" si="8"/>
        <v>-2.0388873657850581E-5</v>
      </c>
      <c r="P38" s="39">
        <f t="shared" si="9"/>
        <v>2999.999999999749</v>
      </c>
      <c r="Q38" s="89">
        <f t="shared" si="10"/>
        <v>117.43448926211049</v>
      </c>
      <c r="R38" s="5">
        <v>4326</v>
      </c>
      <c r="S38" s="44" t="str">
        <f t="shared" si="11"/>
        <v>20.00797354,40.74470183</v>
      </c>
      <c r="T38" s="98" t="str">
        <f t="shared" si="12"/>
        <v>&lt;trkpt lon="20.00797354" lat="40.74470183"&gt;&lt;name&gt;S06&lt;/name&gt;&lt;/trkpt&gt;</v>
      </c>
    </row>
    <row r="39" spans="1:20" ht="15" thickBot="1" x14ac:dyDescent="0.4">
      <c r="A39" s="24"/>
      <c r="B39" s="103">
        <v>7</v>
      </c>
      <c r="C39" s="13" t="s">
        <v>13</v>
      </c>
      <c r="D39" s="29">
        <f>D38+$D$7*SIN(RADIANS(Q37))</f>
        <v>4419007.2545455107</v>
      </c>
      <c r="E39" s="30">
        <f>E38+$D$7*COS(RADIANS(Q37))</f>
        <v>4511444.0157397343</v>
      </c>
      <c r="F39" s="141" cm="1">
        <f t="array" ref="F39:G39">_xll.PE.trf.FromEpsgNoToEpsgNo($D$4,$D$5,D39,E39)</f>
        <v>20.039673311207402</v>
      </c>
      <c r="G39" s="143">
        <v>40.732523543254402</v>
      </c>
      <c r="H39" s="157">
        <v>343</v>
      </c>
      <c r="I39" s="155" t="s">
        <v>60</v>
      </c>
      <c r="J39" s="149" t="str" cm="1">
        <f t="array" ref="J39">_xll.PE.deg.AsString(F39)</f>
        <v>20 02 23</v>
      </c>
      <c r="K39" s="142" t="str" cm="1">
        <f t="array" ref="K39">_xll.PE.deg.AsString(G39)</f>
        <v>40 43 57</v>
      </c>
      <c r="L39" s="141" cm="1">
        <f t="array" ref="L39">_xll.PE.deg.FromString(J39)</f>
        <v>20.039722222222224</v>
      </c>
      <c r="M39" s="143" cm="1">
        <f t="array" ref="M39">_xll.PE.deg.FromString(K39)</f>
        <v>40.732500000000002</v>
      </c>
      <c r="N39" s="77">
        <f t="shared" si="8"/>
        <v>-4.8911014822294874E-5</v>
      </c>
      <c r="O39" s="78">
        <f t="shared" si="8"/>
        <v>2.3543254400237856E-5</v>
      </c>
      <c r="P39" s="34">
        <f>SUM(P34:P37)</f>
        <v>25685.408182882333</v>
      </c>
      <c r="Q39" s="5" t="s">
        <v>11</v>
      </c>
      <c r="R39" s="90" cm="1">
        <f t="array" ref="R39">_xll.PE.crs.GeodesicDistance($D$5,L34:M38)</f>
        <v>25698.595848817353</v>
      </c>
      <c r="S39" s="44" t="str">
        <f t="shared" si="11"/>
        <v>20.03967331,40.73252354</v>
      </c>
      <c r="T39" s="98" t="str">
        <f t="shared" si="12"/>
        <v>&lt;trkpt lon="20.03967331" lat="40.73252354"&gt;&lt;name&gt;S07&lt;/name&gt;&lt;/trkpt&gt;</v>
      </c>
    </row>
    <row r="40" spans="1:20" ht="15" thickBot="1" x14ac:dyDescent="0.4">
      <c r="A40" s="24"/>
      <c r="B40" s="104"/>
      <c r="C40" s="17"/>
      <c r="D40" s="31"/>
      <c r="E40" s="31"/>
      <c r="F40" s="114"/>
      <c r="G40" s="42"/>
      <c r="H40" s="115"/>
      <c r="I40" s="88"/>
      <c r="J40" s="42"/>
      <c r="K40" s="42"/>
      <c r="L40" s="42"/>
      <c r="M40" s="42"/>
      <c r="N40" s="42"/>
      <c r="O40" s="42"/>
      <c r="P40" s="25">
        <f>P35+P36</f>
        <v>17685.408182881933</v>
      </c>
      <c r="Q40" s="106" t="s">
        <v>12</v>
      </c>
      <c r="R40" s="91"/>
      <c r="S40" s="44" t="s">
        <v>21</v>
      </c>
      <c r="T40" s="98" t="str">
        <f>CONCATENATE("&lt;/trkseg&gt;&lt;/trk&gt;")</f>
        <v>&lt;/trkseg&gt;&lt;/trk&gt;</v>
      </c>
    </row>
    <row r="41" spans="1:20" ht="15" thickBot="1" x14ac:dyDescent="0.4">
      <c r="A41" s="24"/>
      <c r="B41" s="104"/>
      <c r="C41" s="11" t="s">
        <v>32</v>
      </c>
      <c r="D41" s="33"/>
      <c r="E41" s="33"/>
      <c r="F41" s="113" t="str">
        <f>C41</f>
        <v>B_008</v>
      </c>
      <c r="G41" s="113" t="s">
        <v>131</v>
      </c>
      <c r="H41" s="117" t="s">
        <v>132</v>
      </c>
      <c r="I41" s="117" t="s">
        <v>133</v>
      </c>
      <c r="J41" s="40"/>
      <c r="K41" s="40"/>
      <c r="L41" s="40"/>
      <c r="M41" s="40"/>
      <c r="N41" s="40"/>
      <c r="O41" s="40"/>
      <c r="P41" s="16"/>
      <c r="Q41" s="109"/>
      <c r="R41" s="92"/>
      <c r="S41" s="44" t="str">
        <f>CONCATENATE("&lt;Placemark&gt;&lt;name&gt;",A46,"&lt;/name&gt;&lt;styleUrl&gt;#track001&lt;/styleUrl&gt;&lt;MultiGeometry&gt;&lt;LineString&gt;&lt;coordinates&gt;")</f>
        <v>&lt;Placemark&gt;&lt;name&gt;B_008&lt;/name&gt;&lt;styleUrl&gt;#track001&lt;/styleUrl&gt;&lt;MultiGeometry&gt;&lt;LineString&gt;&lt;coordinates&gt;</v>
      </c>
      <c r="T41" s="98" t="str">
        <f>CONCATENATE("&lt;trk&gt;&lt;name&gt;",A46,"&lt;/name&gt;&lt;trkseg&gt;")</f>
        <v>&lt;trk&gt;&lt;name&gt;B_008&lt;/name&gt;&lt;trkseg&gt;</v>
      </c>
    </row>
    <row r="42" spans="1:20" ht="15" thickBot="1" x14ac:dyDescent="0.4">
      <c r="A42" s="24"/>
      <c r="B42" s="101">
        <v>1</v>
      </c>
      <c r="C42" s="41" t="s">
        <v>13</v>
      </c>
      <c r="D42" s="26">
        <f>D43-$D$7*SIN(RADIANS(Q43))</f>
        <v>4404410.3431884293</v>
      </c>
      <c r="E42" s="27">
        <f>E43-$D$7*COS(RADIANS(Q43))</f>
        <v>4466849.4596596127</v>
      </c>
      <c r="F42" s="132" cm="1">
        <f t="array" ref="F42:G42">_xll.PE.trf.FromEpsgNoToEpsgNo($D$4,$D$5,D42,E42)</f>
        <v>19.873652457410753</v>
      </c>
      <c r="G42" s="134">
        <v>40.329447526505525</v>
      </c>
      <c r="H42" s="152">
        <v>592</v>
      </c>
      <c r="I42" s="155" t="s">
        <v>61</v>
      </c>
      <c r="J42" s="159" t="str" cm="1">
        <f t="array" ref="J42">_xll.PE.deg.AsString(F42)</f>
        <v>19 52 25</v>
      </c>
      <c r="K42" s="133" t="str" cm="1">
        <f t="array" ref="K42">_xll.PE.deg.AsString(G42)</f>
        <v>40 19 46</v>
      </c>
      <c r="L42" s="132" cm="1">
        <f t="array" ref="L42">_xll.PE.deg.FromString(J42)</f>
        <v>19.87361111111111</v>
      </c>
      <c r="M42" s="134" cm="1">
        <f t="array" ref="M42">_xll.PE.deg.FromString(K42)</f>
        <v>40.329444444444448</v>
      </c>
      <c r="N42" s="83">
        <f t="shared" ref="N42:O47" si="13">F42-L42</f>
        <v>4.1346299642697204E-5</v>
      </c>
      <c r="O42" s="79">
        <f t="shared" si="13"/>
        <v>3.0820610774640045E-6</v>
      </c>
      <c r="P42" s="8">
        <f>SQRT((D43-D42)^2+(E43-E42)^2)</f>
        <v>3000.0000000000514</v>
      </c>
      <c r="Q42" s="108">
        <f>IF(DEGREES(ATAN2(E43-E42,D43-D42))&lt;0,DEGREES(ATAN2(E43-E42,D43-D42))+360,(DEGREES(ATAN2(E43-E42,D43-D42))))</f>
        <v>69.569117585364779</v>
      </c>
      <c r="R42" s="89"/>
      <c r="S42" s="44" t="str">
        <f t="shared" ref="S42:S47" si="14">CONCATENATE(TEXT(F42,"#.00000000"),",",TEXT(G42,"#.00000000"))</f>
        <v>19.87365246,40.32944753</v>
      </c>
      <c r="T42" s="98" t="str">
        <f t="shared" ref="T42:T47" si="15">CONCATENATE("&lt;trkpt lon=""",TEXT(F42,"#.00000000"),""" lat=""",TEXT(G42,"#.00000000"),"""","&gt;&lt;name&gt;S",TEXT(B42,"00"),"&lt;/name&gt;&lt;/trkpt&gt;")</f>
        <v>&lt;trkpt lon="19.87365246" lat="40.32944753"&gt;&lt;name&gt;S01&lt;/name&gt;&lt;/trkpt&gt;</v>
      </c>
    </row>
    <row r="43" spans="1:20" ht="15" thickBot="1" x14ac:dyDescent="0.4">
      <c r="A43" s="24"/>
      <c r="B43" s="102">
        <v>2</v>
      </c>
      <c r="C43" s="12" t="s">
        <v>5</v>
      </c>
      <c r="D43" s="37">
        <f>D44-$D$8*SIN(RADIANS(Q44))</f>
        <v>4407221.6251076739</v>
      </c>
      <c r="E43" s="38">
        <f>E44-$D$8*COS(RADIANS(Q44))</f>
        <v>4467896.6912340643</v>
      </c>
      <c r="F43" s="135" cm="1">
        <f t="array" ref="F43:G43">_xll.PE.trf.FromEpsgNoToEpsgNo($D$4,$D$5,D43,E43)</f>
        <v>19.906574728018438</v>
      </c>
      <c r="G43" s="137">
        <v>40.339194134416083</v>
      </c>
      <c r="H43" s="154">
        <v>282</v>
      </c>
      <c r="I43" s="155" t="s">
        <v>62</v>
      </c>
      <c r="J43" s="144" t="str" cm="1">
        <f t="array" ref="J43">_xll.PE.deg.AsString(F43)</f>
        <v>19 54 24</v>
      </c>
      <c r="K43" s="136" t="str" cm="1">
        <f t="array" ref="K43">_xll.PE.deg.AsString(G43)</f>
        <v>40 20 21</v>
      </c>
      <c r="L43" s="135" cm="1">
        <f t="array" ref="L43">_xll.PE.deg.FromString(J43)</f>
        <v>19.906666666666666</v>
      </c>
      <c r="M43" s="137" cm="1">
        <f t="array" ref="M43">_xll.PE.deg.FromString(K43)</f>
        <v>40.339166666666671</v>
      </c>
      <c r="N43" s="84">
        <f t="shared" si="13"/>
        <v>-9.1938648228762077E-5</v>
      </c>
      <c r="O43" s="80">
        <f t="shared" si="13"/>
        <v>2.7467749411869136E-5</v>
      </c>
      <c r="P43" s="39">
        <f>SQRT((D44-D43)^2+(E44-E43)^2)</f>
        <v>4000.0000000001769</v>
      </c>
      <c r="Q43" s="89">
        <f>IF(DEGREES(ATAN2(E44-E43,D44-D43))&lt;0,DEGREES(ATAN2(E44-E43,D44-D43))+360,(DEGREES(ATAN2(E44-E43,D44-D43))))</f>
        <v>69.56911758536063</v>
      </c>
      <c r="R43" s="21">
        <v>2462</v>
      </c>
      <c r="S43" s="44" t="str">
        <f t="shared" si="14"/>
        <v>19.90657473,40.33919413</v>
      </c>
      <c r="T43" s="98" t="str">
        <f t="shared" si="15"/>
        <v>&lt;trkpt lon="19.90657473" lat="40.33919413"&gt;&lt;name&gt;S02&lt;/name&gt;&lt;/trkpt&gt;</v>
      </c>
    </row>
    <row r="44" spans="1:20" ht="15" thickBot="1" x14ac:dyDescent="0.4">
      <c r="A44" s="24"/>
      <c r="B44" s="102">
        <v>3</v>
      </c>
      <c r="C44" s="12" t="s">
        <v>8</v>
      </c>
      <c r="D44" s="18">
        <v>4410970.0010000002</v>
      </c>
      <c r="E44" s="6">
        <v>4469293</v>
      </c>
      <c r="F44" s="138" cm="1">
        <f t="array" ref="F44:G44">_xll.PE.trf.FromEpsgNoToEpsgNo($D$4,$D$5,D44,E44)</f>
        <v>19.950486102913491</v>
      </c>
      <c r="G44" s="140">
        <v>40.352175195042321</v>
      </c>
      <c r="H44" s="156">
        <v>880</v>
      </c>
      <c r="I44" s="155" t="s">
        <v>63</v>
      </c>
      <c r="J44" s="160" t="str" cm="1">
        <f t="array" ref="J44">_xll.PE.deg.AsString(F44)</f>
        <v>19 57 02</v>
      </c>
      <c r="K44" s="139" t="str" cm="1">
        <f t="array" ref="K44">_xll.PE.deg.AsString(G44)</f>
        <v>40 21 08</v>
      </c>
      <c r="L44" s="138" cm="1">
        <f t="array" ref="L44">_xll.PE.deg.FromString(J44)</f>
        <v>19.950555555555553</v>
      </c>
      <c r="M44" s="140" cm="1">
        <f t="array" ref="M44">_xll.PE.deg.FromString(K44)</f>
        <v>40.352222222222224</v>
      </c>
      <c r="N44" s="85">
        <f t="shared" si="13"/>
        <v>-6.9452642062373116E-5</v>
      </c>
      <c r="O44" s="81">
        <f t="shared" si="13"/>
        <v>-4.7027179903125216E-5</v>
      </c>
      <c r="P44" s="10">
        <f>SQRT((D45-D44)^2+(E45-E44)^2)</f>
        <v>28128.445339716698</v>
      </c>
      <c r="Q44" s="93">
        <f>IF(DEGREES(ATAN2(E45-E44,D45-D44))&lt;0,DEGREES(ATAN2(E45-E44,D45-D44))+360,(DEGREES(ATAN2(E45-E44,D45-D44))))</f>
        <v>69.569117585353467</v>
      </c>
      <c r="R44" s="90" cm="1">
        <f t="array" ref="R44">_xll.PE.crs.GeodesicDistance($D$4,D43:E46)</f>
        <v>36125.845604931084</v>
      </c>
      <c r="S44" s="44" t="str">
        <f t="shared" si="14"/>
        <v>19.95048610,40.35217520</v>
      </c>
      <c r="T44" s="98" t="str">
        <f t="shared" si="15"/>
        <v>&lt;trkpt lon="19.95048610" lat="40.35217520"&gt;&lt;name&gt;S03&lt;/name&gt;&lt;/trkpt&gt;</v>
      </c>
    </row>
    <row r="45" spans="1:20" ht="15" thickBot="1" x14ac:dyDescent="0.4">
      <c r="A45" s="24"/>
      <c r="B45" s="102">
        <v>4</v>
      </c>
      <c r="C45" s="12" t="s">
        <v>7</v>
      </c>
      <c r="D45" s="18">
        <v>4437328.9976000004</v>
      </c>
      <c r="E45" s="6">
        <v>4479111.9987000003</v>
      </c>
      <c r="F45" s="138" cm="1">
        <f t="array" ref="F45:G45">_xll.PE.trf.FromEpsgNoToEpsgNo($D$4,$D$5,D45,E45)</f>
        <v>20.259758719416958</v>
      </c>
      <c r="G45" s="140">
        <v>40.442992245042944</v>
      </c>
      <c r="H45" s="156">
        <v>381</v>
      </c>
      <c r="I45" s="155" t="s">
        <v>64</v>
      </c>
      <c r="J45" s="160" t="str" cm="1">
        <f t="array" ref="J45">_xll.PE.deg.AsString(F45)</f>
        <v>20 15 35</v>
      </c>
      <c r="K45" s="139" t="str" cm="1">
        <f t="array" ref="K45">_xll.PE.deg.AsString(G45)</f>
        <v>40 26 35</v>
      </c>
      <c r="L45" s="138" cm="1">
        <f t="array" ref="L45">_xll.PE.deg.FromString(J45)</f>
        <v>20.259722222222223</v>
      </c>
      <c r="M45" s="140" cm="1">
        <f t="array" ref="M45">_xll.PE.deg.FromString(K45)</f>
        <v>40.443055555555553</v>
      </c>
      <c r="N45" s="85">
        <f t="shared" si="13"/>
        <v>3.6497194734863569E-5</v>
      </c>
      <c r="O45" s="81">
        <f t="shared" si="13"/>
        <v>-6.3310512608438785E-5</v>
      </c>
      <c r="P45" s="39">
        <f>SQRT((D46-D45)^2+(E46-E45)^2)</f>
        <v>4000.0000000001769</v>
      </c>
      <c r="Q45" s="89">
        <f>IF(DEGREES(ATAN2(E46-E45,D46-D45))&lt;0,DEGREES(ATAN2(E46-E45,D46-D45))+360,(DEGREES(ATAN2(E46-E45,D46-D45))))</f>
        <v>69.56911758536063</v>
      </c>
      <c r="R45" s="89"/>
      <c r="S45" s="44" t="str">
        <f t="shared" si="14"/>
        <v>20.25975872,40.44299225</v>
      </c>
      <c r="T45" s="98" t="str">
        <f t="shared" si="15"/>
        <v>&lt;trkpt lon="20.25975872" lat="40.44299225"&gt;&lt;name&gt;S04&lt;/name&gt;&lt;/trkpt&gt;</v>
      </c>
    </row>
    <row r="46" spans="1:20" ht="15" thickBot="1" x14ac:dyDescent="0.4">
      <c r="A46" s="24" t="str">
        <f>C41</f>
        <v>B_008</v>
      </c>
      <c r="B46" s="102">
        <v>5</v>
      </c>
      <c r="C46" s="12" t="s">
        <v>5</v>
      </c>
      <c r="D46" s="37">
        <f>D45+$D$8*SIN(RADIANS(Q44))</f>
        <v>4441077.3734923266</v>
      </c>
      <c r="E46" s="38">
        <f>E45+$D$8*COS(RADIANS(Q44))</f>
        <v>4480508.3074659361</v>
      </c>
      <c r="F46" s="135" cm="1">
        <f t="array" ref="F46:G46">_xll.PE.trf.FromEpsgNoToEpsgNo($D$4,$D$5,D46,E46)</f>
        <v>20.303807202490884</v>
      </c>
      <c r="G46" s="137">
        <v>40.455840147522494</v>
      </c>
      <c r="H46" s="154">
        <v>914</v>
      </c>
      <c r="I46" s="155" t="s">
        <v>65</v>
      </c>
      <c r="J46" s="144" t="str" cm="1">
        <f t="array" ref="J46">_xll.PE.deg.AsString(F46)</f>
        <v>20 18 14</v>
      </c>
      <c r="K46" s="136" t="str" cm="1">
        <f t="array" ref="K46">_xll.PE.deg.AsString(G46)</f>
        <v>40 27 21</v>
      </c>
      <c r="L46" s="135" cm="1">
        <f t="array" ref="L46">_xll.PE.deg.FromString(J46)</f>
        <v>20.303888888888888</v>
      </c>
      <c r="M46" s="137" cm="1">
        <f t="array" ref="M46">_xll.PE.deg.FromString(K46)</f>
        <v>40.455833333333338</v>
      </c>
      <c r="N46" s="84">
        <f t="shared" si="13"/>
        <v>-8.1686398004876537E-5</v>
      </c>
      <c r="O46" s="80">
        <f t="shared" si="13"/>
        <v>6.8141891560458134E-6</v>
      </c>
      <c r="P46" s="39">
        <f>SQRT((D47-D46)^2+(E47-E46)^2)</f>
        <v>3000.0000000000514</v>
      </c>
      <c r="Q46" s="89">
        <f>IF(DEGREES(ATAN2(E47-E46,D47-D46))&lt;0,DEGREES(ATAN2(E47-E46,D47-D46))+360,(DEGREES(ATAN2(E47-E46,D47-D46))))</f>
        <v>69.569117585364779</v>
      </c>
      <c r="R46" s="5">
        <v>4326</v>
      </c>
      <c r="S46" s="44" t="str">
        <f t="shared" si="14"/>
        <v>20.30380720,40.45584015</v>
      </c>
      <c r="T46" s="98" t="str">
        <f t="shared" si="15"/>
        <v>&lt;trkpt lon="20.30380720" lat="40.45584015"&gt;&lt;name&gt;S05&lt;/name&gt;&lt;/trkpt&gt;</v>
      </c>
    </row>
    <row r="47" spans="1:20" ht="15" thickBot="1" x14ac:dyDescent="0.4">
      <c r="A47" s="24"/>
      <c r="B47" s="103">
        <v>6</v>
      </c>
      <c r="C47" s="13" t="s">
        <v>13</v>
      </c>
      <c r="D47" s="29">
        <f>D46+$D$7*SIN(RADIANS(Q45))</f>
        <v>4443888.6554115713</v>
      </c>
      <c r="E47" s="30">
        <f>E46+$D$7*COS(RADIANS(Q45))</f>
        <v>4481555.5390403876</v>
      </c>
      <c r="F47" s="141" cm="1">
        <f t="array" ref="F47:G47">_xll.PE.trf.FromEpsgNoToEpsgNo($D$4,$D$5,D47,E47)</f>
        <v>20.336854707752281</v>
      </c>
      <c r="G47" s="143">
        <v>40.465465128118076</v>
      </c>
      <c r="H47" s="157">
        <v>426</v>
      </c>
      <c r="I47" s="155" t="s">
        <v>66</v>
      </c>
      <c r="J47" s="149" t="str" cm="1">
        <f t="array" ref="J47">_xll.PE.deg.AsString(F47)</f>
        <v>20 20 13</v>
      </c>
      <c r="K47" s="142" t="str" cm="1">
        <f t="array" ref="K47">_xll.PE.deg.AsString(G47)</f>
        <v>40 27 56</v>
      </c>
      <c r="L47" s="141" cm="1">
        <f t="array" ref="L47">_xll.PE.deg.FromString(J47)</f>
        <v>20.336944444444445</v>
      </c>
      <c r="M47" s="143" cm="1">
        <f t="array" ref="M47">_xll.PE.deg.FromString(K47)</f>
        <v>40.465555555555561</v>
      </c>
      <c r="N47" s="86">
        <f t="shared" si="13"/>
        <v>-8.9736692164166243E-5</v>
      </c>
      <c r="O47" s="82">
        <f t="shared" si="13"/>
        <v>-9.0427437484663642E-5</v>
      </c>
      <c r="P47" s="34">
        <f>SUM(P43:P45)</f>
        <v>36128.445339717051</v>
      </c>
      <c r="Q47" s="5" t="s">
        <v>11</v>
      </c>
      <c r="R47" s="90" cm="1">
        <f t="array" ref="R47">_xll.PE.crs.GeodesicDistance($D$5,L42:M46)</f>
        <v>39134.832653386409</v>
      </c>
      <c r="S47" s="44" t="str">
        <f t="shared" si="14"/>
        <v>20.33685471,40.46546513</v>
      </c>
      <c r="T47" s="98" t="str">
        <f t="shared" si="15"/>
        <v>&lt;trkpt lon="20.33685471" lat="40.46546513"&gt;&lt;name&gt;S06&lt;/name&gt;&lt;/trkpt&gt;</v>
      </c>
    </row>
    <row r="48" spans="1:20" ht="15" thickBot="1" x14ac:dyDescent="0.4">
      <c r="A48" s="24"/>
      <c r="B48" s="104"/>
      <c r="C48" s="17"/>
      <c r="D48" s="31"/>
      <c r="E48" s="31"/>
      <c r="F48" s="42"/>
      <c r="G48" s="42"/>
      <c r="H48" s="115"/>
      <c r="I48" s="88"/>
      <c r="J48" s="42"/>
      <c r="K48" s="42"/>
      <c r="L48" s="42"/>
      <c r="M48" s="42"/>
      <c r="N48" s="42"/>
      <c r="O48" s="42"/>
      <c r="P48" s="25">
        <f>P44</f>
        <v>28128.445339716698</v>
      </c>
      <c r="Q48" s="106" t="s">
        <v>12</v>
      </c>
      <c r="R48" s="91"/>
      <c r="S48" s="44" t="s">
        <v>21</v>
      </c>
      <c r="T48" s="98" t="str">
        <f>CONCATENATE("&lt;/trkseg&gt;&lt;/trk&gt;")</f>
        <v>&lt;/trkseg&gt;&lt;/trk&gt;</v>
      </c>
    </row>
    <row r="49" spans="1:20" ht="15" thickBot="1" x14ac:dyDescent="0.4">
      <c r="A49" s="24"/>
      <c r="B49" s="104"/>
      <c r="C49" s="11" t="s">
        <v>33</v>
      </c>
      <c r="D49" s="33"/>
      <c r="E49" s="33"/>
      <c r="F49" s="113" t="str">
        <f>C49</f>
        <v>B_009</v>
      </c>
      <c r="G49" s="113"/>
      <c r="H49" s="113"/>
      <c r="I49" s="113"/>
      <c r="J49" s="40"/>
      <c r="K49" s="40"/>
      <c r="L49" s="40"/>
      <c r="M49" s="40"/>
      <c r="N49" s="40"/>
      <c r="O49" s="40"/>
      <c r="P49" s="16"/>
      <c r="Q49" s="109"/>
      <c r="R49" s="92"/>
      <c r="S49" s="44" t="str">
        <f>CONCATENATE("&lt;Placemark&gt;&lt;name&gt;",A54,"&lt;/name&gt;&lt;styleUrl&gt;#track001&lt;/styleUrl&gt;&lt;MultiGeometry&gt;&lt;LineString&gt;&lt;coordinates&gt;")</f>
        <v>&lt;Placemark&gt;&lt;name&gt;B_009&lt;/name&gt;&lt;styleUrl&gt;#track001&lt;/styleUrl&gt;&lt;MultiGeometry&gt;&lt;LineString&gt;&lt;coordinates&gt;</v>
      </c>
      <c r="T49" s="98" t="str">
        <f>CONCATENATE("&lt;trk&gt;&lt;name&gt;",A54,"&lt;/name&gt;&lt;trkseg&gt;")</f>
        <v>&lt;trk&gt;&lt;name&gt;B_009&lt;/name&gt;&lt;trkseg&gt;</v>
      </c>
    </row>
    <row r="50" spans="1:20" ht="15" thickBot="1" x14ac:dyDescent="0.4">
      <c r="A50" s="24"/>
      <c r="B50" s="101">
        <v>1</v>
      </c>
      <c r="C50" s="41" t="s">
        <v>13</v>
      </c>
      <c r="D50" s="26">
        <f>D51-$D$7*SIN(RADIANS(Q51))</f>
        <v>4406643.6515580909</v>
      </c>
      <c r="E50" s="27">
        <f>E51-$D$7*COS(RADIANS(Q51))</f>
        <v>4464929.1109348536</v>
      </c>
      <c r="F50" s="132" cm="1">
        <f t="array" ref="F50:G50">_xll.PE.trf.FromEpsgNoToEpsgNo($D$4,$D$5,D50,E50)</f>
        <v>19.900207757522892</v>
      </c>
      <c r="G50" s="134">
        <v>40.312409673182536</v>
      </c>
      <c r="H50" s="152">
        <v>438</v>
      </c>
      <c r="I50" s="155" t="s">
        <v>67</v>
      </c>
      <c r="J50" s="159" t="str" cm="1">
        <f t="array" ref="J50">_xll.PE.deg.AsString(F50)</f>
        <v>19 54 01</v>
      </c>
      <c r="K50" s="133" t="str" cm="1">
        <f t="array" ref="K50">_xll.PE.deg.AsString(G50)</f>
        <v>40 18 45</v>
      </c>
      <c r="L50" s="132" cm="1">
        <f t="array" ref="L50">_xll.PE.deg.FromString(J50)</f>
        <v>19.900277777777777</v>
      </c>
      <c r="M50" s="134" cm="1">
        <f t="array" ref="M50">_xll.PE.deg.FromString(K50)</f>
        <v>40.3125</v>
      </c>
      <c r="N50" s="83">
        <f t="shared" ref="N50:O55" si="16">F50-L50</f>
        <v>-7.0020254884894939E-5</v>
      </c>
      <c r="O50" s="79">
        <f t="shared" si="16"/>
        <v>-9.0326817463903808E-5</v>
      </c>
      <c r="P50" s="8">
        <f>SQRT((D51-D50)^2+(E51-E50)^2)</f>
        <v>3000.0000000000518</v>
      </c>
      <c r="Q50" s="108">
        <f>IF(DEGREES(ATAN2(E51-E50,D51-D50))&lt;0,DEGREES(ATAN2(E51-E50,D51-D50))+360,(DEGREES(ATAN2(E51-E50,D51-D50))))</f>
        <v>71.527992199095209</v>
      </c>
      <c r="R50" s="89"/>
      <c r="S50" s="44" t="str">
        <f t="shared" ref="S50:S55" si="17">CONCATENATE(TEXT(F50,"#.00000000"),",",TEXT(G50,"#.00000000"))</f>
        <v>19.90020776,40.31240967</v>
      </c>
      <c r="T50" s="98" t="str">
        <f t="shared" ref="T50:T55" si="18">CONCATENATE("&lt;trkpt lon=""",TEXT(F50,"#.00000000"),""" lat=""",TEXT(G50,"#.00000000"),"""","&gt;&lt;name&gt;S",TEXT(B50,"00"),"&lt;/name&gt;&lt;/trkpt&gt;")</f>
        <v>&lt;trkpt lon="19.90020776" lat="40.31240967"&gt;&lt;name&gt;S01&lt;/name&gt;&lt;/trkpt&gt;</v>
      </c>
    </row>
    <row r="51" spans="1:20" ht="15" thickBot="1" x14ac:dyDescent="0.4">
      <c r="A51" s="24"/>
      <c r="B51" s="102">
        <v>2</v>
      </c>
      <c r="C51" s="12" t="s">
        <v>5</v>
      </c>
      <c r="D51" s="37">
        <f>D52-$D$8*SIN(RADIANS(Q52))</f>
        <v>4409489.0872474806</v>
      </c>
      <c r="E51" s="38">
        <f>E52-$D$8*COS(RADIANS(Q52))</f>
        <v>4465879.6348627731</v>
      </c>
      <c r="F51" s="135" cm="1">
        <f t="array" ref="F51:G51">_xll.PE.trf.FromEpsgNoToEpsgNo($D$4,$D$5,D51,E51)</f>
        <v>19.933541273379543</v>
      </c>
      <c r="G51" s="137">
        <v>40.321281636115572</v>
      </c>
      <c r="H51" s="154">
        <v>349</v>
      </c>
      <c r="I51" s="155" t="s">
        <v>68</v>
      </c>
      <c r="J51" s="144" t="str" cm="1">
        <f t="array" ref="J51">_xll.PE.deg.AsString(F51)</f>
        <v>19 56 01</v>
      </c>
      <c r="K51" s="136" t="str" cm="1">
        <f t="array" ref="K51">_xll.PE.deg.AsString(G51)</f>
        <v>40 19 17</v>
      </c>
      <c r="L51" s="135" cm="1">
        <f t="array" ref="L51">_xll.PE.deg.FromString(J51)</f>
        <v>19.933611111111112</v>
      </c>
      <c r="M51" s="137" cm="1">
        <f t="array" ref="M51">_xll.PE.deg.FromString(K51)</f>
        <v>40.32138888888889</v>
      </c>
      <c r="N51" s="84">
        <f t="shared" si="16"/>
        <v>-6.9837731569322159E-5</v>
      </c>
      <c r="O51" s="80">
        <f t="shared" si="16"/>
        <v>-1.0725277331857797E-4</v>
      </c>
      <c r="P51" s="39">
        <f>SQRT((D52-D51)^2+(E52-E51)^2)</f>
        <v>4000.0000000002656</v>
      </c>
      <c r="Q51" s="89">
        <f>IF(DEGREES(ATAN2(E52-E51,D52-D51))&lt;0,DEGREES(ATAN2(E52-E51,D52-D51))+360,(DEGREES(ATAN2(E52-E51,D52-D51))))</f>
        <v>71.527992199086768</v>
      </c>
      <c r="R51" s="21">
        <v>2462</v>
      </c>
      <c r="S51" s="44" t="str">
        <f t="shared" si="17"/>
        <v>19.93354127,40.32128164</v>
      </c>
      <c r="T51" s="98" t="str">
        <f t="shared" si="18"/>
        <v>&lt;trkpt lon="19.93354127" lat="40.32128164"&gt;&lt;name&gt;S02&lt;/name&gt;&lt;/trkpt&gt;</v>
      </c>
    </row>
    <row r="52" spans="1:20" ht="15" thickBot="1" x14ac:dyDescent="0.4">
      <c r="A52" s="24"/>
      <c r="B52" s="102">
        <v>3</v>
      </c>
      <c r="C52" s="12" t="s">
        <v>8</v>
      </c>
      <c r="D52" s="18">
        <v>4413283.0015000002</v>
      </c>
      <c r="E52" s="6">
        <v>4467147.0000999998</v>
      </c>
      <c r="F52" s="138" cm="1">
        <f t="array" ref="F52:G52">_xll.PE.trf.FromEpsgNoToEpsgNo($D$4,$D$5,D52,E52)</f>
        <v>19.97799981976652</v>
      </c>
      <c r="G52" s="140">
        <v>40.333096123789161</v>
      </c>
      <c r="H52" s="156">
        <v>818</v>
      </c>
      <c r="I52" s="155" t="s">
        <v>69</v>
      </c>
      <c r="J52" s="160" t="str" cm="1">
        <f t="array" ref="J52">_xll.PE.deg.AsString(F52)</f>
        <v>19 58 41</v>
      </c>
      <c r="K52" s="139" t="str" cm="1">
        <f t="array" ref="K52">_xll.PE.deg.AsString(G52)</f>
        <v>40 19 59</v>
      </c>
      <c r="L52" s="138" cm="1">
        <f t="array" ref="L52">_xll.PE.deg.FromString(J52)</f>
        <v>19.978055555555553</v>
      </c>
      <c r="M52" s="140" cm="1">
        <f t="array" ref="M52">_xll.PE.deg.FromString(K52)</f>
        <v>40.333055555555561</v>
      </c>
      <c r="N52" s="85">
        <f t="shared" si="16"/>
        <v>-5.5735789032951288E-5</v>
      </c>
      <c r="O52" s="81">
        <f t="shared" si="16"/>
        <v>4.0568233600879466E-5</v>
      </c>
      <c r="P52" s="10">
        <f>SQRT((D53-D52)^2+(E53-E52)^2)</f>
        <v>24936.774239737024</v>
      </c>
      <c r="Q52" s="93">
        <f>IF(DEGREES(ATAN2(E53-E52,D53-D52))&lt;0,DEGREES(ATAN2(E53-E52,D53-D52))+360,(DEGREES(ATAN2(E53-E52,D53-D52))))</f>
        <v>71.527992199092083</v>
      </c>
      <c r="R52" s="90" cm="1">
        <f t="array" ref="R52">_xll.PE.crs.GeodesicDistance($D$4,D51:E54)</f>
        <v>32934.468512886939</v>
      </c>
      <c r="S52" s="44" t="str">
        <f t="shared" si="17"/>
        <v>19.97799982,40.33309612</v>
      </c>
      <c r="T52" s="98" t="str">
        <f t="shared" si="18"/>
        <v>&lt;trkpt lon="19.97799982" lat="40.33309612"&gt;&lt;name&gt;S03&lt;/name&gt;&lt;/trkpt&gt;</v>
      </c>
    </row>
    <row r="53" spans="1:20" ht="15" thickBot="1" x14ac:dyDescent="0.4">
      <c r="A53" s="24"/>
      <c r="B53" s="102">
        <v>4</v>
      </c>
      <c r="C53" s="12" t="s">
        <v>7</v>
      </c>
      <c r="D53" s="18">
        <v>4436934.9972999999</v>
      </c>
      <c r="E53" s="6">
        <v>4475048.0003000004</v>
      </c>
      <c r="F53" s="138" cm="1">
        <f t="array" ref="F53:G53">_xll.PE.trf.FromEpsgNoToEpsgNo($D$4,$D$5,D53,E53)</f>
        <v>20.255518710888996</v>
      </c>
      <c r="G53" s="140">
        <v>40.406367319968865</v>
      </c>
      <c r="H53" s="156">
        <v>533</v>
      </c>
      <c r="I53" s="155" t="s">
        <v>70</v>
      </c>
      <c r="J53" s="160" t="str" cm="1">
        <f t="array" ref="J53">_xll.PE.deg.AsString(F53)</f>
        <v>20 15 20</v>
      </c>
      <c r="K53" s="139" t="str" cm="1">
        <f t="array" ref="K53">_xll.PE.deg.AsString(G53)</f>
        <v>40 24 23</v>
      </c>
      <c r="L53" s="138" cm="1">
        <f t="array" ref="L53">_xll.PE.deg.FromString(J53)</f>
        <v>20.255555555555556</v>
      </c>
      <c r="M53" s="140" cm="1">
        <f t="array" ref="M53">_xll.PE.deg.FromString(K53)</f>
        <v>40.406388888888884</v>
      </c>
      <c r="N53" s="85">
        <f t="shared" si="16"/>
        <v>-3.6844666560398309E-5</v>
      </c>
      <c r="O53" s="81">
        <f t="shared" si="16"/>
        <v>-2.1568920018921744E-5</v>
      </c>
      <c r="P53" s="39">
        <f>SQRT((D54-D53)^2+(E54-E53)^2)</f>
        <v>4000.0000000002656</v>
      </c>
      <c r="Q53" s="89">
        <f>IF(DEGREES(ATAN2(E54-E53,D54-D53))&lt;0,DEGREES(ATAN2(E54-E53,D54-D53))+360,(DEGREES(ATAN2(E54-E53,D54-D53))))</f>
        <v>71.527992199086768</v>
      </c>
      <c r="R53" s="89"/>
      <c r="S53" s="44" t="str">
        <f t="shared" si="17"/>
        <v>20.25551871,40.40636732</v>
      </c>
      <c r="T53" s="98" t="str">
        <f t="shared" si="18"/>
        <v>&lt;trkpt lon="20.25551871" lat="40.40636732"&gt;&lt;name&gt;S04&lt;/name&gt;&lt;/trkpt&gt;</v>
      </c>
    </row>
    <row r="54" spans="1:20" ht="15" thickBot="1" x14ac:dyDescent="0.4">
      <c r="A54" s="24" t="str">
        <f>C49</f>
        <v>B_009</v>
      </c>
      <c r="B54" s="102">
        <v>5</v>
      </c>
      <c r="C54" s="12" t="s">
        <v>5</v>
      </c>
      <c r="D54" s="37">
        <f>D53+$D$8*SIN(RADIANS(Q52))</f>
        <v>4440728.9115525195</v>
      </c>
      <c r="E54" s="38">
        <f>E53+$D$8*COS(RADIANS(Q52))</f>
        <v>4476315.3655372271</v>
      </c>
      <c r="F54" s="135" cm="1">
        <f t="array" ref="F54:G54">_xll.PE.trf.FromEpsgNoToEpsgNo($D$4,$D$5,D54,E54)</f>
        <v>20.300091131624491</v>
      </c>
      <c r="G54" s="137">
        <v>40.418058849922616</v>
      </c>
      <c r="H54" s="154">
        <v>302</v>
      </c>
      <c r="I54" s="155" t="s">
        <v>71</v>
      </c>
      <c r="J54" s="144" t="str" cm="1">
        <f t="array" ref="J54">_xll.PE.deg.AsString(F54)</f>
        <v>20 18 00</v>
      </c>
      <c r="K54" s="136" t="str" cm="1">
        <f t="array" ref="K54">_xll.PE.deg.AsString(G54)</f>
        <v>40 25 05</v>
      </c>
      <c r="L54" s="135" cm="1">
        <f t="array" ref="L54">_xll.PE.deg.FromString(J54)</f>
        <v>20.3</v>
      </c>
      <c r="M54" s="137" cm="1">
        <f t="array" ref="M54">_xll.PE.deg.FromString(K54)</f>
        <v>40.418055555555554</v>
      </c>
      <c r="N54" s="84">
        <f t="shared" si="16"/>
        <v>9.1131624490259355E-5</v>
      </c>
      <c r="O54" s="80">
        <f t="shared" si="16"/>
        <v>3.2943670618124088E-6</v>
      </c>
      <c r="P54" s="39">
        <f>SQRT((D55-D54)^2+(E55-E54)^2)</f>
        <v>3000.0000000000518</v>
      </c>
      <c r="Q54" s="89">
        <f>IF(DEGREES(ATAN2(E55-E54,D55-D54))&lt;0,DEGREES(ATAN2(E55-E54,D55-D54))+360,(DEGREES(ATAN2(E55-E54,D55-D54))))</f>
        <v>71.527992199095209</v>
      </c>
      <c r="R54" s="5">
        <v>4326</v>
      </c>
      <c r="S54" s="44" t="str">
        <f t="shared" si="17"/>
        <v>20.30009113,40.41805885</v>
      </c>
      <c r="T54" s="98" t="str">
        <f t="shared" si="18"/>
        <v>&lt;trkpt lon="20.30009113" lat="40.41805885"&gt;&lt;name&gt;S05&lt;/name&gt;&lt;/trkpt&gt;</v>
      </c>
    </row>
    <row r="55" spans="1:20" ht="15" thickBot="1" x14ac:dyDescent="0.4">
      <c r="A55" s="24"/>
      <c r="B55" s="103">
        <v>6</v>
      </c>
      <c r="C55" s="13" t="s">
        <v>13</v>
      </c>
      <c r="D55" s="29">
        <f>D54+$D$7*SIN(RADIANS(Q53))</f>
        <v>4443574.3472419092</v>
      </c>
      <c r="E55" s="30">
        <f>E54+$D$7*COS(RADIANS(Q53))</f>
        <v>4477265.8894651467</v>
      </c>
      <c r="F55" s="141" cm="1">
        <f t="array" ref="F55:G55">_xll.PE.trf.FromEpsgNoToEpsgNo($D$4,$D$5,D55,E55)</f>
        <v>20.333530712767278</v>
      </c>
      <c r="G55" s="143">
        <v>40.426816286558491</v>
      </c>
      <c r="H55" s="157">
        <v>699</v>
      </c>
      <c r="I55" s="155" t="s">
        <v>72</v>
      </c>
      <c r="J55" s="149" t="str" cm="1">
        <f t="array" ref="J55">_xll.PE.deg.AsString(F55)</f>
        <v>20 20 01</v>
      </c>
      <c r="K55" s="142" t="str" cm="1">
        <f t="array" ref="K55">_xll.PE.deg.AsString(G55)</f>
        <v>40 25 37</v>
      </c>
      <c r="L55" s="141" cm="1">
        <f t="array" ref="L55">_xll.PE.deg.FromString(J55)</f>
        <v>20.333611111111111</v>
      </c>
      <c r="M55" s="143" cm="1">
        <f t="array" ref="M55">_xll.PE.deg.FromString(K55)</f>
        <v>40.426944444444445</v>
      </c>
      <c r="N55" s="86">
        <f t="shared" si="16"/>
        <v>-8.0398343833110175E-5</v>
      </c>
      <c r="O55" s="82">
        <f t="shared" si="16"/>
        <v>-1.2815788595332833E-4</v>
      </c>
      <c r="P55" s="34">
        <f>SUM(P51:P53)</f>
        <v>32936.774239737555</v>
      </c>
      <c r="Q55" s="5" t="s">
        <v>11</v>
      </c>
      <c r="R55" s="90" cm="1">
        <f t="array" ref="R55">_xll.PE.crs.GeodesicDistance($D$5,L51:M54)</f>
        <v>32917.277057803265</v>
      </c>
      <c r="S55" s="44" t="str">
        <f t="shared" si="17"/>
        <v>20.33353071,40.42681629</v>
      </c>
      <c r="T55" s="98" t="str">
        <f t="shared" si="18"/>
        <v>&lt;trkpt lon="20.33353071" lat="40.42681629"&gt;&lt;name&gt;S06&lt;/name&gt;&lt;/trkpt&gt;</v>
      </c>
    </row>
    <row r="56" spans="1:20" ht="15" thickBot="1" x14ac:dyDescent="0.4">
      <c r="A56" s="24"/>
      <c r="B56" s="104"/>
      <c r="C56" s="17"/>
      <c r="D56" s="31"/>
      <c r="E56" s="31"/>
      <c r="F56" s="42"/>
      <c r="G56" s="42"/>
      <c r="H56" s="115"/>
      <c r="I56" s="88"/>
      <c r="J56" s="42"/>
      <c r="K56" s="42"/>
      <c r="L56" s="42"/>
      <c r="M56" s="42"/>
      <c r="N56" s="42"/>
      <c r="O56" s="42"/>
      <c r="P56" s="25">
        <f>P52</f>
        <v>24936.774239737024</v>
      </c>
      <c r="Q56" s="106" t="s">
        <v>12</v>
      </c>
      <c r="R56" s="91"/>
      <c r="S56" s="44" t="s">
        <v>21</v>
      </c>
      <c r="T56" s="98" t="str">
        <f>CONCATENATE("&lt;/trkseg&gt;&lt;/trk&gt;")</f>
        <v>&lt;/trkseg&gt;&lt;/trk&gt;</v>
      </c>
    </row>
    <row r="57" spans="1:20" ht="15" thickBot="1" x14ac:dyDescent="0.4">
      <c r="A57" s="24"/>
      <c r="B57" s="104"/>
      <c r="C57" s="11" t="s">
        <v>34</v>
      </c>
      <c r="D57" s="33"/>
      <c r="E57" s="33"/>
      <c r="F57" s="113" t="str">
        <f>C57</f>
        <v>B_010</v>
      </c>
      <c r="G57" s="113"/>
      <c r="H57" s="113"/>
      <c r="I57" s="113"/>
      <c r="J57" s="40"/>
      <c r="K57" s="40"/>
      <c r="L57" s="40"/>
      <c r="M57" s="40"/>
      <c r="N57" s="40"/>
      <c r="O57" s="40"/>
      <c r="P57" s="16"/>
      <c r="Q57" s="109"/>
      <c r="R57" s="92"/>
      <c r="S57" s="44" t="str">
        <f>CONCATENATE("&lt;Placemark&gt;&lt;name&gt;",A62,"&lt;/name&gt;&lt;styleUrl&gt;#track001&lt;/styleUrl&gt;&lt;MultiGeometry&gt;&lt;LineString&gt;&lt;coordinates&gt;")</f>
        <v>&lt;Placemark&gt;&lt;name&gt;B_010&lt;/name&gt;&lt;styleUrl&gt;#track001&lt;/styleUrl&gt;&lt;MultiGeometry&gt;&lt;LineString&gt;&lt;coordinates&gt;</v>
      </c>
      <c r="T57" s="98" t="str">
        <f>CONCATENATE("&lt;trk&gt;&lt;name&gt;",A62,"&lt;/name&gt;&lt;trkseg&gt;")</f>
        <v>&lt;trk&gt;&lt;name&gt;B_010&lt;/name&gt;&lt;trkseg&gt;</v>
      </c>
    </row>
    <row r="58" spans="1:20" ht="15" thickBot="1" x14ac:dyDescent="0.4">
      <c r="A58" s="24"/>
      <c r="B58" s="101">
        <v>1</v>
      </c>
      <c r="C58" s="41" t="s">
        <v>13</v>
      </c>
      <c r="D58" s="26">
        <f>D59-$D$7*SIN(RADIANS(Q59))</f>
        <v>4408801.9388487665</v>
      </c>
      <c r="E58" s="27">
        <f>E59-$D$7*COS(RADIANS(Q59))</f>
        <v>4463055.1312818611</v>
      </c>
      <c r="F58" s="132" cm="1">
        <f t="array" ref="F58:G58">_xll.PE.trf.FromEpsgNoToEpsgNo($D$4,$D$5,D58,E58)</f>
        <v>19.925860955743484</v>
      </c>
      <c r="G58" s="134">
        <v>40.295774822822679</v>
      </c>
      <c r="H58" s="152">
        <v>727</v>
      </c>
      <c r="I58" s="155" t="s">
        <v>73</v>
      </c>
      <c r="J58" s="159" t="str" cm="1">
        <f t="array" ref="J58">_xll.PE.deg.AsString(F58)</f>
        <v>19 55 33</v>
      </c>
      <c r="K58" s="133" t="str" cm="1">
        <f t="array" ref="K58">_xll.PE.deg.AsString(G58)</f>
        <v>40 17 45</v>
      </c>
      <c r="L58" s="132" cm="1">
        <f t="array" ref="L58">_xll.PE.deg.FromString(J58)</f>
        <v>19.925833333333333</v>
      </c>
      <c r="M58" s="134" cm="1">
        <f t="array" ref="M58">_xll.PE.deg.FromString(K58)</f>
        <v>40.295833333333334</v>
      </c>
      <c r="N58" s="83">
        <f t="shared" ref="N58:O63" si="19">F58-L58</f>
        <v>2.7622410151195709E-5</v>
      </c>
      <c r="O58" s="79">
        <f t="shared" si="19"/>
        <v>-5.8510510655196413E-5</v>
      </c>
      <c r="P58" s="8">
        <f>SQRT((D59-D58)^2+(E59-E58)^2)</f>
        <v>2999.9999999997217</v>
      </c>
      <c r="Q58" s="108">
        <f>IF(DEGREES(ATAN2(E59-E58,D59-D58))&lt;0,DEGREES(ATAN2(E59-E58,D59-D58))+360,(DEGREES(ATAN2(E59-E58,D59-D58))))</f>
        <v>74.336851700523653</v>
      </c>
      <c r="R58" s="89"/>
      <c r="S58" s="44" t="str">
        <f t="shared" ref="S58:S63" si="20">CONCATENATE(TEXT(F58,"#.00000000"),",",TEXT(G58,"#.00000000"))</f>
        <v>19.92586096,40.29577482</v>
      </c>
      <c r="T58" s="98" t="str">
        <f t="shared" ref="T58:T63" si="21">CONCATENATE("&lt;trkpt lon=""",TEXT(F58,"#.00000000"),""" lat=""",TEXT(G58,"#.00000000"),"""","&gt;&lt;name&gt;S",TEXT(B58,"00"),"&lt;/name&gt;&lt;/trkpt&gt;")</f>
        <v>&lt;trkpt lon="19.92586096" lat="40.29577482"&gt;&lt;name&gt;S01&lt;/name&gt;&lt;/trkpt&gt;</v>
      </c>
    </row>
    <row r="59" spans="1:20" ht="15" thickBot="1" x14ac:dyDescent="0.4">
      <c r="A59" s="24"/>
      <c r="B59" s="102">
        <v>2</v>
      </c>
      <c r="C59" s="12" t="s">
        <v>5</v>
      </c>
      <c r="D59" s="37">
        <f>D60-$D$8*SIN(RADIANS(Q60))</f>
        <v>4411690.5356278662</v>
      </c>
      <c r="E59" s="38">
        <f>E60-$D$8*COS(RADIANS(Q60))</f>
        <v>4463865.0748896347</v>
      </c>
      <c r="F59" s="135" cm="1">
        <f t="array" ref="F59:G59">_xll.PE.trf.FromEpsgNoToEpsgNo($D$4,$D$5,D59,E59)</f>
        <v>19.959716888540239</v>
      </c>
      <c r="G59" s="137">
        <v>40.303378114903786</v>
      </c>
      <c r="H59" s="154">
        <v>618</v>
      </c>
      <c r="I59" s="155" t="s">
        <v>74</v>
      </c>
      <c r="J59" s="144" t="str" cm="1">
        <f t="array" ref="J59">_xll.PE.deg.AsString(F59)</f>
        <v>19 57 35</v>
      </c>
      <c r="K59" s="136" t="str" cm="1">
        <f t="array" ref="K59">_xll.PE.deg.AsString(G59)</f>
        <v>40 18 12</v>
      </c>
      <c r="L59" s="135" cm="1">
        <f t="array" ref="L59">_xll.PE.deg.FromString(J59)</f>
        <v>19.959722222222222</v>
      </c>
      <c r="M59" s="137" cm="1">
        <f t="array" ref="M59">_xll.PE.deg.FromString(K59)</f>
        <v>40.303333333333327</v>
      </c>
      <c r="N59" s="84">
        <f t="shared" si="19"/>
        <v>-5.3336819831883986E-6</v>
      </c>
      <c r="O59" s="80">
        <f t="shared" si="19"/>
        <v>4.4781570458951592E-5</v>
      </c>
      <c r="P59" s="39">
        <f>SQRT((D60-D59)^2+(E60-E59)^2)</f>
        <v>4000.0000000002265</v>
      </c>
      <c r="Q59" s="89">
        <f>IF(DEGREES(ATAN2(E60-E59,D60-D59))&lt;0,DEGREES(ATAN2(E60-E59,D60-D59))+360,(DEGREES(ATAN2(E60-E59,D60-D59))))</f>
        <v>74.336851700526054</v>
      </c>
      <c r="R59" s="21">
        <v>2462</v>
      </c>
      <c r="S59" s="44" t="str">
        <f t="shared" si="20"/>
        <v>19.95971689,40.30337811</v>
      </c>
      <c r="T59" s="98" t="str">
        <f t="shared" si="21"/>
        <v>&lt;trkpt lon="19.95971689" lat="40.30337811"&gt;&lt;name&gt;S02&lt;/name&gt;&lt;/trkpt&gt;</v>
      </c>
    </row>
    <row r="60" spans="1:20" ht="15" thickBot="1" x14ac:dyDescent="0.4">
      <c r="A60" s="24"/>
      <c r="B60" s="102">
        <v>3</v>
      </c>
      <c r="C60" s="12" t="s">
        <v>8</v>
      </c>
      <c r="D60" s="18">
        <v>4415541.9979999997</v>
      </c>
      <c r="E60" s="6">
        <v>4464944.9996999996</v>
      </c>
      <c r="F60" s="138" cm="1">
        <f t="array" ref="F60:G60">_xll.PE.trf.FromEpsgNoToEpsgNo($D$4,$D$5,D60,E60)</f>
        <v>20.00487023617189</v>
      </c>
      <c r="G60" s="140">
        <v>40.313500551006001</v>
      </c>
      <c r="H60" s="156">
        <v>492</v>
      </c>
      <c r="I60" s="155" t="s">
        <v>75</v>
      </c>
      <c r="J60" s="160" t="str" cm="1">
        <f t="array" ref="J60">_xll.PE.deg.AsString(F60)</f>
        <v>20 00 18</v>
      </c>
      <c r="K60" s="139" t="str" cm="1">
        <f t="array" ref="K60">_xll.PE.deg.AsString(G60)</f>
        <v>40 18 49</v>
      </c>
      <c r="L60" s="138" cm="1">
        <f t="array" ref="L60">_xll.PE.deg.FromString(J60)</f>
        <v>20.004999999999999</v>
      </c>
      <c r="M60" s="140" cm="1">
        <f t="array" ref="M60">_xll.PE.deg.FromString(K60)</f>
        <v>40.313611111111108</v>
      </c>
      <c r="N60" s="85">
        <f t="shared" si="19"/>
        <v>-1.2976382810947484E-4</v>
      </c>
      <c r="O60" s="81">
        <f t="shared" si="19"/>
        <v>-1.1056010510657188E-4</v>
      </c>
      <c r="P60" s="10">
        <f>SQRT((D61-D60)^2+(E61-E60)^2)</f>
        <v>21749.665323513025</v>
      </c>
      <c r="Q60" s="93">
        <f>IF(DEGREES(ATAN2(E61-E60,D61-D60))&lt;0,DEGREES(ATAN2(E61-E60,D61-D60))+360,(DEGREES(ATAN2(E61-E60,D61-D60))))</f>
        <v>74.336851700519389</v>
      </c>
      <c r="R60" s="90" cm="1">
        <f t="array" ref="R60">_xll.PE.crs.GeodesicDistance($D$4,D59:E62)</f>
        <v>29747.63669229201</v>
      </c>
      <c r="S60" s="44" t="str">
        <f t="shared" si="20"/>
        <v>20.00487024,40.31350055</v>
      </c>
      <c r="T60" s="98" t="str">
        <f t="shared" si="21"/>
        <v>&lt;trkpt lon="20.00487024" lat="40.31350055"&gt;&lt;name&gt;S03&lt;/name&gt;&lt;/trkpt&gt;</v>
      </c>
    </row>
    <row r="61" spans="1:20" ht="15" thickBot="1" x14ac:dyDescent="0.4">
      <c r="A61" s="24"/>
      <c r="B61" s="102">
        <v>4</v>
      </c>
      <c r="C61" s="12" t="s">
        <v>7</v>
      </c>
      <c r="D61" s="18">
        <v>4436484.0023999996</v>
      </c>
      <c r="E61" s="6">
        <v>4470817.0005000001</v>
      </c>
      <c r="F61" s="138" cm="1">
        <f t="array" ref="F61:G61">_xll.PE.trf.FromEpsgNoToEpsgNo($D$4,$D$5,D61,E61)</f>
        <v>20.250628652514411</v>
      </c>
      <c r="G61" s="140">
        <v>40.368233892392162</v>
      </c>
      <c r="H61" s="156">
        <v>565</v>
      </c>
      <c r="I61" s="155" t="s">
        <v>76</v>
      </c>
      <c r="J61" s="160" t="str" cm="1">
        <f t="array" ref="J61">_xll.PE.deg.AsString(F61)</f>
        <v>20 15 02</v>
      </c>
      <c r="K61" s="139" t="str" cm="1">
        <f t="array" ref="K61">_xll.PE.deg.AsString(G61)</f>
        <v>40 22 06</v>
      </c>
      <c r="L61" s="138" cm="1">
        <f t="array" ref="L61">_xll.PE.deg.FromString(J61)</f>
        <v>20.250555555555554</v>
      </c>
      <c r="M61" s="140" cm="1">
        <f t="array" ref="M61">_xll.PE.deg.FromString(K61)</f>
        <v>40.368333333333332</v>
      </c>
      <c r="N61" s="85">
        <f t="shared" si="19"/>
        <v>7.3096958857377103E-5</v>
      </c>
      <c r="O61" s="81">
        <f t="shared" si="19"/>
        <v>-9.9440941170314545E-5</v>
      </c>
      <c r="P61" s="39">
        <f>SQRT((D62-D61)^2+(E62-E61)^2)</f>
        <v>4000.0000000002265</v>
      </c>
      <c r="Q61" s="89">
        <f>IF(DEGREES(ATAN2(E62-E61,D62-D61))&lt;0,DEGREES(ATAN2(E62-E61,D62-D61))+360,(DEGREES(ATAN2(E62-E61,D62-D61))))</f>
        <v>74.336851700526054</v>
      </c>
      <c r="R61" s="89"/>
      <c r="S61" s="44" t="str">
        <f t="shared" si="20"/>
        <v>20.25062865,40.36823389</v>
      </c>
      <c r="T61" s="98" t="str">
        <f t="shared" si="21"/>
        <v>&lt;trkpt lon="20.25062865" lat="40.36823389"&gt;&lt;name&gt;S04&lt;/name&gt;&lt;/trkpt&gt;</v>
      </c>
    </row>
    <row r="62" spans="1:20" ht="15" thickBot="1" x14ac:dyDescent="0.4">
      <c r="A62" s="24" t="str">
        <f>C57</f>
        <v>B_010</v>
      </c>
      <c r="B62" s="102">
        <v>5</v>
      </c>
      <c r="C62" s="12" t="s">
        <v>5</v>
      </c>
      <c r="D62" s="37">
        <f>D61+$D$8*SIN(RADIANS(Q60))</f>
        <v>4440335.4647721332</v>
      </c>
      <c r="E62" s="38">
        <f>E61+$D$8*COS(RADIANS(Q60))</f>
        <v>4471896.9253103649</v>
      </c>
      <c r="F62" s="138" cm="1">
        <f t="array" ref="F62:G62">_xll.PE.trf.FromEpsgNoToEpsgNo($D$4,$D$5,D62,E62)</f>
        <v>20.295870360336661</v>
      </c>
      <c r="G62" s="140">
        <v>40.378243418278601</v>
      </c>
      <c r="H62" s="154">
        <v>557</v>
      </c>
      <c r="I62" s="155" t="s">
        <v>77</v>
      </c>
      <c r="J62" s="144" t="str" cm="1">
        <f t="array" ref="J62">_xll.PE.deg.AsString(F62)</f>
        <v>20 17 45</v>
      </c>
      <c r="K62" s="136" t="str" cm="1">
        <f t="array" ref="K62">_xll.PE.deg.AsString(G62)</f>
        <v>40 22 42</v>
      </c>
      <c r="L62" s="135" cm="1">
        <f t="array" ref="L62">_xll.PE.deg.FromString(J62)</f>
        <v>20.295833333333334</v>
      </c>
      <c r="M62" s="137" cm="1">
        <f t="array" ref="M62">_xll.PE.deg.FromString(K62)</f>
        <v>40.37833333333333</v>
      </c>
      <c r="N62" s="84">
        <f t="shared" si="19"/>
        <v>3.7027003326528529E-5</v>
      </c>
      <c r="O62" s="80">
        <f t="shared" si="19"/>
        <v>-8.9915054729772237E-5</v>
      </c>
      <c r="P62" s="39">
        <f>SQRT((D63-D62)^2+(E63-E62)^2)</f>
        <v>2999.9999999997217</v>
      </c>
      <c r="Q62" s="89">
        <f>IF(DEGREES(ATAN2(E63-E62,D63-D62))&lt;0,DEGREES(ATAN2(E63-E62,D63-D62))+360,(DEGREES(ATAN2(E63-E62,D63-D62))))</f>
        <v>74.336851700523653</v>
      </c>
      <c r="R62" s="5">
        <v>4326</v>
      </c>
      <c r="S62" s="44" t="str">
        <f t="shared" si="20"/>
        <v>20.29587036,40.37824342</v>
      </c>
      <c r="T62" s="98" t="str">
        <f t="shared" si="21"/>
        <v>&lt;trkpt lon="20.29587036" lat="40.37824342"&gt;&lt;name&gt;S05&lt;/name&gt;&lt;/trkpt&gt;</v>
      </c>
    </row>
    <row r="63" spans="1:20" ht="15" thickBot="1" x14ac:dyDescent="0.4">
      <c r="A63" s="24"/>
      <c r="B63" s="103">
        <v>6</v>
      </c>
      <c r="C63" s="13" t="s">
        <v>13</v>
      </c>
      <c r="D63" s="29">
        <f>D62+$D$7*SIN(RADIANS(Q61))</f>
        <v>4443224.0615512328</v>
      </c>
      <c r="E63" s="30">
        <f>E62+$D$7*COS(RADIANS(Q61))</f>
        <v>4472706.8689181386</v>
      </c>
      <c r="F63" s="141" cm="1">
        <f t="array" ref="F63:G63">_xll.PE.trf.FromEpsgNoToEpsgNo($D$4,$D$5,D63,E63)</f>
        <v>20.32981057815698</v>
      </c>
      <c r="G63" s="143">
        <v>40.385739007087452</v>
      </c>
      <c r="H63" s="157">
        <v>577</v>
      </c>
      <c r="I63" s="155" t="s">
        <v>78</v>
      </c>
      <c r="J63" s="149" t="str" cm="1">
        <f t="array" ref="J63">_xll.PE.deg.AsString(F63)</f>
        <v>20 19 47</v>
      </c>
      <c r="K63" s="142" t="str" cm="1">
        <f t="array" ref="K63">_xll.PE.deg.AsString(G63)</f>
        <v>40 23 09</v>
      </c>
      <c r="L63" s="141" cm="1">
        <f t="array" ref="L63">_xll.PE.deg.FromString(J63)</f>
        <v>20.329722222222223</v>
      </c>
      <c r="M63" s="143" cm="1">
        <f t="array" ref="M63">_xll.PE.deg.FromString(K63)</f>
        <v>40.385833333333331</v>
      </c>
      <c r="N63" s="86">
        <f t="shared" si="19"/>
        <v>8.8355934757089472E-5</v>
      </c>
      <c r="O63" s="82">
        <f t="shared" si="19"/>
        <v>-9.4326245879017279E-5</v>
      </c>
      <c r="P63" s="34">
        <f>SUM(P59:P61)</f>
        <v>29749.665323513476</v>
      </c>
      <c r="Q63" s="5" t="s">
        <v>11</v>
      </c>
      <c r="R63" s="90" cm="1">
        <f t="array" ref="R63">_xll.PE.crs.GeodesicDistance($D$5,L59:M62)</f>
        <v>29748.130977686935</v>
      </c>
      <c r="S63" s="44" t="str">
        <f t="shared" si="20"/>
        <v>20.32981058,40.38573901</v>
      </c>
      <c r="T63" s="98" t="str">
        <f t="shared" si="21"/>
        <v>&lt;trkpt lon="20.32981058" lat="40.38573901"&gt;&lt;name&gt;S06&lt;/name&gt;&lt;/trkpt&gt;</v>
      </c>
    </row>
    <row r="64" spans="1:20" ht="15" thickBot="1" x14ac:dyDescent="0.4">
      <c r="C64" s="17"/>
      <c r="D64" s="31"/>
      <c r="E64" s="31"/>
      <c r="F64" s="42"/>
      <c r="G64" s="42"/>
      <c r="H64" s="115"/>
      <c r="I64" s="88"/>
      <c r="J64" s="42"/>
      <c r="K64" s="42"/>
      <c r="L64" s="42"/>
      <c r="M64" s="42"/>
      <c r="N64" s="42"/>
      <c r="O64" s="42"/>
      <c r="P64" s="25">
        <f>P60</f>
        <v>21749.665323513025</v>
      </c>
      <c r="Q64" s="106" t="s">
        <v>12</v>
      </c>
      <c r="R64" s="91"/>
      <c r="S64" s="44" t="s">
        <v>21</v>
      </c>
      <c r="T64" s="98" t="str">
        <f>CONCATENATE("&lt;/trkseg&gt;&lt;/trk&gt;")</f>
        <v>&lt;/trkseg&gt;&lt;/trk&gt;</v>
      </c>
    </row>
    <row r="65" spans="1:20" ht="15" thickBot="1" x14ac:dyDescent="0.4">
      <c r="C65" s="19" t="s">
        <v>35</v>
      </c>
      <c r="D65" s="33"/>
      <c r="E65" s="33"/>
      <c r="F65" s="113" t="str">
        <f>C65</f>
        <v>D_011</v>
      </c>
      <c r="G65" s="113"/>
      <c r="H65" s="113"/>
      <c r="I65" s="113"/>
      <c r="J65" s="40"/>
      <c r="K65" s="40"/>
      <c r="L65" s="40"/>
      <c r="M65" s="40"/>
      <c r="N65" s="40"/>
      <c r="O65" s="40"/>
      <c r="P65" s="16"/>
      <c r="Q65" s="109"/>
      <c r="R65" s="92"/>
      <c r="S65" s="44" t="str">
        <f>CONCATENATE("&lt;Placemark&gt;&lt;name&gt;",A71,"&lt;/name&gt;&lt;styleUrl&gt;#track001&lt;/styleUrl&gt;&lt;MultiGeometry&gt;&lt;LineString&gt;&lt;coordinates&gt;")</f>
        <v>&lt;Placemark&gt;&lt;name&gt;D_011&lt;/name&gt;&lt;styleUrl&gt;#track001&lt;/styleUrl&gt;&lt;MultiGeometry&gt;&lt;LineString&gt;&lt;coordinates&gt;</v>
      </c>
      <c r="T65" s="98" t="str">
        <f>CONCATENATE("&lt;trk&gt;&lt;name&gt;",A71,"&lt;/name&gt;&lt;trkseg&gt;")</f>
        <v>&lt;trk&gt;&lt;name&gt;D_011&lt;/name&gt;&lt;trkseg&gt;</v>
      </c>
    </row>
    <row r="66" spans="1:20" x14ac:dyDescent="0.35">
      <c r="A66" s="23"/>
      <c r="B66" s="101">
        <v>1</v>
      </c>
      <c r="C66" s="41" t="s">
        <v>13</v>
      </c>
      <c r="D66" s="26">
        <f>D67-$D$7*SIN(RADIANS(Q67))</f>
        <v>4414260.3500275882</v>
      </c>
      <c r="E66" s="27">
        <f>E67-$D$7*COS(RADIANS(Q67))</f>
        <v>4450574.3227219004</v>
      </c>
      <c r="F66" s="132" cm="1">
        <f t="array" ref="F66:G66">_xll.PE.trf.FromEpsgNoToEpsgNo($D$4,$D$5,D66,E66)</f>
        <v>19.99171711359562</v>
      </c>
      <c r="G66" s="134">
        <v>40.183971418221908</v>
      </c>
      <c r="H66" s="152">
        <v>552</v>
      </c>
      <c r="I66" s="155" t="s">
        <v>79</v>
      </c>
      <c r="J66" s="159" t="str" cm="1">
        <f t="array" ref="J66">_xll.PE.deg.AsString(F66)</f>
        <v>19 59 30</v>
      </c>
      <c r="K66" s="133" t="str" cm="1">
        <f t="array" ref="K66">_xll.PE.deg.AsString(G66)</f>
        <v>40 11 02</v>
      </c>
      <c r="L66" s="132" cm="1">
        <f t="array" ref="L66">_xll.PE.deg.FromString(J66)</f>
        <v>19.991666666666667</v>
      </c>
      <c r="M66" s="134" cm="1">
        <f t="array" ref="M66">_xll.PE.deg.FromString(K66)</f>
        <v>40.183888888888887</v>
      </c>
      <c r="N66" s="71">
        <f t="shared" ref="N66:O72" si="22">F66-L66</f>
        <v>5.0446928952396775E-5</v>
      </c>
      <c r="O66" s="72">
        <f t="shared" si="22"/>
        <v>8.2529333020886497E-5</v>
      </c>
      <c r="P66" s="8">
        <f t="shared" ref="P66:P71" si="23">SQRT((D67-D66)^2+(E67-E66)^2)</f>
        <v>2999.9999999999404</v>
      </c>
      <c r="Q66" s="108">
        <f t="shared" ref="Q66:Q71" si="24">IF(DEGREES(ATAN2(E67-E66,D67-D66))&lt;0,DEGREES(ATAN2(E67-E66,D67-D66))+360,(DEGREES(ATAN2(E67-E66,D67-D66))))</f>
        <v>57.640278182395008</v>
      </c>
      <c r="R66" s="89"/>
      <c r="S66" s="44" t="str">
        <f t="shared" ref="S66:S72" si="25">CONCATENATE(TEXT(F66,"#.00000000"),",",TEXT(G66,"#.00000000"))</f>
        <v>19.99171711,40.18397142</v>
      </c>
      <c r="T66" s="98" t="str">
        <f t="shared" ref="T66:T72" si="26">CONCATENATE("&lt;trkpt lon=""",TEXT(F66,"#.00000000"),""" lat=""",TEXT(G66,"#.00000000"),"""","&gt;&lt;name&gt;S",TEXT(B66,"00"),"&lt;/name&gt;&lt;/trkpt&gt;")</f>
        <v>&lt;trkpt lon="19.99171711" lat="40.18397142"&gt;&lt;name&gt;S01&lt;/name&gt;&lt;/trkpt&gt;</v>
      </c>
    </row>
    <row r="67" spans="1:20" ht="15" thickBot="1" x14ac:dyDescent="0.4">
      <c r="A67" s="23"/>
      <c r="B67" s="102">
        <v>2</v>
      </c>
      <c r="C67" s="12" t="s">
        <v>5</v>
      </c>
      <c r="D67" s="37">
        <f>D68-$D$8*SIN(RADIANS(Q68))</f>
        <v>4416794.4632157646</v>
      </c>
      <c r="E67" s="38">
        <f>E68-$D$8*COS(RADIANS(Q68))</f>
        <v>4452180.0220553717</v>
      </c>
      <c r="F67" s="135" cm="1">
        <f t="array" ref="F67:G67">_xll.PE.trf.FromEpsgNoToEpsgNo($D$4,$D$5,D67,E67)</f>
        <v>20.021260198241439</v>
      </c>
      <c r="G67" s="137">
        <v>40.198685281102414</v>
      </c>
      <c r="H67" s="154">
        <v>327</v>
      </c>
      <c r="I67" s="155" t="s">
        <v>80</v>
      </c>
      <c r="J67" s="144" t="str" cm="1">
        <f t="array" ref="J67">_xll.PE.deg.AsString(F67)</f>
        <v>20 01 17</v>
      </c>
      <c r="K67" s="136" t="str" cm="1">
        <f t="array" ref="K67">_xll.PE.deg.AsString(G67)</f>
        <v>40 11 55</v>
      </c>
      <c r="L67" s="135" cm="1">
        <f t="array" ref="L67">_xll.PE.deg.FromString(J67)</f>
        <v>20.02138888888889</v>
      </c>
      <c r="M67" s="137" cm="1">
        <f t="array" ref="M67">_xll.PE.deg.FromString(K67)</f>
        <v>40.198611111111106</v>
      </c>
      <c r="N67" s="73">
        <f t="shared" si="22"/>
        <v>-1.2869064745046899E-4</v>
      </c>
      <c r="O67" s="74">
        <f t="shared" si="22"/>
        <v>7.4169991307826422E-5</v>
      </c>
      <c r="P67" s="39">
        <f t="shared" si="23"/>
        <v>3999.9999999999204</v>
      </c>
      <c r="Q67" s="89">
        <f t="shared" si="24"/>
        <v>57.640278182395008</v>
      </c>
      <c r="R67" s="89"/>
      <c r="S67" s="44" t="str">
        <f t="shared" si="25"/>
        <v>20.02126020,40.19868528</v>
      </c>
      <c r="T67" s="98" t="str">
        <f t="shared" si="26"/>
        <v>&lt;trkpt lon="20.02126020" lat="40.19868528"&gt;&lt;name&gt;S02&lt;/name&gt;&lt;/trkpt&gt;</v>
      </c>
    </row>
    <row r="68" spans="1:20" ht="15" thickBot="1" x14ac:dyDescent="0.4">
      <c r="A68" s="23"/>
      <c r="B68" s="102">
        <v>3</v>
      </c>
      <c r="C68" s="12" t="s">
        <v>9</v>
      </c>
      <c r="D68" s="20">
        <v>4420173.2807999998</v>
      </c>
      <c r="E68" s="7">
        <v>4454320.9545</v>
      </c>
      <c r="F68" s="138" cm="1">
        <f t="array" ref="F68:G68">_xll.PE.trf.FromEpsgNoToEpsgNo($D$4,$D$5,D68,E68)</f>
        <v>20.06067098541865</v>
      </c>
      <c r="G68" s="140">
        <v>40.218292206114242</v>
      </c>
      <c r="H68" s="156">
        <v>880</v>
      </c>
      <c r="I68" s="155" t="s">
        <v>81</v>
      </c>
      <c r="J68" s="160" t="str" cm="1">
        <f t="array" ref="J68">_xll.PE.deg.AsString(F68)</f>
        <v>20 03 38</v>
      </c>
      <c r="K68" s="139" t="str" cm="1">
        <f t="array" ref="K68">_xll.PE.deg.AsString(G68)</f>
        <v>40 13 06</v>
      </c>
      <c r="L68" s="138" cm="1">
        <f t="array" ref="L68">_xll.PE.deg.FromString(J68)</f>
        <v>20.060555555555556</v>
      </c>
      <c r="M68" s="140" cm="1">
        <f t="array" ref="M68">_xll.PE.deg.FromString(K68)</f>
        <v>40.218333333333334</v>
      </c>
      <c r="N68" s="75">
        <f t="shared" si="22"/>
        <v>1.1542986309365233E-4</v>
      </c>
      <c r="O68" s="76">
        <f t="shared" si="22"/>
        <v>-4.1127219091663392E-5</v>
      </c>
      <c r="P68" s="10">
        <f t="shared" si="23"/>
        <v>10430.444947495531</v>
      </c>
      <c r="Q68" s="93">
        <f t="shared" si="24"/>
        <v>57.640278182402504</v>
      </c>
      <c r="R68" s="21">
        <v>2462</v>
      </c>
      <c r="S68" s="44" t="str">
        <f t="shared" si="25"/>
        <v>20.06067099,40.21829221</v>
      </c>
      <c r="T68" s="98" t="str">
        <f t="shared" si="26"/>
        <v>&lt;trkpt lon="20.06067099" lat="40.21829221"&gt;&lt;name&gt;S03&lt;/name&gt;&lt;/trkpt&gt;</v>
      </c>
    </row>
    <row r="69" spans="1:20" ht="15" thickBot="1" x14ac:dyDescent="0.4">
      <c r="A69" s="23"/>
      <c r="B69" s="102">
        <v>4</v>
      </c>
      <c r="C69" s="12" t="s">
        <v>10</v>
      </c>
      <c r="D69" s="20">
        <v>4428983.9234999996</v>
      </c>
      <c r="E69" s="7">
        <v>4459903.6739999996</v>
      </c>
      <c r="F69" s="138" cm="1">
        <f t="array" ref="F69:G69">_xll.PE.trf.FromEpsgNoToEpsgNo($D$4,$D$5,D69,E69)</f>
        <v>20.163546599470713</v>
      </c>
      <c r="G69" s="140">
        <v>40.269357117836726</v>
      </c>
      <c r="H69" s="156">
        <v>125</v>
      </c>
      <c r="I69" s="155" t="s">
        <v>82</v>
      </c>
      <c r="J69" s="160" t="str" cm="1">
        <f t="array" ref="J69">_xll.PE.deg.AsString(F69)</f>
        <v>20 09 49</v>
      </c>
      <c r="K69" s="139" t="str" cm="1">
        <f t="array" ref="K69">_xll.PE.deg.AsString(G69)</f>
        <v>40 16 10</v>
      </c>
      <c r="L69" s="138" cm="1">
        <f t="array" ref="L69">_xll.PE.deg.FromString(J69)</f>
        <v>20.163611111111109</v>
      </c>
      <c r="M69" s="140" cm="1">
        <f t="array" ref="M69">_xll.PE.deg.FromString(K69)</f>
        <v>40.269444444444446</v>
      </c>
      <c r="N69" s="75">
        <f t="shared" si="22"/>
        <v>-6.45116403958923E-5</v>
      </c>
      <c r="O69" s="76">
        <f t="shared" si="22"/>
        <v>-8.7326607719262483E-5</v>
      </c>
      <c r="P69" s="10">
        <f t="shared" si="23"/>
        <v>8647.4814146180488</v>
      </c>
      <c r="Q69" s="93">
        <f t="shared" si="24"/>
        <v>46.735704560545393</v>
      </c>
      <c r="R69" s="90" cm="1">
        <f t="array" ref="R69">_xll.PE.crs.GeodesicDistance($D$4,D67:E71)</f>
        <v>27076.181068575235</v>
      </c>
      <c r="S69" s="44" t="str">
        <f t="shared" si="25"/>
        <v>20.16354660,40.26935712</v>
      </c>
      <c r="T69" s="98" t="str">
        <f t="shared" si="26"/>
        <v>&lt;trkpt lon="20.16354660" lat="40.26935712"&gt;&lt;name&gt;S04&lt;/name&gt;&lt;/trkpt&gt;</v>
      </c>
    </row>
    <row r="70" spans="1:20" ht="15" thickBot="1" x14ac:dyDescent="0.4">
      <c r="A70" s="23"/>
      <c r="B70" s="102">
        <v>5</v>
      </c>
      <c r="C70" s="12" t="s">
        <v>7</v>
      </c>
      <c r="D70" s="20">
        <v>4435281.0193999996</v>
      </c>
      <c r="E70" s="7">
        <v>4465830.3525</v>
      </c>
      <c r="F70" s="138" cm="1">
        <f t="array" ref="F70:G70">_xll.PE.trf.FromEpsgNoToEpsgNo($D$4,$D$5,D70,E70)</f>
        <v>20.236972394273813</v>
      </c>
      <c r="G70" s="140">
        <v>40.323237545161852</v>
      </c>
      <c r="H70" s="156">
        <v>252</v>
      </c>
      <c r="I70" s="155" t="s">
        <v>83</v>
      </c>
      <c r="J70" s="160" t="str" cm="1">
        <f t="array" ref="J70">_xll.PE.deg.AsString(F70)</f>
        <v>20 14 13</v>
      </c>
      <c r="K70" s="139" t="str" cm="1">
        <f t="array" ref="K70">_xll.PE.deg.AsString(G70)</f>
        <v>40 19 24</v>
      </c>
      <c r="L70" s="138" cm="1">
        <f t="array" ref="L70">_xll.PE.deg.FromString(J70)</f>
        <v>20.236944444444447</v>
      </c>
      <c r="M70" s="140" cm="1">
        <f t="array" ref="M70">_xll.PE.deg.FromString(K70)</f>
        <v>40.323333333333338</v>
      </c>
      <c r="N70" s="75">
        <f t="shared" si="22"/>
        <v>2.7949829366491485E-5</v>
      </c>
      <c r="O70" s="76">
        <f t="shared" si="22"/>
        <v>-9.5788171485367002E-5</v>
      </c>
      <c r="P70" s="39">
        <f t="shared" si="23"/>
        <v>4000.0000000003356</v>
      </c>
      <c r="Q70" s="89">
        <f t="shared" si="24"/>
        <v>46.735704560543653</v>
      </c>
      <c r="R70" s="89"/>
      <c r="S70" s="44" t="str">
        <f t="shared" si="25"/>
        <v>20.23697239,40.32323755</v>
      </c>
      <c r="T70" s="98" t="str">
        <f t="shared" si="26"/>
        <v>&lt;trkpt lon="20.23697239" lat="40.32323755"&gt;&lt;name&gt;S05&lt;/name&gt;&lt;/trkpt&gt;</v>
      </c>
    </row>
    <row r="71" spans="1:20" ht="15" thickBot="1" x14ac:dyDescent="0.4">
      <c r="A71" s="23" t="str">
        <f>C65</f>
        <v>D_011</v>
      </c>
      <c r="B71" s="102">
        <v>6</v>
      </c>
      <c r="C71" s="12" t="s">
        <v>5</v>
      </c>
      <c r="D71" s="37">
        <f>D70+$D$8*SIN(RADIANS(Q69))</f>
        <v>4438193.819369413</v>
      </c>
      <c r="E71" s="38">
        <f>E70+$D$8*COS(RADIANS(Q69))</f>
        <v>4468571.8112974633</v>
      </c>
      <c r="F71" s="135" cm="1">
        <f t="array" ref="F71:G71">_xll.PE.trf.FromEpsgNoToEpsgNo($D$4,$D$5,D71,E71)</f>
        <v>20.270975922742149</v>
      </c>
      <c r="G71" s="137">
        <v>40.348145024869751</v>
      </c>
      <c r="H71" s="154">
        <v>863</v>
      </c>
      <c r="I71" s="155" t="s">
        <v>84</v>
      </c>
      <c r="J71" s="144" t="str" cm="1">
        <f t="array" ref="J71">_xll.PE.deg.AsString(F71)</f>
        <v>20 16 16</v>
      </c>
      <c r="K71" s="136" t="str" cm="1">
        <f t="array" ref="K71">_xll.PE.deg.AsString(G71)</f>
        <v>40 20 53</v>
      </c>
      <c r="L71" s="135" cm="1">
        <f t="array" ref="L71">_xll.PE.deg.FromString(J71)</f>
        <v>20.271111111111111</v>
      </c>
      <c r="M71" s="137" cm="1">
        <f t="array" ref="M71">_xll.PE.deg.FromString(K71)</f>
        <v>40.348055555555561</v>
      </c>
      <c r="N71" s="73">
        <f t="shared" si="22"/>
        <v>-1.351883689615363E-4</v>
      </c>
      <c r="O71" s="74">
        <f t="shared" si="22"/>
        <v>8.9469314190182558E-5</v>
      </c>
      <c r="P71" s="39">
        <f t="shared" si="23"/>
        <v>3000.0000000005812</v>
      </c>
      <c r="Q71" s="89">
        <f t="shared" si="24"/>
        <v>46.735704560543461</v>
      </c>
      <c r="R71" s="5">
        <v>4326</v>
      </c>
      <c r="S71" s="44" t="str">
        <f t="shared" si="25"/>
        <v>20.27097592,40.34814502</v>
      </c>
      <c r="T71" s="98" t="str">
        <f t="shared" si="26"/>
        <v>&lt;trkpt lon="20.27097592" lat="40.34814502"&gt;&lt;name&gt;S06&lt;/name&gt;&lt;/trkpt&gt;</v>
      </c>
    </row>
    <row r="72" spans="1:20" ht="15" thickBot="1" x14ac:dyDescent="0.4">
      <c r="A72" s="23"/>
      <c r="B72" s="103">
        <v>7</v>
      </c>
      <c r="C72" s="13" t="s">
        <v>13</v>
      </c>
      <c r="D72" s="29">
        <f>D71+$D$7*SIN(RADIANS(Q70))</f>
        <v>4440378.4193464732</v>
      </c>
      <c r="E72" s="30">
        <f>E71+$D$7*COS(RADIANS(Q70))</f>
        <v>4470627.9053955609</v>
      </c>
      <c r="F72" s="141" cm="1">
        <f t="array" ref="F72:G72">_xll.PE.trf.FromEpsgNoToEpsgNo($D$4,$D$5,D72,E72)</f>
        <v>20.296494997345555</v>
      </c>
      <c r="G72" s="143">
        <v>40.366819144150845</v>
      </c>
      <c r="H72" s="157">
        <v>521</v>
      </c>
      <c r="I72" s="155" t="s">
        <v>85</v>
      </c>
      <c r="J72" s="149" t="str" cm="1">
        <f t="array" ref="J72">_xll.PE.deg.AsString(F72)</f>
        <v>20 17 47</v>
      </c>
      <c r="K72" s="142" t="str" cm="1">
        <f t="array" ref="K72">_xll.PE.deg.AsString(G72)</f>
        <v>40 22 01</v>
      </c>
      <c r="L72" s="141" cm="1">
        <f t="array" ref="L72">_xll.PE.deg.FromString(J72)</f>
        <v>20.296388888888892</v>
      </c>
      <c r="M72" s="143" cm="1">
        <f t="array" ref="M72">_xll.PE.deg.FromString(K72)</f>
        <v>40.366944444444442</v>
      </c>
      <c r="N72" s="77">
        <f t="shared" si="22"/>
        <v>1.0610845666292334E-4</v>
      </c>
      <c r="O72" s="78">
        <f t="shared" si="22"/>
        <v>-1.2530029359680839E-4</v>
      </c>
      <c r="P72" s="34">
        <f>SUM(P67:P70)</f>
        <v>27077.926362113834</v>
      </c>
      <c r="Q72" s="5" t="s">
        <v>11</v>
      </c>
      <c r="R72" s="90" cm="1">
        <f t="array" ref="R72">_xll.PE.crs.GeodesicDistance($D$5,L67:M71)</f>
        <v>27072.023467884705</v>
      </c>
      <c r="S72" s="44" t="str">
        <f t="shared" si="25"/>
        <v>20.29649500,40.36681914</v>
      </c>
      <c r="T72" s="98" t="str">
        <f t="shared" si="26"/>
        <v>&lt;trkpt lon="20.29649500" lat="40.36681914"&gt;&lt;name&gt;S07&lt;/name&gt;&lt;/trkpt&gt;</v>
      </c>
    </row>
    <row r="73" spans="1:20" ht="15" thickBot="1" x14ac:dyDescent="0.4">
      <c r="A73" s="23"/>
      <c r="B73" s="105"/>
      <c r="C73" s="17"/>
      <c r="D73" s="31"/>
      <c r="E73" s="31"/>
      <c r="F73" s="42"/>
      <c r="G73" s="42"/>
      <c r="H73" s="115"/>
      <c r="I73" s="88"/>
      <c r="J73" s="42"/>
      <c r="K73" s="42"/>
      <c r="L73" s="42"/>
      <c r="M73" s="42"/>
      <c r="N73" s="42"/>
      <c r="O73" s="42"/>
      <c r="P73" s="25">
        <f>P68+P69</f>
        <v>19077.92636211358</v>
      </c>
      <c r="Q73" s="106" t="s">
        <v>12</v>
      </c>
      <c r="R73" s="91"/>
      <c r="S73" s="44" t="s">
        <v>21</v>
      </c>
      <c r="T73" s="98" t="str">
        <f>CONCATENATE("&lt;/trkseg&gt;&lt;/trk&gt;")</f>
        <v>&lt;/trkseg&gt;&lt;/trk&gt;</v>
      </c>
    </row>
    <row r="74" spans="1:20" ht="15" thickBot="1" x14ac:dyDescent="0.4">
      <c r="A74" s="23"/>
      <c r="B74" s="105"/>
      <c r="C74" s="19" t="s">
        <v>36</v>
      </c>
      <c r="D74" s="33"/>
      <c r="E74" s="33"/>
      <c r="F74" s="113" t="str">
        <f>C74</f>
        <v>D_012</v>
      </c>
      <c r="G74" s="113"/>
      <c r="H74" s="113"/>
      <c r="I74" s="113"/>
      <c r="J74" s="40"/>
      <c r="K74" s="40"/>
      <c r="L74" s="40"/>
      <c r="M74" s="40"/>
      <c r="N74" s="40"/>
      <c r="O74" s="40"/>
      <c r="P74" s="16"/>
      <c r="Q74" s="109"/>
      <c r="R74" s="92"/>
      <c r="S74" s="44" t="str">
        <f>CONCATENATE("&lt;Placemark&gt;&lt;name&gt;",A80,"&lt;/name&gt;&lt;styleUrl&gt;#track001&lt;/styleUrl&gt;&lt;MultiGeometry&gt;&lt;LineString&gt;&lt;coordinates&gt;")</f>
        <v>&lt;Placemark&gt;&lt;name&gt;D_012&lt;/name&gt;&lt;styleUrl&gt;#track001&lt;/styleUrl&gt;&lt;MultiGeometry&gt;&lt;LineString&gt;&lt;coordinates&gt;</v>
      </c>
      <c r="T74" s="98" t="str">
        <f>CONCATENATE("&lt;trk&gt;&lt;name&gt;",A80,"&lt;/name&gt;&lt;trkseg&gt;")</f>
        <v>&lt;trk&gt;&lt;name&gt;D_012&lt;/name&gt;&lt;trkseg&gt;</v>
      </c>
    </row>
    <row r="75" spans="1:20" x14ac:dyDescent="0.35">
      <c r="A75" s="23"/>
      <c r="B75" s="101">
        <v>1</v>
      </c>
      <c r="C75" s="41" t="s">
        <v>13</v>
      </c>
      <c r="D75" s="26">
        <f>D76-$D$7*SIN(RADIANS(Q76))</f>
        <v>4415630.3413818749</v>
      </c>
      <c r="E75" s="27">
        <f>E76-$D$7*COS(RADIANS(Q76))</f>
        <v>4441250.3036329644</v>
      </c>
      <c r="F75" s="132" cm="1">
        <f t="array" ref="F75:G75">_xll.PE.trf.FromEpsgNoToEpsgNo($D$4,$D$5,D75,E75)</f>
        <v>20.009021806680682</v>
      </c>
      <c r="G75" s="134">
        <v>40.100151765718145</v>
      </c>
      <c r="H75" s="152">
        <v>685</v>
      </c>
      <c r="I75" s="155" t="s">
        <v>86</v>
      </c>
      <c r="J75" s="159" t="str" cm="1">
        <f t="array" ref="J75">_xll.PE.deg.AsString(F75)</f>
        <v>20 00 32</v>
      </c>
      <c r="K75" s="133" t="str" cm="1">
        <f t="array" ref="K75">_xll.PE.deg.AsString(G75)</f>
        <v>40 06 01</v>
      </c>
      <c r="L75" s="132" cm="1">
        <f t="array" ref="L75">_xll.PE.deg.FromString(J75)</f>
        <v>20.00888888888889</v>
      </c>
      <c r="M75" s="134" cm="1">
        <f t="array" ref="M75">_xll.PE.deg.FromString(K75)</f>
        <v>40.100277777777777</v>
      </c>
      <c r="N75" s="71">
        <f t="shared" ref="N75:O81" si="27">F75-L75</f>
        <v>1.3291779179169794E-4</v>
      </c>
      <c r="O75" s="72">
        <f t="shared" si="27"/>
        <v>-1.2601205963136408E-4</v>
      </c>
      <c r="P75" s="8">
        <f t="shared" ref="P75:P80" si="28">SQRT((D76-D75)^2+(E76-E75)^2)</f>
        <v>2999.9999999998577</v>
      </c>
      <c r="Q75" s="108">
        <f t="shared" ref="Q75:Q80" si="29">IF(DEGREES(ATAN2(E76-E75,D76-D75))&lt;0,DEGREES(ATAN2(E76-E75,D76-D75))+360,(DEGREES(ATAN2(E76-E75,D76-D75))))</f>
        <v>59.818618744838837</v>
      </c>
      <c r="R75" s="89"/>
      <c r="S75" s="44" t="str">
        <f t="shared" ref="S75:S81" si="30">CONCATENATE(TEXT(F75,"#.00000000"),",",TEXT(G75,"#.00000000"))</f>
        <v>20.00902181,40.10015177</v>
      </c>
      <c r="T75" s="98" t="str">
        <f t="shared" ref="T75:T81" si="31">CONCATENATE("&lt;trkpt lon=""",TEXT(F75,"#.00000000"),""" lat=""",TEXT(G75,"#.00000000"),"""","&gt;&lt;name&gt;S",TEXT(B75,"00"),"&lt;/name&gt;&lt;/trkpt&gt;")</f>
        <v>&lt;trkpt lon="20.00902181" lat="40.10015177"&gt;&lt;name&gt;S01&lt;/name&gt;&lt;/trkpt&gt;</v>
      </c>
    </row>
    <row r="76" spans="1:20" ht="15" thickBot="1" x14ac:dyDescent="0.4">
      <c r="A76" s="23"/>
      <c r="B76" s="102">
        <v>2</v>
      </c>
      <c r="C76" s="12" t="s">
        <v>5</v>
      </c>
      <c r="D76" s="37">
        <f>D77-$D$8*SIN(RADIANS(Q77))</f>
        <v>4418223.6560324999</v>
      </c>
      <c r="E76" s="38">
        <f>E77-$D$8*COS(RADIANS(Q77))</f>
        <v>4442758.5208331225</v>
      </c>
      <c r="F76" s="135" cm="1">
        <f t="array" ref="F76:G76">_xll.PE.trf.FromEpsgNoToEpsgNo($D$4,$D$5,D76,E76)</f>
        <v>20.039239468543986</v>
      </c>
      <c r="G76" s="137">
        <v>40.113989007241472</v>
      </c>
      <c r="H76" s="154">
        <v>775</v>
      </c>
      <c r="I76" s="155" t="s">
        <v>87</v>
      </c>
      <c r="J76" s="144" t="str" cm="1">
        <f t="array" ref="J76">_xll.PE.deg.AsString(F76)</f>
        <v>20 02 21</v>
      </c>
      <c r="K76" s="136" t="str" cm="1">
        <f t="array" ref="K76">_xll.PE.deg.AsString(G76)</f>
        <v>40 06 50</v>
      </c>
      <c r="L76" s="135" cm="1">
        <f t="array" ref="L76">_xll.PE.deg.FromString(J76)</f>
        <v>20.039166666666667</v>
      </c>
      <c r="M76" s="137" cm="1">
        <f t="array" ref="M76">_xll.PE.deg.FromString(K76)</f>
        <v>40.113888888888887</v>
      </c>
      <c r="N76" s="73">
        <f t="shared" si="27"/>
        <v>7.2801877319506048E-5</v>
      </c>
      <c r="O76" s="74">
        <f t="shared" si="27"/>
        <v>1.001183525843885E-4</v>
      </c>
      <c r="P76" s="39">
        <f t="shared" si="28"/>
        <v>3999.9999999999231</v>
      </c>
      <c r="Q76" s="89">
        <f t="shared" si="29"/>
        <v>59.818618744844919</v>
      </c>
      <c r="R76" s="89"/>
      <c r="S76" s="44" t="str">
        <f t="shared" si="30"/>
        <v>20.03923947,40.11398901</v>
      </c>
      <c r="T76" s="98" t="str">
        <f t="shared" si="31"/>
        <v>&lt;trkpt lon="20.03923947" lat="40.11398901"&gt;&lt;name&gt;S02&lt;/name&gt;&lt;/trkpt&gt;</v>
      </c>
    </row>
    <row r="77" spans="1:20" ht="15" thickBot="1" x14ac:dyDescent="0.4">
      <c r="A77" s="23"/>
      <c r="B77" s="102">
        <v>3</v>
      </c>
      <c r="C77" s="12" t="s">
        <v>9</v>
      </c>
      <c r="D77" s="20">
        <v>4421681.4089000002</v>
      </c>
      <c r="E77" s="7">
        <v>4444769.4770999998</v>
      </c>
      <c r="F77" s="138" cm="1">
        <f t="array" ref="F77:G77">_xll.PE.trf.FromEpsgNoToEpsgNo($D$4,$D$5,D77,E77)</f>
        <v>20.079548896305266</v>
      </c>
      <c r="G77" s="140">
        <v>40.132426562297368</v>
      </c>
      <c r="H77" s="156">
        <v>366</v>
      </c>
      <c r="I77" s="155" t="s">
        <v>88</v>
      </c>
      <c r="J77" s="160" t="str" cm="1">
        <f t="array" ref="J77">_xll.PE.deg.AsString(F77)</f>
        <v>20 04 46</v>
      </c>
      <c r="K77" s="139" t="str" cm="1">
        <f t="array" ref="K77">_xll.PE.deg.AsString(G77)</f>
        <v>40 07 57</v>
      </c>
      <c r="L77" s="138" cm="1">
        <f t="array" ref="L77">_xll.PE.deg.FromString(J77)</f>
        <v>20.079444444444444</v>
      </c>
      <c r="M77" s="140" cm="1">
        <f t="array" ref="M77">_xll.PE.deg.FromString(K77)</f>
        <v>40.1325</v>
      </c>
      <c r="N77" s="75">
        <f t="shared" si="27"/>
        <v>1.0445186082108648E-4</v>
      </c>
      <c r="O77" s="76">
        <f t="shared" si="27"/>
        <v>-7.3437702631906632E-5</v>
      </c>
      <c r="P77" s="10">
        <f t="shared" si="28"/>
        <v>11630.891026943518</v>
      </c>
      <c r="Q77" s="93">
        <f t="shared" si="29"/>
        <v>59.818618744844358</v>
      </c>
      <c r="R77" s="21">
        <v>2462</v>
      </c>
      <c r="S77" s="44" t="str">
        <f t="shared" si="30"/>
        <v>20.07954890,40.13242656</v>
      </c>
      <c r="T77" s="98" t="str">
        <f t="shared" si="31"/>
        <v>&lt;trkpt lon="20.07954890" lat="40.13242656"&gt;&lt;name&gt;S03&lt;/name&gt;&lt;/trkpt&gt;</v>
      </c>
    </row>
    <row r="78" spans="1:20" ht="15" thickBot="1" x14ac:dyDescent="0.4">
      <c r="A78" s="23"/>
      <c r="B78" s="102">
        <v>4</v>
      </c>
      <c r="C78" s="12" t="s">
        <v>10</v>
      </c>
      <c r="D78" s="20">
        <v>4431735.5955999997</v>
      </c>
      <c r="E78" s="7">
        <v>4450616.7803999996</v>
      </c>
      <c r="F78" s="138" cm="1">
        <f t="array" ref="F78:G78">_xll.PE.trf.FromEpsgNoToEpsgNo($D$4,$D$5,D78,E78)</f>
        <v>20.196882297215772</v>
      </c>
      <c r="G78" s="140">
        <v>40.185959052012649</v>
      </c>
      <c r="H78" s="156">
        <v>273</v>
      </c>
      <c r="I78" s="155" t="s">
        <v>89</v>
      </c>
      <c r="J78" s="160" t="str" cm="1">
        <f t="array" ref="J78">_xll.PE.deg.AsString(F78)</f>
        <v>20 11 49</v>
      </c>
      <c r="K78" s="139" t="str" cm="1">
        <f t="array" ref="K78">_xll.PE.deg.AsString(G78)</f>
        <v>40 11 09</v>
      </c>
      <c r="L78" s="138" cm="1">
        <f t="array" ref="L78">_xll.PE.deg.FromString(J78)</f>
        <v>20.196944444444444</v>
      </c>
      <c r="M78" s="140" cm="1">
        <f t="array" ref="M78">_xll.PE.deg.FromString(K78)</f>
        <v>40.185833333333328</v>
      </c>
      <c r="N78" s="75">
        <f t="shared" si="27"/>
        <v>-6.2147228671705079E-5</v>
      </c>
      <c r="O78" s="76">
        <f t="shared" si="27"/>
        <v>1.2571867932109626E-4</v>
      </c>
      <c r="P78" s="10">
        <f t="shared" si="28"/>
        <v>14754.293294410725</v>
      </c>
      <c r="Q78" s="93">
        <f t="shared" si="29"/>
        <v>52.431407923818661</v>
      </c>
      <c r="R78" s="90" cm="1">
        <f t="array" ref="R78">_xll.PE.crs.GeodesicDistance($D$4,D76:E80)</f>
        <v>34383.240875944546</v>
      </c>
      <c r="S78" s="44" t="str">
        <f t="shared" si="30"/>
        <v>20.19688230,40.18595905</v>
      </c>
      <c r="T78" s="98" t="str">
        <f t="shared" si="31"/>
        <v>&lt;trkpt lon="20.19688230" lat="40.18595905"&gt;&lt;name&gt;S04&lt;/name&gt;&lt;/trkpt&gt;</v>
      </c>
    </row>
    <row r="79" spans="1:20" ht="15" thickBot="1" x14ac:dyDescent="0.4">
      <c r="A79" s="23"/>
      <c r="B79" s="102">
        <v>5</v>
      </c>
      <c r="C79" s="12" t="s">
        <v>7</v>
      </c>
      <c r="D79" s="20">
        <v>4443430.2023999998</v>
      </c>
      <c r="E79" s="7">
        <v>4459612.6317999996</v>
      </c>
      <c r="F79" s="138" cm="1">
        <f t="array" ref="F79:G79">_xll.PE.trf.FromEpsgNoToEpsgNo($D$4,$D$5,D79,E79)</f>
        <v>20.333399268047305</v>
      </c>
      <c r="G79" s="140">
        <v>40.267839383536206</v>
      </c>
      <c r="H79" s="156">
        <v>158</v>
      </c>
      <c r="I79" s="155" t="s">
        <v>90</v>
      </c>
      <c r="J79" s="160" t="str" cm="1">
        <f t="array" ref="J79">_xll.PE.deg.AsString(F79)</f>
        <v>20 20 00</v>
      </c>
      <c r="K79" s="139" t="str" cm="1">
        <f t="array" ref="K79">_xll.PE.deg.AsString(G79)</f>
        <v>40 16 04</v>
      </c>
      <c r="L79" s="138" cm="1">
        <f t="array" ref="L79">_xll.PE.deg.FromString(J79)</f>
        <v>20.333333333333332</v>
      </c>
      <c r="M79" s="140" cm="1">
        <f t="array" ref="M79">_xll.PE.deg.FromString(K79)</f>
        <v>40.267777777777773</v>
      </c>
      <c r="N79" s="75">
        <f t="shared" si="27"/>
        <v>6.5934713973092585E-5</v>
      </c>
      <c r="O79" s="76">
        <f t="shared" si="27"/>
        <v>6.1605758432392577E-5</v>
      </c>
      <c r="P79" s="39">
        <f t="shared" si="28"/>
        <v>3999.999999999819</v>
      </c>
      <c r="Q79" s="89">
        <f t="shared" si="29"/>
        <v>52.431407923821524</v>
      </c>
      <c r="R79" s="89"/>
      <c r="S79" s="44" t="str">
        <f t="shared" si="30"/>
        <v>20.33339927,40.26783938</v>
      </c>
      <c r="T79" s="98" t="str">
        <f t="shared" si="31"/>
        <v>&lt;trkpt lon="20.33339927" lat="40.26783938"&gt;&lt;name&gt;S05&lt;/name&gt;&lt;/trkpt&gt;</v>
      </c>
    </row>
    <row r="80" spans="1:20" ht="15" thickBot="1" x14ac:dyDescent="0.4">
      <c r="A80" s="23" t="str">
        <f>C74</f>
        <v>D_012</v>
      </c>
      <c r="B80" s="102">
        <v>6</v>
      </c>
      <c r="C80" s="12" t="s">
        <v>5</v>
      </c>
      <c r="D80" s="37">
        <f>D79+$D$8*SIN(RADIANS(Q78))</f>
        <v>4446600.6983544026</v>
      </c>
      <c r="E80" s="38">
        <f>E79+$D$8*COS(RADIANS(Q78))</f>
        <v>4462051.4748460185</v>
      </c>
      <c r="F80" s="135" cm="1">
        <f t="array" ref="F80:G80">_xll.PE.trf.FromEpsgNoToEpsgNo($D$4,$D$5,D80,E80)</f>
        <v>20.370466902167522</v>
      </c>
      <c r="G80" s="137">
        <v>40.290010254686557</v>
      </c>
      <c r="H80" s="154">
        <v>562</v>
      </c>
      <c r="I80" s="155" t="s">
        <v>91</v>
      </c>
      <c r="J80" s="144" t="str" cm="1">
        <f t="array" ref="J80">_xll.PE.deg.AsString(F80)</f>
        <v>20 22 14</v>
      </c>
      <c r="K80" s="136" t="str" cm="1">
        <f t="array" ref="K80">_xll.PE.deg.AsString(G80)</f>
        <v>40 17 24</v>
      </c>
      <c r="L80" s="135" cm="1">
        <f t="array" ref="L80">_xll.PE.deg.FromString(J80)</f>
        <v>20.370555555555555</v>
      </c>
      <c r="M80" s="137" cm="1">
        <f t="array" ref="M80">_xll.PE.deg.FromString(K80)</f>
        <v>40.29</v>
      </c>
      <c r="N80" s="73">
        <f t="shared" si="27"/>
        <v>-8.8653388033321789E-5</v>
      </c>
      <c r="O80" s="74">
        <f t="shared" si="27"/>
        <v>1.025468655768691E-5</v>
      </c>
      <c r="P80" s="39">
        <f t="shared" si="28"/>
        <v>3000.0000000003324</v>
      </c>
      <c r="Q80" s="89">
        <f t="shared" si="29"/>
        <v>52.43140792381719</v>
      </c>
      <c r="R80" s="5">
        <v>4326</v>
      </c>
      <c r="S80" s="44" t="str">
        <f t="shared" si="30"/>
        <v>20.37046690,40.29001025</v>
      </c>
      <c r="T80" s="98" t="str">
        <f t="shared" si="31"/>
        <v>&lt;trkpt lon="20.37046690" lat="40.29001025"&gt;&lt;name&gt;S06&lt;/name&gt;&lt;/trkpt&gt;</v>
      </c>
    </row>
    <row r="81" spans="1:20" ht="15" thickBot="1" x14ac:dyDescent="0.4">
      <c r="A81" s="23"/>
      <c r="B81" s="103">
        <v>7</v>
      </c>
      <c r="C81" s="13" t="s">
        <v>13</v>
      </c>
      <c r="D81" s="29">
        <f>D80+$D$7*SIN(RADIANS(Q79))</f>
        <v>4448978.5703202048</v>
      </c>
      <c r="E81" s="30">
        <f>E80+$D$7*COS(RADIANS(Q79))</f>
        <v>4463880.6071305331</v>
      </c>
      <c r="F81" s="141" cm="1">
        <f t="array" ref="F81:G81">_xll.PE.trf.FromEpsgNoToEpsgNo($D$4,$D$5,D81,E81)</f>
        <v>20.398283565718462</v>
      </c>
      <c r="G81" s="143">
        <v>40.306630675756253</v>
      </c>
      <c r="H81" s="157">
        <v>502</v>
      </c>
      <c r="I81" s="155" t="s">
        <v>92</v>
      </c>
      <c r="J81" s="149" t="str" cm="1">
        <f t="array" ref="J81">_xll.PE.deg.AsString(F81)</f>
        <v>20 23 54</v>
      </c>
      <c r="K81" s="142" t="str" cm="1">
        <f t="array" ref="K81">_xll.PE.deg.AsString(G81)</f>
        <v>40 18 24</v>
      </c>
      <c r="L81" s="141" cm="1">
        <f t="array" ref="L81">_xll.PE.deg.FromString(J81)</f>
        <v>20.398333333333333</v>
      </c>
      <c r="M81" s="143" cm="1">
        <f t="array" ref="M81">_xll.PE.deg.FromString(K81)</f>
        <v>40.306666666666665</v>
      </c>
      <c r="N81" s="77">
        <f t="shared" si="27"/>
        <v>-4.9767614871853993E-5</v>
      </c>
      <c r="O81" s="78">
        <f t="shared" si="27"/>
        <v>-3.5990910411953791E-5</v>
      </c>
      <c r="P81" s="34">
        <f>SUM(P76:P79)</f>
        <v>34385.184321353983</v>
      </c>
      <c r="Q81" s="5" t="s">
        <v>11</v>
      </c>
      <c r="R81" s="90" cm="1">
        <f t="array" ref="R81">_xll.PE.crs.GeodesicDistance($D$5,L76:M80)</f>
        <v>34401.169697441554</v>
      </c>
      <c r="S81" s="44" t="str">
        <f t="shared" si="30"/>
        <v>20.39828357,40.30663068</v>
      </c>
      <c r="T81" s="98" t="str">
        <f t="shared" si="31"/>
        <v>&lt;trkpt lon="20.39828357" lat="40.30663068"&gt;&lt;name&gt;S07&lt;/name&gt;&lt;/trkpt&gt;</v>
      </c>
    </row>
    <row r="82" spans="1:20" ht="15" thickBot="1" x14ac:dyDescent="0.4">
      <c r="A82" s="23"/>
      <c r="B82" s="105"/>
      <c r="C82" s="17"/>
      <c r="D82" s="31"/>
      <c r="E82" s="31"/>
      <c r="F82" s="42"/>
      <c r="G82" s="42"/>
      <c r="H82" s="115"/>
      <c r="I82" s="88"/>
      <c r="J82" s="42"/>
      <c r="K82" s="42"/>
      <c r="L82" s="42"/>
      <c r="M82" s="42"/>
      <c r="N82" s="42"/>
      <c r="O82" s="42"/>
      <c r="P82" s="25">
        <f>P77+P78</f>
        <v>26385.184321354245</v>
      </c>
      <c r="Q82" s="106" t="s">
        <v>12</v>
      </c>
      <c r="R82" s="91"/>
      <c r="S82" s="44" t="s">
        <v>21</v>
      </c>
      <c r="T82" s="98" t="str">
        <f>CONCATENATE("&lt;/trkseg&gt;&lt;/trk&gt;")</f>
        <v>&lt;/trkseg&gt;&lt;/trk&gt;</v>
      </c>
    </row>
    <row r="83" spans="1:20" ht="15" thickBot="1" x14ac:dyDescent="0.4">
      <c r="A83" s="23"/>
      <c r="B83" s="105"/>
      <c r="C83" s="19" t="s">
        <v>37</v>
      </c>
      <c r="D83" s="33"/>
      <c r="E83" s="33"/>
      <c r="F83" s="113" t="str">
        <f>C83</f>
        <v>D_013</v>
      </c>
      <c r="G83" s="113"/>
      <c r="H83" s="113"/>
      <c r="I83" s="113"/>
      <c r="J83" s="40"/>
      <c r="K83" s="40"/>
      <c r="L83" s="40"/>
      <c r="M83" s="40"/>
      <c r="N83" s="40"/>
      <c r="O83" s="40"/>
      <c r="P83" s="16"/>
      <c r="Q83" s="109"/>
      <c r="R83" s="92"/>
      <c r="S83" s="44" t="str">
        <f>CONCATENATE("&lt;Placemark&gt;&lt;name&gt;",A89,"&lt;/name&gt;&lt;styleUrl&gt;#track001&lt;/styleUrl&gt;&lt;MultiGeometry&gt;&lt;LineString&gt;&lt;coordinates&gt;")</f>
        <v>&lt;Placemark&gt;&lt;name&gt;D_013&lt;/name&gt;&lt;styleUrl&gt;#track001&lt;/styleUrl&gt;&lt;MultiGeometry&gt;&lt;LineString&gt;&lt;coordinates&gt;</v>
      </c>
      <c r="T83" s="98" t="str">
        <f>CONCATENATE("&lt;trk&gt;&lt;name&gt;",A89,"&lt;/name&gt;&lt;trkseg&gt;")</f>
        <v>&lt;trk&gt;&lt;name&gt;D_013&lt;/name&gt;&lt;trkseg&gt;</v>
      </c>
    </row>
    <row r="84" spans="1:20" x14ac:dyDescent="0.35">
      <c r="A84" s="23"/>
      <c r="B84" s="101">
        <v>1</v>
      </c>
      <c r="C84" s="41" t="s">
        <v>13</v>
      </c>
      <c r="D84" s="26">
        <f>D85-$D$7*SIN(RADIANS(Q85))</f>
        <v>4420707.4260443719</v>
      </c>
      <c r="E84" s="27">
        <f>E85-$D$7*COS(RADIANS(Q85))</f>
        <v>4429507.8151147934</v>
      </c>
      <c r="F84" s="132" cm="1">
        <f t="array" ref="F84:G84">_xll.PE.trf.FromEpsgNoToEpsgNo($D$4,$D$5,D84,E84)</f>
        <v>20.069993444467798</v>
      </c>
      <c r="G84" s="134">
        <v>39.994906393702017</v>
      </c>
      <c r="H84" s="152">
        <v>850</v>
      </c>
      <c r="I84" s="155" t="s">
        <v>93</v>
      </c>
      <c r="J84" s="159" t="str" cm="1">
        <f t="array" ref="J84">_xll.PE.deg.AsString(F84)</f>
        <v>20 04 12</v>
      </c>
      <c r="K84" s="133" t="str" cm="1">
        <f t="array" ref="K84">_xll.PE.deg.AsString(G84)</f>
        <v>39 59 42</v>
      </c>
      <c r="L84" s="132" cm="1">
        <f t="array" ref="L84">_xll.PE.deg.FromString(J84)</f>
        <v>20.07</v>
      </c>
      <c r="M84" s="134" cm="1">
        <f t="array" ref="M84">_xll.PE.deg.FromString(K84)</f>
        <v>39.994999999999997</v>
      </c>
      <c r="N84" s="71">
        <f t="shared" ref="N84:O90" si="32">F84-L84</f>
        <v>-6.5555322024124507E-6</v>
      </c>
      <c r="O84" s="72">
        <f t="shared" si="32"/>
        <v>-9.3606297980386444E-5</v>
      </c>
      <c r="P84" s="8">
        <f t="shared" ref="P84:P89" si="33">SQRT((D85-D84)^2+(E85-E84)^2)</f>
        <v>2999.9999999998063</v>
      </c>
      <c r="Q84" s="108">
        <f t="shared" ref="Q84:Q89" si="34">IF(DEGREES(ATAN2(E85-E84,D85-D84))&lt;0,DEGREES(ATAN2(E85-E84,D85-D84))+360,(DEGREES(ATAN2(E85-E84,D85-D84))))</f>
        <v>59.866281983325656</v>
      </c>
      <c r="R84" s="89"/>
      <c r="S84" s="44" t="str">
        <f t="shared" ref="S84:S90" si="35">CONCATENATE(TEXT(F84,"#.00000000"),",",TEXT(G84,"#.00000000"))</f>
        <v>20.06999344,39.99490639</v>
      </c>
      <c r="T84" s="98" t="str">
        <f t="shared" ref="T84:T90" si="36">CONCATENATE("&lt;trkpt lon=""",TEXT(F84,"#.00000000"),""" lat=""",TEXT(G84,"#.00000000"),"""","&gt;&lt;name&gt;S",TEXT(B84,"00"),"&lt;/name&gt;&lt;/trkpt&gt;")</f>
        <v>&lt;trkpt lon="20.06999344" lat="39.99490639"&gt;&lt;name&gt;S01&lt;/name&gt;&lt;/trkpt&gt;</v>
      </c>
    </row>
    <row r="85" spans="1:20" ht="15" thickBot="1" x14ac:dyDescent="0.4">
      <c r="A85" s="23"/>
      <c r="B85" s="102">
        <v>2</v>
      </c>
      <c r="C85" s="12" t="s">
        <v>5</v>
      </c>
      <c r="D85" s="37">
        <f>D86-$D$8*SIN(RADIANS(Q86))</f>
        <v>4423301.9944539266</v>
      </c>
      <c r="E85" s="38">
        <f>E86-$D$8*COS(RADIANS(Q86))</f>
        <v>4431013.8744655959</v>
      </c>
      <c r="F85" s="135" cm="1">
        <f t="array" ref="F85:G85">_xll.PE.trf.FromEpsgNoToEpsgNo($D$4,$D$5,D85,E85)</f>
        <v>20.100192626928944</v>
      </c>
      <c r="G85" s="137">
        <v>40.00870828034725</v>
      </c>
      <c r="H85" s="154">
        <v>741</v>
      </c>
      <c r="I85" s="155" t="s">
        <v>94</v>
      </c>
      <c r="J85" s="144" t="str" cm="1">
        <f t="array" ref="J85">_xll.PE.deg.AsString(F85)</f>
        <v>20 06 01</v>
      </c>
      <c r="K85" s="136" t="str" cm="1">
        <f t="array" ref="K85">_xll.PE.deg.AsString(G85)</f>
        <v>40 00 31</v>
      </c>
      <c r="L85" s="135" cm="1">
        <f t="array" ref="L85">_xll.PE.deg.FromString(J85)</f>
        <v>20.10027777777778</v>
      </c>
      <c r="M85" s="137" cm="1">
        <f t="array" ref="M85">_xll.PE.deg.FromString(K85)</f>
        <v>40.008611111111108</v>
      </c>
      <c r="N85" s="73">
        <f t="shared" si="32"/>
        <v>-8.5150848835979787E-5</v>
      </c>
      <c r="O85" s="74">
        <f t="shared" si="32"/>
        <v>9.7169236141780857E-5</v>
      </c>
      <c r="P85" s="39">
        <f t="shared" si="33"/>
        <v>4000.000000000166</v>
      </c>
      <c r="Q85" s="89">
        <f t="shared" si="34"/>
        <v>59.866281983324043</v>
      </c>
      <c r="R85" s="89"/>
      <c r="S85" s="44" t="str">
        <f t="shared" si="35"/>
        <v>20.10019263,40.00870828</v>
      </c>
      <c r="T85" s="98" t="str">
        <f t="shared" si="36"/>
        <v>&lt;trkpt lon="20.10019263" lat="40.00870828"&gt;&lt;name&gt;S02&lt;/name&gt;&lt;/trkpt&gt;</v>
      </c>
    </row>
    <row r="86" spans="1:20" ht="15" thickBot="1" x14ac:dyDescent="0.4">
      <c r="A86" s="23"/>
      <c r="B86" s="102">
        <v>3</v>
      </c>
      <c r="C86" s="12" t="s">
        <v>9</v>
      </c>
      <c r="D86" s="20">
        <v>4426761.4189999998</v>
      </c>
      <c r="E86" s="7">
        <v>4433021.9535999997</v>
      </c>
      <c r="F86" s="138" cm="1">
        <f t="array" ref="F86:G86">_xll.PE.trf.FromEpsgNoToEpsgNo($D$4,$D$5,D86,E86)</f>
        <v>20.140477274654241</v>
      </c>
      <c r="G86" s="140">
        <v>40.027098704556671</v>
      </c>
      <c r="H86" s="156">
        <v>209</v>
      </c>
      <c r="I86" s="155" t="s">
        <v>95</v>
      </c>
      <c r="J86" s="160" t="str" cm="1">
        <f t="array" ref="J86">_xll.PE.deg.AsString(F86)</f>
        <v>20 08 26</v>
      </c>
      <c r="K86" s="139" t="str" cm="1">
        <f t="array" ref="K86">_xll.PE.deg.AsString(G86)</f>
        <v>40 01 38</v>
      </c>
      <c r="L86" s="138" cm="1">
        <f t="array" ref="L86">_xll.PE.deg.FromString(J86)</f>
        <v>20.140555555555554</v>
      </c>
      <c r="M86" s="140" cm="1">
        <f t="array" ref="M86">_xll.PE.deg.FromString(K86)</f>
        <v>40.027222222222221</v>
      </c>
      <c r="N86" s="75">
        <f t="shared" si="32"/>
        <v>-7.8280901313121376E-5</v>
      </c>
      <c r="O86" s="76">
        <f t="shared" si="32"/>
        <v>-1.2351766554985488E-4</v>
      </c>
      <c r="P86" s="10">
        <f t="shared" si="33"/>
        <v>13644.119064131539</v>
      </c>
      <c r="Q86" s="93">
        <f t="shared" si="34"/>
        <v>59.866281983324463</v>
      </c>
      <c r="R86" s="21">
        <v>2462</v>
      </c>
      <c r="S86" s="44" t="str">
        <f t="shared" si="35"/>
        <v>20.14047727,40.02709870</v>
      </c>
      <c r="T86" s="98" t="str">
        <f t="shared" si="36"/>
        <v>&lt;trkpt lon="20.14047727" lat="40.02709870"&gt;&lt;name&gt;S03&lt;/name&gt;&lt;/trkpt&gt;</v>
      </c>
    </row>
    <row r="87" spans="1:20" ht="15" thickBot="1" x14ac:dyDescent="0.4">
      <c r="A87" s="23"/>
      <c r="B87" s="102">
        <v>4</v>
      </c>
      <c r="C87" s="12" t="s">
        <v>10</v>
      </c>
      <c r="D87" s="20">
        <v>4438561.6190999998</v>
      </c>
      <c r="E87" s="7">
        <v>4439871.5713</v>
      </c>
      <c r="F87" s="138" cm="1">
        <f t="array" ref="F87:G87">_xll.PE.trf.FromEpsgNoToEpsgNo($D$4,$D$5,D87,E87)</f>
        <v>20.278053401830466</v>
      </c>
      <c r="G87" s="140">
        <v>40.089724675701291</v>
      </c>
      <c r="H87" s="156">
        <v>60</v>
      </c>
      <c r="I87" s="155" t="s">
        <v>96</v>
      </c>
      <c r="J87" s="160" t="str" cm="1">
        <f t="array" ref="J87">_xll.PE.deg.AsString(F87)</f>
        <v>20 16 41</v>
      </c>
      <c r="K87" s="139" t="str" cm="1">
        <f t="array" ref="K87">_xll.PE.deg.AsString(G87)</f>
        <v>40 05 23</v>
      </c>
      <c r="L87" s="138" cm="1">
        <f t="array" ref="L87">_xll.PE.deg.FromString(J87)</f>
        <v>20.278055555555554</v>
      </c>
      <c r="M87" s="140" cm="1">
        <f t="array" ref="M87">_xll.PE.deg.FromString(K87)</f>
        <v>40.089722222222221</v>
      </c>
      <c r="N87" s="75">
        <f t="shared" si="32"/>
        <v>-2.1537250880498959E-6</v>
      </c>
      <c r="O87" s="76">
        <f t="shared" si="32"/>
        <v>2.4534790696861819E-6</v>
      </c>
      <c r="P87" s="10">
        <f t="shared" si="33"/>
        <v>19918.651491032069</v>
      </c>
      <c r="Q87" s="93">
        <f t="shared" si="34"/>
        <v>56.809492571931429</v>
      </c>
      <c r="R87" s="90" cm="1">
        <f t="array" ref="R87">_xll.PE.crs.GeodesicDistance($D$4,D85:E89)</f>
        <v>41560.942438470796</v>
      </c>
      <c r="S87" s="44" t="str">
        <f t="shared" si="35"/>
        <v>20.27805340,40.08972468</v>
      </c>
      <c r="T87" s="98" t="str">
        <f t="shared" si="36"/>
        <v>&lt;trkpt lon="20.27805340" lat="40.08972468"&gt;&lt;name&gt;S04&lt;/name&gt;&lt;/trkpt&gt;</v>
      </c>
    </row>
    <row r="88" spans="1:20" ht="15" thickBot="1" x14ac:dyDescent="0.4">
      <c r="A88" s="23"/>
      <c r="B88" s="102">
        <v>5</v>
      </c>
      <c r="C88" s="12" t="s">
        <v>7</v>
      </c>
      <c r="D88" s="20">
        <v>4455230.6425999999</v>
      </c>
      <c r="E88" s="7">
        <v>4450775.5307999998</v>
      </c>
      <c r="F88" s="138" cm="1">
        <f t="array" ref="F88:G88">_xll.PE.trf.FromEpsgNoToEpsgNo($D$4,$D$5,D88,E88)</f>
        <v>20.472740821899968</v>
      </c>
      <c r="G88" s="140">
        <v>40.188973955050109</v>
      </c>
      <c r="H88" s="156">
        <v>297</v>
      </c>
      <c r="I88" s="155" t="s">
        <v>97</v>
      </c>
      <c r="J88" s="160" t="str" cm="1">
        <f t="array" ref="J88">_xll.PE.deg.AsString(F88)</f>
        <v>20 28 22</v>
      </c>
      <c r="K88" s="139" t="str" cm="1">
        <f t="array" ref="K88">_xll.PE.deg.AsString(G88)</f>
        <v>40 11 20</v>
      </c>
      <c r="L88" s="138" cm="1">
        <f t="array" ref="L88">_xll.PE.deg.FromString(J88)</f>
        <v>20.472777777777775</v>
      </c>
      <c r="M88" s="140" cm="1">
        <f t="array" ref="M88">_xll.PE.deg.FromString(K88)</f>
        <v>40.188888888888883</v>
      </c>
      <c r="N88" s="75">
        <f t="shared" si="32"/>
        <v>-3.6955877806832405E-5</v>
      </c>
      <c r="O88" s="76">
        <f t="shared" si="32"/>
        <v>8.5066161226166059E-5</v>
      </c>
      <c r="P88" s="39">
        <f t="shared" si="33"/>
        <v>4000.0000000002019</v>
      </c>
      <c r="Q88" s="89">
        <f t="shared" si="34"/>
        <v>56.809492571930086</v>
      </c>
      <c r="R88" s="89"/>
      <c r="S88" s="44" t="str">
        <f t="shared" si="35"/>
        <v>20.47274082,40.18897396</v>
      </c>
      <c r="T88" s="98" t="str">
        <f t="shared" si="36"/>
        <v>&lt;trkpt lon="20.47274082" lat="40.18897396"&gt;&lt;name&gt;S05&lt;/name&gt;&lt;/trkpt&gt;</v>
      </c>
    </row>
    <row r="89" spans="1:20" ht="15" thickBot="1" x14ac:dyDescent="0.4">
      <c r="A89" s="23" t="str">
        <f>C83</f>
        <v>D_013</v>
      </c>
      <c r="B89" s="102">
        <v>6</v>
      </c>
      <c r="C89" s="12" t="s">
        <v>5</v>
      </c>
      <c r="D89" s="37">
        <f>D88+$D$8*SIN(RADIANS(Q87))</f>
        <v>4458578.0626816265</v>
      </c>
      <c r="E89" s="38">
        <f>E88+$D$8*COS(RADIANS(Q87))</f>
        <v>4452965.229134731</v>
      </c>
      <c r="F89" s="135" cm="1">
        <f t="array" ref="F89:G89">_xll.PE.trf.FromEpsgNoToEpsgNo($D$4,$D$5,D89,E89)</f>
        <v>20.511905954708112</v>
      </c>
      <c r="G89" s="137">
        <v>40.208865629399845</v>
      </c>
      <c r="H89" s="154">
        <v>541</v>
      </c>
      <c r="I89" s="155" t="s">
        <v>98</v>
      </c>
      <c r="J89" s="144" t="str" cm="1">
        <f t="array" ref="J89">_xll.PE.deg.AsString(F89)</f>
        <v>20 30 43</v>
      </c>
      <c r="K89" s="136" t="str" cm="1">
        <f t="array" ref="K89">_xll.PE.deg.AsString(G89)</f>
        <v>40 12 32</v>
      </c>
      <c r="L89" s="135" cm="1">
        <f t="array" ref="L89">_xll.PE.deg.FromString(J89)</f>
        <v>20.511944444444445</v>
      </c>
      <c r="M89" s="137" cm="1">
        <f t="array" ref="M89">_xll.PE.deg.FromString(K89)</f>
        <v>40.208888888888893</v>
      </c>
      <c r="N89" s="73">
        <f t="shared" si="32"/>
        <v>-3.8489736333247038E-5</v>
      </c>
      <c r="O89" s="74">
        <f t="shared" si="32"/>
        <v>-2.325948904768893E-5</v>
      </c>
      <c r="P89" s="9">
        <f t="shared" si="33"/>
        <v>3000.0000000001514</v>
      </c>
      <c r="Q89" s="110">
        <f t="shared" si="34"/>
        <v>56.809492571930086</v>
      </c>
      <c r="R89" s="5">
        <v>4326</v>
      </c>
      <c r="S89" s="44" t="str">
        <f t="shared" si="35"/>
        <v>20.51190595,40.20886563</v>
      </c>
      <c r="T89" s="98" t="str">
        <f t="shared" si="36"/>
        <v>&lt;trkpt lon="20.51190595" lat="40.20886563"&gt;&lt;name&gt;S06&lt;/name&gt;&lt;/trkpt&gt;</v>
      </c>
    </row>
    <row r="90" spans="1:20" ht="15" thickBot="1" x14ac:dyDescent="0.4">
      <c r="A90" s="23"/>
      <c r="B90" s="103">
        <v>7</v>
      </c>
      <c r="C90" s="13" t="s">
        <v>13</v>
      </c>
      <c r="D90" s="29">
        <f>D89+$D$7*SIN(RADIANS(Q88))</f>
        <v>4461088.6277428465</v>
      </c>
      <c r="E90" s="30">
        <f>E89+$D$7*COS(RADIANS(Q88))</f>
        <v>4454607.5028857794</v>
      </c>
      <c r="F90" s="141" cm="1">
        <f t="array" ref="F90:G90">_xll.PE.trf.FromEpsgNoToEpsgNo($D$4,$D$5,D90,E90)</f>
        <v>20.541294879939993</v>
      </c>
      <c r="G90" s="143">
        <v>40.223775729147633</v>
      </c>
      <c r="H90" s="157">
        <v>944</v>
      </c>
      <c r="I90" s="155" t="s">
        <v>99</v>
      </c>
      <c r="J90" s="149" t="str" cm="1">
        <f t="array" ref="J90">_xll.PE.deg.AsString(F90)</f>
        <v>20 32 29</v>
      </c>
      <c r="K90" s="142" t="str" cm="1">
        <f t="array" ref="K90">_xll.PE.deg.AsString(G90)</f>
        <v>40 13 26</v>
      </c>
      <c r="L90" s="141" cm="1">
        <f t="array" ref="L90">_xll.PE.deg.FromString(J90)</f>
        <v>20.541388888888889</v>
      </c>
      <c r="M90" s="143" cm="1">
        <f t="array" ref="M90">_xll.PE.deg.FromString(K90)</f>
        <v>40.223888888888894</v>
      </c>
      <c r="N90" s="77">
        <f t="shared" si="32"/>
        <v>-9.4008948895663025E-5</v>
      </c>
      <c r="O90" s="78">
        <f t="shared" si="32"/>
        <v>-1.1315974126091533E-4</v>
      </c>
      <c r="P90" s="34">
        <f>SUM(P85:P88)</f>
        <v>41562.770555163981</v>
      </c>
      <c r="Q90" s="5" t="s">
        <v>11</v>
      </c>
      <c r="R90" s="90" cm="1">
        <f t="array" ref="R90">_xll.PE.crs.GeodesicDistance($D$5,L85:M89)</f>
        <v>41564.1105254254</v>
      </c>
      <c r="S90" s="44" t="str">
        <f t="shared" si="35"/>
        <v>20.54129488,40.22377573</v>
      </c>
      <c r="T90" s="98" t="str">
        <f t="shared" si="36"/>
        <v>&lt;trkpt lon="20.54129488" lat="40.22377573"&gt;&lt;name&gt;S07&lt;/name&gt;&lt;/trkpt&gt;</v>
      </c>
    </row>
    <row r="91" spans="1:20" ht="15" thickBot="1" x14ac:dyDescent="0.4">
      <c r="A91" s="23"/>
      <c r="B91" s="105"/>
      <c r="C91" s="17"/>
      <c r="D91" s="31"/>
      <c r="E91" s="31"/>
      <c r="F91" s="42"/>
      <c r="G91" s="42"/>
      <c r="H91" s="115"/>
      <c r="I91" s="88"/>
      <c r="J91" s="42"/>
      <c r="K91" s="42"/>
      <c r="L91" s="42"/>
      <c r="M91" s="42"/>
      <c r="N91" s="42"/>
      <c r="O91" s="42"/>
      <c r="P91" s="25">
        <f>P86+P87</f>
        <v>33562.77055516361</v>
      </c>
      <c r="Q91" s="106" t="s">
        <v>12</v>
      </c>
      <c r="R91" s="91"/>
      <c r="S91" s="44" t="s">
        <v>21</v>
      </c>
      <c r="T91" s="98" t="str">
        <f>CONCATENATE("&lt;/trkseg&gt;&lt;/trk&gt;")</f>
        <v>&lt;/trkseg&gt;&lt;/trk&gt;</v>
      </c>
    </row>
    <row r="92" spans="1:20" ht="15" thickBot="1" x14ac:dyDescent="0.4">
      <c r="A92" s="23"/>
      <c r="B92" s="105"/>
      <c r="C92" s="19" t="s">
        <v>38</v>
      </c>
      <c r="D92" s="33"/>
      <c r="E92" s="33"/>
      <c r="F92" s="113" t="str">
        <f>C92</f>
        <v>D_014</v>
      </c>
      <c r="G92" s="113"/>
      <c r="H92" s="113"/>
      <c r="I92" s="113"/>
      <c r="J92" s="40"/>
      <c r="K92" s="40"/>
      <c r="L92" s="40"/>
      <c r="M92" s="40"/>
      <c r="N92" s="40"/>
      <c r="O92" s="40"/>
      <c r="P92" s="16"/>
      <c r="Q92" s="109"/>
      <c r="R92" s="92"/>
      <c r="S92" s="44" t="str">
        <f>CONCATENATE("&lt;Placemark&gt;&lt;name&gt;",A98,"&lt;/name&gt;&lt;styleUrl&gt;#track001&lt;/styleUrl&gt;&lt;MultiGeometry&gt;&lt;LineString&gt;&lt;coordinates&gt;")</f>
        <v>&lt;Placemark&gt;&lt;name&gt;D_014&lt;/name&gt;&lt;styleUrl&gt;#track001&lt;/styleUrl&gt;&lt;MultiGeometry&gt;&lt;LineString&gt;&lt;coordinates&gt;</v>
      </c>
      <c r="T92" s="98" t="str">
        <f>CONCATENATE("&lt;trk&gt;&lt;name&gt;",A98,"&lt;/name&gt;&lt;trkseg&gt;")</f>
        <v>&lt;trk&gt;&lt;name&gt;D_014&lt;/name&gt;&lt;trkseg&gt;</v>
      </c>
    </row>
    <row r="93" spans="1:20" x14ac:dyDescent="0.35">
      <c r="A93" s="23"/>
      <c r="B93" s="101">
        <v>1</v>
      </c>
      <c r="C93" s="41" t="s">
        <v>13</v>
      </c>
      <c r="D93" s="26">
        <f>D94-$D$7*SIN(RADIANS(Q94))</f>
        <v>4418722.884392594</v>
      </c>
      <c r="E93" s="27">
        <f>E94-$D$7*COS(RADIANS(Q94))</f>
        <v>4468581.3680245327</v>
      </c>
      <c r="F93" s="132" cm="1">
        <f t="array" ref="F93:G93">_xll.PE.trf.FromEpsgNoToEpsgNo($D$4,$D$5,D93,E93)</f>
        <v>20.041822842787745</v>
      </c>
      <c r="G93" s="134">
        <v>40.346559530862841</v>
      </c>
      <c r="H93" s="152">
        <v>873</v>
      </c>
      <c r="I93" s="155" t="s">
        <v>100</v>
      </c>
      <c r="J93" s="159" t="str" cm="1">
        <f t="array" ref="J93">_xll.PE.deg.AsString(F93)</f>
        <v>20 02 31</v>
      </c>
      <c r="K93" s="133" t="str" cm="1">
        <f t="array" ref="K93">_xll.PE.deg.AsString(G93)</f>
        <v>40 20 48</v>
      </c>
      <c r="L93" s="132" cm="1">
        <f t="array" ref="L93">_xll.PE.deg.FromString(J93)</f>
        <v>20.041944444444447</v>
      </c>
      <c r="M93" s="134" cm="1">
        <f t="array" ref="M93">_xll.PE.deg.FromString(K93)</f>
        <v>40.346666666666671</v>
      </c>
      <c r="N93" s="71">
        <f t="shared" ref="N93:O99" si="37">F93-L93</f>
        <v>-1.2160165670138667E-4</v>
      </c>
      <c r="O93" s="72">
        <f t="shared" si="37"/>
        <v>-1.0713580383026056E-4</v>
      </c>
      <c r="P93" s="8">
        <f t="shared" ref="P93:P98" si="38">SQRT((D94-D93)^2+(E94-E93)^2)</f>
        <v>2999.999999999915</v>
      </c>
      <c r="Q93" s="108">
        <f t="shared" ref="Q93:Q98" si="39">IF(DEGREES(ATAN2(E94-E93,D94-D93))&lt;0,DEGREES(ATAN2(E94-E93,D94-D93))+360,(DEGREES(ATAN2(E94-E93,D94-D93))))</f>
        <v>132.70939001752728</v>
      </c>
      <c r="R93" s="89"/>
      <c r="S93" s="44" t="str">
        <f t="shared" ref="S93:S99" si="40">CONCATENATE(TEXT(F93,"#.00000000"),",",TEXT(G93,"#.00000000"))</f>
        <v>20.04182284,40.34655953</v>
      </c>
      <c r="T93" s="98" t="str">
        <f t="shared" ref="T93:T99" si="41">CONCATENATE("&lt;trkpt lon=""",TEXT(F93,"#.00000000"),""" lat=""",TEXT(G93,"#.00000000"),"""","&gt;&lt;name&gt;S",TEXT(B93,"00"),"&lt;/name&gt;&lt;/trkpt&gt;")</f>
        <v>&lt;trkpt lon="20.04182284" lat="40.34655953"&gt;&lt;name&gt;S01&lt;/name&gt;&lt;/trkpt&gt;</v>
      </c>
    </row>
    <row r="94" spans="1:20" ht="15" thickBot="1" x14ac:dyDescent="0.4">
      <c r="A94" s="23"/>
      <c r="B94" s="102">
        <v>2</v>
      </c>
      <c r="C94" s="12" t="s">
        <v>5</v>
      </c>
      <c r="D94" s="37">
        <f>D95-$D$8*SIN(RADIANS(Q95))</f>
        <v>4420927.2947243396</v>
      </c>
      <c r="E94" s="38">
        <f>E95-$D$8*COS(RADIANS(Q95))</f>
        <v>4466546.5277140187</v>
      </c>
      <c r="F94" s="135" cm="1">
        <f t="array" ref="F94:G94">_xll.PE.trf.FromEpsgNoToEpsgNo($D$4,$D$5,D94,E94)</f>
        <v>20.068017585449915</v>
      </c>
      <c r="G94" s="137">
        <v>40.328449033346601</v>
      </c>
      <c r="H94" s="154">
        <v>260</v>
      </c>
      <c r="I94" s="155" t="s">
        <v>101</v>
      </c>
      <c r="J94" s="144" t="str" cm="1">
        <f t="array" ref="J94">_xll.PE.deg.AsString(F94)</f>
        <v>20 04 05</v>
      </c>
      <c r="K94" s="136" t="str" cm="1">
        <f t="array" ref="K94">_xll.PE.deg.AsString(G94)</f>
        <v>40 19 42</v>
      </c>
      <c r="L94" s="135" cm="1">
        <f t="array" ref="L94">_xll.PE.deg.FromString(J94)</f>
        <v>20.068055555555556</v>
      </c>
      <c r="M94" s="137" cm="1">
        <f t="array" ref="M94">_xll.PE.deg.FromString(K94)</f>
        <v>40.328333333333333</v>
      </c>
      <c r="N94" s="73">
        <f t="shared" si="37"/>
        <v>-3.7970105640994234E-5</v>
      </c>
      <c r="O94" s="74">
        <f t="shared" si="37"/>
        <v>1.1570001326788315E-4</v>
      </c>
      <c r="P94" s="39">
        <f t="shared" si="38"/>
        <v>3999.9999999998868</v>
      </c>
      <c r="Q94" s="89">
        <f t="shared" si="39"/>
        <v>132.70939001752728</v>
      </c>
      <c r="R94" s="89"/>
      <c r="S94" s="44" t="str">
        <f t="shared" si="40"/>
        <v>20.06801759,40.32844903</v>
      </c>
      <c r="T94" s="98" t="str">
        <f t="shared" si="41"/>
        <v>&lt;trkpt lon="20.06801759" lat="40.32844903"&gt;&lt;name&gt;S02&lt;/name&gt;&lt;/trkpt&gt;</v>
      </c>
    </row>
    <row r="95" spans="1:20" ht="15" thickBot="1" x14ac:dyDescent="0.4">
      <c r="A95" s="23"/>
      <c r="B95" s="102">
        <v>3</v>
      </c>
      <c r="C95" s="12" t="s">
        <v>9</v>
      </c>
      <c r="D95" s="20">
        <v>4423866.5085000005</v>
      </c>
      <c r="E95" s="7">
        <v>4463833.4073000001</v>
      </c>
      <c r="F95" s="138" cm="1">
        <f t="array" ref="F95:G95">_xll.PE.trf.FromEpsgNoToEpsgNo($D$4,$D$5,D95,E95)</f>
        <v>20.102922159653534</v>
      </c>
      <c r="G95" s="140">
        <v>40.304292150475973</v>
      </c>
      <c r="H95" s="156">
        <v>248</v>
      </c>
      <c r="I95" s="155" t="s">
        <v>102</v>
      </c>
      <c r="J95" s="160" t="str" cm="1">
        <f t="array" ref="J95">_xll.PE.deg.AsString(F95)</f>
        <v>20 06 11</v>
      </c>
      <c r="K95" s="139" t="str" cm="1">
        <f t="array" ref="K95">_xll.PE.deg.AsString(G95)</f>
        <v>40 18 15</v>
      </c>
      <c r="L95" s="138" cm="1">
        <f t="array" ref="L95">_xll.PE.deg.FromString(J95)</f>
        <v>20.103055555555557</v>
      </c>
      <c r="M95" s="140" cm="1">
        <f t="array" ref="M95">_xll.PE.deg.FromString(K95)</f>
        <v>40.304166666666667</v>
      </c>
      <c r="N95" s="75">
        <f t="shared" si="37"/>
        <v>-1.333959020222153E-4</v>
      </c>
      <c r="O95" s="76">
        <f t="shared" si="37"/>
        <v>1.2548380930610392E-4</v>
      </c>
      <c r="P95" s="10">
        <f t="shared" si="38"/>
        <v>16149.33394537546</v>
      </c>
      <c r="Q95" s="93">
        <f t="shared" si="39"/>
        <v>132.70939001752339</v>
      </c>
      <c r="R95" s="21">
        <v>2462</v>
      </c>
      <c r="S95" s="44" t="str">
        <f t="shared" si="40"/>
        <v>20.10292216,40.30429215</v>
      </c>
      <c r="T95" s="98" t="str">
        <f t="shared" si="41"/>
        <v>&lt;trkpt lon="20.10292216" lat="40.30429215"&gt;&lt;name&gt;S03&lt;/name&gt;&lt;/trkpt&gt;</v>
      </c>
    </row>
    <row r="96" spans="1:20" ht="15" thickBot="1" x14ac:dyDescent="0.4">
      <c r="A96" s="23"/>
      <c r="B96" s="102">
        <v>4</v>
      </c>
      <c r="C96" s="12" t="s">
        <v>10</v>
      </c>
      <c r="D96" s="20">
        <v>4435733.0947000002</v>
      </c>
      <c r="E96" s="7">
        <v>4452879.6354</v>
      </c>
      <c r="F96" s="138" cm="1">
        <f t="array" ref="F96:G96">_xll.PE.trf.FromEpsgNoToEpsgNo($D$4,$D$5,D96,E96)</f>
        <v>20.243591327481912</v>
      </c>
      <c r="G96" s="140">
        <v>40.206652264856999</v>
      </c>
      <c r="H96" s="156">
        <v>45</v>
      </c>
      <c r="I96" s="155" t="s">
        <v>103</v>
      </c>
      <c r="J96" s="160" t="str" cm="1">
        <f t="array" ref="J96">_xll.PE.deg.AsString(F96)</f>
        <v>20 14 37</v>
      </c>
      <c r="K96" s="139" t="str" cm="1">
        <f t="array" ref="K96">_xll.PE.deg.AsString(G96)</f>
        <v>40 12 24</v>
      </c>
      <c r="L96" s="138" cm="1">
        <f t="array" ref="L96">_xll.PE.deg.FromString(J96)</f>
        <v>20.243611111111111</v>
      </c>
      <c r="M96" s="140" cm="1">
        <f t="array" ref="M96">_xll.PE.deg.FromString(K96)</f>
        <v>40.206666666666671</v>
      </c>
      <c r="N96" s="75">
        <f t="shared" si="37"/>
        <v>-1.9783629198855124E-5</v>
      </c>
      <c r="O96" s="76">
        <f t="shared" si="37"/>
        <v>-1.4401809671937826E-5</v>
      </c>
      <c r="P96" s="10">
        <f t="shared" si="38"/>
        <v>22374.257892829319</v>
      </c>
      <c r="Q96" s="93">
        <f t="shared" si="39"/>
        <v>133.49067367001715</v>
      </c>
      <c r="R96" s="90" cm="1">
        <f t="array" ref="R96">_xll.PE.crs.GeodesicDistance($D$4,D94:E98)</f>
        <v>46521.333054741852</v>
      </c>
      <c r="S96" s="44" t="str">
        <f t="shared" si="40"/>
        <v>20.24359133,40.20665226</v>
      </c>
      <c r="T96" s="98" t="str">
        <f t="shared" si="41"/>
        <v>&lt;trkpt lon="20.24359133" lat="40.20665226"&gt;&lt;name&gt;S04&lt;/name&gt;&lt;/trkpt&gt;</v>
      </c>
    </row>
    <row r="97" spans="1:20" ht="15" thickBot="1" x14ac:dyDescent="0.4">
      <c r="A97" s="23"/>
      <c r="B97" s="102">
        <v>5</v>
      </c>
      <c r="C97" s="12" t="s">
        <v>7</v>
      </c>
      <c r="D97" s="20">
        <v>4451965.3147</v>
      </c>
      <c r="E97" s="7">
        <v>4437480.8546000002</v>
      </c>
      <c r="F97" s="138" cm="1">
        <f t="array" ref="F97:G97">_xll.PE.trf.FromEpsgNoToEpsgNo($D$4,$D$5,D97,E97)</f>
        <v>20.435390220595277</v>
      </c>
      <c r="G97" s="140">
        <v>40.069067928851965</v>
      </c>
      <c r="H97" s="156">
        <v>47</v>
      </c>
      <c r="I97" s="155" t="s">
        <v>104</v>
      </c>
      <c r="J97" s="160" t="str" cm="1">
        <f t="array" ref="J97">_xll.PE.deg.AsString(F97)</f>
        <v>20 26 07</v>
      </c>
      <c r="K97" s="139" t="str" cm="1">
        <f t="array" ref="K97">_xll.PE.deg.AsString(G97)</f>
        <v>40 04 09</v>
      </c>
      <c r="L97" s="138" cm="1">
        <f t="array" ref="L97">_xll.PE.deg.FromString(J97)</f>
        <v>20.435277777777777</v>
      </c>
      <c r="M97" s="140" cm="1">
        <f t="array" ref="M97">_xll.PE.deg.FromString(K97)</f>
        <v>40.069166666666668</v>
      </c>
      <c r="N97" s="75">
        <f t="shared" si="37"/>
        <v>1.1244281749966945E-4</v>
      </c>
      <c r="O97" s="76">
        <f t="shared" si="37"/>
        <v>-9.8737814703042659E-5</v>
      </c>
      <c r="P97" s="39">
        <f t="shared" si="38"/>
        <v>4000.0000000003711</v>
      </c>
      <c r="Q97" s="89">
        <f t="shared" si="39"/>
        <v>133.49067367002033</v>
      </c>
      <c r="R97" s="89"/>
      <c r="S97" s="44" t="str">
        <f t="shared" si="40"/>
        <v>20.43539022,40.06906793</v>
      </c>
      <c r="T97" s="98" t="str">
        <f t="shared" si="41"/>
        <v>&lt;trkpt lon="20.43539022" lat="40.06906793"&gt;&lt;name&gt;S05&lt;/name&gt;&lt;/trkpt&gt;</v>
      </c>
    </row>
    <row r="98" spans="1:20" ht="15" thickBot="1" x14ac:dyDescent="0.4">
      <c r="A98" s="23" t="str">
        <f>C92</f>
        <v>D_014</v>
      </c>
      <c r="B98" s="102">
        <v>6</v>
      </c>
      <c r="C98" s="12" t="s">
        <v>5</v>
      </c>
      <c r="D98" s="37">
        <f>D97+$D$8*SIN(RADIANS(Q96))</f>
        <v>4454867.260333728</v>
      </c>
      <c r="E98" s="38">
        <f>E97+$D$8*COS(RADIANS(Q96))</f>
        <v>4434727.9086254323</v>
      </c>
      <c r="F98" s="135" cm="1">
        <f t="array" ref="F98:G98">_xll.PE.trf.FromEpsgNoToEpsgNo($D$4,$D$5,D98,E98)</f>
        <v>20.469598076487333</v>
      </c>
      <c r="G98" s="137">
        <v>40.044436668263572</v>
      </c>
      <c r="H98" s="154">
        <v>26</v>
      </c>
      <c r="I98" s="155" t="s">
        <v>105</v>
      </c>
      <c r="J98" s="144" t="str" cm="1">
        <f t="array" ref="J98">_xll.PE.deg.AsString(F98)</f>
        <v>20 28 11</v>
      </c>
      <c r="K98" s="136" t="str" cm="1">
        <f t="array" ref="K98">_xll.PE.deg.AsString(G98)</f>
        <v>40 02 40</v>
      </c>
      <c r="L98" s="135" cm="1">
        <f t="array" ref="L98">_xll.PE.deg.FromString(J98)</f>
        <v>20.46972222222222</v>
      </c>
      <c r="M98" s="137" cm="1">
        <f t="array" ref="M98">_xll.PE.deg.FromString(K98)</f>
        <v>40.044444444444444</v>
      </c>
      <c r="N98" s="73">
        <f t="shared" si="37"/>
        <v>-1.24145734886838E-4</v>
      </c>
      <c r="O98" s="74">
        <f t="shared" si="37"/>
        <v>-7.7761808725540504E-6</v>
      </c>
      <c r="P98" s="9">
        <f t="shared" si="38"/>
        <v>2999.9999999999577</v>
      </c>
      <c r="Q98" s="110">
        <f t="shared" si="39"/>
        <v>133.49067367001388</v>
      </c>
      <c r="R98" s="5">
        <v>4326</v>
      </c>
      <c r="S98" s="44" t="str">
        <f t="shared" si="40"/>
        <v>20.46959808,40.04443667</v>
      </c>
      <c r="T98" s="98" t="str">
        <f t="shared" si="41"/>
        <v>&lt;trkpt lon="20.46959808" lat="40.04443667"&gt;&lt;name&gt;S06&lt;/name&gt;&lt;/trkpt&gt;</v>
      </c>
    </row>
    <row r="99" spans="1:20" ht="15" thickBot="1" x14ac:dyDescent="0.4">
      <c r="A99" s="23"/>
      <c r="B99" s="103">
        <v>7</v>
      </c>
      <c r="C99" s="13" t="s">
        <v>13</v>
      </c>
      <c r="D99" s="29">
        <f>D98+$D$7*SIN(RADIANS(Q97))</f>
        <v>4457043.7195590241</v>
      </c>
      <c r="E99" s="30">
        <f>E98+$D$7*COS(RADIANS(Q97))</f>
        <v>4432663.1991445068</v>
      </c>
      <c r="F99" s="141" cm="1">
        <f t="array" ref="F99:G99">_xll.PE.trf.FromEpsgNoToEpsgNo($D$4,$D$5,D99,E99)</f>
        <v>20.495237819768231</v>
      </c>
      <c r="G99" s="143">
        <v>40.02595642488258</v>
      </c>
      <c r="H99" s="157">
        <v>820</v>
      </c>
      <c r="I99" s="155" t="s">
        <v>106</v>
      </c>
      <c r="J99" s="149" t="str" cm="1">
        <f t="array" ref="J99">_xll.PE.deg.AsString(F99)</f>
        <v>20 29 43</v>
      </c>
      <c r="K99" s="142" t="str" cm="1">
        <f t="array" ref="K99">_xll.PE.deg.AsString(G99)</f>
        <v>40 01 33</v>
      </c>
      <c r="L99" s="141" cm="1">
        <f t="array" ref="L99">_xll.PE.deg.FromString(J99)</f>
        <v>20.49527777777778</v>
      </c>
      <c r="M99" s="143" cm="1">
        <f t="array" ref="M99">_xll.PE.deg.FromString(K99)</f>
        <v>40.025833333333331</v>
      </c>
      <c r="N99" s="77">
        <f t="shared" si="37"/>
        <v>-3.9958009548257678E-5</v>
      </c>
      <c r="O99" s="78">
        <f t="shared" si="37"/>
        <v>1.2309154924849963E-4</v>
      </c>
      <c r="P99" s="14">
        <f>SUM(P94:P97)</f>
        <v>46523.591838205037</v>
      </c>
      <c r="Q99" s="35" t="s">
        <v>11</v>
      </c>
      <c r="R99" s="90" cm="1">
        <f t="array" ref="R99">_xll.PE.crs.GeodesicDistance($D$5,L94:M98)</f>
        <v>46517.121930830108</v>
      </c>
      <c r="S99" s="44" t="str">
        <f t="shared" si="40"/>
        <v>20.49523782,40.02595642</v>
      </c>
      <c r="T99" s="98" t="str">
        <f t="shared" si="41"/>
        <v>&lt;trkpt lon="20.49523782" lat="40.02595642"&gt;&lt;name&gt;S07&lt;/name&gt;&lt;/trkpt&gt;</v>
      </c>
    </row>
    <row r="100" spans="1:20" ht="15" thickBot="1" x14ac:dyDescent="0.4">
      <c r="A100" s="23"/>
      <c r="B100" s="105"/>
      <c r="C100" s="17"/>
      <c r="D100" s="31"/>
      <c r="E100" s="31"/>
      <c r="F100" s="42"/>
      <c r="G100" s="42"/>
      <c r="H100" s="115"/>
      <c r="I100" s="88"/>
      <c r="J100" s="42"/>
      <c r="K100" s="42"/>
      <c r="L100" s="42"/>
      <c r="M100" s="42"/>
      <c r="N100" s="42"/>
      <c r="O100" s="42"/>
      <c r="P100" s="25">
        <f>P95+P96</f>
        <v>38523.591838204782</v>
      </c>
      <c r="Q100" s="106" t="s">
        <v>12</v>
      </c>
      <c r="R100" s="91"/>
      <c r="S100" s="44" t="s">
        <v>21</v>
      </c>
      <c r="T100" s="98" t="str">
        <f>CONCATENATE("&lt;/trkseg&gt;&lt;/trk&gt;")</f>
        <v>&lt;/trkseg&gt;&lt;/trk&gt;</v>
      </c>
    </row>
    <row r="101" spans="1:20" ht="15" thickBot="1" x14ac:dyDescent="0.4">
      <c r="A101" s="23"/>
      <c r="B101" s="105"/>
      <c r="C101" s="19" t="s">
        <v>39</v>
      </c>
      <c r="D101" s="33"/>
      <c r="E101" s="33"/>
      <c r="F101" s="113" t="str">
        <f>C101</f>
        <v>D_015</v>
      </c>
      <c r="G101" s="113"/>
      <c r="H101" s="113"/>
      <c r="I101" s="113"/>
      <c r="J101" s="40"/>
      <c r="K101" s="40"/>
      <c r="L101" s="40"/>
      <c r="M101" s="40"/>
      <c r="N101" s="40"/>
      <c r="O101" s="40"/>
      <c r="P101" s="16"/>
      <c r="Q101" s="109"/>
      <c r="R101" s="92"/>
      <c r="S101" s="44" t="str">
        <f>CONCATENATE("&lt;Placemark&gt;&lt;name&gt;",A106,"&lt;/name&gt;&lt;styleUrl&gt;#track001&lt;/styleUrl&gt;&lt;MultiGeometry&gt;&lt;LineString&gt;&lt;coordinates&gt;")</f>
        <v>&lt;Placemark&gt;&lt;name&gt;D_015&lt;/name&gt;&lt;styleUrl&gt;#track001&lt;/styleUrl&gt;&lt;MultiGeometry&gt;&lt;LineString&gt;&lt;coordinates&gt;</v>
      </c>
      <c r="T101" s="98" t="str">
        <f>CONCATENATE("&lt;trk&gt;&lt;name&gt;",A106,"&lt;/name&gt;&lt;trkseg&gt;")</f>
        <v>&lt;trk&gt;&lt;name&gt;D_015&lt;/name&gt;&lt;trkseg&gt;</v>
      </c>
    </row>
    <row r="102" spans="1:20" ht="15" thickBot="1" x14ac:dyDescent="0.4">
      <c r="A102" s="23"/>
      <c r="B102" s="101">
        <v>1</v>
      </c>
      <c r="C102" s="41" t="s">
        <v>13</v>
      </c>
      <c r="D102" s="26">
        <f>D103-$D$7*SIN(RADIANS(Q103))</f>
        <v>4425586.4315139065</v>
      </c>
      <c r="E102" s="27">
        <f>E103-$D$7*COS(RADIANS(Q103))</f>
        <v>4468437.1458815532</v>
      </c>
      <c r="F102" s="132" cm="1">
        <f t="array" ref="F102:G102">_xll.PE.trf.FromEpsgNoToEpsgNo($D$4,$D$5,D102,E102)</f>
        <v>20.122614090696832</v>
      </c>
      <c r="G102" s="134">
        <v>40.345901906338121</v>
      </c>
      <c r="H102" s="152">
        <v>34</v>
      </c>
      <c r="I102" s="155" t="s">
        <v>107</v>
      </c>
      <c r="J102" s="159" t="str" cm="1">
        <f t="array" ref="J102">_xll.PE.deg.AsString(F102)</f>
        <v>20 07 21</v>
      </c>
      <c r="K102" s="133" t="str" cm="1">
        <f t="array" ref="K102">_xll.PE.deg.AsString(G102)</f>
        <v>40 20 45</v>
      </c>
      <c r="L102" s="132" cm="1">
        <f t="array" ref="L102">_xll.PE.deg.FromString(J102)</f>
        <v>20.122499999999999</v>
      </c>
      <c r="M102" s="134" cm="1">
        <f t="array" ref="M102">_xll.PE.deg.FromString(K102)</f>
        <v>40.345833333333339</v>
      </c>
      <c r="N102" s="83">
        <f t="shared" ref="N102:O107" si="42">F102-L102</f>
        <v>1.1409069683310236E-4</v>
      </c>
      <c r="O102" s="79">
        <f t="shared" si="42"/>
        <v>6.8573004782024327E-5</v>
      </c>
      <c r="P102" s="8">
        <f>SQRT((D103-D102)^2+(E103-E102)^2)</f>
        <v>3000.0000000004748</v>
      </c>
      <c r="Q102" s="108">
        <f>IF(DEGREES(ATAN2(E103-E102,D103-D102))&lt;0,DEGREES(ATAN2(E103-E102,D103-D102))+360,(DEGREES(ATAN2(E103-E102,D103-D102))))</f>
        <v>127.76682287780757</v>
      </c>
      <c r="R102" s="94"/>
      <c r="S102" s="44" t="str">
        <f t="shared" ref="S102:S107" si="43">CONCATENATE(TEXT(F102,"#.00000000"),",",TEXT(G102,"#.00000000"))</f>
        <v>20.12261409,40.34590191</v>
      </c>
      <c r="T102" s="98" t="str">
        <f t="shared" ref="T102:T107" si="44">CONCATENATE("&lt;trkpt lon=""",TEXT(F102,"#.00000000"),""" lat=""",TEXT(G102,"#.00000000"),"""","&gt;&lt;name&gt;S",TEXT(B102,"00"),"&lt;/name&gt;&lt;/trkpt&gt;")</f>
        <v>&lt;trkpt lon="20.12261409" lat="40.34590191"&gt;&lt;name&gt;S01&lt;/name&gt;&lt;/trkpt&gt;</v>
      </c>
    </row>
    <row r="103" spans="1:20" ht="15" thickBot="1" x14ac:dyDescent="0.4">
      <c r="A103" s="23"/>
      <c r="B103" s="102">
        <v>2</v>
      </c>
      <c r="C103" s="12" t="s">
        <v>5</v>
      </c>
      <c r="D103" s="37">
        <f>D104-$D$8*SIN(RADIANS(Q104))</f>
        <v>4427957.9608650897</v>
      </c>
      <c r="E103" s="38">
        <f>E104-$D$8*COS(RADIANS(Q104))</f>
        <v>4466599.7976466017</v>
      </c>
      <c r="F103" s="135" cm="1">
        <f t="array" ref="F103:G103">_xll.PE.trf.FromEpsgNoToEpsgNo($D$4,$D$5,D103,E103)</f>
        <v>20.150731246325268</v>
      </c>
      <c r="G103" s="137">
        <v>40.329565676373818</v>
      </c>
      <c r="H103" s="154">
        <v>18</v>
      </c>
      <c r="I103" s="155" t="s">
        <v>108</v>
      </c>
      <c r="J103" s="144" t="str" cm="1">
        <f t="array" ref="J103">_xll.PE.deg.AsString(F103)</f>
        <v>20 09 03</v>
      </c>
      <c r="K103" s="136" t="str" cm="1">
        <f t="array" ref="K103">_xll.PE.deg.AsString(G103)</f>
        <v>40 19 46</v>
      </c>
      <c r="L103" s="135" cm="1">
        <f t="array" ref="L103">_xll.PE.deg.FromString(J103)</f>
        <v>20.150833333333331</v>
      </c>
      <c r="M103" s="137" cm="1">
        <f t="array" ref="M103">_xll.PE.deg.FromString(K103)</f>
        <v>40.329444444444448</v>
      </c>
      <c r="N103" s="84">
        <f t="shared" si="42"/>
        <v>-1.0208700806302318E-4</v>
      </c>
      <c r="O103" s="80">
        <f t="shared" si="42"/>
        <v>1.2123192936996929E-4</v>
      </c>
      <c r="P103" s="39">
        <f>SQRT((D104-D103)^2+(E104-E103)^2)</f>
        <v>3999.9999999999527</v>
      </c>
      <c r="Q103" s="89">
        <f>IF(DEGREES(ATAN2(E104-E103,D104-D103))&lt;0,DEGREES(ATAN2(E104-E103,D104-D103))+360,(DEGREES(ATAN2(E104-E103,D104-D103))))</f>
        <v>127.7668228778095</v>
      </c>
      <c r="R103" s="21">
        <v>2462</v>
      </c>
      <c r="S103" s="44" t="str">
        <f t="shared" si="43"/>
        <v>20.15073125,40.32956568</v>
      </c>
      <c r="T103" s="98" t="str">
        <f t="shared" si="44"/>
        <v>&lt;trkpt lon="20.15073125" lat="40.32956568"&gt;&lt;name&gt;S02&lt;/name&gt;&lt;/trkpt&gt;</v>
      </c>
    </row>
    <row r="104" spans="1:20" ht="15" thickBot="1" x14ac:dyDescent="0.4">
      <c r="A104" s="23"/>
      <c r="B104" s="102">
        <v>3</v>
      </c>
      <c r="C104" s="12" t="s">
        <v>8</v>
      </c>
      <c r="D104" s="20">
        <v>4431120</v>
      </c>
      <c r="E104" s="7">
        <v>4464150</v>
      </c>
      <c r="F104" s="138" cm="1">
        <f t="array" ref="F104:G104">_xll.PE.trf.FromEpsgNoToEpsgNo($D$4,$D$5,D104,E104)</f>
        <v>20.188199773372965</v>
      </c>
      <c r="G104" s="140">
        <v>40.307773124662731</v>
      </c>
      <c r="H104" s="156">
        <v>936</v>
      </c>
      <c r="I104" s="155" t="s">
        <v>109</v>
      </c>
      <c r="J104" s="160" t="str" cm="1">
        <f t="array" ref="J104">_xll.PE.deg.AsString(F104)</f>
        <v>20 11 18</v>
      </c>
      <c r="K104" s="139" t="str" cm="1">
        <f t="array" ref="K104">_xll.PE.deg.AsString(G104)</f>
        <v>40 18 28</v>
      </c>
      <c r="L104" s="138" cm="1">
        <f t="array" ref="L104">_xll.PE.deg.FromString(J104)</f>
        <v>20.188333333333333</v>
      </c>
      <c r="M104" s="140" cm="1">
        <f t="array" ref="M104">_xll.PE.deg.FromString(K104)</f>
        <v>40.307777777777773</v>
      </c>
      <c r="N104" s="85">
        <f t="shared" si="42"/>
        <v>-1.3355996036779061E-4</v>
      </c>
      <c r="O104" s="81">
        <f t="shared" si="42"/>
        <v>-4.6531150417195022E-6</v>
      </c>
      <c r="P104" s="10">
        <f>SQRT((D105-D104)^2+(E105-E104)^2)</f>
        <v>30663.757108351874</v>
      </c>
      <c r="Q104" s="93">
        <f>IF(DEGREES(ATAN2(E105-E104,D105-D104))&lt;0,DEGREES(ATAN2(E105-E104,D105-D104))+360,(DEGREES(ATAN2(E105-E104,D105-D104))))</f>
        <v>127.76682287780538</v>
      </c>
      <c r="R104" s="90" cm="1">
        <f t="array" ref="R104">_xll.PE.crs.GeodesicDistance($D$4,D103:E106)</f>
        <v>38662.187481098088</v>
      </c>
      <c r="S104" s="44" t="str">
        <f t="shared" si="43"/>
        <v>20.18819977,40.30777312</v>
      </c>
      <c r="T104" s="98" t="str">
        <f t="shared" si="44"/>
        <v>&lt;trkpt lon="20.18819977" lat="40.30777312"&gt;&lt;name&gt;S03&lt;/name&gt;&lt;/trkpt&gt;</v>
      </c>
    </row>
    <row r="105" spans="1:20" ht="15" thickBot="1" x14ac:dyDescent="0.4">
      <c r="A105" s="23"/>
      <c r="B105" s="102">
        <v>4</v>
      </c>
      <c r="C105" s="12" t="s">
        <v>7</v>
      </c>
      <c r="D105" s="20">
        <v>4455360</v>
      </c>
      <c r="E105" s="7">
        <v>4445370</v>
      </c>
      <c r="F105" s="138" cm="1">
        <f t="array" ref="F105:G105">_xll.PE.trf.FromEpsgNoToEpsgNo($D$4,$D$5,D105,E105)</f>
        <v>20.474635225434131</v>
      </c>
      <c r="G105" s="140">
        <v>40.140301411599609</v>
      </c>
      <c r="H105" s="156">
        <v>665</v>
      </c>
      <c r="I105" s="155" t="s">
        <v>110</v>
      </c>
      <c r="J105" s="160" t="str" cm="1">
        <f t="array" ref="J105">_xll.PE.deg.AsString(F105)</f>
        <v>20 28 29</v>
      </c>
      <c r="K105" s="139" t="str" cm="1">
        <f t="array" ref="K105">_xll.PE.deg.AsString(G105)</f>
        <v>40 08 25</v>
      </c>
      <c r="L105" s="138" cm="1">
        <f t="array" ref="L105">_xll.PE.deg.FromString(J105)</f>
        <v>20.474722222222219</v>
      </c>
      <c r="M105" s="140" cm="1">
        <f t="array" ref="M105">_xll.PE.deg.FromString(K105)</f>
        <v>40.140277777777776</v>
      </c>
      <c r="N105" s="85">
        <f t="shared" si="42"/>
        <v>-8.6996788088100629E-5</v>
      </c>
      <c r="O105" s="81">
        <f t="shared" si="42"/>
        <v>2.3633821832902413E-5</v>
      </c>
      <c r="P105" s="39">
        <f>SQRT((D106-D105)^2+(E106-E105)^2)</f>
        <v>3999.9999999999527</v>
      </c>
      <c r="Q105" s="89">
        <f>IF(DEGREES(ATAN2(E106-E105,D106-D105))&lt;0,DEGREES(ATAN2(E106-E105,D106-D105))+360,(DEGREES(ATAN2(E106-E105,D106-D105))))</f>
        <v>127.7668228778095</v>
      </c>
      <c r="R105" s="89"/>
      <c r="S105" s="44" t="str">
        <f t="shared" si="43"/>
        <v>20.47463523,40.14030141</v>
      </c>
      <c r="T105" s="98" t="str">
        <f t="shared" si="44"/>
        <v>&lt;trkpt lon="20.47463523" lat="40.14030141"&gt;&lt;name&gt;S04&lt;/name&gt;&lt;/trkpt&gt;</v>
      </c>
    </row>
    <row r="106" spans="1:20" ht="15" thickBot="1" x14ac:dyDescent="0.4">
      <c r="A106" s="23" t="str">
        <f>C101</f>
        <v>D_015</v>
      </c>
      <c r="B106" s="102">
        <v>5</v>
      </c>
      <c r="C106" s="12" t="s">
        <v>5</v>
      </c>
      <c r="D106" s="37">
        <f>D105+$D$8*SIN(RADIANS(Q104))</f>
        <v>4458522.0391349103</v>
      </c>
      <c r="E106" s="38">
        <f>E105+$D$8*COS(RADIANS(Q104))</f>
        <v>4442920.2023533983</v>
      </c>
      <c r="F106" s="138" cm="1">
        <f t="array" ref="F106:G106">_xll.PE.trf.FromEpsgNoToEpsgNo($D$4,$D$5,D106,E106)</f>
        <v>20.511896311461349</v>
      </c>
      <c r="G106" s="140">
        <v>40.118401931638644</v>
      </c>
      <c r="H106" s="154">
        <v>806</v>
      </c>
      <c r="I106" s="155" t="s">
        <v>111</v>
      </c>
      <c r="J106" s="144" t="str" cm="1">
        <f t="array" ref="J106">_xll.PE.deg.AsString(F106)</f>
        <v>20 30 43</v>
      </c>
      <c r="K106" s="136" t="str" cm="1">
        <f t="array" ref="K106">_xll.PE.deg.AsString(G106)</f>
        <v>40 07 06</v>
      </c>
      <c r="L106" s="135" cm="1">
        <f t="array" ref="L106">_xll.PE.deg.FromString(J106)</f>
        <v>20.511944444444445</v>
      </c>
      <c r="M106" s="137" cm="1">
        <f t="array" ref="M106">_xll.PE.deg.FromString(K106)</f>
        <v>40.118333333333332</v>
      </c>
      <c r="N106" s="84">
        <f t="shared" si="42"/>
        <v>-4.813298309613856E-5</v>
      </c>
      <c r="O106" s="80">
        <f t="shared" si="42"/>
        <v>6.859830531169564E-5</v>
      </c>
      <c r="P106" s="9">
        <f>SQRT((D107-D106)^2+(E107-E106)^2)</f>
        <v>3000.0000000004748</v>
      </c>
      <c r="Q106" s="110">
        <f>IF(DEGREES(ATAN2(E107-E106,D107-D106))&lt;0,DEGREES(ATAN2(E107-E106,D107-D106))+360,(DEGREES(ATAN2(E107-E106,D107-D106))))</f>
        <v>127.76682287780757</v>
      </c>
      <c r="R106" s="5">
        <v>4326</v>
      </c>
      <c r="S106" s="44" t="str">
        <f t="shared" si="43"/>
        <v>20.51189631,40.11840193</v>
      </c>
      <c r="T106" s="98" t="str">
        <f t="shared" si="44"/>
        <v>&lt;trkpt lon="20.51189631" lat="40.11840193"&gt;&lt;name&gt;S05&lt;/name&gt;&lt;/trkpt&gt;</v>
      </c>
    </row>
    <row r="107" spans="1:20" ht="15" thickBot="1" x14ac:dyDescent="0.4">
      <c r="A107" s="23"/>
      <c r="B107" s="103">
        <v>6</v>
      </c>
      <c r="C107" s="13" t="s">
        <v>13</v>
      </c>
      <c r="D107" s="29">
        <f>D106+$D$7*SIN(RADIANS(Q105))</f>
        <v>4460893.5684860935</v>
      </c>
      <c r="E107" s="30">
        <f>E106+$D$7*COS(RADIANS(Q105))</f>
        <v>4441082.8541184468</v>
      </c>
      <c r="F107" s="135" cm="1">
        <f t="array" ref="F107:G107">_xll.PE.trf.FromEpsgNoToEpsgNo($D$4,$D$5,D107,E107)</f>
        <v>20.53982646884727</v>
      </c>
      <c r="G107" s="137">
        <v>40.101969310522684</v>
      </c>
      <c r="H107" s="157">
        <v>8</v>
      </c>
      <c r="I107" s="155" t="s">
        <v>112</v>
      </c>
      <c r="J107" s="149" t="str" cm="1">
        <f t="array" ref="J107">_xll.PE.deg.AsString(F107)</f>
        <v>20 32 23</v>
      </c>
      <c r="K107" s="142" t="str" cm="1">
        <f t="array" ref="K107">_xll.PE.deg.AsString(G107)</f>
        <v>40 06 07</v>
      </c>
      <c r="L107" s="141" cm="1">
        <f t="array" ref="L107">_xll.PE.deg.FromString(J107)</f>
        <v>20.539722222222224</v>
      </c>
      <c r="M107" s="143" cm="1">
        <f t="array" ref="M107">_xll.PE.deg.FromString(K107)</f>
        <v>40.101944444444449</v>
      </c>
      <c r="N107" s="86">
        <f t="shared" si="42"/>
        <v>1.0424662504604498E-4</v>
      </c>
      <c r="O107" s="82">
        <f t="shared" si="42"/>
        <v>2.4866078234708766E-5</v>
      </c>
      <c r="P107" s="14">
        <f>SUM(P103:P105)</f>
        <v>38663.757108351783</v>
      </c>
      <c r="Q107" s="35" t="s">
        <v>11</v>
      </c>
      <c r="R107" s="87" cm="1">
        <f t="array" ref="R107">_xll.PE.crs.GeodesicDistance($D$5,L103:M106)</f>
        <v>38654.733582932749</v>
      </c>
      <c r="S107" s="44" t="str">
        <f t="shared" si="43"/>
        <v>20.53982647,40.10196931</v>
      </c>
      <c r="T107" s="98" t="str">
        <f t="shared" si="44"/>
        <v>&lt;trkpt lon="20.53982647" lat="40.10196931"&gt;&lt;name&gt;S06&lt;/name&gt;&lt;/trkpt&gt;</v>
      </c>
    </row>
    <row r="108" spans="1:20" ht="15" thickBot="1" x14ac:dyDescent="0.4">
      <c r="A108" s="23"/>
      <c r="B108" s="105"/>
      <c r="C108" s="17"/>
      <c r="D108" s="31"/>
      <c r="E108" s="31"/>
      <c r="F108" s="141"/>
      <c r="G108" s="143"/>
      <c r="H108" s="116"/>
      <c r="I108" s="88"/>
      <c r="J108" s="31"/>
      <c r="K108" s="31"/>
      <c r="L108" s="31"/>
      <c r="M108" s="31"/>
      <c r="N108" s="31"/>
      <c r="O108" s="31"/>
      <c r="P108" s="25">
        <f>P104</f>
        <v>30663.757108351874</v>
      </c>
      <c r="Q108" s="106" t="s">
        <v>12</v>
      </c>
      <c r="R108" s="91"/>
      <c r="S108" s="44" t="s">
        <v>21</v>
      </c>
      <c r="T108" s="98" t="str">
        <f>CONCATENATE("&lt;/trkseg&gt;&lt;/trk&gt;")</f>
        <v>&lt;/trkseg&gt;&lt;/trk&gt;</v>
      </c>
    </row>
    <row r="109" spans="1:20" ht="15" thickBot="1" x14ac:dyDescent="0.4">
      <c r="A109" s="23"/>
      <c r="B109" s="105"/>
      <c r="C109" s="19" t="s">
        <v>40</v>
      </c>
      <c r="D109" s="33"/>
      <c r="E109" s="33"/>
      <c r="F109" s="113" t="str">
        <f>C109</f>
        <v>D_016</v>
      </c>
      <c r="G109" s="113"/>
      <c r="H109" s="113"/>
      <c r="I109" s="113"/>
      <c r="J109" s="40"/>
      <c r="K109" s="40"/>
      <c r="L109" s="40"/>
      <c r="M109" s="40"/>
      <c r="N109" s="40"/>
      <c r="O109" s="40"/>
      <c r="P109" s="16"/>
      <c r="Q109" s="109"/>
      <c r="R109" s="92"/>
      <c r="S109" s="44" t="str">
        <f>CONCATENATE("&lt;Placemark&gt;&lt;name&gt;",A114,"&lt;/name&gt;&lt;styleUrl&gt;#track001&lt;/styleUrl&gt;&lt;MultiGeometry&gt;&lt;LineString&gt;&lt;coordinates&gt;")</f>
        <v>&lt;Placemark&gt;&lt;name&gt;D_016&lt;/name&gt;&lt;styleUrl&gt;#track001&lt;/styleUrl&gt;&lt;MultiGeometry&gt;&lt;LineString&gt;&lt;coordinates&gt;</v>
      </c>
      <c r="T109" s="98" t="str">
        <f>CONCATENATE("&lt;trk&gt;&lt;name&gt;",A114,"&lt;/name&gt;&lt;trkseg&gt;")</f>
        <v>&lt;trk&gt;&lt;name&gt;D_016&lt;/name&gt;&lt;trkseg&gt;</v>
      </c>
    </row>
    <row r="110" spans="1:20" ht="15" thickBot="1" x14ac:dyDescent="0.4">
      <c r="A110" s="23"/>
      <c r="B110" s="101">
        <v>1</v>
      </c>
      <c r="C110" s="41" t="s">
        <v>13</v>
      </c>
      <c r="D110" s="26">
        <f>D111-$D$7*SIN(RADIANS(Q111))</f>
        <v>4413360.1537933266</v>
      </c>
      <c r="E110" s="27">
        <f>E111-$D$7*COS(RADIANS(Q111))</f>
        <v>4456901.3573793834</v>
      </c>
      <c r="F110" s="132" cm="1">
        <f t="array" ref="F110:G110">_xll.PE.trf.FromEpsgNoToEpsgNo($D$4,$D$5,D110,E110)</f>
        <v>19.980295097411723</v>
      </c>
      <c r="G110" s="134">
        <v>40.240849828416813</v>
      </c>
      <c r="H110" s="152">
        <v>364</v>
      </c>
      <c r="I110" s="155" t="s">
        <v>113</v>
      </c>
      <c r="J110" s="159" t="str" cm="1">
        <f t="array" ref="J110">_xll.PE.deg.AsString(F110)</f>
        <v>19 58 49</v>
      </c>
      <c r="K110" s="133" t="str" cm="1">
        <f t="array" ref="K110">_xll.PE.deg.AsString(G110)</f>
        <v>40 14 27</v>
      </c>
      <c r="L110" s="132" cm="1">
        <f t="array" ref="L110">_xll.PE.deg.FromString(J110)</f>
        <v>19.980277777777776</v>
      </c>
      <c r="M110" s="134" cm="1">
        <f t="array" ref="M110">_xll.PE.deg.FromString(K110)</f>
        <v>40.240833333333335</v>
      </c>
      <c r="N110" s="83">
        <f t="shared" ref="N110:O115" si="45">F110-L110</f>
        <v>1.7319633947465718E-5</v>
      </c>
      <c r="O110" s="79">
        <f t="shared" si="45"/>
        <v>1.6495083478673678E-5</v>
      </c>
      <c r="P110" s="8">
        <f>SQRT((D111-D110)^2+(E111-E110)^2)</f>
        <v>2999.9999999998699</v>
      </c>
      <c r="Q110" s="108">
        <f>IF(DEGREES(ATAN2(E111-E110,D111-D110))&lt;0,DEGREES(ATAN2(E111-E110,D111-D110))+360,(DEGREES(ATAN2(E111-E110,D111-D110))))</f>
        <v>138.48354071791988</v>
      </c>
      <c r="R110" s="89"/>
      <c r="S110" s="44" t="str">
        <f t="shared" ref="S110:S115" si="46">CONCATENATE(TEXT(F110,"#.00000000"),",",TEXT(G110,"#.00000000"))</f>
        <v>19.98029510,40.24084983</v>
      </c>
      <c r="T110" s="98" t="str">
        <f t="shared" ref="T110:T115" si="47">CONCATENATE("&lt;trkpt lon=""",TEXT(F110,"#.00000000"),""" lat=""",TEXT(G110,"#.00000000"),"""","&gt;&lt;name&gt;S",TEXT(B110,"00"),"&lt;/name&gt;&lt;/trkpt&gt;")</f>
        <v>&lt;trkpt lon="19.98029510" lat="40.24084983"&gt;&lt;name&gt;S01&lt;/name&gt;&lt;/trkpt&gt;</v>
      </c>
    </row>
    <row r="111" spans="1:20" ht="15" thickBot="1" x14ac:dyDescent="0.4">
      <c r="A111" s="23"/>
      <c r="B111" s="102">
        <v>2</v>
      </c>
      <c r="C111" s="12" t="s">
        <v>5</v>
      </c>
      <c r="D111" s="37">
        <f>D112-$D$8*SIN(RADIANS(Q112))</f>
        <v>4415348.6593104722</v>
      </c>
      <c r="E111" s="38">
        <f>E112-$D$8*COS(RADIANS(Q112))</f>
        <v>4454655.0613596477</v>
      </c>
      <c r="F111" s="135" cm="1">
        <f t="array" ref="F111:G111">_xll.PE.trf.FromEpsgNoToEpsgNo($D$4,$D$5,D111,E111)</f>
        <v>20.003956316830397</v>
      </c>
      <c r="G111" s="137">
        <v>40.220826808208159</v>
      </c>
      <c r="H111" s="154">
        <v>990</v>
      </c>
      <c r="I111" s="155" t="s">
        <v>114</v>
      </c>
      <c r="J111" s="144" t="str" cm="1">
        <f t="array" ref="J111">_xll.PE.deg.AsString(F111)</f>
        <v>20 00 14</v>
      </c>
      <c r="K111" s="136" t="str" cm="1">
        <f t="array" ref="K111">_xll.PE.deg.AsString(G111)</f>
        <v>40 13 15</v>
      </c>
      <c r="L111" s="135" cm="1">
        <f t="array" ref="L111">_xll.PE.deg.FromString(J111)</f>
        <v>20.003888888888888</v>
      </c>
      <c r="M111" s="137" cm="1">
        <f t="array" ref="M111">_xll.PE.deg.FromString(K111)</f>
        <v>40.220833333333339</v>
      </c>
      <c r="N111" s="84">
        <f t="shared" si="45"/>
        <v>6.7427941509379252E-5</v>
      </c>
      <c r="O111" s="80">
        <f t="shared" si="45"/>
        <v>-6.5251251797349141E-6</v>
      </c>
      <c r="P111" s="39">
        <f>SQRT((D112-D111)^2+(E112-E111)^2)</f>
        <v>4000.0000000000323</v>
      </c>
      <c r="Q111" s="89">
        <f>IF(DEGREES(ATAN2(E112-E111,D112-D111))&lt;0,DEGREES(ATAN2(E112-E111,D112-D111))+360,(DEGREES(ATAN2(E112-E111,D112-D111))))</f>
        <v>138.48354071791653</v>
      </c>
      <c r="R111" s="21">
        <v>2462</v>
      </c>
      <c r="S111" s="44" t="str">
        <f t="shared" si="46"/>
        <v>20.00395632,40.22082681</v>
      </c>
      <c r="T111" s="98" t="str">
        <f t="shared" si="47"/>
        <v>&lt;trkpt lon="20.00395632" lat="40.22082681"&gt;&lt;name&gt;S02&lt;/name&gt;&lt;/trkpt&gt;</v>
      </c>
    </row>
    <row r="112" spans="1:20" ht="15" thickBot="1" x14ac:dyDescent="0.4">
      <c r="A112" s="23"/>
      <c r="B112" s="102">
        <v>3</v>
      </c>
      <c r="C112" s="12" t="s">
        <v>8</v>
      </c>
      <c r="D112" s="20">
        <v>4418000</v>
      </c>
      <c r="E112" s="7">
        <v>4451660</v>
      </c>
      <c r="F112" s="138" cm="1">
        <f t="array" ref="F112:G112">_xll.PE.trf.FromEpsgNoToEpsgNo($D$4,$D$5,D112,E112)</f>
        <v>20.035482907483946</v>
      </c>
      <c r="G112" s="140">
        <v>40.194121561226794</v>
      </c>
      <c r="H112" s="156">
        <v>916</v>
      </c>
      <c r="I112" s="155" t="s">
        <v>115</v>
      </c>
      <c r="J112" s="160" t="str" cm="1">
        <f t="array" ref="J112">_xll.PE.deg.AsString(F112)</f>
        <v>20 02 08</v>
      </c>
      <c r="K112" s="139" t="str" cm="1">
        <f t="array" ref="K112">_xll.PE.deg.AsString(G112)</f>
        <v>40 11 39</v>
      </c>
      <c r="L112" s="138" cm="1">
        <f t="array" ref="L112">_xll.PE.deg.FromString(J112)</f>
        <v>20.035555555555558</v>
      </c>
      <c r="M112" s="140" cm="1">
        <f t="array" ref="M112">_xll.PE.deg.FromString(K112)</f>
        <v>40.194166666666661</v>
      </c>
      <c r="N112" s="85">
        <f t="shared" si="45"/>
        <v>-7.2648071611780551E-5</v>
      </c>
      <c r="O112" s="81">
        <f t="shared" si="45"/>
        <v>-4.5105439866688357E-5</v>
      </c>
      <c r="P112" s="10">
        <f>SQRT((D113-D112)^2+(E113-E112)^2)</f>
        <v>28732.63338087896</v>
      </c>
      <c r="Q112" s="93">
        <f>IF(DEGREES(ATAN2(E113-E112,D113-D112))&lt;0,DEGREES(ATAN2(E113-E112,D113-D112))+360,(DEGREES(ATAN2(E113-E112,D113-D112))))</f>
        <v>138.48354071792221</v>
      </c>
      <c r="R112" s="90" cm="1">
        <f t="array" ref="R112">_xll.PE.crs.GeodesicDistance($D$4,D111:E114)</f>
        <v>36730.236939526818</v>
      </c>
      <c r="S112" s="44" t="str">
        <f t="shared" si="46"/>
        <v>20.03548291,40.19412156</v>
      </c>
      <c r="T112" s="98" t="str">
        <f t="shared" si="47"/>
        <v>&lt;trkpt lon="20.03548291" lat="40.19412156"&gt;&lt;name&gt;S03&lt;/name&gt;&lt;/trkpt&gt;</v>
      </c>
    </row>
    <row r="113" spans="1:20" ht="15" thickBot="1" x14ac:dyDescent="0.4">
      <c r="A113" s="23"/>
      <c r="B113" s="102">
        <v>4</v>
      </c>
      <c r="C113" s="12" t="s">
        <v>7</v>
      </c>
      <c r="D113" s="20">
        <v>4437045</v>
      </c>
      <c r="E113" s="7">
        <v>4430146</v>
      </c>
      <c r="F113" s="138" cm="1">
        <f t="array" ref="F113:G113">_xll.PE.trf.FromEpsgNoToEpsgNo($D$4,$D$5,D113,E113)</f>
        <v>20.261217584877354</v>
      </c>
      <c r="G113" s="140">
        <v>40.002030742739421</v>
      </c>
      <c r="H113" s="156">
        <v>221</v>
      </c>
      <c r="I113" s="155" t="s">
        <v>116</v>
      </c>
      <c r="J113" s="160" t="str" cm="1">
        <f t="array" ref="J113">_xll.PE.deg.AsString(F113)</f>
        <v>20 15 40</v>
      </c>
      <c r="K113" s="139" t="str" cm="1">
        <f t="array" ref="K113">_xll.PE.deg.AsString(G113)</f>
        <v>40 00 07</v>
      </c>
      <c r="L113" s="138" cm="1">
        <f t="array" ref="L113">_xll.PE.deg.FromString(J113)</f>
        <v>20.261111111111113</v>
      </c>
      <c r="M113" s="140" cm="1">
        <f t="array" ref="M113">_xll.PE.deg.FromString(K113)</f>
        <v>40.001944444444447</v>
      </c>
      <c r="N113" s="85">
        <f t="shared" si="45"/>
        <v>1.0647376624106641E-4</v>
      </c>
      <c r="O113" s="81">
        <f t="shared" si="45"/>
        <v>8.6298294974085366E-5</v>
      </c>
      <c r="P113" s="39">
        <f>SQRT((D114-D113)^2+(E114-E113)^2)</f>
        <v>4000.0000000000323</v>
      </c>
      <c r="Q113" s="89">
        <f>IF(DEGREES(ATAN2(E114-E113,D114-D113))&lt;0,DEGREES(ATAN2(E114-E113,D114-D113))+360,(DEGREES(ATAN2(E114-E113,D114-D113))))</f>
        <v>138.48354071791653</v>
      </c>
      <c r="R113" s="89"/>
      <c r="S113" s="44" t="str">
        <f t="shared" si="46"/>
        <v>20.26121758,40.00203074</v>
      </c>
      <c r="T113" s="98" t="str">
        <f t="shared" si="47"/>
        <v>&lt;trkpt lon="20.26121758" lat="40.00203074"&gt;&lt;name&gt;S04&lt;/name&gt;&lt;/trkpt&gt;</v>
      </c>
    </row>
    <row r="114" spans="1:20" ht="15" thickBot="1" x14ac:dyDescent="0.4">
      <c r="A114" s="23" t="str">
        <f>C109</f>
        <v>D_016</v>
      </c>
      <c r="B114" s="102">
        <v>5</v>
      </c>
      <c r="C114" s="12" t="s">
        <v>5</v>
      </c>
      <c r="D114" s="37">
        <f>D113+$D$8*SIN(RADIANS(Q112))</f>
        <v>4439696.3406895278</v>
      </c>
      <c r="E114" s="38">
        <f>E113+$D$8*COS(RADIANS(Q112))</f>
        <v>4427150.9386403523</v>
      </c>
      <c r="F114" s="135" cm="1">
        <f t="array" ref="F114:G114">_xll.PE.trf.FromEpsgNoToEpsgNo($D$4,$D$5,D114,E114)</f>
        <v>20.292542535155217</v>
      </c>
      <c r="G114" s="137">
        <v>39.975252625030251</v>
      </c>
      <c r="H114" s="154">
        <v>570</v>
      </c>
      <c r="I114" s="155" t="s">
        <v>117</v>
      </c>
      <c r="J114" s="144" t="str" cm="1">
        <f t="array" ref="J114">_xll.PE.deg.AsString(F114)</f>
        <v>20 17 33</v>
      </c>
      <c r="K114" s="136" t="str" cm="1">
        <f t="array" ref="K114">_xll.PE.deg.AsString(G114)</f>
        <v>39 58 31</v>
      </c>
      <c r="L114" s="135" cm="1">
        <f t="array" ref="L114">_xll.PE.deg.FromString(J114)</f>
        <v>20.2925</v>
      </c>
      <c r="M114" s="137" cm="1">
        <f t="array" ref="M114">_xll.PE.deg.FromString(K114)</f>
        <v>39.975277777777777</v>
      </c>
      <c r="N114" s="84">
        <f t="shared" si="45"/>
        <v>4.2535155216683052E-5</v>
      </c>
      <c r="O114" s="80">
        <f t="shared" si="45"/>
        <v>-2.5152747525680752E-5</v>
      </c>
      <c r="P114" s="9">
        <f>SQRT((D115-D114)^2+(E115-E114)^2)</f>
        <v>2999.9999999998699</v>
      </c>
      <c r="Q114" s="110">
        <f>IF(DEGREES(ATAN2(E115-E114,D115-D114))&lt;0,DEGREES(ATAN2(E115-E114,D115-D114))+360,(DEGREES(ATAN2(E115-E114,D115-D114))))</f>
        <v>138.48354071791988</v>
      </c>
      <c r="R114" s="5">
        <v>4326</v>
      </c>
      <c r="S114" s="44" t="str">
        <f t="shared" si="46"/>
        <v>20.29254254,39.97525263</v>
      </c>
      <c r="T114" s="98" t="str">
        <f t="shared" si="47"/>
        <v>&lt;trkpt lon="20.29254254" lat="39.97525263"&gt;&lt;name&gt;S05&lt;/name&gt;&lt;/trkpt&gt;</v>
      </c>
    </row>
    <row r="115" spans="1:20" ht="15" thickBot="1" x14ac:dyDescent="0.4">
      <c r="A115" s="23"/>
      <c r="B115" s="103">
        <v>6</v>
      </c>
      <c r="C115" s="13" t="s">
        <v>13</v>
      </c>
      <c r="D115" s="29">
        <f>D114+$D$7*SIN(RADIANS(Q113))</f>
        <v>4441684.8462066734</v>
      </c>
      <c r="E115" s="30">
        <f>E114+$D$7*COS(RADIANS(Q113))</f>
        <v>4424904.6426206166</v>
      </c>
      <c r="F115" s="141" cm="1">
        <f t="array" ref="F115:G115">_xll.PE.trf.FromEpsgNoToEpsgNo($D$4,$D$5,D115,E115)</f>
        <v>20.316020182948577</v>
      </c>
      <c r="G115" s="143">
        <v>39.955163263756695</v>
      </c>
      <c r="H115" s="157">
        <v>398</v>
      </c>
      <c r="I115" s="155" t="s">
        <v>118</v>
      </c>
      <c r="J115" s="149" t="str" cm="1">
        <f t="array" ref="J115">_xll.PE.deg.AsString(F115)</f>
        <v>20 18 58</v>
      </c>
      <c r="K115" s="142" t="str" cm="1">
        <f t="array" ref="K115">_xll.PE.deg.AsString(G115)</f>
        <v>39 57 19</v>
      </c>
      <c r="L115" s="141" cm="1">
        <f t="array" ref="L115">_xll.PE.deg.FromString(J115)</f>
        <v>20.316111111111113</v>
      </c>
      <c r="M115" s="143" cm="1">
        <f t="array" ref="M115">_xll.PE.deg.FromString(K115)</f>
        <v>39.955277777777781</v>
      </c>
      <c r="N115" s="86">
        <f t="shared" si="45"/>
        <v>-9.0928162535419688E-5</v>
      </c>
      <c r="O115" s="82">
        <f t="shared" si="45"/>
        <v>-1.1451402108519915E-4</v>
      </c>
      <c r="P115" s="14">
        <f>SUM(P111:P113)</f>
        <v>36732.633380879022</v>
      </c>
      <c r="Q115" s="35" t="s">
        <v>11</v>
      </c>
      <c r="R115" s="90" cm="1">
        <f t="array" ref="R115">_xll.PE.crs.GeodesicDistance($D$5,L111:M114)</f>
        <v>36729.862302124151</v>
      </c>
      <c r="S115" s="44" t="str">
        <f t="shared" si="46"/>
        <v>20.31602018,39.95516326</v>
      </c>
      <c r="T115" s="98" t="str">
        <f t="shared" si="47"/>
        <v>&lt;trkpt lon="20.31602018" lat="39.95516326"&gt;&lt;name&gt;S06&lt;/name&gt;&lt;/trkpt&gt;</v>
      </c>
    </row>
    <row r="116" spans="1:20" ht="15" thickBot="1" x14ac:dyDescent="0.4">
      <c r="A116" s="23"/>
      <c r="B116" s="105"/>
      <c r="C116" s="17"/>
      <c r="D116" s="31"/>
      <c r="E116" s="31"/>
      <c r="F116" s="42"/>
      <c r="G116" s="42"/>
      <c r="H116" s="115"/>
      <c r="I116" s="88"/>
      <c r="J116" s="42"/>
      <c r="K116" s="42"/>
      <c r="L116" s="42"/>
      <c r="M116" s="42"/>
      <c r="N116" s="42"/>
      <c r="O116" s="42"/>
      <c r="P116" s="25">
        <f>P112</f>
        <v>28732.63338087896</v>
      </c>
      <c r="Q116" s="106" t="s">
        <v>12</v>
      </c>
      <c r="R116" s="91"/>
      <c r="S116" s="44" t="s">
        <v>21</v>
      </c>
      <c r="T116" s="98" t="str">
        <f>CONCATENATE("&lt;/trkseg&gt;&lt;/trk&gt;")</f>
        <v>&lt;/trkseg&gt;&lt;/trk&gt;</v>
      </c>
    </row>
    <row r="117" spans="1:20" ht="15" thickBot="1" x14ac:dyDescent="0.4">
      <c r="A117" s="23"/>
      <c r="B117" s="105"/>
      <c r="C117" s="19" t="s">
        <v>41</v>
      </c>
      <c r="D117" s="33"/>
      <c r="E117" s="33"/>
      <c r="F117" s="113" t="str">
        <f>C117</f>
        <v>D_017</v>
      </c>
      <c r="G117" s="113"/>
      <c r="H117" s="113"/>
      <c r="I117" s="113"/>
      <c r="J117" s="40"/>
      <c r="K117" s="40"/>
      <c r="L117" s="40"/>
      <c r="M117" s="40"/>
      <c r="N117" s="40"/>
      <c r="O117" s="40"/>
      <c r="P117" s="16"/>
      <c r="Q117" s="109"/>
      <c r="R117" s="92"/>
      <c r="S117" s="44" t="str">
        <f>CONCATENATE("&lt;Placemark&gt;&lt;name&gt;",A122,"&lt;/name&gt;&lt;styleUrl&gt;#track001&lt;/styleUrl&gt;&lt;MultiGeometry&gt;&lt;LineString&gt;&lt;coordinates&gt;")</f>
        <v>&lt;Placemark&gt;&lt;name&gt;D_017&lt;/name&gt;&lt;styleUrl&gt;#track001&lt;/styleUrl&gt;&lt;MultiGeometry&gt;&lt;LineString&gt;&lt;coordinates&gt;</v>
      </c>
      <c r="T117" s="98" t="str">
        <f>CONCATENATE("&lt;trk&gt;&lt;name&gt;",A122,"&lt;/name&gt;&lt;trkseg&gt;")</f>
        <v>&lt;trk&gt;&lt;name&gt;D_017&lt;/name&gt;&lt;trkseg&gt;</v>
      </c>
    </row>
    <row r="118" spans="1:20" ht="15" thickBot="1" x14ac:dyDescent="0.4">
      <c r="A118" s="23"/>
      <c r="B118" s="101">
        <v>1</v>
      </c>
      <c r="C118" s="41" t="s">
        <v>13</v>
      </c>
      <c r="D118" s="26">
        <f>D119-$D$7*SIN(RADIANS(Q119))</f>
        <v>4428210.5100967251</v>
      </c>
      <c r="E118" s="27">
        <f>E119-$D$7*COS(RADIANS(Q119))</f>
        <v>4452852.3097855086</v>
      </c>
      <c r="F118" s="132" cm="1">
        <f t="array" ref="F118:G118">_xll.PE.trf.FromEpsgNoToEpsgNo($D$4,$D$5,D118,E118)</f>
        <v>20.155244386653319</v>
      </c>
      <c r="G118" s="134">
        <v>40.205795085677487</v>
      </c>
      <c r="H118" s="152">
        <v>790</v>
      </c>
      <c r="I118" s="155" t="s">
        <v>119</v>
      </c>
      <c r="J118" s="159" t="str" cm="1">
        <f t="array" ref="J118">_xll.PE.deg.AsString(F118)</f>
        <v>20 09 19</v>
      </c>
      <c r="K118" s="133" t="str" cm="1">
        <f t="array" ref="K118">_xll.PE.deg.AsString(G118)</f>
        <v>40 12 21</v>
      </c>
      <c r="L118" s="132" cm="1">
        <f t="array" ref="L118">_xll.PE.deg.FromString(J118)</f>
        <v>20.155277777777776</v>
      </c>
      <c r="M118" s="134" cm="1">
        <f t="array" ref="M118">_xll.PE.deg.FromString(K118)</f>
        <v>40.205833333333338</v>
      </c>
      <c r="N118" s="83">
        <f t="shared" ref="N118:O123" si="48">F118-L118</f>
        <v>-3.3391124457438082E-5</v>
      </c>
      <c r="O118" s="79">
        <f t="shared" si="48"/>
        <v>-3.824765585136447E-5</v>
      </c>
      <c r="P118" s="8">
        <f>SQRT((D119-D118)^2+(E119-E118)^2)</f>
        <v>3000.0000000000855</v>
      </c>
      <c r="Q118" s="108">
        <f>IF(DEGREES(ATAN2(E119-E118,D119-D118))&lt;0,DEGREES(ATAN2(E119-E118,D119-D118))+360,(DEGREES(ATAN2(E119-E118,D119-D118))))</f>
        <v>54.497692329086064</v>
      </c>
      <c r="R118" s="94"/>
      <c r="S118" s="44" t="str">
        <f t="shared" ref="S118:S123" si="49">CONCATENATE(TEXT(F118,"#.00000000"),",",TEXT(G118,"#.00000000"))</f>
        <v>20.15524439,40.20579509</v>
      </c>
      <c r="T118" s="98" t="str">
        <f t="shared" ref="T118:T123" si="50">CONCATENATE("&lt;trkpt lon=""",TEXT(F118,"#.00000000"),""" lat=""",TEXT(G118,"#.00000000"),"""","&gt;&lt;name&gt;S",TEXT(B118,"00"),"&lt;/name&gt;&lt;/trkpt&gt;")</f>
        <v>&lt;trkpt lon="20.15524439" lat="40.20579509"&gt;&lt;name&gt;S01&lt;/name&gt;&lt;/trkpt&gt;</v>
      </c>
    </row>
    <row r="119" spans="1:20" ht="15" thickBot="1" x14ac:dyDescent="0.4">
      <c r="A119" s="23"/>
      <c r="B119" s="102">
        <v>2</v>
      </c>
      <c r="C119" s="12" t="s">
        <v>5</v>
      </c>
      <c r="D119" s="37">
        <f>D120-$D$8*SIN(RADIANS(Q120))</f>
        <v>4430652.7864838429</v>
      </c>
      <c r="E119" s="38">
        <f>E120-$D$8*COS(RADIANS(Q120))</f>
        <v>4454594.5170202907</v>
      </c>
      <c r="F119" s="135" cm="1">
        <f t="array" ref="F119:G119">_xll.PE.trf.FromEpsgNoToEpsgNo($D$4,$D$5,D119,E119)</f>
        <v>20.183739389448178</v>
      </c>
      <c r="G119" s="137">
        <v>40.22168924313722</v>
      </c>
      <c r="H119" s="154">
        <v>618</v>
      </c>
      <c r="I119" s="155" t="s">
        <v>120</v>
      </c>
      <c r="J119" s="144" t="str" cm="1">
        <f t="array" ref="J119">_xll.PE.deg.AsString(F119)</f>
        <v>20 11 01</v>
      </c>
      <c r="K119" s="136" t="str" cm="1">
        <f t="array" ref="K119">_xll.PE.deg.AsString(G119)</f>
        <v>40 13 18</v>
      </c>
      <c r="L119" s="135" cm="1">
        <f t="array" ref="L119">_xll.PE.deg.FromString(J119)</f>
        <v>20.183611111111112</v>
      </c>
      <c r="M119" s="137" cm="1">
        <f t="array" ref="M119">_xll.PE.deg.FromString(K119)</f>
        <v>40.221666666666671</v>
      </c>
      <c r="N119" s="84">
        <f t="shared" si="48"/>
        <v>1.2827833706552383E-4</v>
      </c>
      <c r="O119" s="80">
        <f t="shared" si="48"/>
        <v>2.257647054904055E-5</v>
      </c>
      <c r="P119" s="39">
        <f>SQRT((D120-D119)^2+(E120-E119)^2)</f>
        <v>4000.0000000001864</v>
      </c>
      <c r="Q119" s="89">
        <f>IF(DEGREES(ATAN2(E120-E119,D120-D119))&lt;0,DEGREES(ATAN2(E120-E119,D120-D119))+360,(DEGREES(ATAN2(E120-E119,D120-D119))))</f>
        <v>54.49769232909226</v>
      </c>
      <c r="R119" s="21">
        <v>2462</v>
      </c>
      <c r="S119" s="44" t="str">
        <f t="shared" si="49"/>
        <v>20.18373939,40.22168924</v>
      </c>
      <c r="T119" s="98" t="str">
        <f t="shared" si="50"/>
        <v>&lt;trkpt lon="20.18373939" lat="40.22168924"&gt;&lt;name&gt;S02&lt;/name&gt;&lt;/trkpt&gt;</v>
      </c>
    </row>
    <row r="120" spans="1:20" ht="15" thickBot="1" x14ac:dyDescent="0.4">
      <c r="A120" s="23"/>
      <c r="B120" s="102">
        <v>3</v>
      </c>
      <c r="C120" s="12" t="s">
        <v>8</v>
      </c>
      <c r="D120" s="20">
        <v>4433909.1550000003</v>
      </c>
      <c r="E120" s="7">
        <v>4456917.46</v>
      </c>
      <c r="F120" s="138" cm="1">
        <f t="array" ref="F120:G120">_xll.PE.trf.FromEpsgNoToEpsgNo($D$4,$D$5,D120,E120)</f>
        <v>20.22175353346173</v>
      </c>
      <c r="G120" s="140">
        <v>40.2428706698594</v>
      </c>
      <c r="H120" s="156">
        <v>443</v>
      </c>
      <c r="I120" s="155" t="s">
        <v>121</v>
      </c>
      <c r="J120" s="160" t="str" cm="1">
        <f t="array" ref="J120">_xll.PE.deg.AsString(F120)</f>
        <v>20 13 18</v>
      </c>
      <c r="K120" s="139" t="str" cm="1">
        <f t="array" ref="K120">_xll.PE.deg.AsString(G120)</f>
        <v>40 14 34</v>
      </c>
      <c r="L120" s="138" cm="1">
        <f t="array" ref="L120">_xll.PE.deg.FromString(J120)</f>
        <v>20.221666666666664</v>
      </c>
      <c r="M120" s="140" cm="1">
        <f t="array" ref="M120">_xll.PE.deg.FromString(K120)</f>
        <v>40.242777777777782</v>
      </c>
      <c r="N120" s="85">
        <f t="shared" si="48"/>
        <v>8.6866795065532187E-5</v>
      </c>
      <c r="O120" s="81">
        <f t="shared" si="48"/>
        <v>9.2892081617890199E-5</v>
      </c>
      <c r="P120" s="10">
        <f>SQRT((D121-D120)^2+(E121-E120)^2)</f>
        <v>8440.4453192636811</v>
      </c>
      <c r="Q120" s="93">
        <f>IF(DEGREES(ATAN2(E121-E120,D121-D120))&lt;0,DEGREES(ATAN2(E121-E120,D121-D120))+360,(DEGREES(ATAN2(E121-E120,D121-D120))))</f>
        <v>54.497692329097134</v>
      </c>
      <c r="R120" s="90" cm="1">
        <f t="array" ref="R120">_xll.PE.crs.GeodesicDistance($D$4,D119:E122)</f>
        <v>16439.648223364071</v>
      </c>
      <c r="S120" s="44" t="str">
        <f t="shared" si="49"/>
        <v>20.22175353,40.24287067</v>
      </c>
      <c r="T120" s="98" t="str">
        <f t="shared" si="50"/>
        <v>&lt;trkpt lon="20.22175353" lat="40.24287067"&gt;&lt;name&gt;S03&lt;/name&gt;&lt;/trkpt&gt;</v>
      </c>
    </row>
    <row r="121" spans="1:20" ht="15" thickBot="1" x14ac:dyDescent="0.4">
      <c r="A121" s="23"/>
      <c r="B121" s="102">
        <v>4</v>
      </c>
      <c r="C121" s="12" t="s">
        <v>7</v>
      </c>
      <c r="D121" s="20">
        <v>4440780.4550999999</v>
      </c>
      <c r="E121" s="7">
        <v>4461819.1283</v>
      </c>
      <c r="F121" s="138" cm="1">
        <f t="array" ref="F121:G121">_xll.PE.trf.FromEpsgNoToEpsgNo($D$4,$D$5,D121,E121)</f>
        <v>20.302045697642804</v>
      </c>
      <c r="G121" s="140">
        <v>40.287525281732698</v>
      </c>
      <c r="H121" s="156">
        <v>539</v>
      </c>
      <c r="I121" s="155" t="s">
        <v>122</v>
      </c>
      <c r="J121" s="160" t="str" cm="1">
        <f t="array" ref="J121">_xll.PE.deg.AsString(F121)</f>
        <v>20 18 07</v>
      </c>
      <c r="K121" s="139" t="str" cm="1">
        <f t="array" ref="K121">_xll.PE.deg.AsString(G121)</f>
        <v>40 17 15</v>
      </c>
      <c r="L121" s="138" cm="1">
        <f t="array" ref="L121">_xll.PE.deg.FromString(J121)</f>
        <v>20.301944444444445</v>
      </c>
      <c r="M121" s="140" cm="1">
        <f t="array" ref="M121">_xll.PE.deg.FromString(K121)</f>
        <v>40.287500000000001</v>
      </c>
      <c r="N121" s="85">
        <f t="shared" si="48"/>
        <v>1.0125319835907476E-4</v>
      </c>
      <c r="O121" s="81">
        <f t="shared" si="48"/>
        <v>2.5281732696669224E-5</v>
      </c>
      <c r="P121" s="39">
        <f>SQRT((D122-D121)^2+(E122-E121)^2)</f>
        <v>4000.0000000001864</v>
      </c>
      <c r="Q121" s="89">
        <f>IF(DEGREES(ATAN2(E122-E121,D122-D121))&lt;0,DEGREES(ATAN2(E122-E121,D122-D121))+360,(DEGREES(ATAN2(E122-E121,D122-D121))))</f>
        <v>54.49769232909226</v>
      </c>
      <c r="R121" s="89"/>
      <c r="S121" s="44" t="str">
        <f t="shared" si="49"/>
        <v>20.30204570,40.28752528</v>
      </c>
      <c r="T121" s="98" t="str">
        <f t="shared" si="50"/>
        <v>&lt;trkpt lon="20.30204570" lat="40.28752528"&gt;&lt;name&gt;S04&lt;/name&gt;&lt;/trkpt&gt;</v>
      </c>
    </row>
    <row r="122" spans="1:20" ht="15" thickBot="1" x14ac:dyDescent="0.4">
      <c r="A122" s="23" t="str">
        <f>C117</f>
        <v>D_017</v>
      </c>
      <c r="B122" s="102">
        <v>5</v>
      </c>
      <c r="C122" s="12" t="s">
        <v>5</v>
      </c>
      <c r="D122" s="37">
        <f>D121+$D$8*SIN(RADIANS(Q120))</f>
        <v>4444036.8236161573</v>
      </c>
      <c r="E122" s="38">
        <f>E121+$D$8*COS(RADIANS(Q120))</f>
        <v>4464142.0712797092</v>
      </c>
      <c r="F122" s="135" cm="1">
        <f t="array" ref="F122:G122">_xll.PE.trf.FromEpsgNoToEpsgNo($D$4,$D$5,D122,E122)</f>
        <v>20.340133885134307</v>
      </c>
      <c r="G122" s="137">
        <v>40.308668208385107</v>
      </c>
      <c r="H122" s="154">
        <v>819</v>
      </c>
      <c r="I122" s="155" t="s">
        <v>123</v>
      </c>
      <c r="J122" s="144" t="str" cm="1">
        <f t="array" ref="J122">_xll.PE.deg.AsString(F122)</f>
        <v>20 20 24</v>
      </c>
      <c r="K122" s="136" t="str" cm="1">
        <f t="array" ref="K122">_xll.PE.deg.AsString(G122)</f>
        <v>40 18 31</v>
      </c>
      <c r="L122" s="135" cm="1">
        <f t="array" ref="L122">_xll.PE.deg.FromString(J122)</f>
        <v>20.34</v>
      </c>
      <c r="M122" s="137" cm="1">
        <f t="array" ref="M122">_xll.PE.deg.FromString(K122)</f>
        <v>40.308611111111105</v>
      </c>
      <c r="N122" s="84">
        <f t="shared" si="48"/>
        <v>1.3388513430712123E-4</v>
      </c>
      <c r="O122" s="80">
        <f t="shared" si="48"/>
        <v>5.7097274002160248E-5</v>
      </c>
      <c r="P122" s="9">
        <f>SQRT((D123-D122)^2+(E123-E122)^2)</f>
        <v>3000.0000000000855</v>
      </c>
      <c r="Q122" s="110">
        <f>IF(DEGREES(ATAN2(E123-E122,D123-D122))&lt;0,DEGREES(ATAN2(E123-E122,D123-D122))+360,(DEGREES(ATAN2(E123-E122,D123-D122))))</f>
        <v>54.497692329086064</v>
      </c>
      <c r="R122" s="21">
        <v>2462</v>
      </c>
      <c r="S122" s="44" t="str">
        <f t="shared" si="49"/>
        <v>20.34013389,40.30866821</v>
      </c>
      <c r="T122" s="98" t="str">
        <f t="shared" si="50"/>
        <v>&lt;trkpt lon="20.34013389" lat="40.30866821"&gt;&lt;name&gt;S05&lt;/name&gt;&lt;/trkpt&gt;</v>
      </c>
    </row>
    <row r="123" spans="1:20" ht="15" thickBot="1" x14ac:dyDescent="0.4">
      <c r="A123" s="23"/>
      <c r="B123" s="103">
        <v>6</v>
      </c>
      <c r="C123" s="13" t="s">
        <v>13</v>
      </c>
      <c r="D123" s="29">
        <f>D122+$D$7*SIN(RADIANS(Q121))</f>
        <v>4446479.1000032751</v>
      </c>
      <c r="E123" s="30">
        <f>E122+$D$7*COS(RADIANS(Q121))</f>
        <v>4465884.2785144914</v>
      </c>
      <c r="F123" s="141" cm="1">
        <f t="array" ref="F123:G123">_xll.PE.trf.FromEpsgNoToEpsgNo($D$4,$D$5,D123,E123)</f>
        <v>20.3687156675634</v>
      </c>
      <c r="G123" s="143">
        <v>40.324517243329709</v>
      </c>
      <c r="H123" s="157">
        <v>792</v>
      </c>
      <c r="I123" s="165" t="s">
        <v>124</v>
      </c>
      <c r="J123" s="149" t="str" cm="1">
        <f t="array" ref="J123">_xll.PE.deg.AsString(F123)</f>
        <v>20 22 07</v>
      </c>
      <c r="K123" s="142" t="str" cm="1">
        <f t="array" ref="K123">_xll.PE.deg.AsString(G123)</f>
        <v>40 19 28</v>
      </c>
      <c r="L123" s="141" cm="1">
        <f t="array" ref="L123">_xll.PE.deg.FromString(J123)</f>
        <v>20.368611111111111</v>
      </c>
      <c r="M123" s="143" cm="1">
        <f t="array" ref="M123">_xll.PE.deg.FromString(K123)</f>
        <v>40.324444444444445</v>
      </c>
      <c r="N123" s="86">
        <f t="shared" si="48"/>
        <v>1.0455645228901744E-4</v>
      </c>
      <c r="O123" s="82">
        <f t="shared" si="48"/>
        <v>7.2798885263125612E-5</v>
      </c>
      <c r="P123" s="14">
        <f>SUM(P119:P121)</f>
        <v>16440.445319264054</v>
      </c>
      <c r="Q123" s="35" t="s">
        <v>11</v>
      </c>
      <c r="R123" s="87" cm="1">
        <f t="array" ref="R123">_xll.PE.crs.GeodesicDistance($D$5,L119:M122)</f>
        <v>16436.893372856532</v>
      </c>
      <c r="S123" s="44" t="str">
        <f t="shared" si="49"/>
        <v>20.36871567,40.32451724</v>
      </c>
      <c r="T123" s="98" t="str">
        <f t="shared" si="50"/>
        <v>&lt;trkpt lon="20.36871567" lat="40.32451724"&gt;&lt;name&gt;S06&lt;/name&gt;&lt;/trkpt&gt;</v>
      </c>
    </row>
    <row r="124" spans="1:20" x14ac:dyDescent="0.35">
      <c r="A124" s="23"/>
      <c r="B124" s="105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88"/>
      <c r="P124" s="25">
        <f>P120</f>
        <v>8440.4453192636811</v>
      </c>
      <c r="Q124" s="106" t="s">
        <v>12</v>
      </c>
      <c r="R124" s="91"/>
      <c r="S124" s="98" t="s">
        <v>21</v>
      </c>
      <c r="T124" s="98" t="str">
        <f>CONCATENATE("&lt;/trkseg&gt;&lt;/trk&gt;")</f>
        <v>&lt;/trkseg&gt;&lt;/trk&gt;</v>
      </c>
    </row>
    <row r="125" spans="1:20" ht="15" thickBot="1" x14ac:dyDescent="0.4">
      <c r="O125"/>
      <c r="S125" s="45" t="s">
        <v>22</v>
      </c>
      <c r="T125" s="99" t="s">
        <v>19</v>
      </c>
    </row>
    <row r="126" spans="1:20" x14ac:dyDescent="0.35">
      <c r="O126"/>
    </row>
    <row r="127" spans="1:20" x14ac:dyDescent="0.35">
      <c r="O127"/>
    </row>
    <row r="128" spans="1:20" x14ac:dyDescent="0.35">
      <c r="D128" s="172" t="str" cm="1">
        <f t="array" ref="D128">_xll.PE.trf.Options(,,,,,,"Always",0)</f>
        <v>NoBallparkConversions=False;NoDiscardIfMissing=False;UsePrimaryGridNames=False;UseSuperseded=False;AllowDeprecatedCrs=False;StrictContains=False;IntermediateCrsUsage=Always;CandidateIndex=0</v>
      </c>
      <c r="O128"/>
    </row>
    <row r="129" spans="15:17" x14ac:dyDescent="0.35">
      <c r="O129"/>
    </row>
    <row r="130" spans="15:17" x14ac:dyDescent="0.35">
      <c r="O130"/>
      <c r="Q130"/>
    </row>
    <row r="131" spans="15:17" x14ac:dyDescent="0.35">
      <c r="O131"/>
      <c r="Q131"/>
    </row>
    <row r="132" spans="15:17" x14ac:dyDescent="0.35">
      <c r="O132"/>
      <c r="Q132"/>
    </row>
    <row r="133" spans="15:17" x14ac:dyDescent="0.35">
      <c r="O133"/>
      <c r="Q133"/>
    </row>
    <row r="134" spans="15:17" x14ac:dyDescent="0.35">
      <c r="O134"/>
      <c r="Q134"/>
    </row>
    <row r="135" spans="15:17" x14ac:dyDescent="0.35">
      <c r="O135"/>
      <c r="Q135"/>
    </row>
    <row r="136" spans="15:17" x14ac:dyDescent="0.35">
      <c r="O136"/>
      <c r="Q136"/>
    </row>
    <row r="137" spans="15:17" x14ac:dyDescent="0.35">
      <c r="O137"/>
      <c r="Q137"/>
    </row>
    <row r="138" spans="15:17" x14ac:dyDescent="0.35">
      <c r="O138"/>
      <c r="Q138"/>
    </row>
    <row r="139" spans="15:17" x14ac:dyDescent="0.35">
      <c r="O139"/>
      <c r="Q139"/>
    </row>
    <row r="140" spans="15:17" x14ac:dyDescent="0.35">
      <c r="O140"/>
      <c r="Q140"/>
    </row>
    <row r="141" spans="15:17" x14ac:dyDescent="0.35">
      <c r="O141"/>
      <c r="Q141"/>
    </row>
    <row r="142" spans="15:17" x14ac:dyDescent="0.35">
      <c r="O142"/>
      <c r="Q142"/>
    </row>
    <row r="143" spans="15:17" x14ac:dyDescent="0.35">
      <c r="O143"/>
      <c r="Q143"/>
    </row>
    <row r="144" spans="15:17" x14ac:dyDescent="0.35">
      <c r="O144"/>
      <c r="Q144"/>
    </row>
    <row r="145" spans="15:17" x14ac:dyDescent="0.35">
      <c r="O145"/>
      <c r="Q145"/>
    </row>
    <row r="146" spans="15:17" x14ac:dyDescent="0.35">
      <c r="O146"/>
      <c r="Q146"/>
    </row>
    <row r="147" spans="15:17" x14ac:dyDescent="0.35">
      <c r="O147"/>
      <c r="Q147"/>
    </row>
    <row r="148" spans="15:17" x14ac:dyDescent="0.35">
      <c r="O148"/>
      <c r="Q148"/>
    </row>
    <row r="149" spans="15:17" x14ac:dyDescent="0.35">
      <c r="O149"/>
      <c r="Q149"/>
    </row>
    <row r="150" spans="15:17" x14ac:dyDescent="0.35">
      <c r="O150"/>
      <c r="Q150"/>
    </row>
    <row r="151" spans="15:17" x14ac:dyDescent="0.35">
      <c r="O151"/>
      <c r="Q151"/>
    </row>
    <row r="152" spans="15:17" x14ac:dyDescent="0.35">
      <c r="O152"/>
      <c r="Q152"/>
    </row>
    <row r="153" spans="15:17" x14ac:dyDescent="0.35">
      <c r="O153"/>
      <c r="Q153"/>
    </row>
    <row r="154" spans="15:17" x14ac:dyDescent="0.35">
      <c r="O154"/>
      <c r="Q154"/>
    </row>
    <row r="155" spans="15:17" x14ac:dyDescent="0.35">
      <c r="O155"/>
      <c r="Q155"/>
    </row>
    <row r="156" spans="15:17" x14ac:dyDescent="0.35">
      <c r="O156"/>
      <c r="Q156"/>
    </row>
    <row r="157" spans="15:17" x14ac:dyDescent="0.35">
      <c r="O157"/>
      <c r="Q157"/>
    </row>
    <row r="158" spans="15:17" x14ac:dyDescent="0.35">
      <c r="O158"/>
      <c r="Q158"/>
    </row>
    <row r="159" spans="15:17" x14ac:dyDescent="0.35">
      <c r="O159"/>
      <c r="Q159"/>
    </row>
    <row r="160" spans="15:17" x14ac:dyDescent="0.35">
      <c r="O160"/>
      <c r="Q160"/>
    </row>
    <row r="161" spans="15:17" x14ac:dyDescent="0.35">
      <c r="O161"/>
      <c r="Q161"/>
    </row>
    <row r="162" spans="15:17" x14ac:dyDescent="0.35">
      <c r="O162"/>
      <c r="Q162"/>
    </row>
    <row r="163" spans="15:17" x14ac:dyDescent="0.35">
      <c r="O163"/>
      <c r="Q163"/>
    </row>
    <row r="164" spans="15:17" x14ac:dyDescent="0.35">
      <c r="O164"/>
      <c r="Q164"/>
    </row>
    <row r="165" spans="15:17" x14ac:dyDescent="0.35">
      <c r="O165"/>
      <c r="Q165"/>
    </row>
    <row r="166" spans="15:17" x14ac:dyDescent="0.35">
      <c r="O166"/>
      <c r="Q166"/>
    </row>
    <row r="167" spans="15:17" x14ac:dyDescent="0.35">
      <c r="O167"/>
      <c r="Q167"/>
    </row>
    <row r="168" spans="15:17" x14ac:dyDescent="0.35">
      <c r="O168"/>
      <c r="Q168"/>
    </row>
    <row r="169" spans="15:17" x14ac:dyDescent="0.35">
      <c r="O169"/>
      <c r="Q169"/>
    </row>
    <row r="170" spans="15:17" x14ac:dyDescent="0.35">
      <c r="O170"/>
      <c r="Q170"/>
    </row>
    <row r="171" spans="15:17" x14ac:dyDescent="0.35">
      <c r="O171"/>
      <c r="Q171"/>
    </row>
    <row r="172" spans="15:17" x14ac:dyDescent="0.35">
      <c r="O172"/>
      <c r="Q172"/>
    </row>
    <row r="173" spans="15:17" x14ac:dyDescent="0.35">
      <c r="O173"/>
      <c r="Q173"/>
    </row>
    <row r="174" spans="15:17" x14ac:dyDescent="0.35">
      <c r="O174"/>
      <c r="Q174"/>
    </row>
    <row r="175" spans="15:17" x14ac:dyDescent="0.35">
      <c r="O175"/>
      <c r="Q175"/>
    </row>
    <row r="176" spans="15:17" x14ac:dyDescent="0.35">
      <c r="O176"/>
      <c r="Q176"/>
    </row>
    <row r="177" spans="15:17" x14ac:dyDescent="0.35">
      <c r="O177"/>
      <c r="Q177"/>
    </row>
    <row r="178" spans="15:17" x14ac:dyDescent="0.35">
      <c r="O178"/>
      <c r="Q178"/>
    </row>
    <row r="179" spans="15:17" x14ac:dyDescent="0.35">
      <c r="O179"/>
      <c r="Q179"/>
    </row>
    <row r="180" spans="15:17" x14ac:dyDescent="0.35">
      <c r="O180"/>
      <c r="Q180"/>
    </row>
    <row r="181" spans="15:17" x14ac:dyDescent="0.35">
      <c r="O181"/>
      <c r="Q181"/>
    </row>
    <row r="182" spans="15:17" x14ac:dyDescent="0.35">
      <c r="O182"/>
      <c r="Q182"/>
    </row>
    <row r="183" spans="15:17" x14ac:dyDescent="0.35">
      <c r="O183"/>
      <c r="Q183"/>
    </row>
    <row r="184" spans="15:17" x14ac:dyDescent="0.35">
      <c r="O184"/>
      <c r="Q184"/>
    </row>
    <row r="185" spans="15:17" x14ac:dyDescent="0.35">
      <c r="O185"/>
      <c r="Q185"/>
    </row>
    <row r="186" spans="15:17" x14ac:dyDescent="0.35">
      <c r="O186"/>
      <c r="Q186"/>
    </row>
    <row r="187" spans="15:17" x14ac:dyDescent="0.35">
      <c r="O187"/>
      <c r="Q187"/>
    </row>
    <row r="188" spans="15:17" x14ac:dyDescent="0.35">
      <c r="O188"/>
      <c r="Q188"/>
    </row>
    <row r="189" spans="15:17" x14ac:dyDescent="0.35">
      <c r="O189"/>
      <c r="Q189"/>
    </row>
    <row r="190" spans="15:17" x14ac:dyDescent="0.35">
      <c r="O190"/>
      <c r="Q190"/>
    </row>
    <row r="191" spans="15:17" x14ac:dyDescent="0.35">
      <c r="O191"/>
      <c r="Q191"/>
    </row>
    <row r="192" spans="15:17" x14ac:dyDescent="0.35">
      <c r="O192"/>
      <c r="Q192"/>
    </row>
    <row r="193" spans="15:17" x14ac:dyDescent="0.35">
      <c r="O193"/>
      <c r="Q193"/>
    </row>
    <row r="194" spans="15:17" x14ac:dyDescent="0.35">
      <c r="O194"/>
      <c r="Q194"/>
    </row>
    <row r="195" spans="15:17" x14ac:dyDescent="0.35">
      <c r="O195"/>
      <c r="Q195"/>
    </row>
    <row r="196" spans="15:17" x14ac:dyDescent="0.35">
      <c r="O196"/>
      <c r="Q196"/>
    </row>
    <row r="197" spans="15:17" x14ac:dyDescent="0.35">
      <c r="O197"/>
      <c r="Q197"/>
    </row>
    <row r="198" spans="15:17" x14ac:dyDescent="0.35">
      <c r="O198"/>
      <c r="Q198"/>
    </row>
    <row r="199" spans="15:17" x14ac:dyDescent="0.35">
      <c r="O199"/>
      <c r="Q199"/>
    </row>
    <row r="200" spans="15:17" x14ac:dyDescent="0.35">
      <c r="O200"/>
      <c r="Q200"/>
    </row>
    <row r="201" spans="15:17" x14ac:dyDescent="0.35">
      <c r="O201"/>
      <c r="Q201"/>
    </row>
    <row r="202" spans="15:17" x14ac:dyDescent="0.35">
      <c r="O202"/>
      <c r="Q202"/>
    </row>
    <row r="203" spans="15:17" x14ac:dyDescent="0.35">
      <c r="O203"/>
      <c r="Q203"/>
    </row>
    <row r="204" spans="15:17" x14ac:dyDescent="0.35">
      <c r="O204"/>
      <c r="Q204"/>
    </row>
    <row r="205" spans="15:17" x14ac:dyDescent="0.35">
      <c r="O205"/>
      <c r="Q205"/>
    </row>
    <row r="206" spans="15:17" x14ac:dyDescent="0.35">
      <c r="O206"/>
      <c r="Q206"/>
    </row>
    <row r="207" spans="15:17" x14ac:dyDescent="0.35">
      <c r="O207"/>
      <c r="Q207"/>
    </row>
    <row r="208" spans="15:17" x14ac:dyDescent="0.35">
      <c r="O208"/>
      <c r="Q208"/>
    </row>
    <row r="209" spans="15:17" x14ac:dyDescent="0.35">
      <c r="O209"/>
      <c r="Q209"/>
    </row>
    <row r="210" spans="15:17" x14ac:dyDescent="0.35">
      <c r="O210"/>
      <c r="Q210"/>
    </row>
    <row r="211" spans="15:17" x14ac:dyDescent="0.35">
      <c r="O211"/>
      <c r="Q211"/>
    </row>
    <row r="212" spans="15:17" x14ac:dyDescent="0.35">
      <c r="O212"/>
      <c r="Q212"/>
    </row>
    <row r="213" spans="15:17" x14ac:dyDescent="0.35">
      <c r="O213"/>
      <c r="Q213"/>
    </row>
    <row r="214" spans="15:17" x14ac:dyDescent="0.35">
      <c r="O214"/>
      <c r="Q214"/>
    </row>
    <row r="215" spans="15:17" x14ac:dyDescent="0.35">
      <c r="O215"/>
      <c r="Q215"/>
    </row>
    <row r="216" spans="15:17" x14ac:dyDescent="0.35">
      <c r="O216"/>
      <c r="Q216"/>
    </row>
    <row r="217" spans="15:17" x14ac:dyDescent="0.35">
      <c r="O217"/>
      <c r="Q217"/>
    </row>
    <row r="218" spans="15:17" x14ac:dyDescent="0.35">
      <c r="O218"/>
      <c r="Q218"/>
    </row>
    <row r="219" spans="15:17" x14ac:dyDescent="0.35">
      <c r="O219"/>
      <c r="Q219"/>
    </row>
    <row r="220" spans="15:17" x14ac:dyDescent="0.35">
      <c r="O220"/>
      <c r="Q220"/>
    </row>
    <row r="221" spans="15:17" x14ac:dyDescent="0.35">
      <c r="O221"/>
      <c r="Q221"/>
    </row>
    <row r="222" spans="15:17" x14ac:dyDescent="0.35">
      <c r="O222"/>
      <c r="Q222"/>
    </row>
    <row r="223" spans="15:17" x14ac:dyDescent="0.35">
      <c r="O223"/>
      <c r="Q223"/>
    </row>
    <row r="224" spans="15:17" x14ac:dyDescent="0.35">
      <c r="O224"/>
      <c r="Q224"/>
    </row>
    <row r="225" spans="15:17" x14ac:dyDescent="0.35">
      <c r="O225"/>
      <c r="Q225"/>
    </row>
    <row r="226" spans="15:17" x14ac:dyDescent="0.35">
      <c r="O226"/>
      <c r="Q226"/>
    </row>
    <row r="227" spans="15:17" x14ac:dyDescent="0.35">
      <c r="O227"/>
      <c r="Q227"/>
    </row>
    <row r="228" spans="15:17" x14ac:dyDescent="0.35">
      <c r="O228"/>
      <c r="Q228"/>
    </row>
    <row r="229" spans="15:17" x14ac:dyDescent="0.35">
      <c r="O229"/>
      <c r="Q229"/>
    </row>
    <row r="230" spans="15:17" x14ac:dyDescent="0.35">
      <c r="O230"/>
      <c r="Q230"/>
    </row>
    <row r="231" spans="15:17" x14ac:dyDescent="0.35">
      <c r="O231"/>
      <c r="Q231"/>
    </row>
    <row r="232" spans="15:17" x14ac:dyDescent="0.35">
      <c r="O232"/>
      <c r="Q232"/>
    </row>
    <row r="233" spans="15:17" x14ac:dyDescent="0.35">
      <c r="O233"/>
      <c r="Q233"/>
    </row>
    <row r="234" spans="15:17" x14ac:dyDescent="0.35">
      <c r="O234"/>
      <c r="Q234"/>
    </row>
    <row r="235" spans="15:17" x14ac:dyDescent="0.35">
      <c r="O235"/>
      <c r="Q235"/>
    </row>
    <row r="236" spans="15:17" x14ac:dyDescent="0.35">
      <c r="O236"/>
      <c r="Q236"/>
    </row>
    <row r="237" spans="15:17" x14ac:dyDescent="0.35">
      <c r="O237"/>
      <c r="Q237"/>
    </row>
    <row r="238" spans="15:17" x14ac:dyDescent="0.35">
      <c r="O238"/>
      <c r="Q238"/>
    </row>
    <row r="239" spans="15:17" x14ac:dyDescent="0.35">
      <c r="O239"/>
      <c r="Q239"/>
    </row>
    <row r="240" spans="15:17" x14ac:dyDescent="0.35">
      <c r="O240"/>
      <c r="Q240"/>
    </row>
    <row r="241" spans="15:17" x14ac:dyDescent="0.35">
      <c r="O241"/>
      <c r="Q241"/>
    </row>
    <row r="242" spans="15:17" x14ac:dyDescent="0.35">
      <c r="O242"/>
      <c r="Q242"/>
    </row>
    <row r="243" spans="15:17" x14ac:dyDescent="0.35">
      <c r="O243"/>
      <c r="Q243"/>
    </row>
    <row r="244" spans="15:17" x14ac:dyDescent="0.35">
      <c r="O244"/>
      <c r="Q244"/>
    </row>
    <row r="245" spans="15:17" x14ac:dyDescent="0.35">
      <c r="O245"/>
      <c r="Q245"/>
    </row>
    <row r="246" spans="15:17" x14ac:dyDescent="0.35">
      <c r="O246"/>
      <c r="Q246"/>
    </row>
    <row r="247" spans="15:17" x14ac:dyDescent="0.35">
      <c r="O247"/>
      <c r="Q247"/>
    </row>
    <row r="248" spans="15:17" x14ac:dyDescent="0.35">
      <c r="O248"/>
      <c r="Q248"/>
    </row>
    <row r="249" spans="15:17" x14ac:dyDescent="0.35">
      <c r="O249"/>
      <c r="Q249"/>
    </row>
    <row r="250" spans="15:17" x14ac:dyDescent="0.35">
      <c r="O250"/>
      <c r="Q250"/>
    </row>
    <row r="251" spans="15:17" x14ac:dyDescent="0.35">
      <c r="O251"/>
      <c r="Q251"/>
    </row>
    <row r="252" spans="15:17" x14ac:dyDescent="0.35">
      <c r="O252"/>
      <c r="Q252"/>
    </row>
    <row r="253" spans="15:17" x14ac:dyDescent="0.35">
      <c r="O253"/>
      <c r="Q253"/>
    </row>
    <row r="254" spans="15:17" x14ac:dyDescent="0.35">
      <c r="O254"/>
      <c r="Q254"/>
    </row>
    <row r="255" spans="15:17" x14ac:dyDescent="0.35">
      <c r="O255"/>
      <c r="Q255"/>
    </row>
    <row r="256" spans="15:17" x14ac:dyDescent="0.35">
      <c r="O256"/>
      <c r="Q256"/>
    </row>
    <row r="257" spans="15:17" x14ac:dyDescent="0.35">
      <c r="O257"/>
      <c r="Q257"/>
    </row>
    <row r="258" spans="15:17" x14ac:dyDescent="0.35">
      <c r="O258"/>
      <c r="Q258"/>
    </row>
    <row r="259" spans="15:17" x14ac:dyDescent="0.35">
      <c r="O259"/>
      <c r="Q259"/>
    </row>
    <row r="260" spans="15:17" x14ac:dyDescent="0.35">
      <c r="O260"/>
      <c r="Q260"/>
    </row>
    <row r="261" spans="15:17" x14ac:dyDescent="0.35">
      <c r="O261"/>
      <c r="Q261"/>
    </row>
    <row r="262" spans="15:17" x14ac:dyDescent="0.35">
      <c r="O262"/>
      <c r="Q262"/>
    </row>
    <row r="263" spans="15:17" x14ac:dyDescent="0.35">
      <c r="O263"/>
      <c r="Q263"/>
    </row>
    <row r="264" spans="15:17" x14ac:dyDescent="0.35">
      <c r="O264"/>
      <c r="Q264"/>
    </row>
    <row r="265" spans="15:17" x14ac:dyDescent="0.35">
      <c r="O265"/>
      <c r="Q265"/>
    </row>
    <row r="266" spans="15:17" x14ac:dyDescent="0.35">
      <c r="O266"/>
      <c r="Q266"/>
    </row>
    <row r="267" spans="15:17" x14ac:dyDescent="0.35">
      <c r="O267"/>
      <c r="Q267"/>
    </row>
    <row r="268" spans="15:17" x14ac:dyDescent="0.35">
      <c r="O268"/>
      <c r="Q268"/>
    </row>
    <row r="269" spans="15:17" x14ac:dyDescent="0.35">
      <c r="O269"/>
      <c r="Q269"/>
    </row>
    <row r="270" spans="15:17" x14ac:dyDescent="0.35">
      <c r="O270"/>
      <c r="Q270"/>
    </row>
    <row r="271" spans="15:17" x14ac:dyDescent="0.35">
      <c r="O271"/>
      <c r="Q271"/>
    </row>
    <row r="272" spans="15:17" x14ac:dyDescent="0.35">
      <c r="O272"/>
      <c r="Q272"/>
    </row>
    <row r="273" spans="15:17" x14ac:dyDescent="0.35">
      <c r="O273"/>
      <c r="Q273"/>
    </row>
    <row r="274" spans="15:17" x14ac:dyDescent="0.35">
      <c r="O274"/>
      <c r="Q274"/>
    </row>
    <row r="275" spans="15:17" x14ac:dyDescent="0.35">
      <c r="O275"/>
      <c r="Q275"/>
    </row>
    <row r="276" spans="15:17" x14ac:dyDescent="0.35">
      <c r="O276"/>
      <c r="Q276"/>
    </row>
    <row r="277" spans="15:17" x14ac:dyDescent="0.35">
      <c r="O277"/>
      <c r="Q277"/>
    </row>
    <row r="278" spans="15:17" x14ac:dyDescent="0.35">
      <c r="O278"/>
      <c r="Q278"/>
    </row>
    <row r="279" spans="15:17" x14ac:dyDescent="0.35">
      <c r="O279"/>
      <c r="Q279"/>
    </row>
    <row r="280" spans="15:17" x14ac:dyDescent="0.35">
      <c r="O280"/>
      <c r="Q280"/>
    </row>
    <row r="281" spans="15:17" x14ac:dyDescent="0.35">
      <c r="O281"/>
      <c r="Q281"/>
    </row>
    <row r="282" spans="15:17" x14ac:dyDescent="0.35">
      <c r="O282"/>
      <c r="Q282"/>
    </row>
    <row r="283" spans="15:17" x14ac:dyDescent="0.35">
      <c r="O283"/>
      <c r="Q283"/>
    </row>
    <row r="284" spans="15:17" x14ac:dyDescent="0.35">
      <c r="O284"/>
      <c r="Q284"/>
    </row>
    <row r="285" spans="15:17" x14ac:dyDescent="0.35">
      <c r="O285"/>
      <c r="Q285"/>
    </row>
    <row r="286" spans="15:17" x14ac:dyDescent="0.35">
      <c r="O286"/>
      <c r="Q286"/>
    </row>
    <row r="287" spans="15:17" x14ac:dyDescent="0.35">
      <c r="O287"/>
      <c r="Q287"/>
    </row>
    <row r="288" spans="15:17" x14ac:dyDescent="0.35">
      <c r="O288"/>
      <c r="Q288"/>
    </row>
    <row r="289" spans="15:17" x14ac:dyDescent="0.35">
      <c r="O289"/>
      <c r="Q289"/>
    </row>
    <row r="290" spans="15:17" x14ac:dyDescent="0.35">
      <c r="O290"/>
      <c r="Q290"/>
    </row>
    <row r="291" spans="15:17" x14ac:dyDescent="0.35">
      <c r="O291"/>
      <c r="Q291"/>
    </row>
    <row r="292" spans="15:17" x14ac:dyDescent="0.35">
      <c r="O292"/>
      <c r="Q292"/>
    </row>
    <row r="293" spans="15:17" x14ac:dyDescent="0.35">
      <c r="O293"/>
      <c r="Q293"/>
    </row>
    <row r="294" spans="15:17" x14ac:dyDescent="0.35">
      <c r="O294"/>
      <c r="Q294"/>
    </row>
    <row r="295" spans="15:17" x14ac:dyDescent="0.35">
      <c r="O295"/>
      <c r="Q295"/>
    </row>
    <row r="296" spans="15:17" x14ac:dyDescent="0.35">
      <c r="O296"/>
      <c r="Q296"/>
    </row>
    <row r="297" spans="15:17" x14ac:dyDescent="0.35">
      <c r="O297"/>
      <c r="Q297"/>
    </row>
    <row r="298" spans="15:17" x14ac:dyDescent="0.35">
      <c r="O298"/>
      <c r="Q298"/>
    </row>
    <row r="299" spans="15:17" x14ac:dyDescent="0.35">
      <c r="O299"/>
      <c r="Q299"/>
    </row>
    <row r="300" spans="15:17" x14ac:dyDescent="0.35">
      <c r="O300"/>
      <c r="Q300"/>
    </row>
    <row r="301" spans="15:17" x14ac:dyDescent="0.35">
      <c r="O301"/>
      <c r="Q301"/>
    </row>
    <row r="302" spans="15:17" x14ac:dyDescent="0.35">
      <c r="O302"/>
      <c r="Q302"/>
    </row>
    <row r="303" spans="15:17" x14ac:dyDescent="0.35">
      <c r="O303"/>
      <c r="Q303"/>
    </row>
    <row r="304" spans="15:17" x14ac:dyDescent="0.35">
      <c r="O304"/>
      <c r="Q304"/>
    </row>
    <row r="305" spans="15:17" x14ac:dyDescent="0.35">
      <c r="O305"/>
      <c r="Q305"/>
    </row>
    <row r="306" spans="15:17" x14ac:dyDescent="0.35">
      <c r="O306"/>
      <c r="Q306"/>
    </row>
    <row r="307" spans="15:17" x14ac:dyDescent="0.35">
      <c r="O307"/>
      <c r="Q307"/>
    </row>
    <row r="308" spans="15:17" x14ac:dyDescent="0.35">
      <c r="O308"/>
      <c r="Q308"/>
    </row>
    <row r="309" spans="15:17" x14ac:dyDescent="0.35">
      <c r="O309"/>
      <c r="Q309"/>
    </row>
    <row r="310" spans="15:17" x14ac:dyDescent="0.35">
      <c r="O310"/>
      <c r="Q310"/>
    </row>
    <row r="311" spans="15:17" x14ac:dyDescent="0.35">
      <c r="O311"/>
      <c r="Q311"/>
    </row>
    <row r="312" spans="15:17" x14ac:dyDescent="0.35">
      <c r="O312"/>
      <c r="Q312"/>
    </row>
    <row r="313" spans="15:17" x14ac:dyDescent="0.35">
      <c r="O313"/>
      <c r="Q313"/>
    </row>
    <row r="314" spans="15:17" x14ac:dyDescent="0.35">
      <c r="O314"/>
      <c r="Q314"/>
    </row>
    <row r="7168" spans="3:3" x14ac:dyDescent="0.35">
      <c r="C7168" s="175"/>
    </row>
    <row r="8726" spans="3:3" x14ac:dyDescent="0.35">
      <c r="C8726" s="175"/>
    </row>
    <row r="10927" spans="3:3" x14ac:dyDescent="0.35">
      <c r="C10927" s="175"/>
    </row>
    <row r="11791" spans="3:3" x14ac:dyDescent="0.35">
      <c r="C11791" s="175"/>
    </row>
    <row r="11793" spans="3:3" x14ac:dyDescent="0.35">
      <c r="C11793" s="175"/>
    </row>
    <row r="11796" spans="3:3" x14ac:dyDescent="0.35">
      <c r="C11796" s="175"/>
    </row>
  </sheetData>
  <phoneticPr fontId="12" type="noConversion"/>
  <hyperlinks>
    <hyperlink ref="D5" r:id="rId1" display="EPSG:4326" xr:uid="{4903020F-DCB7-4587-ACCC-60E258148F6B}"/>
    <hyperlink ref="D4" r:id="rId2" display="EPSG:2462" xr:uid="{6BCCE6D9-35C1-4B72-BFF0-3DE1C9AD2C9E}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E613-F013-4DBB-AED6-A2D5A168E69E}">
  <dimension ref="A2:V11796"/>
  <sheetViews>
    <sheetView zoomScaleNormal="100" workbookViewId="0">
      <selection activeCell="D4" sqref="D4:D5"/>
    </sheetView>
  </sheetViews>
  <sheetFormatPr defaultRowHeight="14.5" x14ac:dyDescent="0.35"/>
  <cols>
    <col min="1" max="1" width="9" bestFit="1" customWidth="1"/>
    <col min="2" max="2" width="6.36328125" style="61" customWidth="1"/>
    <col min="3" max="3" width="22.08984375" customWidth="1"/>
    <col min="4" max="4" width="17.6328125" customWidth="1"/>
    <col min="5" max="5" width="15.54296875" customWidth="1"/>
    <col min="6" max="8" width="13.36328125" customWidth="1"/>
    <col min="9" max="10" width="15.6328125" bestFit="1" customWidth="1"/>
    <col min="11" max="11" width="15.54296875" bestFit="1" customWidth="1"/>
    <col min="12" max="12" width="13.36328125" customWidth="1"/>
    <col min="13" max="13" width="13.6328125" customWidth="1"/>
    <col min="14" max="14" width="13" customWidth="1"/>
    <col min="15" max="15" width="14.6328125" style="1" bestFit="1" customWidth="1"/>
    <col min="16" max="16" width="15.6328125" customWidth="1"/>
    <col min="17" max="17" width="11" style="61" customWidth="1"/>
    <col min="18" max="18" width="14.6328125" customWidth="1"/>
    <col min="19" max="19" width="70.08984375" customWidth="1"/>
    <col min="20" max="20" width="85.54296875" customWidth="1"/>
    <col min="23" max="23" width="26.08984375" customWidth="1"/>
    <col min="26" max="26" width="20.6328125" customWidth="1"/>
  </cols>
  <sheetData>
    <row r="2" spans="1:22" ht="15" thickBot="1" x14ac:dyDescent="0.4"/>
    <row r="3" spans="1:22" ht="15" thickBot="1" x14ac:dyDescent="0.4">
      <c r="C3" s="59" t="s">
        <v>26</v>
      </c>
      <c r="D3" s="60" t="s">
        <v>27</v>
      </c>
      <c r="E3" s="58" t="s">
        <v>28</v>
      </c>
      <c r="F3" s="56"/>
      <c r="G3" s="56"/>
      <c r="H3" s="56"/>
      <c r="I3" s="56"/>
      <c r="J3" s="57"/>
      <c r="K3" s="50" t="s">
        <v>29</v>
      </c>
      <c r="L3" s="56" t="s">
        <v>135</v>
      </c>
      <c r="M3" s="56"/>
      <c r="N3" s="56"/>
      <c r="O3" s="56"/>
      <c r="P3" s="57"/>
    </row>
    <row r="4" spans="1:22" x14ac:dyDescent="0.35">
      <c r="C4" s="51" t="s">
        <v>24</v>
      </c>
      <c r="D4" s="49">
        <v>2462</v>
      </c>
      <c r="E4" s="65" t="str" cm="1">
        <f t="array" ref="E4">_xll.PE.crs.AsProjString(D4)</f>
        <v>+proj=tmerc +lat_0=0 +lon_0=21 +k=1 +x_0=4500000 +y_0=0 +ellps=krass +units=m +no_defs +type=crs</v>
      </c>
      <c r="F4" s="66"/>
      <c r="G4" s="66"/>
      <c r="H4" s="66"/>
      <c r="I4" s="66"/>
      <c r="J4" s="67"/>
      <c r="K4" s="50" t="s">
        <v>17</v>
      </c>
      <c r="L4" s="66" t="str" cm="1">
        <f t="array" ref="L4">_xll.PE.crs.Name(D4)</f>
        <v>Albanian 1987 / Gauss-Kruger zone 4 (with axis order normalized for visualization)</v>
      </c>
      <c r="M4" s="66"/>
      <c r="N4" s="66"/>
      <c r="O4" s="66"/>
      <c r="P4" s="67"/>
    </row>
    <row r="5" spans="1:22" ht="15" thickBot="1" x14ac:dyDescent="0.4">
      <c r="C5" s="168" t="s">
        <v>25</v>
      </c>
      <c r="D5" s="169">
        <v>4326</v>
      </c>
      <c r="E5" s="68" t="str" cm="1">
        <f t="array" ref="E5">_xll.PE.crs.AsProjString(D5)</f>
        <v>+proj=longlat +datum=WGS84 +no_defs +type=crs</v>
      </c>
      <c r="F5" s="170"/>
      <c r="G5" s="170"/>
      <c r="H5" s="170"/>
      <c r="I5" s="170"/>
      <c r="J5" s="171"/>
      <c r="K5" s="43" t="s">
        <v>17</v>
      </c>
      <c r="L5" s="170" t="str" cm="1">
        <f t="array" ref="L5">_xll.PE.crs.Name(D5)</f>
        <v>WGS 84 (with axis order normalized for visualization)</v>
      </c>
      <c r="M5" s="170"/>
      <c r="N5" s="170"/>
      <c r="O5" s="170"/>
      <c r="P5" s="69"/>
    </row>
    <row r="6" spans="1:22" ht="15" thickBot="1" x14ac:dyDescent="0.4">
      <c r="O6"/>
      <c r="V6" s="1"/>
    </row>
    <row r="7" spans="1:22" ht="15" thickBot="1" x14ac:dyDescent="0.4">
      <c r="C7" s="21" t="s">
        <v>13</v>
      </c>
      <c r="D7" s="70">
        <v>3000</v>
      </c>
      <c r="E7" s="3" t="s">
        <v>6</v>
      </c>
      <c r="G7" s="54" t="s">
        <v>139</v>
      </c>
      <c r="H7" s="176" t="str" cm="1">
        <f t="array" ref="H7:I10">_xll.PE.lib.Version(0)</f>
        <v>Assembly version</v>
      </c>
      <c r="I7" s="177" t="str">
        <v>1.0.0.0</v>
      </c>
      <c r="V7" s="1"/>
    </row>
    <row r="8" spans="1:22" ht="15" thickBot="1" x14ac:dyDescent="0.4">
      <c r="C8" s="21" t="s">
        <v>5</v>
      </c>
      <c r="D8" s="70">
        <v>4000</v>
      </c>
      <c r="E8" s="3" t="s">
        <v>6</v>
      </c>
      <c r="G8" s="55"/>
      <c r="H8" s="178" t="str">
        <v>File version</v>
      </c>
      <c r="I8" s="179" t="str">
        <v>1.0.261011.1728</v>
      </c>
      <c r="O8"/>
      <c r="V8" s="1"/>
    </row>
    <row r="9" spans="1:22" ht="15" thickBot="1" x14ac:dyDescent="0.4">
      <c r="F9" s="130"/>
      <c r="G9" s="43"/>
      <c r="H9" s="180" t="str">
        <v>Info version</v>
      </c>
      <c r="I9" s="181" t="str">
        <v>1.0.261011.1728</v>
      </c>
      <c r="O9"/>
      <c r="S9" s="100" t="s">
        <v>129</v>
      </c>
      <c r="T9" s="95" t="s">
        <v>130</v>
      </c>
      <c r="V9" s="1"/>
    </row>
    <row r="10" spans="1:22" ht="15" thickBot="1" x14ac:dyDescent="0.4">
      <c r="G10" s="43" t="s">
        <v>134</v>
      </c>
      <c r="H10" s="180" t="str">
        <v>Proj version</v>
      </c>
      <c r="I10" s="181" t="str">
        <v>9.5.1</v>
      </c>
      <c r="O10"/>
      <c r="S10" s="118" t="str" cm="1">
        <f t="array" ref="S10">_xll.PE.gps.AsKmlTracks(F15:G123)</f>
        <v xml:space="preserve">&lt;?xml version="1.0" encoding="UTF-8"?&gt;&lt;kml xmlns="http://www.opengis.net/kml/2.2" xmlns:gx="http://www.google.com/kml/ext/2.2" xmlns:atom="http://www.w3.org/2005/Atom"&gt;
&lt;Document&gt;&lt;atom:author&gt;&lt;atom:name&gt;Bart Duijndam&lt;/atom:name&gt;&lt;/atom:author&gt;&lt;Style id="style001"&gt;&lt;LineStyle&gt;&lt;color&gt;96ff00d5&lt;/color&gt;&lt;width&gt;3.0&lt;/width&gt;&lt;/LineStyle&gt;&lt;/Style&gt;
&lt;Placemark&gt;&lt;name&gt;&lt;name&gt;A_001&lt;/name&gt;&lt;/name&gt;&lt;styleUrl&gt;#style001&lt;/styleUrl&gt;&lt;MultiGeometry&gt;&lt;LineString&gt;&lt;coordinates&gt; 19.62750129,40.72865741 19.66228249,40.73409119 19.70866663,40.74132006 19.96114792,40.78031571 20.00759903,40.78742515 20.04244409,40.79274503 &lt;/coordinates&gt;&lt;/LineString&gt;&lt;/MultiGeometry&gt;&lt;/Placemark&gt;
&lt;Placemark&gt;&lt;name&gt;&lt;name&gt;A_002&lt;/name&gt;&lt;/name&gt;&lt;styleUrl&gt;#style001&lt;/styleUrl&gt;&lt;MultiGeometry&gt;&lt;LineString&gt;&lt;coordinates&gt; 19.66791271,40.70905889 19.70223219,40.71595944 19.74800291,40.72514444 19.85465938,40.74646776 20.09912497,40.79870154 20.14477660,40.80838949 20.17902421,40.81564368 &lt;/coordinates&gt;&lt;/LineString&gt;&lt;/MultiGeometry&gt;&lt;/Placemark&gt;
&lt;Placemark&gt;&lt;name&gt;&lt;name&gt;A_003&lt;/name&gt;&lt;/name&gt;&lt;styleUrl&gt;#style001&lt;/styleUrl&gt;&lt;MultiGeometry&gt;&lt;LineString&gt;&lt;coordinates&gt; 19.70109529,40.85563173 19.73344265,40.84439597 19.77655573,40.82940056 19.89229294,40.78903112 19.96568939,40.76092575 20.00797354,40.74470183 20.03967331,40.73252354 &lt;/coordinates&gt;&lt;/LineString&gt;&lt;/MultiGeometry&gt;&lt;/Placemark&gt;
&lt;Placemark&gt;&lt;name&gt;&lt;name&gt;B_008&lt;/name&gt;&lt;/name&gt;&lt;styleUrl&gt;#style001&lt;/styleUrl&gt;&lt;MultiGeometry&gt;&lt;LineString&gt;&lt;coordinates&gt; 19.87365246,40.32944753 19.90657473,40.33919413 19.95048610,40.35217520 20.25975872,40.44299225 20.30380720,40.45584015 20.33685471,40.46546513 &lt;/coordinates&gt;&lt;/LineString&gt;&lt;/MultiGeometry&gt;&lt;/Placemark&gt;
&lt;Placemark&gt;&lt;name&gt;&lt;name&gt;B_009&lt;/name&gt;&lt;/name&gt;&lt;styleUrl&gt;#style001&lt;/styleUrl&gt;&lt;MultiGeometry&gt;&lt;LineString&gt;&lt;coordinates&gt; 19.90020776,40.31240967 19.93354127,40.32128164 19.97799982,40.33309612 20.25551871,40.40636732 20.30009113,40.41805885 20.33353071,40.42681629 &lt;/coordinates&gt;&lt;/LineString&gt;&lt;/MultiGeometry&gt;&lt;/Placemark&gt;
&lt;Placemark&gt;&lt;name&gt;&lt;name&gt;B_010&lt;/name&gt;&lt;/name&gt;&lt;styleUrl&gt;#style001&lt;/styleUrl&gt;&lt;MultiGeometry&gt;&lt;LineString&gt;&lt;coordinates&gt; 19.92586096,40.29577482 19.95971689,40.30337811 20.00487024,40.31350055 20.25062865,40.36823389 20.29587036,40.37824342 20.32981058,40.38573901 &lt;/coordinates&gt;&lt;/LineString&gt;&lt;/MultiGeometry&gt;&lt;/Placemark&gt;
&lt;Placemark&gt;&lt;name&gt;&lt;name&gt;D_011&lt;/name&gt;&lt;/name&gt;&lt;styleUrl&gt;#style001&lt;/styleUrl&gt;&lt;MultiGeometry&gt;&lt;LineString&gt;&lt;coordinates&gt; 19.99171711,40.18397142 20.02126020,40.19868528 20.06067099,40.21829221 20.16354660,40.26935712 20.23697239,40.32323755 20.27097592,40.34814502 20.29649500,40.36681914 &lt;/coordinates&gt;&lt;/LineString&gt;&lt;/MultiGeometry&gt;&lt;/Placemark&gt;
&lt;Placemark&gt;&lt;name&gt;&lt;name&gt;D_012&lt;/name&gt;&lt;/name&gt;&lt;styleUrl&gt;#style001&lt;/styleUrl&gt;&lt;MultiGeometry&gt;&lt;LineString&gt;&lt;coordinates&gt; 20.00902181,40.10015177 20.03923947,40.11398901 20.07954890,40.13242656 20.19688230,40.18595905 20.33339927,40.26783938 20.37046690,40.29001025 20.39828357,40.30663068 &lt;/coordinates&gt;&lt;/LineString&gt;&lt;/MultiGeometry&gt;&lt;/Placemark&gt;
&lt;Placemark&gt;&lt;name&gt;&lt;name&gt;D_013&lt;/name&gt;&lt;/name&gt;&lt;styleUrl&gt;#style001&lt;/styleUrl&gt;&lt;MultiGeometry&gt;&lt;LineString&gt;&lt;coordinates&gt; 20.06999344,39.99490639 20.10019263,40.00870828 20.14047727,40.02709870 20.27805340,40.08972468 20.47274082,40.18897396 20.51190595,40.20886563 20.54129488,40.22377573 &lt;/coordinates&gt;&lt;/LineString&gt;&lt;/MultiGeometry&gt;&lt;/Placemark&gt;
&lt;Placemark&gt;&lt;name&gt;&lt;name&gt;D_014&lt;/name&gt;&lt;/name&gt;&lt;styleUrl&gt;#style001&lt;/styleUrl&gt;&lt;MultiGeometry&gt;&lt;LineString&gt;&lt;coordinates&gt; 20.04182284,40.34655953 20.06801759,40.32844903 20.10292216,40.30429215 20.24359133,40.20665226 20.43539022,40.06906793 20.46959808,40.04443667 20.49523782,40.02595642 &lt;/coordinates&gt;&lt;/LineString&gt;&lt;/MultiGeometry&gt;&lt;/Placemark&gt;
&lt;Placemark&gt;&lt;name&gt;&lt;name&gt;D_015&lt;/name&gt;&lt;/name&gt;&lt;styleUrl&gt;#style001&lt;/styleUrl&gt;&lt;MultiGeometry&gt;&lt;LineString&gt;&lt;coordinates&gt; 20.12261409,40.34590191 20.15073125,40.32956568 20.18819977,40.30777312 20.47463523,40.14030141 20.51189631,40.11840193 20.53982647,40.10196931 &lt;/coordinates&gt;&lt;/LineString&gt;&lt;/MultiGeometry&gt;&lt;/Placemark&gt;
&lt;Placemark&gt;&lt;name&gt;&lt;name&gt;D_016&lt;/name&gt;&lt;/name&gt;&lt;styleUrl&gt;#style001&lt;/styleUrl&gt;&lt;MultiGeometry&gt;&lt;LineString&gt;&lt;coordinates&gt; 19.98029510,40.24084983 20.00395632,40.22082681 20.03548291,40.19412156 20.26121758,40.00203074 20.29254254,39.97525263 20.31602018,39.95516326 &lt;/coordinates&gt;&lt;/LineString&gt;&lt;/MultiGeometry&gt;&lt;/Placemark&gt;
&lt;Placemark&gt;&lt;name&gt;&lt;name&gt;D_017&lt;/name&gt;&lt;/name&gt;&lt;styleUrl&gt;#style001&lt;/styleUrl&gt;&lt;MultiGeometry&gt;&lt;LineString&gt;&lt;coordinates&gt; 20.15524439,40.20579509 20.18373939,40.22168924 20.22175353,40.24287067 20.30204570,40.28752528 20.34013389,40.30866821 20.36871567,40.32451724 &lt;/coordinates&gt;&lt;/LineString&gt;&lt;/MultiGeometry&gt;&lt;/Placemark&gt;
&lt;/Document&gt;&lt;/kml&gt;
</v>
      </c>
      <c r="T10" s="118" t="str" cm="1">
        <f t="array" ref="T10">_xll.PE.gps.AsGpxTracks(F15:I123)</f>
        <v xml:space="preserve">&lt;?xml version="1.0" ?&gt;&lt;gpx xmlns="http://www.topografix.com/GPX/1/1" xmlns:xsi="http://www.w3.org/2001/XMLSchema-instance" xsi:schemaLocation="http://www.topografix.com/GPX/1/1 http://www.topografix.com/GPX/1/1/gpx.xsd" version="1.1" creator="GPS Data Team ( http://www.gps-data-team.com )"&gt;
&lt;trk&gt;&lt;name&gt;A_001&lt;/name&gt;&lt;cmt&gt;Comment 1&lt;/cmt&gt;&lt;desc&gt;Description 1&lt;/desc&gt;&lt;type &gt;line 1&lt;/type &gt;&lt;trkseg&gt;
&lt;trkpt lat="40.72865741" lon="19.62750129"&gt;&lt;ele&gt;77.0&lt;/ele&gt;&lt;name&gt;Line 2&lt;/name&gt;&lt;/trkpt&gt;
&lt;trkpt lat="40.73409119" lon="19.66228249"&gt;&lt;ele&gt;621.0&lt;/ele&gt;&lt;name&gt;Line 3&lt;/name&gt;&lt;/trkpt&gt;
&lt;trkpt lat="40.74132006" lon="19.70866663"&gt;&lt;ele&gt;636.0&lt;/ele&gt;&lt;name&gt;Line 4&lt;/name&gt;&lt;/trkpt&gt;
&lt;trkpt lat="40.78031571" lon="19.96114792"&gt;&lt;ele&gt;599.0&lt;/ele&gt;&lt;name&gt;Line 5&lt;/name&gt;&lt;/trkpt&gt;
&lt;trkpt lat="40.78742515" lon="20.00759903"&gt;&lt;ele&gt;906.0&lt;/ele&gt;&lt;name&gt;Line 6&lt;/name&gt;&lt;/trkpt&gt;
&lt;trkpt lat="40.79274503" lon="20.04244409"&gt;&lt;ele&gt;136.0&lt;/ele&gt;&lt;name&gt;Line 7&lt;/name&gt;&lt;/trkpt&gt;
&lt;/trkseg&gt;&lt;/trk&gt;
&lt;trk&gt;&lt;name&gt;A_002&lt;/name&gt;&lt;trkseg&gt;
&lt;trkpt lat="40.70905889" lon="19.66791271"&gt;&lt;ele&gt;956.0&lt;/ele&gt;&lt;time&gt;2022-03-07T09:45:00&lt;/time&gt;&lt;/trkpt&gt;
&lt;trkpt lat="40.71595944" lon="19.70223219"&gt;&lt;ele&gt;344.0&lt;/ele&gt;&lt;time&gt;2022-03-07T10:09:00&lt;/time&gt;&lt;/trkpt&gt;
&lt;trkpt lat="40.72514444" lon="19.74800291"&gt;&lt;ele&gt;458.0&lt;/ele&gt;&lt;time&gt;2022-03-07T10:33:00&lt;/time&gt;&lt;/trkpt&gt;
&lt;trkpt lat="40.74646776" lon="19.85465938"&gt;&lt;ele&gt;590.0&lt;/ele&gt;&lt;time&gt;2022-03-07T10:57:00&lt;/time&gt;&lt;/trkpt&gt;
&lt;trkpt lat="40.79870154" lon="20.09912497"&gt;&lt;ele&gt;331.0&lt;/ele&gt;&lt;time&gt;2022-03-07T11:21:00&lt;/time&gt;&lt;/trkpt&gt;
&lt;trkpt lat="40.80838949" lon="20.14477660"&gt;&lt;ele&gt;460.0&lt;/ele&gt;&lt;time&gt;2022-03-07T11:45:00&lt;/time&gt;&lt;/trkpt&gt;
&lt;trkpt lat="40.81564368" lon="20.17902421"&gt;&lt;ele&gt;820.0&lt;/ele&gt;&lt;time&gt;2022-03-07T12:09:00&lt;/time&gt;&lt;/trkpt&gt;
&lt;/trkseg&gt;&lt;/trk&gt;
&lt;trk&gt;&lt;name&gt;A_003&lt;/name&gt;&lt;trkseg&gt;
&lt;trkpt lat="40.85563173" lon="19.70109529"&gt;&lt;ele&gt;48.0&lt;/ele&gt;&lt;name&gt;Line 19&lt;/name&gt;&lt;/trkpt&gt;
&lt;trkpt lat="40.84439597" lon="19.73344265"&gt;&lt;ele&gt;928.0&lt;/ele&gt;&lt;name&gt;Line 20&lt;/name&gt;&lt;/trkpt&gt;
&lt;trkpt lat="40.82940056" lon="19.77655573"&gt;&lt;ele&gt;37.0&lt;/ele&gt;&lt;name&gt;Line 21&lt;/name&gt;&lt;/trkpt&gt;
&lt;trkpt lat="40.78903112" lon="19.89229294"&gt;&lt;ele&gt;762.0&lt;/ele&gt;&lt;name&gt;Line 22&lt;/name&gt;&lt;/trkpt&gt;
&lt;trkpt lat="40.76092575" lon="19.96568939"&gt;&lt;ele&gt;476.0&lt;/ele&gt;&lt;name&gt;Line 23&lt;/name&gt;&lt;/trkpt&gt;
&lt;trkpt lat="40.74470183" lon="20.00797354"&gt;&lt;ele&gt;385.0&lt;/ele&gt;&lt;name&gt;Line 24&lt;/name&gt;&lt;/trkpt&gt;
&lt;trkpt lat="40.73252354" lon="20.03967331"&gt;&lt;ele&gt;343.0&lt;/ele&gt;&lt;name&gt;Line 25&lt;/name&gt;&lt;/trkpt&gt;
&lt;/trkseg&gt;&lt;/trk&gt;
&lt;trk&gt;&lt;name&gt;B_008&lt;/name&gt;&lt;cmt&gt;Comment 2&lt;/cmt&gt;&lt;desc&gt;Description 2&lt;/desc&gt;&lt;type &gt;line 2&lt;/type &gt;&lt;trkseg&gt;
&lt;trkpt lat="40.32944753" lon="19.87365246"&gt;&lt;ele&gt;592.0&lt;/ele&gt;&lt;name&gt;Line 28&lt;/name&gt;&lt;/trkpt&gt;
&lt;trkpt lat="40.33919413" lon="19.90657473"&gt;&lt;ele&gt;282.0&lt;/ele&gt;&lt;name&gt;Line 29&lt;/name&gt;&lt;/trkpt&gt;
&lt;trkpt lat="40.35217520" lon="19.95048610"&gt;&lt;ele&gt;880.0&lt;/ele&gt;&lt;name&gt;Line 30&lt;/name&gt;&lt;/trkpt&gt;
&lt;trkpt lat="40.44299225" lon="20.25975872"&gt;&lt;ele&gt;381.0&lt;/ele&gt;&lt;name&gt;Line 31&lt;/name&gt;&lt;/trkpt&gt;
&lt;trkpt lat="40.45584015" lon="20.30380720"&gt;&lt;ele&gt;914.0&lt;/ele&gt;&lt;name&gt;Line 32&lt;/name&gt;&lt;/trkpt&gt;
&lt;trkpt lat="40.46546513" lon="20.33685471"&gt;&lt;ele&gt;426.0&lt;/ele&gt;&lt;name&gt;Line 33&lt;/name&gt;&lt;/trkpt&gt;
&lt;/trkseg&gt;&lt;/trk&gt;
&lt;trk&gt;&lt;name&gt;B_009&lt;/name&gt;&lt;trkseg&gt;
&lt;trkpt lat="40.31240967" lon="19.90020776"&gt;&lt;ele&gt;438.0&lt;/ele&gt;&lt;name&gt;Line 36&lt;/name&gt;&lt;/trkpt&gt;
&lt;trkpt lat="40.32128164" lon="19.93354127"&gt;&lt;ele&gt;349.0&lt;/ele&gt;&lt;name&gt;Line 37&lt;/name&gt;&lt;/trkpt&gt;
&lt;trkpt lat="40.33309612" lon="19.97799982"&gt;&lt;ele&gt;818.0&lt;/ele&gt;&lt;name&gt;Line 38&lt;/name&gt;&lt;/trkpt&gt;
&lt;trkpt lat="40.40636732" lon="20.25551871"&gt;&lt;ele&gt;533.0&lt;/ele&gt;&lt;name&gt;Line 39&lt;/name&gt;&lt;/trkpt&gt;
&lt;trkpt lat="40.41805885" lon="20.30009113"&gt;&lt;ele&gt;302.0&lt;/ele&gt;&lt;name&gt;Line 40&lt;/name&gt;&lt;/trkpt&gt;
&lt;trkpt lat="40.42681629" lon="20.33353071"&gt;&lt;ele&gt;699.0&lt;/ele&gt;&lt;name&gt;Line 41&lt;/name&gt;&lt;/trkpt&gt;
&lt;/trkseg&gt;&lt;/trk&gt;
&lt;trk&gt;&lt;name&gt;B_010&lt;/name&gt;&lt;trkseg&gt;
&lt;trkpt lat="40.29577482" lon="19.92586096"&gt;&lt;ele&gt;727.0&lt;/ele&gt;&lt;name&gt;Line 44&lt;/name&gt;&lt;/trkpt&gt;
&lt;trkpt lat="40.30337811" lon="19.95971689"&gt;&lt;ele&gt;618.0&lt;/ele&gt;&lt;name&gt;Line 45&lt;/name&gt;&lt;/trkpt&gt;
&lt;trkpt lat="40.31350055" lon="20.00487024"&gt;&lt;ele&gt;492.0&lt;/ele&gt;&lt;name&gt;Line 46&lt;/name&gt;&lt;/trkpt&gt;
&lt;trkpt lat="40.36823389" lon="20.25062865"&gt;&lt;ele&gt;565.0&lt;/ele&gt;&lt;name&gt;Line 47&lt;/name&gt;&lt;/trkpt&gt;
&lt;trkpt lat="40.37824342" lon="20.29587036"&gt;&lt;ele&gt;557.0&lt;/ele&gt;&lt;name&gt;Line 48&lt;/name&gt;&lt;/trkpt&gt;
&lt;trkpt lat="40.38573901" lon="20.32981058"&gt;&lt;ele&gt;577.0&lt;/ele&gt;&lt;name&gt;Line 49&lt;/name&gt;&lt;/trkpt&gt;
&lt;/trkseg&gt;&lt;/trk&gt;
&lt;trk&gt;&lt;name&gt;D_011&lt;/name&gt;&lt;trkseg&gt;
&lt;trkpt lat="40.18397142" lon="19.99171711"&gt;&lt;ele&gt;552.0&lt;/ele&gt;&lt;name&gt;Line 52&lt;/name&gt;&lt;/trkpt&gt;
&lt;trkpt lat="40.19868528" lon="20.02126020"&gt;&lt;ele&gt;327.0&lt;/ele&gt;&lt;name&gt;Line 53&lt;/name&gt;&lt;/trkpt&gt;
&lt;trkpt lat="40.21829221" lon="20.06067099"&gt;&lt;ele&gt;880.0&lt;/ele&gt;&lt;name&gt;Line 54&lt;/name&gt;&lt;/trkpt&gt;
&lt;trkpt lat="40.26935712" lon="20.16354660"&gt;&lt;ele&gt;125.0&lt;/ele&gt;&lt;name&gt;Line 55&lt;/name&gt;&lt;/trkpt&gt;
&lt;trkpt lat="40.32323755" lon="20.23697239"&gt;&lt;ele&gt;252.0&lt;/ele&gt;&lt;name&gt;Line 56&lt;/name&gt;&lt;/trkpt&gt;
&lt;trkpt lat="40.34814502" lon="20.27097592"&gt;&lt;ele&gt;863.0&lt;/ele&gt;&lt;name&gt;Line 57&lt;/name&gt;&lt;/trkpt&gt;
&lt;trkpt lat="40.36681914" lon="20.29649500"&gt;&lt;ele&gt;521.0&lt;/ele&gt;&lt;name&gt;Line 58&lt;/name&gt;&lt;/trkpt&gt;
&lt;/trkseg&gt;&lt;/trk&gt;
&lt;trk&gt;&lt;name&gt;D_012&lt;/name&gt;&lt;trkseg&gt;
&lt;trkpt lat="40.10015177" lon="20.00902181"&gt;&lt;ele&gt;685.0&lt;/ele&gt;&lt;name&gt;Line 61&lt;/name&gt;&lt;/trkpt&gt;
&lt;trkpt lat="40.11398901" lon="20.03923947"&gt;&lt;ele&gt;775.0&lt;/ele&gt;&lt;name&gt;Line 62&lt;/name&gt;&lt;/trkpt&gt;
&lt;trkpt lat="40.13242656" lon="20.07954890"&gt;&lt;ele&gt;366.0&lt;/ele&gt;&lt;name&gt;Line 63&lt;/name&gt;&lt;/trkpt&gt;
&lt;trkpt lat="40.18595905" lon="20.19688230"&gt;&lt;ele&gt;273.0&lt;/ele&gt;&lt;name&gt;Line 64&lt;/name&gt;&lt;/trkpt&gt;
&lt;trkpt lat="40.26783938" lon="20.33339927"&gt;&lt;ele&gt;158.0&lt;/ele&gt;&lt;name&gt;Line 65&lt;/name&gt;&lt;/trkpt&gt;
&lt;trkpt lat="40.29001025" lon="20.37046690"&gt;&lt;ele&gt;562.0&lt;/ele&gt;&lt;name&gt;Line 66&lt;/name&gt;&lt;/trkpt&gt;
&lt;trkpt lat="40.30663068" lon="20.39828357"&gt;&lt;ele&gt;502.0&lt;/ele&gt;&lt;name&gt;Line 67&lt;/name&gt;&lt;/trkpt&gt;
&lt;/trkseg&gt;&lt;/trk&gt;
&lt;trk&gt;&lt;name&gt;D_013&lt;/name&gt;&lt;trkseg&gt;
&lt;trkpt lat="39.99490639" lon="20.06999344"&gt;&lt;ele&gt;850.0&lt;/ele&gt;&lt;name&gt;Line 70&lt;/name&gt;&lt;/trkpt&gt;
&lt;trkpt lat="40.00870828" lon="20.10019263"&gt;&lt;ele&gt;741.0&lt;/ele&gt;&lt;name&gt;Line 71&lt;/name&gt;&lt;/trkpt&gt;
&lt;trkpt lat="40.02709870" lon="20.14047727"&gt;&lt;ele&gt;209.0&lt;/ele&gt;&lt;name&gt;Line 72&lt;/name&gt;&lt;/trkpt&gt;
&lt;trkpt lat="40.08972468" lon="20.27805340"&gt;&lt;ele&gt;60.0&lt;/ele&gt;&lt;name&gt;Line 73&lt;/name&gt;&lt;/trkpt&gt;
&lt;trkpt lat="40.18897396" lon="20.47274082"&gt;&lt;ele&gt;297.0&lt;/ele&gt;&lt;name&gt;Line 74&lt;/name&gt;&lt;/trkpt&gt;
&lt;trkpt lat="40.20886563" lon="20.51190595"&gt;&lt;ele&gt;541.0&lt;/ele&gt;&lt;name&gt;Line 75&lt;/name&gt;&lt;/trkpt&gt;
&lt;trkpt lat="40.22377573" lon="20.54129488"&gt;&lt;ele&gt;944.0&lt;/ele&gt;&lt;name&gt;Line 76&lt;/name&gt;&lt;/trkpt&gt;
&lt;/trkseg&gt;&lt;/trk&gt;
&lt;trk&gt;&lt;name&gt;D_014&lt;/name&gt;&lt;trkseg&gt;
&lt;trkpt lat="40.34655953" lon="20.04182284"&gt;&lt;ele&gt;873.0&lt;/ele&gt;&lt;name&gt;Line 79&lt;/name&gt;&lt;/trkpt&gt;
&lt;trkpt lat="40.32844903" lon="20.06801759"&gt;&lt;ele&gt;260.0&lt;/ele&gt;&lt;name&gt;Line 80&lt;/name&gt;&lt;/trkpt&gt;
&lt;trkpt lat="40.30429215" lon="20.10292216"&gt;&lt;ele&gt;248.0&lt;/ele&gt;&lt;name&gt;Line 81&lt;/name&gt;&lt;/trkpt&gt;
&lt;trkpt lat="40.20665226" lon="20.24359133"&gt;&lt;ele&gt;45.0&lt;/ele&gt;&lt;name&gt;Line 82&lt;/name&gt;&lt;/trkpt&gt;
&lt;trkpt lat="40.06906793" lon="20.43539022"&gt;&lt;ele&gt;47.0&lt;/ele&gt;&lt;name&gt;Line 83&lt;/name&gt;&lt;/trkpt&gt;
&lt;trkpt lat="40.04443667" lon="20.46959808"&gt;&lt;ele&gt;26.0&lt;/ele&gt;&lt;name&gt;Line 84&lt;/name&gt;&lt;/trkpt&gt;
&lt;trkpt lat="40.02595642" lon="20.49523782"&gt;&lt;ele&gt;820.0&lt;/ele&gt;&lt;name&gt;Line 85&lt;/name&gt;&lt;/trkpt&gt;
&lt;/trkseg&gt;&lt;/trk&gt;
&lt;trk&gt;&lt;name&gt;D_015&lt;/name&gt;&lt;trkseg&gt;
&lt;trkpt lat="40.34590191" lon="20.12261409"&gt;&lt;ele&gt;34.0&lt;/ele&gt;&lt;name&gt;Line 88&lt;/name&gt;&lt;/trkpt&gt;
&lt;trkpt lat="40.32956568" lon="20.15073125"&gt;&lt;ele&gt;18.0&lt;/ele&gt;&lt;name&gt;Line 89&lt;/name&gt;&lt;/trkpt&gt;
&lt;trkpt lat="40.30777312" lon="20.18819977"&gt;&lt;ele&gt;936.0&lt;/ele&gt;&lt;name&gt;Line 90&lt;/name&gt;&lt;/trkpt&gt;
&lt;trkpt lat="40.14030141" lon="20.47463523"&gt;&lt;ele&gt;665.0&lt;/ele&gt;&lt;name&gt;Line 91&lt;/name&gt;&lt;/trkpt&gt;
&lt;trkpt lat="40.11840193" lon="20.51189631"&gt;&lt;ele&gt;806.0&lt;/ele&gt;&lt;name&gt;Line 92&lt;/name&gt;&lt;/trkpt&gt;
&lt;trkpt lat="40.10196931" lon="20.53982647"&gt;&lt;ele&gt;8.0&lt;/ele&gt;&lt;name&gt;Line 93&lt;/name&gt;&lt;/trkpt&gt;
&lt;/trkseg&gt;&lt;/trk&gt;
&lt;trk&gt;&lt;name&gt;D_016&lt;/name&gt;&lt;trkseg&gt;
&lt;trkpt lat="40.24084983" lon="19.98029510"&gt;&lt;ele&gt;364.0&lt;/ele&gt;&lt;name&gt;Line 96&lt;/name&gt;&lt;/trkpt&gt;
&lt;trkpt lat="40.22082681" lon="20.00395632"&gt;&lt;ele&gt;990.0&lt;/ele&gt;&lt;name&gt;Line 97&lt;/name&gt;&lt;/trkpt&gt;
&lt;trkpt lat="40.19412156" lon="20.03548291"&gt;&lt;ele&gt;916.0&lt;/ele&gt;&lt;name&gt;Line 98&lt;/name&gt;&lt;/trkpt&gt;
&lt;trkpt lat="40.00203074" lon="20.26121758"&gt;&lt;ele&gt;221.0&lt;/ele&gt;&lt;name&gt;Line 99&lt;/name&gt;&lt;/trkpt&gt;
&lt;trkpt lat="39.97525263" lon="20.29254254"&gt;&lt;ele&gt;570.0&lt;/ele&gt;&lt;name&gt;Line 100&lt;/name&gt;&lt;/trkpt&gt;
&lt;trkpt lat="39.95516326" lon="20.31602018"&gt;&lt;ele&gt;398.0&lt;/ele&gt;&lt;name&gt;Line 101&lt;/name&gt;&lt;/trkpt&gt;
&lt;/trkseg&gt;&lt;/trk&gt;
&lt;trk&gt;&lt;name&gt;D_017&lt;/name&gt;&lt;trkseg&gt;
&lt;trkpt lat="40.20579509" lon="20.15524439"&gt;&lt;ele&gt;790.0&lt;/ele&gt;&lt;name&gt;Line 104&lt;/name&gt;&lt;/trkpt&gt;
&lt;trkpt lat="40.22168924" lon="20.18373939"&gt;&lt;ele&gt;618.0&lt;/ele&gt;&lt;name&gt;Line 105&lt;/name&gt;&lt;/trkpt&gt;
&lt;trkpt lat="40.24287067" lon="20.22175353"&gt;&lt;ele&gt;443.0&lt;/ele&gt;&lt;name&gt;Line 106&lt;/name&gt;&lt;/trkpt&gt;
&lt;trkpt lat="40.28752528" lon="20.30204570"&gt;&lt;ele&gt;539.0&lt;/ele&gt;&lt;name&gt;Line 107&lt;/name&gt;&lt;/trkpt&gt;
&lt;trkpt lat="40.30866821" lon="20.34013389"&gt;&lt;ele&gt;819.0&lt;/ele&gt;&lt;name&gt;Line 108&lt;/name&gt;&lt;/trkpt&gt;
&lt;trkpt lat="40.32451724" lon="20.36871567"&gt;&lt;ele&gt;792.0&lt;/ele&gt;&lt;name&gt;Line 109&lt;/name&gt;&lt;/trkpt&gt;
&lt;/trkseg&gt;&lt;/trk&gt;
&lt;/gpx&gt;
</v>
      </c>
      <c r="U10" t="s">
        <v>0</v>
      </c>
      <c r="V10" s="1"/>
    </row>
    <row r="11" spans="1:22" ht="15" thickBot="1" x14ac:dyDescent="0.4">
      <c r="G11" s="61"/>
      <c r="H11" s="61"/>
      <c r="I11" s="61"/>
      <c r="O11"/>
    </row>
    <row r="12" spans="1:22" ht="15" thickBot="1" x14ac:dyDescent="0.4">
      <c r="C12" s="21" t="s">
        <v>140</v>
      </c>
      <c r="D12" s="182" t="str" cm="1">
        <f t="array" ref="D12">_xll.PE.trf.Options(,,,,,,"Always",0)</f>
        <v>NoBallparkConversions=False;NoDiscardIfMissing=False;UsePrimaryGridNames=False;UseSuperseded=False;AllowDeprecatedCrs=False;StrictContains=False;IntermediateCrsUsage=Always;CandidateIndex=0</v>
      </c>
      <c r="E12" s="183"/>
      <c r="F12" s="183"/>
      <c r="G12" s="183"/>
      <c r="H12" s="183"/>
      <c r="I12" s="183"/>
      <c r="J12" s="183"/>
      <c r="K12" s="183"/>
      <c r="L12" s="183"/>
      <c r="M12" s="184" t="s">
        <v>0</v>
      </c>
      <c r="O12"/>
      <c r="S12" s="100" t="s">
        <v>44</v>
      </c>
      <c r="T12" s="95" t="s">
        <v>45</v>
      </c>
    </row>
    <row r="13" spans="1:22" ht="15" thickBot="1" x14ac:dyDescent="0.4">
      <c r="O13"/>
      <c r="S13" s="46" t="s">
        <v>23</v>
      </c>
      <c r="T13" s="96" t="s">
        <v>0</v>
      </c>
    </row>
    <row r="14" spans="1:22" ht="15" thickBot="1" x14ac:dyDescent="0.4">
      <c r="F14" s="4" t="s">
        <v>15</v>
      </c>
      <c r="G14" s="5" t="s">
        <v>16</v>
      </c>
      <c r="H14" s="4" t="s">
        <v>128</v>
      </c>
      <c r="I14" s="5" t="s">
        <v>127</v>
      </c>
      <c r="O14"/>
      <c r="S14" s="47" t="s">
        <v>20</v>
      </c>
      <c r="T14" s="97" t="s">
        <v>18</v>
      </c>
      <c r="U14" t="s">
        <v>0</v>
      </c>
    </row>
    <row r="15" spans="1:22" ht="15" thickBot="1" x14ac:dyDescent="0.4">
      <c r="C15" s="11" t="s">
        <v>30</v>
      </c>
      <c r="D15" s="4" t="s">
        <v>3</v>
      </c>
      <c r="E15" s="5" t="s">
        <v>4</v>
      </c>
      <c r="F15" s="113" t="str">
        <f>C15</f>
        <v>A_001</v>
      </c>
      <c r="G15" s="113" t="s">
        <v>125</v>
      </c>
      <c r="H15" s="117" t="s">
        <v>126</v>
      </c>
      <c r="I15" s="117" t="s">
        <v>47</v>
      </c>
      <c r="J15" s="4" t="s">
        <v>15</v>
      </c>
      <c r="K15" s="5" t="s">
        <v>16</v>
      </c>
      <c r="L15" s="4" t="s">
        <v>15</v>
      </c>
      <c r="M15" s="5" t="s">
        <v>16</v>
      </c>
      <c r="N15" s="4" t="s">
        <v>42</v>
      </c>
      <c r="O15" s="5" t="s">
        <v>43</v>
      </c>
      <c r="P15" s="2" t="s">
        <v>1</v>
      </c>
      <c r="Q15" s="107" t="s">
        <v>2</v>
      </c>
      <c r="R15" s="2" t="s">
        <v>1</v>
      </c>
      <c r="S15" s="44" t="str">
        <f>CONCATENATE("&lt;Placemark&gt;&lt;name&gt;",A20,"&lt;/name&gt;&lt;styleUrl&gt;#track001&lt;/styleUrl&gt;&lt;MultiGeometry&gt;&lt;LineString&gt;&lt;coordinates&gt;")</f>
        <v>&lt;Placemark&gt;&lt;name&gt;A_001&lt;/name&gt;&lt;styleUrl&gt;#track001&lt;/styleUrl&gt;&lt;MultiGeometry&gt;&lt;LineString&gt;&lt;coordinates&gt;</v>
      </c>
      <c r="T15" s="98" t="str">
        <f>CONCATENATE("&lt;trk&gt;&lt;name&gt;",A20,"&lt;/name&gt;&lt;trkseg&gt;")</f>
        <v>&lt;trk&gt;&lt;name&gt;A_001&lt;/name&gt;&lt;trkseg&gt;</v>
      </c>
    </row>
    <row r="16" spans="1:22" ht="15" thickBot="1" x14ac:dyDescent="0.4">
      <c r="A16" s="24"/>
      <c r="B16" s="101">
        <v>1</v>
      </c>
      <c r="C16" s="12" t="s">
        <v>13</v>
      </c>
      <c r="D16" s="26">
        <f>D17-$D$7*SIN(RADIANS(Q17))</f>
        <v>4384181.1909950031</v>
      </c>
      <c r="E16" s="27">
        <f>E17-$D$7*COS(RADIANS(Q17))</f>
        <v>4511477.2929155556</v>
      </c>
      <c r="F16" s="132" cm="1">
        <f t="array" ref="F16:G16">_xll.PE.trf.ApplyForwardEx($D$4,$D$5,D16:E16,0,1,$D$12,,,,)</f>
        <v>19.627501288698802</v>
      </c>
      <c r="G16" s="134">
        <v>40.728657406572829</v>
      </c>
      <c r="H16" s="152">
        <v>77</v>
      </c>
      <c r="I16" s="153" t="s">
        <v>48</v>
      </c>
      <c r="J16" s="119" t="str" cm="1">
        <f t="array" ref="J16">_xll.PE.deg.AsString(F16,1, "dd.dddddd°")</f>
        <v>19.627501°E</v>
      </c>
      <c r="K16" s="125" t="str" cm="1">
        <f t="array" ref="K16">_xll.PE.deg.AsString(G16,2, "dd.dddddd°")</f>
        <v>40.728657°N</v>
      </c>
      <c r="L16" s="121" cm="1">
        <f t="array" ref="L16">_xll.PE.deg.FromString(J16)</f>
        <v>19.627500999999999</v>
      </c>
      <c r="M16" s="122" cm="1">
        <f t="array" ref="M16">_xll.PE.deg.FromString(K16)</f>
        <v>40.728656999999998</v>
      </c>
      <c r="N16" s="83">
        <f t="shared" ref="N16:O21" si="0">F16-L16</f>
        <v>2.8869880352999644E-7</v>
      </c>
      <c r="O16" s="127">
        <f t="shared" si="0"/>
        <v>4.0657283051359627E-7</v>
      </c>
      <c r="P16" s="161">
        <f>SQRT((D17-D16)^2+(E17-E16)^2)</f>
        <v>2999.9999999995161</v>
      </c>
      <c r="Q16" s="108">
        <f>IF(DEGREES(ATAN2(E17-E16,D17-D16))&lt;0,DEGREES(ATAN2(E17-E16,D17-D16))+360,(DEGREES(ATAN2(E17-E16,D17-D16))))</f>
        <v>79.278834728222535</v>
      </c>
      <c r="R16" s="89"/>
      <c r="S16" s="44" t="str">
        <f t="shared" ref="S16:S21" si="1">CONCATENATE(TEXT(F16,"#.00000000"),",",TEXT(G16,"#.00000000"))</f>
        <v>19.62750129,40.72865741</v>
      </c>
      <c r="T16" s="98" t="str">
        <f t="shared" ref="T16:T21" si="2">CONCATENATE("&lt;trkpt lon=""",TEXT(F16,"#.00000000"),""" lat=""",TEXT(G16,"#.00000000"),"""","&gt;&lt;name&gt;S",TEXT(B16,"00"),"&lt;/name&gt;&lt;/trkpt&gt;")</f>
        <v>&lt;trkpt lon="19.62750129" lat="40.72865741"&gt;&lt;name&gt;S01&lt;/name&gt;&lt;/trkpt&gt;</v>
      </c>
    </row>
    <row r="17" spans="1:20" ht="15" thickBot="1" x14ac:dyDescent="0.4">
      <c r="A17" s="24"/>
      <c r="B17" s="102">
        <v>2</v>
      </c>
      <c r="C17" s="12" t="s">
        <v>5</v>
      </c>
      <c r="D17" s="37">
        <f>D18-$D$8*SIN(RADIANS(Q18))</f>
        <v>4387128.8234257158</v>
      </c>
      <c r="E17" s="38">
        <f>E18-$D$8*COS(RADIANS(Q18))</f>
        <v>4512035.3816660317</v>
      </c>
      <c r="F17" s="135" cm="1">
        <f t="array" ref="F17:G17">_xll.PE.trf.ApplyForwardEx($D$4,$D$5,D17:E17,0,1,$D$12,,,,)</f>
        <v>19.662282485406411</v>
      </c>
      <c r="G17" s="137">
        <v>40.734091192706153</v>
      </c>
      <c r="H17" s="154">
        <v>621</v>
      </c>
      <c r="I17" s="155" t="s">
        <v>49</v>
      </c>
      <c r="J17" s="120" t="str" cm="1">
        <f t="array" ref="J17">_xll.PE.deg.AsString(F17,3, "dd°mm'ss.sss""")</f>
        <v>E19°39'44.217"</v>
      </c>
      <c r="K17" s="126" t="str" cm="1">
        <f t="array" ref="K17">_xll.PE.deg.AsString(G17,4, "dd°mm'ss.sss""")</f>
        <v>N40°44'02.728"</v>
      </c>
      <c r="L17" s="123" cm="1">
        <f t="array" ref="L17">_xll.PE.deg.FromString(J17)</f>
        <v>19.6622825</v>
      </c>
      <c r="M17" s="124" cm="1">
        <f t="array" ref="M17">_xll.PE.deg.FromString(K17)</f>
        <v>40.734091111111113</v>
      </c>
      <c r="N17" s="128">
        <f t="shared" si="0"/>
        <v>-1.4593588559819182E-8</v>
      </c>
      <c r="O17" s="129">
        <f t="shared" si="0"/>
        <v>8.159504005789131E-8</v>
      </c>
      <c r="P17" s="162">
        <f>SQRT((D18-D17)^2+(E18-E17)^2)</f>
        <v>4000.0000000000232</v>
      </c>
      <c r="Q17" s="89">
        <f>IF(DEGREES(ATAN2(E18-E17,D18-D17))&lt;0,DEGREES(ATAN2(E18-E17,D18-D17))+360,(DEGREES(ATAN2(E18-E17,D18-D17))))</f>
        <v>79.27883472821982</v>
      </c>
      <c r="R17" s="21">
        <v>2462</v>
      </c>
      <c r="S17" s="44" t="str">
        <f t="shared" si="1"/>
        <v>19.66228249,40.73409119</v>
      </c>
      <c r="T17" s="98" t="str">
        <f t="shared" si="2"/>
        <v>&lt;trkpt lon="19.66228249" lat="40.73409119"&gt;&lt;name&gt;S02&lt;/name&gt;&lt;/trkpt&gt;</v>
      </c>
    </row>
    <row r="18" spans="1:20" ht="15" thickBot="1" x14ac:dyDescent="0.4">
      <c r="A18" s="24"/>
      <c r="B18" s="102">
        <v>3</v>
      </c>
      <c r="C18" s="12" t="s">
        <v>8</v>
      </c>
      <c r="D18" s="18">
        <v>4391059</v>
      </c>
      <c r="E18" s="28">
        <v>4512779.5</v>
      </c>
      <c r="F18" s="138" cm="1">
        <f t="array" ref="F18:G18">_xll.PE.trf.ApplyForwardEx($D$4,$D$5,D18:E18,0,1,$D$12,,,,)</f>
        <v>19.708666633032713</v>
      </c>
      <c r="G18" s="140">
        <v>40.741320058972271</v>
      </c>
      <c r="H18" s="156">
        <v>636</v>
      </c>
      <c r="I18" s="155" t="s">
        <v>50</v>
      </c>
      <c r="J18" s="144" t="str" cm="1">
        <f t="array" ref="J18">_xll.PE.deg.AsString(F18)</f>
        <v>19 42 31</v>
      </c>
      <c r="K18" s="139" t="str" cm="1">
        <f t="array" ref="K18">_xll.PE.deg.AsString(G18)</f>
        <v>40 44 29</v>
      </c>
      <c r="L18" s="145" cm="1">
        <f t="array" ref="L18">_xll.PE.deg.FromString(J18)</f>
        <v>19.708611111111111</v>
      </c>
      <c r="M18" s="146" cm="1">
        <f t="array" ref="M18">_xll.PE.deg.FromString(K18)</f>
        <v>40.741388888888892</v>
      </c>
      <c r="N18" s="85">
        <f t="shared" si="0"/>
        <v>5.5521921602519342E-5</v>
      </c>
      <c r="O18" s="81">
        <f t="shared" si="0"/>
        <v>-6.8829916621382381E-5</v>
      </c>
      <c r="P18" s="163">
        <f>SQRT((D19-D18)^2+(E19-E18)^2)</f>
        <v>21757.292168374261</v>
      </c>
      <c r="Q18" s="93">
        <f>IF(DEGREES(ATAN2(E19-E18,D19-D18))&lt;0,DEGREES(ATAN2(E19-E18,D19-D18))+360,(DEGREES(ATAN2(E19-E18,D19-D18))))</f>
        <v>79.278834728215031</v>
      </c>
      <c r="R18" s="90" cm="1">
        <f t="array" ref="R18">_xll.PE.crs.GeodesicDistance($D$4,D17:E20)</f>
        <v>29753.732339481572</v>
      </c>
      <c r="S18" s="44" t="str">
        <f t="shared" si="1"/>
        <v>19.70866663,40.74132006</v>
      </c>
      <c r="T18" s="98" t="str">
        <f t="shared" si="2"/>
        <v>&lt;trkpt lon="19.70866663" lat="40.74132006"&gt;&lt;name&gt;S03&lt;/name&gt;&lt;/trkpt&gt;</v>
      </c>
    </row>
    <row r="19" spans="1:20" ht="15" thickBot="1" x14ac:dyDescent="0.4">
      <c r="A19" s="24"/>
      <c r="B19" s="102">
        <v>4</v>
      </c>
      <c r="C19" s="12" t="s">
        <v>7</v>
      </c>
      <c r="D19" s="18">
        <v>4412436.5</v>
      </c>
      <c r="E19" s="28">
        <v>4516827</v>
      </c>
      <c r="F19" s="138" cm="1">
        <f t="array" ref="F19:G19">_xll.PE.trf.ApplyForwardEx($D$4,$D$5,D19:E19,0,1,$D$12,,,,)</f>
        <v>19.961147921469532</v>
      </c>
      <c r="G19" s="140">
        <v>40.780315713923812</v>
      </c>
      <c r="H19" s="156">
        <v>599</v>
      </c>
      <c r="I19" s="155" t="s">
        <v>51</v>
      </c>
      <c r="J19" s="144" t="str" cm="1">
        <f t="array" ref="J19">_xll.PE.deg.AsString(F19)</f>
        <v>19 57 40</v>
      </c>
      <c r="K19" s="139" t="str" cm="1">
        <f t="array" ref="K19">_xll.PE.deg.AsString(G19)</f>
        <v>40 46 49</v>
      </c>
      <c r="L19" s="145" cm="1">
        <f t="array" ref="L19">_xll.PE.deg.FromString(J19)</f>
        <v>19.961111111111112</v>
      </c>
      <c r="M19" s="146" cm="1">
        <f t="array" ref="M19">_xll.PE.deg.FromString(K19)</f>
        <v>40.780277777777776</v>
      </c>
      <c r="N19" s="85">
        <f t="shared" si="0"/>
        <v>3.6810358420069633E-5</v>
      </c>
      <c r="O19" s="81">
        <f t="shared" si="0"/>
        <v>3.7936146036088303E-5</v>
      </c>
      <c r="P19" s="162">
        <f>SQRT((D20-D19)^2+(E20-E19)^2)</f>
        <v>4000.0000000000232</v>
      </c>
      <c r="Q19" s="89">
        <f>IF(DEGREES(ATAN2(E20-E19,D20-D19))&lt;0,DEGREES(ATAN2(E20-E19,D20-D19))+360,(DEGREES(ATAN2(E20-E19,D20-D19))))</f>
        <v>79.27883472821982</v>
      </c>
      <c r="R19" s="89"/>
      <c r="S19" s="44" t="str">
        <f t="shared" si="1"/>
        <v>19.96114792,40.78031571</v>
      </c>
      <c r="T19" s="98" t="str">
        <f t="shared" si="2"/>
        <v>&lt;trkpt lon="19.96114792" lat="40.78031571"&gt;&lt;name&gt;S04&lt;/name&gt;&lt;/trkpt&gt;</v>
      </c>
    </row>
    <row r="20" spans="1:20" ht="15" thickBot="1" x14ac:dyDescent="0.4">
      <c r="A20" s="24" t="str">
        <f>C15</f>
        <v>A_001</v>
      </c>
      <c r="B20" s="102">
        <v>5</v>
      </c>
      <c r="C20" s="12" t="s">
        <v>5</v>
      </c>
      <c r="D20" s="37">
        <f>D19+$D$8*SIN(RADIANS(Q18))</f>
        <v>4416366.6765742842</v>
      </c>
      <c r="E20" s="38">
        <f>E19+$D$8*COS(RADIANS(Q18))</f>
        <v>4517571.1183339683</v>
      </c>
      <c r="F20" s="135" cm="1">
        <f t="array" ref="F20:G20">_xll.PE.trf.ApplyForwardEx($D$4,$D$5,D20:E20,0,1,$D$12,,,,)</f>
        <v>20.007599027220387</v>
      </c>
      <c r="G20" s="137">
        <v>40.787425154590217</v>
      </c>
      <c r="H20" s="154">
        <v>906</v>
      </c>
      <c r="I20" s="155" t="s">
        <v>52</v>
      </c>
      <c r="J20" s="144" t="str" cm="1">
        <f t="array" ref="J20">_xll.PE.deg.AsString(F20)</f>
        <v>20 00 27</v>
      </c>
      <c r="K20" s="136" t="str" cm="1">
        <f t="array" ref="K20">_xll.PE.deg.AsString(G20)</f>
        <v>40 47 15</v>
      </c>
      <c r="L20" s="147" cm="1">
        <f t="array" ref="L20">_xll.PE.deg.FromString(J20)</f>
        <v>20.0075</v>
      </c>
      <c r="M20" s="148" cm="1">
        <f t="array" ref="M20">_xll.PE.deg.FromString(K20)</f>
        <v>40.787500000000001</v>
      </c>
      <c r="N20" s="84">
        <f t="shared" si="0"/>
        <v>9.9027220386460613E-5</v>
      </c>
      <c r="O20" s="80">
        <f t="shared" si="0"/>
        <v>-7.4845409784529693E-5</v>
      </c>
      <c r="P20" s="162">
        <f>SQRT((D21-D20)^2+(E21-E20)^2)</f>
        <v>2999.9999999995161</v>
      </c>
      <c r="Q20" s="89">
        <f>IF(DEGREES(ATAN2(E21-E20,D21-D20))&lt;0,DEGREES(ATAN2(E21-E20,D21-D20))+360,(DEGREES(ATAN2(E21-E20,D21-D20))))</f>
        <v>79.278834728222535</v>
      </c>
      <c r="R20" s="5">
        <v>4326</v>
      </c>
      <c r="S20" s="44" t="str">
        <f t="shared" si="1"/>
        <v>20.00759903,40.78742515</v>
      </c>
      <c r="T20" s="98" t="str">
        <f t="shared" si="2"/>
        <v>&lt;trkpt lon="20.00759903" lat="40.78742515"&gt;&lt;name&gt;S05&lt;/name&gt;&lt;/trkpt&gt;</v>
      </c>
    </row>
    <row r="21" spans="1:20" ht="15" thickBot="1" x14ac:dyDescent="0.4">
      <c r="A21" s="24"/>
      <c r="B21" s="103">
        <v>6</v>
      </c>
      <c r="C21" s="13" t="s">
        <v>13</v>
      </c>
      <c r="D21" s="29">
        <f>D20+$D$7*SIN(RADIANS(Q19))</f>
        <v>4419314.3090049969</v>
      </c>
      <c r="E21" s="30">
        <f>E20+$D$7*COS(RADIANS(Q19))</f>
        <v>4518129.2070844444</v>
      </c>
      <c r="F21" s="141" cm="1">
        <f t="array" ref="F21:G21">_xll.PE.trf.ApplyForwardEx($D$4,$D$5,D21:E21,0,1,$D$12,,,,)</f>
        <v>20.042444089865263</v>
      </c>
      <c r="G21" s="143">
        <v>40.792745029791639</v>
      </c>
      <c r="H21" s="157">
        <v>136</v>
      </c>
      <c r="I21" s="155" t="s">
        <v>53</v>
      </c>
      <c r="J21" s="149" t="str" cm="1">
        <f t="array" ref="J21">_xll.PE.deg.AsString(F21)</f>
        <v>20 02 33</v>
      </c>
      <c r="K21" s="142" t="str" cm="1">
        <f t="array" ref="K21">_xll.PE.deg.AsString(G21)</f>
        <v>40 47 34</v>
      </c>
      <c r="L21" s="150" cm="1">
        <f t="array" ref="L21">_xll.PE.deg.FromString(J21)</f>
        <v>20.0425</v>
      </c>
      <c r="M21" s="151" cm="1">
        <f t="array" ref="M21">_xll.PE.deg.FromString(K21)</f>
        <v>40.792777777777779</v>
      </c>
      <c r="N21" s="86">
        <f t="shared" si="0"/>
        <v>-5.5910134737047201E-5</v>
      </c>
      <c r="O21" s="82">
        <f t="shared" si="0"/>
        <v>-3.2747986139725072E-5</v>
      </c>
      <c r="P21" s="164">
        <f>SUM(P17:P19)</f>
        <v>29757.292168374304</v>
      </c>
      <c r="Q21" s="36" t="s">
        <v>14</v>
      </c>
      <c r="R21" s="90" cm="1">
        <f t="array" ref="R21">_xll.PE.crs.GeodesicDistance($D$5,L17:M20)</f>
        <v>29746.96750261393</v>
      </c>
      <c r="S21" s="44" t="str">
        <f t="shared" si="1"/>
        <v>20.04244409,40.79274503</v>
      </c>
      <c r="T21" s="98" t="str">
        <f t="shared" si="2"/>
        <v>&lt;trkpt lon="20.04244409" lat="40.79274503"&gt;&lt;name&gt;S06&lt;/name&gt;&lt;/trkpt&gt;</v>
      </c>
    </row>
    <row r="22" spans="1:20" ht="15" thickBot="1" x14ac:dyDescent="0.4">
      <c r="A22" s="24"/>
      <c r="B22" s="104"/>
      <c r="C22" s="22"/>
      <c r="D22" s="31"/>
      <c r="E22" s="31"/>
      <c r="F22" s="114"/>
      <c r="G22" s="42"/>
      <c r="H22" s="42"/>
      <c r="I22" s="88"/>
      <c r="J22" s="42"/>
      <c r="K22" s="42"/>
      <c r="L22" s="42"/>
      <c r="M22" s="42"/>
      <c r="N22" s="42"/>
      <c r="O22" s="42"/>
      <c r="P22" s="25">
        <f>P18</f>
        <v>21757.292168374261</v>
      </c>
      <c r="Q22" s="106" t="s">
        <v>12</v>
      </c>
      <c r="R22" s="91"/>
      <c r="S22" s="44" t="s">
        <v>21</v>
      </c>
      <c r="T22" s="98" t="str">
        <f>CONCATENATE("&lt;/trkseg&gt;&lt;/trk&gt;")</f>
        <v>&lt;/trkseg&gt;&lt;/trk&gt;</v>
      </c>
    </row>
    <row r="23" spans="1:20" ht="15" thickBot="1" x14ac:dyDescent="0.4">
      <c r="A23" s="24"/>
      <c r="B23" s="104"/>
      <c r="C23" s="11" t="s">
        <v>31</v>
      </c>
      <c r="D23" s="32"/>
      <c r="E23" s="33"/>
      <c r="F23" s="113" t="str">
        <f>C23</f>
        <v>A_002</v>
      </c>
      <c r="G23" s="113">
        <v>1</v>
      </c>
      <c r="H23" s="113">
        <v>2</v>
      </c>
      <c r="I23" s="113">
        <v>3</v>
      </c>
      <c r="J23" s="40"/>
      <c r="K23" s="40"/>
      <c r="L23" s="40"/>
      <c r="M23" s="40"/>
      <c r="N23" s="40"/>
      <c r="O23" s="40"/>
      <c r="P23" s="16"/>
      <c r="Q23" s="109"/>
      <c r="R23" s="92"/>
      <c r="S23" s="44" t="str">
        <f>CONCATENATE("&lt;Placemark&gt;&lt;name&gt;",A29,"&lt;/name&gt;&lt;styleUrl&gt;#track001&lt;/styleUrl&gt;&lt;MultiGeometry&gt;&lt;LineString&gt;&lt;coordinates&gt;")</f>
        <v>&lt;Placemark&gt;&lt;name&gt;A_002&lt;/name&gt;&lt;styleUrl&gt;#track001&lt;/styleUrl&gt;&lt;MultiGeometry&gt;&lt;LineString&gt;&lt;coordinates&gt;</v>
      </c>
      <c r="T23" s="98" t="str">
        <f>CONCATENATE("&lt;trk&gt;&lt;name&gt;",A29,"&lt;/name&gt;&lt;trkseg&gt;")</f>
        <v>&lt;trk&gt;&lt;name&gt;A_002&lt;/name&gt;&lt;trkseg&gt;</v>
      </c>
    </row>
    <row r="24" spans="1:20" x14ac:dyDescent="0.35">
      <c r="A24" s="24"/>
      <c r="B24" s="101">
        <v>1</v>
      </c>
      <c r="C24" s="12" t="s">
        <v>13</v>
      </c>
      <c r="D24" s="26">
        <f>D25-$D$7*SIN(RADIANS(Q25))</f>
        <v>4387562.2711180365</v>
      </c>
      <c r="E24" s="27">
        <f>E25-$D$7*COS(RADIANS(Q25))</f>
        <v>4509248.2137425337</v>
      </c>
      <c r="F24" s="132" cm="1">
        <f t="array" ref="F24:G24">_xll.PE.trf.ApplyForwardEx($D$4,$D$5,D24:E24,0,1,$D$12,,,,)</f>
        <v>19.667912708680866</v>
      </c>
      <c r="G24" s="134">
        <v>40.7090588923271</v>
      </c>
      <c r="H24" s="152">
        <v>956</v>
      </c>
      <c r="I24" s="158">
        <v>44627.406250347223</v>
      </c>
      <c r="J24" s="159" t="str" cm="1">
        <f t="array" ref="J24">_xll.PE.deg.AsString(F24)</f>
        <v>19 40 04</v>
      </c>
      <c r="K24" s="133" t="str" cm="1">
        <f t="array" ref="K24">_xll.PE.deg.AsString(G24)</f>
        <v>40 42 33</v>
      </c>
      <c r="L24" s="132" cm="1">
        <f t="array" ref="L24">_xll.PE.deg.FromString(J24)</f>
        <v>19.667777777777779</v>
      </c>
      <c r="M24" s="134" cm="1">
        <f t="array" ref="M24">_xll.PE.deg.FromString(K24)</f>
        <v>40.709166666666668</v>
      </c>
      <c r="N24" s="71">
        <f t="shared" ref="N24:O30" si="3">F24-L24</f>
        <v>1.3493090308713818E-4</v>
      </c>
      <c r="O24" s="72">
        <f t="shared" si="3"/>
        <v>-1.0777433956832283E-4</v>
      </c>
      <c r="P24" s="8">
        <f t="shared" ref="P24:P29" si="4">SQRT((D25-D24)^2+(E25-E24)^2)</f>
        <v>3000.0000000000473</v>
      </c>
      <c r="Q24" s="108">
        <f t="shared" ref="Q24:Q29" si="5">IF(DEGREES(ATAN2(E25-E24,D25-D24))&lt;0,DEGREES(ATAN2(E25-E24,D25-D24))+360,(DEGREES(ATAN2(E25-E24,D25-D24))))</f>
        <v>76.05623395495347</v>
      </c>
      <c r="R24" s="89"/>
      <c r="S24" s="44" t="str">
        <f t="shared" ref="S24:S30" si="6">CONCATENATE(TEXT(F24,"#.00000000"),",",TEXT(G24,"#.00000000"))</f>
        <v>19.66791271,40.70905889</v>
      </c>
      <c r="T24" s="98" t="str">
        <f t="shared" ref="T24:T30" si="7">CONCATENATE("&lt;trkpt lon=""",TEXT(F24,"#.00000000"),""" lat=""",TEXT(G24,"#.00000000"),"""","&gt;&lt;name&gt;S",TEXT(B24,"00"),"&lt;/name&gt;&lt;/trkpt&gt;")</f>
        <v>&lt;trkpt lon="19.66791271" lat="40.70905889"&gt;&lt;name&gt;S01&lt;/name&gt;&lt;/trkpt&gt;</v>
      </c>
    </row>
    <row r="25" spans="1:20" ht="15" thickBot="1" x14ac:dyDescent="0.4">
      <c r="A25" s="24"/>
      <c r="B25" s="102">
        <v>2</v>
      </c>
      <c r="C25" s="12" t="s">
        <v>5</v>
      </c>
      <c r="D25" s="37">
        <f>D26-$D$8*SIN(RADIANS(Q26))</f>
        <v>4390473.8692103066</v>
      </c>
      <c r="E25" s="38">
        <f>E26-$D$8*COS(RADIANS(Q26))</f>
        <v>4509971.1221385906</v>
      </c>
      <c r="F25" s="135" cm="1">
        <f t="array" ref="F25:G25">_xll.PE.trf.ApplyForwardEx($D$4,$D$5,D25:E25,0,1,$D$12,,,,)</f>
        <v>19.702232192676256</v>
      </c>
      <c r="G25" s="137">
        <v>40.715959438348861</v>
      </c>
      <c r="H25" s="154">
        <v>344</v>
      </c>
      <c r="I25" s="158">
        <v>44627.422917013893</v>
      </c>
      <c r="J25" s="144" t="str" cm="1">
        <f t="array" ref="J25">_xll.PE.deg.AsString(F25)</f>
        <v>19 42 08</v>
      </c>
      <c r="K25" s="136" t="str" cm="1">
        <f t="array" ref="K25">_xll.PE.deg.AsString(G25)</f>
        <v>40 42 57</v>
      </c>
      <c r="L25" s="135" cm="1">
        <f t="array" ref="L25">_xll.PE.deg.FromString(J25)</f>
        <v>19.702222222222222</v>
      </c>
      <c r="M25" s="137" cm="1">
        <f t="array" ref="M25">_xll.PE.deg.FromString(K25)</f>
        <v>40.715833333333336</v>
      </c>
      <c r="N25" s="73">
        <f t="shared" si="3"/>
        <v>9.9704540339473624E-6</v>
      </c>
      <c r="O25" s="74">
        <f t="shared" si="3"/>
        <v>1.2610501552501319E-4</v>
      </c>
      <c r="P25" s="39">
        <f t="shared" si="4"/>
        <v>4000.0000000001378</v>
      </c>
      <c r="Q25" s="89">
        <f t="shared" si="5"/>
        <v>76.05623395494915</v>
      </c>
      <c r="R25" s="89"/>
      <c r="S25" s="44" t="str">
        <f t="shared" si="6"/>
        <v>19.70223219,40.71595944</v>
      </c>
      <c r="T25" s="98" t="str">
        <f t="shared" si="7"/>
        <v>&lt;trkpt lon="19.70223219" lat="40.71595944"&gt;&lt;name&gt;S02&lt;/name&gt;&lt;/trkpt&gt;</v>
      </c>
    </row>
    <row r="26" spans="1:20" ht="15" thickBot="1" x14ac:dyDescent="0.4">
      <c r="A26" s="24"/>
      <c r="B26" s="102">
        <v>3</v>
      </c>
      <c r="C26" s="12" t="s">
        <v>9</v>
      </c>
      <c r="D26" s="18">
        <v>4394356</v>
      </c>
      <c r="E26" s="28">
        <v>4510935</v>
      </c>
      <c r="F26" s="138" cm="1">
        <f t="array" ref="F26:G26">_xll.PE.trf.ApplyForwardEx($D$4,$D$5,D26:E26,0,1,$D$12,,,,)</f>
        <v>19.748002911094968</v>
      </c>
      <c r="G26" s="140">
        <v>40.725144440548164</v>
      </c>
      <c r="H26" s="156">
        <v>458</v>
      </c>
      <c r="I26" s="158">
        <v>44627.439583680563</v>
      </c>
      <c r="J26" s="160" t="str" cm="1">
        <f t="array" ref="J26">_xll.PE.deg.AsString(F26)</f>
        <v>19 44 53</v>
      </c>
      <c r="K26" s="139" t="str" cm="1">
        <f t="array" ref="K26">_xll.PE.deg.AsString(G26)</f>
        <v>40 43 31</v>
      </c>
      <c r="L26" s="138" cm="1">
        <f t="array" ref="L26">_xll.PE.deg.FromString(J26)</f>
        <v>19.748055555555556</v>
      </c>
      <c r="M26" s="140" cm="1">
        <f t="array" ref="M26">_xll.PE.deg.FromString(K26)</f>
        <v>40.725277777777777</v>
      </c>
      <c r="N26" s="75">
        <f t="shared" si="3"/>
        <v>-5.2644460588169295E-5</v>
      </c>
      <c r="O26" s="76">
        <f t="shared" si="3"/>
        <v>-1.3333722961306194E-4</v>
      </c>
      <c r="P26" s="10">
        <f t="shared" si="4"/>
        <v>9316.5330998177651</v>
      </c>
      <c r="Q26" s="93">
        <f t="shared" si="5"/>
        <v>76.056233954952916</v>
      </c>
      <c r="R26" s="21">
        <v>2462</v>
      </c>
      <c r="S26" s="44" t="str">
        <f t="shared" si="6"/>
        <v>19.74800291,40.72514444</v>
      </c>
      <c r="T26" s="98" t="str">
        <f t="shared" si="7"/>
        <v>&lt;trkpt lon="19.74800291" lat="40.72514444"&gt;&lt;name&gt;S03&lt;/name&gt;&lt;/trkpt&gt;</v>
      </c>
    </row>
    <row r="27" spans="1:20" ht="15" thickBot="1" x14ac:dyDescent="0.4">
      <c r="A27" s="24"/>
      <c r="B27" s="102">
        <v>4</v>
      </c>
      <c r="C27" s="12" t="s">
        <v>10</v>
      </c>
      <c r="D27" s="18">
        <v>4403398</v>
      </c>
      <c r="E27" s="28">
        <v>4513180</v>
      </c>
      <c r="F27" s="138" cm="1">
        <f t="array" ref="F27:G27">_xll.PE.trf.ApplyForwardEx($D$4,$D$5,D27:E27,0,1,$D$12,,,,)</f>
        <v>19.854659382414237</v>
      </c>
      <c r="G27" s="140">
        <v>40.74646776162173</v>
      </c>
      <c r="H27" s="156">
        <v>590</v>
      </c>
      <c r="I27" s="158">
        <v>44627.456250347233</v>
      </c>
      <c r="J27" s="160" t="str" cm="1">
        <f t="array" ref="J27">_xll.PE.deg.AsString(F27)</f>
        <v>19 51 17</v>
      </c>
      <c r="K27" s="139" t="str" cm="1">
        <f t="array" ref="K27">_xll.PE.deg.AsString(G27)</f>
        <v>40 44 47</v>
      </c>
      <c r="L27" s="138" cm="1">
        <f t="array" ref="L27">_xll.PE.deg.FromString(J27)</f>
        <v>19.854722222222225</v>
      </c>
      <c r="M27" s="140" cm="1">
        <f t="array" ref="M27">_xll.PE.deg.FromString(K27)</f>
        <v>40.746388888888887</v>
      </c>
      <c r="N27" s="75">
        <f t="shared" si="3"/>
        <v>-6.2839807988268603E-5</v>
      </c>
      <c r="O27" s="76">
        <f t="shared" si="3"/>
        <v>7.8872732842683035E-5</v>
      </c>
      <c r="P27" s="10">
        <f t="shared" si="4"/>
        <v>21440.46289145829</v>
      </c>
      <c r="Q27" s="93">
        <f t="shared" si="5"/>
        <v>74.970119111671551</v>
      </c>
      <c r="R27" s="90" cm="1">
        <f t="array" ref="R27">_xll.PE.crs.GeodesicDistance($D$4,D25:E29)</f>
        <v>38753.012950642144</v>
      </c>
      <c r="S27" s="44" t="str">
        <f t="shared" si="6"/>
        <v>19.85465938,40.74646776</v>
      </c>
      <c r="T27" s="98" t="str">
        <f t="shared" si="7"/>
        <v>&lt;trkpt lon="19.85465938" lat="40.74646776"&gt;&lt;name&gt;S04&lt;/name&gt;&lt;/trkpt&gt;</v>
      </c>
    </row>
    <row r="28" spans="1:20" ht="15" thickBot="1" x14ac:dyDescent="0.4">
      <c r="A28" s="24"/>
      <c r="B28" s="102">
        <v>5</v>
      </c>
      <c r="C28" s="12" t="s">
        <v>7</v>
      </c>
      <c r="D28" s="18">
        <v>4424105</v>
      </c>
      <c r="E28" s="28">
        <v>4518740</v>
      </c>
      <c r="F28" s="138" cm="1">
        <f t="array" ref="F28:G28">_xll.PE.trf.ApplyForwardEx($D$4,$D$5,D28:E28,0,1,$D$12,,,,)</f>
        <v>20.099124970644958</v>
      </c>
      <c r="G28" s="140">
        <v>40.798701544598003</v>
      </c>
      <c r="H28" s="156">
        <v>331</v>
      </c>
      <c r="I28" s="158">
        <v>44627.472917013903</v>
      </c>
      <c r="J28" s="160" t="str" cm="1">
        <f t="array" ref="J28">_xll.PE.deg.AsString(F28)</f>
        <v>20 05 57</v>
      </c>
      <c r="K28" s="139" t="str" cm="1">
        <f t="array" ref="K28">_xll.PE.deg.AsString(G28)</f>
        <v>40 47 55</v>
      </c>
      <c r="L28" s="138" cm="1">
        <f t="array" ref="L28">_xll.PE.deg.FromString(J28)</f>
        <v>20.099166666666665</v>
      </c>
      <c r="M28" s="140" cm="1">
        <f t="array" ref="M28">_xll.PE.deg.FromString(K28)</f>
        <v>40.798611111111107</v>
      </c>
      <c r="N28" s="75">
        <f t="shared" si="3"/>
        <v>-4.1696021707338105E-5</v>
      </c>
      <c r="O28" s="76">
        <f t="shared" si="3"/>
        <v>9.0433486896301929E-5</v>
      </c>
      <c r="P28" s="39">
        <f t="shared" si="4"/>
        <v>3999.9999999994898</v>
      </c>
      <c r="Q28" s="89">
        <f t="shared" si="5"/>
        <v>74.970119111673426</v>
      </c>
      <c r="R28" s="89"/>
      <c r="S28" s="44" t="str">
        <f t="shared" si="6"/>
        <v>20.09912497,40.79870154</v>
      </c>
      <c r="T28" s="98" t="str">
        <f t="shared" si="7"/>
        <v>&lt;trkpt lon="20.09912497" lat="40.79870154"&gt;&lt;name&gt;S05&lt;/name&gt;&lt;/trkpt&gt;</v>
      </c>
    </row>
    <row r="29" spans="1:20" ht="15" thickBot="1" x14ac:dyDescent="0.4">
      <c r="A29" s="24" t="str">
        <f>C23</f>
        <v>A_002</v>
      </c>
      <c r="B29" s="102">
        <v>6</v>
      </c>
      <c r="C29" s="12" t="s">
        <v>5</v>
      </c>
      <c r="D29" s="37">
        <f>D28+$D$8*SIN(RADIANS(Q27))</f>
        <v>4427968.1628626352</v>
      </c>
      <c r="E29" s="38">
        <f>E28+$D$8*COS(RADIANS(Q27))</f>
        <v>4519777.2910376322</v>
      </c>
      <c r="F29" s="135" cm="1">
        <f t="array" ref="F29:G29">_xll.PE.trf.ApplyForwardEx($D$4,$D$5,D29:E29,0,1,$D$12,,,,)</f>
        <v>20.144776595350073</v>
      </c>
      <c r="G29" s="137">
        <v>40.808389494859469</v>
      </c>
      <c r="H29" s="154">
        <v>460</v>
      </c>
      <c r="I29" s="158">
        <v>44627.489583680574</v>
      </c>
      <c r="J29" s="144" t="str" cm="1">
        <f t="array" ref="J29">_xll.PE.deg.AsString(F29)</f>
        <v>20 08 41</v>
      </c>
      <c r="K29" s="136" t="str" cm="1">
        <f t="array" ref="K29">_xll.PE.deg.AsString(G29)</f>
        <v>40 48 30</v>
      </c>
      <c r="L29" s="135" cm="1">
        <f t="array" ref="L29">_xll.PE.deg.FromString(J29)</f>
        <v>20.144722222222221</v>
      </c>
      <c r="M29" s="137" cm="1">
        <f t="array" ref="M29">_xll.PE.deg.FromString(K29)</f>
        <v>40.80833333333333</v>
      </c>
      <c r="N29" s="73">
        <f t="shared" si="3"/>
        <v>5.4373127852613834E-5</v>
      </c>
      <c r="O29" s="74">
        <f t="shared" si="3"/>
        <v>5.6161526138964746E-5</v>
      </c>
      <c r="P29" s="39">
        <f t="shared" si="4"/>
        <v>3000.0000000004125</v>
      </c>
      <c r="Q29" s="89">
        <f t="shared" si="5"/>
        <v>74.970119111668296</v>
      </c>
      <c r="R29" s="5">
        <v>4326</v>
      </c>
      <c r="S29" s="44" t="str">
        <f t="shared" si="6"/>
        <v>20.14477660,40.80838949</v>
      </c>
      <c r="T29" s="98" t="str">
        <f t="shared" si="7"/>
        <v>&lt;trkpt lon="20.14477660" lat="40.80838949"&gt;&lt;name&gt;S06&lt;/name&gt;&lt;/trkpt&gt;</v>
      </c>
    </row>
    <row r="30" spans="1:20" ht="15" thickBot="1" x14ac:dyDescent="0.4">
      <c r="A30" s="24"/>
      <c r="B30" s="103">
        <v>7</v>
      </c>
      <c r="C30" s="13" t="s">
        <v>13</v>
      </c>
      <c r="D30" s="29">
        <f>D29+$D$7*SIN(RADIANS(Q28))</f>
        <v>4430865.5350096123</v>
      </c>
      <c r="E30" s="30">
        <f>E29+$D$7*COS(RADIANS(Q28))</f>
        <v>4520555.2593158567</v>
      </c>
      <c r="F30" s="141" cm="1">
        <f t="array" ref="F30:G30">_xll.PE.trf.ApplyForwardEx($D$4,$D$5,D30:E30,0,1,$D$12,,,,)</f>
        <v>20.17902421260742</v>
      </c>
      <c r="G30" s="143">
        <v>40.815643676429772</v>
      </c>
      <c r="H30" s="157">
        <v>820</v>
      </c>
      <c r="I30" s="158">
        <v>44627.506250347244</v>
      </c>
      <c r="J30" s="149" t="str" cm="1">
        <f t="array" ref="J30">_xll.PE.deg.AsString(F30)</f>
        <v>20 10 44</v>
      </c>
      <c r="K30" s="142" t="str" cm="1">
        <f t="array" ref="K30">_xll.PE.deg.AsString(G30)</f>
        <v>40 48 56</v>
      </c>
      <c r="L30" s="141" cm="1">
        <f t="array" ref="L30">_xll.PE.deg.FromString(J30)</f>
        <v>20.178888888888888</v>
      </c>
      <c r="M30" s="143" cm="1">
        <f t="array" ref="M30">_xll.PE.deg.FromString(K30)</f>
        <v>40.815555555555555</v>
      </c>
      <c r="N30" s="77">
        <f t="shared" si="3"/>
        <v>1.3532371853131053E-4</v>
      </c>
      <c r="O30" s="78">
        <f t="shared" si="3"/>
        <v>8.8120874217167966E-5</v>
      </c>
      <c r="P30" s="34">
        <f>SUM(P25:P28)</f>
        <v>38756.995991275682</v>
      </c>
      <c r="Q30" s="5" t="s">
        <v>11</v>
      </c>
      <c r="R30" s="90" cm="1">
        <f t="array" ref="R30">_xll.PE.crs.GeodesicDistance($D$5,L25:M29)</f>
        <v>38751.296513615664</v>
      </c>
      <c r="S30" s="44" t="str">
        <f t="shared" si="6"/>
        <v>20.17902421,40.81564368</v>
      </c>
      <c r="T30" s="98" t="str">
        <f t="shared" si="7"/>
        <v>&lt;trkpt lon="20.17902421" lat="40.81564368"&gt;&lt;name&gt;S07&lt;/name&gt;&lt;/trkpt&gt;</v>
      </c>
    </row>
    <row r="31" spans="1:20" ht="15" thickBot="1" x14ac:dyDescent="0.4">
      <c r="A31" s="24"/>
      <c r="B31" s="104"/>
      <c r="C31" s="15"/>
      <c r="D31" s="31"/>
      <c r="E31" s="31"/>
      <c r="F31" s="114"/>
      <c r="G31" s="42"/>
      <c r="H31" s="42"/>
      <c r="I31" s="88"/>
      <c r="J31" s="42"/>
      <c r="K31" s="42"/>
      <c r="L31" s="42"/>
      <c r="M31" s="42"/>
      <c r="N31" s="42"/>
      <c r="O31" s="42"/>
      <c r="P31" s="25">
        <f>P26+P27</f>
        <v>30756.995991276053</v>
      </c>
      <c r="Q31" s="106" t="s">
        <v>12</v>
      </c>
      <c r="R31" s="91"/>
      <c r="S31" s="44" t="s">
        <v>21</v>
      </c>
      <c r="T31" s="98" t="str">
        <f>CONCATENATE("&lt;/trkseg&gt;&lt;/trk&gt;")</f>
        <v>&lt;/trkseg&gt;&lt;/trk&gt;</v>
      </c>
    </row>
    <row r="32" spans="1:20" ht="15" thickBot="1" x14ac:dyDescent="0.4">
      <c r="A32" s="24"/>
      <c r="B32" s="104"/>
      <c r="C32" s="11" t="s">
        <v>46</v>
      </c>
      <c r="D32" s="33"/>
      <c r="E32" s="33"/>
      <c r="F32" s="113" t="str">
        <f>C32</f>
        <v>A_003</v>
      </c>
      <c r="G32" s="113"/>
      <c r="H32" s="113"/>
      <c r="I32" s="113"/>
      <c r="J32" s="40"/>
      <c r="K32" s="40"/>
      <c r="L32" s="40"/>
      <c r="M32" s="40"/>
      <c r="N32" s="40"/>
      <c r="O32" s="40"/>
      <c r="P32" s="16"/>
      <c r="Q32" s="109"/>
      <c r="R32" s="92"/>
      <c r="S32" s="44" t="str">
        <f>CONCATENATE("&lt;Placemark&gt;&lt;name&gt;",A38,"&lt;/name&gt;&lt;styleUrl&gt;#track001&lt;/styleUrl&gt;&lt;MultiGeometry&gt;&lt;LineString&gt;&lt;coordinates&gt;")</f>
        <v>&lt;Placemark&gt;&lt;name&gt;A_003&lt;/name&gt;&lt;styleUrl&gt;#track001&lt;/styleUrl&gt;&lt;MultiGeometry&gt;&lt;LineString&gt;&lt;coordinates&gt;</v>
      </c>
      <c r="T32" s="98" t="str">
        <f>CONCATENATE("&lt;trk&gt;&lt;name&gt;",A38,"&lt;/name&gt;&lt;trkseg&gt;")</f>
        <v>&lt;trk&gt;&lt;name&gt;A_003&lt;/name&gt;&lt;trkseg&gt;</v>
      </c>
    </row>
    <row r="33" spans="1:20" x14ac:dyDescent="0.35">
      <c r="A33" s="24"/>
      <c r="B33" s="101">
        <v>1</v>
      </c>
      <c r="C33" s="12" t="s">
        <v>13</v>
      </c>
      <c r="D33" s="26">
        <f>D34-$D$7*SIN(RADIANS(Q34))</f>
        <v>4390607.5559663102</v>
      </c>
      <c r="E33" s="27">
        <f>E34-$D$7*COS(RADIANS(Q34))</f>
        <v>4525483.832561858</v>
      </c>
      <c r="F33" s="132" cm="1">
        <f t="array" ref="F33:G33">_xll.PE.trf.ApplyForwardEx($D$4,$D$5,D33:E33,0,1,$D$12,,,,)</f>
        <v>19.701095294756342</v>
      </c>
      <c r="G33" s="134">
        <v>40.855631732298527</v>
      </c>
      <c r="H33" s="152">
        <v>48</v>
      </c>
      <c r="I33" s="155" t="s">
        <v>54</v>
      </c>
      <c r="J33" s="159" t="str" cm="1">
        <f t="array" ref="J33">_xll.PE.deg.AsString(F33)</f>
        <v>19 42 04</v>
      </c>
      <c r="K33" s="133" t="str" cm="1">
        <f t="array" ref="K33">_xll.PE.deg.AsString(G33)</f>
        <v>40 51 20</v>
      </c>
      <c r="L33" s="132" cm="1">
        <f t="array" ref="L33">_xll.PE.deg.FromString(J33)</f>
        <v>19.701111111111111</v>
      </c>
      <c r="M33" s="134" cm="1">
        <f t="array" ref="M33">_xll.PE.deg.FromString(K33)</f>
        <v>40.855555555555554</v>
      </c>
      <c r="N33" s="71">
        <f t="shared" ref="N33:O39" si="8">F33-L33</f>
        <v>-1.5816354768105612E-5</v>
      </c>
      <c r="O33" s="72">
        <f t="shared" si="8"/>
        <v>7.6176742972222655E-5</v>
      </c>
      <c r="P33" s="8">
        <f t="shared" ref="P33:P38" si="9">SQRT((D34-D33)^2+(E34-E33)^2)</f>
        <v>3000.0000000001414</v>
      </c>
      <c r="Q33" s="108">
        <f t="shared" ref="Q33:Q38" si="10">IF(DEGREES(ATAN2(E34-E33,D34-D33))&lt;0,DEGREES(ATAN2(E34-E33,D34-D33))+360,(DEGREES(ATAN2(E34-E33,D34-D33))))</f>
        <v>115.42001039005864</v>
      </c>
      <c r="R33" s="89"/>
      <c r="S33" s="44" t="str">
        <f t="shared" ref="S33:S39" si="11">CONCATENATE(TEXT(F33,"#.00000000"),",",TEXT(G33,"#.00000000"))</f>
        <v>19.70109529,40.85563173</v>
      </c>
      <c r="T33" s="98" t="str">
        <f t="shared" ref="T33:T39" si="12">CONCATENATE("&lt;trkpt lon=""",TEXT(F33,"#.00000000"),""" lat=""",TEXT(G33,"#.00000000"),"""","&gt;&lt;name&gt;S",TEXT(B33,"00"),"&lt;/name&gt;&lt;/trkpt&gt;")</f>
        <v>&lt;trkpt lon="19.70109529" lat="40.85563173"&gt;&lt;name&gt;S01&lt;/name&gt;&lt;/trkpt&gt;</v>
      </c>
    </row>
    <row r="34" spans="1:20" ht="15" thickBot="1" x14ac:dyDescent="0.4">
      <c r="A34" s="24"/>
      <c r="B34" s="102">
        <v>2</v>
      </c>
      <c r="C34" s="12" t="s">
        <v>5</v>
      </c>
      <c r="D34" s="37">
        <f>D35-$D$8*SIN(RADIANS(Q35))</f>
        <v>4393317.1122664632</v>
      </c>
      <c r="E34" s="38">
        <f>E35-$D$8*COS(RADIANS(Q35))</f>
        <v>4524196.0807782048</v>
      </c>
      <c r="F34" s="135" cm="1">
        <f t="array" ref="F34:G34">_xll.PE.trf.ApplyForwardEx($D$4,$D$5,D34:E34,0,1,$D$12,,,,)</f>
        <v>19.733442649612513</v>
      </c>
      <c r="G34" s="137">
        <v>40.844395968057178</v>
      </c>
      <c r="H34" s="154">
        <v>928</v>
      </c>
      <c r="I34" s="155" t="s">
        <v>55</v>
      </c>
      <c r="J34" s="144" t="str" cm="1">
        <f t="array" ref="J34">_xll.PE.deg.AsString(F34)</f>
        <v>19 44 00</v>
      </c>
      <c r="K34" s="136" t="str" cm="1">
        <f t="array" ref="K34">_xll.PE.deg.AsString(G34)</f>
        <v>40 50 40</v>
      </c>
      <c r="L34" s="135" cm="1">
        <f t="array" ref="L34">_xll.PE.deg.FromString(J34)</f>
        <v>19.733333333333334</v>
      </c>
      <c r="M34" s="137" cm="1">
        <f t="array" ref="M34">_xll.PE.deg.FromString(K34)</f>
        <v>40.844444444444449</v>
      </c>
      <c r="N34" s="73">
        <f t="shared" si="8"/>
        <v>1.0931627917898368E-4</v>
      </c>
      <c r="O34" s="74">
        <f t="shared" si="8"/>
        <v>-4.8476387270568466E-5</v>
      </c>
      <c r="P34" s="39">
        <f t="shared" si="9"/>
        <v>4000.0000000001746</v>
      </c>
      <c r="Q34" s="89">
        <f t="shared" si="10"/>
        <v>115.42001039006858</v>
      </c>
      <c r="R34" s="89"/>
      <c r="S34" s="44" t="str">
        <f t="shared" si="11"/>
        <v>19.73344265,40.84439597</v>
      </c>
      <c r="T34" s="98" t="str">
        <f t="shared" si="12"/>
        <v>&lt;trkpt lon="19.73344265" lat="40.84439597"&gt;&lt;name&gt;S02&lt;/name&gt;&lt;/trkpt&gt;</v>
      </c>
    </row>
    <row r="35" spans="1:20" ht="15" thickBot="1" x14ac:dyDescent="0.4">
      <c r="A35" s="24"/>
      <c r="B35" s="102">
        <v>3</v>
      </c>
      <c r="C35" s="12" t="s">
        <v>9</v>
      </c>
      <c r="D35" s="18">
        <v>4396929.8540000003</v>
      </c>
      <c r="E35" s="6">
        <v>4522479.0784</v>
      </c>
      <c r="F35" s="138" cm="1">
        <f t="array" ref="F35:G35">_xll.PE.trf.ApplyForwardEx($D$4,$D$5,D35:E35,0,1,$D$12,,,,)</f>
        <v>19.776555734991796</v>
      </c>
      <c r="G35" s="140">
        <v>40.829400558913271</v>
      </c>
      <c r="H35" s="156">
        <v>37</v>
      </c>
      <c r="I35" s="155" t="s">
        <v>56</v>
      </c>
      <c r="J35" s="160" t="str" cm="1">
        <f t="array" ref="J35">_xll.PE.deg.AsString(F35)</f>
        <v>19 46 36</v>
      </c>
      <c r="K35" s="139" t="str" cm="1">
        <f t="array" ref="K35">_xll.PE.deg.AsString(G35)</f>
        <v>40 49 46</v>
      </c>
      <c r="L35" s="138" cm="1">
        <f t="array" ref="L35">_xll.PE.deg.FromString(J35)</f>
        <v>19.776666666666667</v>
      </c>
      <c r="M35" s="140" cm="1">
        <f t="array" ref="M35">_xll.PE.deg.FromString(K35)</f>
        <v>40.829444444444448</v>
      </c>
      <c r="N35" s="75">
        <f t="shared" si="8"/>
        <v>-1.1093167487175037E-4</v>
      </c>
      <c r="O35" s="76">
        <f t="shared" si="8"/>
        <v>-4.388553117706806E-5</v>
      </c>
      <c r="P35" s="10">
        <f t="shared" si="9"/>
        <v>10746.801422194574</v>
      </c>
      <c r="Q35" s="93">
        <f t="shared" si="10"/>
        <v>115.42001039006327</v>
      </c>
      <c r="R35" s="21">
        <v>2462</v>
      </c>
      <c r="S35" s="44" t="str">
        <f t="shared" si="11"/>
        <v>19.77655573,40.82940056</v>
      </c>
      <c r="T35" s="98" t="str">
        <f t="shared" si="12"/>
        <v>&lt;trkpt lon="19.77655573" lat="40.82940056"&gt;&lt;name&gt;S03&lt;/name&gt;&lt;/trkpt&gt;</v>
      </c>
    </row>
    <row r="36" spans="1:20" ht="15" thickBot="1" x14ac:dyDescent="0.4">
      <c r="A36" s="24"/>
      <c r="B36" s="102">
        <v>4</v>
      </c>
      <c r="C36" s="12" t="s">
        <v>10</v>
      </c>
      <c r="D36" s="18">
        <v>4406636.2084999997</v>
      </c>
      <c r="E36" s="6">
        <v>4517866.0075000003</v>
      </c>
      <c r="F36" s="138" cm="1">
        <f t="array" ref="F36:G36">_xll.PE.trf.ApplyForwardEx($D$4,$D$5,D36:E36,0,1,$D$12,,,,)</f>
        <v>19.892292936682402</v>
      </c>
      <c r="G36" s="140">
        <v>40.78903112296662</v>
      </c>
      <c r="H36" s="156">
        <v>762</v>
      </c>
      <c r="I36" s="155" t="s">
        <v>57</v>
      </c>
      <c r="J36" s="160" t="str" cm="1">
        <f t="array" ref="J36">_xll.PE.deg.AsString(F36)</f>
        <v>19 53 32</v>
      </c>
      <c r="K36" s="139" t="str" cm="1">
        <f t="array" ref="K36">_xll.PE.deg.AsString(G36)</f>
        <v>40 47 21</v>
      </c>
      <c r="L36" s="138" cm="1">
        <f t="array" ref="L36">_xll.PE.deg.FromString(J36)</f>
        <v>19.892222222222223</v>
      </c>
      <c r="M36" s="140" cm="1">
        <f t="array" ref="M36">_xll.PE.deg.FromString(K36)</f>
        <v>40.789166666666667</v>
      </c>
      <c r="N36" s="75">
        <f t="shared" si="8"/>
        <v>7.0714460179033267E-5</v>
      </c>
      <c r="O36" s="76">
        <f t="shared" si="8"/>
        <v>-1.3554370004698058E-4</v>
      </c>
      <c r="P36" s="10">
        <f t="shared" si="9"/>
        <v>6938.6067606873576</v>
      </c>
      <c r="Q36" s="93">
        <f t="shared" si="10"/>
        <v>117.43448926212268</v>
      </c>
      <c r="R36" s="90" cm="1">
        <f t="array" ref="R36">_xll.PE.crs.GeodesicDistance($D$4,D34:E38)</f>
        <v>25682.535382420487</v>
      </c>
      <c r="S36" s="44" t="str">
        <f t="shared" si="11"/>
        <v>19.89229294,40.78903112</v>
      </c>
      <c r="T36" s="98" t="str">
        <f t="shared" si="12"/>
        <v>&lt;trkpt lon="19.89229294" lat="40.78903112"&gt;&lt;name&gt;S04&lt;/name&gt;&lt;/trkpt&gt;</v>
      </c>
    </row>
    <row r="37" spans="1:20" ht="15" thickBot="1" x14ac:dyDescent="0.4">
      <c r="A37" s="24"/>
      <c r="B37" s="102">
        <v>5</v>
      </c>
      <c r="C37" s="12" t="s">
        <v>7</v>
      </c>
      <c r="D37" s="18">
        <v>4412794.4870999996</v>
      </c>
      <c r="E37" s="6">
        <v>4514669.1546</v>
      </c>
      <c r="F37" s="138" cm="1">
        <f t="array" ref="F37:G37">_xll.PE.trf.ApplyForwardEx($D$4,$D$5,D37:E37,0,1,$D$12,,,,)</f>
        <v>19.965689392996619</v>
      </c>
      <c r="G37" s="140">
        <v>40.760925753185163</v>
      </c>
      <c r="H37" s="156">
        <v>476</v>
      </c>
      <c r="I37" s="155" t="s">
        <v>58</v>
      </c>
      <c r="J37" s="160" t="str" cm="1">
        <f t="array" ref="J37">_xll.PE.deg.AsString(F37)</f>
        <v>19 57 56</v>
      </c>
      <c r="K37" s="139" t="str" cm="1">
        <f t="array" ref="K37">_xll.PE.deg.AsString(G37)</f>
        <v>40 45 39</v>
      </c>
      <c r="L37" s="138" cm="1">
        <f t="array" ref="L37">_xll.PE.deg.FromString(J37)</f>
        <v>19.965555555555554</v>
      </c>
      <c r="M37" s="140" cm="1">
        <f t="array" ref="M37">_xll.PE.deg.FromString(K37)</f>
        <v>40.760833333333331</v>
      </c>
      <c r="N37" s="75">
        <f t="shared" si="8"/>
        <v>1.3383744106576501E-4</v>
      </c>
      <c r="O37" s="76">
        <f t="shared" si="8"/>
        <v>9.2419851831948563E-5</v>
      </c>
      <c r="P37" s="39">
        <f t="shared" si="9"/>
        <v>4000.0000000002269</v>
      </c>
      <c r="Q37" s="89">
        <f t="shared" si="10"/>
        <v>117.43448926211632</v>
      </c>
      <c r="R37" s="89"/>
      <c r="S37" s="44" t="str">
        <f t="shared" si="11"/>
        <v>19.96568939,40.76092575</v>
      </c>
      <c r="T37" s="98" t="str">
        <f t="shared" si="12"/>
        <v>&lt;trkpt lon="19.96568939" lat="40.76092575"&gt;&lt;name&gt;S05&lt;/name&gt;&lt;/trkpt&gt;</v>
      </c>
    </row>
    <row r="38" spans="1:20" ht="15" thickBot="1" x14ac:dyDescent="0.4">
      <c r="A38" s="24" t="str">
        <f>C32</f>
        <v>A_003</v>
      </c>
      <c r="B38" s="102">
        <v>6</v>
      </c>
      <c r="C38" s="12" t="s">
        <v>5</v>
      </c>
      <c r="D38" s="37">
        <f>D37+$D$8*SIN(RADIANS(Q36))</f>
        <v>4416344.6399260061</v>
      </c>
      <c r="E38" s="38">
        <f>E37+$D$8*COS(RADIANS(Q36))</f>
        <v>4512826.2181084193</v>
      </c>
      <c r="F38" s="135" cm="1">
        <f t="array" ref="F38:G38">_xll.PE.trf.ApplyForwardEx($D$4,$D$5,D38:E38,0,1,$D$12,,,,)</f>
        <v>20.007973540197661</v>
      </c>
      <c r="G38" s="137">
        <v>40.744701833348564</v>
      </c>
      <c r="H38" s="154">
        <v>385</v>
      </c>
      <c r="I38" s="155" t="s">
        <v>59</v>
      </c>
      <c r="J38" s="144" t="str" cm="1">
        <f t="array" ref="J38">_xll.PE.deg.AsString(F38)</f>
        <v>20 00 29</v>
      </c>
      <c r="K38" s="136" t="str" cm="1">
        <f t="array" ref="K38">_xll.PE.deg.AsString(G38)</f>
        <v>40 44 41</v>
      </c>
      <c r="L38" s="135" cm="1">
        <f t="array" ref="L38">_xll.PE.deg.FromString(J38)</f>
        <v>20.008055555555554</v>
      </c>
      <c r="M38" s="137" cm="1">
        <f t="array" ref="M38">_xll.PE.deg.FromString(K38)</f>
        <v>40.744722222222222</v>
      </c>
      <c r="N38" s="73">
        <f t="shared" si="8"/>
        <v>-8.2015357893538976E-5</v>
      </c>
      <c r="O38" s="74">
        <f t="shared" si="8"/>
        <v>-2.0388873657850581E-5</v>
      </c>
      <c r="P38" s="39">
        <f t="shared" si="9"/>
        <v>2999.999999999749</v>
      </c>
      <c r="Q38" s="89">
        <f t="shared" si="10"/>
        <v>117.43448926211049</v>
      </c>
      <c r="R38" s="5">
        <v>4326</v>
      </c>
      <c r="S38" s="44" t="str">
        <f t="shared" si="11"/>
        <v>20.00797354,40.74470183</v>
      </c>
      <c r="T38" s="98" t="str">
        <f t="shared" si="12"/>
        <v>&lt;trkpt lon="20.00797354" lat="40.74470183"&gt;&lt;name&gt;S06&lt;/name&gt;&lt;/trkpt&gt;</v>
      </c>
    </row>
    <row r="39" spans="1:20" ht="15" thickBot="1" x14ac:dyDescent="0.4">
      <c r="A39" s="24"/>
      <c r="B39" s="103">
        <v>7</v>
      </c>
      <c r="C39" s="13" t="s">
        <v>13</v>
      </c>
      <c r="D39" s="29">
        <f>D38+$D$7*SIN(RADIANS(Q37))</f>
        <v>4419007.2545455107</v>
      </c>
      <c r="E39" s="30">
        <f>E38+$D$7*COS(RADIANS(Q37))</f>
        <v>4511444.0157397343</v>
      </c>
      <c r="F39" s="141" cm="1">
        <f t="array" ref="F39:G39">_xll.PE.trf.ApplyForwardEx($D$4,$D$5,D39:E39,0,1,$D$12,,,,)</f>
        <v>20.039673311207402</v>
      </c>
      <c r="G39" s="143">
        <v>40.732523543254402</v>
      </c>
      <c r="H39" s="157">
        <v>343</v>
      </c>
      <c r="I39" s="155" t="s">
        <v>60</v>
      </c>
      <c r="J39" s="149" t="str" cm="1">
        <f t="array" ref="J39">_xll.PE.deg.AsString(F39)</f>
        <v>20 02 23</v>
      </c>
      <c r="K39" s="142" t="str" cm="1">
        <f t="array" ref="K39">_xll.PE.deg.AsString(G39)</f>
        <v>40 43 57</v>
      </c>
      <c r="L39" s="141" cm="1">
        <f t="array" ref="L39">_xll.PE.deg.FromString(J39)</f>
        <v>20.039722222222224</v>
      </c>
      <c r="M39" s="143" cm="1">
        <f t="array" ref="M39">_xll.PE.deg.FromString(K39)</f>
        <v>40.732500000000002</v>
      </c>
      <c r="N39" s="77">
        <f t="shared" si="8"/>
        <v>-4.8911014822294874E-5</v>
      </c>
      <c r="O39" s="78">
        <f t="shared" si="8"/>
        <v>2.3543254400237856E-5</v>
      </c>
      <c r="P39" s="34">
        <f>SUM(P34:P37)</f>
        <v>25685.408182882333</v>
      </c>
      <c r="Q39" s="5" t="s">
        <v>11</v>
      </c>
      <c r="R39" s="90" cm="1">
        <f t="array" ref="R39">_xll.PE.crs.GeodesicDistance($D$5,L34:M38)</f>
        <v>25698.595848817353</v>
      </c>
      <c r="S39" s="44" t="str">
        <f t="shared" si="11"/>
        <v>20.03967331,40.73252354</v>
      </c>
      <c r="T39" s="98" t="str">
        <f t="shared" si="12"/>
        <v>&lt;trkpt lon="20.03967331" lat="40.73252354"&gt;&lt;name&gt;S07&lt;/name&gt;&lt;/trkpt&gt;</v>
      </c>
    </row>
    <row r="40" spans="1:20" ht="15" thickBot="1" x14ac:dyDescent="0.4">
      <c r="A40" s="24"/>
      <c r="B40" s="104"/>
      <c r="C40" s="17"/>
      <c r="D40" s="31"/>
      <c r="E40" s="31"/>
      <c r="F40" s="114"/>
      <c r="G40" s="42"/>
      <c r="H40" s="115"/>
      <c r="I40" s="88"/>
      <c r="J40" s="42"/>
      <c r="K40" s="42"/>
      <c r="L40" s="42"/>
      <c r="M40" s="42"/>
      <c r="N40" s="42"/>
      <c r="O40" s="42"/>
      <c r="P40" s="25">
        <f>P35+P36</f>
        <v>17685.408182881933</v>
      </c>
      <c r="Q40" s="106" t="s">
        <v>12</v>
      </c>
      <c r="R40" s="91"/>
      <c r="S40" s="44" t="s">
        <v>21</v>
      </c>
      <c r="T40" s="98" t="str">
        <f>CONCATENATE("&lt;/trkseg&gt;&lt;/trk&gt;")</f>
        <v>&lt;/trkseg&gt;&lt;/trk&gt;</v>
      </c>
    </row>
    <row r="41" spans="1:20" ht="15" thickBot="1" x14ac:dyDescent="0.4">
      <c r="A41" s="24"/>
      <c r="B41" s="104"/>
      <c r="C41" s="11" t="s">
        <v>32</v>
      </c>
      <c r="D41" s="33"/>
      <c r="E41" s="33"/>
      <c r="F41" s="113" t="str">
        <f>C41</f>
        <v>B_008</v>
      </c>
      <c r="G41" s="113" t="s">
        <v>131</v>
      </c>
      <c r="H41" s="117" t="s">
        <v>132</v>
      </c>
      <c r="I41" s="117" t="s">
        <v>133</v>
      </c>
      <c r="J41" s="40"/>
      <c r="K41" s="40"/>
      <c r="L41" s="40"/>
      <c r="M41" s="40"/>
      <c r="N41" s="40"/>
      <c r="O41" s="40"/>
      <c r="P41" s="16"/>
      <c r="Q41" s="109"/>
      <c r="R41" s="92"/>
      <c r="S41" s="44" t="str">
        <f>CONCATENATE("&lt;Placemark&gt;&lt;name&gt;",A46,"&lt;/name&gt;&lt;styleUrl&gt;#track001&lt;/styleUrl&gt;&lt;MultiGeometry&gt;&lt;LineString&gt;&lt;coordinates&gt;")</f>
        <v>&lt;Placemark&gt;&lt;name&gt;B_008&lt;/name&gt;&lt;styleUrl&gt;#track001&lt;/styleUrl&gt;&lt;MultiGeometry&gt;&lt;LineString&gt;&lt;coordinates&gt;</v>
      </c>
      <c r="T41" s="98" t="str">
        <f>CONCATENATE("&lt;trk&gt;&lt;name&gt;",A46,"&lt;/name&gt;&lt;trkseg&gt;")</f>
        <v>&lt;trk&gt;&lt;name&gt;B_008&lt;/name&gt;&lt;trkseg&gt;</v>
      </c>
    </row>
    <row r="42" spans="1:20" ht="15" thickBot="1" x14ac:dyDescent="0.4">
      <c r="A42" s="24"/>
      <c r="B42" s="101">
        <v>1</v>
      </c>
      <c r="C42" s="41" t="s">
        <v>13</v>
      </c>
      <c r="D42" s="26">
        <f>D43-$D$7*SIN(RADIANS(Q43))</f>
        <v>4404410.3431884293</v>
      </c>
      <c r="E42" s="27">
        <f>E43-$D$7*COS(RADIANS(Q43))</f>
        <v>4466849.4596596127</v>
      </c>
      <c r="F42" s="132" cm="1">
        <f t="array" ref="F42:G42">_xll.PE.trf.ApplyForwardEx($D$4,$D$5,D42:E42,0,1,$D$12,,,,)</f>
        <v>19.873652457410753</v>
      </c>
      <c r="G42" s="134">
        <v>40.329447526505525</v>
      </c>
      <c r="H42" s="152">
        <v>592</v>
      </c>
      <c r="I42" s="155" t="s">
        <v>61</v>
      </c>
      <c r="J42" s="159" t="str" cm="1">
        <f t="array" ref="J42">_xll.PE.deg.AsString(F42)</f>
        <v>19 52 25</v>
      </c>
      <c r="K42" s="133" t="str" cm="1">
        <f t="array" ref="K42">_xll.PE.deg.AsString(G42)</f>
        <v>40 19 46</v>
      </c>
      <c r="L42" s="132" cm="1">
        <f t="array" ref="L42">_xll.PE.deg.FromString(J42)</f>
        <v>19.87361111111111</v>
      </c>
      <c r="M42" s="134" cm="1">
        <f t="array" ref="M42">_xll.PE.deg.FromString(K42)</f>
        <v>40.329444444444448</v>
      </c>
      <c r="N42" s="83">
        <f t="shared" ref="N42:O47" si="13">F42-L42</f>
        <v>4.1346299642697204E-5</v>
      </c>
      <c r="O42" s="79">
        <f t="shared" si="13"/>
        <v>3.0820610774640045E-6</v>
      </c>
      <c r="P42" s="8">
        <f>SQRT((D43-D42)^2+(E43-E42)^2)</f>
        <v>3000.0000000000514</v>
      </c>
      <c r="Q42" s="108">
        <f>IF(DEGREES(ATAN2(E43-E42,D43-D42))&lt;0,DEGREES(ATAN2(E43-E42,D43-D42))+360,(DEGREES(ATAN2(E43-E42,D43-D42))))</f>
        <v>69.569117585364779</v>
      </c>
      <c r="R42" s="89"/>
      <c r="S42" s="44" t="str">
        <f t="shared" ref="S42:S47" si="14">CONCATENATE(TEXT(F42,"#.00000000"),",",TEXT(G42,"#.00000000"))</f>
        <v>19.87365246,40.32944753</v>
      </c>
      <c r="T42" s="98" t="str">
        <f t="shared" ref="T42:T47" si="15">CONCATENATE("&lt;trkpt lon=""",TEXT(F42,"#.00000000"),""" lat=""",TEXT(G42,"#.00000000"),"""","&gt;&lt;name&gt;S",TEXT(B42,"00"),"&lt;/name&gt;&lt;/trkpt&gt;")</f>
        <v>&lt;trkpt lon="19.87365246" lat="40.32944753"&gt;&lt;name&gt;S01&lt;/name&gt;&lt;/trkpt&gt;</v>
      </c>
    </row>
    <row r="43" spans="1:20" ht="15" thickBot="1" x14ac:dyDescent="0.4">
      <c r="A43" s="24"/>
      <c r="B43" s="102">
        <v>2</v>
      </c>
      <c r="C43" s="12" t="s">
        <v>5</v>
      </c>
      <c r="D43" s="37">
        <f>D44-$D$8*SIN(RADIANS(Q44))</f>
        <v>4407221.6251076739</v>
      </c>
      <c r="E43" s="38">
        <f>E44-$D$8*COS(RADIANS(Q44))</f>
        <v>4467896.6912340643</v>
      </c>
      <c r="F43" s="135" cm="1">
        <f t="array" ref="F43:G43">_xll.PE.trf.ApplyForwardEx($D$4,$D$5,D43:E43,0,1,$D$12,,,,)</f>
        <v>19.906574728018438</v>
      </c>
      <c r="G43" s="137">
        <v>40.339194134416083</v>
      </c>
      <c r="H43" s="154">
        <v>282</v>
      </c>
      <c r="I43" s="155" t="s">
        <v>62</v>
      </c>
      <c r="J43" s="144" t="str" cm="1">
        <f t="array" ref="J43">_xll.PE.deg.AsString(F43)</f>
        <v>19 54 24</v>
      </c>
      <c r="K43" s="136" t="str" cm="1">
        <f t="array" ref="K43">_xll.PE.deg.AsString(G43)</f>
        <v>40 20 21</v>
      </c>
      <c r="L43" s="135" cm="1">
        <f t="array" ref="L43">_xll.PE.deg.FromString(J43)</f>
        <v>19.906666666666666</v>
      </c>
      <c r="M43" s="137" cm="1">
        <f t="array" ref="M43">_xll.PE.deg.FromString(K43)</f>
        <v>40.339166666666671</v>
      </c>
      <c r="N43" s="84">
        <f t="shared" si="13"/>
        <v>-9.1938648228762077E-5</v>
      </c>
      <c r="O43" s="80">
        <f t="shared" si="13"/>
        <v>2.7467749411869136E-5</v>
      </c>
      <c r="P43" s="39">
        <f>SQRT((D44-D43)^2+(E44-E43)^2)</f>
        <v>4000.0000000001769</v>
      </c>
      <c r="Q43" s="89">
        <f>IF(DEGREES(ATAN2(E44-E43,D44-D43))&lt;0,DEGREES(ATAN2(E44-E43,D44-D43))+360,(DEGREES(ATAN2(E44-E43,D44-D43))))</f>
        <v>69.56911758536063</v>
      </c>
      <c r="R43" s="21">
        <v>2462</v>
      </c>
      <c r="S43" s="44" t="str">
        <f t="shared" si="14"/>
        <v>19.90657473,40.33919413</v>
      </c>
      <c r="T43" s="98" t="str">
        <f t="shared" si="15"/>
        <v>&lt;trkpt lon="19.90657473" lat="40.33919413"&gt;&lt;name&gt;S02&lt;/name&gt;&lt;/trkpt&gt;</v>
      </c>
    </row>
    <row r="44" spans="1:20" ht="15" thickBot="1" x14ac:dyDescent="0.4">
      <c r="A44" s="24"/>
      <c r="B44" s="102">
        <v>3</v>
      </c>
      <c r="C44" s="12" t="s">
        <v>8</v>
      </c>
      <c r="D44" s="18">
        <v>4410970.0010000002</v>
      </c>
      <c r="E44" s="6">
        <v>4469293</v>
      </c>
      <c r="F44" s="138" cm="1">
        <f t="array" ref="F44:G44">_xll.PE.trf.ApplyForwardEx($D$4,$D$5,D44:E44,0,1,$D$12,,,,)</f>
        <v>19.950486102913491</v>
      </c>
      <c r="G44" s="140">
        <v>40.352175195042321</v>
      </c>
      <c r="H44" s="156">
        <v>880</v>
      </c>
      <c r="I44" s="155" t="s">
        <v>63</v>
      </c>
      <c r="J44" s="160" t="str" cm="1">
        <f t="array" ref="J44">_xll.PE.deg.AsString(F44)</f>
        <v>19 57 02</v>
      </c>
      <c r="K44" s="139" t="str" cm="1">
        <f t="array" ref="K44">_xll.PE.deg.AsString(G44)</f>
        <v>40 21 08</v>
      </c>
      <c r="L44" s="138" cm="1">
        <f t="array" ref="L44">_xll.PE.deg.FromString(J44)</f>
        <v>19.950555555555553</v>
      </c>
      <c r="M44" s="140" cm="1">
        <f t="array" ref="M44">_xll.PE.deg.FromString(K44)</f>
        <v>40.352222222222224</v>
      </c>
      <c r="N44" s="85">
        <f t="shared" si="13"/>
        <v>-6.9452642062373116E-5</v>
      </c>
      <c r="O44" s="81">
        <f t="shared" si="13"/>
        <v>-4.7027179903125216E-5</v>
      </c>
      <c r="P44" s="10">
        <f>SQRT((D45-D44)^2+(E45-E44)^2)</f>
        <v>28128.445339716698</v>
      </c>
      <c r="Q44" s="93">
        <f>IF(DEGREES(ATAN2(E45-E44,D45-D44))&lt;0,DEGREES(ATAN2(E45-E44,D45-D44))+360,(DEGREES(ATAN2(E45-E44,D45-D44))))</f>
        <v>69.569117585353467</v>
      </c>
      <c r="R44" s="90" cm="1">
        <f t="array" ref="R44">_xll.PE.crs.GeodesicDistance($D$4,D43:E46)</f>
        <v>36125.845604931084</v>
      </c>
      <c r="S44" s="44" t="str">
        <f t="shared" si="14"/>
        <v>19.95048610,40.35217520</v>
      </c>
      <c r="T44" s="98" t="str">
        <f t="shared" si="15"/>
        <v>&lt;trkpt lon="19.95048610" lat="40.35217520"&gt;&lt;name&gt;S03&lt;/name&gt;&lt;/trkpt&gt;</v>
      </c>
    </row>
    <row r="45" spans="1:20" ht="15" thickBot="1" x14ac:dyDescent="0.4">
      <c r="A45" s="24"/>
      <c r="B45" s="102">
        <v>4</v>
      </c>
      <c r="C45" s="12" t="s">
        <v>7</v>
      </c>
      <c r="D45" s="18">
        <v>4437328.9976000004</v>
      </c>
      <c r="E45" s="6">
        <v>4479111.9987000003</v>
      </c>
      <c r="F45" s="138" cm="1">
        <f t="array" ref="F45:G45">_xll.PE.trf.ApplyForwardEx($D$4,$D$5,D45:E45,0,1,$D$12,,,,)</f>
        <v>20.259758719416958</v>
      </c>
      <c r="G45" s="140">
        <v>40.442992245042944</v>
      </c>
      <c r="H45" s="156">
        <v>381</v>
      </c>
      <c r="I45" s="155" t="s">
        <v>64</v>
      </c>
      <c r="J45" s="160" t="str" cm="1">
        <f t="array" ref="J45">_xll.PE.deg.AsString(F45)</f>
        <v>20 15 35</v>
      </c>
      <c r="K45" s="139" t="str" cm="1">
        <f t="array" ref="K45">_xll.PE.deg.AsString(G45)</f>
        <v>40 26 35</v>
      </c>
      <c r="L45" s="138" cm="1">
        <f t="array" ref="L45">_xll.PE.deg.FromString(J45)</f>
        <v>20.259722222222223</v>
      </c>
      <c r="M45" s="140" cm="1">
        <f t="array" ref="M45">_xll.PE.deg.FromString(K45)</f>
        <v>40.443055555555553</v>
      </c>
      <c r="N45" s="85">
        <f t="shared" si="13"/>
        <v>3.6497194734863569E-5</v>
      </c>
      <c r="O45" s="81">
        <f t="shared" si="13"/>
        <v>-6.3310512608438785E-5</v>
      </c>
      <c r="P45" s="39">
        <f>SQRT((D46-D45)^2+(E46-E45)^2)</f>
        <v>4000.0000000001769</v>
      </c>
      <c r="Q45" s="89">
        <f>IF(DEGREES(ATAN2(E46-E45,D46-D45))&lt;0,DEGREES(ATAN2(E46-E45,D46-D45))+360,(DEGREES(ATAN2(E46-E45,D46-D45))))</f>
        <v>69.56911758536063</v>
      </c>
      <c r="R45" s="89"/>
      <c r="S45" s="44" t="str">
        <f t="shared" si="14"/>
        <v>20.25975872,40.44299225</v>
      </c>
      <c r="T45" s="98" t="str">
        <f t="shared" si="15"/>
        <v>&lt;trkpt lon="20.25975872" lat="40.44299225"&gt;&lt;name&gt;S04&lt;/name&gt;&lt;/trkpt&gt;</v>
      </c>
    </row>
    <row r="46" spans="1:20" ht="15" thickBot="1" x14ac:dyDescent="0.4">
      <c r="A46" s="24" t="str">
        <f>C41</f>
        <v>B_008</v>
      </c>
      <c r="B46" s="102">
        <v>5</v>
      </c>
      <c r="C46" s="12" t="s">
        <v>5</v>
      </c>
      <c r="D46" s="37">
        <f>D45+$D$8*SIN(RADIANS(Q44))</f>
        <v>4441077.3734923266</v>
      </c>
      <c r="E46" s="38">
        <f>E45+$D$8*COS(RADIANS(Q44))</f>
        <v>4480508.3074659361</v>
      </c>
      <c r="F46" s="135" cm="1">
        <f t="array" ref="F46:G46">_xll.PE.trf.ApplyForwardEx($D$4,$D$5,D46:E46,0,1,$D$12,,,,)</f>
        <v>20.303807202490884</v>
      </c>
      <c r="G46" s="137">
        <v>40.455840147522494</v>
      </c>
      <c r="H46" s="154">
        <v>914</v>
      </c>
      <c r="I46" s="155" t="s">
        <v>65</v>
      </c>
      <c r="J46" s="144" t="str" cm="1">
        <f t="array" ref="J46">_xll.PE.deg.AsString(F46)</f>
        <v>20 18 14</v>
      </c>
      <c r="K46" s="136" t="str" cm="1">
        <f t="array" ref="K46">_xll.PE.deg.AsString(G46)</f>
        <v>40 27 21</v>
      </c>
      <c r="L46" s="135" cm="1">
        <f t="array" ref="L46">_xll.PE.deg.FromString(J46)</f>
        <v>20.303888888888888</v>
      </c>
      <c r="M46" s="137" cm="1">
        <f t="array" ref="M46">_xll.PE.deg.FromString(K46)</f>
        <v>40.455833333333338</v>
      </c>
      <c r="N46" s="84">
        <f t="shared" si="13"/>
        <v>-8.1686398004876537E-5</v>
      </c>
      <c r="O46" s="80">
        <f t="shared" si="13"/>
        <v>6.8141891560458134E-6</v>
      </c>
      <c r="P46" s="39">
        <f>SQRT((D47-D46)^2+(E47-E46)^2)</f>
        <v>3000.0000000000514</v>
      </c>
      <c r="Q46" s="89">
        <f>IF(DEGREES(ATAN2(E47-E46,D47-D46))&lt;0,DEGREES(ATAN2(E47-E46,D47-D46))+360,(DEGREES(ATAN2(E47-E46,D47-D46))))</f>
        <v>69.569117585364779</v>
      </c>
      <c r="R46" s="5">
        <v>4326</v>
      </c>
      <c r="S46" s="44" t="str">
        <f t="shared" si="14"/>
        <v>20.30380720,40.45584015</v>
      </c>
      <c r="T46" s="98" t="str">
        <f t="shared" si="15"/>
        <v>&lt;trkpt lon="20.30380720" lat="40.45584015"&gt;&lt;name&gt;S05&lt;/name&gt;&lt;/trkpt&gt;</v>
      </c>
    </row>
    <row r="47" spans="1:20" ht="15" thickBot="1" x14ac:dyDescent="0.4">
      <c r="A47" s="24"/>
      <c r="B47" s="103">
        <v>6</v>
      </c>
      <c r="C47" s="13" t="s">
        <v>13</v>
      </c>
      <c r="D47" s="29">
        <f>D46+$D$7*SIN(RADIANS(Q45))</f>
        <v>4443888.6554115713</v>
      </c>
      <c r="E47" s="30">
        <f>E46+$D$7*COS(RADIANS(Q45))</f>
        <v>4481555.5390403876</v>
      </c>
      <c r="F47" s="141" cm="1">
        <f t="array" ref="F47:G47">_xll.PE.trf.ApplyForwardEx($D$4,$D$5,D47:E47,0,1,$D$12,,,,)</f>
        <v>20.336854707752281</v>
      </c>
      <c r="G47" s="143">
        <v>40.465465128118076</v>
      </c>
      <c r="H47" s="157">
        <v>426</v>
      </c>
      <c r="I47" s="155" t="s">
        <v>66</v>
      </c>
      <c r="J47" s="149" t="str" cm="1">
        <f t="array" ref="J47">_xll.PE.deg.AsString(F47)</f>
        <v>20 20 13</v>
      </c>
      <c r="K47" s="142" t="str" cm="1">
        <f t="array" ref="K47">_xll.PE.deg.AsString(G47)</f>
        <v>40 27 56</v>
      </c>
      <c r="L47" s="141" cm="1">
        <f t="array" ref="L47">_xll.PE.deg.FromString(J47)</f>
        <v>20.336944444444445</v>
      </c>
      <c r="M47" s="143" cm="1">
        <f t="array" ref="M47">_xll.PE.deg.FromString(K47)</f>
        <v>40.465555555555561</v>
      </c>
      <c r="N47" s="86">
        <f t="shared" si="13"/>
        <v>-8.9736692164166243E-5</v>
      </c>
      <c r="O47" s="82">
        <f t="shared" si="13"/>
        <v>-9.0427437484663642E-5</v>
      </c>
      <c r="P47" s="34">
        <f>SUM(P43:P45)</f>
        <v>36128.445339717051</v>
      </c>
      <c r="Q47" s="5" t="s">
        <v>11</v>
      </c>
      <c r="R47" s="90" cm="1">
        <f t="array" ref="R47">_xll.PE.crs.GeodesicDistance($D$5,L42:M46)</f>
        <v>39134.832653386409</v>
      </c>
      <c r="S47" s="44" t="str">
        <f t="shared" si="14"/>
        <v>20.33685471,40.46546513</v>
      </c>
      <c r="T47" s="98" t="str">
        <f t="shared" si="15"/>
        <v>&lt;trkpt lon="20.33685471" lat="40.46546513"&gt;&lt;name&gt;S06&lt;/name&gt;&lt;/trkpt&gt;</v>
      </c>
    </row>
    <row r="48" spans="1:20" ht="15" thickBot="1" x14ac:dyDescent="0.4">
      <c r="A48" s="24"/>
      <c r="B48" s="104"/>
      <c r="C48" s="17"/>
      <c r="D48" s="31"/>
      <c r="E48" s="31"/>
      <c r="F48" s="42"/>
      <c r="G48" s="42"/>
      <c r="H48" s="115"/>
      <c r="I48" s="88"/>
      <c r="J48" s="42"/>
      <c r="K48" s="42"/>
      <c r="L48" s="42"/>
      <c r="M48" s="42"/>
      <c r="N48" s="42"/>
      <c r="O48" s="42"/>
      <c r="P48" s="25">
        <f>P44</f>
        <v>28128.445339716698</v>
      </c>
      <c r="Q48" s="106" t="s">
        <v>12</v>
      </c>
      <c r="R48" s="91"/>
      <c r="S48" s="44" t="s">
        <v>21</v>
      </c>
      <c r="T48" s="98" t="str">
        <f>CONCATENATE("&lt;/trkseg&gt;&lt;/trk&gt;")</f>
        <v>&lt;/trkseg&gt;&lt;/trk&gt;</v>
      </c>
    </row>
    <row r="49" spans="1:20" ht="15" thickBot="1" x14ac:dyDescent="0.4">
      <c r="A49" s="24"/>
      <c r="B49" s="104"/>
      <c r="C49" s="11" t="s">
        <v>33</v>
      </c>
      <c r="D49" s="33"/>
      <c r="E49" s="33"/>
      <c r="F49" s="113" t="str">
        <f>C49</f>
        <v>B_009</v>
      </c>
      <c r="G49" s="113"/>
      <c r="H49" s="113"/>
      <c r="I49" s="113"/>
      <c r="J49" s="40"/>
      <c r="K49" s="40"/>
      <c r="L49" s="40"/>
      <c r="M49" s="40"/>
      <c r="N49" s="40"/>
      <c r="O49" s="40"/>
      <c r="P49" s="16"/>
      <c r="Q49" s="109"/>
      <c r="R49" s="92"/>
      <c r="S49" s="44" t="str">
        <f>CONCATENATE("&lt;Placemark&gt;&lt;name&gt;",A54,"&lt;/name&gt;&lt;styleUrl&gt;#track001&lt;/styleUrl&gt;&lt;MultiGeometry&gt;&lt;LineString&gt;&lt;coordinates&gt;")</f>
        <v>&lt;Placemark&gt;&lt;name&gt;B_009&lt;/name&gt;&lt;styleUrl&gt;#track001&lt;/styleUrl&gt;&lt;MultiGeometry&gt;&lt;LineString&gt;&lt;coordinates&gt;</v>
      </c>
      <c r="T49" s="98" t="str">
        <f>CONCATENATE("&lt;trk&gt;&lt;name&gt;",A54,"&lt;/name&gt;&lt;trkseg&gt;")</f>
        <v>&lt;trk&gt;&lt;name&gt;B_009&lt;/name&gt;&lt;trkseg&gt;</v>
      </c>
    </row>
    <row r="50" spans="1:20" ht="15" thickBot="1" x14ac:dyDescent="0.4">
      <c r="A50" s="24"/>
      <c r="B50" s="101">
        <v>1</v>
      </c>
      <c r="C50" s="41" t="s">
        <v>13</v>
      </c>
      <c r="D50" s="26">
        <f>D51-$D$7*SIN(RADIANS(Q51))</f>
        <v>4406643.6515580909</v>
      </c>
      <c r="E50" s="27">
        <f>E51-$D$7*COS(RADIANS(Q51))</f>
        <v>4464929.1109348536</v>
      </c>
      <c r="F50" s="132" cm="1">
        <f t="array" ref="F50:G50">_xll.PE.trf.ApplyForwardEx($D$4,$D$5,D50:E50,0,1,$D$12,,,,)</f>
        <v>19.900207757522892</v>
      </c>
      <c r="G50" s="134">
        <v>40.312409673182536</v>
      </c>
      <c r="H50" s="152">
        <v>438</v>
      </c>
      <c r="I50" s="155" t="s">
        <v>67</v>
      </c>
      <c r="J50" s="159" t="str" cm="1">
        <f t="array" ref="J50">_xll.PE.deg.AsString(F50)</f>
        <v>19 54 01</v>
      </c>
      <c r="K50" s="133" t="str" cm="1">
        <f t="array" ref="K50">_xll.PE.deg.AsString(G50)</f>
        <v>40 18 45</v>
      </c>
      <c r="L50" s="132" cm="1">
        <f t="array" ref="L50">_xll.PE.deg.FromString(J50)</f>
        <v>19.900277777777777</v>
      </c>
      <c r="M50" s="134" cm="1">
        <f t="array" ref="M50">_xll.PE.deg.FromString(K50)</f>
        <v>40.3125</v>
      </c>
      <c r="N50" s="83">
        <f t="shared" ref="N50:O55" si="16">F50-L50</f>
        <v>-7.0020254884894939E-5</v>
      </c>
      <c r="O50" s="79">
        <f t="shared" si="16"/>
        <v>-9.0326817463903808E-5</v>
      </c>
      <c r="P50" s="8">
        <f>SQRT((D51-D50)^2+(E51-E50)^2)</f>
        <v>3000.0000000000518</v>
      </c>
      <c r="Q50" s="108">
        <f>IF(DEGREES(ATAN2(E51-E50,D51-D50))&lt;0,DEGREES(ATAN2(E51-E50,D51-D50))+360,(DEGREES(ATAN2(E51-E50,D51-D50))))</f>
        <v>71.527992199095209</v>
      </c>
      <c r="R50" s="89"/>
      <c r="S50" s="44" t="str">
        <f t="shared" ref="S50:S55" si="17">CONCATENATE(TEXT(F50,"#.00000000"),",",TEXT(G50,"#.00000000"))</f>
        <v>19.90020776,40.31240967</v>
      </c>
      <c r="T50" s="98" t="str">
        <f t="shared" ref="T50:T55" si="18">CONCATENATE("&lt;trkpt lon=""",TEXT(F50,"#.00000000"),""" lat=""",TEXT(G50,"#.00000000"),"""","&gt;&lt;name&gt;S",TEXT(B50,"00"),"&lt;/name&gt;&lt;/trkpt&gt;")</f>
        <v>&lt;trkpt lon="19.90020776" lat="40.31240967"&gt;&lt;name&gt;S01&lt;/name&gt;&lt;/trkpt&gt;</v>
      </c>
    </row>
    <row r="51" spans="1:20" ht="15" thickBot="1" x14ac:dyDescent="0.4">
      <c r="A51" s="24"/>
      <c r="B51" s="102">
        <v>2</v>
      </c>
      <c r="C51" s="12" t="s">
        <v>5</v>
      </c>
      <c r="D51" s="37">
        <f>D52-$D$8*SIN(RADIANS(Q52))</f>
        <v>4409489.0872474806</v>
      </c>
      <c r="E51" s="38">
        <f>E52-$D$8*COS(RADIANS(Q52))</f>
        <v>4465879.6348627731</v>
      </c>
      <c r="F51" s="135" cm="1">
        <f t="array" ref="F51:G51">_xll.PE.trf.ApplyForwardEx($D$4,$D$5,D51:E51,0,1,$D$12,,,,)</f>
        <v>19.933541273379543</v>
      </c>
      <c r="G51" s="137">
        <v>40.321281636115572</v>
      </c>
      <c r="H51" s="154">
        <v>349</v>
      </c>
      <c r="I51" s="155" t="s">
        <v>68</v>
      </c>
      <c r="J51" s="144" t="str" cm="1">
        <f t="array" ref="J51">_xll.PE.deg.AsString(F51)</f>
        <v>19 56 01</v>
      </c>
      <c r="K51" s="136" t="str" cm="1">
        <f t="array" ref="K51">_xll.PE.deg.AsString(G51)</f>
        <v>40 19 17</v>
      </c>
      <c r="L51" s="135" cm="1">
        <f t="array" ref="L51">_xll.PE.deg.FromString(J51)</f>
        <v>19.933611111111112</v>
      </c>
      <c r="M51" s="137" cm="1">
        <f t="array" ref="M51">_xll.PE.deg.FromString(K51)</f>
        <v>40.32138888888889</v>
      </c>
      <c r="N51" s="84">
        <f t="shared" si="16"/>
        <v>-6.9837731569322159E-5</v>
      </c>
      <c r="O51" s="80">
        <f t="shared" si="16"/>
        <v>-1.0725277331857797E-4</v>
      </c>
      <c r="P51" s="39">
        <f>SQRT((D52-D51)^2+(E52-E51)^2)</f>
        <v>4000.0000000002656</v>
      </c>
      <c r="Q51" s="89">
        <f>IF(DEGREES(ATAN2(E52-E51,D52-D51))&lt;0,DEGREES(ATAN2(E52-E51,D52-D51))+360,(DEGREES(ATAN2(E52-E51,D52-D51))))</f>
        <v>71.527992199086768</v>
      </c>
      <c r="R51" s="21">
        <v>2462</v>
      </c>
      <c r="S51" s="44" t="str">
        <f t="shared" si="17"/>
        <v>19.93354127,40.32128164</v>
      </c>
      <c r="T51" s="98" t="str">
        <f t="shared" si="18"/>
        <v>&lt;trkpt lon="19.93354127" lat="40.32128164"&gt;&lt;name&gt;S02&lt;/name&gt;&lt;/trkpt&gt;</v>
      </c>
    </row>
    <row r="52" spans="1:20" ht="15" thickBot="1" x14ac:dyDescent="0.4">
      <c r="A52" s="24"/>
      <c r="B52" s="102">
        <v>3</v>
      </c>
      <c r="C52" s="12" t="s">
        <v>8</v>
      </c>
      <c r="D52" s="18">
        <v>4413283.0015000002</v>
      </c>
      <c r="E52" s="6">
        <v>4467147.0000999998</v>
      </c>
      <c r="F52" s="138" cm="1">
        <f t="array" ref="F52:G52">_xll.PE.trf.ApplyForwardEx($D$4,$D$5,D52:E52,0,1,$D$12,,,,)</f>
        <v>19.97799981976652</v>
      </c>
      <c r="G52" s="140">
        <v>40.333096123789161</v>
      </c>
      <c r="H52" s="156">
        <v>818</v>
      </c>
      <c r="I52" s="155" t="s">
        <v>69</v>
      </c>
      <c r="J52" s="160" t="str" cm="1">
        <f t="array" ref="J52">_xll.PE.deg.AsString(F52)</f>
        <v>19 58 41</v>
      </c>
      <c r="K52" s="139" t="str" cm="1">
        <f t="array" ref="K52">_xll.PE.deg.AsString(G52)</f>
        <v>40 19 59</v>
      </c>
      <c r="L52" s="138" cm="1">
        <f t="array" ref="L52">_xll.PE.deg.FromString(J52)</f>
        <v>19.978055555555553</v>
      </c>
      <c r="M52" s="140" cm="1">
        <f t="array" ref="M52">_xll.PE.deg.FromString(K52)</f>
        <v>40.333055555555561</v>
      </c>
      <c r="N52" s="85">
        <f t="shared" si="16"/>
        <v>-5.5735789032951288E-5</v>
      </c>
      <c r="O52" s="81">
        <f t="shared" si="16"/>
        <v>4.0568233600879466E-5</v>
      </c>
      <c r="P52" s="10">
        <f>SQRT((D53-D52)^2+(E53-E52)^2)</f>
        <v>24936.774239737024</v>
      </c>
      <c r="Q52" s="93">
        <f>IF(DEGREES(ATAN2(E53-E52,D53-D52))&lt;0,DEGREES(ATAN2(E53-E52,D53-D52))+360,(DEGREES(ATAN2(E53-E52,D53-D52))))</f>
        <v>71.527992199092083</v>
      </c>
      <c r="R52" s="90" cm="1">
        <f t="array" ref="R52">_xll.PE.crs.GeodesicDistance($D$4,D51:E54)</f>
        <v>32934.468512886939</v>
      </c>
      <c r="S52" s="44" t="str">
        <f t="shared" si="17"/>
        <v>19.97799982,40.33309612</v>
      </c>
      <c r="T52" s="98" t="str">
        <f t="shared" si="18"/>
        <v>&lt;trkpt lon="19.97799982" lat="40.33309612"&gt;&lt;name&gt;S03&lt;/name&gt;&lt;/trkpt&gt;</v>
      </c>
    </row>
    <row r="53" spans="1:20" ht="15" thickBot="1" x14ac:dyDescent="0.4">
      <c r="A53" s="24"/>
      <c r="B53" s="102">
        <v>4</v>
      </c>
      <c r="C53" s="12" t="s">
        <v>7</v>
      </c>
      <c r="D53" s="18">
        <v>4436934.9972999999</v>
      </c>
      <c r="E53" s="6">
        <v>4475048.0003000004</v>
      </c>
      <c r="F53" s="138" cm="1">
        <f t="array" ref="F53:G53">_xll.PE.trf.ApplyForwardEx($D$4,$D$5,D53:E53,0,1,$D$12,,,,)</f>
        <v>20.255518710888996</v>
      </c>
      <c r="G53" s="140">
        <v>40.406367319968865</v>
      </c>
      <c r="H53" s="156">
        <v>533</v>
      </c>
      <c r="I53" s="155" t="s">
        <v>70</v>
      </c>
      <c r="J53" s="160" t="str" cm="1">
        <f t="array" ref="J53">_xll.PE.deg.AsString(F53)</f>
        <v>20 15 20</v>
      </c>
      <c r="K53" s="139" t="str" cm="1">
        <f t="array" ref="K53">_xll.PE.deg.AsString(G53)</f>
        <v>40 24 23</v>
      </c>
      <c r="L53" s="138" cm="1">
        <f t="array" ref="L53">_xll.PE.deg.FromString(J53)</f>
        <v>20.255555555555556</v>
      </c>
      <c r="M53" s="140" cm="1">
        <f t="array" ref="M53">_xll.PE.deg.FromString(K53)</f>
        <v>40.406388888888884</v>
      </c>
      <c r="N53" s="85">
        <f t="shared" si="16"/>
        <v>-3.6844666560398309E-5</v>
      </c>
      <c r="O53" s="81">
        <f t="shared" si="16"/>
        <v>-2.1568920018921744E-5</v>
      </c>
      <c r="P53" s="39">
        <f>SQRT((D54-D53)^2+(E54-E53)^2)</f>
        <v>4000.0000000002656</v>
      </c>
      <c r="Q53" s="89">
        <f>IF(DEGREES(ATAN2(E54-E53,D54-D53))&lt;0,DEGREES(ATAN2(E54-E53,D54-D53))+360,(DEGREES(ATAN2(E54-E53,D54-D53))))</f>
        <v>71.527992199086768</v>
      </c>
      <c r="R53" s="89"/>
      <c r="S53" s="44" t="str">
        <f t="shared" si="17"/>
        <v>20.25551871,40.40636732</v>
      </c>
      <c r="T53" s="98" t="str">
        <f t="shared" si="18"/>
        <v>&lt;trkpt lon="20.25551871" lat="40.40636732"&gt;&lt;name&gt;S04&lt;/name&gt;&lt;/trkpt&gt;</v>
      </c>
    </row>
    <row r="54" spans="1:20" ht="15" thickBot="1" x14ac:dyDescent="0.4">
      <c r="A54" s="24" t="str">
        <f>C49</f>
        <v>B_009</v>
      </c>
      <c r="B54" s="102">
        <v>5</v>
      </c>
      <c r="C54" s="12" t="s">
        <v>5</v>
      </c>
      <c r="D54" s="37">
        <f>D53+$D$8*SIN(RADIANS(Q52))</f>
        <v>4440728.9115525195</v>
      </c>
      <c r="E54" s="38">
        <f>E53+$D$8*COS(RADIANS(Q52))</f>
        <v>4476315.3655372271</v>
      </c>
      <c r="F54" s="135" cm="1">
        <f t="array" ref="F54:G54">_xll.PE.trf.ApplyForwardEx($D$4,$D$5,D54:E54,0,1,$D$12,,,,)</f>
        <v>20.300091131624491</v>
      </c>
      <c r="G54" s="137">
        <v>40.418058849922616</v>
      </c>
      <c r="H54" s="154">
        <v>302</v>
      </c>
      <c r="I54" s="155" t="s">
        <v>71</v>
      </c>
      <c r="J54" s="144" t="str" cm="1">
        <f t="array" ref="J54">_xll.PE.deg.AsString(F54)</f>
        <v>20 18 00</v>
      </c>
      <c r="K54" s="136" t="str" cm="1">
        <f t="array" ref="K54">_xll.PE.deg.AsString(G54)</f>
        <v>40 25 05</v>
      </c>
      <c r="L54" s="135" cm="1">
        <f t="array" ref="L54">_xll.PE.deg.FromString(J54)</f>
        <v>20.3</v>
      </c>
      <c r="M54" s="137" cm="1">
        <f t="array" ref="M54">_xll.PE.deg.FromString(K54)</f>
        <v>40.418055555555554</v>
      </c>
      <c r="N54" s="84">
        <f t="shared" si="16"/>
        <v>9.1131624490259355E-5</v>
      </c>
      <c r="O54" s="80">
        <f t="shared" si="16"/>
        <v>3.2943670618124088E-6</v>
      </c>
      <c r="P54" s="39">
        <f>SQRT((D55-D54)^2+(E55-E54)^2)</f>
        <v>3000.0000000000518</v>
      </c>
      <c r="Q54" s="89">
        <f>IF(DEGREES(ATAN2(E55-E54,D55-D54))&lt;0,DEGREES(ATAN2(E55-E54,D55-D54))+360,(DEGREES(ATAN2(E55-E54,D55-D54))))</f>
        <v>71.527992199095209</v>
      </c>
      <c r="R54" s="5">
        <v>4326</v>
      </c>
      <c r="S54" s="44" t="str">
        <f t="shared" si="17"/>
        <v>20.30009113,40.41805885</v>
      </c>
      <c r="T54" s="98" t="str">
        <f t="shared" si="18"/>
        <v>&lt;trkpt lon="20.30009113" lat="40.41805885"&gt;&lt;name&gt;S05&lt;/name&gt;&lt;/trkpt&gt;</v>
      </c>
    </row>
    <row r="55" spans="1:20" ht="15" thickBot="1" x14ac:dyDescent="0.4">
      <c r="A55" s="24"/>
      <c r="B55" s="103">
        <v>6</v>
      </c>
      <c r="C55" s="13" t="s">
        <v>13</v>
      </c>
      <c r="D55" s="29">
        <f>D54+$D$7*SIN(RADIANS(Q53))</f>
        <v>4443574.3472419092</v>
      </c>
      <c r="E55" s="30">
        <f>E54+$D$7*COS(RADIANS(Q53))</f>
        <v>4477265.8894651467</v>
      </c>
      <c r="F55" s="141" cm="1">
        <f t="array" ref="F55:G55">_xll.PE.trf.ApplyForwardEx($D$4,$D$5,D55:E55,0,1,$D$12,,,,)</f>
        <v>20.333530712767278</v>
      </c>
      <c r="G55" s="143">
        <v>40.426816286558491</v>
      </c>
      <c r="H55" s="157">
        <v>699</v>
      </c>
      <c r="I55" s="155" t="s">
        <v>72</v>
      </c>
      <c r="J55" s="149" t="str" cm="1">
        <f t="array" ref="J55">_xll.PE.deg.AsString(F55)</f>
        <v>20 20 01</v>
      </c>
      <c r="K55" s="142" t="str" cm="1">
        <f t="array" ref="K55">_xll.PE.deg.AsString(G55)</f>
        <v>40 25 37</v>
      </c>
      <c r="L55" s="141" cm="1">
        <f t="array" ref="L55">_xll.PE.deg.FromString(J55)</f>
        <v>20.333611111111111</v>
      </c>
      <c r="M55" s="143" cm="1">
        <f t="array" ref="M55">_xll.PE.deg.FromString(K55)</f>
        <v>40.426944444444445</v>
      </c>
      <c r="N55" s="86">
        <f t="shared" si="16"/>
        <v>-8.0398343833110175E-5</v>
      </c>
      <c r="O55" s="82">
        <f t="shared" si="16"/>
        <v>-1.2815788595332833E-4</v>
      </c>
      <c r="P55" s="34">
        <f>SUM(P51:P53)</f>
        <v>32936.774239737555</v>
      </c>
      <c r="Q55" s="5" t="s">
        <v>11</v>
      </c>
      <c r="R55" s="90" cm="1">
        <f t="array" ref="R55">_xll.PE.crs.GeodesicDistance($D$5,L51:M54)</f>
        <v>32917.277057803265</v>
      </c>
      <c r="S55" s="44" t="str">
        <f t="shared" si="17"/>
        <v>20.33353071,40.42681629</v>
      </c>
      <c r="T55" s="98" t="str">
        <f t="shared" si="18"/>
        <v>&lt;trkpt lon="20.33353071" lat="40.42681629"&gt;&lt;name&gt;S06&lt;/name&gt;&lt;/trkpt&gt;</v>
      </c>
    </row>
    <row r="56" spans="1:20" ht="15" thickBot="1" x14ac:dyDescent="0.4">
      <c r="A56" s="24"/>
      <c r="B56" s="104"/>
      <c r="C56" s="17"/>
      <c r="D56" s="31"/>
      <c r="E56" s="31"/>
      <c r="F56" s="42"/>
      <c r="G56" s="42"/>
      <c r="H56" s="115"/>
      <c r="I56" s="88"/>
      <c r="J56" s="42"/>
      <c r="K56" s="42"/>
      <c r="L56" s="42"/>
      <c r="M56" s="42"/>
      <c r="N56" s="42"/>
      <c r="O56" s="42"/>
      <c r="P56" s="25">
        <f>P52</f>
        <v>24936.774239737024</v>
      </c>
      <c r="Q56" s="106" t="s">
        <v>12</v>
      </c>
      <c r="R56" s="91"/>
      <c r="S56" s="44" t="s">
        <v>21</v>
      </c>
      <c r="T56" s="98" t="str">
        <f>CONCATENATE("&lt;/trkseg&gt;&lt;/trk&gt;")</f>
        <v>&lt;/trkseg&gt;&lt;/trk&gt;</v>
      </c>
    </row>
    <row r="57" spans="1:20" ht="15" thickBot="1" x14ac:dyDescent="0.4">
      <c r="A57" s="24"/>
      <c r="B57" s="104"/>
      <c r="C57" s="11" t="s">
        <v>34</v>
      </c>
      <c r="D57" s="33"/>
      <c r="E57" s="33"/>
      <c r="F57" s="113" t="str">
        <f>C57</f>
        <v>B_010</v>
      </c>
      <c r="G57" s="113"/>
      <c r="H57" s="113"/>
      <c r="I57" s="113"/>
      <c r="J57" s="40"/>
      <c r="K57" s="40"/>
      <c r="L57" s="40"/>
      <c r="M57" s="40"/>
      <c r="N57" s="40"/>
      <c r="O57" s="40"/>
      <c r="P57" s="16"/>
      <c r="Q57" s="109"/>
      <c r="R57" s="92"/>
      <c r="S57" s="44" t="str">
        <f>CONCATENATE("&lt;Placemark&gt;&lt;name&gt;",A62,"&lt;/name&gt;&lt;styleUrl&gt;#track001&lt;/styleUrl&gt;&lt;MultiGeometry&gt;&lt;LineString&gt;&lt;coordinates&gt;")</f>
        <v>&lt;Placemark&gt;&lt;name&gt;B_010&lt;/name&gt;&lt;styleUrl&gt;#track001&lt;/styleUrl&gt;&lt;MultiGeometry&gt;&lt;LineString&gt;&lt;coordinates&gt;</v>
      </c>
      <c r="T57" s="98" t="str">
        <f>CONCATENATE("&lt;trk&gt;&lt;name&gt;",A62,"&lt;/name&gt;&lt;trkseg&gt;")</f>
        <v>&lt;trk&gt;&lt;name&gt;B_010&lt;/name&gt;&lt;trkseg&gt;</v>
      </c>
    </row>
    <row r="58" spans="1:20" ht="15" thickBot="1" x14ac:dyDescent="0.4">
      <c r="A58" s="24"/>
      <c r="B58" s="101">
        <v>1</v>
      </c>
      <c r="C58" s="41" t="s">
        <v>13</v>
      </c>
      <c r="D58" s="26">
        <f>D59-$D$7*SIN(RADIANS(Q59))</f>
        <v>4408801.9388487665</v>
      </c>
      <c r="E58" s="27">
        <f>E59-$D$7*COS(RADIANS(Q59))</f>
        <v>4463055.1312818611</v>
      </c>
      <c r="F58" s="132" cm="1">
        <f t="array" ref="F58:G58">_xll.PE.trf.ApplyForwardEx($D$4,$D$5,D58:E58,0,1,$D$12,,,,)</f>
        <v>19.925860955743484</v>
      </c>
      <c r="G58" s="134">
        <v>40.295774822822679</v>
      </c>
      <c r="H58" s="152">
        <v>727</v>
      </c>
      <c r="I58" s="155" t="s">
        <v>73</v>
      </c>
      <c r="J58" s="159" t="str" cm="1">
        <f t="array" ref="J58">_xll.PE.deg.AsString(F58)</f>
        <v>19 55 33</v>
      </c>
      <c r="K58" s="133" t="str" cm="1">
        <f t="array" ref="K58">_xll.PE.deg.AsString(G58)</f>
        <v>40 17 45</v>
      </c>
      <c r="L58" s="132" cm="1">
        <f t="array" ref="L58">_xll.PE.deg.FromString(J58)</f>
        <v>19.925833333333333</v>
      </c>
      <c r="M58" s="134" cm="1">
        <f t="array" ref="M58">_xll.PE.deg.FromString(K58)</f>
        <v>40.295833333333334</v>
      </c>
      <c r="N58" s="83">
        <f t="shared" ref="N58:O63" si="19">F58-L58</f>
        <v>2.7622410151195709E-5</v>
      </c>
      <c r="O58" s="79">
        <f t="shared" si="19"/>
        <v>-5.8510510655196413E-5</v>
      </c>
      <c r="P58" s="8">
        <f>SQRT((D59-D58)^2+(E59-E58)^2)</f>
        <v>2999.9999999997217</v>
      </c>
      <c r="Q58" s="108">
        <f>IF(DEGREES(ATAN2(E59-E58,D59-D58))&lt;0,DEGREES(ATAN2(E59-E58,D59-D58))+360,(DEGREES(ATAN2(E59-E58,D59-D58))))</f>
        <v>74.336851700523653</v>
      </c>
      <c r="R58" s="89"/>
      <c r="S58" s="44" t="str">
        <f t="shared" ref="S58:S63" si="20">CONCATENATE(TEXT(F58,"#.00000000"),",",TEXT(G58,"#.00000000"))</f>
        <v>19.92586096,40.29577482</v>
      </c>
      <c r="T58" s="98" t="str">
        <f t="shared" ref="T58:T63" si="21">CONCATENATE("&lt;trkpt lon=""",TEXT(F58,"#.00000000"),""" lat=""",TEXT(G58,"#.00000000"),"""","&gt;&lt;name&gt;S",TEXT(B58,"00"),"&lt;/name&gt;&lt;/trkpt&gt;")</f>
        <v>&lt;trkpt lon="19.92586096" lat="40.29577482"&gt;&lt;name&gt;S01&lt;/name&gt;&lt;/trkpt&gt;</v>
      </c>
    </row>
    <row r="59" spans="1:20" ht="15" thickBot="1" x14ac:dyDescent="0.4">
      <c r="A59" s="24"/>
      <c r="B59" s="102">
        <v>2</v>
      </c>
      <c r="C59" s="12" t="s">
        <v>5</v>
      </c>
      <c r="D59" s="37">
        <f>D60-$D$8*SIN(RADIANS(Q60))</f>
        <v>4411690.5356278662</v>
      </c>
      <c r="E59" s="38">
        <f>E60-$D$8*COS(RADIANS(Q60))</f>
        <v>4463865.0748896347</v>
      </c>
      <c r="F59" s="135" cm="1">
        <f t="array" ref="F59:G59">_xll.PE.trf.ApplyForwardEx($D$4,$D$5,D59:E59,0,1,$D$12,,,,)</f>
        <v>19.959716888540239</v>
      </c>
      <c r="G59" s="137">
        <v>40.303378114903786</v>
      </c>
      <c r="H59" s="154">
        <v>618</v>
      </c>
      <c r="I59" s="155" t="s">
        <v>74</v>
      </c>
      <c r="J59" s="144" t="str" cm="1">
        <f t="array" ref="J59">_xll.PE.deg.AsString(F59)</f>
        <v>19 57 35</v>
      </c>
      <c r="K59" s="136" t="str" cm="1">
        <f t="array" ref="K59">_xll.PE.deg.AsString(G59)</f>
        <v>40 18 12</v>
      </c>
      <c r="L59" s="135" cm="1">
        <f t="array" ref="L59">_xll.PE.deg.FromString(J59)</f>
        <v>19.959722222222222</v>
      </c>
      <c r="M59" s="137" cm="1">
        <f t="array" ref="M59">_xll.PE.deg.FromString(K59)</f>
        <v>40.303333333333327</v>
      </c>
      <c r="N59" s="84">
        <f t="shared" si="19"/>
        <v>-5.3336819831883986E-6</v>
      </c>
      <c r="O59" s="80">
        <f t="shared" si="19"/>
        <v>4.4781570458951592E-5</v>
      </c>
      <c r="P59" s="39">
        <f>SQRT((D60-D59)^2+(E60-E59)^2)</f>
        <v>4000.0000000002265</v>
      </c>
      <c r="Q59" s="89">
        <f>IF(DEGREES(ATAN2(E60-E59,D60-D59))&lt;0,DEGREES(ATAN2(E60-E59,D60-D59))+360,(DEGREES(ATAN2(E60-E59,D60-D59))))</f>
        <v>74.336851700526054</v>
      </c>
      <c r="R59" s="21">
        <v>2462</v>
      </c>
      <c r="S59" s="44" t="str">
        <f t="shared" si="20"/>
        <v>19.95971689,40.30337811</v>
      </c>
      <c r="T59" s="98" t="str">
        <f t="shared" si="21"/>
        <v>&lt;trkpt lon="19.95971689" lat="40.30337811"&gt;&lt;name&gt;S02&lt;/name&gt;&lt;/trkpt&gt;</v>
      </c>
    </row>
    <row r="60" spans="1:20" ht="15" thickBot="1" x14ac:dyDescent="0.4">
      <c r="A60" s="24"/>
      <c r="B60" s="102">
        <v>3</v>
      </c>
      <c r="C60" s="12" t="s">
        <v>8</v>
      </c>
      <c r="D60" s="18">
        <v>4415541.9979999997</v>
      </c>
      <c r="E60" s="6">
        <v>4464944.9996999996</v>
      </c>
      <c r="F60" s="138" cm="1">
        <f t="array" ref="F60:G60">_xll.PE.trf.ApplyForwardEx($D$4,$D$5,D60:E60,0,1,$D$12,,,,)</f>
        <v>20.00487023617189</v>
      </c>
      <c r="G60" s="140">
        <v>40.313500551006001</v>
      </c>
      <c r="H60" s="156">
        <v>492</v>
      </c>
      <c r="I60" s="155" t="s">
        <v>75</v>
      </c>
      <c r="J60" s="160" t="str" cm="1">
        <f t="array" ref="J60">_xll.PE.deg.AsString(F60)</f>
        <v>20 00 18</v>
      </c>
      <c r="K60" s="139" t="str" cm="1">
        <f t="array" ref="K60">_xll.PE.deg.AsString(G60)</f>
        <v>40 18 49</v>
      </c>
      <c r="L60" s="138" cm="1">
        <f t="array" ref="L60">_xll.PE.deg.FromString(J60)</f>
        <v>20.004999999999999</v>
      </c>
      <c r="M60" s="140" cm="1">
        <f t="array" ref="M60">_xll.PE.deg.FromString(K60)</f>
        <v>40.313611111111108</v>
      </c>
      <c r="N60" s="85">
        <f t="shared" si="19"/>
        <v>-1.2976382810947484E-4</v>
      </c>
      <c r="O60" s="81">
        <f t="shared" si="19"/>
        <v>-1.1056010510657188E-4</v>
      </c>
      <c r="P60" s="10">
        <f>SQRT((D61-D60)^2+(E61-E60)^2)</f>
        <v>21749.665323513025</v>
      </c>
      <c r="Q60" s="93">
        <f>IF(DEGREES(ATAN2(E61-E60,D61-D60))&lt;0,DEGREES(ATAN2(E61-E60,D61-D60))+360,(DEGREES(ATAN2(E61-E60,D61-D60))))</f>
        <v>74.336851700519389</v>
      </c>
      <c r="R60" s="90" cm="1">
        <f t="array" ref="R60">_xll.PE.crs.GeodesicDistance($D$4,D59:E62)</f>
        <v>29747.63669229201</v>
      </c>
      <c r="S60" s="44" t="str">
        <f t="shared" si="20"/>
        <v>20.00487024,40.31350055</v>
      </c>
      <c r="T60" s="98" t="str">
        <f t="shared" si="21"/>
        <v>&lt;trkpt lon="20.00487024" lat="40.31350055"&gt;&lt;name&gt;S03&lt;/name&gt;&lt;/trkpt&gt;</v>
      </c>
    </row>
    <row r="61" spans="1:20" ht="15" thickBot="1" x14ac:dyDescent="0.4">
      <c r="A61" s="24"/>
      <c r="B61" s="102">
        <v>4</v>
      </c>
      <c r="C61" s="12" t="s">
        <v>7</v>
      </c>
      <c r="D61" s="18">
        <v>4436484.0023999996</v>
      </c>
      <c r="E61" s="6">
        <v>4470817.0005000001</v>
      </c>
      <c r="F61" s="138" cm="1">
        <f t="array" ref="F61:G61">_xll.PE.trf.ApplyForwardEx($D$4,$D$5,D61:E61,0,1,$D$12,,,,)</f>
        <v>20.250628652514411</v>
      </c>
      <c r="G61" s="140">
        <v>40.368233892392162</v>
      </c>
      <c r="H61" s="156">
        <v>565</v>
      </c>
      <c r="I61" s="155" t="s">
        <v>76</v>
      </c>
      <c r="J61" s="160" t="str" cm="1">
        <f t="array" ref="J61">_xll.PE.deg.AsString(F61)</f>
        <v>20 15 02</v>
      </c>
      <c r="K61" s="139" t="str" cm="1">
        <f t="array" ref="K61">_xll.PE.deg.AsString(G61)</f>
        <v>40 22 06</v>
      </c>
      <c r="L61" s="138" cm="1">
        <f t="array" ref="L61">_xll.PE.deg.FromString(J61)</f>
        <v>20.250555555555554</v>
      </c>
      <c r="M61" s="140" cm="1">
        <f t="array" ref="M61">_xll.PE.deg.FromString(K61)</f>
        <v>40.368333333333332</v>
      </c>
      <c r="N61" s="85">
        <f t="shared" si="19"/>
        <v>7.3096958857377103E-5</v>
      </c>
      <c r="O61" s="81">
        <f t="shared" si="19"/>
        <v>-9.9440941170314545E-5</v>
      </c>
      <c r="P61" s="39">
        <f>SQRT((D62-D61)^2+(E62-E61)^2)</f>
        <v>4000.0000000002265</v>
      </c>
      <c r="Q61" s="89">
        <f>IF(DEGREES(ATAN2(E62-E61,D62-D61))&lt;0,DEGREES(ATAN2(E62-E61,D62-D61))+360,(DEGREES(ATAN2(E62-E61,D62-D61))))</f>
        <v>74.336851700526054</v>
      </c>
      <c r="R61" s="89"/>
      <c r="S61" s="44" t="str">
        <f t="shared" si="20"/>
        <v>20.25062865,40.36823389</v>
      </c>
      <c r="T61" s="98" t="str">
        <f t="shared" si="21"/>
        <v>&lt;trkpt lon="20.25062865" lat="40.36823389"&gt;&lt;name&gt;S04&lt;/name&gt;&lt;/trkpt&gt;</v>
      </c>
    </row>
    <row r="62" spans="1:20" ht="15" thickBot="1" x14ac:dyDescent="0.4">
      <c r="A62" s="24" t="str">
        <f>C57</f>
        <v>B_010</v>
      </c>
      <c r="B62" s="102">
        <v>5</v>
      </c>
      <c r="C62" s="12" t="s">
        <v>5</v>
      </c>
      <c r="D62" s="37">
        <f>D61+$D$8*SIN(RADIANS(Q60))</f>
        <v>4440335.4647721332</v>
      </c>
      <c r="E62" s="38">
        <f>E61+$D$8*COS(RADIANS(Q60))</f>
        <v>4471896.9253103649</v>
      </c>
      <c r="F62" s="138" cm="1">
        <f t="array" ref="F62:G62">_xll.PE.trf.ApplyForwardEx($D$4,$D$5,D62:E62,0,1,$D$12,,,,)</f>
        <v>20.295870360336661</v>
      </c>
      <c r="G62" s="140">
        <v>40.378243418278601</v>
      </c>
      <c r="H62" s="154">
        <v>557</v>
      </c>
      <c r="I62" s="155" t="s">
        <v>77</v>
      </c>
      <c r="J62" s="144" t="str" cm="1">
        <f t="array" ref="J62">_xll.PE.deg.AsString(F62)</f>
        <v>20 17 45</v>
      </c>
      <c r="K62" s="136" t="str" cm="1">
        <f t="array" ref="K62">_xll.PE.deg.AsString(G62)</f>
        <v>40 22 42</v>
      </c>
      <c r="L62" s="135" cm="1">
        <f t="array" ref="L62">_xll.PE.deg.FromString(J62)</f>
        <v>20.295833333333334</v>
      </c>
      <c r="M62" s="137" cm="1">
        <f t="array" ref="M62">_xll.PE.deg.FromString(K62)</f>
        <v>40.37833333333333</v>
      </c>
      <c r="N62" s="84">
        <f t="shared" si="19"/>
        <v>3.7027003326528529E-5</v>
      </c>
      <c r="O62" s="80">
        <f t="shared" si="19"/>
        <v>-8.9915054729772237E-5</v>
      </c>
      <c r="P62" s="39">
        <f>SQRT((D63-D62)^2+(E63-E62)^2)</f>
        <v>2999.9999999997217</v>
      </c>
      <c r="Q62" s="89">
        <f>IF(DEGREES(ATAN2(E63-E62,D63-D62))&lt;0,DEGREES(ATAN2(E63-E62,D63-D62))+360,(DEGREES(ATAN2(E63-E62,D63-D62))))</f>
        <v>74.336851700523653</v>
      </c>
      <c r="R62" s="5">
        <v>4326</v>
      </c>
      <c r="S62" s="44" t="str">
        <f t="shared" si="20"/>
        <v>20.29587036,40.37824342</v>
      </c>
      <c r="T62" s="98" t="str">
        <f t="shared" si="21"/>
        <v>&lt;trkpt lon="20.29587036" lat="40.37824342"&gt;&lt;name&gt;S05&lt;/name&gt;&lt;/trkpt&gt;</v>
      </c>
    </row>
    <row r="63" spans="1:20" ht="15" thickBot="1" x14ac:dyDescent="0.4">
      <c r="A63" s="24"/>
      <c r="B63" s="103">
        <v>6</v>
      </c>
      <c r="C63" s="13" t="s">
        <v>13</v>
      </c>
      <c r="D63" s="29">
        <f>D62+$D$7*SIN(RADIANS(Q61))</f>
        <v>4443224.0615512328</v>
      </c>
      <c r="E63" s="30">
        <f>E62+$D$7*COS(RADIANS(Q61))</f>
        <v>4472706.8689181386</v>
      </c>
      <c r="F63" s="141" cm="1">
        <f t="array" ref="F63:G63">_xll.PE.trf.ApplyForwardEx($D$4,$D$5,D63:E63,0,1,$D$12,,,,)</f>
        <v>20.32981057815698</v>
      </c>
      <c r="G63" s="143">
        <v>40.385739007087452</v>
      </c>
      <c r="H63" s="157">
        <v>577</v>
      </c>
      <c r="I63" s="155" t="s">
        <v>78</v>
      </c>
      <c r="J63" s="149" t="str" cm="1">
        <f t="array" ref="J63">_xll.PE.deg.AsString(F63)</f>
        <v>20 19 47</v>
      </c>
      <c r="K63" s="142" t="str" cm="1">
        <f t="array" ref="K63">_xll.PE.deg.AsString(G63)</f>
        <v>40 23 09</v>
      </c>
      <c r="L63" s="141" cm="1">
        <f t="array" ref="L63">_xll.PE.deg.FromString(J63)</f>
        <v>20.329722222222223</v>
      </c>
      <c r="M63" s="143" cm="1">
        <f t="array" ref="M63">_xll.PE.deg.FromString(K63)</f>
        <v>40.385833333333331</v>
      </c>
      <c r="N63" s="86">
        <f t="shared" si="19"/>
        <v>8.8355934757089472E-5</v>
      </c>
      <c r="O63" s="82">
        <f t="shared" si="19"/>
        <v>-9.4326245879017279E-5</v>
      </c>
      <c r="P63" s="34">
        <f>SUM(P59:P61)</f>
        <v>29749.665323513476</v>
      </c>
      <c r="Q63" s="5" t="s">
        <v>11</v>
      </c>
      <c r="R63" s="90" cm="1">
        <f t="array" ref="R63">_xll.PE.crs.GeodesicDistance($D$5,L59:M62)</f>
        <v>29748.130977686935</v>
      </c>
      <c r="S63" s="44" t="str">
        <f t="shared" si="20"/>
        <v>20.32981058,40.38573901</v>
      </c>
      <c r="T63" s="98" t="str">
        <f t="shared" si="21"/>
        <v>&lt;trkpt lon="20.32981058" lat="40.38573901"&gt;&lt;name&gt;S06&lt;/name&gt;&lt;/trkpt&gt;</v>
      </c>
    </row>
    <row r="64" spans="1:20" ht="15" thickBot="1" x14ac:dyDescent="0.4">
      <c r="C64" s="17"/>
      <c r="D64" s="31"/>
      <c r="E64" s="31"/>
      <c r="F64" s="42"/>
      <c r="G64" s="42"/>
      <c r="H64" s="115"/>
      <c r="I64" s="88"/>
      <c r="J64" s="42"/>
      <c r="K64" s="42"/>
      <c r="L64" s="42"/>
      <c r="M64" s="42"/>
      <c r="N64" s="42"/>
      <c r="O64" s="42"/>
      <c r="P64" s="25">
        <f>P60</f>
        <v>21749.665323513025</v>
      </c>
      <c r="Q64" s="106" t="s">
        <v>12</v>
      </c>
      <c r="R64" s="91"/>
      <c r="S64" s="44" t="s">
        <v>21</v>
      </c>
      <c r="T64" s="98" t="str">
        <f>CONCATENATE("&lt;/trkseg&gt;&lt;/trk&gt;")</f>
        <v>&lt;/trkseg&gt;&lt;/trk&gt;</v>
      </c>
    </row>
    <row r="65" spans="1:20" ht="15" thickBot="1" x14ac:dyDescent="0.4">
      <c r="C65" s="19" t="s">
        <v>35</v>
      </c>
      <c r="D65" s="33"/>
      <c r="E65" s="33"/>
      <c r="F65" s="113" t="str">
        <f>C65</f>
        <v>D_011</v>
      </c>
      <c r="G65" s="113"/>
      <c r="H65" s="113"/>
      <c r="I65" s="113"/>
      <c r="J65" s="40"/>
      <c r="K65" s="40"/>
      <c r="L65" s="40"/>
      <c r="M65" s="40"/>
      <c r="N65" s="40"/>
      <c r="O65" s="40"/>
      <c r="P65" s="16"/>
      <c r="Q65" s="109"/>
      <c r="R65" s="92"/>
      <c r="S65" s="44" t="str">
        <f>CONCATENATE("&lt;Placemark&gt;&lt;name&gt;",A71,"&lt;/name&gt;&lt;styleUrl&gt;#track001&lt;/styleUrl&gt;&lt;MultiGeometry&gt;&lt;LineString&gt;&lt;coordinates&gt;")</f>
        <v>&lt;Placemark&gt;&lt;name&gt;D_011&lt;/name&gt;&lt;styleUrl&gt;#track001&lt;/styleUrl&gt;&lt;MultiGeometry&gt;&lt;LineString&gt;&lt;coordinates&gt;</v>
      </c>
      <c r="T65" s="98" t="str">
        <f>CONCATENATE("&lt;trk&gt;&lt;name&gt;",A71,"&lt;/name&gt;&lt;trkseg&gt;")</f>
        <v>&lt;trk&gt;&lt;name&gt;D_011&lt;/name&gt;&lt;trkseg&gt;</v>
      </c>
    </row>
    <row r="66" spans="1:20" x14ac:dyDescent="0.35">
      <c r="A66" s="23"/>
      <c r="B66" s="101">
        <v>1</v>
      </c>
      <c r="C66" s="41" t="s">
        <v>13</v>
      </c>
      <c r="D66" s="26">
        <f>D67-$D$7*SIN(RADIANS(Q67))</f>
        <v>4414260.3500275882</v>
      </c>
      <c r="E66" s="27">
        <f>E67-$D$7*COS(RADIANS(Q67))</f>
        <v>4450574.3227219004</v>
      </c>
      <c r="F66" s="132" cm="1">
        <f t="array" ref="F66:G66">_xll.PE.trf.ApplyForwardEx($D$4,$D$5,D66:E66,0,1,$D$12,,,,)</f>
        <v>19.99171711359562</v>
      </c>
      <c r="G66" s="134">
        <v>40.183971418221908</v>
      </c>
      <c r="H66" s="152">
        <v>552</v>
      </c>
      <c r="I66" s="155" t="s">
        <v>79</v>
      </c>
      <c r="J66" s="159" t="str" cm="1">
        <f t="array" ref="J66">_xll.PE.deg.AsString(F66)</f>
        <v>19 59 30</v>
      </c>
      <c r="K66" s="133" t="str" cm="1">
        <f t="array" ref="K66">_xll.PE.deg.AsString(G66)</f>
        <v>40 11 02</v>
      </c>
      <c r="L66" s="132" cm="1">
        <f t="array" ref="L66">_xll.PE.deg.FromString(J66)</f>
        <v>19.991666666666667</v>
      </c>
      <c r="M66" s="134" cm="1">
        <f t="array" ref="M66">_xll.PE.deg.FromString(K66)</f>
        <v>40.183888888888887</v>
      </c>
      <c r="N66" s="71">
        <f t="shared" ref="N66:O72" si="22">F66-L66</f>
        <v>5.0446928952396775E-5</v>
      </c>
      <c r="O66" s="72">
        <f t="shared" si="22"/>
        <v>8.2529333020886497E-5</v>
      </c>
      <c r="P66" s="8">
        <f t="shared" ref="P66:P71" si="23">SQRT((D67-D66)^2+(E67-E66)^2)</f>
        <v>2999.9999999999404</v>
      </c>
      <c r="Q66" s="108">
        <f t="shared" ref="Q66:Q71" si="24">IF(DEGREES(ATAN2(E67-E66,D67-D66))&lt;0,DEGREES(ATAN2(E67-E66,D67-D66))+360,(DEGREES(ATAN2(E67-E66,D67-D66))))</f>
        <v>57.640278182395008</v>
      </c>
      <c r="R66" s="89"/>
      <c r="S66" s="44" t="str">
        <f t="shared" ref="S66:S72" si="25">CONCATENATE(TEXT(F66,"#.00000000"),",",TEXT(G66,"#.00000000"))</f>
        <v>19.99171711,40.18397142</v>
      </c>
      <c r="T66" s="98" t="str">
        <f t="shared" ref="T66:T72" si="26">CONCATENATE("&lt;trkpt lon=""",TEXT(F66,"#.00000000"),""" lat=""",TEXT(G66,"#.00000000"),"""","&gt;&lt;name&gt;S",TEXT(B66,"00"),"&lt;/name&gt;&lt;/trkpt&gt;")</f>
        <v>&lt;trkpt lon="19.99171711" lat="40.18397142"&gt;&lt;name&gt;S01&lt;/name&gt;&lt;/trkpt&gt;</v>
      </c>
    </row>
    <row r="67" spans="1:20" ht="15" thickBot="1" x14ac:dyDescent="0.4">
      <c r="A67" s="23"/>
      <c r="B67" s="102">
        <v>2</v>
      </c>
      <c r="C67" s="12" t="s">
        <v>5</v>
      </c>
      <c r="D67" s="37">
        <f>D68-$D$8*SIN(RADIANS(Q68))</f>
        <v>4416794.4632157646</v>
      </c>
      <c r="E67" s="38">
        <f>E68-$D$8*COS(RADIANS(Q68))</f>
        <v>4452180.0220553717</v>
      </c>
      <c r="F67" s="135" cm="1">
        <f t="array" ref="F67:G67">_xll.PE.trf.ApplyForwardEx($D$4,$D$5,D67:E67,0,1,$D$12,,,,)</f>
        <v>20.021260198241439</v>
      </c>
      <c r="G67" s="137">
        <v>40.198685281102414</v>
      </c>
      <c r="H67" s="154">
        <v>327</v>
      </c>
      <c r="I67" s="155" t="s">
        <v>80</v>
      </c>
      <c r="J67" s="144" t="str" cm="1">
        <f t="array" ref="J67">_xll.PE.deg.AsString(F67)</f>
        <v>20 01 17</v>
      </c>
      <c r="K67" s="136" t="str" cm="1">
        <f t="array" ref="K67">_xll.PE.deg.AsString(G67)</f>
        <v>40 11 55</v>
      </c>
      <c r="L67" s="135" cm="1">
        <f t="array" ref="L67">_xll.PE.deg.FromString(J67)</f>
        <v>20.02138888888889</v>
      </c>
      <c r="M67" s="137" cm="1">
        <f t="array" ref="M67">_xll.PE.deg.FromString(K67)</f>
        <v>40.198611111111106</v>
      </c>
      <c r="N67" s="73">
        <f t="shared" si="22"/>
        <v>-1.2869064745046899E-4</v>
      </c>
      <c r="O67" s="74">
        <f t="shared" si="22"/>
        <v>7.4169991307826422E-5</v>
      </c>
      <c r="P67" s="39">
        <f t="shared" si="23"/>
        <v>3999.9999999999204</v>
      </c>
      <c r="Q67" s="89">
        <f t="shared" si="24"/>
        <v>57.640278182395008</v>
      </c>
      <c r="R67" s="89"/>
      <c r="S67" s="44" t="str">
        <f t="shared" si="25"/>
        <v>20.02126020,40.19868528</v>
      </c>
      <c r="T67" s="98" t="str">
        <f t="shared" si="26"/>
        <v>&lt;trkpt lon="20.02126020" lat="40.19868528"&gt;&lt;name&gt;S02&lt;/name&gt;&lt;/trkpt&gt;</v>
      </c>
    </row>
    <row r="68" spans="1:20" ht="15" thickBot="1" x14ac:dyDescent="0.4">
      <c r="A68" s="23"/>
      <c r="B68" s="102">
        <v>3</v>
      </c>
      <c r="C68" s="12" t="s">
        <v>9</v>
      </c>
      <c r="D68" s="20">
        <v>4420173.2807999998</v>
      </c>
      <c r="E68" s="7">
        <v>4454320.9545</v>
      </c>
      <c r="F68" s="138" cm="1">
        <f t="array" ref="F68:G68">_xll.PE.trf.ApplyForwardEx($D$4,$D$5,D68:E68,0,1,$D$12,,,,)</f>
        <v>20.06067098541865</v>
      </c>
      <c r="G68" s="140">
        <v>40.218292206114242</v>
      </c>
      <c r="H68" s="156">
        <v>880</v>
      </c>
      <c r="I68" s="155" t="s">
        <v>81</v>
      </c>
      <c r="J68" s="160" t="str" cm="1">
        <f t="array" ref="J68">_xll.PE.deg.AsString(F68)</f>
        <v>20 03 38</v>
      </c>
      <c r="K68" s="139" t="str" cm="1">
        <f t="array" ref="K68">_xll.PE.deg.AsString(G68)</f>
        <v>40 13 06</v>
      </c>
      <c r="L68" s="138" cm="1">
        <f t="array" ref="L68">_xll.PE.deg.FromString(J68)</f>
        <v>20.060555555555556</v>
      </c>
      <c r="M68" s="140" cm="1">
        <f t="array" ref="M68">_xll.PE.deg.FromString(K68)</f>
        <v>40.218333333333334</v>
      </c>
      <c r="N68" s="75">
        <f t="shared" si="22"/>
        <v>1.1542986309365233E-4</v>
      </c>
      <c r="O68" s="76">
        <f t="shared" si="22"/>
        <v>-4.1127219091663392E-5</v>
      </c>
      <c r="P68" s="10">
        <f t="shared" si="23"/>
        <v>10430.444947495531</v>
      </c>
      <c r="Q68" s="93">
        <f t="shared" si="24"/>
        <v>57.640278182402504</v>
      </c>
      <c r="R68" s="21">
        <v>2462</v>
      </c>
      <c r="S68" s="44" t="str">
        <f t="shared" si="25"/>
        <v>20.06067099,40.21829221</v>
      </c>
      <c r="T68" s="98" t="str">
        <f t="shared" si="26"/>
        <v>&lt;trkpt lon="20.06067099" lat="40.21829221"&gt;&lt;name&gt;S03&lt;/name&gt;&lt;/trkpt&gt;</v>
      </c>
    </row>
    <row r="69" spans="1:20" ht="15" thickBot="1" x14ac:dyDescent="0.4">
      <c r="A69" s="23"/>
      <c r="B69" s="102">
        <v>4</v>
      </c>
      <c r="C69" s="12" t="s">
        <v>10</v>
      </c>
      <c r="D69" s="20">
        <v>4428983.9234999996</v>
      </c>
      <c r="E69" s="7">
        <v>4459903.6739999996</v>
      </c>
      <c r="F69" s="138" cm="1">
        <f t="array" ref="F69:G69">_xll.PE.trf.ApplyForwardEx($D$4,$D$5,D69:E69,0,1,$D$12,,,,)</f>
        <v>20.163546599470713</v>
      </c>
      <c r="G69" s="140">
        <v>40.269357117836726</v>
      </c>
      <c r="H69" s="156">
        <v>125</v>
      </c>
      <c r="I69" s="155" t="s">
        <v>82</v>
      </c>
      <c r="J69" s="160" t="str" cm="1">
        <f t="array" ref="J69">_xll.PE.deg.AsString(F69)</f>
        <v>20 09 49</v>
      </c>
      <c r="K69" s="139" t="str" cm="1">
        <f t="array" ref="K69">_xll.PE.deg.AsString(G69)</f>
        <v>40 16 10</v>
      </c>
      <c r="L69" s="138" cm="1">
        <f t="array" ref="L69">_xll.PE.deg.FromString(J69)</f>
        <v>20.163611111111109</v>
      </c>
      <c r="M69" s="140" cm="1">
        <f t="array" ref="M69">_xll.PE.deg.FromString(K69)</f>
        <v>40.269444444444446</v>
      </c>
      <c r="N69" s="75">
        <f t="shared" si="22"/>
        <v>-6.45116403958923E-5</v>
      </c>
      <c r="O69" s="76">
        <f t="shared" si="22"/>
        <v>-8.7326607719262483E-5</v>
      </c>
      <c r="P69" s="10">
        <f t="shared" si="23"/>
        <v>8647.4814146180488</v>
      </c>
      <c r="Q69" s="93">
        <f t="shared" si="24"/>
        <v>46.735704560545393</v>
      </c>
      <c r="R69" s="90" cm="1">
        <f t="array" ref="R69">_xll.PE.crs.GeodesicDistance($D$4,D67:E71)</f>
        <v>27076.181068575235</v>
      </c>
      <c r="S69" s="44" t="str">
        <f t="shared" si="25"/>
        <v>20.16354660,40.26935712</v>
      </c>
      <c r="T69" s="98" t="str">
        <f t="shared" si="26"/>
        <v>&lt;trkpt lon="20.16354660" lat="40.26935712"&gt;&lt;name&gt;S04&lt;/name&gt;&lt;/trkpt&gt;</v>
      </c>
    </row>
    <row r="70" spans="1:20" ht="15" thickBot="1" x14ac:dyDescent="0.4">
      <c r="A70" s="23"/>
      <c r="B70" s="102">
        <v>5</v>
      </c>
      <c r="C70" s="12" t="s">
        <v>7</v>
      </c>
      <c r="D70" s="20">
        <v>4435281.0193999996</v>
      </c>
      <c r="E70" s="7">
        <v>4465830.3525</v>
      </c>
      <c r="F70" s="138" cm="1">
        <f t="array" ref="F70:G70">_xll.PE.trf.ApplyForwardEx($D$4,$D$5,D70:E70,0,1,$D$12,,,,)</f>
        <v>20.236972394273813</v>
      </c>
      <c r="G70" s="140">
        <v>40.323237545161852</v>
      </c>
      <c r="H70" s="156">
        <v>252</v>
      </c>
      <c r="I70" s="155" t="s">
        <v>83</v>
      </c>
      <c r="J70" s="160" t="str" cm="1">
        <f t="array" ref="J70">_xll.PE.deg.AsString(F70)</f>
        <v>20 14 13</v>
      </c>
      <c r="K70" s="139" t="str" cm="1">
        <f t="array" ref="K70">_xll.PE.deg.AsString(G70)</f>
        <v>40 19 24</v>
      </c>
      <c r="L70" s="138" cm="1">
        <f t="array" ref="L70">_xll.PE.deg.FromString(J70)</f>
        <v>20.236944444444447</v>
      </c>
      <c r="M70" s="140" cm="1">
        <f t="array" ref="M70">_xll.PE.deg.FromString(K70)</f>
        <v>40.323333333333338</v>
      </c>
      <c r="N70" s="75">
        <f t="shared" si="22"/>
        <v>2.7949829366491485E-5</v>
      </c>
      <c r="O70" s="76">
        <f t="shared" si="22"/>
        <v>-9.5788171485367002E-5</v>
      </c>
      <c r="P70" s="39">
        <f t="shared" si="23"/>
        <v>4000.0000000003356</v>
      </c>
      <c r="Q70" s="89">
        <f t="shared" si="24"/>
        <v>46.735704560543653</v>
      </c>
      <c r="R70" s="89"/>
      <c r="S70" s="44" t="str">
        <f t="shared" si="25"/>
        <v>20.23697239,40.32323755</v>
      </c>
      <c r="T70" s="98" t="str">
        <f t="shared" si="26"/>
        <v>&lt;trkpt lon="20.23697239" lat="40.32323755"&gt;&lt;name&gt;S05&lt;/name&gt;&lt;/trkpt&gt;</v>
      </c>
    </row>
    <row r="71" spans="1:20" ht="15" thickBot="1" x14ac:dyDescent="0.4">
      <c r="A71" s="23" t="str">
        <f>C65</f>
        <v>D_011</v>
      </c>
      <c r="B71" s="102">
        <v>6</v>
      </c>
      <c r="C71" s="12" t="s">
        <v>5</v>
      </c>
      <c r="D71" s="37">
        <f>D70+$D$8*SIN(RADIANS(Q69))</f>
        <v>4438193.819369413</v>
      </c>
      <c r="E71" s="38">
        <f>E70+$D$8*COS(RADIANS(Q69))</f>
        <v>4468571.8112974633</v>
      </c>
      <c r="F71" s="135" cm="1">
        <f t="array" ref="F71:G71">_xll.PE.trf.ApplyForwardEx($D$4,$D$5,D71:E71,0,1,$D$12,,,,)</f>
        <v>20.270975922742149</v>
      </c>
      <c r="G71" s="137">
        <v>40.348145024869751</v>
      </c>
      <c r="H71" s="154">
        <v>863</v>
      </c>
      <c r="I71" s="155" t="s">
        <v>84</v>
      </c>
      <c r="J71" s="144" t="str" cm="1">
        <f t="array" ref="J71">_xll.PE.deg.AsString(F71)</f>
        <v>20 16 16</v>
      </c>
      <c r="K71" s="136" t="str" cm="1">
        <f t="array" ref="K71">_xll.PE.deg.AsString(G71)</f>
        <v>40 20 53</v>
      </c>
      <c r="L71" s="135" cm="1">
        <f t="array" ref="L71">_xll.PE.deg.FromString(J71)</f>
        <v>20.271111111111111</v>
      </c>
      <c r="M71" s="137" cm="1">
        <f t="array" ref="M71">_xll.PE.deg.FromString(K71)</f>
        <v>40.348055555555561</v>
      </c>
      <c r="N71" s="73">
        <f t="shared" si="22"/>
        <v>-1.351883689615363E-4</v>
      </c>
      <c r="O71" s="74">
        <f t="shared" si="22"/>
        <v>8.9469314190182558E-5</v>
      </c>
      <c r="P71" s="39">
        <f t="shared" si="23"/>
        <v>3000.0000000005812</v>
      </c>
      <c r="Q71" s="89">
        <f t="shared" si="24"/>
        <v>46.735704560543461</v>
      </c>
      <c r="R71" s="5">
        <v>4326</v>
      </c>
      <c r="S71" s="44" t="str">
        <f t="shared" si="25"/>
        <v>20.27097592,40.34814502</v>
      </c>
      <c r="T71" s="98" t="str">
        <f t="shared" si="26"/>
        <v>&lt;trkpt lon="20.27097592" lat="40.34814502"&gt;&lt;name&gt;S06&lt;/name&gt;&lt;/trkpt&gt;</v>
      </c>
    </row>
    <row r="72" spans="1:20" ht="15" thickBot="1" x14ac:dyDescent="0.4">
      <c r="A72" s="23"/>
      <c r="B72" s="103">
        <v>7</v>
      </c>
      <c r="C72" s="13" t="s">
        <v>13</v>
      </c>
      <c r="D72" s="29">
        <f>D71+$D$7*SIN(RADIANS(Q70))</f>
        <v>4440378.4193464732</v>
      </c>
      <c r="E72" s="30">
        <f>E71+$D$7*COS(RADIANS(Q70))</f>
        <v>4470627.9053955609</v>
      </c>
      <c r="F72" s="141" cm="1">
        <f t="array" ref="F72:G72">_xll.PE.trf.ApplyForwardEx($D$4,$D$5,D72:E72,0,1,$D$12,,,,)</f>
        <v>20.296494997345555</v>
      </c>
      <c r="G72" s="143">
        <v>40.366819144150845</v>
      </c>
      <c r="H72" s="157">
        <v>521</v>
      </c>
      <c r="I72" s="155" t="s">
        <v>85</v>
      </c>
      <c r="J72" s="149" t="str" cm="1">
        <f t="array" ref="J72">_xll.PE.deg.AsString(F72)</f>
        <v>20 17 47</v>
      </c>
      <c r="K72" s="142" t="str" cm="1">
        <f t="array" ref="K72">_xll.PE.deg.AsString(G72)</f>
        <v>40 22 01</v>
      </c>
      <c r="L72" s="141" cm="1">
        <f t="array" ref="L72">_xll.PE.deg.FromString(J72)</f>
        <v>20.296388888888892</v>
      </c>
      <c r="M72" s="143" cm="1">
        <f t="array" ref="M72">_xll.PE.deg.FromString(K72)</f>
        <v>40.366944444444442</v>
      </c>
      <c r="N72" s="77">
        <f t="shared" si="22"/>
        <v>1.0610845666292334E-4</v>
      </c>
      <c r="O72" s="78">
        <f t="shared" si="22"/>
        <v>-1.2530029359680839E-4</v>
      </c>
      <c r="P72" s="34">
        <f>SUM(P67:P70)</f>
        <v>27077.926362113834</v>
      </c>
      <c r="Q72" s="5" t="s">
        <v>11</v>
      </c>
      <c r="R72" s="90" cm="1">
        <f t="array" ref="R72">_xll.PE.crs.GeodesicDistance($D$5,L67:M71)</f>
        <v>27072.023467884705</v>
      </c>
      <c r="S72" s="44" t="str">
        <f t="shared" si="25"/>
        <v>20.29649500,40.36681914</v>
      </c>
      <c r="T72" s="98" t="str">
        <f t="shared" si="26"/>
        <v>&lt;trkpt lon="20.29649500" lat="40.36681914"&gt;&lt;name&gt;S07&lt;/name&gt;&lt;/trkpt&gt;</v>
      </c>
    </row>
    <row r="73" spans="1:20" ht="15" thickBot="1" x14ac:dyDescent="0.4">
      <c r="A73" s="23"/>
      <c r="B73" s="105"/>
      <c r="C73" s="17"/>
      <c r="D73" s="31"/>
      <c r="E73" s="31"/>
      <c r="F73" s="42"/>
      <c r="G73" s="42"/>
      <c r="H73" s="115"/>
      <c r="I73" s="88"/>
      <c r="J73" s="42"/>
      <c r="K73" s="42"/>
      <c r="L73" s="42"/>
      <c r="M73" s="42"/>
      <c r="N73" s="42"/>
      <c r="O73" s="42"/>
      <c r="P73" s="25">
        <f>P68+P69</f>
        <v>19077.92636211358</v>
      </c>
      <c r="Q73" s="106" t="s">
        <v>12</v>
      </c>
      <c r="R73" s="91"/>
      <c r="S73" s="44" t="s">
        <v>21</v>
      </c>
      <c r="T73" s="98" t="str">
        <f>CONCATENATE("&lt;/trkseg&gt;&lt;/trk&gt;")</f>
        <v>&lt;/trkseg&gt;&lt;/trk&gt;</v>
      </c>
    </row>
    <row r="74" spans="1:20" ht="15" thickBot="1" x14ac:dyDescent="0.4">
      <c r="A74" s="23"/>
      <c r="B74" s="105"/>
      <c r="C74" s="19" t="s">
        <v>36</v>
      </c>
      <c r="D74" s="33"/>
      <c r="E74" s="33"/>
      <c r="F74" s="113" t="str">
        <f>C74</f>
        <v>D_012</v>
      </c>
      <c r="G74" s="113"/>
      <c r="H74" s="113"/>
      <c r="I74" s="113"/>
      <c r="J74" s="40"/>
      <c r="K74" s="40"/>
      <c r="L74" s="40"/>
      <c r="M74" s="40"/>
      <c r="N74" s="40"/>
      <c r="O74" s="40"/>
      <c r="P74" s="16"/>
      <c r="Q74" s="109"/>
      <c r="R74" s="92"/>
      <c r="S74" s="44" t="str">
        <f>CONCATENATE("&lt;Placemark&gt;&lt;name&gt;",A80,"&lt;/name&gt;&lt;styleUrl&gt;#track001&lt;/styleUrl&gt;&lt;MultiGeometry&gt;&lt;LineString&gt;&lt;coordinates&gt;")</f>
        <v>&lt;Placemark&gt;&lt;name&gt;D_012&lt;/name&gt;&lt;styleUrl&gt;#track001&lt;/styleUrl&gt;&lt;MultiGeometry&gt;&lt;LineString&gt;&lt;coordinates&gt;</v>
      </c>
      <c r="T74" s="98" t="str">
        <f>CONCATENATE("&lt;trk&gt;&lt;name&gt;",A80,"&lt;/name&gt;&lt;trkseg&gt;")</f>
        <v>&lt;trk&gt;&lt;name&gt;D_012&lt;/name&gt;&lt;trkseg&gt;</v>
      </c>
    </row>
    <row r="75" spans="1:20" x14ac:dyDescent="0.35">
      <c r="A75" s="23"/>
      <c r="B75" s="101">
        <v>1</v>
      </c>
      <c r="C75" s="41" t="s">
        <v>13</v>
      </c>
      <c r="D75" s="26">
        <f>D76-$D$7*SIN(RADIANS(Q76))</f>
        <v>4415630.3413818749</v>
      </c>
      <c r="E75" s="27">
        <f>E76-$D$7*COS(RADIANS(Q76))</f>
        <v>4441250.3036329644</v>
      </c>
      <c r="F75" s="132" cm="1">
        <f t="array" ref="F75:G75">_xll.PE.trf.ApplyForwardEx($D$4,$D$5,D75:E75,0,1,$D$12,,,,)</f>
        <v>20.009021806680682</v>
      </c>
      <c r="G75" s="134">
        <v>40.100151765718145</v>
      </c>
      <c r="H75" s="152">
        <v>685</v>
      </c>
      <c r="I75" s="155" t="s">
        <v>86</v>
      </c>
      <c r="J75" s="159" t="str" cm="1">
        <f t="array" ref="J75">_xll.PE.deg.AsString(F75)</f>
        <v>20 00 32</v>
      </c>
      <c r="K75" s="133" t="str" cm="1">
        <f t="array" ref="K75">_xll.PE.deg.AsString(G75)</f>
        <v>40 06 01</v>
      </c>
      <c r="L75" s="132" cm="1">
        <f t="array" ref="L75">_xll.PE.deg.FromString(J75)</f>
        <v>20.00888888888889</v>
      </c>
      <c r="M75" s="134" cm="1">
        <f t="array" ref="M75">_xll.PE.deg.FromString(K75)</f>
        <v>40.100277777777777</v>
      </c>
      <c r="N75" s="71">
        <f t="shared" ref="N75:O81" si="27">F75-L75</f>
        <v>1.3291779179169794E-4</v>
      </c>
      <c r="O75" s="72">
        <f t="shared" si="27"/>
        <v>-1.2601205963136408E-4</v>
      </c>
      <c r="P75" s="8">
        <f t="shared" ref="P75:P80" si="28">SQRT((D76-D75)^2+(E76-E75)^2)</f>
        <v>2999.9999999998577</v>
      </c>
      <c r="Q75" s="108">
        <f t="shared" ref="Q75:Q80" si="29">IF(DEGREES(ATAN2(E76-E75,D76-D75))&lt;0,DEGREES(ATAN2(E76-E75,D76-D75))+360,(DEGREES(ATAN2(E76-E75,D76-D75))))</f>
        <v>59.818618744838837</v>
      </c>
      <c r="R75" s="89"/>
      <c r="S75" s="44" t="str">
        <f t="shared" ref="S75:S81" si="30">CONCATENATE(TEXT(F75,"#.00000000"),",",TEXT(G75,"#.00000000"))</f>
        <v>20.00902181,40.10015177</v>
      </c>
      <c r="T75" s="98" t="str">
        <f t="shared" ref="T75:T81" si="31">CONCATENATE("&lt;trkpt lon=""",TEXT(F75,"#.00000000"),""" lat=""",TEXT(G75,"#.00000000"),"""","&gt;&lt;name&gt;S",TEXT(B75,"00"),"&lt;/name&gt;&lt;/trkpt&gt;")</f>
        <v>&lt;trkpt lon="20.00902181" lat="40.10015177"&gt;&lt;name&gt;S01&lt;/name&gt;&lt;/trkpt&gt;</v>
      </c>
    </row>
    <row r="76" spans="1:20" ht="15" thickBot="1" x14ac:dyDescent="0.4">
      <c r="A76" s="23"/>
      <c r="B76" s="102">
        <v>2</v>
      </c>
      <c r="C76" s="12" t="s">
        <v>5</v>
      </c>
      <c r="D76" s="37">
        <f>D77-$D$8*SIN(RADIANS(Q77))</f>
        <v>4418223.6560324999</v>
      </c>
      <c r="E76" s="38">
        <f>E77-$D$8*COS(RADIANS(Q77))</f>
        <v>4442758.5208331225</v>
      </c>
      <c r="F76" s="135" cm="1">
        <f t="array" ref="F76:G76">_xll.PE.trf.ApplyForwardEx($D$4,$D$5,D76:E76,0,1,$D$12,,,,)</f>
        <v>20.039239468543986</v>
      </c>
      <c r="G76" s="137">
        <v>40.113989007241472</v>
      </c>
      <c r="H76" s="154">
        <v>775</v>
      </c>
      <c r="I76" s="155" t="s">
        <v>87</v>
      </c>
      <c r="J76" s="144" t="str" cm="1">
        <f t="array" ref="J76">_xll.PE.deg.AsString(F76)</f>
        <v>20 02 21</v>
      </c>
      <c r="K76" s="136" t="str" cm="1">
        <f t="array" ref="K76">_xll.PE.deg.AsString(G76)</f>
        <v>40 06 50</v>
      </c>
      <c r="L76" s="135" cm="1">
        <f t="array" ref="L76">_xll.PE.deg.FromString(J76)</f>
        <v>20.039166666666667</v>
      </c>
      <c r="M76" s="137" cm="1">
        <f t="array" ref="M76">_xll.PE.deg.FromString(K76)</f>
        <v>40.113888888888887</v>
      </c>
      <c r="N76" s="73">
        <f t="shared" si="27"/>
        <v>7.2801877319506048E-5</v>
      </c>
      <c r="O76" s="74">
        <f t="shared" si="27"/>
        <v>1.001183525843885E-4</v>
      </c>
      <c r="P76" s="39">
        <f t="shared" si="28"/>
        <v>3999.9999999999231</v>
      </c>
      <c r="Q76" s="89">
        <f t="shared" si="29"/>
        <v>59.818618744844919</v>
      </c>
      <c r="R76" s="89"/>
      <c r="S76" s="44" t="str">
        <f t="shared" si="30"/>
        <v>20.03923947,40.11398901</v>
      </c>
      <c r="T76" s="98" t="str">
        <f t="shared" si="31"/>
        <v>&lt;trkpt lon="20.03923947" lat="40.11398901"&gt;&lt;name&gt;S02&lt;/name&gt;&lt;/trkpt&gt;</v>
      </c>
    </row>
    <row r="77" spans="1:20" ht="15" thickBot="1" x14ac:dyDescent="0.4">
      <c r="A77" s="23"/>
      <c r="B77" s="102">
        <v>3</v>
      </c>
      <c r="C77" s="12" t="s">
        <v>9</v>
      </c>
      <c r="D77" s="20">
        <v>4421681.4089000002</v>
      </c>
      <c r="E77" s="7">
        <v>4444769.4770999998</v>
      </c>
      <c r="F77" s="138" cm="1">
        <f t="array" ref="F77:G77">_xll.PE.trf.ApplyForwardEx($D$4,$D$5,D77:E77,0,1,$D$12,,,,)</f>
        <v>20.079548896305266</v>
      </c>
      <c r="G77" s="140">
        <v>40.132426562297368</v>
      </c>
      <c r="H77" s="156">
        <v>366</v>
      </c>
      <c r="I77" s="155" t="s">
        <v>88</v>
      </c>
      <c r="J77" s="160" t="str" cm="1">
        <f t="array" ref="J77">_xll.PE.deg.AsString(F77)</f>
        <v>20 04 46</v>
      </c>
      <c r="K77" s="139" t="str" cm="1">
        <f t="array" ref="K77">_xll.PE.deg.AsString(G77)</f>
        <v>40 07 57</v>
      </c>
      <c r="L77" s="138" cm="1">
        <f t="array" ref="L77">_xll.PE.deg.FromString(J77)</f>
        <v>20.079444444444444</v>
      </c>
      <c r="M77" s="140" cm="1">
        <f t="array" ref="M77">_xll.PE.deg.FromString(K77)</f>
        <v>40.1325</v>
      </c>
      <c r="N77" s="75">
        <f t="shared" si="27"/>
        <v>1.0445186082108648E-4</v>
      </c>
      <c r="O77" s="76">
        <f t="shared" si="27"/>
        <v>-7.3437702631906632E-5</v>
      </c>
      <c r="P77" s="10">
        <f t="shared" si="28"/>
        <v>11630.891026943518</v>
      </c>
      <c r="Q77" s="93">
        <f t="shared" si="29"/>
        <v>59.818618744844358</v>
      </c>
      <c r="R77" s="21">
        <v>2462</v>
      </c>
      <c r="S77" s="44" t="str">
        <f t="shared" si="30"/>
        <v>20.07954890,40.13242656</v>
      </c>
      <c r="T77" s="98" t="str">
        <f t="shared" si="31"/>
        <v>&lt;trkpt lon="20.07954890" lat="40.13242656"&gt;&lt;name&gt;S03&lt;/name&gt;&lt;/trkpt&gt;</v>
      </c>
    </row>
    <row r="78" spans="1:20" ht="15" thickBot="1" x14ac:dyDescent="0.4">
      <c r="A78" s="23"/>
      <c r="B78" s="102">
        <v>4</v>
      </c>
      <c r="C78" s="12" t="s">
        <v>10</v>
      </c>
      <c r="D78" s="20">
        <v>4431735.5955999997</v>
      </c>
      <c r="E78" s="7">
        <v>4450616.7803999996</v>
      </c>
      <c r="F78" s="138" cm="1">
        <f t="array" ref="F78:G78">_xll.PE.trf.ApplyForwardEx($D$4,$D$5,D78:E78,0,1,$D$12,,,,)</f>
        <v>20.196882297215772</v>
      </c>
      <c r="G78" s="140">
        <v>40.185959052012649</v>
      </c>
      <c r="H78" s="156">
        <v>273</v>
      </c>
      <c r="I78" s="155" t="s">
        <v>89</v>
      </c>
      <c r="J78" s="160" t="str" cm="1">
        <f t="array" ref="J78">_xll.PE.deg.AsString(F78)</f>
        <v>20 11 49</v>
      </c>
      <c r="K78" s="139" t="str" cm="1">
        <f t="array" ref="K78">_xll.PE.deg.AsString(G78)</f>
        <v>40 11 09</v>
      </c>
      <c r="L78" s="138" cm="1">
        <f t="array" ref="L78">_xll.PE.deg.FromString(J78)</f>
        <v>20.196944444444444</v>
      </c>
      <c r="M78" s="140" cm="1">
        <f t="array" ref="M78">_xll.PE.deg.FromString(K78)</f>
        <v>40.185833333333328</v>
      </c>
      <c r="N78" s="75">
        <f t="shared" si="27"/>
        <v>-6.2147228671705079E-5</v>
      </c>
      <c r="O78" s="76">
        <f t="shared" si="27"/>
        <v>1.2571867932109626E-4</v>
      </c>
      <c r="P78" s="10">
        <f t="shared" si="28"/>
        <v>14754.293294410725</v>
      </c>
      <c r="Q78" s="93">
        <f t="shared" si="29"/>
        <v>52.431407923818661</v>
      </c>
      <c r="R78" s="90" cm="1">
        <f t="array" ref="R78">_xll.PE.crs.GeodesicDistance($D$4,D76:E80)</f>
        <v>34383.240875944546</v>
      </c>
      <c r="S78" s="44" t="str">
        <f t="shared" si="30"/>
        <v>20.19688230,40.18595905</v>
      </c>
      <c r="T78" s="98" t="str">
        <f t="shared" si="31"/>
        <v>&lt;trkpt lon="20.19688230" lat="40.18595905"&gt;&lt;name&gt;S04&lt;/name&gt;&lt;/trkpt&gt;</v>
      </c>
    </row>
    <row r="79" spans="1:20" ht="15" thickBot="1" x14ac:dyDescent="0.4">
      <c r="A79" s="23"/>
      <c r="B79" s="102">
        <v>5</v>
      </c>
      <c r="C79" s="12" t="s">
        <v>7</v>
      </c>
      <c r="D79" s="20">
        <v>4443430.2023999998</v>
      </c>
      <c r="E79" s="7">
        <v>4459612.6317999996</v>
      </c>
      <c r="F79" s="138" cm="1">
        <f t="array" ref="F79:G79">_xll.PE.trf.ApplyForwardEx($D$4,$D$5,D79:E79,0,1,$D$12,,,,)</f>
        <v>20.333399268047305</v>
      </c>
      <c r="G79" s="140">
        <v>40.267839383536206</v>
      </c>
      <c r="H79" s="156">
        <v>158</v>
      </c>
      <c r="I79" s="155" t="s">
        <v>90</v>
      </c>
      <c r="J79" s="160" t="str" cm="1">
        <f t="array" ref="J79">_xll.PE.deg.AsString(F79)</f>
        <v>20 20 00</v>
      </c>
      <c r="K79" s="139" t="str" cm="1">
        <f t="array" ref="K79">_xll.PE.deg.AsString(G79)</f>
        <v>40 16 04</v>
      </c>
      <c r="L79" s="138" cm="1">
        <f t="array" ref="L79">_xll.PE.deg.FromString(J79)</f>
        <v>20.333333333333332</v>
      </c>
      <c r="M79" s="140" cm="1">
        <f t="array" ref="M79">_xll.PE.deg.FromString(K79)</f>
        <v>40.267777777777773</v>
      </c>
      <c r="N79" s="75">
        <f t="shared" si="27"/>
        <v>6.5934713973092585E-5</v>
      </c>
      <c r="O79" s="76">
        <f t="shared" si="27"/>
        <v>6.1605758432392577E-5</v>
      </c>
      <c r="P79" s="39">
        <f t="shared" si="28"/>
        <v>3999.999999999819</v>
      </c>
      <c r="Q79" s="89">
        <f t="shared" si="29"/>
        <v>52.431407923821524</v>
      </c>
      <c r="R79" s="89"/>
      <c r="S79" s="44" t="str">
        <f t="shared" si="30"/>
        <v>20.33339927,40.26783938</v>
      </c>
      <c r="T79" s="98" t="str">
        <f t="shared" si="31"/>
        <v>&lt;trkpt lon="20.33339927" lat="40.26783938"&gt;&lt;name&gt;S05&lt;/name&gt;&lt;/trkpt&gt;</v>
      </c>
    </row>
    <row r="80" spans="1:20" ht="15" thickBot="1" x14ac:dyDescent="0.4">
      <c r="A80" s="23" t="str">
        <f>C74</f>
        <v>D_012</v>
      </c>
      <c r="B80" s="102">
        <v>6</v>
      </c>
      <c r="C80" s="12" t="s">
        <v>5</v>
      </c>
      <c r="D80" s="37">
        <f>D79+$D$8*SIN(RADIANS(Q78))</f>
        <v>4446600.6983544026</v>
      </c>
      <c r="E80" s="38">
        <f>E79+$D$8*COS(RADIANS(Q78))</f>
        <v>4462051.4748460185</v>
      </c>
      <c r="F80" s="135" cm="1">
        <f t="array" ref="F80:G80">_xll.PE.trf.ApplyForwardEx($D$4,$D$5,D80:E80,0,1,$D$12,,,,)</f>
        <v>20.370466902167522</v>
      </c>
      <c r="G80" s="137">
        <v>40.290010254686557</v>
      </c>
      <c r="H80" s="154">
        <v>562</v>
      </c>
      <c r="I80" s="155" t="s">
        <v>91</v>
      </c>
      <c r="J80" s="144" t="str" cm="1">
        <f t="array" ref="J80">_xll.PE.deg.AsString(F80)</f>
        <v>20 22 14</v>
      </c>
      <c r="K80" s="136" t="str" cm="1">
        <f t="array" ref="K80">_xll.PE.deg.AsString(G80)</f>
        <v>40 17 24</v>
      </c>
      <c r="L80" s="135" cm="1">
        <f t="array" ref="L80">_xll.PE.deg.FromString(J80)</f>
        <v>20.370555555555555</v>
      </c>
      <c r="M80" s="137" cm="1">
        <f t="array" ref="M80">_xll.PE.deg.FromString(K80)</f>
        <v>40.29</v>
      </c>
      <c r="N80" s="73">
        <f t="shared" si="27"/>
        <v>-8.8653388033321789E-5</v>
      </c>
      <c r="O80" s="74">
        <f t="shared" si="27"/>
        <v>1.025468655768691E-5</v>
      </c>
      <c r="P80" s="39">
        <f t="shared" si="28"/>
        <v>3000.0000000003324</v>
      </c>
      <c r="Q80" s="89">
        <f t="shared" si="29"/>
        <v>52.43140792381719</v>
      </c>
      <c r="R80" s="5">
        <v>4326</v>
      </c>
      <c r="S80" s="44" t="str">
        <f t="shared" si="30"/>
        <v>20.37046690,40.29001025</v>
      </c>
      <c r="T80" s="98" t="str">
        <f t="shared" si="31"/>
        <v>&lt;trkpt lon="20.37046690" lat="40.29001025"&gt;&lt;name&gt;S06&lt;/name&gt;&lt;/trkpt&gt;</v>
      </c>
    </row>
    <row r="81" spans="1:20" ht="15" thickBot="1" x14ac:dyDescent="0.4">
      <c r="A81" s="23"/>
      <c r="B81" s="103">
        <v>7</v>
      </c>
      <c r="C81" s="13" t="s">
        <v>13</v>
      </c>
      <c r="D81" s="29">
        <f>D80+$D$7*SIN(RADIANS(Q79))</f>
        <v>4448978.5703202048</v>
      </c>
      <c r="E81" s="30">
        <f>E80+$D$7*COS(RADIANS(Q79))</f>
        <v>4463880.6071305331</v>
      </c>
      <c r="F81" s="141" cm="1">
        <f t="array" ref="F81:G81">_xll.PE.trf.ApplyForwardEx($D$4,$D$5,D81:E81,0,1,$D$12,,,,)</f>
        <v>20.398283565718462</v>
      </c>
      <c r="G81" s="143">
        <v>40.306630675756253</v>
      </c>
      <c r="H81" s="157">
        <v>502</v>
      </c>
      <c r="I81" s="155" t="s">
        <v>92</v>
      </c>
      <c r="J81" s="149" t="str" cm="1">
        <f t="array" ref="J81">_xll.PE.deg.AsString(F81)</f>
        <v>20 23 54</v>
      </c>
      <c r="K81" s="142" t="str" cm="1">
        <f t="array" ref="K81">_xll.PE.deg.AsString(G81)</f>
        <v>40 18 24</v>
      </c>
      <c r="L81" s="141" cm="1">
        <f t="array" ref="L81">_xll.PE.deg.FromString(J81)</f>
        <v>20.398333333333333</v>
      </c>
      <c r="M81" s="143" cm="1">
        <f t="array" ref="M81">_xll.PE.deg.FromString(K81)</f>
        <v>40.306666666666665</v>
      </c>
      <c r="N81" s="77">
        <f t="shared" si="27"/>
        <v>-4.9767614871853993E-5</v>
      </c>
      <c r="O81" s="78">
        <f t="shared" si="27"/>
        <v>-3.5990910411953791E-5</v>
      </c>
      <c r="P81" s="34">
        <f>SUM(P76:P79)</f>
        <v>34385.184321353983</v>
      </c>
      <c r="Q81" s="5" t="s">
        <v>11</v>
      </c>
      <c r="R81" s="90" cm="1">
        <f t="array" ref="R81">_xll.PE.crs.GeodesicDistance($D$5,L76:M80)</f>
        <v>34401.169697441554</v>
      </c>
      <c r="S81" s="44" t="str">
        <f t="shared" si="30"/>
        <v>20.39828357,40.30663068</v>
      </c>
      <c r="T81" s="98" t="str">
        <f t="shared" si="31"/>
        <v>&lt;trkpt lon="20.39828357" lat="40.30663068"&gt;&lt;name&gt;S07&lt;/name&gt;&lt;/trkpt&gt;</v>
      </c>
    </row>
    <row r="82" spans="1:20" ht="15" thickBot="1" x14ac:dyDescent="0.4">
      <c r="A82" s="23"/>
      <c r="B82" s="105"/>
      <c r="C82" s="17"/>
      <c r="D82" s="31"/>
      <c r="E82" s="31"/>
      <c r="F82" s="42"/>
      <c r="G82" s="42"/>
      <c r="H82" s="115"/>
      <c r="I82" s="88"/>
      <c r="J82" s="42"/>
      <c r="K82" s="42"/>
      <c r="L82" s="42"/>
      <c r="M82" s="42"/>
      <c r="N82" s="42"/>
      <c r="O82" s="42"/>
      <c r="P82" s="25">
        <f>P77+P78</f>
        <v>26385.184321354245</v>
      </c>
      <c r="Q82" s="106" t="s">
        <v>12</v>
      </c>
      <c r="R82" s="91"/>
      <c r="S82" s="44" t="s">
        <v>21</v>
      </c>
      <c r="T82" s="98" t="str">
        <f>CONCATENATE("&lt;/trkseg&gt;&lt;/trk&gt;")</f>
        <v>&lt;/trkseg&gt;&lt;/trk&gt;</v>
      </c>
    </row>
    <row r="83" spans="1:20" ht="15" thickBot="1" x14ac:dyDescent="0.4">
      <c r="A83" s="23"/>
      <c r="B83" s="105"/>
      <c r="C83" s="19" t="s">
        <v>37</v>
      </c>
      <c r="D83" s="33"/>
      <c r="E83" s="33"/>
      <c r="F83" s="113" t="str">
        <f>C83</f>
        <v>D_013</v>
      </c>
      <c r="G83" s="113"/>
      <c r="H83" s="113"/>
      <c r="I83" s="113"/>
      <c r="J83" s="40"/>
      <c r="K83" s="40"/>
      <c r="L83" s="40"/>
      <c r="M83" s="40"/>
      <c r="N83" s="40"/>
      <c r="O83" s="40"/>
      <c r="P83" s="16"/>
      <c r="Q83" s="109"/>
      <c r="R83" s="92"/>
      <c r="S83" s="44" t="str">
        <f>CONCATENATE("&lt;Placemark&gt;&lt;name&gt;",A89,"&lt;/name&gt;&lt;styleUrl&gt;#track001&lt;/styleUrl&gt;&lt;MultiGeometry&gt;&lt;LineString&gt;&lt;coordinates&gt;")</f>
        <v>&lt;Placemark&gt;&lt;name&gt;D_013&lt;/name&gt;&lt;styleUrl&gt;#track001&lt;/styleUrl&gt;&lt;MultiGeometry&gt;&lt;LineString&gt;&lt;coordinates&gt;</v>
      </c>
      <c r="T83" s="98" t="str">
        <f>CONCATENATE("&lt;trk&gt;&lt;name&gt;",A89,"&lt;/name&gt;&lt;trkseg&gt;")</f>
        <v>&lt;trk&gt;&lt;name&gt;D_013&lt;/name&gt;&lt;trkseg&gt;</v>
      </c>
    </row>
    <row r="84" spans="1:20" x14ac:dyDescent="0.35">
      <c r="A84" s="23"/>
      <c r="B84" s="101">
        <v>1</v>
      </c>
      <c r="C84" s="41" t="s">
        <v>13</v>
      </c>
      <c r="D84" s="26">
        <f>D85-$D$7*SIN(RADIANS(Q85))</f>
        <v>4420707.4260443719</v>
      </c>
      <c r="E84" s="27">
        <f>E85-$D$7*COS(RADIANS(Q85))</f>
        <v>4429507.8151147934</v>
      </c>
      <c r="F84" s="132" cm="1">
        <f t="array" ref="F84:G84">_xll.PE.trf.ApplyForwardEx($D$4,$D$5,D84:E84,0,1,$D$12,,,,)</f>
        <v>20.069993444467798</v>
      </c>
      <c r="G84" s="134">
        <v>39.994906393702017</v>
      </c>
      <c r="H84" s="152">
        <v>850</v>
      </c>
      <c r="I84" s="155" t="s">
        <v>93</v>
      </c>
      <c r="J84" s="159" t="str" cm="1">
        <f t="array" ref="J84">_xll.PE.deg.AsString(F84)</f>
        <v>20 04 12</v>
      </c>
      <c r="K84" s="133" t="str" cm="1">
        <f t="array" ref="K84">_xll.PE.deg.AsString(G84)</f>
        <v>39 59 42</v>
      </c>
      <c r="L84" s="132" cm="1">
        <f t="array" ref="L84">_xll.PE.deg.FromString(J84)</f>
        <v>20.07</v>
      </c>
      <c r="M84" s="134" cm="1">
        <f t="array" ref="M84">_xll.PE.deg.FromString(K84)</f>
        <v>39.994999999999997</v>
      </c>
      <c r="N84" s="71">
        <f t="shared" ref="N84:O90" si="32">F84-L84</f>
        <v>-6.5555322024124507E-6</v>
      </c>
      <c r="O84" s="72">
        <f t="shared" si="32"/>
        <v>-9.3606297980386444E-5</v>
      </c>
      <c r="P84" s="8">
        <f t="shared" ref="P84:P89" si="33">SQRT((D85-D84)^2+(E85-E84)^2)</f>
        <v>2999.9999999998063</v>
      </c>
      <c r="Q84" s="108">
        <f t="shared" ref="Q84:Q89" si="34">IF(DEGREES(ATAN2(E85-E84,D85-D84))&lt;0,DEGREES(ATAN2(E85-E84,D85-D84))+360,(DEGREES(ATAN2(E85-E84,D85-D84))))</f>
        <v>59.866281983325656</v>
      </c>
      <c r="R84" s="89"/>
      <c r="S84" s="44" t="str">
        <f t="shared" ref="S84:S90" si="35">CONCATENATE(TEXT(F84,"#.00000000"),",",TEXT(G84,"#.00000000"))</f>
        <v>20.06999344,39.99490639</v>
      </c>
      <c r="T84" s="98" t="str">
        <f t="shared" ref="T84:T90" si="36">CONCATENATE("&lt;trkpt lon=""",TEXT(F84,"#.00000000"),""" lat=""",TEXT(G84,"#.00000000"),"""","&gt;&lt;name&gt;S",TEXT(B84,"00"),"&lt;/name&gt;&lt;/trkpt&gt;")</f>
        <v>&lt;trkpt lon="20.06999344" lat="39.99490639"&gt;&lt;name&gt;S01&lt;/name&gt;&lt;/trkpt&gt;</v>
      </c>
    </row>
    <row r="85" spans="1:20" ht="15" thickBot="1" x14ac:dyDescent="0.4">
      <c r="A85" s="23"/>
      <c r="B85" s="102">
        <v>2</v>
      </c>
      <c r="C85" s="12" t="s">
        <v>5</v>
      </c>
      <c r="D85" s="37">
        <f>D86-$D$8*SIN(RADIANS(Q86))</f>
        <v>4423301.9944539266</v>
      </c>
      <c r="E85" s="38">
        <f>E86-$D$8*COS(RADIANS(Q86))</f>
        <v>4431013.8744655959</v>
      </c>
      <c r="F85" s="135" cm="1">
        <f t="array" ref="F85:G85">_xll.PE.trf.ApplyForwardEx($D$4,$D$5,D85:E85,0,1,$D$12,,,,)</f>
        <v>20.100192626928944</v>
      </c>
      <c r="G85" s="137">
        <v>40.00870828034725</v>
      </c>
      <c r="H85" s="154">
        <v>741</v>
      </c>
      <c r="I85" s="155" t="s">
        <v>94</v>
      </c>
      <c r="J85" s="144" t="str" cm="1">
        <f t="array" ref="J85">_xll.PE.deg.AsString(F85)</f>
        <v>20 06 01</v>
      </c>
      <c r="K85" s="136" t="str" cm="1">
        <f t="array" ref="K85">_xll.PE.deg.AsString(G85)</f>
        <v>40 00 31</v>
      </c>
      <c r="L85" s="135" cm="1">
        <f t="array" ref="L85">_xll.PE.deg.FromString(J85)</f>
        <v>20.10027777777778</v>
      </c>
      <c r="M85" s="137" cm="1">
        <f t="array" ref="M85">_xll.PE.deg.FromString(K85)</f>
        <v>40.008611111111108</v>
      </c>
      <c r="N85" s="73">
        <f t="shared" si="32"/>
        <v>-8.5150848835979787E-5</v>
      </c>
      <c r="O85" s="74">
        <f t="shared" si="32"/>
        <v>9.7169236141780857E-5</v>
      </c>
      <c r="P85" s="39">
        <f t="shared" si="33"/>
        <v>4000.000000000166</v>
      </c>
      <c r="Q85" s="89">
        <f t="shared" si="34"/>
        <v>59.866281983324043</v>
      </c>
      <c r="R85" s="89"/>
      <c r="S85" s="44" t="str">
        <f t="shared" si="35"/>
        <v>20.10019263,40.00870828</v>
      </c>
      <c r="T85" s="98" t="str">
        <f t="shared" si="36"/>
        <v>&lt;trkpt lon="20.10019263" lat="40.00870828"&gt;&lt;name&gt;S02&lt;/name&gt;&lt;/trkpt&gt;</v>
      </c>
    </row>
    <row r="86" spans="1:20" ht="15" thickBot="1" x14ac:dyDescent="0.4">
      <c r="A86" s="23"/>
      <c r="B86" s="102">
        <v>3</v>
      </c>
      <c r="C86" s="12" t="s">
        <v>9</v>
      </c>
      <c r="D86" s="20">
        <v>4426761.4189999998</v>
      </c>
      <c r="E86" s="7">
        <v>4433021.9535999997</v>
      </c>
      <c r="F86" s="138" cm="1">
        <f t="array" ref="F86:G86">_xll.PE.trf.ApplyForwardEx($D$4,$D$5,D86:E86,0,1,$D$12,,,,)</f>
        <v>20.140477274654241</v>
      </c>
      <c r="G86" s="140">
        <v>40.027098704556671</v>
      </c>
      <c r="H86" s="156">
        <v>209</v>
      </c>
      <c r="I86" s="155" t="s">
        <v>95</v>
      </c>
      <c r="J86" s="160" t="str" cm="1">
        <f t="array" ref="J86">_xll.PE.deg.AsString(F86)</f>
        <v>20 08 26</v>
      </c>
      <c r="K86" s="139" t="str" cm="1">
        <f t="array" ref="K86">_xll.PE.deg.AsString(G86)</f>
        <v>40 01 38</v>
      </c>
      <c r="L86" s="138" cm="1">
        <f t="array" ref="L86">_xll.PE.deg.FromString(J86)</f>
        <v>20.140555555555554</v>
      </c>
      <c r="M86" s="140" cm="1">
        <f t="array" ref="M86">_xll.PE.deg.FromString(K86)</f>
        <v>40.027222222222221</v>
      </c>
      <c r="N86" s="75">
        <f t="shared" si="32"/>
        <v>-7.8280901313121376E-5</v>
      </c>
      <c r="O86" s="76">
        <f t="shared" si="32"/>
        <v>-1.2351766554985488E-4</v>
      </c>
      <c r="P86" s="10">
        <f t="shared" si="33"/>
        <v>13644.119064131539</v>
      </c>
      <c r="Q86" s="93">
        <f t="shared" si="34"/>
        <v>59.866281983324463</v>
      </c>
      <c r="R86" s="21">
        <v>2462</v>
      </c>
      <c r="S86" s="44" t="str">
        <f t="shared" si="35"/>
        <v>20.14047727,40.02709870</v>
      </c>
      <c r="T86" s="98" t="str">
        <f t="shared" si="36"/>
        <v>&lt;trkpt lon="20.14047727" lat="40.02709870"&gt;&lt;name&gt;S03&lt;/name&gt;&lt;/trkpt&gt;</v>
      </c>
    </row>
    <row r="87" spans="1:20" ht="15" thickBot="1" x14ac:dyDescent="0.4">
      <c r="A87" s="23"/>
      <c r="B87" s="102">
        <v>4</v>
      </c>
      <c r="C87" s="12" t="s">
        <v>10</v>
      </c>
      <c r="D87" s="20">
        <v>4438561.6190999998</v>
      </c>
      <c r="E87" s="7">
        <v>4439871.5713</v>
      </c>
      <c r="F87" s="138" cm="1">
        <f t="array" ref="F87:G87">_xll.PE.trf.ApplyForwardEx($D$4,$D$5,D87:E87,0,1,$D$12,,,,)</f>
        <v>20.278053401830466</v>
      </c>
      <c r="G87" s="140">
        <v>40.089724675701291</v>
      </c>
      <c r="H87" s="156">
        <v>60</v>
      </c>
      <c r="I87" s="155" t="s">
        <v>96</v>
      </c>
      <c r="J87" s="160" t="str" cm="1">
        <f t="array" ref="J87">_xll.PE.deg.AsString(F87)</f>
        <v>20 16 41</v>
      </c>
      <c r="K87" s="139" t="str" cm="1">
        <f t="array" ref="K87">_xll.PE.deg.AsString(G87)</f>
        <v>40 05 23</v>
      </c>
      <c r="L87" s="138" cm="1">
        <f t="array" ref="L87">_xll.PE.deg.FromString(J87)</f>
        <v>20.278055555555554</v>
      </c>
      <c r="M87" s="140" cm="1">
        <f t="array" ref="M87">_xll.PE.deg.FromString(K87)</f>
        <v>40.089722222222221</v>
      </c>
      <c r="N87" s="75">
        <f t="shared" si="32"/>
        <v>-2.1537250880498959E-6</v>
      </c>
      <c r="O87" s="76">
        <f t="shared" si="32"/>
        <v>2.4534790696861819E-6</v>
      </c>
      <c r="P87" s="10">
        <f t="shared" si="33"/>
        <v>19918.651491032069</v>
      </c>
      <c r="Q87" s="93">
        <f t="shared" si="34"/>
        <v>56.809492571931429</v>
      </c>
      <c r="R87" s="90" cm="1">
        <f t="array" ref="R87">_xll.PE.crs.GeodesicDistance($D$4,D85:E89)</f>
        <v>41560.942438470796</v>
      </c>
      <c r="S87" s="44" t="str">
        <f t="shared" si="35"/>
        <v>20.27805340,40.08972468</v>
      </c>
      <c r="T87" s="98" t="str">
        <f t="shared" si="36"/>
        <v>&lt;trkpt lon="20.27805340" lat="40.08972468"&gt;&lt;name&gt;S04&lt;/name&gt;&lt;/trkpt&gt;</v>
      </c>
    </row>
    <row r="88" spans="1:20" ht="15" thickBot="1" x14ac:dyDescent="0.4">
      <c r="A88" s="23"/>
      <c r="B88" s="102">
        <v>5</v>
      </c>
      <c r="C88" s="12" t="s">
        <v>7</v>
      </c>
      <c r="D88" s="20">
        <v>4455230.6425999999</v>
      </c>
      <c r="E88" s="7">
        <v>4450775.5307999998</v>
      </c>
      <c r="F88" s="138" cm="1">
        <f t="array" ref="F88:G88">_xll.PE.trf.ApplyForwardEx($D$4,$D$5,D88:E88,0,1,$D$12,,,,)</f>
        <v>20.472740821899968</v>
      </c>
      <c r="G88" s="140">
        <v>40.188973955050109</v>
      </c>
      <c r="H88" s="156">
        <v>297</v>
      </c>
      <c r="I88" s="155" t="s">
        <v>97</v>
      </c>
      <c r="J88" s="160" t="str" cm="1">
        <f t="array" ref="J88">_xll.PE.deg.AsString(F88)</f>
        <v>20 28 22</v>
      </c>
      <c r="K88" s="139" t="str" cm="1">
        <f t="array" ref="K88">_xll.PE.deg.AsString(G88)</f>
        <v>40 11 20</v>
      </c>
      <c r="L88" s="138" cm="1">
        <f t="array" ref="L88">_xll.PE.deg.FromString(J88)</f>
        <v>20.472777777777775</v>
      </c>
      <c r="M88" s="140" cm="1">
        <f t="array" ref="M88">_xll.PE.deg.FromString(K88)</f>
        <v>40.188888888888883</v>
      </c>
      <c r="N88" s="75">
        <f t="shared" si="32"/>
        <v>-3.6955877806832405E-5</v>
      </c>
      <c r="O88" s="76">
        <f t="shared" si="32"/>
        <v>8.5066161226166059E-5</v>
      </c>
      <c r="P88" s="39">
        <f t="shared" si="33"/>
        <v>4000.0000000002019</v>
      </c>
      <c r="Q88" s="89">
        <f t="shared" si="34"/>
        <v>56.809492571930086</v>
      </c>
      <c r="R88" s="89"/>
      <c r="S88" s="44" t="str">
        <f t="shared" si="35"/>
        <v>20.47274082,40.18897396</v>
      </c>
      <c r="T88" s="98" t="str">
        <f t="shared" si="36"/>
        <v>&lt;trkpt lon="20.47274082" lat="40.18897396"&gt;&lt;name&gt;S05&lt;/name&gt;&lt;/trkpt&gt;</v>
      </c>
    </row>
    <row r="89" spans="1:20" ht="15" thickBot="1" x14ac:dyDescent="0.4">
      <c r="A89" s="23" t="str">
        <f>C83</f>
        <v>D_013</v>
      </c>
      <c r="B89" s="102">
        <v>6</v>
      </c>
      <c r="C89" s="12" t="s">
        <v>5</v>
      </c>
      <c r="D89" s="37">
        <f>D88+$D$8*SIN(RADIANS(Q87))</f>
        <v>4458578.0626816265</v>
      </c>
      <c r="E89" s="38">
        <f>E88+$D$8*COS(RADIANS(Q87))</f>
        <v>4452965.229134731</v>
      </c>
      <c r="F89" s="135" cm="1">
        <f t="array" ref="F89:G89">_xll.PE.trf.ApplyForwardEx($D$4,$D$5,D89:E89,0,1,$D$12,,,,)</f>
        <v>20.511905954708112</v>
      </c>
      <c r="G89" s="137">
        <v>40.208865629399845</v>
      </c>
      <c r="H89" s="154">
        <v>541</v>
      </c>
      <c r="I89" s="155" t="s">
        <v>98</v>
      </c>
      <c r="J89" s="144" t="str" cm="1">
        <f t="array" ref="J89">_xll.PE.deg.AsString(F89)</f>
        <v>20 30 43</v>
      </c>
      <c r="K89" s="136" t="str" cm="1">
        <f t="array" ref="K89">_xll.PE.deg.AsString(G89)</f>
        <v>40 12 32</v>
      </c>
      <c r="L89" s="135" cm="1">
        <f t="array" ref="L89">_xll.PE.deg.FromString(J89)</f>
        <v>20.511944444444445</v>
      </c>
      <c r="M89" s="137" cm="1">
        <f t="array" ref="M89">_xll.PE.deg.FromString(K89)</f>
        <v>40.208888888888893</v>
      </c>
      <c r="N89" s="73">
        <f t="shared" si="32"/>
        <v>-3.8489736333247038E-5</v>
      </c>
      <c r="O89" s="74">
        <f t="shared" si="32"/>
        <v>-2.325948904768893E-5</v>
      </c>
      <c r="P89" s="9">
        <f t="shared" si="33"/>
        <v>3000.0000000001514</v>
      </c>
      <c r="Q89" s="110">
        <f t="shared" si="34"/>
        <v>56.809492571930086</v>
      </c>
      <c r="R89" s="5">
        <v>4326</v>
      </c>
      <c r="S89" s="44" t="str">
        <f t="shared" si="35"/>
        <v>20.51190595,40.20886563</v>
      </c>
      <c r="T89" s="98" t="str">
        <f t="shared" si="36"/>
        <v>&lt;trkpt lon="20.51190595" lat="40.20886563"&gt;&lt;name&gt;S06&lt;/name&gt;&lt;/trkpt&gt;</v>
      </c>
    </row>
    <row r="90" spans="1:20" ht="15" thickBot="1" x14ac:dyDescent="0.4">
      <c r="A90" s="23"/>
      <c r="B90" s="103">
        <v>7</v>
      </c>
      <c r="C90" s="13" t="s">
        <v>13</v>
      </c>
      <c r="D90" s="29">
        <f>D89+$D$7*SIN(RADIANS(Q88))</f>
        <v>4461088.6277428465</v>
      </c>
      <c r="E90" s="30">
        <f>E89+$D$7*COS(RADIANS(Q88))</f>
        <v>4454607.5028857794</v>
      </c>
      <c r="F90" s="141" cm="1">
        <f t="array" ref="F90:G90">_xll.PE.trf.ApplyForwardEx($D$4,$D$5,D90:E90,0,1,$D$12,,,,)</f>
        <v>20.541294879939993</v>
      </c>
      <c r="G90" s="143">
        <v>40.223775729147633</v>
      </c>
      <c r="H90" s="157">
        <v>944</v>
      </c>
      <c r="I90" s="155" t="s">
        <v>99</v>
      </c>
      <c r="J90" s="149" t="str" cm="1">
        <f t="array" ref="J90">_xll.PE.deg.AsString(F90)</f>
        <v>20 32 29</v>
      </c>
      <c r="K90" s="142" t="str" cm="1">
        <f t="array" ref="K90">_xll.PE.deg.AsString(G90)</f>
        <v>40 13 26</v>
      </c>
      <c r="L90" s="141" cm="1">
        <f t="array" ref="L90">_xll.PE.deg.FromString(J90)</f>
        <v>20.541388888888889</v>
      </c>
      <c r="M90" s="143" cm="1">
        <f t="array" ref="M90">_xll.PE.deg.FromString(K90)</f>
        <v>40.223888888888894</v>
      </c>
      <c r="N90" s="77">
        <f t="shared" si="32"/>
        <v>-9.4008948895663025E-5</v>
      </c>
      <c r="O90" s="78">
        <f t="shared" si="32"/>
        <v>-1.1315974126091533E-4</v>
      </c>
      <c r="P90" s="34">
        <f>SUM(P85:P88)</f>
        <v>41562.770555163981</v>
      </c>
      <c r="Q90" s="5" t="s">
        <v>11</v>
      </c>
      <c r="R90" s="90" cm="1">
        <f t="array" ref="R90">_xll.PE.crs.GeodesicDistance($D$5,L85:M89)</f>
        <v>41564.1105254254</v>
      </c>
      <c r="S90" s="44" t="str">
        <f t="shared" si="35"/>
        <v>20.54129488,40.22377573</v>
      </c>
      <c r="T90" s="98" t="str">
        <f t="shared" si="36"/>
        <v>&lt;trkpt lon="20.54129488" lat="40.22377573"&gt;&lt;name&gt;S07&lt;/name&gt;&lt;/trkpt&gt;</v>
      </c>
    </row>
    <row r="91" spans="1:20" ht="15" thickBot="1" x14ac:dyDescent="0.4">
      <c r="A91" s="23"/>
      <c r="B91" s="105"/>
      <c r="C91" s="17"/>
      <c r="D91" s="31"/>
      <c r="E91" s="31"/>
      <c r="F91" s="42"/>
      <c r="G91" s="42"/>
      <c r="H91" s="115"/>
      <c r="I91" s="88"/>
      <c r="J91" s="42"/>
      <c r="K91" s="42"/>
      <c r="L91" s="42"/>
      <c r="M91" s="42"/>
      <c r="N91" s="42"/>
      <c r="O91" s="42"/>
      <c r="P91" s="25">
        <f>P86+P87</f>
        <v>33562.77055516361</v>
      </c>
      <c r="Q91" s="106" t="s">
        <v>12</v>
      </c>
      <c r="R91" s="91"/>
      <c r="S91" s="44" t="s">
        <v>21</v>
      </c>
      <c r="T91" s="98" t="str">
        <f>CONCATENATE("&lt;/trkseg&gt;&lt;/trk&gt;")</f>
        <v>&lt;/trkseg&gt;&lt;/trk&gt;</v>
      </c>
    </row>
    <row r="92" spans="1:20" ht="15" thickBot="1" x14ac:dyDescent="0.4">
      <c r="A92" s="23"/>
      <c r="B92" s="105"/>
      <c r="C92" s="19" t="s">
        <v>38</v>
      </c>
      <c r="D92" s="33"/>
      <c r="E92" s="33"/>
      <c r="F92" s="113" t="str">
        <f>C92</f>
        <v>D_014</v>
      </c>
      <c r="G92" s="113"/>
      <c r="H92" s="113"/>
      <c r="I92" s="113"/>
      <c r="J92" s="40"/>
      <c r="K92" s="40"/>
      <c r="L92" s="40"/>
      <c r="M92" s="40"/>
      <c r="N92" s="40"/>
      <c r="O92" s="40"/>
      <c r="P92" s="16"/>
      <c r="Q92" s="109"/>
      <c r="R92" s="92"/>
      <c r="S92" s="44" t="str">
        <f>CONCATENATE("&lt;Placemark&gt;&lt;name&gt;",A98,"&lt;/name&gt;&lt;styleUrl&gt;#track001&lt;/styleUrl&gt;&lt;MultiGeometry&gt;&lt;LineString&gt;&lt;coordinates&gt;")</f>
        <v>&lt;Placemark&gt;&lt;name&gt;D_014&lt;/name&gt;&lt;styleUrl&gt;#track001&lt;/styleUrl&gt;&lt;MultiGeometry&gt;&lt;LineString&gt;&lt;coordinates&gt;</v>
      </c>
      <c r="T92" s="98" t="str">
        <f>CONCATENATE("&lt;trk&gt;&lt;name&gt;",A98,"&lt;/name&gt;&lt;trkseg&gt;")</f>
        <v>&lt;trk&gt;&lt;name&gt;D_014&lt;/name&gt;&lt;trkseg&gt;</v>
      </c>
    </row>
    <row r="93" spans="1:20" x14ac:dyDescent="0.35">
      <c r="A93" s="23"/>
      <c r="B93" s="101">
        <v>1</v>
      </c>
      <c r="C93" s="41" t="s">
        <v>13</v>
      </c>
      <c r="D93" s="26">
        <f>D94-$D$7*SIN(RADIANS(Q94))</f>
        <v>4418722.884392594</v>
      </c>
      <c r="E93" s="27">
        <f>E94-$D$7*COS(RADIANS(Q94))</f>
        <v>4468581.3680245327</v>
      </c>
      <c r="F93" s="132" cm="1">
        <f t="array" ref="F93:G93">_xll.PE.trf.ApplyForwardEx($D$4,$D$5,D93:E93,0,1,$D$12,,,,)</f>
        <v>20.041822842787745</v>
      </c>
      <c r="G93" s="134">
        <v>40.346559530862841</v>
      </c>
      <c r="H93" s="152">
        <v>873</v>
      </c>
      <c r="I93" s="155" t="s">
        <v>100</v>
      </c>
      <c r="J93" s="159" t="str" cm="1">
        <f t="array" ref="J93">_xll.PE.deg.AsString(F93)</f>
        <v>20 02 31</v>
      </c>
      <c r="K93" s="133" t="str" cm="1">
        <f t="array" ref="K93">_xll.PE.deg.AsString(G93)</f>
        <v>40 20 48</v>
      </c>
      <c r="L93" s="132" cm="1">
        <f t="array" ref="L93">_xll.PE.deg.FromString(J93)</f>
        <v>20.041944444444447</v>
      </c>
      <c r="M93" s="134" cm="1">
        <f t="array" ref="M93">_xll.PE.deg.FromString(K93)</f>
        <v>40.346666666666671</v>
      </c>
      <c r="N93" s="71">
        <f t="shared" ref="N93:O99" si="37">F93-L93</f>
        <v>-1.2160165670138667E-4</v>
      </c>
      <c r="O93" s="72">
        <f t="shared" si="37"/>
        <v>-1.0713580383026056E-4</v>
      </c>
      <c r="P93" s="8">
        <f t="shared" ref="P93:P98" si="38">SQRT((D94-D93)^2+(E94-E93)^2)</f>
        <v>2999.999999999915</v>
      </c>
      <c r="Q93" s="108">
        <f t="shared" ref="Q93:Q98" si="39">IF(DEGREES(ATAN2(E94-E93,D94-D93))&lt;0,DEGREES(ATAN2(E94-E93,D94-D93))+360,(DEGREES(ATAN2(E94-E93,D94-D93))))</f>
        <v>132.70939001752728</v>
      </c>
      <c r="R93" s="89"/>
      <c r="S93" s="44" t="str">
        <f t="shared" ref="S93:S99" si="40">CONCATENATE(TEXT(F93,"#.00000000"),",",TEXT(G93,"#.00000000"))</f>
        <v>20.04182284,40.34655953</v>
      </c>
      <c r="T93" s="98" t="str">
        <f t="shared" ref="T93:T99" si="41">CONCATENATE("&lt;trkpt lon=""",TEXT(F93,"#.00000000"),""" lat=""",TEXT(G93,"#.00000000"),"""","&gt;&lt;name&gt;S",TEXT(B93,"00"),"&lt;/name&gt;&lt;/trkpt&gt;")</f>
        <v>&lt;trkpt lon="20.04182284" lat="40.34655953"&gt;&lt;name&gt;S01&lt;/name&gt;&lt;/trkpt&gt;</v>
      </c>
    </row>
    <row r="94" spans="1:20" ht="15" thickBot="1" x14ac:dyDescent="0.4">
      <c r="A94" s="23"/>
      <c r="B94" s="102">
        <v>2</v>
      </c>
      <c r="C94" s="12" t="s">
        <v>5</v>
      </c>
      <c r="D94" s="37">
        <f>D95-$D$8*SIN(RADIANS(Q95))</f>
        <v>4420927.2947243396</v>
      </c>
      <c r="E94" s="38">
        <f>E95-$D$8*COS(RADIANS(Q95))</f>
        <v>4466546.5277140187</v>
      </c>
      <c r="F94" s="135" cm="1">
        <f t="array" ref="F94:G94">_xll.PE.trf.ApplyForwardEx($D$4,$D$5,D94:E94,0,1,$D$12,,,,)</f>
        <v>20.068017585449915</v>
      </c>
      <c r="G94" s="137">
        <v>40.328449033346601</v>
      </c>
      <c r="H94" s="154">
        <v>260</v>
      </c>
      <c r="I94" s="155" t="s">
        <v>101</v>
      </c>
      <c r="J94" s="144" t="str" cm="1">
        <f t="array" ref="J94">_xll.PE.deg.AsString(F94)</f>
        <v>20 04 05</v>
      </c>
      <c r="K94" s="136" t="str" cm="1">
        <f t="array" ref="K94">_xll.PE.deg.AsString(G94)</f>
        <v>40 19 42</v>
      </c>
      <c r="L94" s="135" cm="1">
        <f t="array" ref="L94">_xll.PE.deg.FromString(J94)</f>
        <v>20.068055555555556</v>
      </c>
      <c r="M94" s="137" cm="1">
        <f t="array" ref="M94">_xll.PE.deg.FromString(K94)</f>
        <v>40.328333333333333</v>
      </c>
      <c r="N94" s="73">
        <f t="shared" si="37"/>
        <v>-3.7970105640994234E-5</v>
      </c>
      <c r="O94" s="74">
        <f t="shared" si="37"/>
        <v>1.1570001326788315E-4</v>
      </c>
      <c r="P94" s="39">
        <f t="shared" si="38"/>
        <v>3999.9999999998868</v>
      </c>
      <c r="Q94" s="89">
        <f t="shared" si="39"/>
        <v>132.70939001752728</v>
      </c>
      <c r="R94" s="89"/>
      <c r="S94" s="44" t="str">
        <f t="shared" si="40"/>
        <v>20.06801759,40.32844903</v>
      </c>
      <c r="T94" s="98" t="str">
        <f t="shared" si="41"/>
        <v>&lt;trkpt lon="20.06801759" lat="40.32844903"&gt;&lt;name&gt;S02&lt;/name&gt;&lt;/trkpt&gt;</v>
      </c>
    </row>
    <row r="95" spans="1:20" ht="15" thickBot="1" x14ac:dyDescent="0.4">
      <c r="A95" s="23"/>
      <c r="B95" s="102">
        <v>3</v>
      </c>
      <c r="C95" s="12" t="s">
        <v>9</v>
      </c>
      <c r="D95" s="20">
        <v>4423866.5085000005</v>
      </c>
      <c r="E95" s="7">
        <v>4463833.4073000001</v>
      </c>
      <c r="F95" s="138" cm="1">
        <f t="array" ref="F95:G95">_xll.PE.trf.ApplyForwardEx($D$4,$D$5,D95:E95,0,1,$D$12,,,,)</f>
        <v>20.102922159653534</v>
      </c>
      <c r="G95" s="140">
        <v>40.304292150475973</v>
      </c>
      <c r="H95" s="156">
        <v>248</v>
      </c>
      <c r="I95" s="155" t="s">
        <v>102</v>
      </c>
      <c r="J95" s="160" t="str" cm="1">
        <f t="array" ref="J95">_xll.PE.deg.AsString(F95)</f>
        <v>20 06 11</v>
      </c>
      <c r="K95" s="139" t="str" cm="1">
        <f t="array" ref="K95">_xll.PE.deg.AsString(G95)</f>
        <v>40 18 15</v>
      </c>
      <c r="L95" s="138" cm="1">
        <f t="array" ref="L95">_xll.PE.deg.FromString(J95)</f>
        <v>20.103055555555557</v>
      </c>
      <c r="M95" s="140" cm="1">
        <f t="array" ref="M95">_xll.PE.deg.FromString(K95)</f>
        <v>40.304166666666667</v>
      </c>
      <c r="N95" s="75">
        <f t="shared" si="37"/>
        <v>-1.333959020222153E-4</v>
      </c>
      <c r="O95" s="76">
        <f t="shared" si="37"/>
        <v>1.2548380930610392E-4</v>
      </c>
      <c r="P95" s="10">
        <f t="shared" si="38"/>
        <v>16149.33394537546</v>
      </c>
      <c r="Q95" s="93">
        <f t="shared" si="39"/>
        <v>132.70939001752339</v>
      </c>
      <c r="R95" s="21">
        <v>2462</v>
      </c>
      <c r="S95" s="44" t="str">
        <f t="shared" si="40"/>
        <v>20.10292216,40.30429215</v>
      </c>
      <c r="T95" s="98" t="str">
        <f t="shared" si="41"/>
        <v>&lt;trkpt lon="20.10292216" lat="40.30429215"&gt;&lt;name&gt;S03&lt;/name&gt;&lt;/trkpt&gt;</v>
      </c>
    </row>
    <row r="96" spans="1:20" ht="15" thickBot="1" x14ac:dyDescent="0.4">
      <c r="A96" s="23"/>
      <c r="B96" s="102">
        <v>4</v>
      </c>
      <c r="C96" s="12" t="s">
        <v>10</v>
      </c>
      <c r="D96" s="20">
        <v>4435733.0947000002</v>
      </c>
      <c r="E96" s="7">
        <v>4452879.6354</v>
      </c>
      <c r="F96" s="138" cm="1">
        <f t="array" ref="F96:G96">_xll.PE.trf.ApplyForwardEx($D$4,$D$5,D96:E96,0,1,$D$12,,,,)</f>
        <v>20.243591327481912</v>
      </c>
      <c r="G96" s="140">
        <v>40.206652264856999</v>
      </c>
      <c r="H96" s="156">
        <v>45</v>
      </c>
      <c r="I96" s="155" t="s">
        <v>103</v>
      </c>
      <c r="J96" s="160" t="str" cm="1">
        <f t="array" ref="J96">_xll.PE.deg.AsString(F96)</f>
        <v>20 14 37</v>
      </c>
      <c r="K96" s="139" t="str" cm="1">
        <f t="array" ref="K96">_xll.PE.deg.AsString(G96)</f>
        <v>40 12 24</v>
      </c>
      <c r="L96" s="138" cm="1">
        <f t="array" ref="L96">_xll.PE.deg.FromString(J96)</f>
        <v>20.243611111111111</v>
      </c>
      <c r="M96" s="140" cm="1">
        <f t="array" ref="M96">_xll.PE.deg.FromString(K96)</f>
        <v>40.206666666666671</v>
      </c>
      <c r="N96" s="75">
        <f t="shared" si="37"/>
        <v>-1.9783629198855124E-5</v>
      </c>
      <c r="O96" s="76">
        <f t="shared" si="37"/>
        <v>-1.4401809671937826E-5</v>
      </c>
      <c r="P96" s="10">
        <f t="shared" si="38"/>
        <v>22374.257892829319</v>
      </c>
      <c r="Q96" s="93">
        <f t="shared" si="39"/>
        <v>133.49067367001715</v>
      </c>
      <c r="R96" s="90" cm="1">
        <f t="array" ref="R96">_xll.PE.crs.GeodesicDistance($D$4,D94:E98)</f>
        <v>46521.333054741852</v>
      </c>
      <c r="S96" s="44" t="str">
        <f t="shared" si="40"/>
        <v>20.24359133,40.20665226</v>
      </c>
      <c r="T96" s="98" t="str">
        <f t="shared" si="41"/>
        <v>&lt;trkpt lon="20.24359133" lat="40.20665226"&gt;&lt;name&gt;S04&lt;/name&gt;&lt;/trkpt&gt;</v>
      </c>
    </row>
    <row r="97" spans="1:20" ht="15" thickBot="1" x14ac:dyDescent="0.4">
      <c r="A97" s="23"/>
      <c r="B97" s="102">
        <v>5</v>
      </c>
      <c r="C97" s="12" t="s">
        <v>7</v>
      </c>
      <c r="D97" s="20">
        <v>4451965.3147</v>
      </c>
      <c r="E97" s="7">
        <v>4437480.8546000002</v>
      </c>
      <c r="F97" s="138" cm="1">
        <f t="array" ref="F97:G97">_xll.PE.trf.ApplyForwardEx($D$4,$D$5,D97:E97,0,1,$D$12,,,,)</f>
        <v>20.435390220595277</v>
      </c>
      <c r="G97" s="140">
        <v>40.069067928851965</v>
      </c>
      <c r="H97" s="156">
        <v>47</v>
      </c>
      <c r="I97" s="155" t="s">
        <v>104</v>
      </c>
      <c r="J97" s="160" t="str" cm="1">
        <f t="array" ref="J97">_xll.PE.deg.AsString(F97)</f>
        <v>20 26 07</v>
      </c>
      <c r="K97" s="139" t="str" cm="1">
        <f t="array" ref="K97">_xll.PE.deg.AsString(G97)</f>
        <v>40 04 09</v>
      </c>
      <c r="L97" s="138" cm="1">
        <f t="array" ref="L97">_xll.PE.deg.FromString(J97)</f>
        <v>20.435277777777777</v>
      </c>
      <c r="M97" s="140" cm="1">
        <f t="array" ref="M97">_xll.PE.deg.FromString(K97)</f>
        <v>40.069166666666668</v>
      </c>
      <c r="N97" s="75">
        <f t="shared" si="37"/>
        <v>1.1244281749966945E-4</v>
      </c>
      <c r="O97" s="76">
        <f t="shared" si="37"/>
        <v>-9.8737814703042659E-5</v>
      </c>
      <c r="P97" s="39">
        <f t="shared" si="38"/>
        <v>4000.0000000003711</v>
      </c>
      <c r="Q97" s="89">
        <f t="shared" si="39"/>
        <v>133.49067367002033</v>
      </c>
      <c r="R97" s="89"/>
      <c r="S97" s="44" t="str">
        <f t="shared" si="40"/>
        <v>20.43539022,40.06906793</v>
      </c>
      <c r="T97" s="98" t="str">
        <f t="shared" si="41"/>
        <v>&lt;trkpt lon="20.43539022" lat="40.06906793"&gt;&lt;name&gt;S05&lt;/name&gt;&lt;/trkpt&gt;</v>
      </c>
    </row>
    <row r="98" spans="1:20" ht="15" thickBot="1" x14ac:dyDescent="0.4">
      <c r="A98" s="23" t="str">
        <f>C92</f>
        <v>D_014</v>
      </c>
      <c r="B98" s="102">
        <v>6</v>
      </c>
      <c r="C98" s="12" t="s">
        <v>5</v>
      </c>
      <c r="D98" s="37">
        <f>D97+$D$8*SIN(RADIANS(Q96))</f>
        <v>4454867.260333728</v>
      </c>
      <c r="E98" s="38">
        <f>E97+$D$8*COS(RADIANS(Q96))</f>
        <v>4434727.9086254323</v>
      </c>
      <c r="F98" s="135" cm="1">
        <f t="array" ref="F98:G98">_xll.PE.trf.ApplyForwardEx($D$4,$D$5,D98:E98,0,1,$D$12,,,,)</f>
        <v>20.469598076487333</v>
      </c>
      <c r="G98" s="137">
        <v>40.044436668263572</v>
      </c>
      <c r="H98" s="154">
        <v>26</v>
      </c>
      <c r="I98" s="155" t="s">
        <v>105</v>
      </c>
      <c r="J98" s="144" t="str" cm="1">
        <f t="array" ref="J98">_xll.PE.deg.AsString(F98)</f>
        <v>20 28 11</v>
      </c>
      <c r="K98" s="136" t="str" cm="1">
        <f t="array" ref="K98">_xll.PE.deg.AsString(G98)</f>
        <v>40 02 40</v>
      </c>
      <c r="L98" s="135" cm="1">
        <f t="array" ref="L98">_xll.PE.deg.FromString(J98)</f>
        <v>20.46972222222222</v>
      </c>
      <c r="M98" s="137" cm="1">
        <f t="array" ref="M98">_xll.PE.deg.FromString(K98)</f>
        <v>40.044444444444444</v>
      </c>
      <c r="N98" s="73">
        <f t="shared" si="37"/>
        <v>-1.24145734886838E-4</v>
      </c>
      <c r="O98" s="74">
        <f t="shared" si="37"/>
        <v>-7.7761808725540504E-6</v>
      </c>
      <c r="P98" s="9">
        <f t="shared" si="38"/>
        <v>2999.9999999999577</v>
      </c>
      <c r="Q98" s="110">
        <f t="shared" si="39"/>
        <v>133.49067367001388</v>
      </c>
      <c r="R98" s="5">
        <v>4326</v>
      </c>
      <c r="S98" s="44" t="str">
        <f t="shared" si="40"/>
        <v>20.46959808,40.04443667</v>
      </c>
      <c r="T98" s="98" t="str">
        <f t="shared" si="41"/>
        <v>&lt;trkpt lon="20.46959808" lat="40.04443667"&gt;&lt;name&gt;S06&lt;/name&gt;&lt;/trkpt&gt;</v>
      </c>
    </row>
    <row r="99" spans="1:20" ht="15" thickBot="1" x14ac:dyDescent="0.4">
      <c r="A99" s="23"/>
      <c r="B99" s="103">
        <v>7</v>
      </c>
      <c r="C99" s="13" t="s">
        <v>13</v>
      </c>
      <c r="D99" s="29">
        <f>D98+$D$7*SIN(RADIANS(Q97))</f>
        <v>4457043.7195590241</v>
      </c>
      <c r="E99" s="30">
        <f>E98+$D$7*COS(RADIANS(Q97))</f>
        <v>4432663.1991445068</v>
      </c>
      <c r="F99" s="141" cm="1">
        <f t="array" ref="F99:G99">_xll.PE.trf.ApplyForwardEx($D$4,$D$5,D99:E99,0,1,$D$12,,,,)</f>
        <v>20.495237819768231</v>
      </c>
      <c r="G99" s="143">
        <v>40.02595642488258</v>
      </c>
      <c r="H99" s="157">
        <v>820</v>
      </c>
      <c r="I99" s="155" t="s">
        <v>106</v>
      </c>
      <c r="J99" s="149" t="str" cm="1">
        <f t="array" ref="J99">_xll.PE.deg.AsString(F99)</f>
        <v>20 29 43</v>
      </c>
      <c r="K99" s="142" t="str" cm="1">
        <f t="array" ref="K99">_xll.PE.deg.AsString(G99)</f>
        <v>40 01 33</v>
      </c>
      <c r="L99" s="141" cm="1">
        <f t="array" ref="L99">_xll.PE.deg.FromString(J99)</f>
        <v>20.49527777777778</v>
      </c>
      <c r="M99" s="143" cm="1">
        <f t="array" ref="M99">_xll.PE.deg.FromString(K99)</f>
        <v>40.025833333333331</v>
      </c>
      <c r="N99" s="77">
        <f t="shared" si="37"/>
        <v>-3.9958009548257678E-5</v>
      </c>
      <c r="O99" s="78">
        <f t="shared" si="37"/>
        <v>1.2309154924849963E-4</v>
      </c>
      <c r="P99" s="14">
        <f>SUM(P94:P97)</f>
        <v>46523.591838205037</v>
      </c>
      <c r="Q99" s="35" t="s">
        <v>11</v>
      </c>
      <c r="R99" s="90" cm="1">
        <f t="array" ref="R99">_xll.PE.crs.GeodesicDistance($D$5,L94:M98)</f>
        <v>46517.121930830108</v>
      </c>
      <c r="S99" s="44" t="str">
        <f t="shared" si="40"/>
        <v>20.49523782,40.02595642</v>
      </c>
      <c r="T99" s="98" t="str">
        <f t="shared" si="41"/>
        <v>&lt;trkpt lon="20.49523782" lat="40.02595642"&gt;&lt;name&gt;S07&lt;/name&gt;&lt;/trkpt&gt;</v>
      </c>
    </row>
    <row r="100" spans="1:20" ht="15" thickBot="1" x14ac:dyDescent="0.4">
      <c r="A100" s="23"/>
      <c r="B100" s="105"/>
      <c r="C100" s="17"/>
      <c r="D100" s="31"/>
      <c r="E100" s="31"/>
      <c r="F100" s="42"/>
      <c r="G100" s="42"/>
      <c r="H100" s="115"/>
      <c r="I100" s="88"/>
      <c r="J100" s="42"/>
      <c r="K100" s="42"/>
      <c r="L100" s="42"/>
      <c r="M100" s="42"/>
      <c r="N100" s="42"/>
      <c r="O100" s="42"/>
      <c r="P100" s="25">
        <f>P95+P96</f>
        <v>38523.591838204782</v>
      </c>
      <c r="Q100" s="106" t="s">
        <v>12</v>
      </c>
      <c r="R100" s="91"/>
      <c r="S100" s="44" t="s">
        <v>21</v>
      </c>
      <c r="T100" s="98" t="str">
        <f>CONCATENATE("&lt;/trkseg&gt;&lt;/trk&gt;")</f>
        <v>&lt;/trkseg&gt;&lt;/trk&gt;</v>
      </c>
    </row>
    <row r="101" spans="1:20" ht="15" thickBot="1" x14ac:dyDescent="0.4">
      <c r="A101" s="23"/>
      <c r="B101" s="105"/>
      <c r="C101" s="19" t="s">
        <v>39</v>
      </c>
      <c r="D101" s="33"/>
      <c r="E101" s="33"/>
      <c r="F101" s="113" t="str">
        <f>C101</f>
        <v>D_015</v>
      </c>
      <c r="G101" s="113"/>
      <c r="H101" s="113"/>
      <c r="I101" s="113"/>
      <c r="J101" s="40"/>
      <c r="K101" s="40"/>
      <c r="L101" s="40"/>
      <c r="M101" s="40"/>
      <c r="N101" s="40"/>
      <c r="O101" s="40"/>
      <c r="P101" s="16"/>
      <c r="Q101" s="109"/>
      <c r="R101" s="92"/>
      <c r="S101" s="44" t="str">
        <f>CONCATENATE("&lt;Placemark&gt;&lt;name&gt;",A106,"&lt;/name&gt;&lt;styleUrl&gt;#track001&lt;/styleUrl&gt;&lt;MultiGeometry&gt;&lt;LineString&gt;&lt;coordinates&gt;")</f>
        <v>&lt;Placemark&gt;&lt;name&gt;D_015&lt;/name&gt;&lt;styleUrl&gt;#track001&lt;/styleUrl&gt;&lt;MultiGeometry&gt;&lt;LineString&gt;&lt;coordinates&gt;</v>
      </c>
      <c r="T101" s="98" t="str">
        <f>CONCATENATE("&lt;trk&gt;&lt;name&gt;",A106,"&lt;/name&gt;&lt;trkseg&gt;")</f>
        <v>&lt;trk&gt;&lt;name&gt;D_015&lt;/name&gt;&lt;trkseg&gt;</v>
      </c>
    </row>
    <row r="102" spans="1:20" ht="15" thickBot="1" x14ac:dyDescent="0.4">
      <c r="A102" s="23"/>
      <c r="B102" s="101">
        <v>1</v>
      </c>
      <c r="C102" s="41" t="s">
        <v>13</v>
      </c>
      <c r="D102" s="26">
        <f>D103-$D$7*SIN(RADIANS(Q103))</f>
        <v>4425586.4315139065</v>
      </c>
      <c r="E102" s="27">
        <f>E103-$D$7*COS(RADIANS(Q103))</f>
        <v>4468437.1458815532</v>
      </c>
      <c r="F102" s="132" cm="1">
        <f t="array" ref="F102:G102">_xll.PE.trf.ApplyForwardEx($D$4,$D$5,D102:E102,0,1,$D$12,,,,)</f>
        <v>20.122614090696832</v>
      </c>
      <c r="G102" s="134">
        <v>40.345901906338121</v>
      </c>
      <c r="H102" s="152">
        <v>34</v>
      </c>
      <c r="I102" s="155" t="s">
        <v>107</v>
      </c>
      <c r="J102" s="159" t="str" cm="1">
        <f t="array" ref="J102">_xll.PE.deg.AsString(F102)</f>
        <v>20 07 21</v>
      </c>
      <c r="K102" s="133" t="str" cm="1">
        <f t="array" ref="K102">_xll.PE.deg.AsString(G102)</f>
        <v>40 20 45</v>
      </c>
      <c r="L102" s="132" cm="1">
        <f t="array" ref="L102">_xll.PE.deg.FromString(J102)</f>
        <v>20.122499999999999</v>
      </c>
      <c r="M102" s="134" cm="1">
        <f t="array" ref="M102">_xll.PE.deg.FromString(K102)</f>
        <v>40.345833333333339</v>
      </c>
      <c r="N102" s="83">
        <f t="shared" ref="N102:O107" si="42">F102-L102</f>
        <v>1.1409069683310236E-4</v>
      </c>
      <c r="O102" s="79">
        <f t="shared" si="42"/>
        <v>6.8573004782024327E-5</v>
      </c>
      <c r="P102" s="8">
        <f>SQRT((D103-D102)^2+(E103-E102)^2)</f>
        <v>3000.0000000004748</v>
      </c>
      <c r="Q102" s="108">
        <f>IF(DEGREES(ATAN2(E103-E102,D103-D102))&lt;0,DEGREES(ATAN2(E103-E102,D103-D102))+360,(DEGREES(ATAN2(E103-E102,D103-D102))))</f>
        <v>127.76682287780757</v>
      </c>
      <c r="R102" s="94"/>
      <c r="S102" s="44" t="str">
        <f t="shared" ref="S102:S107" si="43">CONCATENATE(TEXT(F102,"#.00000000"),",",TEXT(G102,"#.00000000"))</f>
        <v>20.12261409,40.34590191</v>
      </c>
      <c r="T102" s="98" t="str">
        <f t="shared" ref="T102:T107" si="44">CONCATENATE("&lt;trkpt lon=""",TEXT(F102,"#.00000000"),""" lat=""",TEXT(G102,"#.00000000"),"""","&gt;&lt;name&gt;S",TEXT(B102,"00"),"&lt;/name&gt;&lt;/trkpt&gt;")</f>
        <v>&lt;trkpt lon="20.12261409" lat="40.34590191"&gt;&lt;name&gt;S01&lt;/name&gt;&lt;/trkpt&gt;</v>
      </c>
    </row>
    <row r="103" spans="1:20" ht="15" thickBot="1" x14ac:dyDescent="0.4">
      <c r="A103" s="23"/>
      <c r="B103" s="102">
        <v>2</v>
      </c>
      <c r="C103" s="12" t="s">
        <v>5</v>
      </c>
      <c r="D103" s="37">
        <f>D104-$D$8*SIN(RADIANS(Q104))</f>
        <v>4427957.9608650897</v>
      </c>
      <c r="E103" s="38">
        <f>E104-$D$8*COS(RADIANS(Q104))</f>
        <v>4466599.7976466017</v>
      </c>
      <c r="F103" s="135" cm="1">
        <f t="array" ref="F103:G103">_xll.PE.trf.ApplyForwardEx($D$4,$D$5,D103:E103,0,1,$D$12,,,,)</f>
        <v>20.150731246325268</v>
      </c>
      <c r="G103" s="137">
        <v>40.329565676373818</v>
      </c>
      <c r="H103" s="154">
        <v>18</v>
      </c>
      <c r="I103" s="155" t="s">
        <v>108</v>
      </c>
      <c r="J103" s="144" t="str" cm="1">
        <f t="array" ref="J103">_xll.PE.deg.AsString(F103)</f>
        <v>20 09 03</v>
      </c>
      <c r="K103" s="136" t="str" cm="1">
        <f t="array" ref="K103">_xll.PE.deg.AsString(G103)</f>
        <v>40 19 46</v>
      </c>
      <c r="L103" s="135" cm="1">
        <f t="array" ref="L103">_xll.PE.deg.FromString(J103)</f>
        <v>20.150833333333331</v>
      </c>
      <c r="M103" s="137" cm="1">
        <f t="array" ref="M103">_xll.PE.deg.FromString(K103)</f>
        <v>40.329444444444448</v>
      </c>
      <c r="N103" s="84">
        <f t="shared" si="42"/>
        <v>-1.0208700806302318E-4</v>
      </c>
      <c r="O103" s="80">
        <f t="shared" si="42"/>
        <v>1.2123192936996929E-4</v>
      </c>
      <c r="P103" s="39">
        <f>SQRT((D104-D103)^2+(E104-E103)^2)</f>
        <v>3999.9999999999527</v>
      </c>
      <c r="Q103" s="89">
        <f>IF(DEGREES(ATAN2(E104-E103,D104-D103))&lt;0,DEGREES(ATAN2(E104-E103,D104-D103))+360,(DEGREES(ATAN2(E104-E103,D104-D103))))</f>
        <v>127.7668228778095</v>
      </c>
      <c r="R103" s="21">
        <v>2462</v>
      </c>
      <c r="S103" s="44" t="str">
        <f t="shared" si="43"/>
        <v>20.15073125,40.32956568</v>
      </c>
      <c r="T103" s="98" t="str">
        <f t="shared" si="44"/>
        <v>&lt;trkpt lon="20.15073125" lat="40.32956568"&gt;&lt;name&gt;S02&lt;/name&gt;&lt;/trkpt&gt;</v>
      </c>
    </row>
    <row r="104" spans="1:20" ht="15" thickBot="1" x14ac:dyDescent="0.4">
      <c r="A104" s="23"/>
      <c r="B104" s="102">
        <v>3</v>
      </c>
      <c r="C104" s="12" t="s">
        <v>8</v>
      </c>
      <c r="D104" s="20">
        <v>4431120</v>
      </c>
      <c r="E104" s="7">
        <v>4464150</v>
      </c>
      <c r="F104" s="138" cm="1">
        <f t="array" ref="F104:G104">_xll.PE.trf.ApplyForwardEx($D$4,$D$5,D104:E104,0,1,$D$12,,,,)</f>
        <v>20.188199773372965</v>
      </c>
      <c r="G104" s="140">
        <v>40.307773124662731</v>
      </c>
      <c r="H104" s="156">
        <v>936</v>
      </c>
      <c r="I104" s="155" t="s">
        <v>109</v>
      </c>
      <c r="J104" s="160" t="str" cm="1">
        <f t="array" ref="J104">_xll.PE.deg.AsString(F104)</f>
        <v>20 11 18</v>
      </c>
      <c r="K104" s="139" t="str" cm="1">
        <f t="array" ref="K104">_xll.PE.deg.AsString(G104)</f>
        <v>40 18 28</v>
      </c>
      <c r="L104" s="138" cm="1">
        <f t="array" ref="L104">_xll.PE.deg.FromString(J104)</f>
        <v>20.188333333333333</v>
      </c>
      <c r="M104" s="140" cm="1">
        <f t="array" ref="M104">_xll.PE.deg.FromString(K104)</f>
        <v>40.307777777777773</v>
      </c>
      <c r="N104" s="85">
        <f t="shared" si="42"/>
        <v>-1.3355996036779061E-4</v>
      </c>
      <c r="O104" s="81">
        <f t="shared" si="42"/>
        <v>-4.6531150417195022E-6</v>
      </c>
      <c r="P104" s="10">
        <f>SQRT((D105-D104)^2+(E105-E104)^2)</f>
        <v>30663.757108351874</v>
      </c>
      <c r="Q104" s="93">
        <f>IF(DEGREES(ATAN2(E105-E104,D105-D104))&lt;0,DEGREES(ATAN2(E105-E104,D105-D104))+360,(DEGREES(ATAN2(E105-E104,D105-D104))))</f>
        <v>127.76682287780538</v>
      </c>
      <c r="R104" s="90" cm="1">
        <f t="array" ref="R104">_xll.PE.crs.GeodesicDistance($D$4,D103:E106)</f>
        <v>38662.187481098088</v>
      </c>
      <c r="S104" s="44" t="str">
        <f t="shared" si="43"/>
        <v>20.18819977,40.30777312</v>
      </c>
      <c r="T104" s="98" t="str">
        <f t="shared" si="44"/>
        <v>&lt;trkpt lon="20.18819977" lat="40.30777312"&gt;&lt;name&gt;S03&lt;/name&gt;&lt;/trkpt&gt;</v>
      </c>
    </row>
    <row r="105" spans="1:20" ht="15" thickBot="1" x14ac:dyDescent="0.4">
      <c r="A105" s="23"/>
      <c r="B105" s="102">
        <v>4</v>
      </c>
      <c r="C105" s="12" t="s">
        <v>7</v>
      </c>
      <c r="D105" s="20">
        <v>4455360</v>
      </c>
      <c r="E105" s="7">
        <v>4445370</v>
      </c>
      <c r="F105" s="138" cm="1">
        <f t="array" ref="F105:G105">_xll.PE.trf.ApplyForwardEx($D$4,$D$5,D105:E105,0,1,$D$12,,,,)</f>
        <v>20.474635225434131</v>
      </c>
      <c r="G105" s="140">
        <v>40.140301411599609</v>
      </c>
      <c r="H105" s="156">
        <v>665</v>
      </c>
      <c r="I105" s="155" t="s">
        <v>110</v>
      </c>
      <c r="J105" s="160" t="str" cm="1">
        <f t="array" ref="J105">_xll.PE.deg.AsString(F105)</f>
        <v>20 28 29</v>
      </c>
      <c r="K105" s="139" t="str" cm="1">
        <f t="array" ref="K105">_xll.PE.deg.AsString(G105)</f>
        <v>40 08 25</v>
      </c>
      <c r="L105" s="138" cm="1">
        <f t="array" ref="L105">_xll.PE.deg.FromString(J105)</f>
        <v>20.474722222222219</v>
      </c>
      <c r="M105" s="140" cm="1">
        <f t="array" ref="M105">_xll.PE.deg.FromString(K105)</f>
        <v>40.140277777777776</v>
      </c>
      <c r="N105" s="85">
        <f t="shared" si="42"/>
        <v>-8.6996788088100629E-5</v>
      </c>
      <c r="O105" s="81">
        <f t="shared" si="42"/>
        <v>2.3633821832902413E-5</v>
      </c>
      <c r="P105" s="39">
        <f>SQRT((D106-D105)^2+(E106-E105)^2)</f>
        <v>3999.9999999999527</v>
      </c>
      <c r="Q105" s="89">
        <f>IF(DEGREES(ATAN2(E106-E105,D106-D105))&lt;0,DEGREES(ATAN2(E106-E105,D106-D105))+360,(DEGREES(ATAN2(E106-E105,D106-D105))))</f>
        <v>127.7668228778095</v>
      </c>
      <c r="R105" s="89"/>
      <c r="S105" s="44" t="str">
        <f t="shared" si="43"/>
        <v>20.47463523,40.14030141</v>
      </c>
      <c r="T105" s="98" t="str">
        <f t="shared" si="44"/>
        <v>&lt;trkpt lon="20.47463523" lat="40.14030141"&gt;&lt;name&gt;S04&lt;/name&gt;&lt;/trkpt&gt;</v>
      </c>
    </row>
    <row r="106" spans="1:20" ht="15" thickBot="1" x14ac:dyDescent="0.4">
      <c r="A106" s="23" t="str">
        <f>C101</f>
        <v>D_015</v>
      </c>
      <c r="B106" s="102">
        <v>5</v>
      </c>
      <c r="C106" s="12" t="s">
        <v>5</v>
      </c>
      <c r="D106" s="37">
        <f>D105+$D$8*SIN(RADIANS(Q104))</f>
        <v>4458522.0391349103</v>
      </c>
      <c r="E106" s="38">
        <f>E105+$D$8*COS(RADIANS(Q104))</f>
        <v>4442920.2023533983</v>
      </c>
      <c r="F106" s="138" cm="1">
        <f t="array" ref="F106:G106">_xll.PE.trf.ApplyForwardEx($D$4,$D$5,D106:E106,0,1,$D$12,,,,)</f>
        <v>20.511896311461349</v>
      </c>
      <c r="G106" s="140">
        <v>40.118401931638644</v>
      </c>
      <c r="H106" s="154">
        <v>806</v>
      </c>
      <c r="I106" s="155" t="s">
        <v>111</v>
      </c>
      <c r="J106" s="144" t="str" cm="1">
        <f t="array" ref="J106">_xll.PE.deg.AsString(F106)</f>
        <v>20 30 43</v>
      </c>
      <c r="K106" s="136" t="str" cm="1">
        <f t="array" ref="K106">_xll.PE.deg.AsString(G106)</f>
        <v>40 07 06</v>
      </c>
      <c r="L106" s="135" cm="1">
        <f t="array" ref="L106">_xll.PE.deg.FromString(J106)</f>
        <v>20.511944444444445</v>
      </c>
      <c r="M106" s="137" cm="1">
        <f t="array" ref="M106">_xll.PE.deg.FromString(K106)</f>
        <v>40.118333333333332</v>
      </c>
      <c r="N106" s="84">
        <f t="shared" si="42"/>
        <v>-4.813298309613856E-5</v>
      </c>
      <c r="O106" s="80">
        <f t="shared" si="42"/>
        <v>6.859830531169564E-5</v>
      </c>
      <c r="P106" s="9">
        <f>SQRT((D107-D106)^2+(E107-E106)^2)</f>
        <v>3000.0000000004748</v>
      </c>
      <c r="Q106" s="110">
        <f>IF(DEGREES(ATAN2(E107-E106,D107-D106))&lt;0,DEGREES(ATAN2(E107-E106,D107-D106))+360,(DEGREES(ATAN2(E107-E106,D107-D106))))</f>
        <v>127.76682287780757</v>
      </c>
      <c r="R106" s="5">
        <v>4326</v>
      </c>
      <c r="S106" s="44" t="str">
        <f t="shared" si="43"/>
        <v>20.51189631,40.11840193</v>
      </c>
      <c r="T106" s="98" t="str">
        <f t="shared" si="44"/>
        <v>&lt;trkpt lon="20.51189631" lat="40.11840193"&gt;&lt;name&gt;S05&lt;/name&gt;&lt;/trkpt&gt;</v>
      </c>
    </row>
    <row r="107" spans="1:20" ht="15" thickBot="1" x14ac:dyDescent="0.4">
      <c r="A107" s="23"/>
      <c r="B107" s="103">
        <v>6</v>
      </c>
      <c r="C107" s="13" t="s">
        <v>13</v>
      </c>
      <c r="D107" s="29">
        <f>D106+$D$7*SIN(RADIANS(Q105))</f>
        <v>4460893.5684860935</v>
      </c>
      <c r="E107" s="30">
        <f>E106+$D$7*COS(RADIANS(Q105))</f>
        <v>4441082.8541184468</v>
      </c>
      <c r="F107" s="141" cm="1">
        <f t="array" ref="F107:G107">_xll.PE.trf.ApplyForwardEx($D$4,$D$5,D107:E107,0,1,$D$12,,,,)</f>
        <v>20.53982646884727</v>
      </c>
      <c r="G107" s="143">
        <v>40.101969310522684</v>
      </c>
      <c r="H107" s="157">
        <v>8</v>
      </c>
      <c r="I107" s="155" t="s">
        <v>112</v>
      </c>
      <c r="J107" s="149" t="str" cm="1">
        <f t="array" ref="J107">_xll.PE.deg.AsString(F107)</f>
        <v>20 32 23</v>
      </c>
      <c r="K107" s="142" t="str" cm="1">
        <f t="array" ref="K107">_xll.PE.deg.AsString(G107)</f>
        <v>40 06 07</v>
      </c>
      <c r="L107" s="141" cm="1">
        <f t="array" ref="L107">_xll.PE.deg.FromString(J107)</f>
        <v>20.539722222222224</v>
      </c>
      <c r="M107" s="143" cm="1">
        <f t="array" ref="M107">_xll.PE.deg.FromString(K107)</f>
        <v>40.101944444444449</v>
      </c>
      <c r="N107" s="86">
        <f t="shared" si="42"/>
        <v>1.0424662504604498E-4</v>
      </c>
      <c r="O107" s="82">
        <f t="shared" si="42"/>
        <v>2.4866078234708766E-5</v>
      </c>
      <c r="P107" s="14">
        <f>SUM(P103:P105)</f>
        <v>38663.757108351783</v>
      </c>
      <c r="Q107" s="35" t="s">
        <v>11</v>
      </c>
      <c r="R107" s="87" cm="1">
        <f t="array" ref="R107">_xll.PE.crs.GeodesicDistance($D$5,L103:M106)</f>
        <v>38654.733582932749</v>
      </c>
      <c r="S107" s="44" t="str">
        <f t="shared" si="43"/>
        <v>20.53982647,40.10196931</v>
      </c>
      <c r="T107" s="98" t="str">
        <f t="shared" si="44"/>
        <v>&lt;trkpt lon="20.53982647" lat="40.10196931"&gt;&lt;name&gt;S06&lt;/name&gt;&lt;/trkpt&gt;</v>
      </c>
    </row>
    <row r="108" spans="1:20" ht="15" thickBot="1" x14ac:dyDescent="0.4">
      <c r="A108" s="23"/>
      <c r="B108" s="105"/>
      <c r="C108" s="17"/>
      <c r="D108" s="31"/>
      <c r="E108" s="31"/>
      <c r="F108" s="42"/>
      <c r="G108" s="42"/>
      <c r="H108" s="116"/>
      <c r="I108" s="88"/>
      <c r="J108" s="31"/>
      <c r="K108" s="31"/>
      <c r="L108" s="31"/>
      <c r="M108" s="31"/>
      <c r="N108" s="31"/>
      <c r="O108" s="31"/>
      <c r="P108" s="25">
        <f>P104</f>
        <v>30663.757108351874</v>
      </c>
      <c r="Q108" s="106" t="s">
        <v>12</v>
      </c>
      <c r="R108" s="91"/>
      <c r="S108" s="44" t="s">
        <v>21</v>
      </c>
      <c r="T108" s="98" t="str">
        <f>CONCATENATE("&lt;/trkseg&gt;&lt;/trk&gt;")</f>
        <v>&lt;/trkseg&gt;&lt;/trk&gt;</v>
      </c>
    </row>
    <row r="109" spans="1:20" ht="15" thickBot="1" x14ac:dyDescent="0.4">
      <c r="A109" s="23"/>
      <c r="B109" s="105"/>
      <c r="C109" s="19" t="s">
        <v>40</v>
      </c>
      <c r="D109" s="33"/>
      <c r="E109" s="33"/>
      <c r="F109" s="113" t="str">
        <f>C109</f>
        <v>D_016</v>
      </c>
      <c r="G109" s="113"/>
      <c r="H109" s="113"/>
      <c r="I109" s="113"/>
      <c r="J109" s="40"/>
      <c r="K109" s="40"/>
      <c r="L109" s="40"/>
      <c r="M109" s="40"/>
      <c r="N109" s="40"/>
      <c r="O109" s="40"/>
      <c r="P109" s="16"/>
      <c r="Q109" s="109"/>
      <c r="R109" s="92"/>
      <c r="S109" s="44" t="str">
        <f>CONCATENATE("&lt;Placemark&gt;&lt;name&gt;",A114,"&lt;/name&gt;&lt;styleUrl&gt;#track001&lt;/styleUrl&gt;&lt;MultiGeometry&gt;&lt;LineString&gt;&lt;coordinates&gt;")</f>
        <v>&lt;Placemark&gt;&lt;name&gt;D_016&lt;/name&gt;&lt;styleUrl&gt;#track001&lt;/styleUrl&gt;&lt;MultiGeometry&gt;&lt;LineString&gt;&lt;coordinates&gt;</v>
      </c>
      <c r="T109" s="98" t="str">
        <f>CONCATENATE("&lt;trk&gt;&lt;name&gt;",A114,"&lt;/name&gt;&lt;trkseg&gt;")</f>
        <v>&lt;trk&gt;&lt;name&gt;D_016&lt;/name&gt;&lt;trkseg&gt;</v>
      </c>
    </row>
    <row r="110" spans="1:20" ht="15" thickBot="1" x14ac:dyDescent="0.4">
      <c r="A110" s="23"/>
      <c r="B110" s="101">
        <v>1</v>
      </c>
      <c r="C110" s="41" t="s">
        <v>13</v>
      </c>
      <c r="D110" s="26">
        <f>D111-$D$7*SIN(RADIANS(Q111))</f>
        <v>4413360.1537933266</v>
      </c>
      <c r="E110" s="27">
        <f>E111-$D$7*COS(RADIANS(Q111))</f>
        <v>4456901.3573793834</v>
      </c>
      <c r="F110" s="132" cm="1">
        <f t="array" ref="F110:G110">_xll.PE.trf.ApplyForwardEx($D$4,$D$5,D110:E110,0,1,$D$12,,,,)</f>
        <v>19.980295097411723</v>
      </c>
      <c r="G110" s="134">
        <v>40.240849828416813</v>
      </c>
      <c r="H110" s="152">
        <v>364</v>
      </c>
      <c r="I110" s="155" t="s">
        <v>113</v>
      </c>
      <c r="J110" s="159" t="str" cm="1">
        <f t="array" ref="J110">_xll.PE.deg.AsString(F110)</f>
        <v>19 58 49</v>
      </c>
      <c r="K110" s="133" t="str" cm="1">
        <f t="array" ref="K110">_xll.PE.deg.AsString(G110)</f>
        <v>40 14 27</v>
      </c>
      <c r="L110" s="132" cm="1">
        <f t="array" ref="L110">_xll.PE.deg.FromString(J110)</f>
        <v>19.980277777777776</v>
      </c>
      <c r="M110" s="134" cm="1">
        <f t="array" ref="M110">_xll.PE.deg.FromString(K110)</f>
        <v>40.240833333333335</v>
      </c>
      <c r="N110" s="83">
        <f t="shared" ref="N110:O115" si="45">F110-L110</f>
        <v>1.7319633947465718E-5</v>
      </c>
      <c r="O110" s="79">
        <f t="shared" si="45"/>
        <v>1.6495083478673678E-5</v>
      </c>
      <c r="P110" s="8">
        <f>SQRT((D111-D110)^2+(E111-E110)^2)</f>
        <v>2999.9999999998699</v>
      </c>
      <c r="Q110" s="108">
        <f>IF(DEGREES(ATAN2(E111-E110,D111-D110))&lt;0,DEGREES(ATAN2(E111-E110,D111-D110))+360,(DEGREES(ATAN2(E111-E110,D111-D110))))</f>
        <v>138.48354071791988</v>
      </c>
      <c r="R110" s="89"/>
      <c r="S110" s="44" t="str">
        <f t="shared" ref="S110:S115" si="46">CONCATENATE(TEXT(F110,"#.00000000"),",",TEXT(G110,"#.00000000"))</f>
        <v>19.98029510,40.24084983</v>
      </c>
      <c r="T110" s="98" t="str">
        <f t="shared" ref="T110:T115" si="47">CONCATENATE("&lt;trkpt lon=""",TEXT(F110,"#.00000000"),""" lat=""",TEXT(G110,"#.00000000"),"""","&gt;&lt;name&gt;S",TEXT(B110,"00"),"&lt;/name&gt;&lt;/trkpt&gt;")</f>
        <v>&lt;trkpt lon="19.98029510" lat="40.24084983"&gt;&lt;name&gt;S01&lt;/name&gt;&lt;/trkpt&gt;</v>
      </c>
    </row>
    <row r="111" spans="1:20" ht="15" thickBot="1" x14ac:dyDescent="0.4">
      <c r="A111" s="23"/>
      <c r="B111" s="102">
        <v>2</v>
      </c>
      <c r="C111" s="12" t="s">
        <v>5</v>
      </c>
      <c r="D111" s="37">
        <f>D112-$D$8*SIN(RADIANS(Q112))</f>
        <v>4415348.6593104722</v>
      </c>
      <c r="E111" s="38">
        <f>E112-$D$8*COS(RADIANS(Q112))</f>
        <v>4454655.0613596477</v>
      </c>
      <c r="F111" s="135" cm="1">
        <f t="array" ref="F111:G111">_xll.PE.trf.ApplyForwardEx($D$4,$D$5,D111:E111,0,1,$D$12,,,,)</f>
        <v>20.003956316830397</v>
      </c>
      <c r="G111" s="137">
        <v>40.220826808208159</v>
      </c>
      <c r="H111" s="154">
        <v>990</v>
      </c>
      <c r="I111" s="155" t="s">
        <v>114</v>
      </c>
      <c r="J111" s="144" t="str" cm="1">
        <f t="array" ref="J111">_xll.PE.deg.AsString(F111)</f>
        <v>20 00 14</v>
      </c>
      <c r="K111" s="136" t="str" cm="1">
        <f t="array" ref="K111">_xll.PE.deg.AsString(G111)</f>
        <v>40 13 15</v>
      </c>
      <c r="L111" s="135" cm="1">
        <f t="array" ref="L111">_xll.PE.deg.FromString(J111)</f>
        <v>20.003888888888888</v>
      </c>
      <c r="M111" s="137" cm="1">
        <f t="array" ref="M111">_xll.PE.deg.FromString(K111)</f>
        <v>40.220833333333339</v>
      </c>
      <c r="N111" s="84">
        <f t="shared" si="45"/>
        <v>6.7427941509379252E-5</v>
      </c>
      <c r="O111" s="80">
        <f t="shared" si="45"/>
        <v>-6.5251251797349141E-6</v>
      </c>
      <c r="P111" s="39">
        <f>SQRT((D112-D111)^2+(E112-E111)^2)</f>
        <v>4000.0000000000323</v>
      </c>
      <c r="Q111" s="89">
        <f>IF(DEGREES(ATAN2(E112-E111,D112-D111))&lt;0,DEGREES(ATAN2(E112-E111,D112-D111))+360,(DEGREES(ATAN2(E112-E111,D112-D111))))</f>
        <v>138.48354071791653</v>
      </c>
      <c r="R111" s="21">
        <v>2462</v>
      </c>
      <c r="S111" s="44" t="str">
        <f t="shared" si="46"/>
        <v>20.00395632,40.22082681</v>
      </c>
      <c r="T111" s="98" t="str">
        <f t="shared" si="47"/>
        <v>&lt;trkpt lon="20.00395632" lat="40.22082681"&gt;&lt;name&gt;S02&lt;/name&gt;&lt;/trkpt&gt;</v>
      </c>
    </row>
    <row r="112" spans="1:20" ht="15" thickBot="1" x14ac:dyDescent="0.4">
      <c r="A112" s="23"/>
      <c r="B112" s="102">
        <v>3</v>
      </c>
      <c r="C112" s="12" t="s">
        <v>8</v>
      </c>
      <c r="D112" s="20">
        <v>4418000</v>
      </c>
      <c r="E112" s="7">
        <v>4451660</v>
      </c>
      <c r="F112" s="138" cm="1">
        <f t="array" ref="F112:G112">_xll.PE.trf.ApplyForwardEx($D$4,$D$5,D112:E112,0,1,$D$12,,,,)</f>
        <v>20.035482907483946</v>
      </c>
      <c r="G112" s="140">
        <v>40.194121561226794</v>
      </c>
      <c r="H112" s="156">
        <v>916</v>
      </c>
      <c r="I112" s="155" t="s">
        <v>115</v>
      </c>
      <c r="J112" s="160" t="str" cm="1">
        <f t="array" ref="J112">_xll.PE.deg.AsString(F112)</f>
        <v>20 02 08</v>
      </c>
      <c r="K112" s="139" t="str" cm="1">
        <f t="array" ref="K112">_xll.PE.deg.AsString(G112)</f>
        <v>40 11 39</v>
      </c>
      <c r="L112" s="138" cm="1">
        <f t="array" ref="L112">_xll.PE.deg.FromString(J112)</f>
        <v>20.035555555555558</v>
      </c>
      <c r="M112" s="140" cm="1">
        <f t="array" ref="M112">_xll.PE.deg.FromString(K112)</f>
        <v>40.194166666666661</v>
      </c>
      <c r="N112" s="85">
        <f t="shared" si="45"/>
        <v>-7.2648071611780551E-5</v>
      </c>
      <c r="O112" s="81">
        <f t="shared" si="45"/>
        <v>-4.5105439866688357E-5</v>
      </c>
      <c r="P112" s="10">
        <f>SQRT((D113-D112)^2+(E113-E112)^2)</f>
        <v>28732.63338087896</v>
      </c>
      <c r="Q112" s="93">
        <f>IF(DEGREES(ATAN2(E113-E112,D113-D112))&lt;0,DEGREES(ATAN2(E113-E112,D113-D112))+360,(DEGREES(ATAN2(E113-E112,D113-D112))))</f>
        <v>138.48354071792221</v>
      </c>
      <c r="R112" s="90" cm="1">
        <f t="array" ref="R112">_xll.PE.crs.GeodesicDistance($D$4,D111:E114)</f>
        <v>36730.236939526818</v>
      </c>
      <c r="S112" s="44" t="str">
        <f t="shared" si="46"/>
        <v>20.03548291,40.19412156</v>
      </c>
      <c r="T112" s="98" t="str">
        <f t="shared" si="47"/>
        <v>&lt;trkpt lon="20.03548291" lat="40.19412156"&gt;&lt;name&gt;S03&lt;/name&gt;&lt;/trkpt&gt;</v>
      </c>
    </row>
    <row r="113" spans="1:20" ht="15" thickBot="1" x14ac:dyDescent="0.4">
      <c r="A113" s="23"/>
      <c r="B113" s="102">
        <v>4</v>
      </c>
      <c r="C113" s="12" t="s">
        <v>7</v>
      </c>
      <c r="D113" s="20">
        <v>4437045</v>
      </c>
      <c r="E113" s="7">
        <v>4430146</v>
      </c>
      <c r="F113" s="138" cm="1">
        <f t="array" ref="F113:G113">_xll.PE.trf.ApplyForwardEx($D$4,$D$5,D113:E113,0,1,$D$12,,,,)</f>
        <v>20.261217584877354</v>
      </c>
      <c r="G113" s="140">
        <v>40.002030742739421</v>
      </c>
      <c r="H113" s="156">
        <v>221</v>
      </c>
      <c r="I113" s="155" t="s">
        <v>116</v>
      </c>
      <c r="J113" s="160" t="str" cm="1">
        <f t="array" ref="J113">_xll.PE.deg.AsString(F113)</f>
        <v>20 15 40</v>
      </c>
      <c r="K113" s="139" t="str" cm="1">
        <f t="array" ref="K113">_xll.PE.deg.AsString(G113)</f>
        <v>40 00 07</v>
      </c>
      <c r="L113" s="138" cm="1">
        <f t="array" ref="L113">_xll.PE.deg.FromString(J113)</f>
        <v>20.261111111111113</v>
      </c>
      <c r="M113" s="140" cm="1">
        <f t="array" ref="M113">_xll.PE.deg.FromString(K113)</f>
        <v>40.001944444444447</v>
      </c>
      <c r="N113" s="85">
        <f t="shared" si="45"/>
        <v>1.0647376624106641E-4</v>
      </c>
      <c r="O113" s="81">
        <f t="shared" si="45"/>
        <v>8.6298294974085366E-5</v>
      </c>
      <c r="P113" s="39">
        <f>SQRT((D114-D113)^2+(E114-E113)^2)</f>
        <v>4000.0000000000323</v>
      </c>
      <c r="Q113" s="89">
        <f>IF(DEGREES(ATAN2(E114-E113,D114-D113))&lt;0,DEGREES(ATAN2(E114-E113,D114-D113))+360,(DEGREES(ATAN2(E114-E113,D114-D113))))</f>
        <v>138.48354071791653</v>
      </c>
      <c r="R113" s="89"/>
      <c r="S113" s="44" t="str">
        <f t="shared" si="46"/>
        <v>20.26121758,40.00203074</v>
      </c>
      <c r="T113" s="98" t="str">
        <f t="shared" si="47"/>
        <v>&lt;trkpt lon="20.26121758" lat="40.00203074"&gt;&lt;name&gt;S04&lt;/name&gt;&lt;/trkpt&gt;</v>
      </c>
    </row>
    <row r="114" spans="1:20" ht="15" thickBot="1" x14ac:dyDescent="0.4">
      <c r="A114" s="23" t="str">
        <f>C109</f>
        <v>D_016</v>
      </c>
      <c r="B114" s="102">
        <v>5</v>
      </c>
      <c r="C114" s="12" t="s">
        <v>5</v>
      </c>
      <c r="D114" s="37">
        <f>D113+$D$8*SIN(RADIANS(Q112))</f>
        <v>4439696.3406895278</v>
      </c>
      <c r="E114" s="38">
        <f>E113+$D$8*COS(RADIANS(Q112))</f>
        <v>4427150.9386403523</v>
      </c>
      <c r="F114" s="135" cm="1">
        <f t="array" ref="F114:G114">_xll.PE.trf.ApplyForwardEx($D$4,$D$5,D114:E114,0,1,$D$12,,,,)</f>
        <v>20.292542535155217</v>
      </c>
      <c r="G114" s="137">
        <v>39.975252625030251</v>
      </c>
      <c r="H114" s="154">
        <v>570</v>
      </c>
      <c r="I114" s="155" t="s">
        <v>117</v>
      </c>
      <c r="J114" s="144" t="str" cm="1">
        <f t="array" ref="J114">_xll.PE.deg.AsString(F114)</f>
        <v>20 17 33</v>
      </c>
      <c r="K114" s="136" t="str" cm="1">
        <f t="array" ref="K114">_xll.PE.deg.AsString(G114)</f>
        <v>39 58 31</v>
      </c>
      <c r="L114" s="135" cm="1">
        <f t="array" ref="L114">_xll.PE.deg.FromString(J114)</f>
        <v>20.2925</v>
      </c>
      <c r="M114" s="137" cm="1">
        <f t="array" ref="M114">_xll.PE.deg.FromString(K114)</f>
        <v>39.975277777777777</v>
      </c>
      <c r="N114" s="84">
        <f t="shared" si="45"/>
        <v>4.2535155216683052E-5</v>
      </c>
      <c r="O114" s="80">
        <f t="shared" si="45"/>
        <v>-2.5152747525680752E-5</v>
      </c>
      <c r="P114" s="9">
        <f>SQRT((D115-D114)^2+(E115-E114)^2)</f>
        <v>2999.9999999998699</v>
      </c>
      <c r="Q114" s="110">
        <f>IF(DEGREES(ATAN2(E115-E114,D115-D114))&lt;0,DEGREES(ATAN2(E115-E114,D115-D114))+360,(DEGREES(ATAN2(E115-E114,D115-D114))))</f>
        <v>138.48354071791988</v>
      </c>
      <c r="R114" s="5">
        <v>4326</v>
      </c>
      <c r="S114" s="44" t="str">
        <f t="shared" si="46"/>
        <v>20.29254254,39.97525263</v>
      </c>
      <c r="T114" s="98" t="str">
        <f t="shared" si="47"/>
        <v>&lt;trkpt lon="20.29254254" lat="39.97525263"&gt;&lt;name&gt;S05&lt;/name&gt;&lt;/trkpt&gt;</v>
      </c>
    </row>
    <row r="115" spans="1:20" ht="15" thickBot="1" x14ac:dyDescent="0.4">
      <c r="A115" s="23"/>
      <c r="B115" s="103">
        <v>6</v>
      </c>
      <c r="C115" s="13" t="s">
        <v>13</v>
      </c>
      <c r="D115" s="29">
        <f>D114+$D$7*SIN(RADIANS(Q113))</f>
        <v>4441684.8462066734</v>
      </c>
      <c r="E115" s="30">
        <f>E114+$D$7*COS(RADIANS(Q113))</f>
        <v>4424904.6426206166</v>
      </c>
      <c r="F115" s="141" cm="1">
        <f t="array" ref="F115:G115">_xll.PE.trf.ApplyForwardEx($D$4,$D$5,D115:E115,0,1,$D$12,,,,)</f>
        <v>20.316020182948577</v>
      </c>
      <c r="G115" s="143">
        <v>39.955163263756695</v>
      </c>
      <c r="H115" s="157">
        <v>398</v>
      </c>
      <c r="I115" s="155" t="s">
        <v>118</v>
      </c>
      <c r="J115" s="149" t="str" cm="1">
        <f t="array" ref="J115">_xll.PE.deg.AsString(F115)</f>
        <v>20 18 58</v>
      </c>
      <c r="K115" s="142" t="str" cm="1">
        <f t="array" ref="K115">_xll.PE.deg.AsString(G115)</f>
        <v>39 57 19</v>
      </c>
      <c r="L115" s="141" cm="1">
        <f t="array" ref="L115">_xll.PE.deg.FromString(J115)</f>
        <v>20.316111111111113</v>
      </c>
      <c r="M115" s="143" cm="1">
        <f t="array" ref="M115">_xll.PE.deg.FromString(K115)</f>
        <v>39.955277777777781</v>
      </c>
      <c r="N115" s="86">
        <f t="shared" si="45"/>
        <v>-9.0928162535419688E-5</v>
      </c>
      <c r="O115" s="82">
        <f t="shared" si="45"/>
        <v>-1.1451402108519915E-4</v>
      </c>
      <c r="P115" s="14">
        <f>SUM(P111:P113)</f>
        <v>36732.633380879022</v>
      </c>
      <c r="Q115" s="35" t="s">
        <v>11</v>
      </c>
      <c r="R115" s="90" cm="1">
        <f t="array" ref="R115">_xll.PE.crs.GeodesicDistance($D$5,L111:M114)</f>
        <v>36729.862302124151</v>
      </c>
      <c r="S115" s="44" t="str">
        <f t="shared" si="46"/>
        <v>20.31602018,39.95516326</v>
      </c>
      <c r="T115" s="98" t="str">
        <f t="shared" si="47"/>
        <v>&lt;trkpt lon="20.31602018" lat="39.95516326"&gt;&lt;name&gt;S06&lt;/name&gt;&lt;/trkpt&gt;</v>
      </c>
    </row>
    <row r="116" spans="1:20" ht="15" thickBot="1" x14ac:dyDescent="0.4">
      <c r="A116" s="23"/>
      <c r="B116" s="105"/>
      <c r="C116" s="17"/>
      <c r="D116" s="31"/>
      <c r="E116" s="31"/>
      <c r="F116" s="42"/>
      <c r="G116" s="42"/>
      <c r="H116" s="115"/>
      <c r="I116" s="88"/>
      <c r="J116" s="42"/>
      <c r="K116" s="42"/>
      <c r="L116" s="42"/>
      <c r="M116" s="42"/>
      <c r="N116" s="42"/>
      <c r="O116" s="42"/>
      <c r="P116" s="25">
        <f>P112</f>
        <v>28732.63338087896</v>
      </c>
      <c r="Q116" s="106" t="s">
        <v>12</v>
      </c>
      <c r="R116" s="91"/>
      <c r="S116" s="44" t="s">
        <v>21</v>
      </c>
      <c r="T116" s="98" t="str">
        <f>CONCATENATE("&lt;/trkseg&gt;&lt;/trk&gt;")</f>
        <v>&lt;/trkseg&gt;&lt;/trk&gt;</v>
      </c>
    </row>
    <row r="117" spans="1:20" ht="15" thickBot="1" x14ac:dyDescent="0.4">
      <c r="A117" s="23"/>
      <c r="B117" s="105"/>
      <c r="C117" s="19" t="s">
        <v>41</v>
      </c>
      <c r="D117" s="33"/>
      <c r="E117" s="33"/>
      <c r="F117" s="113" t="str">
        <f>C117</f>
        <v>D_017</v>
      </c>
      <c r="G117" s="113"/>
      <c r="H117" s="113"/>
      <c r="I117" s="113"/>
      <c r="J117" s="40"/>
      <c r="K117" s="40"/>
      <c r="L117" s="40"/>
      <c r="M117" s="40"/>
      <c r="N117" s="40"/>
      <c r="O117" s="40"/>
      <c r="P117" s="16"/>
      <c r="Q117" s="109"/>
      <c r="R117" s="92"/>
      <c r="S117" s="44" t="str">
        <f>CONCATENATE("&lt;Placemark&gt;&lt;name&gt;",A122,"&lt;/name&gt;&lt;styleUrl&gt;#track001&lt;/styleUrl&gt;&lt;MultiGeometry&gt;&lt;LineString&gt;&lt;coordinates&gt;")</f>
        <v>&lt;Placemark&gt;&lt;name&gt;D_017&lt;/name&gt;&lt;styleUrl&gt;#track001&lt;/styleUrl&gt;&lt;MultiGeometry&gt;&lt;LineString&gt;&lt;coordinates&gt;</v>
      </c>
      <c r="T117" s="98" t="str">
        <f>CONCATENATE("&lt;trk&gt;&lt;name&gt;",A122,"&lt;/name&gt;&lt;trkseg&gt;")</f>
        <v>&lt;trk&gt;&lt;name&gt;D_017&lt;/name&gt;&lt;trkseg&gt;</v>
      </c>
    </row>
    <row r="118" spans="1:20" ht="15" thickBot="1" x14ac:dyDescent="0.4">
      <c r="A118" s="23"/>
      <c r="B118" s="101">
        <v>1</v>
      </c>
      <c r="C118" s="41" t="s">
        <v>13</v>
      </c>
      <c r="D118" s="26">
        <f>D119-$D$7*SIN(RADIANS(Q119))</f>
        <v>4428210.5100967251</v>
      </c>
      <c r="E118" s="27">
        <f>E119-$D$7*COS(RADIANS(Q119))</f>
        <v>4452852.3097855086</v>
      </c>
      <c r="F118" s="132" cm="1">
        <f t="array" ref="F118:G118">_xll.PE.trf.ApplyForwardEx($D$4,$D$5,D118:E118,0,1,$D$12,,,,)</f>
        <v>20.155244386653319</v>
      </c>
      <c r="G118" s="134">
        <v>40.205795085677487</v>
      </c>
      <c r="H118" s="152">
        <v>790</v>
      </c>
      <c r="I118" s="155" t="s">
        <v>119</v>
      </c>
      <c r="J118" s="159" t="str" cm="1">
        <f t="array" ref="J118">_xll.PE.deg.AsString(F118)</f>
        <v>20 09 19</v>
      </c>
      <c r="K118" s="133" t="str" cm="1">
        <f t="array" ref="K118">_xll.PE.deg.AsString(G118)</f>
        <v>40 12 21</v>
      </c>
      <c r="L118" s="132" cm="1">
        <f t="array" ref="L118">_xll.PE.deg.FromString(J118)</f>
        <v>20.155277777777776</v>
      </c>
      <c r="M118" s="134" cm="1">
        <f t="array" ref="M118">_xll.PE.deg.FromString(K118)</f>
        <v>40.205833333333338</v>
      </c>
      <c r="N118" s="83">
        <f t="shared" ref="N118:O123" si="48">F118-L118</f>
        <v>-3.3391124457438082E-5</v>
      </c>
      <c r="O118" s="79">
        <f t="shared" si="48"/>
        <v>-3.824765585136447E-5</v>
      </c>
      <c r="P118" s="8">
        <f>SQRT((D119-D118)^2+(E119-E118)^2)</f>
        <v>3000.0000000000855</v>
      </c>
      <c r="Q118" s="108">
        <f>IF(DEGREES(ATAN2(E119-E118,D119-D118))&lt;0,DEGREES(ATAN2(E119-E118,D119-D118))+360,(DEGREES(ATAN2(E119-E118,D119-D118))))</f>
        <v>54.497692329086064</v>
      </c>
      <c r="R118" s="94"/>
      <c r="S118" s="44" t="str">
        <f t="shared" ref="S118:S123" si="49">CONCATENATE(TEXT(F118,"#.00000000"),",",TEXT(G118,"#.00000000"))</f>
        <v>20.15524439,40.20579509</v>
      </c>
      <c r="T118" s="98" t="str">
        <f t="shared" ref="T118:T123" si="50">CONCATENATE("&lt;trkpt lon=""",TEXT(F118,"#.00000000"),""" lat=""",TEXT(G118,"#.00000000"),"""","&gt;&lt;name&gt;S",TEXT(B118,"00"),"&lt;/name&gt;&lt;/trkpt&gt;")</f>
        <v>&lt;trkpt lon="20.15524439" lat="40.20579509"&gt;&lt;name&gt;S01&lt;/name&gt;&lt;/trkpt&gt;</v>
      </c>
    </row>
    <row r="119" spans="1:20" ht="15" thickBot="1" x14ac:dyDescent="0.4">
      <c r="A119" s="23"/>
      <c r="B119" s="102">
        <v>2</v>
      </c>
      <c r="C119" s="12" t="s">
        <v>5</v>
      </c>
      <c r="D119" s="37">
        <f>D120-$D$8*SIN(RADIANS(Q120))</f>
        <v>4430652.7864838429</v>
      </c>
      <c r="E119" s="38">
        <f>E120-$D$8*COS(RADIANS(Q120))</f>
        <v>4454594.5170202907</v>
      </c>
      <c r="F119" s="135" cm="1">
        <f t="array" ref="F119:G119">_xll.PE.trf.ApplyForwardEx($D$4,$D$5,D119:E119,0,1,$D$12,,,,)</f>
        <v>20.183739389448178</v>
      </c>
      <c r="G119" s="137">
        <v>40.22168924313722</v>
      </c>
      <c r="H119" s="154">
        <v>618</v>
      </c>
      <c r="I119" s="155" t="s">
        <v>120</v>
      </c>
      <c r="J119" s="144" t="str" cm="1">
        <f t="array" ref="J119">_xll.PE.deg.AsString(F119)</f>
        <v>20 11 01</v>
      </c>
      <c r="K119" s="136" t="str" cm="1">
        <f t="array" ref="K119">_xll.PE.deg.AsString(G119)</f>
        <v>40 13 18</v>
      </c>
      <c r="L119" s="135" cm="1">
        <f t="array" ref="L119">_xll.PE.deg.FromString(J119)</f>
        <v>20.183611111111112</v>
      </c>
      <c r="M119" s="137" cm="1">
        <f t="array" ref="M119">_xll.PE.deg.FromString(K119)</f>
        <v>40.221666666666671</v>
      </c>
      <c r="N119" s="84">
        <f t="shared" si="48"/>
        <v>1.2827833706552383E-4</v>
      </c>
      <c r="O119" s="80">
        <f t="shared" si="48"/>
        <v>2.257647054904055E-5</v>
      </c>
      <c r="P119" s="39">
        <f>SQRT((D120-D119)^2+(E120-E119)^2)</f>
        <v>4000.0000000001864</v>
      </c>
      <c r="Q119" s="89">
        <f>IF(DEGREES(ATAN2(E120-E119,D120-D119))&lt;0,DEGREES(ATAN2(E120-E119,D120-D119))+360,(DEGREES(ATAN2(E120-E119,D120-D119))))</f>
        <v>54.49769232909226</v>
      </c>
      <c r="R119" s="21">
        <v>2462</v>
      </c>
      <c r="S119" s="44" t="str">
        <f t="shared" si="49"/>
        <v>20.18373939,40.22168924</v>
      </c>
      <c r="T119" s="98" t="str">
        <f t="shared" si="50"/>
        <v>&lt;trkpt lon="20.18373939" lat="40.22168924"&gt;&lt;name&gt;S02&lt;/name&gt;&lt;/trkpt&gt;</v>
      </c>
    </row>
    <row r="120" spans="1:20" ht="15" thickBot="1" x14ac:dyDescent="0.4">
      <c r="A120" s="23"/>
      <c r="B120" s="102">
        <v>3</v>
      </c>
      <c r="C120" s="12" t="s">
        <v>8</v>
      </c>
      <c r="D120" s="20">
        <v>4433909.1550000003</v>
      </c>
      <c r="E120" s="7">
        <v>4456917.46</v>
      </c>
      <c r="F120" s="138" cm="1">
        <f t="array" ref="F120:G120">_xll.PE.trf.ApplyForwardEx($D$4,$D$5,D120:E120,0,1,$D$12,,,,)</f>
        <v>20.22175353346173</v>
      </c>
      <c r="G120" s="140">
        <v>40.2428706698594</v>
      </c>
      <c r="H120" s="156">
        <v>443</v>
      </c>
      <c r="I120" s="155" t="s">
        <v>121</v>
      </c>
      <c r="J120" s="160" t="str" cm="1">
        <f t="array" ref="J120">_xll.PE.deg.AsString(F120)</f>
        <v>20 13 18</v>
      </c>
      <c r="K120" s="139" t="str" cm="1">
        <f t="array" ref="K120">_xll.PE.deg.AsString(G120)</f>
        <v>40 14 34</v>
      </c>
      <c r="L120" s="138" cm="1">
        <f t="array" ref="L120">_xll.PE.deg.FromString(J120)</f>
        <v>20.221666666666664</v>
      </c>
      <c r="M120" s="140" cm="1">
        <f t="array" ref="M120">_xll.PE.deg.FromString(K120)</f>
        <v>40.242777777777782</v>
      </c>
      <c r="N120" s="85">
        <f t="shared" si="48"/>
        <v>8.6866795065532187E-5</v>
      </c>
      <c r="O120" s="81">
        <f t="shared" si="48"/>
        <v>9.2892081617890199E-5</v>
      </c>
      <c r="P120" s="10">
        <f>SQRT((D121-D120)^2+(E121-E120)^2)</f>
        <v>8440.4453192636811</v>
      </c>
      <c r="Q120" s="93">
        <f>IF(DEGREES(ATAN2(E121-E120,D121-D120))&lt;0,DEGREES(ATAN2(E121-E120,D121-D120))+360,(DEGREES(ATAN2(E121-E120,D121-D120))))</f>
        <v>54.497692329097134</v>
      </c>
      <c r="R120" s="90" cm="1">
        <f t="array" ref="R120">_xll.PE.crs.GeodesicDistance($D$4,D119:E122)</f>
        <v>16439.648223364071</v>
      </c>
      <c r="S120" s="44" t="str">
        <f t="shared" si="49"/>
        <v>20.22175353,40.24287067</v>
      </c>
      <c r="T120" s="98" t="str">
        <f t="shared" si="50"/>
        <v>&lt;trkpt lon="20.22175353" lat="40.24287067"&gt;&lt;name&gt;S03&lt;/name&gt;&lt;/trkpt&gt;</v>
      </c>
    </row>
    <row r="121" spans="1:20" ht="15" thickBot="1" x14ac:dyDescent="0.4">
      <c r="A121" s="23"/>
      <c r="B121" s="102">
        <v>4</v>
      </c>
      <c r="C121" s="12" t="s">
        <v>7</v>
      </c>
      <c r="D121" s="20">
        <v>4440780.4550999999</v>
      </c>
      <c r="E121" s="7">
        <v>4461819.1283</v>
      </c>
      <c r="F121" s="138" cm="1">
        <f t="array" ref="F121:G121">_xll.PE.trf.ApplyForwardEx($D$4,$D$5,D121:E121,0,1,$D$12,,,,)</f>
        <v>20.302045697642804</v>
      </c>
      <c r="G121" s="140">
        <v>40.287525281732698</v>
      </c>
      <c r="H121" s="156">
        <v>539</v>
      </c>
      <c r="I121" s="155" t="s">
        <v>122</v>
      </c>
      <c r="J121" s="160" t="str" cm="1">
        <f t="array" ref="J121">_xll.PE.deg.AsString(F121)</f>
        <v>20 18 07</v>
      </c>
      <c r="K121" s="139" t="str" cm="1">
        <f t="array" ref="K121">_xll.PE.deg.AsString(G121)</f>
        <v>40 17 15</v>
      </c>
      <c r="L121" s="138" cm="1">
        <f t="array" ref="L121">_xll.PE.deg.FromString(J121)</f>
        <v>20.301944444444445</v>
      </c>
      <c r="M121" s="140" cm="1">
        <f t="array" ref="M121">_xll.PE.deg.FromString(K121)</f>
        <v>40.287500000000001</v>
      </c>
      <c r="N121" s="85">
        <f t="shared" si="48"/>
        <v>1.0125319835907476E-4</v>
      </c>
      <c r="O121" s="81">
        <f t="shared" si="48"/>
        <v>2.5281732696669224E-5</v>
      </c>
      <c r="P121" s="39">
        <f>SQRT((D122-D121)^2+(E122-E121)^2)</f>
        <v>4000.0000000001864</v>
      </c>
      <c r="Q121" s="89">
        <f>IF(DEGREES(ATAN2(E122-E121,D122-D121))&lt;0,DEGREES(ATAN2(E122-E121,D122-D121))+360,(DEGREES(ATAN2(E122-E121,D122-D121))))</f>
        <v>54.49769232909226</v>
      </c>
      <c r="R121" s="89"/>
      <c r="S121" s="44" t="str">
        <f t="shared" si="49"/>
        <v>20.30204570,40.28752528</v>
      </c>
      <c r="T121" s="98" t="str">
        <f t="shared" si="50"/>
        <v>&lt;trkpt lon="20.30204570" lat="40.28752528"&gt;&lt;name&gt;S04&lt;/name&gt;&lt;/trkpt&gt;</v>
      </c>
    </row>
    <row r="122" spans="1:20" ht="15" thickBot="1" x14ac:dyDescent="0.4">
      <c r="A122" s="23" t="str">
        <f>C117</f>
        <v>D_017</v>
      </c>
      <c r="B122" s="102">
        <v>5</v>
      </c>
      <c r="C122" s="12" t="s">
        <v>5</v>
      </c>
      <c r="D122" s="37">
        <f>D121+$D$8*SIN(RADIANS(Q120))</f>
        <v>4444036.8236161573</v>
      </c>
      <c r="E122" s="38">
        <f>E121+$D$8*COS(RADIANS(Q120))</f>
        <v>4464142.0712797092</v>
      </c>
      <c r="F122" s="135" cm="1">
        <f t="array" ref="F122:G122">_xll.PE.trf.ApplyForwardEx($D$4,$D$5,D122:E122,0,1,$D$12,,,,)</f>
        <v>20.340133885134307</v>
      </c>
      <c r="G122" s="137">
        <v>40.308668208385107</v>
      </c>
      <c r="H122" s="154">
        <v>819</v>
      </c>
      <c r="I122" s="155" t="s">
        <v>123</v>
      </c>
      <c r="J122" s="144" t="str" cm="1">
        <f t="array" ref="J122">_xll.PE.deg.AsString(F122)</f>
        <v>20 20 24</v>
      </c>
      <c r="K122" s="136" t="str" cm="1">
        <f t="array" ref="K122">_xll.PE.deg.AsString(G122)</f>
        <v>40 18 31</v>
      </c>
      <c r="L122" s="135" cm="1">
        <f t="array" ref="L122">_xll.PE.deg.FromString(J122)</f>
        <v>20.34</v>
      </c>
      <c r="M122" s="137" cm="1">
        <f t="array" ref="M122">_xll.PE.deg.FromString(K122)</f>
        <v>40.308611111111105</v>
      </c>
      <c r="N122" s="84">
        <f t="shared" si="48"/>
        <v>1.3388513430712123E-4</v>
      </c>
      <c r="O122" s="80">
        <f t="shared" si="48"/>
        <v>5.7097274002160248E-5</v>
      </c>
      <c r="P122" s="9">
        <f>SQRT((D123-D122)^2+(E123-E122)^2)</f>
        <v>3000.0000000000855</v>
      </c>
      <c r="Q122" s="110">
        <f>IF(DEGREES(ATAN2(E123-E122,D123-D122))&lt;0,DEGREES(ATAN2(E123-E122,D123-D122))+360,(DEGREES(ATAN2(E123-E122,D123-D122))))</f>
        <v>54.497692329086064</v>
      </c>
      <c r="R122" s="21">
        <v>2462</v>
      </c>
      <c r="S122" s="44" t="str">
        <f t="shared" si="49"/>
        <v>20.34013389,40.30866821</v>
      </c>
      <c r="T122" s="98" t="str">
        <f t="shared" si="50"/>
        <v>&lt;trkpt lon="20.34013389" lat="40.30866821"&gt;&lt;name&gt;S05&lt;/name&gt;&lt;/trkpt&gt;</v>
      </c>
    </row>
    <row r="123" spans="1:20" ht="15" thickBot="1" x14ac:dyDescent="0.4">
      <c r="A123" s="23"/>
      <c r="B123" s="103">
        <v>6</v>
      </c>
      <c r="C123" s="13" t="s">
        <v>13</v>
      </c>
      <c r="D123" s="29">
        <f>D122+$D$7*SIN(RADIANS(Q121))</f>
        <v>4446479.1000032751</v>
      </c>
      <c r="E123" s="30">
        <f>E122+$D$7*COS(RADIANS(Q121))</f>
        <v>4465884.2785144914</v>
      </c>
      <c r="F123" s="141" cm="1">
        <f t="array" ref="F123:G123">_xll.PE.trf.ApplyForwardEx($D$4,$D$5,D123:E123,0,1,$D$12,,,,)</f>
        <v>20.3687156675634</v>
      </c>
      <c r="G123" s="143">
        <v>40.324517243329709</v>
      </c>
      <c r="H123" s="157">
        <v>792</v>
      </c>
      <c r="I123" s="165" t="s">
        <v>124</v>
      </c>
      <c r="J123" s="149" t="str" cm="1">
        <f t="array" ref="J123">_xll.PE.deg.AsString(F123)</f>
        <v>20 22 07</v>
      </c>
      <c r="K123" s="142" t="str" cm="1">
        <f t="array" ref="K123">_xll.PE.deg.AsString(G123)</f>
        <v>40 19 28</v>
      </c>
      <c r="L123" s="141" cm="1">
        <f t="array" ref="L123">_xll.PE.deg.FromString(J123)</f>
        <v>20.368611111111111</v>
      </c>
      <c r="M123" s="143" cm="1">
        <f t="array" ref="M123">_xll.PE.deg.FromString(K123)</f>
        <v>40.324444444444445</v>
      </c>
      <c r="N123" s="86">
        <f t="shared" si="48"/>
        <v>1.0455645228901744E-4</v>
      </c>
      <c r="O123" s="82">
        <f t="shared" si="48"/>
        <v>7.2798885263125612E-5</v>
      </c>
      <c r="P123" s="14">
        <f>SUM(P119:P121)</f>
        <v>16440.445319264054</v>
      </c>
      <c r="Q123" s="35" t="s">
        <v>11</v>
      </c>
      <c r="R123" s="87" cm="1">
        <f t="array" ref="R123">_xll.PE.crs.GeodesicDistance($D$5,L119:M122)</f>
        <v>16436.893372856532</v>
      </c>
      <c r="S123" s="44" t="str">
        <f t="shared" si="49"/>
        <v>20.36871567,40.32451724</v>
      </c>
      <c r="T123" s="98" t="str">
        <f t="shared" si="50"/>
        <v>&lt;trkpt lon="20.36871567" lat="40.32451724"&gt;&lt;name&gt;S06&lt;/name&gt;&lt;/trkpt&gt;</v>
      </c>
    </row>
    <row r="124" spans="1:20" x14ac:dyDescent="0.35">
      <c r="A124" s="23"/>
      <c r="B124" s="105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88"/>
      <c r="P124" s="25">
        <f>P120</f>
        <v>8440.4453192636811</v>
      </c>
      <c r="Q124" s="106" t="s">
        <v>12</v>
      </c>
      <c r="R124" s="91"/>
      <c r="S124" s="98" t="s">
        <v>21</v>
      </c>
      <c r="T124" s="98" t="str">
        <f>CONCATENATE("&lt;/trkseg&gt;&lt;/trk&gt;")</f>
        <v>&lt;/trkseg&gt;&lt;/trk&gt;</v>
      </c>
    </row>
    <row r="125" spans="1:20" ht="15" thickBot="1" x14ac:dyDescent="0.4">
      <c r="O125"/>
      <c r="S125" s="45" t="s">
        <v>22</v>
      </c>
      <c r="T125" s="99" t="s">
        <v>19</v>
      </c>
    </row>
    <row r="126" spans="1:20" x14ac:dyDescent="0.35">
      <c r="O126"/>
    </row>
    <row r="127" spans="1:20" x14ac:dyDescent="0.35">
      <c r="O127"/>
    </row>
    <row r="128" spans="1:20" x14ac:dyDescent="0.35">
      <c r="O128"/>
    </row>
    <row r="129" spans="15:17" x14ac:dyDescent="0.35">
      <c r="O129"/>
    </row>
    <row r="130" spans="15:17" x14ac:dyDescent="0.35">
      <c r="O130"/>
      <c r="Q130"/>
    </row>
    <row r="131" spans="15:17" x14ac:dyDescent="0.35">
      <c r="O131"/>
      <c r="Q131"/>
    </row>
    <row r="132" spans="15:17" x14ac:dyDescent="0.35">
      <c r="O132"/>
      <c r="Q132"/>
    </row>
    <row r="133" spans="15:17" x14ac:dyDescent="0.35">
      <c r="O133"/>
      <c r="Q133"/>
    </row>
    <row r="134" spans="15:17" x14ac:dyDescent="0.35">
      <c r="O134"/>
      <c r="Q134"/>
    </row>
    <row r="135" spans="15:17" x14ac:dyDescent="0.35">
      <c r="O135"/>
      <c r="Q135"/>
    </row>
    <row r="136" spans="15:17" x14ac:dyDescent="0.35">
      <c r="O136"/>
      <c r="Q136"/>
    </row>
    <row r="137" spans="15:17" x14ac:dyDescent="0.35">
      <c r="O137"/>
      <c r="Q137"/>
    </row>
    <row r="138" spans="15:17" x14ac:dyDescent="0.35">
      <c r="O138"/>
      <c r="Q138"/>
    </row>
    <row r="139" spans="15:17" x14ac:dyDescent="0.35">
      <c r="O139"/>
      <c r="Q139"/>
    </row>
    <row r="140" spans="15:17" x14ac:dyDescent="0.35">
      <c r="O140"/>
      <c r="Q140"/>
    </row>
    <row r="141" spans="15:17" x14ac:dyDescent="0.35">
      <c r="O141"/>
      <c r="Q141"/>
    </row>
    <row r="142" spans="15:17" x14ac:dyDescent="0.35">
      <c r="O142"/>
      <c r="Q142"/>
    </row>
    <row r="143" spans="15:17" x14ac:dyDescent="0.35">
      <c r="O143"/>
      <c r="Q143"/>
    </row>
    <row r="144" spans="15:17" x14ac:dyDescent="0.35">
      <c r="O144"/>
      <c r="Q144"/>
    </row>
    <row r="145" spans="15:17" x14ac:dyDescent="0.35">
      <c r="O145"/>
      <c r="Q145"/>
    </row>
    <row r="146" spans="15:17" x14ac:dyDescent="0.35">
      <c r="O146"/>
      <c r="Q146"/>
    </row>
    <row r="147" spans="15:17" x14ac:dyDescent="0.35">
      <c r="O147"/>
      <c r="Q147"/>
    </row>
    <row r="148" spans="15:17" x14ac:dyDescent="0.35">
      <c r="O148"/>
      <c r="Q148"/>
    </row>
    <row r="149" spans="15:17" x14ac:dyDescent="0.35">
      <c r="O149"/>
      <c r="Q149"/>
    </row>
    <row r="150" spans="15:17" x14ac:dyDescent="0.35">
      <c r="O150"/>
      <c r="Q150"/>
    </row>
    <row r="151" spans="15:17" x14ac:dyDescent="0.35">
      <c r="O151"/>
      <c r="Q151"/>
    </row>
    <row r="152" spans="15:17" x14ac:dyDescent="0.35">
      <c r="O152"/>
      <c r="Q152"/>
    </row>
    <row r="153" spans="15:17" x14ac:dyDescent="0.35">
      <c r="O153"/>
      <c r="Q153"/>
    </row>
    <row r="154" spans="15:17" x14ac:dyDescent="0.35">
      <c r="O154"/>
      <c r="Q154"/>
    </row>
    <row r="155" spans="15:17" x14ac:dyDescent="0.35">
      <c r="O155"/>
      <c r="Q155"/>
    </row>
    <row r="156" spans="15:17" x14ac:dyDescent="0.35">
      <c r="O156"/>
      <c r="Q156"/>
    </row>
    <row r="157" spans="15:17" x14ac:dyDescent="0.35">
      <c r="O157"/>
      <c r="Q157"/>
    </row>
    <row r="158" spans="15:17" x14ac:dyDescent="0.35">
      <c r="O158"/>
      <c r="Q158"/>
    </row>
    <row r="159" spans="15:17" x14ac:dyDescent="0.35">
      <c r="O159"/>
      <c r="Q159"/>
    </row>
    <row r="160" spans="15:17" x14ac:dyDescent="0.35">
      <c r="O160"/>
      <c r="Q160"/>
    </row>
    <row r="161" spans="15:17" x14ac:dyDescent="0.35">
      <c r="O161"/>
      <c r="Q161"/>
    </row>
    <row r="162" spans="15:17" x14ac:dyDescent="0.35">
      <c r="O162"/>
      <c r="Q162"/>
    </row>
    <row r="163" spans="15:17" x14ac:dyDescent="0.35">
      <c r="O163"/>
      <c r="Q163"/>
    </row>
    <row r="164" spans="15:17" x14ac:dyDescent="0.35">
      <c r="O164"/>
      <c r="Q164"/>
    </row>
    <row r="165" spans="15:17" x14ac:dyDescent="0.35">
      <c r="O165"/>
      <c r="Q165"/>
    </row>
    <row r="166" spans="15:17" x14ac:dyDescent="0.35">
      <c r="O166"/>
      <c r="Q166"/>
    </row>
    <row r="167" spans="15:17" x14ac:dyDescent="0.35">
      <c r="O167"/>
      <c r="Q167"/>
    </row>
    <row r="168" spans="15:17" x14ac:dyDescent="0.35">
      <c r="O168"/>
      <c r="Q168"/>
    </row>
    <row r="169" spans="15:17" x14ac:dyDescent="0.35">
      <c r="O169"/>
      <c r="Q169"/>
    </row>
    <row r="170" spans="15:17" x14ac:dyDescent="0.35">
      <c r="O170"/>
      <c r="Q170"/>
    </row>
    <row r="171" spans="15:17" x14ac:dyDescent="0.35">
      <c r="O171"/>
      <c r="Q171"/>
    </row>
    <row r="172" spans="15:17" x14ac:dyDescent="0.35">
      <c r="O172"/>
      <c r="Q172"/>
    </row>
    <row r="173" spans="15:17" x14ac:dyDescent="0.35">
      <c r="O173"/>
      <c r="Q173"/>
    </row>
    <row r="174" spans="15:17" x14ac:dyDescent="0.35">
      <c r="O174"/>
      <c r="Q174"/>
    </row>
    <row r="175" spans="15:17" x14ac:dyDescent="0.35">
      <c r="O175"/>
      <c r="Q175"/>
    </row>
    <row r="176" spans="15:17" x14ac:dyDescent="0.35">
      <c r="O176"/>
      <c r="Q176"/>
    </row>
    <row r="177" spans="15:17" x14ac:dyDescent="0.35">
      <c r="O177"/>
      <c r="Q177"/>
    </row>
    <row r="178" spans="15:17" x14ac:dyDescent="0.35">
      <c r="O178"/>
      <c r="Q178"/>
    </row>
    <row r="179" spans="15:17" x14ac:dyDescent="0.35">
      <c r="O179"/>
      <c r="Q179"/>
    </row>
    <row r="180" spans="15:17" x14ac:dyDescent="0.35">
      <c r="O180"/>
      <c r="Q180"/>
    </row>
    <row r="181" spans="15:17" x14ac:dyDescent="0.35">
      <c r="O181"/>
      <c r="Q181"/>
    </row>
    <row r="182" spans="15:17" x14ac:dyDescent="0.35">
      <c r="O182"/>
      <c r="Q182"/>
    </row>
    <row r="183" spans="15:17" x14ac:dyDescent="0.35">
      <c r="O183"/>
      <c r="Q183"/>
    </row>
    <row r="184" spans="15:17" x14ac:dyDescent="0.35">
      <c r="O184"/>
      <c r="Q184"/>
    </row>
    <row r="185" spans="15:17" x14ac:dyDescent="0.35">
      <c r="O185"/>
      <c r="Q185"/>
    </row>
    <row r="186" spans="15:17" x14ac:dyDescent="0.35">
      <c r="O186"/>
      <c r="Q186"/>
    </row>
    <row r="187" spans="15:17" x14ac:dyDescent="0.35">
      <c r="O187"/>
      <c r="Q187"/>
    </row>
    <row r="188" spans="15:17" x14ac:dyDescent="0.35">
      <c r="O188"/>
      <c r="Q188"/>
    </row>
    <row r="189" spans="15:17" x14ac:dyDescent="0.35">
      <c r="O189"/>
      <c r="Q189"/>
    </row>
    <row r="190" spans="15:17" x14ac:dyDescent="0.35">
      <c r="O190"/>
      <c r="Q190"/>
    </row>
    <row r="191" spans="15:17" x14ac:dyDescent="0.35">
      <c r="O191"/>
      <c r="Q191"/>
    </row>
    <row r="192" spans="15:17" x14ac:dyDescent="0.35">
      <c r="O192"/>
      <c r="Q192"/>
    </row>
    <row r="193" spans="15:17" x14ac:dyDescent="0.35">
      <c r="O193"/>
      <c r="Q193"/>
    </row>
    <row r="194" spans="15:17" x14ac:dyDescent="0.35">
      <c r="O194"/>
      <c r="Q194"/>
    </row>
    <row r="195" spans="15:17" x14ac:dyDescent="0.35">
      <c r="O195"/>
      <c r="Q195"/>
    </row>
    <row r="196" spans="15:17" x14ac:dyDescent="0.35">
      <c r="O196"/>
      <c r="Q196"/>
    </row>
    <row r="197" spans="15:17" x14ac:dyDescent="0.35">
      <c r="O197"/>
      <c r="Q197"/>
    </row>
    <row r="198" spans="15:17" x14ac:dyDescent="0.35">
      <c r="O198"/>
      <c r="Q198"/>
    </row>
    <row r="199" spans="15:17" x14ac:dyDescent="0.35">
      <c r="O199"/>
      <c r="Q199"/>
    </row>
    <row r="200" spans="15:17" x14ac:dyDescent="0.35">
      <c r="O200"/>
      <c r="Q200"/>
    </row>
    <row r="201" spans="15:17" x14ac:dyDescent="0.35">
      <c r="O201"/>
      <c r="Q201"/>
    </row>
    <row r="202" spans="15:17" x14ac:dyDescent="0.35">
      <c r="O202"/>
      <c r="Q202"/>
    </row>
    <row r="203" spans="15:17" x14ac:dyDescent="0.35">
      <c r="O203"/>
      <c r="Q203"/>
    </row>
    <row r="204" spans="15:17" x14ac:dyDescent="0.35">
      <c r="O204"/>
      <c r="Q204"/>
    </row>
    <row r="205" spans="15:17" x14ac:dyDescent="0.35">
      <c r="O205"/>
      <c r="Q205"/>
    </row>
    <row r="206" spans="15:17" x14ac:dyDescent="0.35">
      <c r="O206"/>
      <c r="Q206"/>
    </row>
    <row r="207" spans="15:17" x14ac:dyDescent="0.35">
      <c r="O207"/>
      <c r="Q207"/>
    </row>
    <row r="208" spans="15:17" x14ac:dyDescent="0.35">
      <c r="O208"/>
      <c r="Q208"/>
    </row>
    <row r="209" spans="15:17" x14ac:dyDescent="0.35">
      <c r="O209"/>
      <c r="Q209"/>
    </row>
    <row r="210" spans="15:17" x14ac:dyDescent="0.35">
      <c r="O210"/>
      <c r="Q210"/>
    </row>
    <row r="211" spans="15:17" x14ac:dyDescent="0.35">
      <c r="O211"/>
      <c r="Q211"/>
    </row>
    <row r="212" spans="15:17" x14ac:dyDescent="0.35">
      <c r="O212"/>
      <c r="Q212"/>
    </row>
    <row r="213" spans="15:17" x14ac:dyDescent="0.35">
      <c r="O213"/>
      <c r="Q213"/>
    </row>
    <row r="214" spans="15:17" x14ac:dyDescent="0.35">
      <c r="O214"/>
      <c r="Q214"/>
    </row>
    <row r="215" spans="15:17" x14ac:dyDescent="0.35">
      <c r="O215"/>
      <c r="Q215"/>
    </row>
    <row r="216" spans="15:17" x14ac:dyDescent="0.35">
      <c r="O216"/>
      <c r="Q216"/>
    </row>
    <row r="217" spans="15:17" x14ac:dyDescent="0.35">
      <c r="O217"/>
      <c r="Q217"/>
    </row>
    <row r="218" spans="15:17" x14ac:dyDescent="0.35">
      <c r="O218"/>
      <c r="Q218"/>
    </row>
    <row r="219" spans="15:17" x14ac:dyDescent="0.35">
      <c r="O219"/>
      <c r="Q219"/>
    </row>
    <row r="220" spans="15:17" x14ac:dyDescent="0.35">
      <c r="O220"/>
      <c r="Q220"/>
    </row>
    <row r="221" spans="15:17" x14ac:dyDescent="0.35">
      <c r="O221"/>
      <c r="Q221"/>
    </row>
    <row r="222" spans="15:17" x14ac:dyDescent="0.35">
      <c r="O222"/>
      <c r="Q222"/>
    </row>
    <row r="223" spans="15:17" x14ac:dyDescent="0.35">
      <c r="O223"/>
      <c r="Q223"/>
    </row>
    <row r="224" spans="15:17" x14ac:dyDescent="0.35">
      <c r="O224"/>
      <c r="Q224"/>
    </row>
    <row r="225" spans="15:17" x14ac:dyDescent="0.35">
      <c r="O225"/>
      <c r="Q225"/>
    </row>
    <row r="226" spans="15:17" x14ac:dyDescent="0.35">
      <c r="O226"/>
      <c r="Q226"/>
    </row>
    <row r="227" spans="15:17" x14ac:dyDescent="0.35">
      <c r="O227"/>
      <c r="Q227"/>
    </row>
    <row r="228" spans="15:17" x14ac:dyDescent="0.35">
      <c r="O228"/>
      <c r="Q228"/>
    </row>
    <row r="229" spans="15:17" x14ac:dyDescent="0.35">
      <c r="O229"/>
      <c r="Q229"/>
    </row>
    <row r="230" spans="15:17" x14ac:dyDescent="0.35">
      <c r="O230"/>
      <c r="Q230"/>
    </row>
    <row r="231" spans="15:17" x14ac:dyDescent="0.35">
      <c r="O231"/>
      <c r="Q231"/>
    </row>
    <row r="232" spans="15:17" x14ac:dyDescent="0.35">
      <c r="O232"/>
      <c r="Q232"/>
    </row>
    <row r="233" spans="15:17" x14ac:dyDescent="0.35">
      <c r="O233"/>
      <c r="Q233"/>
    </row>
    <row r="234" spans="15:17" x14ac:dyDescent="0.35">
      <c r="O234"/>
      <c r="Q234"/>
    </row>
    <row r="235" spans="15:17" x14ac:dyDescent="0.35">
      <c r="O235"/>
      <c r="Q235"/>
    </row>
    <row r="236" spans="15:17" x14ac:dyDescent="0.35">
      <c r="O236"/>
      <c r="Q236"/>
    </row>
    <row r="237" spans="15:17" x14ac:dyDescent="0.35">
      <c r="O237"/>
      <c r="Q237"/>
    </row>
    <row r="238" spans="15:17" x14ac:dyDescent="0.35">
      <c r="O238"/>
      <c r="Q238"/>
    </row>
    <row r="239" spans="15:17" x14ac:dyDescent="0.35">
      <c r="O239"/>
      <c r="Q239"/>
    </row>
    <row r="240" spans="15:17" x14ac:dyDescent="0.35">
      <c r="O240"/>
      <c r="Q240"/>
    </row>
    <row r="241" spans="15:17" x14ac:dyDescent="0.35">
      <c r="O241"/>
      <c r="Q241"/>
    </row>
    <row r="242" spans="15:17" x14ac:dyDescent="0.35">
      <c r="O242"/>
      <c r="Q242"/>
    </row>
    <row r="243" spans="15:17" x14ac:dyDescent="0.35">
      <c r="O243"/>
      <c r="Q243"/>
    </row>
    <row r="244" spans="15:17" x14ac:dyDescent="0.35">
      <c r="O244"/>
      <c r="Q244"/>
    </row>
    <row r="245" spans="15:17" x14ac:dyDescent="0.35">
      <c r="O245"/>
      <c r="Q245"/>
    </row>
    <row r="246" spans="15:17" x14ac:dyDescent="0.35">
      <c r="O246"/>
      <c r="Q246"/>
    </row>
    <row r="247" spans="15:17" x14ac:dyDescent="0.35">
      <c r="O247"/>
      <c r="Q247"/>
    </row>
    <row r="248" spans="15:17" x14ac:dyDescent="0.35">
      <c r="O248"/>
      <c r="Q248"/>
    </row>
    <row r="249" spans="15:17" x14ac:dyDescent="0.35">
      <c r="O249"/>
      <c r="Q249"/>
    </row>
    <row r="250" spans="15:17" x14ac:dyDescent="0.35">
      <c r="O250"/>
      <c r="Q250"/>
    </row>
    <row r="251" spans="15:17" x14ac:dyDescent="0.35">
      <c r="O251"/>
      <c r="Q251"/>
    </row>
    <row r="252" spans="15:17" x14ac:dyDescent="0.35">
      <c r="O252"/>
      <c r="Q252"/>
    </row>
    <row r="253" spans="15:17" x14ac:dyDescent="0.35">
      <c r="O253"/>
      <c r="Q253"/>
    </row>
    <row r="254" spans="15:17" x14ac:dyDescent="0.35">
      <c r="O254"/>
      <c r="Q254"/>
    </row>
    <row r="255" spans="15:17" x14ac:dyDescent="0.35">
      <c r="O255"/>
      <c r="Q255"/>
    </row>
    <row r="256" spans="15:17" x14ac:dyDescent="0.35">
      <c r="O256"/>
      <c r="Q256"/>
    </row>
    <row r="257" spans="15:17" x14ac:dyDescent="0.35">
      <c r="O257"/>
      <c r="Q257"/>
    </row>
    <row r="258" spans="15:17" x14ac:dyDescent="0.35">
      <c r="O258"/>
      <c r="Q258"/>
    </row>
    <row r="259" spans="15:17" x14ac:dyDescent="0.35">
      <c r="O259"/>
      <c r="Q259"/>
    </row>
    <row r="260" spans="15:17" x14ac:dyDescent="0.35">
      <c r="O260"/>
      <c r="Q260"/>
    </row>
    <row r="261" spans="15:17" x14ac:dyDescent="0.35">
      <c r="O261"/>
      <c r="Q261"/>
    </row>
    <row r="262" spans="15:17" x14ac:dyDescent="0.35">
      <c r="O262"/>
      <c r="Q262"/>
    </row>
    <row r="263" spans="15:17" x14ac:dyDescent="0.35">
      <c r="O263"/>
      <c r="Q263"/>
    </row>
    <row r="264" spans="15:17" x14ac:dyDescent="0.35">
      <c r="O264"/>
      <c r="Q264"/>
    </row>
    <row r="265" spans="15:17" x14ac:dyDescent="0.35">
      <c r="O265"/>
      <c r="Q265"/>
    </row>
    <row r="266" spans="15:17" x14ac:dyDescent="0.35">
      <c r="O266"/>
      <c r="Q266"/>
    </row>
    <row r="267" spans="15:17" x14ac:dyDescent="0.35">
      <c r="O267"/>
      <c r="Q267"/>
    </row>
    <row r="268" spans="15:17" x14ac:dyDescent="0.35">
      <c r="O268"/>
      <c r="Q268"/>
    </row>
    <row r="269" spans="15:17" x14ac:dyDescent="0.35">
      <c r="O269"/>
      <c r="Q269"/>
    </row>
    <row r="270" spans="15:17" x14ac:dyDescent="0.35">
      <c r="O270"/>
      <c r="Q270"/>
    </row>
    <row r="271" spans="15:17" x14ac:dyDescent="0.35">
      <c r="O271"/>
      <c r="Q271"/>
    </row>
    <row r="272" spans="15:17" x14ac:dyDescent="0.35">
      <c r="O272"/>
      <c r="Q272"/>
    </row>
    <row r="273" spans="15:17" x14ac:dyDescent="0.35">
      <c r="O273"/>
      <c r="Q273"/>
    </row>
    <row r="274" spans="15:17" x14ac:dyDescent="0.35">
      <c r="O274"/>
      <c r="Q274"/>
    </row>
    <row r="275" spans="15:17" x14ac:dyDescent="0.35">
      <c r="O275"/>
      <c r="Q275"/>
    </row>
    <row r="276" spans="15:17" x14ac:dyDescent="0.35">
      <c r="O276"/>
      <c r="Q276"/>
    </row>
    <row r="277" spans="15:17" x14ac:dyDescent="0.35">
      <c r="O277"/>
      <c r="Q277"/>
    </row>
    <row r="278" spans="15:17" x14ac:dyDescent="0.35">
      <c r="O278"/>
      <c r="Q278"/>
    </row>
    <row r="279" spans="15:17" x14ac:dyDescent="0.35">
      <c r="O279"/>
      <c r="Q279"/>
    </row>
    <row r="280" spans="15:17" x14ac:dyDescent="0.35">
      <c r="O280"/>
      <c r="Q280"/>
    </row>
    <row r="281" spans="15:17" x14ac:dyDescent="0.35">
      <c r="O281"/>
      <c r="Q281"/>
    </row>
    <row r="282" spans="15:17" x14ac:dyDescent="0.35">
      <c r="O282"/>
      <c r="Q282"/>
    </row>
    <row r="283" spans="15:17" x14ac:dyDescent="0.35">
      <c r="O283"/>
      <c r="Q283"/>
    </row>
    <row r="284" spans="15:17" x14ac:dyDescent="0.35">
      <c r="O284"/>
      <c r="Q284"/>
    </row>
    <row r="285" spans="15:17" x14ac:dyDescent="0.35">
      <c r="O285"/>
      <c r="Q285"/>
    </row>
    <row r="286" spans="15:17" x14ac:dyDescent="0.35">
      <c r="O286"/>
      <c r="Q286"/>
    </row>
    <row r="287" spans="15:17" x14ac:dyDescent="0.35">
      <c r="O287"/>
      <c r="Q287"/>
    </row>
    <row r="288" spans="15:17" x14ac:dyDescent="0.35">
      <c r="O288"/>
      <c r="Q288"/>
    </row>
    <row r="289" spans="15:17" x14ac:dyDescent="0.35">
      <c r="O289"/>
      <c r="Q289"/>
    </row>
    <row r="290" spans="15:17" x14ac:dyDescent="0.35">
      <c r="O290"/>
      <c r="Q290"/>
    </row>
    <row r="291" spans="15:17" x14ac:dyDescent="0.35">
      <c r="O291"/>
      <c r="Q291"/>
    </row>
    <row r="292" spans="15:17" x14ac:dyDescent="0.35">
      <c r="O292"/>
      <c r="Q292"/>
    </row>
    <row r="293" spans="15:17" x14ac:dyDescent="0.35">
      <c r="O293"/>
      <c r="Q293"/>
    </row>
    <row r="294" spans="15:17" x14ac:dyDescent="0.35">
      <c r="O294"/>
      <c r="Q294"/>
    </row>
    <row r="295" spans="15:17" x14ac:dyDescent="0.35">
      <c r="O295"/>
      <c r="Q295"/>
    </row>
    <row r="296" spans="15:17" x14ac:dyDescent="0.35">
      <c r="O296"/>
      <c r="Q296"/>
    </row>
    <row r="297" spans="15:17" x14ac:dyDescent="0.35">
      <c r="O297"/>
      <c r="Q297"/>
    </row>
    <row r="298" spans="15:17" x14ac:dyDescent="0.35">
      <c r="O298"/>
      <c r="Q298"/>
    </row>
    <row r="299" spans="15:17" x14ac:dyDescent="0.35">
      <c r="O299"/>
      <c r="Q299"/>
    </row>
    <row r="300" spans="15:17" x14ac:dyDescent="0.35">
      <c r="O300"/>
      <c r="Q300"/>
    </row>
    <row r="301" spans="15:17" x14ac:dyDescent="0.35">
      <c r="O301"/>
      <c r="Q301"/>
    </row>
    <row r="302" spans="15:17" x14ac:dyDescent="0.35">
      <c r="O302"/>
      <c r="Q302"/>
    </row>
    <row r="303" spans="15:17" x14ac:dyDescent="0.35">
      <c r="O303"/>
      <c r="Q303"/>
    </row>
    <row r="304" spans="15:17" x14ac:dyDescent="0.35">
      <c r="O304"/>
      <c r="Q304"/>
    </row>
    <row r="305" spans="15:17" x14ac:dyDescent="0.35">
      <c r="O305"/>
      <c r="Q305"/>
    </row>
    <row r="306" spans="15:17" x14ac:dyDescent="0.35">
      <c r="O306"/>
      <c r="Q306"/>
    </row>
    <row r="307" spans="15:17" x14ac:dyDescent="0.35">
      <c r="O307"/>
      <c r="Q307"/>
    </row>
    <row r="308" spans="15:17" x14ac:dyDescent="0.35">
      <c r="O308"/>
      <c r="Q308"/>
    </row>
    <row r="309" spans="15:17" x14ac:dyDescent="0.35">
      <c r="O309"/>
      <c r="Q309"/>
    </row>
    <row r="310" spans="15:17" x14ac:dyDescent="0.35">
      <c r="O310"/>
      <c r="Q310"/>
    </row>
    <row r="311" spans="15:17" x14ac:dyDescent="0.35">
      <c r="O311"/>
      <c r="Q311"/>
    </row>
    <row r="312" spans="15:17" x14ac:dyDescent="0.35">
      <c r="O312"/>
      <c r="Q312"/>
    </row>
    <row r="313" spans="15:17" x14ac:dyDescent="0.35">
      <c r="O313"/>
      <c r="Q313"/>
    </row>
    <row r="314" spans="15:17" x14ac:dyDescent="0.35">
      <c r="O314"/>
      <c r="Q314"/>
    </row>
    <row r="7168" spans="3:3" x14ac:dyDescent="0.35">
      <c r="C7168" s="175"/>
    </row>
    <row r="8726" spans="3:3" x14ac:dyDescent="0.35">
      <c r="C8726" s="175"/>
    </row>
    <row r="10927" spans="3:3" x14ac:dyDescent="0.35">
      <c r="C10927" s="175"/>
    </row>
    <row r="11791" spans="3:3" x14ac:dyDescent="0.35">
      <c r="C11791" s="175"/>
    </row>
    <row r="11793" spans="3:3" x14ac:dyDescent="0.35">
      <c r="C11793" s="175"/>
    </row>
    <row r="11796" spans="3:3" x14ac:dyDescent="0.35">
      <c r="C11796" s="175"/>
    </row>
  </sheetData>
  <hyperlinks>
    <hyperlink ref="D5" r:id="rId1" display="EPSG:4326" xr:uid="{798EE983-E860-497A-937C-E062F3737F68}"/>
    <hyperlink ref="D4" r:id="rId2" display="EPSG:2462" xr:uid="{EA676070-F822-46C2-A491-2B2477021F05}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8259-B2F0-4599-98D4-024E12781605}">
  <dimension ref="A2:T313"/>
  <sheetViews>
    <sheetView tabSelected="1" topLeftCell="F191" zoomScaleNormal="100" workbookViewId="0">
      <selection activeCell="O217" sqref="O217"/>
    </sheetView>
  </sheetViews>
  <sheetFormatPr defaultRowHeight="14.5" x14ac:dyDescent="0.35"/>
  <cols>
    <col min="1" max="1" width="9" bestFit="1" customWidth="1"/>
    <col min="2" max="2" width="6.36328125" style="61" customWidth="1"/>
    <col min="3" max="3" width="32.7265625" customWidth="1"/>
    <col min="4" max="4" width="17.6328125" customWidth="1"/>
    <col min="5" max="5" width="16.1796875" customWidth="1"/>
    <col min="6" max="6" width="15.54296875" customWidth="1"/>
    <col min="7" max="7" width="13.36328125" customWidth="1"/>
    <col min="8" max="8" width="12.36328125" customWidth="1"/>
    <col min="9" max="10" width="13.36328125" customWidth="1"/>
    <col min="11" max="11" width="13.6328125" customWidth="1"/>
    <col min="12" max="12" width="13" customWidth="1"/>
    <col min="13" max="13" width="14.6328125" style="1" bestFit="1" customWidth="1"/>
    <col min="14" max="14" width="15.6328125" customWidth="1"/>
    <col min="15" max="15" width="23.81640625" style="61" customWidth="1"/>
    <col min="16" max="16" width="27.81640625" customWidth="1"/>
    <col min="17" max="17" width="30.81640625" customWidth="1"/>
    <col min="18" max="18" width="85.54296875" customWidth="1"/>
    <col min="21" max="21" width="26.08984375" customWidth="1"/>
    <col min="24" max="24" width="20.6328125" customWidth="1"/>
  </cols>
  <sheetData>
    <row r="2" spans="1:20" ht="15" thickBot="1" x14ac:dyDescent="0.4">
      <c r="D2" s="1"/>
    </row>
    <row r="3" spans="1:20" ht="15" thickBot="1" x14ac:dyDescent="0.4">
      <c r="C3" s="59" t="s">
        <v>26</v>
      </c>
      <c r="D3" s="60" t="s">
        <v>27</v>
      </c>
      <c r="E3" s="54" t="s">
        <v>141</v>
      </c>
      <c r="F3" s="58" t="s">
        <v>28</v>
      </c>
      <c r="G3" s="56"/>
      <c r="H3" s="56"/>
      <c r="I3" s="56"/>
      <c r="J3" s="56"/>
      <c r="K3" s="56"/>
      <c r="L3" s="57"/>
    </row>
    <row r="4" spans="1:20" ht="15" thickBot="1" x14ac:dyDescent="0.4">
      <c r="C4" s="51" t="s">
        <v>24</v>
      </c>
      <c r="D4" s="49">
        <v>2462</v>
      </c>
      <c r="E4" s="208" t="b" cm="1">
        <f t="array" ref="E4">_xll.PE.crs.IsDeprecated(D4)</f>
        <v>0</v>
      </c>
      <c r="F4" s="205" t="str" cm="1">
        <f t="array" ref="F4">_xll.PE.crs.AsProjString(D4)</f>
        <v>+proj=tmerc +lat_0=0 +lon_0=21 +k=1 +x_0=4500000 +y_0=0 +ellps=krass +units=m +no_defs +type=crs</v>
      </c>
      <c r="G4" s="206"/>
      <c r="H4" s="206"/>
      <c r="I4" s="206"/>
      <c r="J4" s="206"/>
      <c r="K4" s="206"/>
      <c r="L4" s="207"/>
      <c r="P4" s="167"/>
    </row>
    <row r="5" spans="1:20" ht="15" thickBot="1" x14ac:dyDescent="0.4">
      <c r="C5" s="52" t="s">
        <v>25</v>
      </c>
      <c r="D5" s="232">
        <v>4326</v>
      </c>
      <c r="E5" s="208" t="b" cm="1">
        <f t="array" ref="E5">_xll.PE.crs.IsDeprecated(D5)</f>
        <v>0</v>
      </c>
      <c r="F5" s="182" t="str" cm="1">
        <f t="array" ref="F5">_xll.PE.crs.AsProjString(D5)</f>
        <v>+proj=longlat +datum=WGS84 +no_defs +type=crs</v>
      </c>
      <c r="G5" s="183"/>
      <c r="H5" s="183"/>
      <c r="I5" s="183"/>
      <c r="J5" s="183"/>
      <c r="K5" s="183"/>
      <c r="L5" s="209"/>
    </row>
    <row r="6" spans="1:20" ht="15" thickBot="1" x14ac:dyDescent="0.4">
      <c r="M6"/>
      <c r="T6" s="1"/>
    </row>
    <row r="7" spans="1:20" ht="15" thickBot="1" x14ac:dyDescent="0.4">
      <c r="C7" s="21" t="s">
        <v>13</v>
      </c>
      <c r="D7" s="70">
        <v>3000</v>
      </c>
      <c r="E7" s="3" t="s">
        <v>6</v>
      </c>
      <c r="T7" s="1"/>
    </row>
    <row r="8" spans="1:20" ht="15" thickBot="1" x14ac:dyDescent="0.4">
      <c r="C8" s="21" t="s">
        <v>5</v>
      </c>
      <c r="D8" s="70">
        <v>4000</v>
      </c>
      <c r="E8" s="3" t="s">
        <v>6</v>
      </c>
      <c r="T8" s="1"/>
    </row>
    <row r="9" spans="1:20" ht="15" thickBot="1" x14ac:dyDescent="0.4">
      <c r="T9" s="1"/>
    </row>
    <row r="10" spans="1:20" x14ac:dyDescent="0.35">
      <c r="C10" s="54" t="s">
        <v>139</v>
      </c>
      <c r="D10" s="176" t="str" cm="1">
        <f t="array" ref="D10:E13">_xll.PE.lib.Version(0)</f>
        <v>Assembly version</v>
      </c>
      <c r="E10" s="177" t="str">
        <v>1.0.0.0</v>
      </c>
      <c r="T10" s="1"/>
    </row>
    <row r="11" spans="1:20" ht="15" thickBot="1" x14ac:dyDescent="0.4">
      <c r="C11" s="55"/>
      <c r="D11" s="178" t="str">
        <v>File version</v>
      </c>
      <c r="E11" s="179" t="str">
        <v>1.0.261020.1050</v>
      </c>
    </row>
    <row r="12" spans="1:20" ht="15" thickBot="1" x14ac:dyDescent="0.4">
      <c r="C12" s="43"/>
      <c r="D12" s="180" t="str">
        <v>Info version</v>
      </c>
      <c r="E12" s="181" t="str">
        <v>1.0.261020.1050</v>
      </c>
      <c r="Q12" s="100" t="s">
        <v>44</v>
      </c>
      <c r="R12" s="95" t="s">
        <v>45</v>
      </c>
    </row>
    <row r="13" spans="1:20" ht="15" thickBot="1" x14ac:dyDescent="0.4">
      <c r="C13" s="55" t="s">
        <v>134</v>
      </c>
      <c r="D13" s="178" t="str">
        <v>Proj version</v>
      </c>
      <c r="E13" s="179" t="str">
        <v>9.5.1</v>
      </c>
      <c r="Q13" s="46" t="s">
        <v>23</v>
      </c>
      <c r="R13" s="96" t="s">
        <v>0</v>
      </c>
    </row>
    <row r="14" spans="1:20" ht="15" thickBot="1" x14ac:dyDescent="0.4">
      <c r="C14" s="182" t="str" cm="1">
        <f t="array" ref="C14">_xll.PE.trf.Options(0,0,0,0,0,0,"auto",0,,,,,,,,)</f>
        <v>Authority=0; Area=0,0,0,0; Accuracy=0; NoBallparkConversions=False; NoDiscardIfMissing=False; UsePrimaryGridNames=False; UseSuperseded=False; StrictContains=False; IntermediateCrsUsage=Auto; BestOnly=False; ForceOver=False; CandidateIndex=0; AllowDeprecatedCrs=False</v>
      </c>
      <c r="D14" s="183"/>
      <c r="E14" s="183"/>
      <c r="F14" s="183"/>
      <c r="G14" s="183"/>
      <c r="H14" s="183"/>
      <c r="I14" s="183"/>
      <c r="J14" s="183"/>
      <c r="K14" s="183"/>
      <c r="L14" s="183"/>
      <c r="M14" s="218"/>
      <c r="N14" s="183"/>
      <c r="O14" s="203"/>
      <c r="P14" s="184"/>
      <c r="Q14" s="47" t="s">
        <v>20</v>
      </c>
      <c r="R14" s="97" t="s">
        <v>18</v>
      </c>
      <c r="S14" t="s">
        <v>0</v>
      </c>
    </row>
    <row r="15" spans="1:20" ht="15" thickBot="1" x14ac:dyDescent="0.4">
      <c r="C15" s="11" t="s">
        <v>30</v>
      </c>
      <c r="D15" s="4" t="s">
        <v>3</v>
      </c>
      <c r="E15" s="5" t="s">
        <v>4</v>
      </c>
      <c r="F15" s="4" t="s">
        <v>15</v>
      </c>
      <c r="G15" s="5" t="s">
        <v>16</v>
      </c>
      <c r="H15" s="4" t="s">
        <v>15</v>
      </c>
      <c r="I15" s="5" t="s">
        <v>16</v>
      </c>
      <c r="J15" s="4" t="s">
        <v>15</v>
      </c>
      <c r="K15" s="5" t="s">
        <v>16</v>
      </c>
      <c r="L15" s="4" t="s">
        <v>42</v>
      </c>
      <c r="M15" s="5" t="s">
        <v>43</v>
      </c>
      <c r="N15" s="2" t="s">
        <v>1</v>
      </c>
      <c r="O15" s="107" t="s">
        <v>2</v>
      </c>
      <c r="P15" s="2" t="s">
        <v>1</v>
      </c>
      <c r="Q15" s="44" t="str">
        <f>CONCATENATE("&lt;Placemark&gt;&lt;name&gt;",A20,"&lt;/name&gt;&lt;styleUrl&gt;#track001&lt;/styleUrl&gt;&lt;MultiGeometry&gt;&lt;LineString&gt;&lt;coordinates&gt;")</f>
        <v>&lt;Placemark&gt;&lt;name&gt;A_001&lt;/name&gt;&lt;styleUrl&gt;#track001&lt;/styleUrl&gt;&lt;MultiGeometry&gt;&lt;LineString&gt;&lt;coordinates&gt;</v>
      </c>
      <c r="R15" s="98" t="str">
        <f>CONCATENATE("&lt;trk&gt;&lt;name&gt;",A20,"&lt;/name&gt;&lt;trkseg&gt;")</f>
        <v>&lt;trk&gt;&lt;name&gt;A_001&lt;/name&gt;&lt;trkseg&gt;</v>
      </c>
    </row>
    <row r="16" spans="1:20" ht="15" thickBot="1" x14ac:dyDescent="0.4">
      <c r="A16" s="24"/>
      <c r="B16" s="101">
        <v>1</v>
      </c>
      <c r="C16" s="12" t="s">
        <v>13</v>
      </c>
      <c r="D16" s="185">
        <f>D17-$D$7*SIN(RADIANS(O17))</f>
        <v>4384181.1909950031</v>
      </c>
      <c r="E16" s="186">
        <f>E17-$D$7*COS(RADIANS(O17))</f>
        <v>4511477.2929155556</v>
      </c>
      <c r="F16" s="132" cm="1">
        <f t="array" ref="F16:G16">_xll.PE.trf.Transform($D$4,$D$5,D16:D21,E16:E21)</f>
        <v>19.627501288698802</v>
      </c>
      <c r="G16" s="134">
        <v>40.728657406572829</v>
      </c>
      <c r="H16" s="135" t="str" cm="1">
        <f t="array" ref="H16">_xll.PE.deg.AsString(F16)</f>
        <v>19 37 39</v>
      </c>
      <c r="I16" s="136" t="str" cm="1">
        <f t="array" ref="I16">_xll.PE.deg.AsString(G16)</f>
        <v>40 43 43</v>
      </c>
      <c r="J16" s="135" cm="1">
        <f t="array" ref="J16">_xll.PE.deg.FromString(H16)</f>
        <v>19.627500000000001</v>
      </c>
      <c r="K16" s="137" cm="1">
        <f t="array" ref="K16">_xll.PE.deg.FromString(I16)</f>
        <v>40.728611111111114</v>
      </c>
      <c r="L16" s="83">
        <f t="shared" ref="L16:M21" si="0">F16-J16</f>
        <v>1.2886988010052391E-6</v>
      </c>
      <c r="M16" s="79">
        <f t="shared" si="0"/>
        <v>4.629546171486254E-5</v>
      </c>
      <c r="N16" s="8">
        <f>SQRT((D17-D16)^2+(E17-E16)^2)</f>
        <v>2999.9999999995161</v>
      </c>
      <c r="O16" s="108">
        <f>IF(DEGREES(ATAN2(E17-E16,D17-D16))&lt;0,DEGREES(ATAN2(E17-E16,D17-D16))+360,(DEGREES(ATAN2(E17-E16,D17-D16))))</f>
        <v>79.278834728222535</v>
      </c>
      <c r="P16" s="89"/>
      <c r="Q16" s="44" t="str">
        <f t="shared" ref="Q16:Q21" si="1">CONCATENATE(TEXT(F16,"#.00000000"),",",TEXT(G16,"#.00000000"))</f>
        <v>19.62750129,40.72865741</v>
      </c>
      <c r="R16" s="98" t="str">
        <f t="shared" ref="R16:R21" si="2">CONCATENATE("&lt;trkpt lon=""",TEXT(F16,"#.00000000"),""" lat=""",TEXT(G16,"#.00000000"),"""","&gt;&lt;name&gt;S",TEXT(B16,"00"),"&lt;/name&gt;&lt;/trkpt&gt;")</f>
        <v>&lt;trkpt lon="19.62750129" lat="40.72865741"&gt;&lt;name&gt;S01&lt;/name&gt;&lt;/trkpt&gt;</v>
      </c>
    </row>
    <row r="17" spans="1:18" ht="15" thickBot="1" x14ac:dyDescent="0.4">
      <c r="A17" s="24"/>
      <c r="B17" s="102">
        <v>2</v>
      </c>
      <c r="C17" s="12" t="s">
        <v>5</v>
      </c>
      <c r="D17" s="187">
        <f>D18-$D$8*SIN(RADIANS(O18))</f>
        <v>4387128.8234257158</v>
      </c>
      <c r="E17" s="188">
        <f>E18-$D$8*COS(RADIANS(O18))</f>
        <v>4512035.3816660317</v>
      </c>
      <c r="F17" s="135"/>
      <c r="G17" s="137"/>
      <c r="H17" s="135" t="str" cm="1">
        <f t="array" ref="H17">_xll.PE.deg.AsString(F17)</f>
        <v>00 00 00</v>
      </c>
      <c r="I17" s="136" t="str" cm="1">
        <f t="array" ref="I17">_xll.PE.deg.AsString(G17)</f>
        <v>00 00 00</v>
      </c>
      <c r="J17" s="135" cm="1">
        <f t="array" ref="J17">_xll.PE.deg.FromString(H17)</f>
        <v>0</v>
      </c>
      <c r="K17" s="137" cm="1">
        <f t="array" ref="K17">_xll.PE.deg.FromString(I17)</f>
        <v>0</v>
      </c>
      <c r="L17" s="84">
        <f t="shared" si="0"/>
        <v>0</v>
      </c>
      <c r="M17" s="80">
        <f t="shared" si="0"/>
        <v>0</v>
      </c>
      <c r="N17" s="39">
        <f>SQRT((D18-D17)^2+(E18-E17)^2)</f>
        <v>4000.0000000000232</v>
      </c>
      <c r="O17" s="89">
        <f>IF(DEGREES(ATAN2(E18-E17,D18-D17))&lt;0,DEGREES(ATAN2(E18-E17,D18-D17))+360,(DEGREES(ATAN2(E18-E17,D18-D17))))</f>
        <v>79.27883472821982</v>
      </c>
      <c r="P17" s="21">
        <v>2462</v>
      </c>
      <c r="Q17" s="44" t="str">
        <f t="shared" si="1"/>
        <v>.00000000,.00000000</v>
      </c>
      <c r="R17" s="98" t="str">
        <f t="shared" si="2"/>
        <v>&lt;trkpt lon=".00000000" lat=".00000000"&gt;&lt;name&gt;S02&lt;/name&gt;&lt;/trkpt&gt;</v>
      </c>
    </row>
    <row r="18" spans="1:18" ht="15" thickBot="1" x14ac:dyDescent="0.4">
      <c r="A18" s="24"/>
      <c r="B18" s="102">
        <v>3</v>
      </c>
      <c r="C18" s="12" t="s">
        <v>8</v>
      </c>
      <c r="D18" s="189">
        <v>4391059</v>
      </c>
      <c r="E18" s="190">
        <v>4512779.5</v>
      </c>
      <c r="F18" s="138"/>
      <c r="G18" s="140"/>
      <c r="H18" s="138" t="str" cm="1">
        <f t="array" ref="H18">_xll.PE.deg.AsString(F18)</f>
        <v>00 00 00</v>
      </c>
      <c r="I18" s="139" t="str" cm="1">
        <f t="array" ref="I18">_xll.PE.deg.AsString(G18)</f>
        <v>00 00 00</v>
      </c>
      <c r="J18" s="138" cm="1">
        <f t="array" ref="J18">_xll.PE.deg.FromString(H18)</f>
        <v>0</v>
      </c>
      <c r="K18" s="140" cm="1">
        <f t="array" ref="K18">_xll.PE.deg.FromString(I18)</f>
        <v>0</v>
      </c>
      <c r="L18" s="85">
        <f t="shared" si="0"/>
        <v>0</v>
      </c>
      <c r="M18" s="81">
        <f t="shared" si="0"/>
        <v>0</v>
      </c>
      <c r="N18" s="10">
        <f>SQRT((D19-D18)^2+(E19-E18)^2)</f>
        <v>21757.292168374261</v>
      </c>
      <c r="O18" s="93">
        <f>IF(DEGREES(ATAN2(E19-E18,D19-D18))&lt;0,DEGREES(ATAN2(E19-E18,D19-D18))+360,(DEGREES(ATAN2(E19-E18,D19-D18))))</f>
        <v>79.278834728215031</v>
      </c>
      <c r="P18" s="90" cm="1">
        <f t="array" ref="P18">_xll.PE.crs.GeodesicDistance($D$4,D17:E20)</f>
        <v>29753.732339481572</v>
      </c>
      <c r="Q18" s="44" t="str">
        <f t="shared" si="1"/>
        <v>.00000000,.00000000</v>
      </c>
      <c r="R18" s="98" t="str">
        <f t="shared" si="2"/>
        <v>&lt;trkpt lon=".00000000" lat=".00000000"&gt;&lt;name&gt;S03&lt;/name&gt;&lt;/trkpt&gt;</v>
      </c>
    </row>
    <row r="19" spans="1:18" ht="15" thickBot="1" x14ac:dyDescent="0.4">
      <c r="A19" s="24"/>
      <c r="B19" s="102">
        <v>4</v>
      </c>
      <c r="C19" s="12" t="s">
        <v>7</v>
      </c>
      <c r="D19" s="189">
        <v>4412436.5</v>
      </c>
      <c r="E19" s="190">
        <v>4516827</v>
      </c>
      <c r="F19" s="138"/>
      <c r="G19" s="140"/>
      <c r="H19" s="138" t="str" cm="1">
        <f t="array" ref="H19">_xll.PE.deg.AsString(F19)</f>
        <v>00 00 00</v>
      </c>
      <c r="I19" s="139" t="str" cm="1">
        <f t="array" ref="I19">_xll.PE.deg.AsString(G19)</f>
        <v>00 00 00</v>
      </c>
      <c r="J19" s="138" cm="1">
        <f t="array" ref="J19">_xll.PE.deg.FromString(H19)</f>
        <v>0</v>
      </c>
      <c r="K19" s="140" cm="1">
        <f t="array" ref="K19">_xll.PE.deg.FromString(I19)</f>
        <v>0</v>
      </c>
      <c r="L19" s="85">
        <f t="shared" si="0"/>
        <v>0</v>
      </c>
      <c r="M19" s="81">
        <f t="shared" si="0"/>
        <v>0</v>
      </c>
      <c r="N19" s="39">
        <f>SQRT((D20-D19)^2+(E20-E19)^2)</f>
        <v>4000.0000000000232</v>
      </c>
      <c r="O19" s="89">
        <f>IF(DEGREES(ATAN2(E20-E19,D20-D19))&lt;0,DEGREES(ATAN2(E20-E19,D20-D19))+360,(DEGREES(ATAN2(E20-E19,D20-D19))))</f>
        <v>79.27883472821982</v>
      </c>
      <c r="P19" s="89"/>
      <c r="Q19" s="44" t="str">
        <f t="shared" si="1"/>
        <v>.00000000,.00000000</v>
      </c>
      <c r="R19" s="98" t="str">
        <f t="shared" si="2"/>
        <v>&lt;trkpt lon=".00000000" lat=".00000000"&gt;&lt;name&gt;S04&lt;/name&gt;&lt;/trkpt&gt;</v>
      </c>
    </row>
    <row r="20" spans="1:18" ht="15" thickBot="1" x14ac:dyDescent="0.4">
      <c r="A20" s="24" t="str">
        <f>C15</f>
        <v>A_001</v>
      </c>
      <c r="B20" s="102">
        <v>5</v>
      </c>
      <c r="C20" s="12" t="s">
        <v>5</v>
      </c>
      <c r="D20" s="187">
        <f>D19+$D$8*SIN(RADIANS(O18))</f>
        <v>4416366.6765742842</v>
      </c>
      <c r="E20" s="188">
        <f>E19+$D$8*COS(RADIANS(O18))</f>
        <v>4517571.1183339683</v>
      </c>
      <c r="F20" s="135"/>
      <c r="G20" s="137"/>
      <c r="H20" s="135" t="str" cm="1">
        <f t="array" ref="H20">_xll.PE.deg.AsString(F20)</f>
        <v>00 00 00</v>
      </c>
      <c r="I20" s="136" t="str" cm="1">
        <f t="array" ref="I20">_xll.PE.deg.AsString(G20)</f>
        <v>00 00 00</v>
      </c>
      <c r="J20" s="135" cm="1">
        <f t="array" ref="J20">_xll.PE.deg.FromString(H20)</f>
        <v>0</v>
      </c>
      <c r="K20" s="137" cm="1">
        <f t="array" ref="K20">_xll.PE.deg.FromString(I20)</f>
        <v>0</v>
      </c>
      <c r="L20" s="84">
        <f t="shared" si="0"/>
        <v>0</v>
      </c>
      <c r="M20" s="80">
        <f t="shared" si="0"/>
        <v>0</v>
      </c>
      <c r="N20" s="39">
        <f>SQRT((D21-D20)^2+(E21-E20)^2)</f>
        <v>2999.9999999995161</v>
      </c>
      <c r="O20" s="89">
        <f>IF(DEGREES(ATAN2(E21-E20,D21-D20))&lt;0,DEGREES(ATAN2(E21-E20,D21-D20))+360,(DEGREES(ATAN2(E21-E20,D21-D20))))</f>
        <v>79.278834728222535</v>
      </c>
      <c r="P20" s="5">
        <v>4326</v>
      </c>
      <c r="Q20" s="44" t="str">
        <f t="shared" si="1"/>
        <v>.00000000,.00000000</v>
      </c>
      <c r="R20" s="98" t="str">
        <f t="shared" si="2"/>
        <v>&lt;trkpt lon=".00000000" lat=".00000000"&gt;&lt;name&gt;S05&lt;/name&gt;&lt;/trkpt&gt;</v>
      </c>
    </row>
    <row r="21" spans="1:18" ht="15" thickBot="1" x14ac:dyDescent="0.4">
      <c r="A21" s="24"/>
      <c r="B21" s="103">
        <v>6</v>
      </c>
      <c r="C21" s="13" t="s">
        <v>13</v>
      </c>
      <c r="D21" s="191">
        <f>D20+$D$7*SIN(RADIANS(O19))</f>
        <v>4419314.3090049969</v>
      </c>
      <c r="E21" s="192">
        <f>E20+$D$7*COS(RADIANS(O19))</f>
        <v>4518129.2070844444</v>
      </c>
      <c r="F21" s="141"/>
      <c r="G21" s="143"/>
      <c r="H21" s="141" t="str" cm="1">
        <f t="array" ref="H21">_xll.PE.deg.AsString(F21)</f>
        <v>00 00 00</v>
      </c>
      <c r="I21" s="142" t="str" cm="1">
        <f t="array" ref="I21">_xll.PE.deg.AsString(G21)</f>
        <v>00 00 00</v>
      </c>
      <c r="J21" s="141" cm="1">
        <f t="array" ref="J21">_xll.PE.deg.FromString(H21)</f>
        <v>0</v>
      </c>
      <c r="K21" s="143" cm="1">
        <f t="array" ref="K21">_xll.PE.deg.FromString(I21)</f>
        <v>0</v>
      </c>
      <c r="L21" s="86">
        <f t="shared" si="0"/>
        <v>0</v>
      </c>
      <c r="M21" s="82">
        <f t="shared" si="0"/>
        <v>0</v>
      </c>
      <c r="N21" s="34">
        <f>SUM(N17:N19)</f>
        <v>29757.292168374304</v>
      </c>
      <c r="O21" s="36" t="s">
        <v>14</v>
      </c>
      <c r="P21" s="90" cm="1">
        <f t="array" ref="P21">_xll.PE.crs.GeodesicDistance($D$5,J17:K20)</f>
        <v>0</v>
      </c>
      <c r="Q21" s="44" t="str">
        <f t="shared" si="1"/>
        <v>.00000000,.00000000</v>
      </c>
      <c r="R21" s="98" t="str">
        <f t="shared" si="2"/>
        <v>&lt;trkpt lon=".00000000" lat=".00000000"&gt;&lt;name&gt;S06&lt;/name&gt;&lt;/trkpt&gt;</v>
      </c>
    </row>
    <row r="22" spans="1:18" ht="15" thickBot="1" x14ac:dyDescent="0.4">
      <c r="A22" s="24"/>
      <c r="B22" s="104"/>
      <c r="C22" s="22"/>
      <c r="D22" s="31"/>
      <c r="E22" s="31"/>
      <c r="F22" s="42"/>
      <c r="G22" s="42"/>
      <c r="H22" s="42"/>
      <c r="I22" s="42"/>
      <c r="J22" s="42"/>
      <c r="K22" s="42"/>
      <c r="L22" s="42"/>
      <c r="M22" s="42"/>
      <c r="N22" s="25">
        <f>N18</f>
        <v>21757.292168374261</v>
      </c>
      <c r="O22" s="106" t="s">
        <v>12</v>
      </c>
      <c r="P22" s="91"/>
      <c r="Q22" s="44" t="s">
        <v>21</v>
      </c>
      <c r="R22" s="98" t="str">
        <f>CONCATENATE("&lt;/trkseg&gt;&lt;/trk&gt;")</f>
        <v>&lt;/trkseg&gt;&lt;/trk&gt;</v>
      </c>
    </row>
    <row r="23" spans="1:18" ht="15" thickBot="1" x14ac:dyDescent="0.4">
      <c r="A23" s="24"/>
      <c r="B23" s="104"/>
      <c r="C23" s="11" t="s">
        <v>31</v>
      </c>
      <c r="D23" s="32"/>
      <c r="E23" s="33"/>
      <c r="F23" s="40"/>
      <c r="G23" s="40"/>
      <c r="H23" s="40"/>
      <c r="I23" s="40"/>
      <c r="J23" s="40"/>
      <c r="K23" s="40"/>
      <c r="L23" s="40"/>
      <c r="M23" s="40"/>
      <c r="N23" s="16"/>
      <c r="O23" s="109"/>
      <c r="P23" s="92"/>
      <c r="Q23" s="44" t="str">
        <f>CONCATENATE("&lt;Placemark&gt;&lt;name&gt;",A29,"&lt;/name&gt;&lt;styleUrl&gt;#track001&lt;/styleUrl&gt;&lt;MultiGeometry&gt;&lt;LineString&gt;&lt;coordinates&gt;")</f>
        <v>&lt;Placemark&gt;&lt;name&gt;A_002&lt;/name&gt;&lt;styleUrl&gt;#track001&lt;/styleUrl&gt;&lt;MultiGeometry&gt;&lt;LineString&gt;&lt;coordinates&gt;</v>
      </c>
      <c r="R23" s="98" t="str">
        <f>CONCATENATE("&lt;trk&gt;&lt;name&gt;",A29,"&lt;/name&gt;&lt;trkseg&gt;")</f>
        <v>&lt;trk&gt;&lt;name&gt;A_002&lt;/name&gt;&lt;trkseg&gt;</v>
      </c>
    </row>
    <row r="24" spans="1:18" x14ac:dyDescent="0.35">
      <c r="A24" s="24"/>
      <c r="B24" s="101">
        <v>1</v>
      </c>
      <c r="C24" s="12" t="s">
        <v>13</v>
      </c>
      <c r="D24" s="185">
        <f>D25-$D$7*SIN(RADIANS(O25))</f>
        <v>4387562.2711180365</v>
      </c>
      <c r="E24" s="186">
        <f>E25-$D$7*COS(RADIANS(O25))</f>
        <v>4509248.2137425337</v>
      </c>
      <c r="F24" s="132" cm="1">
        <f t="array" ref="F24:G24">_xll.PE.trf.Transform($D$4,$D$5,D24:D30,E24:E30)</f>
        <v>19.667912708680866</v>
      </c>
      <c r="G24" s="134">
        <v>40.7090588923271</v>
      </c>
      <c r="H24" s="132" t="str" cm="1">
        <f t="array" ref="H24">_xll.PE.deg.AsString(F24)</f>
        <v>19 40 04</v>
      </c>
      <c r="I24" s="133" t="str" cm="1">
        <f t="array" ref="I24">_xll.PE.deg.AsString(G24)</f>
        <v>40 42 33</v>
      </c>
      <c r="J24" s="132" cm="1">
        <f t="array" ref="J24">_xll.PE.deg.FromString(H24)</f>
        <v>19.667777777777779</v>
      </c>
      <c r="K24" s="134" cm="1">
        <f t="array" ref="K24">_xll.PE.deg.FromString(I24)</f>
        <v>40.709166666666668</v>
      </c>
      <c r="L24" s="71">
        <f t="shared" ref="L24:M30" si="3">F24-J24</f>
        <v>1.3493090308713818E-4</v>
      </c>
      <c r="M24" s="72">
        <f t="shared" si="3"/>
        <v>-1.0777433956832283E-4</v>
      </c>
      <c r="N24" s="8">
        <f t="shared" ref="N24:N29" si="4">SQRT((D25-D24)^2+(E25-E24)^2)</f>
        <v>3000.0000000000473</v>
      </c>
      <c r="O24" s="108">
        <f t="shared" ref="O24:O29" si="5">IF(DEGREES(ATAN2(E25-E24,D25-D24))&lt;0,DEGREES(ATAN2(E25-E24,D25-D24))+360,(DEGREES(ATAN2(E25-E24,D25-D24))))</f>
        <v>76.05623395495347</v>
      </c>
      <c r="P24" s="89"/>
      <c r="Q24" s="44" t="str">
        <f t="shared" ref="Q24:Q30" si="6">CONCATENATE(TEXT(F24,"#.00000000"),",",TEXT(G24,"#.00000000"))</f>
        <v>19.66791271,40.70905889</v>
      </c>
      <c r="R24" s="98" t="str">
        <f t="shared" ref="R24:R30" si="7">CONCATENATE("&lt;trkpt lon=""",TEXT(F24,"#.00000000"),""" lat=""",TEXT(G24,"#.00000000"),"""","&gt;&lt;name&gt;S",TEXT(B24,"00"),"&lt;/name&gt;&lt;/trkpt&gt;")</f>
        <v>&lt;trkpt lon="19.66791271" lat="40.70905889"&gt;&lt;name&gt;S01&lt;/name&gt;&lt;/trkpt&gt;</v>
      </c>
    </row>
    <row r="25" spans="1:18" ht="15" thickBot="1" x14ac:dyDescent="0.4">
      <c r="A25" s="24"/>
      <c r="B25" s="102">
        <v>2</v>
      </c>
      <c r="C25" s="12" t="s">
        <v>5</v>
      </c>
      <c r="D25" s="187">
        <f>D26-$D$8*SIN(RADIANS(O26))</f>
        <v>4390473.8692103066</v>
      </c>
      <c r="E25" s="188">
        <f>E26-$D$8*COS(RADIANS(O26))</f>
        <v>4509971.1221385906</v>
      </c>
      <c r="F25" s="135"/>
      <c r="G25" s="137"/>
      <c r="H25" s="135" t="str" cm="1">
        <f t="array" ref="H25">_xll.PE.deg.AsString(F25)</f>
        <v>00 00 00</v>
      </c>
      <c r="I25" s="136" t="str" cm="1">
        <f t="array" ref="I25">_xll.PE.deg.AsString(G25)</f>
        <v>00 00 00</v>
      </c>
      <c r="J25" s="135" cm="1">
        <f t="array" ref="J25">_xll.PE.deg.FromString(H25)</f>
        <v>0</v>
      </c>
      <c r="K25" s="137" cm="1">
        <f t="array" ref="K25">_xll.PE.deg.FromString(I25)</f>
        <v>0</v>
      </c>
      <c r="L25" s="73">
        <f t="shared" si="3"/>
        <v>0</v>
      </c>
      <c r="M25" s="74">
        <f t="shared" si="3"/>
        <v>0</v>
      </c>
      <c r="N25" s="39">
        <f t="shared" si="4"/>
        <v>4000.0000000001378</v>
      </c>
      <c r="O25" s="89">
        <f t="shared" si="5"/>
        <v>76.05623395494915</v>
      </c>
      <c r="P25" s="89"/>
      <c r="Q25" s="44" t="str">
        <f t="shared" si="6"/>
        <v>.00000000,.00000000</v>
      </c>
      <c r="R25" s="98" t="str">
        <f t="shared" si="7"/>
        <v>&lt;trkpt lon=".00000000" lat=".00000000"&gt;&lt;name&gt;S02&lt;/name&gt;&lt;/trkpt&gt;</v>
      </c>
    </row>
    <row r="26" spans="1:18" ht="15" thickBot="1" x14ac:dyDescent="0.4">
      <c r="A26" s="24"/>
      <c r="B26" s="102">
        <v>3</v>
      </c>
      <c r="C26" s="12" t="s">
        <v>9</v>
      </c>
      <c r="D26" s="189">
        <v>4394356</v>
      </c>
      <c r="E26" s="190">
        <v>4510935</v>
      </c>
      <c r="F26" s="138"/>
      <c r="G26" s="140"/>
      <c r="H26" s="138" t="str" cm="1">
        <f t="array" ref="H26">_xll.PE.deg.AsString(F26)</f>
        <v>00 00 00</v>
      </c>
      <c r="I26" s="139" t="str" cm="1">
        <f t="array" ref="I26">_xll.PE.deg.AsString(G26)</f>
        <v>00 00 00</v>
      </c>
      <c r="J26" s="138" cm="1">
        <f t="array" ref="J26">_xll.PE.deg.FromString(H26)</f>
        <v>0</v>
      </c>
      <c r="K26" s="140" cm="1">
        <f t="array" ref="K26">_xll.PE.deg.FromString(I26)</f>
        <v>0</v>
      </c>
      <c r="L26" s="75">
        <f t="shared" si="3"/>
        <v>0</v>
      </c>
      <c r="M26" s="76">
        <f t="shared" si="3"/>
        <v>0</v>
      </c>
      <c r="N26" s="10">
        <f t="shared" si="4"/>
        <v>9316.5330998177651</v>
      </c>
      <c r="O26" s="93">
        <f t="shared" si="5"/>
        <v>76.056233954952916</v>
      </c>
      <c r="P26" s="21">
        <v>2462</v>
      </c>
      <c r="Q26" s="44" t="str">
        <f t="shared" si="6"/>
        <v>.00000000,.00000000</v>
      </c>
      <c r="R26" s="98" t="str">
        <f t="shared" si="7"/>
        <v>&lt;trkpt lon=".00000000" lat=".00000000"&gt;&lt;name&gt;S03&lt;/name&gt;&lt;/trkpt&gt;</v>
      </c>
    </row>
    <row r="27" spans="1:18" ht="15" thickBot="1" x14ac:dyDescent="0.4">
      <c r="A27" s="24"/>
      <c r="B27" s="102">
        <v>4</v>
      </c>
      <c r="C27" s="12" t="s">
        <v>10</v>
      </c>
      <c r="D27" s="189">
        <v>4403398</v>
      </c>
      <c r="E27" s="190">
        <v>4513180</v>
      </c>
      <c r="F27" s="138"/>
      <c r="G27" s="140"/>
      <c r="H27" s="138" t="str" cm="1">
        <f t="array" ref="H27">_xll.PE.deg.AsString(F27)</f>
        <v>00 00 00</v>
      </c>
      <c r="I27" s="139" t="str" cm="1">
        <f t="array" ref="I27">_xll.PE.deg.AsString(G27)</f>
        <v>00 00 00</v>
      </c>
      <c r="J27" s="138" cm="1">
        <f t="array" ref="J27">_xll.PE.deg.FromString(H27)</f>
        <v>0</v>
      </c>
      <c r="K27" s="140" cm="1">
        <f t="array" ref="K27">_xll.PE.deg.FromString(I27)</f>
        <v>0</v>
      </c>
      <c r="L27" s="75">
        <f t="shared" si="3"/>
        <v>0</v>
      </c>
      <c r="M27" s="76">
        <f t="shared" si="3"/>
        <v>0</v>
      </c>
      <c r="N27" s="10">
        <f t="shared" si="4"/>
        <v>21440.46289145829</v>
      </c>
      <c r="O27" s="93">
        <f t="shared" si="5"/>
        <v>74.970119111671551</v>
      </c>
      <c r="P27" s="90" cm="1">
        <f t="array" ref="P27">_xll.PE.crs.GeodesicDistance($D$4,D25:E29)</f>
        <v>38753.012950642144</v>
      </c>
      <c r="Q27" s="44" t="str">
        <f t="shared" si="6"/>
        <v>.00000000,.00000000</v>
      </c>
      <c r="R27" s="98" t="str">
        <f t="shared" si="7"/>
        <v>&lt;trkpt lon=".00000000" lat=".00000000"&gt;&lt;name&gt;S04&lt;/name&gt;&lt;/trkpt&gt;</v>
      </c>
    </row>
    <row r="28" spans="1:18" ht="15" thickBot="1" x14ac:dyDescent="0.4">
      <c r="A28" s="24"/>
      <c r="B28" s="102">
        <v>5</v>
      </c>
      <c r="C28" s="12" t="s">
        <v>7</v>
      </c>
      <c r="D28" s="189">
        <v>4424105</v>
      </c>
      <c r="E28" s="190">
        <v>4518740</v>
      </c>
      <c r="F28" s="138"/>
      <c r="G28" s="140"/>
      <c r="H28" s="138" t="str" cm="1">
        <f t="array" ref="H28">_xll.PE.deg.AsString(F28)</f>
        <v>00 00 00</v>
      </c>
      <c r="I28" s="139" t="str" cm="1">
        <f t="array" ref="I28">_xll.PE.deg.AsString(G28)</f>
        <v>00 00 00</v>
      </c>
      <c r="J28" s="138" cm="1">
        <f t="array" ref="J28">_xll.PE.deg.FromString(H28)</f>
        <v>0</v>
      </c>
      <c r="K28" s="140" cm="1">
        <f t="array" ref="K28">_xll.PE.deg.FromString(I28)</f>
        <v>0</v>
      </c>
      <c r="L28" s="75">
        <f t="shared" si="3"/>
        <v>0</v>
      </c>
      <c r="M28" s="76">
        <f t="shared" si="3"/>
        <v>0</v>
      </c>
      <c r="N28" s="39">
        <f t="shared" si="4"/>
        <v>3999.9999999994898</v>
      </c>
      <c r="O28" s="89">
        <f t="shared" si="5"/>
        <v>74.970119111673426</v>
      </c>
      <c r="P28" s="89"/>
      <c r="Q28" s="44" t="str">
        <f t="shared" si="6"/>
        <v>.00000000,.00000000</v>
      </c>
      <c r="R28" s="98" t="str">
        <f t="shared" si="7"/>
        <v>&lt;trkpt lon=".00000000" lat=".00000000"&gt;&lt;name&gt;S05&lt;/name&gt;&lt;/trkpt&gt;</v>
      </c>
    </row>
    <row r="29" spans="1:18" ht="15" thickBot="1" x14ac:dyDescent="0.4">
      <c r="A29" s="24" t="str">
        <f>C23</f>
        <v>A_002</v>
      </c>
      <c r="B29" s="102">
        <v>6</v>
      </c>
      <c r="C29" s="12" t="s">
        <v>5</v>
      </c>
      <c r="D29" s="187">
        <f>D28+$D$8*SIN(RADIANS(O27))</f>
        <v>4427968.1628626352</v>
      </c>
      <c r="E29" s="188">
        <f>E28+$D$8*COS(RADIANS(O27))</f>
        <v>4519777.2910376322</v>
      </c>
      <c r="F29" s="135"/>
      <c r="G29" s="137"/>
      <c r="H29" s="135" t="str" cm="1">
        <f t="array" ref="H29">_xll.PE.deg.AsString(F29)</f>
        <v>00 00 00</v>
      </c>
      <c r="I29" s="136" t="str" cm="1">
        <f t="array" ref="I29">_xll.PE.deg.AsString(G29)</f>
        <v>00 00 00</v>
      </c>
      <c r="J29" s="135" cm="1">
        <f t="array" ref="J29">_xll.PE.deg.FromString(H29)</f>
        <v>0</v>
      </c>
      <c r="K29" s="137" cm="1">
        <f t="array" ref="K29">_xll.PE.deg.FromString(I29)</f>
        <v>0</v>
      </c>
      <c r="L29" s="73">
        <f t="shared" si="3"/>
        <v>0</v>
      </c>
      <c r="M29" s="74">
        <f t="shared" si="3"/>
        <v>0</v>
      </c>
      <c r="N29" s="39">
        <f t="shared" si="4"/>
        <v>3000.0000000004125</v>
      </c>
      <c r="O29" s="89">
        <f t="shared" si="5"/>
        <v>74.970119111668296</v>
      </c>
      <c r="P29" s="5">
        <v>4326</v>
      </c>
      <c r="Q29" s="44" t="str">
        <f t="shared" si="6"/>
        <v>.00000000,.00000000</v>
      </c>
      <c r="R29" s="98" t="str">
        <f t="shared" si="7"/>
        <v>&lt;trkpt lon=".00000000" lat=".00000000"&gt;&lt;name&gt;S06&lt;/name&gt;&lt;/trkpt&gt;</v>
      </c>
    </row>
    <row r="30" spans="1:18" ht="15" thickBot="1" x14ac:dyDescent="0.4">
      <c r="A30" s="24"/>
      <c r="B30" s="103">
        <v>7</v>
      </c>
      <c r="C30" s="13" t="s">
        <v>13</v>
      </c>
      <c r="D30" s="191">
        <f>D29+$D$7*SIN(RADIANS(O28))</f>
        <v>4430865.5350096123</v>
      </c>
      <c r="E30" s="192">
        <f>E29+$D$7*COS(RADIANS(O28))</f>
        <v>4520555.2593158567</v>
      </c>
      <c r="F30" s="141"/>
      <c r="G30" s="143"/>
      <c r="H30" s="141" t="str" cm="1">
        <f t="array" ref="H30">_xll.PE.deg.AsString(F30)</f>
        <v>00 00 00</v>
      </c>
      <c r="I30" s="142" t="str" cm="1">
        <f t="array" ref="I30">_xll.PE.deg.AsString(G30)</f>
        <v>00 00 00</v>
      </c>
      <c r="J30" s="141" cm="1">
        <f t="array" ref="J30">_xll.PE.deg.FromString(H30)</f>
        <v>0</v>
      </c>
      <c r="K30" s="143" cm="1">
        <f t="array" ref="K30">_xll.PE.deg.FromString(I30)</f>
        <v>0</v>
      </c>
      <c r="L30" s="77">
        <f t="shared" si="3"/>
        <v>0</v>
      </c>
      <c r="M30" s="78">
        <f t="shared" si="3"/>
        <v>0</v>
      </c>
      <c r="N30" s="34">
        <f>SUM(N25:N28)</f>
        <v>38756.995991275682</v>
      </c>
      <c r="O30" s="5" t="s">
        <v>11</v>
      </c>
      <c r="P30" s="90" cm="1">
        <f t="array" ref="P30">_xll.PE.crs.GeodesicDistance($D$5,J25:K29)</f>
        <v>0</v>
      </c>
      <c r="Q30" s="44" t="str">
        <f t="shared" si="6"/>
        <v>.00000000,.00000000</v>
      </c>
      <c r="R30" s="98" t="str">
        <f t="shared" si="7"/>
        <v>&lt;trkpt lon=".00000000" lat=".00000000"&gt;&lt;name&gt;S07&lt;/name&gt;&lt;/trkpt&gt;</v>
      </c>
    </row>
    <row r="31" spans="1:18" ht="15" thickBot="1" x14ac:dyDescent="0.4">
      <c r="A31" s="24"/>
      <c r="B31" s="104"/>
      <c r="C31" s="15"/>
      <c r="D31" s="193"/>
      <c r="E31" s="193"/>
      <c r="F31" s="42"/>
      <c r="G31" s="42"/>
      <c r="H31" s="42"/>
      <c r="I31" s="42"/>
      <c r="J31" s="42"/>
      <c r="K31" s="42"/>
      <c r="L31" s="42"/>
      <c r="M31" s="42"/>
      <c r="N31" s="25">
        <f>N26+N27</f>
        <v>30756.995991276053</v>
      </c>
      <c r="O31" s="106" t="s">
        <v>12</v>
      </c>
      <c r="P31" s="91"/>
      <c r="Q31" s="44" t="s">
        <v>21</v>
      </c>
      <c r="R31" s="98" t="str">
        <f>CONCATENATE("&lt;/trkseg&gt;&lt;/trk&gt;")</f>
        <v>&lt;/trkseg&gt;&lt;/trk&gt;</v>
      </c>
    </row>
    <row r="32" spans="1:18" ht="15" thickBot="1" x14ac:dyDescent="0.4">
      <c r="A32" s="24"/>
      <c r="B32" s="104"/>
      <c r="C32" s="11" t="s">
        <v>46</v>
      </c>
      <c r="D32" s="194"/>
      <c r="E32" s="194"/>
      <c r="F32" s="40"/>
      <c r="G32" s="40"/>
      <c r="H32" s="40"/>
      <c r="I32" s="40"/>
      <c r="J32" s="40"/>
      <c r="K32" s="40"/>
      <c r="L32" s="40"/>
      <c r="M32" s="40"/>
      <c r="N32" s="16"/>
      <c r="O32" s="109"/>
      <c r="P32" s="92"/>
      <c r="Q32" s="44" t="str">
        <f>CONCATENATE("&lt;Placemark&gt;&lt;name&gt;",A38,"&lt;/name&gt;&lt;styleUrl&gt;#track001&lt;/styleUrl&gt;&lt;MultiGeometry&gt;&lt;LineString&gt;&lt;coordinates&gt;")</f>
        <v>&lt;Placemark&gt;&lt;name&gt;A_003&lt;/name&gt;&lt;styleUrl&gt;#track001&lt;/styleUrl&gt;&lt;MultiGeometry&gt;&lt;LineString&gt;&lt;coordinates&gt;</v>
      </c>
      <c r="R32" s="98" t="str">
        <f>CONCATENATE("&lt;trk&gt;&lt;name&gt;",A38,"&lt;/name&gt;&lt;trkseg&gt;")</f>
        <v>&lt;trk&gt;&lt;name&gt;A_003&lt;/name&gt;&lt;trkseg&gt;</v>
      </c>
    </row>
    <row r="33" spans="1:18" x14ac:dyDescent="0.35">
      <c r="A33" s="24"/>
      <c r="B33" s="101">
        <v>1</v>
      </c>
      <c r="C33" s="12" t="s">
        <v>13</v>
      </c>
      <c r="D33" s="185">
        <f>D34-$D$7*SIN(RADIANS(O34))</f>
        <v>4390607.5559663102</v>
      </c>
      <c r="E33" s="186">
        <f>E34-$D$7*COS(RADIANS(O34))</f>
        <v>4525483.832561858</v>
      </c>
      <c r="F33" s="132" cm="1">
        <f t="array" ref="F33:G33">_xll.PE.trf.Transform($D$4,$D$5,D33:D39,E33:E39)</f>
        <v>19.701095294756342</v>
      </c>
      <c r="G33" s="134">
        <v>40.855631732298527</v>
      </c>
      <c r="H33" s="132" t="str" cm="1">
        <f t="array" ref="H33">_xll.PE.deg.AsString(F33)</f>
        <v>19 42 04</v>
      </c>
      <c r="I33" s="133" t="str" cm="1">
        <f t="array" ref="I33">_xll.PE.deg.AsString(G33)</f>
        <v>40 51 20</v>
      </c>
      <c r="J33" s="132" cm="1">
        <f t="array" ref="J33">_xll.PE.deg.FromString(H33)</f>
        <v>19.701111111111111</v>
      </c>
      <c r="K33" s="134" cm="1">
        <f t="array" ref="K33">_xll.PE.deg.FromString(I33)</f>
        <v>40.855555555555554</v>
      </c>
      <c r="L33" s="71">
        <f t="shared" ref="L33:M39" si="8">F33-J33</f>
        <v>-1.5816354768105612E-5</v>
      </c>
      <c r="M33" s="72">
        <f t="shared" si="8"/>
        <v>7.6176742972222655E-5</v>
      </c>
      <c r="N33" s="8">
        <f t="shared" ref="N33:N38" si="9">SQRT((D34-D33)^2+(E34-E33)^2)</f>
        <v>3000.0000000001414</v>
      </c>
      <c r="O33" s="108">
        <f t="shared" ref="O33:O38" si="10">IF(DEGREES(ATAN2(E34-E33,D34-D33))&lt;0,DEGREES(ATAN2(E34-E33,D34-D33))+360,(DEGREES(ATAN2(E34-E33,D34-D33))))</f>
        <v>115.42001039005864</v>
      </c>
      <c r="P33" s="89"/>
      <c r="Q33" s="44" t="str">
        <f t="shared" ref="Q33:Q39" si="11">CONCATENATE(TEXT(F33,"#.00000000"),",",TEXT(G33,"#.00000000"))</f>
        <v>19.70109529,40.85563173</v>
      </c>
      <c r="R33" s="98" t="str">
        <f t="shared" ref="R33:R39" si="12">CONCATENATE("&lt;trkpt lon=""",TEXT(F33,"#.00000000"),""" lat=""",TEXT(G33,"#.00000000"),"""","&gt;&lt;name&gt;S",TEXT(B33,"00"),"&lt;/name&gt;&lt;/trkpt&gt;")</f>
        <v>&lt;trkpt lon="19.70109529" lat="40.85563173"&gt;&lt;name&gt;S01&lt;/name&gt;&lt;/trkpt&gt;</v>
      </c>
    </row>
    <row r="34" spans="1:18" ht="15" thickBot="1" x14ac:dyDescent="0.4">
      <c r="A34" s="24"/>
      <c r="B34" s="102">
        <v>2</v>
      </c>
      <c r="C34" s="12" t="s">
        <v>5</v>
      </c>
      <c r="D34" s="187">
        <f>D35-$D$8*SIN(RADIANS(O35))</f>
        <v>4393317.1122664632</v>
      </c>
      <c r="E34" s="188">
        <f>E35-$D$8*COS(RADIANS(O35))</f>
        <v>4524196.0807782048</v>
      </c>
      <c r="F34" s="135"/>
      <c r="G34" s="137"/>
      <c r="H34" s="135" t="str" cm="1">
        <f t="array" ref="H34">_xll.PE.deg.AsString(F34)</f>
        <v>00 00 00</v>
      </c>
      <c r="I34" s="136" t="str" cm="1">
        <f t="array" ref="I34">_xll.PE.deg.AsString(G34)</f>
        <v>00 00 00</v>
      </c>
      <c r="J34" s="135" cm="1">
        <f t="array" ref="J34">_xll.PE.deg.FromString(H34)</f>
        <v>0</v>
      </c>
      <c r="K34" s="137" cm="1">
        <f t="array" ref="K34">_xll.PE.deg.FromString(I34)</f>
        <v>0</v>
      </c>
      <c r="L34" s="73">
        <f t="shared" si="8"/>
        <v>0</v>
      </c>
      <c r="M34" s="74">
        <f t="shared" si="8"/>
        <v>0</v>
      </c>
      <c r="N34" s="39">
        <f t="shared" si="9"/>
        <v>4000.0000000001746</v>
      </c>
      <c r="O34" s="89">
        <f t="shared" si="10"/>
        <v>115.42001039006858</v>
      </c>
      <c r="P34" s="89"/>
      <c r="Q34" s="44" t="str">
        <f t="shared" si="11"/>
        <v>.00000000,.00000000</v>
      </c>
      <c r="R34" s="98" t="str">
        <f t="shared" si="12"/>
        <v>&lt;trkpt lon=".00000000" lat=".00000000"&gt;&lt;name&gt;S02&lt;/name&gt;&lt;/trkpt&gt;</v>
      </c>
    </row>
    <row r="35" spans="1:18" ht="15" thickBot="1" x14ac:dyDescent="0.4">
      <c r="A35" s="24"/>
      <c r="B35" s="102">
        <v>3</v>
      </c>
      <c r="C35" s="12" t="s">
        <v>9</v>
      </c>
      <c r="D35" s="189">
        <v>4396929.8540000003</v>
      </c>
      <c r="E35" s="195">
        <v>4522479.0784</v>
      </c>
      <c r="F35" s="138"/>
      <c r="G35" s="140"/>
      <c r="H35" s="138" t="str" cm="1">
        <f t="array" ref="H35">_xll.PE.deg.AsString(F35)</f>
        <v>00 00 00</v>
      </c>
      <c r="I35" s="139" t="str" cm="1">
        <f t="array" ref="I35">_xll.PE.deg.AsString(G35)</f>
        <v>00 00 00</v>
      </c>
      <c r="J35" s="138" cm="1">
        <f t="array" ref="J35">_xll.PE.deg.FromString(H35)</f>
        <v>0</v>
      </c>
      <c r="K35" s="140" cm="1">
        <f t="array" ref="K35">_xll.PE.deg.FromString(I35)</f>
        <v>0</v>
      </c>
      <c r="L35" s="75">
        <f t="shared" si="8"/>
        <v>0</v>
      </c>
      <c r="M35" s="76">
        <f t="shared" si="8"/>
        <v>0</v>
      </c>
      <c r="N35" s="10">
        <f t="shared" si="9"/>
        <v>10746.801422194574</v>
      </c>
      <c r="O35" s="93">
        <f t="shared" si="10"/>
        <v>115.42001039006327</v>
      </c>
      <c r="P35" s="21">
        <v>2462</v>
      </c>
      <c r="Q35" s="44" t="str">
        <f t="shared" si="11"/>
        <v>.00000000,.00000000</v>
      </c>
      <c r="R35" s="98" t="str">
        <f t="shared" si="12"/>
        <v>&lt;trkpt lon=".00000000" lat=".00000000"&gt;&lt;name&gt;S03&lt;/name&gt;&lt;/trkpt&gt;</v>
      </c>
    </row>
    <row r="36" spans="1:18" ht="15" thickBot="1" x14ac:dyDescent="0.4">
      <c r="A36" s="24"/>
      <c r="B36" s="102">
        <v>4</v>
      </c>
      <c r="C36" s="12" t="s">
        <v>10</v>
      </c>
      <c r="D36" s="189">
        <v>4406636.2084999997</v>
      </c>
      <c r="E36" s="195">
        <v>4517866.0075000003</v>
      </c>
      <c r="F36" s="138"/>
      <c r="G36" s="140"/>
      <c r="H36" s="138" t="str" cm="1">
        <f t="array" ref="H36">_xll.PE.deg.AsString(F36)</f>
        <v>00 00 00</v>
      </c>
      <c r="I36" s="139" t="str" cm="1">
        <f t="array" ref="I36">_xll.PE.deg.AsString(G36)</f>
        <v>00 00 00</v>
      </c>
      <c r="J36" s="138" cm="1">
        <f t="array" ref="J36">_xll.PE.deg.FromString(H36)</f>
        <v>0</v>
      </c>
      <c r="K36" s="140" cm="1">
        <f t="array" ref="K36">_xll.PE.deg.FromString(I36)</f>
        <v>0</v>
      </c>
      <c r="L36" s="75">
        <f t="shared" si="8"/>
        <v>0</v>
      </c>
      <c r="M36" s="76">
        <f t="shared" si="8"/>
        <v>0</v>
      </c>
      <c r="N36" s="10">
        <f t="shared" si="9"/>
        <v>6938.6067606873576</v>
      </c>
      <c r="O36" s="93">
        <f t="shared" si="10"/>
        <v>117.43448926212268</v>
      </c>
      <c r="P36" s="90" cm="1">
        <f t="array" ref="P36">_xll.PE.crs.GeodesicDistance($D$4,D34:E38)</f>
        <v>25682.535382420487</v>
      </c>
      <c r="Q36" s="44" t="str">
        <f t="shared" si="11"/>
        <v>.00000000,.00000000</v>
      </c>
      <c r="R36" s="98" t="str">
        <f t="shared" si="12"/>
        <v>&lt;trkpt lon=".00000000" lat=".00000000"&gt;&lt;name&gt;S04&lt;/name&gt;&lt;/trkpt&gt;</v>
      </c>
    </row>
    <row r="37" spans="1:18" ht="15" thickBot="1" x14ac:dyDescent="0.4">
      <c r="A37" s="24"/>
      <c r="B37" s="102">
        <v>5</v>
      </c>
      <c r="C37" s="12" t="s">
        <v>7</v>
      </c>
      <c r="D37" s="189">
        <v>4412794.4870999996</v>
      </c>
      <c r="E37" s="195">
        <v>4514669.1546</v>
      </c>
      <c r="F37" s="138"/>
      <c r="G37" s="140"/>
      <c r="H37" s="138" t="str" cm="1">
        <f t="array" ref="H37">_xll.PE.deg.AsString(F37)</f>
        <v>00 00 00</v>
      </c>
      <c r="I37" s="139" t="str" cm="1">
        <f t="array" ref="I37">_xll.PE.deg.AsString(G37)</f>
        <v>00 00 00</v>
      </c>
      <c r="J37" s="138" cm="1">
        <f t="array" ref="J37">_xll.PE.deg.FromString(H37)</f>
        <v>0</v>
      </c>
      <c r="K37" s="140" cm="1">
        <f t="array" ref="K37">_xll.PE.deg.FromString(I37)</f>
        <v>0</v>
      </c>
      <c r="L37" s="75">
        <f t="shared" si="8"/>
        <v>0</v>
      </c>
      <c r="M37" s="76">
        <f t="shared" si="8"/>
        <v>0</v>
      </c>
      <c r="N37" s="39">
        <f t="shared" si="9"/>
        <v>4000.0000000002269</v>
      </c>
      <c r="O37" s="89">
        <f t="shared" si="10"/>
        <v>117.43448926211632</v>
      </c>
      <c r="P37" s="89"/>
      <c r="Q37" s="44" t="str">
        <f t="shared" si="11"/>
        <v>.00000000,.00000000</v>
      </c>
      <c r="R37" s="98" t="str">
        <f t="shared" si="12"/>
        <v>&lt;trkpt lon=".00000000" lat=".00000000"&gt;&lt;name&gt;S05&lt;/name&gt;&lt;/trkpt&gt;</v>
      </c>
    </row>
    <row r="38" spans="1:18" ht="15" thickBot="1" x14ac:dyDescent="0.4">
      <c r="A38" s="24" t="str">
        <f>C32</f>
        <v>A_003</v>
      </c>
      <c r="B38" s="102">
        <v>6</v>
      </c>
      <c r="C38" s="12" t="s">
        <v>5</v>
      </c>
      <c r="D38" s="187">
        <f>D37+$D$8*SIN(RADIANS(O36))</f>
        <v>4416344.6399260061</v>
      </c>
      <c r="E38" s="188">
        <f>E37+$D$8*COS(RADIANS(O36))</f>
        <v>4512826.2181084193</v>
      </c>
      <c r="F38" s="135"/>
      <c r="G38" s="137"/>
      <c r="H38" s="135" t="str" cm="1">
        <f t="array" ref="H38">_xll.PE.deg.AsString(F38)</f>
        <v>00 00 00</v>
      </c>
      <c r="I38" s="136" t="str" cm="1">
        <f t="array" ref="I38">_xll.PE.deg.AsString(G38)</f>
        <v>00 00 00</v>
      </c>
      <c r="J38" s="135" cm="1">
        <f t="array" ref="J38">_xll.PE.deg.FromString(H38)</f>
        <v>0</v>
      </c>
      <c r="K38" s="137" cm="1">
        <f t="array" ref="K38">_xll.PE.deg.FromString(I38)</f>
        <v>0</v>
      </c>
      <c r="L38" s="73">
        <f t="shared" si="8"/>
        <v>0</v>
      </c>
      <c r="M38" s="74">
        <f t="shared" si="8"/>
        <v>0</v>
      </c>
      <c r="N38" s="39">
        <f t="shared" si="9"/>
        <v>2999.999999999749</v>
      </c>
      <c r="O38" s="89">
        <f t="shared" si="10"/>
        <v>117.43448926211049</v>
      </c>
      <c r="P38" s="5">
        <v>4326</v>
      </c>
      <c r="Q38" s="44" t="str">
        <f t="shared" si="11"/>
        <v>.00000000,.00000000</v>
      </c>
      <c r="R38" s="98" t="str">
        <f t="shared" si="12"/>
        <v>&lt;trkpt lon=".00000000" lat=".00000000"&gt;&lt;name&gt;S06&lt;/name&gt;&lt;/trkpt&gt;</v>
      </c>
    </row>
    <row r="39" spans="1:18" ht="15" thickBot="1" x14ac:dyDescent="0.4">
      <c r="A39" s="24"/>
      <c r="B39" s="103">
        <v>7</v>
      </c>
      <c r="C39" s="13" t="s">
        <v>13</v>
      </c>
      <c r="D39" s="191">
        <f>D38+$D$7*SIN(RADIANS(O37))</f>
        <v>4419007.2545455107</v>
      </c>
      <c r="E39" s="192">
        <f>E38+$D$7*COS(RADIANS(O37))</f>
        <v>4511444.0157397343</v>
      </c>
      <c r="F39" s="141"/>
      <c r="G39" s="143"/>
      <c r="H39" s="141" t="str" cm="1">
        <f t="array" ref="H39">_xll.PE.deg.AsString(F39)</f>
        <v>00 00 00</v>
      </c>
      <c r="I39" s="142" t="str" cm="1">
        <f t="array" ref="I39">_xll.PE.deg.AsString(G39)</f>
        <v>00 00 00</v>
      </c>
      <c r="J39" s="141" cm="1">
        <f t="array" ref="J39">_xll.PE.deg.FromString(H39)</f>
        <v>0</v>
      </c>
      <c r="K39" s="143" cm="1">
        <f t="array" ref="K39">_xll.PE.deg.FromString(I39)</f>
        <v>0</v>
      </c>
      <c r="L39" s="77">
        <f t="shared" si="8"/>
        <v>0</v>
      </c>
      <c r="M39" s="78">
        <f t="shared" si="8"/>
        <v>0</v>
      </c>
      <c r="N39" s="34">
        <f>SUM(N34:N37)</f>
        <v>25685.408182882333</v>
      </c>
      <c r="O39" s="5" t="s">
        <v>11</v>
      </c>
      <c r="P39" s="90" cm="1">
        <f t="array" ref="P39">_xll.PE.crs.GeodesicDistance($D$5,J34:K38)</f>
        <v>0</v>
      </c>
      <c r="Q39" s="44" t="str">
        <f t="shared" si="11"/>
        <v>.00000000,.00000000</v>
      </c>
      <c r="R39" s="98" t="str">
        <f t="shared" si="12"/>
        <v>&lt;trkpt lon=".00000000" lat=".00000000"&gt;&lt;name&gt;S07&lt;/name&gt;&lt;/trkpt&gt;</v>
      </c>
    </row>
    <row r="40" spans="1:18" ht="15" thickBot="1" x14ac:dyDescent="0.4">
      <c r="A40" s="24"/>
      <c r="B40" s="104"/>
      <c r="C40" s="17"/>
      <c r="D40" s="193"/>
      <c r="E40" s="193"/>
      <c r="F40" s="42"/>
      <c r="G40" s="42"/>
      <c r="H40" s="42"/>
      <c r="I40" s="42"/>
      <c r="J40" s="42"/>
      <c r="K40" s="42"/>
      <c r="L40" s="42"/>
      <c r="M40" s="42"/>
      <c r="N40" s="25">
        <f>N35+N36</f>
        <v>17685.408182881933</v>
      </c>
      <c r="O40" s="106" t="s">
        <v>12</v>
      </c>
      <c r="P40" s="91"/>
      <c r="Q40" s="44" t="s">
        <v>21</v>
      </c>
      <c r="R40" s="98" t="str">
        <f>CONCATENATE("&lt;/trkseg&gt;&lt;/trk&gt;")</f>
        <v>&lt;/trkseg&gt;&lt;/trk&gt;</v>
      </c>
    </row>
    <row r="41" spans="1:18" ht="15" thickBot="1" x14ac:dyDescent="0.4">
      <c r="A41" s="24"/>
      <c r="B41" s="104"/>
      <c r="C41" s="11" t="s">
        <v>32</v>
      </c>
      <c r="D41" s="194"/>
      <c r="E41" s="194"/>
      <c r="F41" s="40"/>
      <c r="G41" s="40"/>
      <c r="H41" s="40"/>
      <c r="I41" s="40"/>
      <c r="J41" s="40"/>
      <c r="K41" s="40"/>
      <c r="L41" s="40"/>
      <c r="M41" s="40"/>
      <c r="N41" s="16"/>
      <c r="O41" s="109"/>
      <c r="P41" s="92"/>
      <c r="Q41" s="44" t="str">
        <f>CONCATENATE("&lt;Placemark&gt;&lt;name&gt;",A46,"&lt;/name&gt;&lt;styleUrl&gt;#track001&lt;/styleUrl&gt;&lt;MultiGeometry&gt;&lt;LineString&gt;&lt;coordinates&gt;")</f>
        <v>&lt;Placemark&gt;&lt;name&gt;B_008&lt;/name&gt;&lt;styleUrl&gt;#track001&lt;/styleUrl&gt;&lt;MultiGeometry&gt;&lt;LineString&gt;&lt;coordinates&gt;</v>
      </c>
      <c r="R41" s="98" t="str">
        <f>CONCATENATE("&lt;trk&gt;&lt;name&gt;",A46,"&lt;/name&gt;&lt;trkseg&gt;")</f>
        <v>&lt;trk&gt;&lt;name&gt;B_008&lt;/name&gt;&lt;trkseg&gt;</v>
      </c>
    </row>
    <row r="42" spans="1:18" ht="15" thickBot="1" x14ac:dyDescent="0.4">
      <c r="A42" s="24"/>
      <c r="B42" s="101">
        <v>1</v>
      </c>
      <c r="C42" s="41" t="s">
        <v>13</v>
      </c>
      <c r="D42" s="185">
        <f>D43-$D$7*SIN(RADIANS(O43))</f>
        <v>4404410.3431884293</v>
      </c>
      <c r="E42" s="186">
        <f>E43-$D$7*COS(RADIANS(O43))</f>
        <v>4466849.4596596127</v>
      </c>
      <c r="F42" s="132" cm="1">
        <f t="array" ref="F42:G42">_xll.PE.trf.Transform($D$4,$D$5,D42:D47,E42:E47)</f>
        <v>19.873652457410753</v>
      </c>
      <c r="G42" s="134">
        <v>40.329447526505525</v>
      </c>
      <c r="H42" s="132" t="str" cm="1">
        <f t="array" ref="H42">_xll.PE.deg.AsString(F42)</f>
        <v>19 52 25</v>
      </c>
      <c r="I42" s="133" t="str" cm="1">
        <f t="array" ref="I42">_xll.PE.deg.AsString(G42)</f>
        <v>40 19 46</v>
      </c>
      <c r="J42" s="132" cm="1">
        <f t="array" ref="J42">_xll.PE.deg.FromString(H42)</f>
        <v>19.87361111111111</v>
      </c>
      <c r="K42" s="134" cm="1">
        <f t="array" ref="K42">_xll.PE.deg.FromString(I42)</f>
        <v>40.329444444444448</v>
      </c>
      <c r="L42" s="83">
        <f t="shared" ref="L42:M47" si="13">F42-J42</f>
        <v>4.1346299642697204E-5</v>
      </c>
      <c r="M42" s="79">
        <f t="shared" si="13"/>
        <v>3.0820610774640045E-6</v>
      </c>
      <c r="N42" s="8">
        <f>SQRT((D43-D42)^2+(E43-E42)^2)</f>
        <v>3000.0000000000514</v>
      </c>
      <c r="O42" s="108">
        <f>IF(DEGREES(ATAN2(E43-E42,D43-D42))&lt;0,DEGREES(ATAN2(E43-E42,D43-D42))+360,(DEGREES(ATAN2(E43-E42,D43-D42))))</f>
        <v>69.569117585364779</v>
      </c>
      <c r="P42" s="89"/>
      <c r="Q42" s="44" t="str">
        <f t="shared" ref="Q42:Q47" si="14">CONCATENATE(TEXT(F42,"#.00000000"),",",TEXT(G42,"#.00000000"))</f>
        <v>19.87365246,40.32944753</v>
      </c>
      <c r="R42" s="98" t="str">
        <f t="shared" ref="R42:R47" si="15">CONCATENATE("&lt;trkpt lon=""",TEXT(F42,"#.00000000"),""" lat=""",TEXT(G42,"#.00000000"),"""","&gt;&lt;name&gt;S",TEXT(B42,"00"),"&lt;/name&gt;&lt;/trkpt&gt;")</f>
        <v>&lt;trkpt lon="19.87365246" lat="40.32944753"&gt;&lt;name&gt;S01&lt;/name&gt;&lt;/trkpt&gt;</v>
      </c>
    </row>
    <row r="43" spans="1:18" ht="15" thickBot="1" x14ac:dyDescent="0.4">
      <c r="A43" s="24"/>
      <c r="B43" s="102">
        <v>2</v>
      </c>
      <c r="C43" s="12" t="s">
        <v>5</v>
      </c>
      <c r="D43" s="187">
        <f>D44-$D$8*SIN(RADIANS(O44))</f>
        <v>4407221.6251076739</v>
      </c>
      <c r="E43" s="188">
        <f>E44-$D$8*COS(RADIANS(O44))</f>
        <v>4467896.6912340643</v>
      </c>
      <c r="F43" s="135"/>
      <c r="G43" s="137"/>
      <c r="H43" s="135" t="str" cm="1">
        <f t="array" ref="H43">_xll.PE.deg.AsString(F43)</f>
        <v>00 00 00</v>
      </c>
      <c r="I43" s="136" t="str" cm="1">
        <f t="array" ref="I43">_xll.PE.deg.AsString(G43)</f>
        <v>00 00 00</v>
      </c>
      <c r="J43" s="135" cm="1">
        <f t="array" ref="J43">_xll.PE.deg.FromString(H43)</f>
        <v>0</v>
      </c>
      <c r="K43" s="137" cm="1">
        <f t="array" ref="K43">_xll.PE.deg.FromString(I43)</f>
        <v>0</v>
      </c>
      <c r="L43" s="84">
        <f t="shared" si="13"/>
        <v>0</v>
      </c>
      <c r="M43" s="80">
        <f t="shared" si="13"/>
        <v>0</v>
      </c>
      <c r="N43" s="39">
        <f>SQRT((D44-D43)^2+(E44-E43)^2)</f>
        <v>4000.0000000001769</v>
      </c>
      <c r="O43" s="89">
        <f>IF(DEGREES(ATAN2(E44-E43,D44-D43))&lt;0,DEGREES(ATAN2(E44-E43,D44-D43))+360,(DEGREES(ATAN2(E44-E43,D44-D43))))</f>
        <v>69.56911758536063</v>
      </c>
      <c r="P43" s="21">
        <v>2462</v>
      </c>
      <c r="Q43" s="44" t="str">
        <f t="shared" si="14"/>
        <v>.00000000,.00000000</v>
      </c>
      <c r="R43" s="98" t="str">
        <f t="shared" si="15"/>
        <v>&lt;trkpt lon=".00000000" lat=".00000000"&gt;&lt;name&gt;S02&lt;/name&gt;&lt;/trkpt&gt;</v>
      </c>
    </row>
    <row r="44" spans="1:18" ht="15" thickBot="1" x14ac:dyDescent="0.4">
      <c r="A44" s="24"/>
      <c r="B44" s="102">
        <v>3</v>
      </c>
      <c r="C44" s="12" t="s">
        <v>8</v>
      </c>
      <c r="D44" s="189">
        <v>4410970.0010000002</v>
      </c>
      <c r="E44" s="195">
        <v>4469293</v>
      </c>
      <c r="F44" s="138"/>
      <c r="G44" s="140"/>
      <c r="H44" s="138" t="str" cm="1">
        <f t="array" ref="H44">_xll.PE.deg.AsString(F44)</f>
        <v>00 00 00</v>
      </c>
      <c r="I44" s="139" t="str" cm="1">
        <f t="array" ref="I44">_xll.PE.deg.AsString(G44)</f>
        <v>00 00 00</v>
      </c>
      <c r="J44" s="138" cm="1">
        <f t="array" ref="J44">_xll.PE.deg.FromString(H44)</f>
        <v>0</v>
      </c>
      <c r="K44" s="140" cm="1">
        <f t="array" ref="K44">_xll.PE.deg.FromString(I44)</f>
        <v>0</v>
      </c>
      <c r="L44" s="85">
        <f t="shared" si="13"/>
        <v>0</v>
      </c>
      <c r="M44" s="81">
        <f t="shared" si="13"/>
        <v>0</v>
      </c>
      <c r="N44" s="10">
        <f>SQRT((D45-D44)^2+(E45-E44)^2)</f>
        <v>28128.445339716698</v>
      </c>
      <c r="O44" s="93">
        <f>IF(DEGREES(ATAN2(E45-E44,D45-D44))&lt;0,DEGREES(ATAN2(E45-E44,D45-D44))+360,(DEGREES(ATAN2(E45-E44,D45-D44))))</f>
        <v>69.569117585353467</v>
      </c>
      <c r="P44" s="90" cm="1">
        <f t="array" ref="P44">_xll.PE.crs.GeodesicDistance($D$4,D43:E46)</f>
        <v>36125.845604931084</v>
      </c>
      <c r="Q44" s="44" t="str">
        <f t="shared" si="14"/>
        <v>.00000000,.00000000</v>
      </c>
      <c r="R44" s="98" t="str">
        <f t="shared" si="15"/>
        <v>&lt;trkpt lon=".00000000" lat=".00000000"&gt;&lt;name&gt;S03&lt;/name&gt;&lt;/trkpt&gt;</v>
      </c>
    </row>
    <row r="45" spans="1:18" ht="15" thickBot="1" x14ac:dyDescent="0.4">
      <c r="A45" s="24"/>
      <c r="B45" s="102">
        <v>4</v>
      </c>
      <c r="C45" s="12" t="s">
        <v>7</v>
      </c>
      <c r="D45" s="189">
        <v>4437328.9976000004</v>
      </c>
      <c r="E45" s="195">
        <v>4479111.9987000003</v>
      </c>
      <c r="F45" s="138"/>
      <c r="G45" s="140"/>
      <c r="H45" s="138" t="str" cm="1">
        <f t="array" ref="H45">_xll.PE.deg.AsString(F45)</f>
        <v>00 00 00</v>
      </c>
      <c r="I45" s="139" t="str" cm="1">
        <f t="array" ref="I45">_xll.PE.deg.AsString(G45)</f>
        <v>00 00 00</v>
      </c>
      <c r="J45" s="138" cm="1">
        <f t="array" ref="J45">_xll.PE.deg.FromString(H45)</f>
        <v>0</v>
      </c>
      <c r="K45" s="140" cm="1">
        <f t="array" ref="K45">_xll.PE.deg.FromString(I45)</f>
        <v>0</v>
      </c>
      <c r="L45" s="85">
        <f t="shared" si="13"/>
        <v>0</v>
      </c>
      <c r="M45" s="81">
        <f t="shared" si="13"/>
        <v>0</v>
      </c>
      <c r="N45" s="39">
        <f>SQRT((D46-D45)^2+(E46-E45)^2)</f>
        <v>4000.0000000001769</v>
      </c>
      <c r="O45" s="89">
        <f>IF(DEGREES(ATAN2(E46-E45,D46-D45))&lt;0,DEGREES(ATAN2(E46-E45,D46-D45))+360,(DEGREES(ATAN2(E46-E45,D46-D45))))</f>
        <v>69.56911758536063</v>
      </c>
      <c r="P45" s="89"/>
      <c r="Q45" s="44" t="str">
        <f t="shared" si="14"/>
        <v>.00000000,.00000000</v>
      </c>
      <c r="R45" s="98" t="str">
        <f t="shared" si="15"/>
        <v>&lt;trkpt lon=".00000000" lat=".00000000"&gt;&lt;name&gt;S04&lt;/name&gt;&lt;/trkpt&gt;</v>
      </c>
    </row>
    <row r="46" spans="1:18" ht="15" thickBot="1" x14ac:dyDescent="0.4">
      <c r="A46" s="24" t="str">
        <f>C41</f>
        <v>B_008</v>
      </c>
      <c r="B46" s="102">
        <v>5</v>
      </c>
      <c r="C46" s="12" t="s">
        <v>5</v>
      </c>
      <c r="D46" s="187">
        <f>D45+$D$8*SIN(RADIANS(O44))</f>
        <v>4441077.3734923266</v>
      </c>
      <c r="E46" s="188">
        <f>E45+$D$8*COS(RADIANS(O44))</f>
        <v>4480508.3074659361</v>
      </c>
      <c r="F46" s="135"/>
      <c r="G46" s="137"/>
      <c r="H46" s="135" t="str" cm="1">
        <f t="array" ref="H46">_xll.PE.deg.AsString(F46)</f>
        <v>00 00 00</v>
      </c>
      <c r="I46" s="136" t="str" cm="1">
        <f t="array" ref="I46">_xll.PE.deg.AsString(G46)</f>
        <v>00 00 00</v>
      </c>
      <c r="J46" s="135" cm="1">
        <f t="array" ref="J46">_xll.PE.deg.FromString(H46)</f>
        <v>0</v>
      </c>
      <c r="K46" s="137" cm="1">
        <f t="array" ref="K46">_xll.PE.deg.FromString(I46)</f>
        <v>0</v>
      </c>
      <c r="L46" s="84">
        <f t="shared" si="13"/>
        <v>0</v>
      </c>
      <c r="M46" s="80">
        <f t="shared" si="13"/>
        <v>0</v>
      </c>
      <c r="N46" s="39">
        <f>SQRT((D47-D46)^2+(E47-E46)^2)</f>
        <v>3000.0000000000514</v>
      </c>
      <c r="O46" s="89">
        <f>IF(DEGREES(ATAN2(E47-E46,D47-D46))&lt;0,DEGREES(ATAN2(E47-E46,D47-D46))+360,(DEGREES(ATAN2(E47-E46,D47-D46))))</f>
        <v>69.569117585364779</v>
      </c>
      <c r="P46" s="5">
        <v>4326</v>
      </c>
      <c r="Q46" s="44" t="str">
        <f t="shared" si="14"/>
        <v>.00000000,.00000000</v>
      </c>
      <c r="R46" s="98" t="str">
        <f t="shared" si="15"/>
        <v>&lt;trkpt lon=".00000000" lat=".00000000"&gt;&lt;name&gt;S05&lt;/name&gt;&lt;/trkpt&gt;</v>
      </c>
    </row>
    <row r="47" spans="1:18" ht="15" thickBot="1" x14ac:dyDescent="0.4">
      <c r="A47" s="24"/>
      <c r="B47" s="103">
        <v>6</v>
      </c>
      <c r="C47" s="13" t="s">
        <v>13</v>
      </c>
      <c r="D47" s="191">
        <f>D46+$D$7*SIN(RADIANS(O45))</f>
        <v>4443888.6554115713</v>
      </c>
      <c r="E47" s="192">
        <f>E46+$D$7*COS(RADIANS(O45))</f>
        <v>4481555.5390403876</v>
      </c>
      <c r="F47" s="141"/>
      <c r="G47" s="143"/>
      <c r="H47" s="141" t="str" cm="1">
        <f t="array" ref="H47">_xll.PE.deg.AsString(F47)</f>
        <v>00 00 00</v>
      </c>
      <c r="I47" s="142" t="str" cm="1">
        <f t="array" ref="I47">_xll.PE.deg.AsString(G47)</f>
        <v>00 00 00</v>
      </c>
      <c r="J47" s="141" cm="1">
        <f t="array" ref="J47">_xll.PE.deg.FromString(H47)</f>
        <v>0</v>
      </c>
      <c r="K47" s="143" cm="1">
        <f t="array" ref="K47">_xll.PE.deg.FromString(I47)</f>
        <v>0</v>
      </c>
      <c r="L47" s="86">
        <f t="shared" si="13"/>
        <v>0</v>
      </c>
      <c r="M47" s="82">
        <f t="shared" si="13"/>
        <v>0</v>
      </c>
      <c r="N47" s="34">
        <f>SUM(N43:N45)</f>
        <v>36128.445339717051</v>
      </c>
      <c r="O47" s="5" t="s">
        <v>11</v>
      </c>
      <c r="P47" s="90" cm="1">
        <f t="array" ref="P47">_xll.PE.crs.GeodesicDistance($D$5,J42:K46)</f>
        <v>4899194.2793742642</v>
      </c>
      <c r="Q47" s="44" t="str">
        <f t="shared" si="14"/>
        <v>.00000000,.00000000</v>
      </c>
      <c r="R47" s="98" t="str">
        <f t="shared" si="15"/>
        <v>&lt;trkpt lon=".00000000" lat=".00000000"&gt;&lt;name&gt;S06&lt;/name&gt;&lt;/trkpt&gt;</v>
      </c>
    </row>
    <row r="48" spans="1:18" ht="15" thickBot="1" x14ac:dyDescent="0.4">
      <c r="A48" s="24"/>
      <c r="B48" s="104"/>
      <c r="C48" s="17"/>
      <c r="D48" s="193"/>
      <c r="E48" s="193"/>
      <c r="F48" s="42"/>
      <c r="G48" s="42"/>
      <c r="H48" s="42"/>
      <c r="I48" s="42"/>
      <c r="J48" s="42"/>
      <c r="K48" s="42"/>
      <c r="L48" s="42"/>
      <c r="M48" s="42"/>
      <c r="N48" s="25">
        <f>N44</f>
        <v>28128.445339716698</v>
      </c>
      <c r="O48" s="106" t="s">
        <v>12</v>
      </c>
      <c r="P48" s="91"/>
      <c r="Q48" s="44" t="s">
        <v>21</v>
      </c>
      <c r="R48" s="98" t="str">
        <f>CONCATENATE("&lt;/trkseg&gt;&lt;/trk&gt;")</f>
        <v>&lt;/trkseg&gt;&lt;/trk&gt;</v>
      </c>
    </row>
    <row r="49" spans="1:18" ht="15" thickBot="1" x14ac:dyDescent="0.4">
      <c r="A49" s="24"/>
      <c r="B49" s="104"/>
      <c r="C49" s="11" t="s">
        <v>33</v>
      </c>
      <c r="D49" s="194"/>
      <c r="E49" s="194"/>
      <c r="F49" s="40"/>
      <c r="G49" s="40"/>
      <c r="H49" s="40"/>
      <c r="I49" s="40"/>
      <c r="J49" s="40"/>
      <c r="K49" s="40"/>
      <c r="L49" s="40"/>
      <c r="M49" s="40"/>
      <c r="N49" s="16"/>
      <c r="O49" s="109"/>
      <c r="P49" s="92"/>
      <c r="Q49" s="44" t="str">
        <f>CONCATENATE("&lt;Placemark&gt;&lt;name&gt;",A54,"&lt;/name&gt;&lt;styleUrl&gt;#track001&lt;/styleUrl&gt;&lt;MultiGeometry&gt;&lt;LineString&gt;&lt;coordinates&gt;")</f>
        <v>&lt;Placemark&gt;&lt;name&gt;B_009&lt;/name&gt;&lt;styleUrl&gt;#track001&lt;/styleUrl&gt;&lt;MultiGeometry&gt;&lt;LineString&gt;&lt;coordinates&gt;</v>
      </c>
      <c r="R49" s="98" t="str">
        <f>CONCATENATE("&lt;trk&gt;&lt;name&gt;",A54,"&lt;/name&gt;&lt;trkseg&gt;")</f>
        <v>&lt;trk&gt;&lt;name&gt;B_009&lt;/name&gt;&lt;trkseg&gt;</v>
      </c>
    </row>
    <row r="50" spans="1:18" ht="15" thickBot="1" x14ac:dyDescent="0.4">
      <c r="A50" s="24"/>
      <c r="B50" s="101">
        <v>1</v>
      </c>
      <c r="C50" s="41" t="s">
        <v>13</v>
      </c>
      <c r="D50" s="185">
        <f>D51-$D$7*SIN(RADIANS(O51))</f>
        <v>4406643.6515580909</v>
      </c>
      <c r="E50" s="186">
        <f>E51-$D$7*COS(RADIANS(O51))</f>
        <v>4464929.1109348536</v>
      </c>
      <c r="F50" s="132" cm="1">
        <f t="array" ref="F50:G50">_xll.PE.trf.Transform($D$4,$D$5,D50:D55,E50:E55)</f>
        <v>19.900207757522892</v>
      </c>
      <c r="G50" s="134">
        <v>40.312409673182536</v>
      </c>
      <c r="H50" s="132" t="str" cm="1">
        <f t="array" ref="H50">_xll.PE.deg.AsString(F50)</f>
        <v>19 54 01</v>
      </c>
      <c r="I50" s="133" t="str" cm="1">
        <f t="array" ref="I50">_xll.PE.deg.AsString(G50)</f>
        <v>40 18 45</v>
      </c>
      <c r="J50" s="132" cm="1">
        <f t="array" ref="J50">_xll.PE.deg.FromString(H50)</f>
        <v>19.900277777777777</v>
      </c>
      <c r="K50" s="134" cm="1">
        <f t="array" ref="K50">_xll.PE.deg.FromString(I50)</f>
        <v>40.3125</v>
      </c>
      <c r="L50" s="83">
        <f t="shared" ref="L50:M55" si="16">F50-J50</f>
        <v>-7.0020254884894939E-5</v>
      </c>
      <c r="M50" s="79">
        <f t="shared" si="16"/>
        <v>-9.0326817463903808E-5</v>
      </c>
      <c r="N50" s="8">
        <f>SQRT((D51-D50)^2+(E51-E50)^2)</f>
        <v>3000.0000000000518</v>
      </c>
      <c r="O50" s="108">
        <f>IF(DEGREES(ATAN2(E51-E50,D51-D50))&lt;0,DEGREES(ATAN2(E51-E50,D51-D50))+360,(DEGREES(ATAN2(E51-E50,D51-D50))))</f>
        <v>71.527992199095209</v>
      </c>
      <c r="P50" s="89"/>
      <c r="Q50" s="44" t="str">
        <f t="shared" ref="Q50:Q55" si="17">CONCATENATE(TEXT(F50,"#.00000000"),",",TEXT(G50,"#.00000000"))</f>
        <v>19.90020776,40.31240967</v>
      </c>
      <c r="R50" s="98" t="str">
        <f t="shared" ref="R50:R55" si="18">CONCATENATE("&lt;trkpt lon=""",TEXT(F50,"#.00000000"),""" lat=""",TEXT(G50,"#.00000000"),"""","&gt;&lt;name&gt;S",TEXT(B50,"00"),"&lt;/name&gt;&lt;/trkpt&gt;")</f>
        <v>&lt;trkpt lon="19.90020776" lat="40.31240967"&gt;&lt;name&gt;S01&lt;/name&gt;&lt;/trkpt&gt;</v>
      </c>
    </row>
    <row r="51" spans="1:18" ht="15" thickBot="1" x14ac:dyDescent="0.4">
      <c r="A51" s="24"/>
      <c r="B51" s="102">
        <v>2</v>
      </c>
      <c r="C51" s="12" t="s">
        <v>5</v>
      </c>
      <c r="D51" s="187">
        <f>D52-$D$8*SIN(RADIANS(O52))</f>
        <v>4409489.0872474806</v>
      </c>
      <c r="E51" s="188">
        <f>E52-$D$8*COS(RADIANS(O52))</f>
        <v>4465879.6348627731</v>
      </c>
      <c r="F51" s="135"/>
      <c r="G51" s="137"/>
      <c r="H51" s="135" t="str" cm="1">
        <f t="array" ref="H51">_xll.PE.deg.AsString(F51)</f>
        <v>00 00 00</v>
      </c>
      <c r="I51" s="136" t="str" cm="1">
        <f t="array" ref="I51">_xll.PE.deg.AsString(G51)</f>
        <v>00 00 00</v>
      </c>
      <c r="J51" s="135" cm="1">
        <f t="array" ref="J51">_xll.PE.deg.FromString(H51)</f>
        <v>0</v>
      </c>
      <c r="K51" s="137" cm="1">
        <f t="array" ref="K51">_xll.PE.deg.FromString(I51)</f>
        <v>0</v>
      </c>
      <c r="L51" s="84">
        <f t="shared" si="16"/>
        <v>0</v>
      </c>
      <c r="M51" s="80">
        <f t="shared" si="16"/>
        <v>0</v>
      </c>
      <c r="N51" s="39">
        <f>SQRT((D52-D51)^2+(E52-E51)^2)</f>
        <v>4000.0000000002656</v>
      </c>
      <c r="O51" s="89">
        <f>IF(DEGREES(ATAN2(E52-E51,D52-D51))&lt;0,DEGREES(ATAN2(E52-E51,D52-D51))+360,(DEGREES(ATAN2(E52-E51,D52-D51))))</f>
        <v>71.527992199086768</v>
      </c>
      <c r="P51" s="21">
        <v>2462</v>
      </c>
      <c r="Q51" s="44" t="str">
        <f t="shared" si="17"/>
        <v>.00000000,.00000000</v>
      </c>
      <c r="R51" s="98" t="str">
        <f t="shared" si="18"/>
        <v>&lt;trkpt lon=".00000000" lat=".00000000"&gt;&lt;name&gt;S02&lt;/name&gt;&lt;/trkpt&gt;</v>
      </c>
    </row>
    <row r="52" spans="1:18" ht="15" thickBot="1" x14ac:dyDescent="0.4">
      <c r="A52" s="24"/>
      <c r="B52" s="102">
        <v>3</v>
      </c>
      <c r="C52" s="12" t="s">
        <v>8</v>
      </c>
      <c r="D52" s="189">
        <v>4413283.0015000002</v>
      </c>
      <c r="E52" s="195">
        <v>4467147.0000999998</v>
      </c>
      <c r="F52" s="138"/>
      <c r="G52" s="140"/>
      <c r="H52" s="138" t="str" cm="1">
        <f t="array" ref="H52">_xll.PE.deg.AsString(F52)</f>
        <v>00 00 00</v>
      </c>
      <c r="I52" s="139" t="str" cm="1">
        <f t="array" ref="I52">_xll.PE.deg.AsString(G52)</f>
        <v>00 00 00</v>
      </c>
      <c r="J52" s="138" cm="1">
        <f t="array" ref="J52">_xll.PE.deg.FromString(H52)</f>
        <v>0</v>
      </c>
      <c r="K52" s="140" cm="1">
        <f t="array" ref="K52">_xll.PE.deg.FromString(I52)</f>
        <v>0</v>
      </c>
      <c r="L52" s="85">
        <f t="shared" si="16"/>
        <v>0</v>
      </c>
      <c r="M52" s="81">
        <f t="shared" si="16"/>
        <v>0</v>
      </c>
      <c r="N52" s="10">
        <f>SQRT((D53-D52)^2+(E53-E52)^2)</f>
        <v>24936.774239737024</v>
      </c>
      <c r="O52" s="93">
        <f>IF(DEGREES(ATAN2(E53-E52,D53-D52))&lt;0,DEGREES(ATAN2(E53-E52,D53-D52))+360,(DEGREES(ATAN2(E53-E52,D53-D52))))</f>
        <v>71.527992199092083</v>
      </c>
      <c r="P52" s="90" cm="1">
        <f t="array" ref="P52">_xll.PE.crs.GeodesicDistance($D$4,D51:E54)</f>
        <v>32934.468512886939</v>
      </c>
      <c r="Q52" s="44" t="str">
        <f t="shared" si="17"/>
        <v>.00000000,.00000000</v>
      </c>
      <c r="R52" s="98" t="str">
        <f t="shared" si="18"/>
        <v>&lt;trkpt lon=".00000000" lat=".00000000"&gt;&lt;name&gt;S03&lt;/name&gt;&lt;/trkpt&gt;</v>
      </c>
    </row>
    <row r="53" spans="1:18" ht="15" thickBot="1" x14ac:dyDescent="0.4">
      <c r="A53" s="24"/>
      <c r="B53" s="102">
        <v>4</v>
      </c>
      <c r="C53" s="12" t="s">
        <v>7</v>
      </c>
      <c r="D53" s="189">
        <v>4436934.9972999999</v>
      </c>
      <c r="E53" s="195">
        <v>4475048.0003000004</v>
      </c>
      <c r="F53" s="138"/>
      <c r="G53" s="140"/>
      <c r="H53" s="138" t="str" cm="1">
        <f t="array" ref="H53">_xll.PE.deg.AsString(F53)</f>
        <v>00 00 00</v>
      </c>
      <c r="I53" s="139" t="str" cm="1">
        <f t="array" ref="I53">_xll.PE.deg.AsString(G53)</f>
        <v>00 00 00</v>
      </c>
      <c r="J53" s="138" cm="1">
        <f t="array" ref="J53">_xll.PE.deg.FromString(H53)</f>
        <v>0</v>
      </c>
      <c r="K53" s="140" cm="1">
        <f t="array" ref="K53">_xll.PE.deg.FromString(I53)</f>
        <v>0</v>
      </c>
      <c r="L53" s="85">
        <f t="shared" si="16"/>
        <v>0</v>
      </c>
      <c r="M53" s="81">
        <f t="shared" si="16"/>
        <v>0</v>
      </c>
      <c r="N53" s="39">
        <f>SQRT((D54-D53)^2+(E54-E53)^2)</f>
        <v>4000.0000000002656</v>
      </c>
      <c r="O53" s="89">
        <f>IF(DEGREES(ATAN2(E54-E53,D54-D53))&lt;0,DEGREES(ATAN2(E54-E53,D54-D53))+360,(DEGREES(ATAN2(E54-E53,D54-D53))))</f>
        <v>71.527992199086768</v>
      </c>
      <c r="P53" s="89"/>
      <c r="Q53" s="44" t="str">
        <f t="shared" si="17"/>
        <v>.00000000,.00000000</v>
      </c>
      <c r="R53" s="98" t="str">
        <f t="shared" si="18"/>
        <v>&lt;trkpt lon=".00000000" lat=".00000000"&gt;&lt;name&gt;S04&lt;/name&gt;&lt;/trkpt&gt;</v>
      </c>
    </row>
    <row r="54" spans="1:18" ht="15" thickBot="1" x14ac:dyDescent="0.4">
      <c r="A54" s="24" t="str">
        <f>C49</f>
        <v>B_009</v>
      </c>
      <c r="B54" s="102">
        <v>5</v>
      </c>
      <c r="C54" s="12" t="s">
        <v>5</v>
      </c>
      <c r="D54" s="187">
        <f>D53+$D$8*SIN(RADIANS(O52))</f>
        <v>4440728.9115525195</v>
      </c>
      <c r="E54" s="188">
        <f>E53+$D$8*COS(RADIANS(O52))</f>
        <v>4476315.3655372271</v>
      </c>
      <c r="F54" s="135"/>
      <c r="G54" s="137"/>
      <c r="H54" s="135" t="str" cm="1">
        <f t="array" ref="H54">_xll.PE.deg.AsString(F54)</f>
        <v>00 00 00</v>
      </c>
      <c r="I54" s="136" t="str" cm="1">
        <f t="array" ref="I54">_xll.PE.deg.AsString(G54)</f>
        <v>00 00 00</v>
      </c>
      <c r="J54" s="135" cm="1">
        <f t="array" ref="J54">_xll.PE.deg.FromString(H54)</f>
        <v>0</v>
      </c>
      <c r="K54" s="137" cm="1">
        <f t="array" ref="K54">_xll.PE.deg.FromString(I54)</f>
        <v>0</v>
      </c>
      <c r="L54" s="84">
        <f t="shared" si="16"/>
        <v>0</v>
      </c>
      <c r="M54" s="80">
        <f t="shared" si="16"/>
        <v>0</v>
      </c>
      <c r="N54" s="39">
        <f>SQRT((D55-D54)^2+(E55-E54)^2)</f>
        <v>3000.0000000000518</v>
      </c>
      <c r="O54" s="89">
        <f>IF(DEGREES(ATAN2(E55-E54,D55-D54))&lt;0,DEGREES(ATAN2(E55-E54,D55-D54))+360,(DEGREES(ATAN2(E55-E54,D55-D54))))</f>
        <v>71.527992199095209</v>
      </c>
      <c r="P54" s="5">
        <v>4326</v>
      </c>
      <c r="Q54" s="44" t="str">
        <f t="shared" si="17"/>
        <v>.00000000,.00000000</v>
      </c>
      <c r="R54" s="98" t="str">
        <f t="shared" si="18"/>
        <v>&lt;trkpt lon=".00000000" lat=".00000000"&gt;&lt;name&gt;S05&lt;/name&gt;&lt;/trkpt&gt;</v>
      </c>
    </row>
    <row r="55" spans="1:18" ht="15" thickBot="1" x14ac:dyDescent="0.4">
      <c r="A55" s="24"/>
      <c r="B55" s="103">
        <v>6</v>
      </c>
      <c r="C55" s="13" t="s">
        <v>13</v>
      </c>
      <c r="D55" s="191">
        <f>D54+$D$7*SIN(RADIANS(O53))</f>
        <v>4443574.3472419092</v>
      </c>
      <c r="E55" s="192">
        <f>E54+$D$7*COS(RADIANS(O53))</f>
        <v>4477265.8894651467</v>
      </c>
      <c r="F55" s="141"/>
      <c r="G55" s="143"/>
      <c r="H55" s="141" t="str" cm="1">
        <f t="array" ref="H55">_xll.PE.deg.AsString(F55)</f>
        <v>00 00 00</v>
      </c>
      <c r="I55" s="142" t="str" cm="1">
        <f t="array" ref="I55">_xll.PE.deg.AsString(G55)</f>
        <v>00 00 00</v>
      </c>
      <c r="J55" s="141" cm="1">
        <f t="array" ref="J55">_xll.PE.deg.FromString(H55)</f>
        <v>0</v>
      </c>
      <c r="K55" s="143" cm="1">
        <f t="array" ref="K55">_xll.PE.deg.FromString(I55)</f>
        <v>0</v>
      </c>
      <c r="L55" s="86">
        <f t="shared" si="16"/>
        <v>0</v>
      </c>
      <c r="M55" s="82">
        <f t="shared" si="16"/>
        <v>0</v>
      </c>
      <c r="N55" s="34">
        <f>SUM(N51:N53)</f>
        <v>32936.774239737555</v>
      </c>
      <c r="O55" s="5" t="s">
        <v>11</v>
      </c>
      <c r="P55" s="90" cm="1">
        <f t="array" ref="P55">_xll.PE.crs.GeodesicDistance($D$5,J51:K54)</f>
        <v>0</v>
      </c>
      <c r="Q55" s="44" t="str">
        <f t="shared" si="17"/>
        <v>.00000000,.00000000</v>
      </c>
      <c r="R55" s="98" t="str">
        <f t="shared" si="18"/>
        <v>&lt;trkpt lon=".00000000" lat=".00000000"&gt;&lt;name&gt;S06&lt;/name&gt;&lt;/trkpt&gt;</v>
      </c>
    </row>
    <row r="56" spans="1:18" ht="15" thickBot="1" x14ac:dyDescent="0.4">
      <c r="A56" s="24"/>
      <c r="B56" s="104"/>
      <c r="C56" s="17"/>
      <c r="D56" s="193"/>
      <c r="E56" s="193"/>
      <c r="F56" s="42"/>
      <c r="G56" s="42"/>
      <c r="H56" s="42"/>
      <c r="I56" s="42"/>
      <c r="J56" s="42"/>
      <c r="K56" s="42"/>
      <c r="L56" s="42"/>
      <c r="M56" s="42"/>
      <c r="N56" s="25">
        <f>N52</f>
        <v>24936.774239737024</v>
      </c>
      <c r="O56" s="106" t="s">
        <v>12</v>
      </c>
      <c r="P56" s="91"/>
      <c r="Q56" s="44" t="s">
        <v>21</v>
      </c>
      <c r="R56" s="98" t="str">
        <f>CONCATENATE("&lt;/trkseg&gt;&lt;/trk&gt;")</f>
        <v>&lt;/trkseg&gt;&lt;/trk&gt;</v>
      </c>
    </row>
    <row r="57" spans="1:18" ht="15" thickBot="1" x14ac:dyDescent="0.4">
      <c r="A57" s="24"/>
      <c r="B57" s="104"/>
      <c r="C57" s="11" t="s">
        <v>34</v>
      </c>
      <c r="D57" s="194"/>
      <c r="E57" s="194"/>
      <c r="F57" s="40"/>
      <c r="G57" s="40"/>
      <c r="H57" s="40"/>
      <c r="I57" s="40"/>
      <c r="J57" s="40"/>
      <c r="K57" s="40"/>
      <c r="L57" s="40"/>
      <c r="M57" s="40"/>
      <c r="N57" s="16"/>
      <c r="O57" s="109"/>
      <c r="P57" s="92"/>
      <c r="Q57" s="44" t="str">
        <f>CONCATENATE("&lt;Placemark&gt;&lt;name&gt;",A62,"&lt;/name&gt;&lt;styleUrl&gt;#track001&lt;/styleUrl&gt;&lt;MultiGeometry&gt;&lt;LineString&gt;&lt;coordinates&gt;")</f>
        <v>&lt;Placemark&gt;&lt;name&gt;B_010&lt;/name&gt;&lt;styleUrl&gt;#track001&lt;/styleUrl&gt;&lt;MultiGeometry&gt;&lt;LineString&gt;&lt;coordinates&gt;</v>
      </c>
      <c r="R57" s="98" t="str">
        <f>CONCATENATE("&lt;trk&gt;&lt;name&gt;",A62,"&lt;/name&gt;&lt;trkseg&gt;")</f>
        <v>&lt;trk&gt;&lt;name&gt;B_010&lt;/name&gt;&lt;trkseg&gt;</v>
      </c>
    </row>
    <row r="58" spans="1:18" ht="15" thickBot="1" x14ac:dyDescent="0.4">
      <c r="A58" s="24"/>
      <c r="B58" s="101">
        <v>1</v>
      </c>
      <c r="C58" s="41" t="s">
        <v>13</v>
      </c>
      <c r="D58" s="185">
        <f>D59-$D$7*SIN(RADIANS(O59))</f>
        <v>4408801.9388487665</v>
      </c>
      <c r="E58" s="186">
        <f>E59-$D$7*COS(RADIANS(O59))</f>
        <v>4463055.1312818611</v>
      </c>
      <c r="F58" s="132" cm="1">
        <f t="array" ref="F58:G58">_xll.PE.trf.Transform($D$4,$D$5,D58:D63,E58:E63)</f>
        <v>19.925860955743484</v>
      </c>
      <c r="G58" s="134">
        <v>40.295774822822679</v>
      </c>
      <c r="H58" s="132" t="str" cm="1">
        <f t="array" ref="H58">_xll.PE.deg.AsString(F58)</f>
        <v>19 55 33</v>
      </c>
      <c r="I58" s="133" t="str" cm="1">
        <f t="array" ref="I58">_xll.PE.deg.AsString(G58)</f>
        <v>40 17 45</v>
      </c>
      <c r="J58" s="132" cm="1">
        <f t="array" ref="J58">_xll.PE.deg.FromString(H58)</f>
        <v>19.925833333333333</v>
      </c>
      <c r="K58" s="134" cm="1">
        <f t="array" ref="K58">_xll.PE.deg.FromString(I58)</f>
        <v>40.295833333333334</v>
      </c>
      <c r="L58" s="83">
        <f t="shared" ref="L58:M63" si="19">F58-J58</f>
        <v>2.7622410151195709E-5</v>
      </c>
      <c r="M58" s="79">
        <f t="shared" si="19"/>
        <v>-5.8510510655196413E-5</v>
      </c>
      <c r="N58" s="8">
        <f>SQRT((D59-D58)^2+(E59-E58)^2)</f>
        <v>2999.9999999997217</v>
      </c>
      <c r="O58" s="108">
        <f>IF(DEGREES(ATAN2(E59-E58,D59-D58))&lt;0,DEGREES(ATAN2(E59-E58,D59-D58))+360,(DEGREES(ATAN2(E59-E58,D59-D58))))</f>
        <v>74.336851700523653</v>
      </c>
      <c r="P58" s="89"/>
      <c r="Q58" s="44" t="str">
        <f t="shared" ref="Q58:Q63" si="20">CONCATENATE(TEXT(F58,"#.00000000"),",",TEXT(G58,"#.00000000"))</f>
        <v>19.92586096,40.29577482</v>
      </c>
      <c r="R58" s="98" t="str">
        <f t="shared" ref="R58:R63" si="21">CONCATENATE("&lt;trkpt lon=""",TEXT(F58,"#.00000000"),""" lat=""",TEXT(G58,"#.00000000"),"""","&gt;&lt;name&gt;S",TEXT(B58,"00"),"&lt;/name&gt;&lt;/trkpt&gt;")</f>
        <v>&lt;trkpt lon="19.92586096" lat="40.29577482"&gt;&lt;name&gt;S01&lt;/name&gt;&lt;/trkpt&gt;</v>
      </c>
    </row>
    <row r="59" spans="1:18" ht="15" thickBot="1" x14ac:dyDescent="0.4">
      <c r="A59" s="24"/>
      <c r="B59" s="102">
        <v>2</v>
      </c>
      <c r="C59" s="12" t="s">
        <v>5</v>
      </c>
      <c r="D59" s="187">
        <f>D60-$D$8*SIN(RADIANS(O60))</f>
        <v>4411690.5356278662</v>
      </c>
      <c r="E59" s="188">
        <f>E60-$D$8*COS(RADIANS(O60))</f>
        <v>4463865.0748896347</v>
      </c>
      <c r="F59" s="135"/>
      <c r="G59" s="137"/>
      <c r="H59" s="135" t="str" cm="1">
        <f t="array" ref="H59">_xll.PE.deg.AsString(F59)</f>
        <v>00 00 00</v>
      </c>
      <c r="I59" s="136" t="str" cm="1">
        <f t="array" ref="I59">_xll.PE.deg.AsString(G59)</f>
        <v>00 00 00</v>
      </c>
      <c r="J59" s="135" cm="1">
        <f t="array" ref="J59">_xll.PE.deg.FromString(H59)</f>
        <v>0</v>
      </c>
      <c r="K59" s="137" cm="1">
        <f t="array" ref="K59">_xll.PE.deg.FromString(I59)</f>
        <v>0</v>
      </c>
      <c r="L59" s="84">
        <f t="shared" si="19"/>
        <v>0</v>
      </c>
      <c r="M59" s="80">
        <f t="shared" si="19"/>
        <v>0</v>
      </c>
      <c r="N59" s="39">
        <f>SQRT((D60-D59)^2+(E60-E59)^2)</f>
        <v>4000.0000000002265</v>
      </c>
      <c r="O59" s="89">
        <f>IF(DEGREES(ATAN2(E60-E59,D60-D59))&lt;0,DEGREES(ATAN2(E60-E59,D60-D59))+360,(DEGREES(ATAN2(E60-E59,D60-D59))))</f>
        <v>74.336851700526054</v>
      </c>
      <c r="P59" s="21">
        <v>2462</v>
      </c>
      <c r="Q59" s="44" t="str">
        <f t="shared" si="20"/>
        <v>.00000000,.00000000</v>
      </c>
      <c r="R59" s="98" t="str">
        <f t="shared" si="21"/>
        <v>&lt;trkpt lon=".00000000" lat=".00000000"&gt;&lt;name&gt;S02&lt;/name&gt;&lt;/trkpt&gt;</v>
      </c>
    </row>
    <row r="60" spans="1:18" ht="15" thickBot="1" x14ac:dyDescent="0.4">
      <c r="A60" s="24"/>
      <c r="B60" s="102">
        <v>3</v>
      </c>
      <c r="C60" s="12" t="s">
        <v>8</v>
      </c>
      <c r="D60" s="189">
        <v>4415541.9979999997</v>
      </c>
      <c r="E60" s="195">
        <v>4464944.9996999996</v>
      </c>
      <c r="F60" s="138"/>
      <c r="G60" s="140"/>
      <c r="H60" s="138" t="str" cm="1">
        <f t="array" ref="H60">_xll.PE.deg.AsString(F60)</f>
        <v>00 00 00</v>
      </c>
      <c r="I60" s="139" t="str" cm="1">
        <f t="array" ref="I60">_xll.PE.deg.AsString(G60)</f>
        <v>00 00 00</v>
      </c>
      <c r="J60" s="138" cm="1">
        <f t="array" ref="J60">_xll.PE.deg.FromString(H60)</f>
        <v>0</v>
      </c>
      <c r="K60" s="140" cm="1">
        <f t="array" ref="K60">_xll.PE.deg.FromString(I60)</f>
        <v>0</v>
      </c>
      <c r="L60" s="85">
        <f t="shared" si="19"/>
        <v>0</v>
      </c>
      <c r="M60" s="81">
        <f t="shared" si="19"/>
        <v>0</v>
      </c>
      <c r="N60" s="10">
        <f>SQRT((D61-D60)^2+(E61-E60)^2)</f>
        <v>21749.665323513025</v>
      </c>
      <c r="O60" s="93">
        <f>IF(DEGREES(ATAN2(E61-E60,D61-D60))&lt;0,DEGREES(ATAN2(E61-E60,D61-D60))+360,(DEGREES(ATAN2(E61-E60,D61-D60))))</f>
        <v>74.336851700519389</v>
      </c>
      <c r="P60" s="90" cm="1">
        <f t="array" ref="P60">_xll.PE.crs.GeodesicDistance($D$4,D59:E62)</f>
        <v>29747.63669229201</v>
      </c>
      <c r="Q60" s="44" t="str">
        <f t="shared" si="20"/>
        <v>.00000000,.00000000</v>
      </c>
      <c r="R60" s="98" t="str">
        <f t="shared" si="21"/>
        <v>&lt;trkpt lon=".00000000" lat=".00000000"&gt;&lt;name&gt;S03&lt;/name&gt;&lt;/trkpt&gt;</v>
      </c>
    </row>
    <row r="61" spans="1:18" ht="15" thickBot="1" x14ac:dyDescent="0.4">
      <c r="A61" s="24"/>
      <c r="B61" s="102">
        <v>4</v>
      </c>
      <c r="C61" s="12" t="s">
        <v>7</v>
      </c>
      <c r="D61" s="189">
        <v>4436484.0023999996</v>
      </c>
      <c r="E61" s="195">
        <v>4470817.0005000001</v>
      </c>
      <c r="F61" s="138"/>
      <c r="G61" s="140"/>
      <c r="H61" s="138" t="str" cm="1">
        <f t="array" ref="H61">_xll.PE.deg.AsString(F61)</f>
        <v>00 00 00</v>
      </c>
      <c r="I61" s="139" t="str" cm="1">
        <f t="array" ref="I61">_xll.PE.deg.AsString(G61)</f>
        <v>00 00 00</v>
      </c>
      <c r="J61" s="138" cm="1">
        <f t="array" ref="J61">_xll.PE.deg.FromString(H61)</f>
        <v>0</v>
      </c>
      <c r="K61" s="140" cm="1">
        <f t="array" ref="K61">_xll.PE.deg.FromString(I61)</f>
        <v>0</v>
      </c>
      <c r="L61" s="85">
        <f t="shared" si="19"/>
        <v>0</v>
      </c>
      <c r="M61" s="81">
        <f t="shared" si="19"/>
        <v>0</v>
      </c>
      <c r="N61" s="39">
        <f>SQRT((D62-D61)^2+(E62-E61)^2)</f>
        <v>4000.0000000002265</v>
      </c>
      <c r="O61" s="89">
        <f>IF(DEGREES(ATAN2(E62-E61,D62-D61))&lt;0,DEGREES(ATAN2(E62-E61,D62-D61))+360,(DEGREES(ATAN2(E62-E61,D62-D61))))</f>
        <v>74.336851700526054</v>
      </c>
      <c r="P61" s="89"/>
      <c r="Q61" s="44" t="str">
        <f t="shared" si="20"/>
        <v>.00000000,.00000000</v>
      </c>
      <c r="R61" s="98" t="str">
        <f t="shared" si="21"/>
        <v>&lt;trkpt lon=".00000000" lat=".00000000"&gt;&lt;name&gt;S04&lt;/name&gt;&lt;/trkpt&gt;</v>
      </c>
    </row>
    <row r="62" spans="1:18" ht="15" thickBot="1" x14ac:dyDescent="0.4">
      <c r="A62" s="24" t="str">
        <f>C57</f>
        <v>B_010</v>
      </c>
      <c r="B62" s="102">
        <v>5</v>
      </c>
      <c r="C62" s="12" t="s">
        <v>5</v>
      </c>
      <c r="D62" s="187">
        <f>D61+$D$8*SIN(RADIANS(O60))</f>
        <v>4440335.4647721332</v>
      </c>
      <c r="E62" s="188">
        <f>E61+$D$8*COS(RADIANS(O60))</f>
        <v>4471896.9253103649</v>
      </c>
      <c r="F62" s="135"/>
      <c r="G62" s="137"/>
      <c r="H62" s="135" t="str" cm="1">
        <f t="array" ref="H62">_xll.PE.deg.AsString(F62)</f>
        <v>00 00 00</v>
      </c>
      <c r="I62" s="136" t="str" cm="1">
        <f t="array" ref="I62">_xll.PE.deg.AsString(G62)</f>
        <v>00 00 00</v>
      </c>
      <c r="J62" s="135" cm="1">
        <f t="array" ref="J62">_xll.PE.deg.FromString(H62)</f>
        <v>0</v>
      </c>
      <c r="K62" s="137" cm="1">
        <f t="array" ref="K62">_xll.PE.deg.FromString(I62)</f>
        <v>0</v>
      </c>
      <c r="L62" s="84">
        <f t="shared" si="19"/>
        <v>0</v>
      </c>
      <c r="M62" s="80">
        <f t="shared" si="19"/>
        <v>0</v>
      </c>
      <c r="N62" s="39">
        <f>SQRT((D63-D62)^2+(E63-E62)^2)</f>
        <v>2999.9999999997217</v>
      </c>
      <c r="O62" s="89">
        <f>IF(DEGREES(ATAN2(E63-E62,D63-D62))&lt;0,DEGREES(ATAN2(E63-E62,D63-D62))+360,(DEGREES(ATAN2(E63-E62,D63-D62))))</f>
        <v>74.336851700523653</v>
      </c>
      <c r="P62" s="5">
        <v>4326</v>
      </c>
      <c r="Q62" s="44" t="str">
        <f t="shared" si="20"/>
        <v>.00000000,.00000000</v>
      </c>
      <c r="R62" s="98" t="str">
        <f t="shared" si="21"/>
        <v>&lt;trkpt lon=".00000000" lat=".00000000"&gt;&lt;name&gt;S05&lt;/name&gt;&lt;/trkpt&gt;</v>
      </c>
    </row>
    <row r="63" spans="1:18" ht="15" thickBot="1" x14ac:dyDescent="0.4">
      <c r="A63" s="24"/>
      <c r="B63" s="103">
        <v>6</v>
      </c>
      <c r="C63" s="13" t="s">
        <v>13</v>
      </c>
      <c r="D63" s="191">
        <f>D62+$D$7*SIN(RADIANS(O61))</f>
        <v>4443224.0615512328</v>
      </c>
      <c r="E63" s="192">
        <f>E62+$D$7*COS(RADIANS(O61))</f>
        <v>4472706.8689181386</v>
      </c>
      <c r="F63" s="141"/>
      <c r="G63" s="143"/>
      <c r="H63" s="141" t="str" cm="1">
        <f t="array" ref="H63">_xll.PE.deg.AsString(F63)</f>
        <v>00 00 00</v>
      </c>
      <c r="I63" s="142" t="str" cm="1">
        <f t="array" ref="I63">_xll.PE.deg.AsString(G63)</f>
        <v>00 00 00</v>
      </c>
      <c r="J63" s="141" cm="1">
        <f t="array" ref="J63">_xll.PE.deg.FromString(H63)</f>
        <v>0</v>
      </c>
      <c r="K63" s="143" cm="1">
        <f t="array" ref="K63">_xll.PE.deg.FromString(I63)</f>
        <v>0</v>
      </c>
      <c r="L63" s="86">
        <f t="shared" si="19"/>
        <v>0</v>
      </c>
      <c r="M63" s="82">
        <f t="shared" si="19"/>
        <v>0</v>
      </c>
      <c r="N63" s="34">
        <f>SUM(N59:N61)</f>
        <v>29749.665323513476</v>
      </c>
      <c r="O63" s="5" t="s">
        <v>11</v>
      </c>
      <c r="P63" s="90" cm="1">
        <f t="array" ref="P63">_xll.PE.crs.GeodesicDistance($D$5,J59:K62)</f>
        <v>0</v>
      </c>
      <c r="Q63" s="44" t="str">
        <f t="shared" si="20"/>
        <v>.00000000,.00000000</v>
      </c>
      <c r="R63" s="98" t="str">
        <f t="shared" si="21"/>
        <v>&lt;trkpt lon=".00000000" lat=".00000000"&gt;&lt;name&gt;S06&lt;/name&gt;&lt;/trkpt&gt;</v>
      </c>
    </row>
    <row r="64" spans="1:18" ht="15" thickBot="1" x14ac:dyDescent="0.4">
      <c r="C64" s="17"/>
      <c r="D64" s="193"/>
      <c r="E64" s="193"/>
      <c r="F64" s="42"/>
      <c r="G64" s="42"/>
      <c r="H64" s="42"/>
      <c r="I64" s="42"/>
      <c r="J64" s="42"/>
      <c r="K64" s="42"/>
      <c r="L64" s="42"/>
      <c r="M64" s="42"/>
      <c r="N64" s="25">
        <f>N60</f>
        <v>21749.665323513025</v>
      </c>
      <c r="O64" s="106" t="s">
        <v>12</v>
      </c>
      <c r="P64" s="91"/>
      <c r="Q64" s="44" t="s">
        <v>21</v>
      </c>
      <c r="R64" s="98" t="str">
        <f>CONCATENATE("&lt;/trkseg&gt;&lt;/trk&gt;")</f>
        <v>&lt;/trkseg&gt;&lt;/trk&gt;</v>
      </c>
    </row>
    <row r="65" spans="1:18" ht="15" thickBot="1" x14ac:dyDescent="0.4">
      <c r="C65" s="19" t="s">
        <v>35</v>
      </c>
      <c r="D65" s="194"/>
      <c r="E65" s="194"/>
      <c r="F65" s="40"/>
      <c r="G65" s="40"/>
      <c r="H65" s="40"/>
      <c r="I65" s="40"/>
      <c r="J65" s="40"/>
      <c r="K65" s="40"/>
      <c r="L65" s="40"/>
      <c r="M65" s="40"/>
      <c r="N65" s="16"/>
      <c r="O65" s="109"/>
      <c r="P65" s="92"/>
      <c r="Q65" s="44" t="str">
        <f>CONCATENATE("&lt;Placemark&gt;&lt;name&gt;",A71,"&lt;/name&gt;&lt;styleUrl&gt;#track001&lt;/styleUrl&gt;&lt;MultiGeometry&gt;&lt;LineString&gt;&lt;coordinates&gt;")</f>
        <v>&lt;Placemark&gt;&lt;name&gt;D_011&lt;/name&gt;&lt;styleUrl&gt;#track001&lt;/styleUrl&gt;&lt;MultiGeometry&gt;&lt;LineString&gt;&lt;coordinates&gt;</v>
      </c>
      <c r="R65" s="98" t="str">
        <f>CONCATENATE("&lt;trk&gt;&lt;name&gt;",A71,"&lt;/name&gt;&lt;trkseg&gt;")</f>
        <v>&lt;trk&gt;&lt;name&gt;D_011&lt;/name&gt;&lt;trkseg&gt;</v>
      </c>
    </row>
    <row r="66" spans="1:18" x14ac:dyDescent="0.35">
      <c r="A66" s="23"/>
      <c r="B66" s="101">
        <v>1</v>
      </c>
      <c r="C66" s="41" t="s">
        <v>13</v>
      </c>
      <c r="D66" s="185">
        <f>D67-$D$7*SIN(RADIANS(O67))</f>
        <v>4414260.3500275882</v>
      </c>
      <c r="E66" s="186">
        <f>E67-$D$7*COS(RADIANS(O67))</f>
        <v>4450574.3227219004</v>
      </c>
      <c r="F66" s="132" cm="1">
        <f t="array" ref="F66:G66">_xll.PE.trf.Transform($D$4,$D$5,D66:D72,E66:E72)</f>
        <v>19.99171711359562</v>
      </c>
      <c r="G66" s="134">
        <v>40.183971418221908</v>
      </c>
      <c r="H66" s="132" t="str" cm="1">
        <f t="array" ref="H66">_xll.PE.deg.AsString(F66)</f>
        <v>19 59 30</v>
      </c>
      <c r="I66" s="133" t="str" cm="1">
        <f t="array" ref="I66">_xll.PE.deg.AsString(G66)</f>
        <v>40 11 02</v>
      </c>
      <c r="J66" s="132" cm="1">
        <f t="array" ref="J66">_xll.PE.deg.FromString(H66)</f>
        <v>19.991666666666667</v>
      </c>
      <c r="K66" s="134" cm="1">
        <f t="array" ref="K66">_xll.PE.deg.FromString(I66)</f>
        <v>40.183888888888887</v>
      </c>
      <c r="L66" s="71">
        <f t="shared" ref="L66:M72" si="22">F66-J66</f>
        <v>5.0446928952396775E-5</v>
      </c>
      <c r="M66" s="72">
        <f t="shared" si="22"/>
        <v>8.2529333020886497E-5</v>
      </c>
      <c r="N66" s="8">
        <f t="shared" ref="N66:N71" si="23">SQRT((D67-D66)^2+(E67-E66)^2)</f>
        <v>2999.9999999999404</v>
      </c>
      <c r="O66" s="108">
        <f t="shared" ref="O66:O71" si="24">IF(DEGREES(ATAN2(E67-E66,D67-D66))&lt;0,DEGREES(ATAN2(E67-E66,D67-D66))+360,(DEGREES(ATAN2(E67-E66,D67-D66))))</f>
        <v>57.640278182395008</v>
      </c>
      <c r="P66" s="89"/>
      <c r="Q66" s="44" t="str">
        <f t="shared" ref="Q66:Q72" si="25">CONCATENATE(TEXT(F66,"#.00000000"),",",TEXT(G66,"#.00000000"))</f>
        <v>19.99171711,40.18397142</v>
      </c>
      <c r="R66" s="98" t="str">
        <f t="shared" ref="R66:R72" si="26">CONCATENATE("&lt;trkpt lon=""",TEXT(F66,"#.00000000"),""" lat=""",TEXT(G66,"#.00000000"),"""","&gt;&lt;name&gt;S",TEXT(B66,"00"),"&lt;/name&gt;&lt;/trkpt&gt;")</f>
        <v>&lt;trkpt lon="19.99171711" lat="40.18397142"&gt;&lt;name&gt;S01&lt;/name&gt;&lt;/trkpt&gt;</v>
      </c>
    </row>
    <row r="67" spans="1:18" ht="15" thickBot="1" x14ac:dyDescent="0.4">
      <c r="A67" s="23"/>
      <c r="B67" s="102">
        <v>2</v>
      </c>
      <c r="C67" s="12" t="s">
        <v>5</v>
      </c>
      <c r="D67" s="187">
        <f>D68-$D$8*SIN(RADIANS(O68))</f>
        <v>4416794.4632157646</v>
      </c>
      <c r="E67" s="188">
        <f>E68-$D$8*COS(RADIANS(O68))</f>
        <v>4452180.0220553717</v>
      </c>
      <c r="F67" s="135"/>
      <c r="G67" s="137"/>
      <c r="H67" s="135" t="str" cm="1">
        <f t="array" ref="H67">_xll.PE.deg.AsString(F67)</f>
        <v>00 00 00</v>
      </c>
      <c r="I67" s="136" t="str" cm="1">
        <f t="array" ref="I67">_xll.PE.deg.AsString(G67)</f>
        <v>00 00 00</v>
      </c>
      <c r="J67" s="135" cm="1">
        <f t="array" ref="J67">_xll.PE.deg.FromString(H67)</f>
        <v>0</v>
      </c>
      <c r="K67" s="137" cm="1">
        <f t="array" ref="K67">_xll.PE.deg.FromString(I67)</f>
        <v>0</v>
      </c>
      <c r="L67" s="73">
        <f t="shared" si="22"/>
        <v>0</v>
      </c>
      <c r="M67" s="74">
        <f t="shared" si="22"/>
        <v>0</v>
      </c>
      <c r="N67" s="39">
        <f t="shared" si="23"/>
        <v>3999.9999999999204</v>
      </c>
      <c r="O67" s="89">
        <f t="shared" si="24"/>
        <v>57.640278182395008</v>
      </c>
      <c r="P67" s="89"/>
      <c r="Q67" s="44" t="str">
        <f t="shared" si="25"/>
        <v>.00000000,.00000000</v>
      </c>
      <c r="R67" s="98" t="str">
        <f t="shared" si="26"/>
        <v>&lt;trkpt lon=".00000000" lat=".00000000"&gt;&lt;name&gt;S02&lt;/name&gt;&lt;/trkpt&gt;</v>
      </c>
    </row>
    <row r="68" spans="1:18" ht="15" thickBot="1" x14ac:dyDescent="0.4">
      <c r="A68" s="23"/>
      <c r="B68" s="102">
        <v>3</v>
      </c>
      <c r="C68" s="12" t="s">
        <v>9</v>
      </c>
      <c r="D68" s="196">
        <v>4420173.2807999998</v>
      </c>
      <c r="E68" s="197">
        <v>4454320.9545</v>
      </c>
      <c r="F68" s="138"/>
      <c r="G68" s="140"/>
      <c r="H68" s="138" t="str" cm="1">
        <f t="array" ref="H68">_xll.PE.deg.AsString(F68)</f>
        <v>00 00 00</v>
      </c>
      <c r="I68" s="139" t="str" cm="1">
        <f t="array" ref="I68">_xll.PE.deg.AsString(G68)</f>
        <v>00 00 00</v>
      </c>
      <c r="J68" s="138" cm="1">
        <f t="array" ref="J68">_xll.PE.deg.FromString(H68)</f>
        <v>0</v>
      </c>
      <c r="K68" s="140" cm="1">
        <f t="array" ref="K68">_xll.PE.deg.FromString(I68)</f>
        <v>0</v>
      </c>
      <c r="L68" s="75">
        <f t="shared" si="22"/>
        <v>0</v>
      </c>
      <c r="M68" s="76">
        <f t="shared" si="22"/>
        <v>0</v>
      </c>
      <c r="N68" s="10">
        <f t="shared" si="23"/>
        <v>10430.444947495531</v>
      </c>
      <c r="O68" s="93">
        <f t="shared" si="24"/>
        <v>57.640278182402504</v>
      </c>
      <c r="P68" s="21">
        <v>2462</v>
      </c>
      <c r="Q68" s="44" t="str">
        <f t="shared" si="25"/>
        <v>.00000000,.00000000</v>
      </c>
      <c r="R68" s="98" t="str">
        <f t="shared" si="26"/>
        <v>&lt;trkpt lon=".00000000" lat=".00000000"&gt;&lt;name&gt;S03&lt;/name&gt;&lt;/trkpt&gt;</v>
      </c>
    </row>
    <row r="69" spans="1:18" ht="15" thickBot="1" x14ac:dyDescent="0.4">
      <c r="A69" s="23"/>
      <c r="B69" s="102">
        <v>4</v>
      </c>
      <c r="C69" s="12" t="s">
        <v>10</v>
      </c>
      <c r="D69" s="196">
        <v>4428983.9234999996</v>
      </c>
      <c r="E69" s="197">
        <v>4459903.6739999996</v>
      </c>
      <c r="F69" s="138"/>
      <c r="G69" s="140"/>
      <c r="H69" s="138" t="str" cm="1">
        <f t="array" ref="H69">_xll.PE.deg.AsString(F69)</f>
        <v>00 00 00</v>
      </c>
      <c r="I69" s="139" t="str" cm="1">
        <f t="array" ref="I69">_xll.PE.deg.AsString(G69)</f>
        <v>00 00 00</v>
      </c>
      <c r="J69" s="138" cm="1">
        <f t="array" ref="J69">_xll.PE.deg.FromString(H69)</f>
        <v>0</v>
      </c>
      <c r="K69" s="140" cm="1">
        <f t="array" ref="K69">_xll.PE.deg.FromString(I69)</f>
        <v>0</v>
      </c>
      <c r="L69" s="75">
        <f t="shared" si="22"/>
        <v>0</v>
      </c>
      <c r="M69" s="76">
        <f t="shared" si="22"/>
        <v>0</v>
      </c>
      <c r="N69" s="10">
        <f t="shared" si="23"/>
        <v>8647.4814146180488</v>
      </c>
      <c r="O69" s="93">
        <f t="shared" si="24"/>
        <v>46.735704560545393</v>
      </c>
      <c r="P69" s="90" cm="1">
        <f t="array" ref="P69">_xll.PE.crs.GeodesicDistance($D$4,D67:E71)</f>
        <v>27076.181068575235</v>
      </c>
      <c r="Q69" s="44" t="str">
        <f t="shared" si="25"/>
        <v>.00000000,.00000000</v>
      </c>
      <c r="R69" s="98" t="str">
        <f t="shared" si="26"/>
        <v>&lt;trkpt lon=".00000000" lat=".00000000"&gt;&lt;name&gt;S04&lt;/name&gt;&lt;/trkpt&gt;</v>
      </c>
    </row>
    <row r="70" spans="1:18" ht="15" thickBot="1" x14ac:dyDescent="0.4">
      <c r="A70" s="23"/>
      <c r="B70" s="102">
        <v>5</v>
      </c>
      <c r="C70" s="12" t="s">
        <v>7</v>
      </c>
      <c r="D70" s="196">
        <v>4435281.0193999996</v>
      </c>
      <c r="E70" s="197">
        <v>4465830.3525</v>
      </c>
      <c r="F70" s="138"/>
      <c r="G70" s="140"/>
      <c r="H70" s="138" t="str" cm="1">
        <f t="array" ref="H70">_xll.PE.deg.AsString(F70)</f>
        <v>00 00 00</v>
      </c>
      <c r="I70" s="139" t="str" cm="1">
        <f t="array" ref="I70">_xll.PE.deg.AsString(G70)</f>
        <v>00 00 00</v>
      </c>
      <c r="J70" s="138" cm="1">
        <f t="array" ref="J70">_xll.PE.deg.FromString(H70)</f>
        <v>0</v>
      </c>
      <c r="K70" s="140" cm="1">
        <f t="array" ref="K70">_xll.PE.deg.FromString(I70)</f>
        <v>0</v>
      </c>
      <c r="L70" s="75">
        <f t="shared" si="22"/>
        <v>0</v>
      </c>
      <c r="M70" s="76">
        <f t="shared" si="22"/>
        <v>0</v>
      </c>
      <c r="N70" s="39">
        <f t="shared" si="23"/>
        <v>4000.0000000003356</v>
      </c>
      <c r="O70" s="89">
        <f t="shared" si="24"/>
        <v>46.735704560543653</v>
      </c>
      <c r="P70" s="89"/>
      <c r="Q70" s="44" t="str">
        <f t="shared" si="25"/>
        <v>.00000000,.00000000</v>
      </c>
      <c r="R70" s="98" t="str">
        <f t="shared" si="26"/>
        <v>&lt;trkpt lon=".00000000" lat=".00000000"&gt;&lt;name&gt;S05&lt;/name&gt;&lt;/trkpt&gt;</v>
      </c>
    </row>
    <row r="71" spans="1:18" ht="15" thickBot="1" x14ac:dyDescent="0.4">
      <c r="A71" s="23" t="str">
        <f>C65</f>
        <v>D_011</v>
      </c>
      <c r="B71" s="102">
        <v>6</v>
      </c>
      <c r="C71" s="12" t="s">
        <v>5</v>
      </c>
      <c r="D71" s="187">
        <f>D70+$D$8*SIN(RADIANS(O69))</f>
        <v>4438193.819369413</v>
      </c>
      <c r="E71" s="188">
        <f>E70+$D$8*COS(RADIANS(O69))</f>
        <v>4468571.8112974633</v>
      </c>
      <c r="F71" s="135"/>
      <c r="G71" s="137"/>
      <c r="H71" s="135" t="str" cm="1">
        <f t="array" ref="H71">_xll.PE.deg.AsString(F71)</f>
        <v>00 00 00</v>
      </c>
      <c r="I71" s="136" t="str" cm="1">
        <f t="array" ref="I71">_xll.PE.deg.AsString(G71)</f>
        <v>00 00 00</v>
      </c>
      <c r="J71" s="135" cm="1">
        <f t="array" ref="J71">_xll.PE.deg.FromString(H71)</f>
        <v>0</v>
      </c>
      <c r="K71" s="137" cm="1">
        <f t="array" ref="K71">_xll.PE.deg.FromString(I71)</f>
        <v>0</v>
      </c>
      <c r="L71" s="73">
        <f t="shared" si="22"/>
        <v>0</v>
      </c>
      <c r="M71" s="74">
        <f t="shared" si="22"/>
        <v>0</v>
      </c>
      <c r="N71" s="39">
        <f t="shared" si="23"/>
        <v>3000.0000000005812</v>
      </c>
      <c r="O71" s="89">
        <f t="shared" si="24"/>
        <v>46.735704560543461</v>
      </c>
      <c r="P71" s="5">
        <v>4326</v>
      </c>
      <c r="Q71" s="44" t="str">
        <f t="shared" si="25"/>
        <v>.00000000,.00000000</v>
      </c>
      <c r="R71" s="98" t="str">
        <f t="shared" si="26"/>
        <v>&lt;trkpt lon=".00000000" lat=".00000000"&gt;&lt;name&gt;S06&lt;/name&gt;&lt;/trkpt&gt;</v>
      </c>
    </row>
    <row r="72" spans="1:18" ht="15" thickBot="1" x14ac:dyDescent="0.4">
      <c r="A72" s="23"/>
      <c r="B72" s="103">
        <v>7</v>
      </c>
      <c r="C72" s="13" t="s">
        <v>13</v>
      </c>
      <c r="D72" s="191">
        <f>D71+$D$7*SIN(RADIANS(O70))</f>
        <v>4440378.4193464732</v>
      </c>
      <c r="E72" s="192">
        <f>E71+$D$7*COS(RADIANS(O70))</f>
        <v>4470627.9053955609</v>
      </c>
      <c r="F72" s="141"/>
      <c r="G72" s="143"/>
      <c r="H72" s="141" t="str" cm="1">
        <f t="array" ref="H72">_xll.PE.deg.AsString(F72)</f>
        <v>00 00 00</v>
      </c>
      <c r="I72" s="142" t="str" cm="1">
        <f t="array" ref="I72">_xll.PE.deg.AsString(G72)</f>
        <v>00 00 00</v>
      </c>
      <c r="J72" s="141" cm="1">
        <f t="array" ref="J72">_xll.PE.deg.FromString(H72)</f>
        <v>0</v>
      </c>
      <c r="K72" s="143" cm="1">
        <f t="array" ref="K72">_xll.PE.deg.FromString(I72)</f>
        <v>0</v>
      </c>
      <c r="L72" s="77">
        <f t="shared" si="22"/>
        <v>0</v>
      </c>
      <c r="M72" s="78">
        <f t="shared" si="22"/>
        <v>0</v>
      </c>
      <c r="N72" s="34">
        <f>SUM(N67:N70)</f>
        <v>27077.926362113834</v>
      </c>
      <c r="O72" s="5" t="s">
        <v>11</v>
      </c>
      <c r="P72" s="90" cm="1">
        <f t="array" ref="P72">_xll.PE.crs.GeodesicDistance($D$5,J67:K71)</f>
        <v>0</v>
      </c>
      <c r="Q72" s="44" t="str">
        <f t="shared" si="25"/>
        <v>.00000000,.00000000</v>
      </c>
      <c r="R72" s="98" t="str">
        <f t="shared" si="26"/>
        <v>&lt;trkpt lon=".00000000" lat=".00000000"&gt;&lt;name&gt;S07&lt;/name&gt;&lt;/trkpt&gt;</v>
      </c>
    </row>
    <row r="73" spans="1:18" ht="15" thickBot="1" x14ac:dyDescent="0.4">
      <c r="A73" s="23"/>
      <c r="B73" s="105"/>
      <c r="C73" s="17"/>
      <c r="D73" s="193"/>
      <c r="E73" s="193"/>
      <c r="F73" s="42"/>
      <c r="G73" s="42"/>
      <c r="H73" s="42"/>
      <c r="I73" s="42"/>
      <c r="J73" s="42"/>
      <c r="K73" s="42"/>
      <c r="L73" s="42"/>
      <c r="M73" s="42"/>
      <c r="N73" s="25">
        <f>N68+N69</f>
        <v>19077.92636211358</v>
      </c>
      <c r="O73" s="106" t="s">
        <v>12</v>
      </c>
      <c r="P73" s="91"/>
      <c r="Q73" s="44" t="s">
        <v>21</v>
      </c>
      <c r="R73" s="98" t="str">
        <f>CONCATENATE("&lt;/trkseg&gt;&lt;/trk&gt;")</f>
        <v>&lt;/trkseg&gt;&lt;/trk&gt;</v>
      </c>
    </row>
    <row r="74" spans="1:18" ht="15" thickBot="1" x14ac:dyDescent="0.4">
      <c r="A74" s="23"/>
      <c r="B74" s="105"/>
      <c r="C74" s="19" t="s">
        <v>36</v>
      </c>
      <c r="D74" s="194"/>
      <c r="E74" s="194"/>
      <c r="F74" s="40"/>
      <c r="G74" s="40"/>
      <c r="H74" s="40"/>
      <c r="I74" s="40"/>
      <c r="J74" s="40"/>
      <c r="K74" s="40"/>
      <c r="L74" s="40"/>
      <c r="M74" s="40"/>
      <c r="N74" s="16"/>
      <c r="O74" s="109"/>
      <c r="P74" s="92"/>
      <c r="Q74" s="44" t="str">
        <f>CONCATENATE("&lt;Placemark&gt;&lt;name&gt;",A80,"&lt;/name&gt;&lt;styleUrl&gt;#track001&lt;/styleUrl&gt;&lt;MultiGeometry&gt;&lt;LineString&gt;&lt;coordinates&gt;")</f>
        <v>&lt;Placemark&gt;&lt;name&gt;D_012&lt;/name&gt;&lt;styleUrl&gt;#track001&lt;/styleUrl&gt;&lt;MultiGeometry&gt;&lt;LineString&gt;&lt;coordinates&gt;</v>
      </c>
      <c r="R74" s="98" t="str">
        <f>CONCATENATE("&lt;trk&gt;&lt;name&gt;",A80,"&lt;/name&gt;&lt;trkseg&gt;")</f>
        <v>&lt;trk&gt;&lt;name&gt;D_012&lt;/name&gt;&lt;trkseg&gt;</v>
      </c>
    </row>
    <row r="75" spans="1:18" x14ac:dyDescent="0.35">
      <c r="A75" s="23"/>
      <c r="B75" s="101">
        <v>1</v>
      </c>
      <c r="C75" s="41" t="s">
        <v>13</v>
      </c>
      <c r="D75" s="185">
        <f>D76-$D$7*SIN(RADIANS(O76))</f>
        <v>4415630.3413818749</v>
      </c>
      <c r="E75" s="186">
        <f>E76-$D$7*COS(RADIANS(O76))</f>
        <v>4441250.3036329644</v>
      </c>
      <c r="F75" s="132" cm="1">
        <f t="array" ref="F75:G75">_xll.PE.trf.Transform($D$4,$D$5,D75:D81,E75:E81)</f>
        <v>20.009021806680682</v>
      </c>
      <c r="G75" s="134">
        <v>40.100151765718145</v>
      </c>
      <c r="H75" s="132" t="str" cm="1">
        <f t="array" ref="H75">_xll.PE.deg.AsString(F75)</f>
        <v>20 00 32</v>
      </c>
      <c r="I75" s="133" t="str" cm="1">
        <f t="array" ref="I75">_xll.PE.deg.AsString(G75)</f>
        <v>40 06 01</v>
      </c>
      <c r="J75" s="132" cm="1">
        <f t="array" ref="J75">_xll.PE.deg.FromString(H75)</f>
        <v>20.00888888888889</v>
      </c>
      <c r="K75" s="134" cm="1">
        <f t="array" ref="K75">_xll.PE.deg.FromString(I75)</f>
        <v>40.100277777777777</v>
      </c>
      <c r="L75" s="71">
        <f t="shared" ref="L75:M81" si="27">F75-J75</f>
        <v>1.3291779179169794E-4</v>
      </c>
      <c r="M75" s="72">
        <f t="shared" si="27"/>
        <v>-1.2601205963136408E-4</v>
      </c>
      <c r="N75" s="8">
        <f t="shared" ref="N75:N80" si="28">SQRT((D76-D75)^2+(E76-E75)^2)</f>
        <v>2999.9999999998577</v>
      </c>
      <c r="O75" s="108">
        <f t="shared" ref="O75:O80" si="29">IF(DEGREES(ATAN2(E76-E75,D76-D75))&lt;0,DEGREES(ATAN2(E76-E75,D76-D75))+360,(DEGREES(ATAN2(E76-E75,D76-D75))))</f>
        <v>59.818618744838837</v>
      </c>
      <c r="P75" s="89"/>
      <c r="Q75" s="44" t="str">
        <f t="shared" ref="Q75:Q81" si="30">CONCATENATE(TEXT(F75,"#.00000000"),",",TEXT(G75,"#.00000000"))</f>
        <v>20.00902181,40.10015177</v>
      </c>
      <c r="R75" s="98" t="str">
        <f t="shared" ref="R75:R81" si="31">CONCATENATE("&lt;trkpt lon=""",TEXT(F75,"#.00000000"),""" lat=""",TEXT(G75,"#.00000000"),"""","&gt;&lt;name&gt;S",TEXT(B75,"00"),"&lt;/name&gt;&lt;/trkpt&gt;")</f>
        <v>&lt;trkpt lon="20.00902181" lat="40.10015177"&gt;&lt;name&gt;S01&lt;/name&gt;&lt;/trkpt&gt;</v>
      </c>
    </row>
    <row r="76" spans="1:18" ht="15" thickBot="1" x14ac:dyDescent="0.4">
      <c r="A76" s="23"/>
      <c r="B76" s="102">
        <v>2</v>
      </c>
      <c r="C76" s="12" t="s">
        <v>5</v>
      </c>
      <c r="D76" s="187">
        <f>D77-$D$8*SIN(RADIANS(O77))</f>
        <v>4418223.6560324999</v>
      </c>
      <c r="E76" s="188">
        <f>E77-$D$8*COS(RADIANS(O77))</f>
        <v>4442758.5208331225</v>
      </c>
      <c r="F76" s="135"/>
      <c r="G76" s="137"/>
      <c r="H76" s="135" t="str" cm="1">
        <f t="array" ref="H76">_xll.PE.deg.AsString(F76)</f>
        <v>00 00 00</v>
      </c>
      <c r="I76" s="136" t="str" cm="1">
        <f t="array" ref="I76">_xll.PE.deg.AsString(G76)</f>
        <v>00 00 00</v>
      </c>
      <c r="J76" s="135" cm="1">
        <f t="array" ref="J76">_xll.PE.deg.FromString(H76)</f>
        <v>0</v>
      </c>
      <c r="K76" s="137" cm="1">
        <f t="array" ref="K76">_xll.PE.deg.FromString(I76)</f>
        <v>0</v>
      </c>
      <c r="L76" s="73">
        <f t="shared" si="27"/>
        <v>0</v>
      </c>
      <c r="M76" s="74">
        <f t="shared" si="27"/>
        <v>0</v>
      </c>
      <c r="N76" s="39">
        <f t="shared" si="28"/>
        <v>3999.9999999999231</v>
      </c>
      <c r="O76" s="89">
        <f t="shared" si="29"/>
        <v>59.818618744844919</v>
      </c>
      <c r="P76" s="89"/>
      <c r="Q76" s="44" t="str">
        <f t="shared" si="30"/>
        <v>.00000000,.00000000</v>
      </c>
      <c r="R76" s="98" t="str">
        <f t="shared" si="31"/>
        <v>&lt;trkpt lon=".00000000" lat=".00000000"&gt;&lt;name&gt;S02&lt;/name&gt;&lt;/trkpt&gt;</v>
      </c>
    </row>
    <row r="77" spans="1:18" ht="15" thickBot="1" x14ac:dyDescent="0.4">
      <c r="A77" s="23"/>
      <c r="B77" s="102">
        <v>3</v>
      </c>
      <c r="C77" s="12" t="s">
        <v>9</v>
      </c>
      <c r="D77" s="196">
        <v>4421681.4089000002</v>
      </c>
      <c r="E77" s="197">
        <v>4444769.4770999998</v>
      </c>
      <c r="F77" s="138"/>
      <c r="G77" s="140"/>
      <c r="H77" s="138" t="str" cm="1">
        <f t="array" ref="H77">_xll.PE.deg.AsString(F77)</f>
        <v>00 00 00</v>
      </c>
      <c r="I77" s="139" t="str" cm="1">
        <f t="array" ref="I77">_xll.PE.deg.AsString(G77)</f>
        <v>00 00 00</v>
      </c>
      <c r="J77" s="138" cm="1">
        <f t="array" ref="J77">_xll.PE.deg.FromString(H77)</f>
        <v>0</v>
      </c>
      <c r="K77" s="140" cm="1">
        <f t="array" ref="K77">_xll.PE.deg.FromString(I77)</f>
        <v>0</v>
      </c>
      <c r="L77" s="75">
        <f t="shared" si="27"/>
        <v>0</v>
      </c>
      <c r="M77" s="76">
        <f t="shared" si="27"/>
        <v>0</v>
      </c>
      <c r="N77" s="10">
        <f t="shared" si="28"/>
        <v>11630.891026943518</v>
      </c>
      <c r="O77" s="93">
        <f t="shared" si="29"/>
        <v>59.818618744844358</v>
      </c>
      <c r="P77" s="21">
        <v>2462</v>
      </c>
      <c r="Q77" s="44" t="str">
        <f t="shared" si="30"/>
        <v>.00000000,.00000000</v>
      </c>
      <c r="R77" s="98" t="str">
        <f t="shared" si="31"/>
        <v>&lt;trkpt lon=".00000000" lat=".00000000"&gt;&lt;name&gt;S03&lt;/name&gt;&lt;/trkpt&gt;</v>
      </c>
    </row>
    <row r="78" spans="1:18" ht="15" thickBot="1" x14ac:dyDescent="0.4">
      <c r="A78" s="23"/>
      <c r="B78" s="102">
        <v>4</v>
      </c>
      <c r="C78" s="12" t="s">
        <v>10</v>
      </c>
      <c r="D78" s="196">
        <v>4431735.5955999997</v>
      </c>
      <c r="E78" s="197">
        <v>4450616.7803999996</v>
      </c>
      <c r="F78" s="138"/>
      <c r="G78" s="140"/>
      <c r="H78" s="138" t="str" cm="1">
        <f t="array" ref="H78">_xll.PE.deg.AsString(F78)</f>
        <v>00 00 00</v>
      </c>
      <c r="I78" s="139" t="str" cm="1">
        <f t="array" ref="I78">_xll.PE.deg.AsString(G78)</f>
        <v>00 00 00</v>
      </c>
      <c r="J78" s="138" cm="1">
        <f t="array" ref="J78">_xll.PE.deg.FromString(H78)</f>
        <v>0</v>
      </c>
      <c r="K78" s="140" cm="1">
        <f t="array" ref="K78">_xll.PE.deg.FromString(I78)</f>
        <v>0</v>
      </c>
      <c r="L78" s="75">
        <f t="shared" si="27"/>
        <v>0</v>
      </c>
      <c r="M78" s="76">
        <f t="shared" si="27"/>
        <v>0</v>
      </c>
      <c r="N78" s="10">
        <f t="shared" si="28"/>
        <v>14754.293294410725</v>
      </c>
      <c r="O78" s="93">
        <f t="shared" si="29"/>
        <v>52.431407923818661</v>
      </c>
      <c r="P78" s="90" cm="1">
        <f t="array" ref="P78">_xll.PE.crs.GeodesicDistance($D$4,D76:E80)</f>
        <v>34383.240875944546</v>
      </c>
      <c r="Q78" s="44" t="str">
        <f t="shared" si="30"/>
        <v>.00000000,.00000000</v>
      </c>
      <c r="R78" s="98" t="str">
        <f t="shared" si="31"/>
        <v>&lt;trkpt lon=".00000000" lat=".00000000"&gt;&lt;name&gt;S04&lt;/name&gt;&lt;/trkpt&gt;</v>
      </c>
    </row>
    <row r="79" spans="1:18" ht="15" thickBot="1" x14ac:dyDescent="0.4">
      <c r="A79" s="23"/>
      <c r="B79" s="102">
        <v>5</v>
      </c>
      <c r="C79" s="12" t="s">
        <v>7</v>
      </c>
      <c r="D79" s="196">
        <v>4443430.2023999998</v>
      </c>
      <c r="E79" s="197">
        <v>4459612.6317999996</v>
      </c>
      <c r="F79" s="138"/>
      <c r="G79" s="140"/>
      <c r="H79" s="138" t="str" cm="1">
        <f t="array" ref="H79">_xll.PE.deg.AsString(F79)</f>
        <v>00 00 00</v>
      </c>
      <c r="I79" s="139" t="str" cm="1">
        <f t="array" ref="I79">_xll.PE.deg.AsString(G79)</f>
        <v>00 00 00</v>
      </c>
      <c r="J79" s="138" cm="1">
        <f t="array" ref="J79">_xll.PE.deg.FromString(H79)</f>
        <v>0</v>
      </c>
      <c r="K79" s="140" cm="1">
        <f t="array" ref="K79">_xll.PE.deg.FromString(I79)</f>
        <v>0</v>
      </c>
      <c r="L79" s="75">
        <f t="shared" si="27"/>
        <v>0</v>
      </c>
      <c r="M79" s="76">
        <f t="shared" si="27"/>
        <v>0</v>
      </c>
      <c r="N79" s="39">
        <f t="shared" si="28"/>
        <v>3999.999999999819</v>
      </c>
      <c r="O79" s="89">
        <f t="shared" si="29"/>
        <v>52.431407923821524</v>
      </c>
      <c r="P79" s="89"/>
      <c r="Q79" s="44" t="str">
        <f t="shared" si="30"/>
        <v>.00000000,.00000000</v>
      </c>
      <c r="R79" s="98" t="str">
        <f t="shared" si="31"/>
        <v>&lt;trkpt lon=".00000000" lat=".00000000"&gt;&lt;name&gt;S05&lt;/name&gt;&lt;/trkpt&gt;</v>
      </c>
    </row>
    <row r="80" spans="1:18" ht="15" thickBot="1" x14ac:dyDescent="0.4">
      <c r="A80" s="23" t="str">
        <f>C74</f>
        <v>D_012</v>
      </c>
      <c r="B80" s="102">
        <v>6</v>
      </c>
      <c r="C80" s="12" t="s">
        <v>5</v>
      </c>
      <c r="D80" s="187">
        <f>D79+$D$8*SIN(RADIANS(O78))</f>
        <v>4446600.6983544026</v>
      </c>
      <c r="E80" s="188">
        <f>E79+$D$8*COS(RADIANS(O78))</f>
        <v>4462051.4748460185</v>
      </c>
      <c r="F80" s="135"/>
      <c r="G80" s="137"/>
      <c r="H80" s="135" t="str" cm="1">
        <f t="array" ref="H80">_xll.PE.deg.AsString(F80)</f>
        <v>00 00 00</v>
      </c>
      <c r="I80" s="136" t="str" cm="1">
        <f t="array" ref="I80">_xll.PE.deg.AsString(G80)</f>
        <v>00 00 00</v>
      </c>
      <c r="J80" s="135" cm="1">
        <f t="array" ref="J80">_xll.PE.deg.FromString(H80)</f>
        <v>0</v>
      </c>
      <c r="K80" s="137" cm="1">
        <f t="array" ref="K80">_xll.PE.deg.FromString(I80)</f>
        <v>0</v>
      </c>
      <c r="L80" s="73">
        <f t="shared" si="27"/>
        <v>0</v>
      </c>
      <c r="M80" s="74">
        <f t="shared" si="27"/>
        <v>0</v>
      </c>
      <c r="N80" s="39">
        <f t="shared" si="28"/>
        <v>3000.0000000003324</v>
      </c>
      <c r="O80" s="89">
        <f t="shared" si="29"/>
        <v>52.43140792381719</v>
      </c>
      <c r="P80" s="5">
        <v>4326</v>
      </c>
      <c r="Q80" s="44" t="str">
        <f t="shared" si="30"/>
        <v>.00000000,.00000000</v>
      </c>
      <c r="R80" s="98" t="str">
        <f t="shared" si="31"/>
        <v>&lt;trkpt lon=".00000000" lat=".00000000"&gt;&lt;name&gt;S06&lt;/name&gt;&lt;/trkpt&gt;</v>
      </c>
    </row>
    <row r="81" spans="1:18" ht="15" thickBot="1" x14ac:dyDescent="0.4">
      <c r="A81" s="23"/>
      <c r="B81" s="103">
        <v>7</v>
      </c>
      <c r="C81" s="13" t="s">
        <v>13</v>
      </c>
      <c r="D81" s="191">
        <f>D80+$D$7*SIN(RADIANS(O79))</f>
        <v>4448978.5703202048</v>
      </c>
      <c r="E81" s="192">
        <f>E80+$D$7*COS(RADIANS(O79))</f>
        <v>4463880.6071305331</v>
      </c>
      <c r="F81" s="141"/>
      <c r="G81" s="143"/>
      <c r="H81" s="141" t="str" cm="1">
        <f t="array" ref="H81">_xll.PE.deg.AsString(F81)</f>
        <v>00 00 00</v>
      </c>
      <c r="I81" s="142" t="str" cm="1">
        <f t="array" ref="I81">_xll.PE.deg.AsString(G81)</f>
        <v>00 00 00</v>
      </c>
      <c r="J81" s="141" cm="1">
        <f t="array" ref="J81">_xll.PE.deg.FromString(H81)</f>
        <v>0</v>
      </c>
      <c r="K81" s="143" cm="1">
        <f t="array" ref="K81">_xll.PE.deg.FromString(I81)</f>
        <v>0</v>
      </c>
      <c r="L81" s="77">
        <f t="shared" si="27"/>
        <v>0</v>
      </c>
      <c r="M81" s="78">
        <f t="shared" si="27"/>
        <v>0</v>
      </c>
      <c r="N81" s="34">
        <f>SUM(N76:N79)</f>
        <v>34385.184321353983</v>
      </c>
      <c r="O81" s="5" t="s">
        <v>11</v>
      </c>
      <c r="P81" s="90" cm="1">
        <f t="array" ref="P81">_xll.PE.crs.GeodesicDistance($D$5,J76:K80)</f>
        <v>0</v>
      </c>
      <c r="Q81" s="44" t="str">
        <f t="shared" si="30"/>
        <v>.00000000,.00000000</v>
      </c>
      <c r="R81" s="98" t="str">
        <f t="shared" si="31"/>
        <v>&lt;trkpt lon=".00000000" lat=".00000000"&gt;&lt;name&gt;S07&lt;/name&gt;&lt;/trkpt&gt;</v>
      </c>
    </row>
    <row r="82" spans="1:18" ht="15" thickBot="1" x14ac:dyDescent="0.4">
      <c r="A82" s="23"/>
      <c r="B82" s="105"/>
      <c r="C82" s="17"/>
      <c r="D82" s="193"/>
      <c r="E82" s="193"/>
      <c r="F82" s="42"/>
      <c r="G82" s="42"/>
      <c r="H82" s="42"/>
      <c r="I82" s="42"/>
      <c r="J82" s="42"/>
      <c r="K82" s="42"/>
      <c r="L82" s="42"/>
      <c r="M82" s="42"/>
      <c r="N82" s="25">
        <f>N77+N78</f>
        <v>26385.184321354245</v>
      </c>
      <c r="O82" s="106" t="s">
        <v>12</v>
      </c>
      <c r="P82" s="91"/>
      <c r="Q82" s="44" t="s">
        <v>21</v>
      </c>
      <c r="R82" s="98" t="str">
        <f>CONCATENATE("&lt;/trkseg&gt;&lt;/trk&gt;")</f>
        <v>&lt;/trkseg&gt;&lt;/trk&gt;</v>
      </c>
    </row>
    <row r="83" spans="1:18" ht="15" thickBot="1" x14ac:dyDescent="0.4">
      <c r="A83" s="23"/>
      <c r="B83" s="105"/>
      <c r="C83" s="19" t="s">
        <v>37</v>
      </c>
      <c r="D83" s="194"/>
      <c r="E83" s="194"/>
      <c r="F83" s="40"/>
      <c r="G83" s="40"/>
      <c r="H83" s="40"/>
      <c r="I83" s="40"/>
      <c r="J83" s="40"/>
      <c r="K83" s="40"/>
      <c r="L83" s="40"/>
      <c r="M83" s="40"/>
      <c r="N83" s="16"/>
      <c r="O83" s="109"/>
      <c r="P83" s="92"/>
      <c r="Q83" s="44" t="str">
        <f>CONCATENATE("&lt;Placemark&gt;&lt;name&gt;",A89,"&lt;/name&gt;&lt;styleUrl&gt;#track001&lt;/styleUrl&gt;&lt;MultiGeometry&gt;&lt;LineString&gt;&lt;coordinates&gt;")</f>
        <v>&lt;Placemark&gt;&lt;name&gt;D_013&lt;/name&gt;&lt;styleUrl&gt;#track001&lt;/styleUrl&gt;&lt;MultiGeometry&gt;&lt;LineString&gt;&lt;coordinates&gt;</v>
      </c>
      <c r="R83" s="98" t="str">
        <f>CONCATENATE("&lt;trk&gt;&lt;name&gt;",A89,"&lt;/name&gt;&lt;trkseg&gt;")</f>
        <v>&lt;trk&gt;&lt;name&gt;D_013&lt;/name&gt;&lt;trkseg&gt;</v>
      </c>
    </row>
    <row r="84" spans="1:18" x14ac:dyDescent="0.35">
      <c r="A84" s="23"/>
      <c r="B84" s="101">
        <v>1</v>
      </c>
      <c r="C84" s="41" t="s">
        <v>13</v>
      </c>
      <c r="D84" s="185">
        <f>D85-$D$7*SIN(RADIANS(O85))</f>
        <v>4420707.4260443719</v>
      </c>
      <c r="E84" s="186">
        <f>E85-$D$7*COS(RADIANS(O85))</f>
        <v>4429507.8151147934</v>
      </c>
      <c r="F84" s="132" cm="1">
        <f t="array" ref="F84:G84">_xll.PE.trf.Transform($D$4,$D$5,D84:D90,E84:E90)</f>
        <v>20.069993444467798</v>
      </c>
      <c r="G84" s="134">
        <v>39.994906393702017</v>
      </c>
      <c r="H84" s="132" t="str" cm="1">
        <f t="array" ref="H84">_xll.PE.deg.AsString(F84)</f>
        <v>20 04 12</v>
      </c>
      <c r="I84" s="133" t="str" cm="1">
        <f t="array" ref="I84">_xll.PE.deg.AsString(G84)</f>
        <v>39 59 42</v>
      </c>
      <c r="J84" s="132" cm="1">
        <f t="array" ref="J84">_xll.PE.deg.FromString(H84)</f>
        <v>20.07</v>
      </c>
      <c r="K84" s="134" cm="1">
        <f t="array" ref="K84">_xll.PE.deg.FromString(I84)</f>
        <v>39.994999999999997</v>
      </c>
      <c r="L84" s="71">
        <f t="shared" ref="L84:M90" si="32">F84-J84</f>
        <v>-6.5555322024124507E-6</v>
      </c>
      <c r="M84" s="72">
        <f t="shared" si="32"/>
        <v>-9.3606297980386444E-5</v>
      </c>
      <c r="N84" s="8">
        <f t="shared" ref="N84:N89" si="33">SQRT((D85-D84)^2+(E85-E84)^2)</f>
        <v>2999.9999999998063</v>
      </c>
      <c r="O84" s="108">
        <f t="shared" ref="O84:O89" si="34">IF(DEGREES(ATAN2(E85-E84,D85-D84))&lt;0,DEGREES(ATAN2(E85-E84,D85-D84))+360,(DEGREES(ATAN2(E85-E84,D85-D84))))</f>
        <v>59.866281983325656</v>
      </c>
      <c r="P84" s="89"/>
      <c r="Q84" s="44" t="str">
        <f t="shared" ref="Q84:Q90" si="35">CONCATENATE(TEXT(F84,"#.00000000"),",",TEXT(G84,"#.00000000"))</f>
        <v>20.06999344,39.99490639</v>
      </c>
      <c r="R84" s="98" t="str">
        <f t="shared" ref="R84:R90" si="36">CONCATENATE("&lt;trkpt lon=""",TEXT(F84,"#.00000000"),""" lat=""",TEXT(G84,"#.00000000"),"""","&gt;&lt;name&gt;S",TEXT(B84,"00"),"&lt;/name&gt;&lt;/trkpt&gt;")</f>
        <v>&lt;trkpt lon="20.06999344" lat="39.99490639"&gt;&lt;name&gt;S01&lt;/name&gt;&lt;/trkpt&gt;</v>
      </c>
    </row>
    <row r="85" spans="1:18" ht="15" thickBot="1" x14ac:dyDescent="0.4">
      <c r="A85" s="23"/>
      <c r="B85" s="102">
        <v>2</v>
      </c>
      <c r="C85" s="12" t="s">
        <v>5</v>
      </c>
      <c r="D85" s="187">
        <f>D86-$D$8*SIN(RADIANS(O86))</f>
        <v>4423301.9944539266</v>
      </c>
      <c r="E85" s="188">
        <f>E86-$D$8*COS(RADIANS(O86))</f>
        <v>4431013.8744655959</v>
      </c>
      <c r="F85" s="135"/>
      <c r="G85" s="137"/>
      <c r="H85" s="135" t="str" cm="1">
        <f t="array" ref="H85">_xll.PE.deg.AsString(F85)</f>
        <v>00 00 00</v>
      </c>
      <c r="I85" s="136" t="str" cm="1">
        <f t="array" ref="I85">_xll.PE.deg.AsString(G85)</f>
        <v>00 00 00</v>
      </c>
      <c r="J85" s="135" cm="1">
        <f t="array" ref="J85">_xll.PE.deg.FromString(H85)</f>
        <v>0</v>
      </c>
      <c r="K85" s="137" cm="1">
        <f t="array" ref="K85">_xll.PE.deg.FromString(I85)</f>
        <v>0</v>
      </c>
      <c r="L85" s="73">
        <f t="shared" si="32"/>
        <v>0</v>
      </c>
      <c r="M85" s="74">
        <f t="shared" si="32"/>
        <v>0</v>
      </c>
      <c r="N85" s="39">
        <f t="shared" si="33"/>
        <v>4000.000000000166</v>
      </c>
      <c r="O85" s="89">
        <f t="shared" si="34"/>
        <v>59.866281983324043</v>
      </c>
      <c r="P85" s="89"/>
      <c r="Q85" s="44" t="str">
        <f t="shared" si="35"/>
        <v>.00000000,.00000000</v>
      </c>
      <c r="R85" s="98" t="str">
        <f t="shared" si="36"/>
        <v>&lt;trkpt lon=".00000000" lat=".00000000"&gt;&lt;name&gt;S02&lt;/name&gt;&lt;/trkpt&gt;</v>
      </c>
    </row>
    <row r="86" spans="1:18" ht="15" thickBot="1" x14ac:dyDescent="0.4">
      <c r="A86" s="23"/>
      <c r="B86" s="102">
        <v>3</v>
      </c>
      <c r="C86" s="12" t="s">
        <v>9</v>
      </c>
      <c r="D86" s="196">
        <v>4426761.4189999998</v>
      </c>
      <c r="E86" s="197">
        <v>4433021.9535999997</v>
      </c>
      <c r="F86" s="138"/>
      <c r="G86" s="140"/>
      <c r="H86" s="138" t="str" cm="1">
        <f t="array" ref="H86">_xll.PE.deg.AsString(F86)</f>
        <v>00 00 00</v>
      </c>
      <c r="I86" s="139" t="str" cm="1">
        <f t="array" ref="I86">_xll.PE.deg.AsString(G86)</f>
        <v>00 00 00</v>
      </c>
      <c r="J86" s="138" cm="1">
        <f t="array" ref="J86">_xll.PE.deg.FromString(H86)</f>
        <v>0</v>
      </c>
      <c r="K86" s="140" cm="1">
        <f t="array" ref="K86">_xll.PE.deg.FromString(I86)</f>
        <v>0</v>
      </c>
      <c r="L86" s="75">
        <f t="shared" si="32"/>
        <v>0</v>
      </c>
      <c r="M86" s="76">
        <f t="shared" si="32"/>
        <v>0</v>
      </c>
      <c r="N86" s="10">
        <f t="shared" si="33"/>
        <v>13644.119064131539</v>
      </c>
      <c r="O86" s="93">
        <f t="shared" si="34"/>
        <v>59.866281983324463</v>
      </c>
      <c r="P86" s="21">
        <v>2462</v>
      </c>
      <c r="Q86" s="44" t="str">
        <f t="shared" si="35"/>
        <v>.00000000,.00000000</v>
      </c>
      <c r="R86" s="98" t="str">
        <f t="shared" si="36"/>
        <v>&lt;trkpt lon=".00000000" lat=".00000000"&gt;&lt;name&gt;S03&lt;/name&gt;&lt;/trkpt&gt;</v>
      </c>
    </row>
    <row r="87" spans="1:18" ht="15" thickBot="1" x14ac:dyDescent="0.4">
      <c r="A87" s="23"/>
      <c r="B87" s="102">
        <v>4</v>
      </c>
      <c r="C87" s="12" t="s">
        <v>10</v>
      </c>
      <c r="D87" s="196">
        <v>4438561.6190999998</v>
      </c>
      <c r="E87" s="197">
        <v>4439871.5713</v>
      </c>
      <c r="F87" s="138"/>
      <c r="G87" s="140"/>
      <c r="H87" s="138" t="str" cm="1">
        <f t="array" ref="H87">_xll.PE.deg.AsString(F87)</f>
        <v>00 00 00</v>
      </c>
      <c r="I87" s="139" t="str" cm="1">
        <f t="array" ref="I87">_xll.PE.deg.AsString(G87)</f>
        <v>00 00 00</v>
      </c>
      <c r="J87" s="138" cm="1">
        <f t="array" ref="J87">_xll.PE.deg.FromString(H87)</f>
        <v>0</v>
      </c>
      <c r="K87" s="140" cm="1">
        <f t="array" ref="K87">_xll.PE.deg.FromString(I87)</f>
        <v>0</v>
      </c>
      <c r="L87" s="75">
        <f t="shared" si="32"/>
        <v>0</v>
      </c>
      <c r="M87" s="76">
        <f t="shared" si="32"/>
        <v>0</v>
      </c>
      <c r="N87" s="10">
        <f t="shared" si="33"/>
        <v>19918.651491032069</v>
      </c>
      <c r="O87" s="93">
        <f t="shared" si="34"/>
        <v>56.809492571931429</v>
      </c>
      <c r="P87" s="90" cm="1">
        <f t="array" ref="P87">_xll.PE.crs.GeodesicDistance($D$4,D85:E89)</f>
        <v>41560.942438470796</v>
      </c>
      <c r="Q87" s="44" t="str">
        <f t="shared" si="35"/>
        <v>.00000000,.00000000</v>
      </c>
      <c r="R87" s="98" t="str">
        <f t="shared" si="36"/>
        <v>&lt;trkpt lon=".00000000" lat=".00000000"&gt;&lt;name&gt;S04&lt;/name&gt;&lt;/trkpt&gt;</v>
      </c>
    </row>
    <row r="88" spans="1:18" ht="15" thickBot="1" x14ac:dyDescent="0.4">
      <c r="A88" s="23"/>
      <c r="B88" s="102">
        <v>5</v>
      </c>
      <c r="C88" s="12" t="s">
        <v>7</v>
      </c>
      <c r="D88" s="196">
        <v>4455230.6425999999</v>
      </c>
      <c r="E88" s="197">
        <v>4450775.5307999998</v>
      </c>
      <c r="F88" s="138"/>
      <c r="G88" s="140"/>
      <c r="H88" s="138" t="str" cm="1">
        <f t="array" ref="H88">_xll.PE.deg.AsString(F88)</f>
        <v>00 00 00</v>
      </c>
      <c r="I88" s="139" t="str" cm="1">
        <f t="array" ref="I88">_xll.PE.deg.AsString(G88)</f>
        <v>00 00 00</v>
      </c>
      <c r="J88" s="138" cm="1">
        <f t="array" ref="J88">_xll.PE.deg.FromString(H88)</f>
        <v>0</v>
      </c>
      <c r="K88" s="140" cm="1">
        <f t="array" ref="K88">_xll.PE.deg.FromString(I88)</f>
        <v>0</v>
      </c>
      <c r="L88" s="75">
        <f t="shared" si="32"/>
        <v>0</v>
      </c>
      <c r="M88" s="76">
        <f t="shared" si="32"/>
        <v>0</v>
      </c>
      <c r="N88" s="39">
        <f t="shared" si="33"/>
        <v>4000.0000000002019</v>
      </c>
      <c r="O88" s="89">
        <f t="shared" si="34"/>
        <v>56.809492571930086</v>
      </c>
      <c r="P88" s="89"/>
      <c r="Q88" s="44" t="str">
        <f t="shared" si="35"/>
        <v>.00000000,.00000000</v>
      </c>
      <c r="R88" s="98" t="str">
        <f t="shared" si="36"/>
        <v>&lt;trkpt lon=".00000000" lat=".00000000"&gt;&lt;name&gt;S05&lt;/name&gt;&lt;/trkpt&gt;</v>
      </c>
    </row>
    <row r="89" spans="1:18" ht="15" thickBot="1" x14ac:dyDescent="0.4">
      <c r="A89" s="23" t="str">
        <f>C83</f>
        <v>D_013</v>
      </c>
      <c r="B89" s="102">
        <v>6</v>
      </c>
      <c r="C89" s="12" t="s">
        <v>5</v>
      </c>
      <c r="D89" s="187">
        <f>D88+$D$8*SIN(RADIANS(O87))</f>
        <v>4458578.0626816265</v>
      </c>
      <c r="E89" s="188">
        <f>E88+$D$8*COS(RADIANS(O87))</f>
        <v>4452965.229134731</v>
      </c>
      <c r="F89" s="135"/>
      <c r="G89" s="137"/>
      <c r="H89" s="135" t="str" cm="1">
        <f t="array" ref="H89">_xll.PE.deg.AsString(F89)</f>
        <v>00 00 00</v>
      </c>
      <c r="I89" s="136" t="str" cm="1">
        <f t="array" ref="I89">_xll.PE.deg.AsString(G89)</f>
        <v>00 00 00</v>
      </c>
      <c r="J89" s="135" cm="1">
        <f t="array" ref="J89">_xll.PE.deg.FromString(H89)</f>
        <v>0</v>
      </c>
      <c r="K89" s="137" cm="1">
        <f t="array" ref="K89">_xll.PE.deg.FromString(I89)</f>
        <v>0</v>
      </c>
      <c r="L89" s="73">
        <f t="shared" si="32"/>
        <v>0</v>
      </c>
      <c r="M89" s="74">
        <f t="shared" si="32"/>
        <v>0</v>
      </c>
      <c r="N89" s="9">
        <f t="shared" si="33"/>
        <v>3000.0000000001514</v>
      </c>
      <c r="O89" s="110">
        <f t="shared" si="34"/>
        <v>56.809492571930086</v>
      </c>
      <c r="P89" s="5">
        <v>4326</v>
      </c>
      <c r="Q89" s="44" t="str">
        <f t="shared" si="35"/>
        <v>.00000000,.00000000</v>
      </c>
      <c r="R89" s="98" t="str">
        <f t="shared" si="36"/>
        <v>&lt;trkpt lon=".00000000" lat=".00000000"&gt;&lt;name&gt;S06&lt;/name&gt;&lt;/trkpt&gt;</v>
      </c>
    </row>
    <row r="90" spans="1:18" ht="15" thickBot="1" x14ac:dyDescent="0.4">
      <c r="A90" s="23"/>
      <c r="B90" s="103">
        <v>7</v>
      </c>
      <c r="C90" s="13" t="s">
        <v>13</v>
      </c>
      <c r="D90" s="191">
        <f>D89+$D$7*SIN(RADIANS(O88))</f>
        <v>4461088.6277428465</v>
      </c>
      <c r="E90" s="192">
        <f>E89+$D$7*COS(RADIANS(O88))</f>
        <v>4454607.5028857794</v>
      </c>
      <c r="F90" s="141"/>
      <c r="G90" s="143"/>
      <c r="H90" s="141" t="str" cm="1">
        <f t="array" ref="H90">_xll.PE.deg.AsString(F90)</f>
        <v>00 00 00</v>
      </c>
      <c r="I90" s="142" t="str" cm="1">
        <f t="array" ref="I90">_xll.PE.deg.AsString(G90)</f>
        <v>00 00 00</v>
      </c>
      <c r="J90" s="141" cm="1">
        <f t="array" ref="J90">_xll.PE.deg.FromString(H90)</f>
        <v>0</v>
      </c>
      <c r="K90" s="143" cm="1">
        <f t="array" ref="K90">_xll.PE.deg.FromString(I90)</f>
        <v>0</v>
      </c>
      <c r="L90" s="77">
        <f t="shared" si="32"/>
        <v>0</v>
      </c>
      <c r="M90" s="78">
        <f t="shared" si="32"/>
        <v>0</v>
      </c>
      <c r="N90" s="34">
        <f>SUM(N85:N88)</f>
        <v>41562.770555163981</v>
      </c>
      <c r="O90" s="5" t="s">
        <v>11</v>
      </c>
      <c r="P90" s="90" cm="1">
        <f t="array" ref="P90">_xll.PE.crs.GeodesicDistance($D$5,J85:K89)</f>
        <v>0</v>
      </c>
      <c r="Q90" s="44" t="str">
        <f t="shared" si="35"/>
        <v>.00000000,.00000000</v>
      </c>
      <c r="R90" s="98" t="str">
        <f t="shared" si="36"/>
        <v>&lt;trkpt lon=".00000000" lat=".00000000"&gt;&lt;name&gt;S07&lt;/name&gt;&lt;/trkpt&gt;</v>
      </c>
    </row>
    <row r="91" spans="1:18" ht="15" thickBot="1" x14ac:dyDescent="0.4">
      <c r="A91" s="23"/>
      <c r="B91" s="105"/>
      <c r="C91" s="17"/>
      <c r="D91" s="193"/>
      <c r="E91" s="193"/>
      <c r="F91" s="42"/>
      <c r="G91" s="42"/>
      <c r="H91" s="42"/>
      <c r="I91" s="42"/>
      <c r="J91" s="42"/>
      <c r="K91" s="42"/>
      <c r="L91" s="42"/>
      <c r="M91" s="42"/>
      <c r="N91" s="25">
        <f>N86+N87</f>
        <v>33562.77055516361</v>
      </c>
      <c r="O91" s="106" t="s">
        <v>12</v>
      </c>
      <c r="P91" s="91"/>
      <c r="Q91" s="44" t="s">
        <v>21</v>
      </c>
      <c r="R91" s="98" t="str">
        <f>CONCATENATE("&lt;/trkseg&gt;&lt;/trk&gt;")</f>
        <v>&lt;/trkseg&gt;&lt;/trk&gt;</v>
      </c>
    </row>
    <row r="92" spans="1:18" ht="15" thickBot="1" x14ac:dyDescent="0.4">
      <c r="A92" s="23"/>
      <c r="B92" s="105"/>
      <c r="C92" s="19" t="s">
        <v>38</v>
      </c>
      <c r="D92" s="194"/>
      <c r="E92" s="194"/>
      <c r="F92" s="40"/>
      <c r="G92" s="40"/>
      <c r="H92" s="40"/>
      <c r="I92" s="40"/>
      <c r="J92" s="40"/>
      <c r="K92" s="40"/>
      <c r="L92" s="40"/>
      <c r="M92" s="40"/>
      <c r="N92" s="16"/>
      <c r="O92" s="109"/>
      <c r="P92" s="92"/>
      <c r="Q92" s="44" t="str">
        <f>CONCATENATE("&lt;Placemark&gt;&lt;name&gt;",A98,"&lt;/name&gt;&lt;styleUrl&gt;#track001&lt;/styleUrl&gt;&lt;MultiGeometry&gt;&lt;LineString&gt;&lt;coordinates&gt;")</f>
        <v>&lt;Placemark&gt;&lt;name&gt;D_014&lt;/name&gt;&lt;styleUrl&gt;#track001&lt;/styleUrl&gt;&lt;MultiGeometry&gt;&lt;LineString&gt;&lt;coordinates&gt;</v>
      </c>
      <c r="R92" s="98" t="str">
        <f>CONCATENATE("&lt;trk&gt;&lt;name&gt;",A98,"&lt;/name&gt;&lt;trkseg&gt;")</f>
        <v>&lt;trk&gt;&lt;name&gt;D_014&lt;/name&gt;&lt;trkseg&gt;</v>
      </c>
    </row>
    <row r="93" spans="1:18" x14ac:dyDescent="0.35">
      <c r="A93" s="23"/>
      <c r="B93" s="101">
        <v>1</v>
      </c>
      <c r="C93" s="41" t="s">
        <v>13</v>
      </c>
      <c r="D93" s="185">
        <f>D94-$D$7*SIN(RADIANS(O94))</f>
        <v>4418722.884392594</v>
      </c>
      <c r="E93" s="186">
        <f>E94-$D$7*COS(RADIANS(O94))</f>
        <v>4468581.3680245327</v>
      </c>
      <c r="F93" s="132" cm="1">
        <f t="array" ref="F93:G93">_xll.PE.trf.Transform($D$4,$D$5,D93:D99,E93:E99)</f>
        <v>20.041822842787745</v>
      </c>
      <c r="G93" s="134">
        <v>40.346559530862841</v>
      </c>
      <c r="H93" s="132" t="str" cm="1">
        <f t="array" ref="H93">_xll.PE.deg.AsString(F93)</f>
        <v>20 02 31</v>
      </c>
      <c r="I93" s="133" t="str" cm="1">
        <f t="array" ref="I93">_xll.PE.deg.AsString(G93)</f>
        <v>40 20 48</v>
      </c>
      <c r="J93" s="132" cm="1">
        <f t="array" ref="J93">_xll.PE.deg.FromString(H93)</f>
        <v>20.041944444444447</v>
      </c>
      <c r="K93" s="134" cm="1">
        <f t="array" ref="K93">_xll.PE.deg.FromString(I93)</f>
        <v>40.346666666666671</v>
      </c>
      <c r="L93" s="71">
        <f t="shared" ref="L93:M99" si="37">F93-J93</f>
        <v>-1.2160165670138667E-4</v>
      </c>
      <c r="M93" s="72">
        <f t="shared" si="37"/>
        <v>-1.0713580383026056E-4</v>
      </c>
      <c r="N93" s="8">
        <f t="shared" ref="N93:N98" si="38">SQRT((D94-D93)^2+(E94-E93)^2)</f>
        <v>2999.999999999915</v>
      </c>
      <c r="O93" s="108">
        <f t="shared" ref="O93:O98" si="39">IF(DEGREES(ATAN2(E94-E93,D94-D93))&lt;0,DEGREES(ATAN2(E94-E93,D94-D93))+360,(DEGREES(ATAN2(E94-E93,D94-D93))))</f>
        <v>132.70939001752728</v>
      </c>
      <c r="P93" s="89"/>
      <c r="Q93" s="44" t="str">
        <f t="shared" ref="Q93:Q99" si="40">CONCATENATE(TEXT(F93,"#.00000000"),",",TEXT(G93,"#.00000000"))</f>
        <v>20.04182284,40.34655953</v>
      </c>
      <c r="R93" s="98" t="str">
        <f t="shared" ref="R93:R99" si="41">CONCATENATE("&lt;trkpt lon=""",TEXT(F93,"#.00000000"),""" lat=""",TEXT(G93,"#.00000000"),"""","&gt;&lt;name&gt;S",TEXT(B93,"00"),"&lt;/name&gt;&lt;/trkpt&gt;")</f>
        <v>&lt;trkpt lon="20.04182284" lat="40.34655953"&gt;&lt;name&gt;S01&lt;/name&gt;&lt;/trkpt&gt;</v>
      </c>
    </row>
    <row r="94" spans="1:18" ht="15" thickBot="1" x14ac:dyDescent="0.4">
      <c r="A94" s="23"/>
      <c r="B94" s="102">
        <v>2</v>
      </c>
      <c r="C94" s="12" t="s">
        <v>5</v>
      </c>
      <c r="D94" s="187">
        <f>D95-$D$8*SIN(RADIANS(O95))</f>
        <v>4420927.2947243396</v>
      </c>
      <c r="E94" s="188">
        <f>E95-$D$8*COS(RADIANS(O95))</f>
        <v>4466546.5277140187</v>
      </c>
      <c r="F94" s="135"/>
      <c r="G94" s="137"/>
      <c r="H94" s="135" t="str" cm="1">
        <f t="array" ref="H94">_xll.PE.deg.AsString(F94)</f>
        <v>00 00 00</v>
      </c>
      <c r="I94" s="136" t="str" cm="1">
        <f t="array" ref="I94">_xll.PE.deg.AsString(G94)</f>
        <v>00 00 00</v>
      </c>
      <c r="J94" s="135" cm="1">
        <f t="array" ref="J94">_xll.PE.deg.FromString(H94)</f>
        <v>0</v>
      </c>
      <c r="K94" s="137" cm="1">
        <f t="array" ref="K94">_xll.PE.deg.FromString(I94)</f>
        <v>0</v>
      </c>
      <c r="L94" s="73">
        <f t="shared" si="37"/>
        <v>0</v>
      </c>
      <c r="M94" s="74">
        <f t="shared" si="37"/>
        <v>0</v>
      </c>
      <c r="N94" s="39">
        <f t="shared" si="38"/>
        <v>3999.9999999998868</v>
      </c>
      <c r="O94" s="89">
        <f t="shared" si="39"/>
        <v>132.70939001752728</v>
      </c>
      <c r="P94" s="89"/>
      <c r="Q94" s="44" t="str">
        <f t="shared" si="40"/>
        <v>.00000000,.00000000</v>
      </c>
      <c r="R94" s="98" t="str">
        <f t="shared" si="41"/>
        <v>&lt;trkpt lon=".00000000" lat=".00000000"&gt;&lt;name&gt;S02&lt;/name&gt;&lt;/trkpt&gt;</v>
      </c>
    </row>
    <row r="95" spans="1:18" ht="15" thickBot="1" x14ac:dyDescent="0.4">
      <c r="A95" s="23"/>
      <c r="B95" s="102">
        <v>3</v>
      </c>
      <c r="C95" s="12" t="s">
        <v>9</v>
      </c>
      <c r="D95" s="196">
        <v>4423866.5085000005</v>
      </c>
      <c r="E95" s="197">
        <v>4463833.4073000001</v>
      </c>
      <c r="F95" s="138"/>
      <c r="G95" s="140"/>
      <c r="H95" s="138" t="str" cm="1">
        <f t="array" ref="H95">_xll.PE.deg.AsString(F95)</f>
        <v>00 00 00</v>
      </c>
      <c r="I95" s="139" t="str" cm="1">
        <f t="array" ref="I95">_xll.PE.deg.AsString(G95)</f>
        <v>00 00 00</v>
      </c>
      <c r="J95" s="138" cm="1">
        <f t="array" ref="J95">_xll.PE.deg.FromString(H95)</f>
        <v>0</v>
      </c>
      <c r="K95" s="140" cm="1">
        <f t="array" ref="K95">_xll.PE.deg.FromString(I95)</f>
        <v>0</v>
      </c>
      <c r="L95" s="75">
        <f t="shared" si="37"/>
        <v>0</v>
      </c>
      <c r="M95" s="76">
        <f t="shared" si="37"/>
        <v>0</v>
      </c>
      <c r="N95" s="10">
        <f t="shared" si="38"/>
        <v>16149.33394537546</v>
      </c>
      <c r="O95" s="93">
        <f t="shared" si="39"/>
        <v>132.70939001752339</v>
      </c>
      <c r="P95" s="21">
        <v>2462</v>
      </c>
      <c r="Q95" s="44" t="str">
        <f t="shared" si="40"/>
        <v>.00000000,.00000000</v>
      </c>
      <c r="R95" s="98" t="str">
        <f t="shared" si="41"/>
        <v>&lt;trkpt lon=".00000000" lat=".00000000"&gt;&lt;name&gt;S03&lt;/name&gt;&lt;/trkpt&gt;</v>
      </c>
    </row>
    <row r="96" spans="1:18" ht="15" thickBot="1" x14ac:dyDescent="0.4">
      <c r="A96" s="23"/>
      <c r="B96" s="102">
        <v>4</v>
      </c>
      <c r="C96" s="12" t="s">
        <v>10</v>
      </c>
      <c r="D96" s="196">
        <v>4435733.0947000002</v>
      </c>
      <c r="E96" s="197">
        <v>4452879.6354</v>
      </c>
      <c r="F96" s="138"/>
      <c r="G96" s="140"/>
      <c r="H96" s="138" t="str" cm="1">
        <f t="array" ref="H96">_xll.PE.deg.AsString(F96)</f>
        <v>00 00 00</v>
      </c>
      <c r="I96" s="139" t="str" cm="1">
        <f t="array" ref="I96">_xll.PE.deg.AsString(G96)</f>
        <v>00 00 00</v>
      </c>
      <c r="J96" s="138" cm="1">
        <f t="array" ref="J96">_xll.PE.deg.FromString(H96)</f>
        <v>0</v>
      </c>
      <c r="K96" s="140" cm="1">
        <f t="array" ref="K96">_xll.PE.deg.FromString(I96)</f>
        <v>0</v>
      </c>
      <c r="L96" s="75">
        <f t="shared" si="37"/>
        <v>0</v>
      </c>
      <c r="M96" s="76">
        <f t="shared" si="37"/>
        <v>0</v>
      </c>
      <c r="N96" s="10">
        <f t="shared" si="38"/>
        <v>22374.257892829319</v>
      </c>
      <c r="O96" s="93">
        <f t="shared" si="39"/>
        <v>133.49067367001715</v>
      </c>
      <c r="P96" s="90" cm="1">
        <f t="array" ref="P96">_xll.PE.crs.GeodesicDistance($D$4,D94:E98)</f>
        <v>46521.333054741852</v>
      </c>
      <c r="Q96" s="44" t="str">
        <f t="shared" si="40"/>
        <v>.00000000,.00000000</v>
      </c>
      <c r="R96" s="98" t="str">
        <f t="shared" si="41"/>
        <v>&lt;trkpt lon=".00000000" lat=".00000000"&gt;&lt;name&gt;S04&lt;/name&gt;&lt;/trkpt&gt;</v>
      </c>
    </row>
    <row r="97" spans="1:18" ht="15" thickBot="1" x14ac:dyDescent="0.4">
      <c r="A97" s="23"/>
      <c r="B97" s="102">
        <v>5</v>
      </c>
      <c r="C97" s="12" t="s">
        <v>7</v>
      </c>
      <c r="D97" s="196">
        <v>4451965.3147</v>
      </c>
      <c r="E97" s="197">
        <v>4437480.8546000002</v>
      </c>
      <c r="F97" s="138"/>
      <c r="G97" s="140"/>
      <c r="H97" s="138" t="str" cm="1">
        <f t="array" ref="H97">_xll.PE.deg.AsString(F97)</f>
        <v>00 00 00</v>
      </c>
      <c r="I97" s="139" t="str" cm="1">
        <f t="array" ref="I97">_xll.PE.deg.AsString(G97)</f>
        <v>00 00 00</v>
      </c>
      <c r="J97" s="138" cm="1">
        <f t="array" ref="J97">_xll.PE.deg.FromString(H97)</f>
        <v>0</v>
      </c>
      <c r="K97" s="140" cm="1">
        <f t="array" ref="K97">_xll.PE.deg.FromString(I97)</f>
        <v>0</v>
      </c>
      <c r="L97" s="75">
        <f t="shared" si="37"/>
        <v>0</v>
      </c>
      <c r="M97" s="76">
        <f t="shared" si="37"/>
        <v>0</v>
      </c>
      <c r="N97" s="39">
        <f t="shared" si="38"/>
        <v>4000.0000000003711</v>
      </c>
      <c r="O97" s="89">
        <f t="shared" si="39"/>
        <v>133.49067367002033</v>
      </c>
      <c r="P97" s="89"/>
      <c r="Q97" s="44" t="str">
        <f t="shared" si="40"/>
        <v>.00000000,.00000000</v>
      </c>
      <c r="R97" s="98" t="str">
        <f t="shared" si="41"/>
        <v>&lt;trkpt lon=".00000000" lat=".00000000"&gt;&lt;name&gt;S05&lt;/name&gt;&lt;/trkpt&gt;</v>
      </c>
    </row>
    <row r="98" spans="1:18" ht="15" thickBot="1" x14ac:dyDescent="0.4">
      <c r="A98" s="23" t="str">
        <f>C92</f>
        <v>D_014</v>
      </c>
      <c r="B98" s="102">
        <v>6</v>
      </c>
      <c r="C98" s="12" t="s">
        <v>5</v>
      </c>
      <c r="D98" s="187">
        <f>D97+$D$8*SIN(RADIANS(O96))</f>
        <v>4454867.260333728</v>
      </c>
      <c r="E98" s="188">
        <f>E97+$D$8*COS(RADIANS(O96))</f>
        <v>4434727.9086254323</v>
      </c>
      <c r="F98" s="135"/>
      <c r="G98" s="137"/>
      <c r="H98" s="135" t="str" cm="1">
        <f t="array" ref="H98">_xll.PE.deg.AsString(F98)</f>
        <v>00 00 00</v>
      </c>
      <c r="I98" s="136" t="str" cm="1">
        <f t="array" ref="I98">_xll.PE.deg.AsString(G98)</f>
        <v>00 00 00</v>
      </c>
      <c r="J98" s="135" cm="1">
        <f t="array" ref="J98">_xll.PE.deg.FromString(H98)</f>
        <v>0</v>
      </c>
      <c r="K98" s="137" cm="1">
        <f t="array" ref="K98">_xll.PE.deg.FromString(I98)</f>
        <v>0</v>
      </c>
      <c r="L98" s="73">
        <f t="shared" si="37"/>
        <v>0</v>
      </c>
      <c r="M98" s="74">
        <f t="shared" si="37"/>
        <v>0</v>
      </c>
      <c r="N98" s="9">
        <f t="shared" si="38"/>
        <v>2999.9999999999577</v>
      </c>
      <c r="O98" s="110">
        <f t="shared" si="39"/>
        <v>133.49067367001388</v>
      </c>
      <c r="P98" s="5">
        <v>4326</v>
      </c>
      <c r="Q98" s="44" t="str">
        <f t="shared" si="40"/>
        <v>.00000000,.00000000</v>
      </c>
      <c r="R98" s="98" t="str">
        <f t="shared" si="41"/>
        <v>&lt;trkpt lon=".00000000" lat=".00000000"&gt;&lt;name&gt;S06&lt;/name&gt;&lt;/trkpt&gt;</v>
      </c>
    </row>
    <row r="99" spans="1:18" ht="15" thickBot="1" x14ac:dyDescent="0.4">
      <c r="A99" s="23"/>
      <c r="B99" s="103">
        <v>7</v>
      </c>
      <c r="C99" s="13" t="s">
        <v>13</v>
      </c>
      <c r="D99" s="191">
        <f>D98+$D$7*SIN(RADIANS(O97))</f>
        <v>4457043.7195590241</v>
      </c>
      <c r="E99" s="192">
        <f>E98+$D$7*COS(RADIANS(O97))</f>
        <v>4432663.1991445068</v>
      </c>
      <c r="F99" s="141"/>
      <c r="G99" s="143"/>
      <c r="H99" s="141" t="str" cm="1">
        <f t="array" ref="H99">_xll.PE.deg.AsString(F99)</f>
        <v>00 00 00</v>
      </c>
      <c r="I99" s="142" t="str" cm="1">
        <f t="array" ref="I99">_xll.PE.deg.AsString(G99)</f>
        <v>00 00 00</v>
      </c>
      <c r="J99" s="141" cm="1">
        <f t="array" ref="J99">_xll.PE.deg.FromString(H99)</f>
        <v>0</v>
      </c>
      <c r="K99" s="143" cm="1">
        <f t="array" ref="K99">_xll.PE.deg.FromString(I99)</f>
        <v>0</v>
      </c>
      <c r="L99" s="77">
        <f t="shared" si="37"/>
        <v>0</v>
      </c>
      <c r="M99" s="78">
        <f t="shared" si="37"/>
        <v>0</v>
      </c>
      <c r="N99" s="14">
        <f>SUM(N94:N97)</f>
        <v>46523.591838205037</v>
      </c>
      <c r="O99" s="35" t="s">
        <v>11</v>
      </c>
      <c r="P99" s="90" cm="1">
        <f t="array" ref="P99">_xll.PE.crs.GeodesicDistance($D$5,J94:K98)</f>
        <v>0</v>
      </c>
      <c r="Q99" s="44" t="str">
        <f t="shared" si="40"/>
        <v>.00000000,.00000000</v>
      </c>
      <c r="R99" s="98" t="str">
        <f t="shared" si="41"/>
        <v>&lt;trkpt lon=".00000000" lat=".00000000"&gt;&lt;name&gt;S07&lt;/name&gt;&lt;/trkpt&gt;</v>
      </c>
    </row>
    <row r="100" spans="1:18" ht="15" thickBot="1" x14ac:dyDescent="0.4">
      <c r="A100" s="23"/>
      <c r="B100" s="105"/>
      <c r="C100" s="17"/>
      <c r="D100" s="193"/>
      <c r="E100" s="193"/>
      <c r="F100" s="42"/>
      <c r="G100" s="42"/>
      <c r="H100" s="42"/>
      <c r="I100" s="42"/>
      <c r="J100" s="42"/>
      <c r="K100" s="42"/>
      <c r="L100" s="42"/>
      <c r="M100" s="42"/>
      <c r="N100" s="25">
        <f>N95+N96</f>
        <v>38523.591838204782</v>
      </c>
      <c r="O100" s="106" t="s">
        <v>12</v>
      </c>
      <c r="P100" s="91"/>
      <c r="Q100" s="44" t="s">
        <v>21</v>
      </c>
      <c r="R100" s="98" t="str">
        <f>CONCATENATE("&lt;/trkseg&gt;&lt;/trk&gt;")</f>
        <v>&lt;/trkseg&gt;&lt;/trk&gt;</v>
      </c>
    </row>
    <row r="101" spans="1:18" ht="15" thickBot="1" x14ac:dyDescent="0.4">
      <c r="A101" s="23"/>
      <c r="B101" s="105"/>
      <c r="C101" s="19" t="s">
        <v>39</v>
      </c>
      <c r="D101" s="194"/>
      <c r="E101" s="194"/>
      <c r="F101" s="40"/>
      <c r="G101" s="40"/>
      <c r="H101" s="40"/>
      <c r="I101" s="40"/>
      <c r="J101" s="40"/>
      <c r="K101" s="40"/>
      <c r="L101" s="40"/>
      <c r="M101" s="40"/>
      <c r="N101" s="16"/>
      <c r="O101" s="109"/>
      <c r="P101" s="92"/>
      <c r="Q101" s="44" t="str">
        <f>CONCATENATE("&lt;Placemark&gt;&lt;name&gt;",A106,"&lt;/name&gt;&lt;styleUrl&gt;#track001&lt;/styleUrl&gt;&lt;MultiGeometry&gt;&lt;LineString&gt;&lt;coordinates&gt;")</f>
        <v>&lt;Placemark&gt;&lt;name&gt;D_015&lt;/name&gt;&lt;styleUrl&gt;#track001&lt;/styleUrl&gt;&lt;MultiGeometry&gt;&lt;LineString&gt;&lt;coordinates&gt;</v>
      </c>
      <c r="R101" s="98" t="str">
        <f>CONCATENATE("&lt;trk&gt;&lt;name&gt;",A106,"&lt;/name&gt;&lt;trkseg&gt;")</f>
        <v>&lt;trk&gt;&lt;name&gt;D_015&lt;/name&gt;&lt;trkseg&gt;</v>
      </c>
    </row>
    <row r="102" spans="1:18" ht="15" thickBot="1" x14ac:dyDescent="0.4">
      <c r="A102" s="23"/>
      <c r="B102" s="101">
        <v>1</v>
      </c>
      <c r="C102" s="41" t="s">
        <v>13</v>
      </c>
      <c r="D102" s="185">
        <f>D103-$D$7*SIN(RADIANS(O103))</f>
        <v>4425586.4315139065</v>
      </c>
      <c r="E102" s="186">
        <f>E103-$D$7*COS(RADIANS(O103))</f>
        <v>4468437.1458815532</v>
      </c>
      <c r="F102" s="132" cm="1">
        <f t="array" ref="F102:G102">_xll.PE.trf.Transform($D$4,$D$5,D102:D107,E102:E107)</f>
        <v>20.122614090696832</v>
      </c>
      <c r="G102" s="134">
        <v>40.345901906338121</v>
      </c>
      <c r="H102" s="132" t="str" cm="1">
        <f t="array" ref="H102">_xll.PE.deg.AsString(F102)</f>
        <v>20 07 21</v>
      </c>
      <c r="I102" s="133" t="str" cm="1">
        <f t="array" ref="I102">_xll.PE.deg.AsString(G102)</f>
        <v>40 20 45</v>
      </c>
      <c r="J102" s="132" cm="1">
        <f t="array" ref="J102">_xll.PE.deg.FromString(H102)</f>
        <v>20.122499999999999</v>
      </c>
      <c r="K102" s="134" cm="1">
        <f t="array" ref="K102">_xll.PE.deg.FromString(I102)</f>
        <v>40.345833333333339</v>
      </c>
      <c r="L102" s="83">
        <f t="shared" ref="L102:M107" si="42">F102-J102</f>
        <v>1.1409069683310236E-4</v>
      </c>
      <c r="M102" s="79">
        <f t="shared" si="42"/>
        <v>6.8573004782024327E-5</v>
      </c>
      <c r="N102" s="8">
        <f>SQRT((D103-D102)^2+(E103-E102)^2)</f>
        <v>3000.0000000004748</v>
      </c>
      <c r="O102" s="108">
        <f>IF(DEGREES(ATAN2(E103-E102,D103-D102))&lt;0,DEGREES(ATAN2(E103-E102,D103-D102))+360,(DEGREES(ATAN2(E103-E102,D103-D102))))</f>
        <v>127.76682287780757</v>
      </c>
      <c r="P102" s="94"/>
      <c r="Q102" s="44" t="str">
        <f t="shared" ref="Q102:Q107" si="43">CONCATENATE(TEXT(F102,"#.00000000"),",",TEXT(G102,"#.00000000"))</f>
        <v>20.12261409,40.34590191</v>
      </c>
      <c r="R102" s="98" t="str">
        <f t="shared" ref="R102:R107" si="44">CONCATENATE("&lt;trkpt lon=""",TEXT(F102,"#.00000000"),""" lat=""",TEXT(G102,"#.00000000"),"""","&gt;&lt;name&gt;S",TEXT(B102,"00"),"&lt;/name&gt;&lt;/trkpt&gt;")</f>
        <v>&lt;trkpt lon="20.12261409" lat="40.34590191"&gt;&lt;name&gt;S01&lt;/name&gt;&lt;/trkpt&gt;</v>
      </c>
    </row>
    <row r="103" spans="1:18" ht="15" thickBot="1" x14ac:dyDescent="0.4">
      <c r="A103" s="23"/>
      <c r="B103" s="102">
        <v>2</v>
      </c>
      <c r="C103" s="12" t="s">
        <v>5</v>
      </c>
      <c r="D103" s="187">
        <f>D104-$D$8*SIN(RADIANS(O104))</f>
        <v>4427957.9608650897</v>
      </c>
      <c r="E103" s="188">
        <f>E104-$D$8*COS(RADIANS(O104))</f>
        <v>4466599.7976466017</v>
      </c>
      <c r="F103" s="135"/>
      <c r="G103" s="137"/>
      <c r="H103" s="135" t="str" cm="1">
        <f t="array" ref="H103">_xll.PE.deg.AsString(F103)</f>
        <v>00 00 00</v>
      </c>
      <c r="I103" s="136" t="str" cm="1">
        <f t="array" ref="I103">_xll.PE.deg.AsString(G103)</f>
        <v>00 00 00</v>
      </c>
      <c r="J103" s="135" cm="1">
        <f t="array" ref="J103">_xll.PE.deg.FromString(H103)</f>
        <v>0</v>
      </c>
      <c r="K103" s="137" cm="1">
        <f t="array" ref="K103">_xll.PE.deg.FromString(I103)</f>
        <v>0</v>
      </c>
      <c r="L103" s="84">
        <f t="shared" si="42"/>
        <v>0</v>
      </c>
      <c r="M103" s="80">
        <f t="shared" si="42"/>
        <v>0</v>
      </c>
      <c r="N103" s="39">
        <f>SQRT((D104-D103)^2+(E104-E103)^2)</f>
        <v>3999.9999999999527</v>
      </c>
      <c r="O103" s="89">
        <f>IF(DEGREES(ATAN2(E104-E103,D104-D103))&lt;0,DEGREES(ATAN2(E104-E103,D104-D103))+360,(DEGREES(ATAN2(E104-E103,D104-D103))))</f>
        <v>127.7668228778095</v>
      </c>
      <c r="P103" s="21">
        <v>2462</v>
      </c>
      <c r="Q103" s="44" t="str">
        <f t="shared" si="43"/>
        <v>.00000000,.00000000</v>
      </c>
      <c r="R103" s="98" t="str">
        <f t="shared" si="44"/>
        <v>&lt;trkpt lon=".00000000" lat=".00000000"&gt;&lt;name&gt;S02&lt;/name&gt;&lt;/trkpt&gt;</v>
      </c>
    </row>
    <row r="104" spans="1:18" ht="15" thickBot="1" x14ac:dyDescent="0.4">
      <c r="A104" s="23"/>
      <c r="B104" s="102">
        <v>3</v>
      </c>
      <c r="C104" s="12" t="s">
        <v>8</v>
      </c>
      <c r="D104" s="196">
        <v>4431120</v>
      </c>
      <c r="E104" s="197">
        <v>4464150</v>
      </c>
      <c r="F104" s="138"/>
      <c r="G104" s="140"/>
      <c r="H104" s="138" t="str" cm="1">
        <f t="array" ref="H104">_xll.PE.deg.AsString(F104)</f>
        <v>00 00 00</v>
      </c>
      <c r="I104" s="139" t="str" cm="1">
        <f t="array" ref="I104">_xll.PE.deg.AsString(G104)</f>
        <v>00 00 00</v>
      </c>
      <c r="J104" s="138" cm="1">
        <f t="array" ref="J104">_xll.PE.deg.FromString(H104)</f>
        <v>0</v>
      </c>
      <c r="K104" s="140" cm="1">
        <f t="array" ref="K104">_xll.PE.deg.FromString(I104)</f>
        <v>0</v>
      </c>
      <c r="L104" s="85">
        <f t="shared" si="42"/>
        <v>0</v>
      </c>
      <c r="M104" s="81">
        <f t="shared" si="42"/>
        <v>0</v>
      </c>
      <c r="N104" s="10">
        <f>SQRT((D105-D104)^2+(E105-E104)^2)</f>
        <v>30663.757108351874</v>
      </c>
      <c r="O104" s="93">
        <f>IF(DEGREES(ATAN2(E105-E104,D105-D104))&lt;0,DEGREES(ATAN2(E105-E104,D105-D104))+360,(DEGREES(ATAN2(E105-E104,D105-D104))))</f>
        <v>127.76682287780538</v>
      </c>
      <c r="P104" s="90" cm="1">
        <f t="array" ref="P104">_xll.PE.crs.GeodesicDistance($D$4,D103:E106)</f>
        <v>38662.187481098088</v>
      </c>
      <c r="Q104" s="44" t="str">
        <f t="shared" si="43"/>
        <v>.00000000,.00000000</v>
      </c>
      <c r="R104" s="98" t="str">
        <f t="shared" si="44"/>
        <v>&lt;trkpt lon=".00000000" lat=".00000000"&gt;&lt;name&gt;S03&lt;/name&gt;&lt;/trkpt&gt;</v>
      </c>
    </row>
    <row r="105" spans="1:18" ht="15" thickBot="1" x14ac:dyDescent="0.4">
      <c r="A105" s="23"/>
      <c r="B105" s="102">
        <v>4</v>
      </c>
      <c r="C105" s="12" t="s">
        <v>7</v>
      </c>
      <c r="D105" s="196">
        <v>4455360</v>
      </c>
      <c r="E105" s="197">
        <v>4445370</v>
      </c>
      <c r="F105" s="138"/>
      <c r="G105" s="140"/>
      <c r="H105" s="138" t="str" cm="1">
        <f t="array" ref="H105">_xll.PE.deg.AsString(F105)</f>
        <v>00 00 00</v>
      </c>
      <c r="I105" s="139" t="str" cm="1">
        <f t="array" ref="I105">_xll.PE.deg.AsString(G105)</f>
        <v>00 00 00</v>
      </c>
      <c r="J105" s="138" cm="1">
        <f t="array" ref="J105">_xll.PE.deg.FromString(H105)</f>
        <v>0</v>
      </c>
      <c r="K105" s="140" cm="1">
        <f t="array" ref="K105">_xll.PE.deg.FromString(I105)</f>
        <v>0</v>
      </c>
      <c r="L105" s="85">
        <f t="shared" si="42"/>
        <v>0</v>
      </c>
      <c r="M105" s="81">
        <f t="shared" si="42"/>
        <v>0</v>
      </c>
      <c r="N105" s="39">
        <f>SQRT((D106-D105)^2+(E106-E105)^2)</f>
        <v>3999.9999999999527</v>
      </c>
      <c r="O105" s="89">
        <f>IF(DEGREES(ATAN2(E106-E105,D106-D105))&lt;0,DEGREES(ATAN2(E106-E105,D106-D105))+360,(DEGREES(ATAN2(E106-E105,D106-D105))))</f>
        <v>127.7668228778095</v>
      </c>
      <c r="P105" s="89"/>
      <c r="Q105" s="44" t="str">
        <f t="shared" si="43"/>
        <v>.00000000,.00000000</v>
      </c>
      <c r="R105" s="98" t="str">
        <f t="shared" si="44"/>
        <v>&lt;trkpt lon=".00000000" lat=".00000000"&gt;&lt;name&gt;S04&lt;/name&gt;&lt;/trkpt&gt;</v>
      </c>
    </row>
    <row r="106" spans="1:18" ht="15" thickBot="1" x14ac:dyDescent="0.4">
      <c r="A106" s="23" t="str">
        <f>C101</f>
        <v>D_015</v>
      </c>
      <c r="B106" s="102">
        <v>5</v>
      </c>
      <c r="C106" s="12" t="s">
        <v>5</v>
      </c>
      <c r="D106" s="187">
        <f>D105+$D$8*SIN(RADIANS(O104))</f>
        <v>4458522.0391349103</v>
      </c>
      <c r="E106" s="188">
        <f>E105+$D$8*COS(RADIANS(O104))</f>
        <v>4442920.2023533983</v>
      </c>
      <c r="F106" s="135"/>
      <c r="G106" s="137"/>
      <c r="H106" s="135" t="str" cm="1">
        <f t="array" ref="H106">_xll.PE.deg.AsString(F106)</f>
        <v>00 00 00</v>
      </c>
      <c r="I106" s="136" t="str" cm="1">
        <f t="array" ref="I106">_xll.PE.deg.AsString(G106)</f>
        <v>00 00 00</v>
      </c>
      <c r="J106" s="135" cm="1">
        <f t="array" ref="J106">_xll.PE.deg.FromString(H106)</f>
        <v>0</v>
      </c>
      <c r="K106" s="137" cm="1">
        <f t="array" ref="K106">_xll.PE.deg.FromString(I106)</f>
        <v>0</v>
      </c>
      <c r="L106" s="84">
        <f t="shared" si="42"/>
        <v>0</v>
      </c>
      <c r="M106" s="80">
        <f t="shared" si="42"/>
        <v>0</v>
      </c>
      <c r="N106" s="9">
        <f>SQRT((D107-D106)^2+(E107-E106)^2)</f>
        <v>3000.0000000004748</v>
      </c>
      <c r="O106" s="110">
        <f>IF(DEGREES(ATAN2(E107-E106,D107-D106))&lt;0,DEGREES(ATAN2(E107-E106,D107-D106))+360,(DEGREES(ATAN2(E107-E106,D107-D106))))</f>
        <v>127.76682287780757</v>
      </c>
      <c r="P106" s="5">
        <v>4326</v>
      </c>
      <c r="Q106" s="44" t="str">
        <f t="shared" si="43"/>
        <v>.00000000,.00000000</v>
      </c>
      <c r="R106" s="98" t="str">
        <f t="shared" si="44"/>
        <v>&lt;trkpt lon=".00000000" lat=".00000000"&gt;&lt;name&gt;S05&lt;/name&gt;&lt;/trkpt&gt;</v>
      </c>
    </row>
    <row r="107" spans="1:18" ht="15" thickBot="1" x14ac:dyDescent="0.4">
      <c r="A107" s="23"/>
      <c r="B107" s="103">
        <v>6</v>
      </c>
      <c r="C107" s="13" t="s">
        <v>13</v>
      </c>
      <c r="D107" s="191">
        <f>D106+$D$7*SIN(RADIANS(O105))</f>
        <v>4460893.5684860935</v>
      </c>
      <c r="E107" s="192">
        <f>E106+$D$7*COS(RADIANS(O105))</f>
        <v>4441082.8541184468</v>
      </c>
      <c r="F107" s="141"/>
      <c r="G107" s="143"/>
      <c r="H107" s="141" t="str" cm="1">
        <f t="array" ref="H107">_xll.PE.deg.AsString(F107)</f>
        <v>00 00 00</v>
      </c>
      <c r="I107" s="142" t="str" cm="1">
        <f t="array" ref="I107">_xll.PE.deg.AsString(G107)</f>
        <v>00 00 00</v>
      </c>
      <c r="J107" s="141" cm="1">
        <f t="array" ref="J107">_xll.PE.deg.FromString(H107)</f>
        <v>0</v>
      </c>
      <c r="K107" s="143" cm="1">
        <f t="array" ref="K107">_xll.PE.deg.FromString(I107)</f>
        <v>0</v>
      </c>
      <c r="L107" s="86">
        <f t="shared" si="42"/>
        <v>0</v>
      </c>
      <c r="M107" s="82">
        <f t="shared" si="42"/>
        <v>0</v>
      </c>
      <c r="N107" s="14">
        <f>SUM(N103:N105)</f>
        <v>38663.757108351783</v>
      </c>
      <c r="O107" s="35" t="s">
        <v>11</v>
      </c>
      <c r="P107" s="87" cm="1">
        <f t="array" ref="P107">_xll.PE.crs.GeodesicDistance($D$5,J103:K106)</f>
        <v>0</v>
      </c>
      <c r="Q107" s="44" t="str">
        <f t="shared" si="43"/>
        <v>.00000000,.00000000</v>
      </c>
      <c r="R107" s="98" t="str">
        <f t="shared" si="44"/>
        <v>&lt;trkpt lon=".00000000" lat=".00000000"&gt;&lt;name&gt;S06&lt;/name&gt;&lt;/trkpt&gt;</v>
      </c>
    </row>
    <row r="108" spans="1:18" ht="15" thickBot="1" x14ac:dyDescent="0.4">
      <c r="A108" s="23"/>
      <c r="B108" s="105"/>
      <c r="C108" s="17"/>
      <c r="D108" s="193"/>
      <c r="E108" s="193"/>
      <c r="F108" s="31"/>
      <c r="G108" s="31"/>
      <c r="H108" s="31"/>
      <c r="I108" s="31"/>
      <c r="J108" s="31"/>
      <c r="K108" s="31"/>
      <c r="L108" s="31"/>
      <c r="M108" s="31"/>
      <c r="N108" s="25">
        <f>N104</f>
        <v>30663.757108351874</v>
      </c>
      <c r="O108" s="106" t="s">
        <v>12</v>
      </c>
      <c r="P108" s="91"/>
      <c r="Q108" s="44" t="s">
        <v>21</v>
      </c>
      <c r="R108" s="98" t="str">
        <f>CONCATENATE("&lt;/trkseg&gt;&lt;/trk&gt;")</f>
        <v>&lt;/trkseg&gt;&lt;/trk&gt;</v>
      </c>
    </row>
    <row r="109" spans="1:18" ht="15" thickBot="1" x14ac:dyDescent="0.4">
      <c r="A109" s="23"/>
      <c r="B109" s="105"/>
      <c r="C109" s="19" t="s">
        <v>40</v>
      </c>
      <c r="D109" s="194"/>
      <c r="E109" s="194"/>
      <c r="F109" s="40"/>
      <c r="G109" s="40"/>
      <c r="H109" s="40"/>
      <c r="I109" s="40"/>
      <c r="J109" s="40"/>
      <c r="K109" s="40"/>
      <c r="L109" s="40"/>
      <c r="M109" s="40"/>
      <c r="N109" s="16"/>
      <c r="O109" s="109"/>
      <c r="P109" s="92"/>
      <c r="Q109" s="44" t="str">
        <f>CONCATENATE("&lt;Placemark&gt;&lt;name&gt;",A114,"&lt;/name&gt;&lt;styleUrl&gt;#track001&lt;/styleUrl&gt;&lt;MultiGeometry&gt;&lt;LineString&gt;&lt;coordinates&gt;")</f>
        <v>&lt;Placemark&gt;&lt;name&gt;D_016&lt;/name&gt;&lt;styleUrl&gt;#track001&lt;/styleUrl&gt;&lt;MultiGeometry&gt;&lt;LineString&gt;&lt;coordinates&gt;</v>
      </c>
      <c r="R109" s="98" t="str">
        <f>CONCATENATE("&lt;trk&gt;&lt;name&gt;",A114,"&lt;/name&gt;&lt;trkseg&gt;")</f>
        <v>&lt;trk&gt;&lt;name&gt;D_016&lt;/name&gt;&lt;trkseg&gt;</v>
      </c>
    </row>
    <row r="110" spans="1:18" ht="15" thickBot="1" x14ac:dyDescent="0.4">
      <c r="A110" s="23"/>
      <c r="B110" s="101">
        <v>1</v>
      </c>
      <c r="C110" s="41" t="s">
        <v>13</v>
      </c>
      <c r="D110" s="185">
        <f>D111-$D$7*SIN(RADIANS(O111))</f>
        <v>4413360.1537933266</v>
      </c>
      <c r="E110" s="186">
        <f>E111-$D$7*COS(RADIANS(O111))</f>
        <v>4456901.3573793834</v>
      </c>
      <c r="F110" s="132" cm="1">
        <f t="array" ref="F110:G110">_xll.PE.trf.Transform($D$4,$D$5,D110:D115,E110:E115)</f>
        <v>19.980295097411723</v>
      </c>
      <c r="G110" s="134">
        <v>40.240849828416813</v>
      </c>
      <c r="H110" s="132" t="str" cm="1">
        <f t="array" ref="H110">_xll.PE.deg.AsString(F110)</f>
        <v>19 58 49</v>
      </c>
      <c r="I110" s="133" t="str" cm="1">
        <f t="array" ref="I110">_xll.PE.deg.AsString(G110)</f>
        <v>40 14 27</v>
      </c>
      <c r="J110" s="132" cm="1">
        <f t="array" ref="J110">_xll.PE.deg.FromString(H110)</f>
        <v>19.980277777777776</v>
      </c>
      <c r="K110" s="134" cm="1">
        <f t="array" ref="K110">_xll.PE.deg.FromString(I110)</f>
        <v>40.240833333333335</v>
      </c>
      <c r="L110" s="83">
        <f t="shared" ref="L110:M115" si="45">F110-J110</f>
        <v>1.7319633947465718E-5</v>
      </c>
      <c r="M110" s="79">
        <f t="shared" si="45"/>
        <v>1.6495083478673678E-5</v>
      </c>
      <c r="N110" s="8">
        <f>SQRT((D111-D110)^2+(E111-E110)^2)</f>
        <v>2999.9999999998699</v>
      </c>
      <c r="O110" s="108">
        <f>IF(DEGREES(ATAN2(E111-E110,D111-D110))&lt;0,DEGREES(ATAN2(E111-E110,D111-D110))+360,(DEGREES(ATAN2(E111-E110,D111-D110))))</f>
        <v>138.48354071791988</v>
      </c>
      <c r="P110" s="89"/>
      <c r="Q110" s="44" t="str">
        <f t="shared" ref="Q110:Q115" si="46">CONCATENATE(TEXT(F110,"#.00000000"),",",TEXT(G110,"#.00000000"))</f>
        <v>19.98029510,40.24084983</v>
      </c>
      <c r="R110" s="98" t="str">
        <f t="shared" ref="R110:R115" si="47">CONCATENATE("&lt;trkpt lon=""",TEXT(F110,"#.00000000"),""" lat=""",TEXT(G110,"#.00000000"),"""","&gt;&lt;name&gt;S",TEXT(B110,"00"),"&lt;/name&gt;&lt;/trkpt&gt;")</f>
        <v>&lt;trkpt lon="19.98029510" lat="40.24084983"&gt;&lt;name&gt;S01&lt;/name&gt;&lt;/trkpt&gt;</v>
      </c>
    </row>
    <row r="111" spans="1:18" ht="15" thickBot="1" x14ac:dyDescent="0.4">
      <c r="A111" s="23"/>
      <c r="B111" s="102">
        <v>2</v>
      </c>
      <c r="C111" s="12" t="s">
        <v>5</v>
      </c>
      <c r="D111" s="187">
        <f>D112-$D$8*SIN(RADIANS(O112))</f>
        <v>4415348.6593104722</v>
      </c>
      <c r="E111" s="188">
        <f>E112-$D$8*COS(RADIANS(O112))</f>
        <v>4454655.0613596477</v>
      </c>
      <c r="F111" s="135"/>
      <c r="G111" s="137"/>
      <c r="H111" s="135" t="str" cm="1">
        <f t="array" ref="H111">_xll.PE.deg.AsString(F111)</f>
        <v>00 00 00</v>
      </c>
      <c r="I111" s="136" t="str" cm="1">
        <f t="array" ref="I111">_xll.PE.deg.AsString(G111)</f>
        <v>00 00 00</v>
      </c>
      <c r="J111" s="135" cm="1">
        <f t="array" ref="J111">_xll.PE.deg.FromString(H111)</f>
        <v>0</v>
      </c>
      <c r="K111" s="137" cm="1">
        <f t="array" ref="K111">_xll.PE.deg.FromString(I111)</f>
        <v>0</v>
      </c>
      <c r="L111" s="84">
        <f t="shared" si="45"/>
        <v>0</v>
      </c>
      <c r="M111" s="80">
        <f t="shared" si="45"/>
        <v>0</v>
      </c>
      <c r="N111" s="39">
        <f>SQRT((D112-D111)^2+(E112-E111)^2)</f>
        <v>4000.0000000000323</v>
      </c>
      <c r="O111" s="89">
        <f>IF(DEGREES(ATAN2(E112-E111,D112-D111))&lt;0,DEGREES(ATAN2(E112-E111,D112-D111))+360,(DEGREES(ATAN2(E112-E111,D112-D111))))</f>
        <v>138.48354071791653</v>
      </c>
      <c r="P111" s="21">
        <v>2462</v>
      </c>
      <c r="Q111" s="44" t="str">
        <f t="shared" si="46"/>
        <v>.00000000,.00000000</v>
      </c>
      <c r="R111" s="98" t="str">
        <f t="shared" si="47"/>
        <v>&lt;trkpt lon=".00000000" lat=".00000000"&gt;&lt;name&gt;S02&lt;/name&gt;&lt;/trkpt&gt;</v>
      </c>
    </row>
    <row r="112" spans="1:18" ht="15" thickBot="1" x14ac:dyDescent="0.4">
      <c r="A112" s="23"/>
      <c r="B112" s="102">
        <v>3</v>
      </c>
      <c r="C112" s="12" t="s">
        <v>8</v>
      </c>
      <c r="D112" s="196">
        <v>4418000</v>
      </c>
      <c r="E112" s="197">
        <v>4451660</v>
      </c>
      <c r="F112" s="138"/>
      <c r="G112" s="140"/>
      <c r="H112" s="138" t="str" cm="1">
        <f t="array" ref="H112">_xll.PE.deg.AsString(F112)</f>
        <v>00 00 00</v>
      </c>
      <c r="I112" s="139" t="str" cm="1">
        <f t="array" ref="I112">_xll.PE.deg.AsString(G112)</f>
        <v>00 00 00</v>
      </c>
      <c r="J112" s="138" cm="1">
        <f t="array" ref="J112">_xll.PE.deg.FromString(H112)</f>
        <v>0</v>
      </c>
      <c r="K112" s="140" cm="1">
        <f t="array" ref="K112">_xll.PE.deg.FromString(I112)</f>
        <v>0</v>
      </c>
      <c r="L112" s="85">
        <f t="shared" si="45"/>
        <v>0</v>
      </c>
      <c r="M112" s="81">
        <f t="shared" si="45"/>
        <v>0</v>
      </c>
      <c r="N112" s="10">
        <f>SQRT((D113-D112)^2+(E113-E112)^2)</f>
        <v>28732.63338087896</v>
      </c>
      <c r="O112" s="93">
        <f>IF(DEGREES(ATAN2(E113-E112,D113-D112))&lt;0,DEGREES(ATAN2(E113-E112,D113-D112))+360,(DEGREES(ATAN2(E113-E112,D113-D112))))</f>
        <v>138.48354071792221</v>
      </c>
      <c r="P112" s="90" cm="1">
        <f t="array" ref="P112">_xll.PE.crs.GeodesicDistance($D$4,D111:E114)</f>
        <v>36730.236939526818</v>
      </c>
      <c r="Q112" s="44" t="str">
        <f t="shared" si="46"/>
        <v>.00000000,.00000000</v>
      </c>
      <c r="R112" s="98" t="str">
        <f t="shared" si="47"/>
        <v>&lt;trkpt lon=".00000000" lat=".00000000"&gt;&lt;name&gt;S03&lt;/name&gt;&lt;/trkpt&gt;</v>
      </c>
    </row>
    <row r="113" spans="1:18" ht="15" thickBot="1" x14ac:dyDescent="0.4">
      <c r="A113" s="23"/>
      <c r="B113" s="102">
        <v>4</v>
      </c>
      <c r="C113" s="12" t="s">
        <v>7</v>
      </c>
      <c r="D113" s="196">
        <v>4437045</v>
      </c>
      <c r="E113" s="197">
        <v>4430146</v>
      </c>
      <c r="F113" s="138"/>
      <c r="G113" s="140"/>
      <c r="H113" s="138" t="str" cm="1">
        <f t="array" ref="H113">_xll.PE.deg.AsString(F113)</f>
        <v>00 00 00</v>
      </c>
      <c r="I113" s="139" t="str" cm="1">
        <f t="array" ref="I113">_xll.PE.deg.AsString(G113)</f>
        <v>00 00 00</v>
      </c>
      <c r="J113" s="138" cm="1">
        <f t="array" ref="J113">_xll.PE.deg.FromString(H113)</f>
        <v>0</v>
      </c>
      <c r="K113" s="140" cm="1">
        <f t="array" ref="K113">_xll.PE.deg.FromString(I113)</f>
        <v>0</v>
      </c>
      <c r="L113" s="85">
        <f t="shared" si="45"/>
        <v>0</v>
      </c>
      <c r="M113" s="81">
        <f t="shared" si="45"/>
        <v>0</v>
      </c>
      <c r="N113" s="39">
        <f>SQRT((D114-D113)^2+(E114-E113)^2)</f>
        <v>4000.0000000000323</v>
      </c>
      <c r="O113" s="89">
        <f>IF(DEGREES(ATAN2(E114-E113,D114-D113))&lt;0,DEGREES(ATAN2(E114-E113,D114-D113))+360,(DEGREES(ATAN2(E114-E113,D114-D113))))</f>
        <v>138.48354071791653</v>
      </c>
      <c r="P113" s="89"/>
      <c r="Q113" s="44" t="str">
        <f t="shared" si="46"/>
        <v>.00000000,.00000000</v>
      </c>
      <c r="R113" s="98" t="str">
        <f t="shared" si="47"/>
        <v>&lt;trkpt lon=".00000000" lat=".00000000"&gt;&lt;name&gt;S04&lt;/name&gt;&lt;/trkpt&gt;</v>
      </c>
    </row>
    <row r="114" spans="1:18" ht="15" thickBot="1" x14ac:dyDescent="0.4">
      <c r="A114" s="23" t="str">
        <f>C109</f>
        <v>D_016</v>
      </c>
      <c r="B114" s="102">
        <v>5</v>
      </c>
      <c r="C114" s="12" t="s">
        <v>5</v>
      </c>
      <c r="D114" s="187">
        <f>D113+$D$8*SIN(RADIANS(O112))</f>
        <v>4439696.3406895278</v>
      </c>
      <c r="E114" s="188">
        <f>E113+$D$8*COS(RADIANS(O112))</f>
        <v>4427150.9386403523</v>
      </c>
      <c r="F114" s="135"/>
      <c r="G114" s="137"/>
      <c r="H114" s="135" t="str" cm="1">
        <f t="array" ref="H114">_xll.PE.deg.AsString(F114)</f>
        <v>00 00 00</v>
      </c>
      <c r="I114" s="136" t="str" cm="1">
        <f t="array" ref="I114">_xll.PE.deg.AsString(G114)</f>
        <v>00 00 00</v>
      </c>
      <c r="J114" s="135" cm="1">
        <f t="array" ref="J114">_xll.PE.deg.FromString(H114)</f>
        <v>0</v>
      </c>
      <c r="K114" s="137" cm="1">
        <f t="array" ref="K114">_xll.PE.deg.FromString(I114)</f>
        <v>0</v>
      </c>
      <c r="L114" s="84">
        <f t="shared" si="45"/>
        <v>0</v>
      </c>
      <c r="M114" s="80">
        <f t="shared" si="45"/>
        <v>0</v>
      </c>
      <c r="N114" s="9">
        <f>SQRT((D115-D114)^2+(E115-E114)^2)</f>
        <v>2999.9999999998699</v>
      </c>
      <c r="O114" s="110">
        <f>IF(DEGREES(ATAN2(E115-E114,D115-D114))&lt;0,DEGREES(ATAN2(E115-E114,D115-D114))+360,(DEGREES(ATAN2(E115-E114,D115-D114))))</f>
        <v>138.48354071791988</v>
      </c>
      <c r="P114" s="5">
        <v>4326</v>
      </c>
      <c r="Q114" s="44" t="str">
        <f t="shared" si="46"/>
        <v>.00000000,.00000000</v>
      </c>
      <c r="R114" s="98" t="str">
        <f t="shared" si="47"/>
        <v>&lt;trkpt lon=".00000000" lat=".00000000"&gt;&lt;name&gt;S05&lt;/name&gt;&lt;/trkpt&gt;</v>
      </c>
    </row>
    <row r="115" spans="1:18" ht="15" thickBot="1" x14ac:dyDescent="0.4">
      <c r="A115" s="23"/>
      <c r="B115" s="103">
        <v>6</v>
      </c>
      <c r="C115" s="13" t="s">
        <v>13</v>
      </c>
      <c r="D115" s="191">
        <f>D114+$D$7*SIN(RADIANS(O113))</f>
        <v>4441684.8462066734</v>
      </c>
      <c r="E115" s="192">
        <f>E114+$D$7*COS(RADIANS(O113))</f>
        <v>4424904.6426206166</v>
      </c>
      <c r="F115" s="141"/>
      <c r="G115" s="143"/>
      <c r="H115" s="141" t="str" cm="1">
        <f t="array" ref="H115">_xll.PE.deg.AsString(F115)</f>
        <v>00 00 00</v>
      </c>
      <c r="I115" s="142" t="str" cm="1">
        <f t="array" ref="I115">_xll.PE.deg.AsString(G115)</f>
        <v>00 00 00</v>
      </c>
      <c r="J115" s="141" cm="1">
        <f t="array" ref="J115">_xll.PE.deg.FromString(H115)</f>
        <v>0</v>
      </c>
      <c r="K115" s="143" cm="1">
        <f t="array" ref="K115">_xll.PE.deg.FromString(I115)</f>
        <v>0</v>
      </c>
      <c r="L115" s="86">
        <f t="shared" si="45"/>
        <v>0</v>
      </c>
      <c r="M115" s="82">
        <f t="shared" si="45"/>
        <v>0</v>
      </c>
      <c r="N115" s="14">
        <f>SUM(N111:N113)</f>
        <v>36732.633380879022</v>
      </c>
      <c r="O115" s="35" t="s">
        <v>11</v>
      </c>
      <c r="P115" s="90" cm="1">
        <f t="array" ref="P115">_xll.PE.crs.GeodesicDistance($D$5,J111:K114)</f>
        <v>0</v>
      </c>
      <c r="Q115" s="44" t="str">
        <f t="shared" si="46"/>
        <v>.00000000,.00000000</v>
      </c>
      <c r="R115" s="98" t="str">
        <f t="shared" si="47"/>
        <v>&lt;trkpt lon=".00000000" lat=".00000000"&gt;&lt;name&gt;S06&lt;/name&gt;&lt;/trkpt&gt;</v>
      </c>
    </row>
    <row r="116" spans="1:18" ht="15" thickBot="1" x14ac:dyDescent="0.4">
      <c r="A116" s="23"/>
      <c r="B116" s="105"/>
      <c r="C116" s="17"/>
      <c r="D116" s="193"/>
      <c r="E116" s="193"/>
      <c r="F116" s="42"/>
      <c r="G116" s="42"/>
      <c r="H116" s="42"/>
      <c r="I116" s="42"/>
      <c r="J116" s="42"/>
      <c r="K116" s="42"/>
      <c r="L116" s="42"/>
      <c r="M116" s="42"/>
      <c r="N116" s="25">
        <f>N112</f>
        <v>28732.63338087896</v>
      </c>
      <c r="O116" s="106" t="s">
        <v>12</v>
      </c>
      <c r="P116" s="91"/>
      <c r="Q116" s="44" t="s">
        <v>21</v>
      </c>
      <c r="R116" s="98" t="str">
        <f>CONCATENATE("&lt;/trkseg&gt;&lt;/trk&gt;")</f>
        <v>&lt;/trkseg&gt;&lt;/trk&gt;</v>
      </c>
    </row>
    <row r="117" spans="1:18" ht="15" thickBot="1" x14ac:dyDescent="0.4">
      <c r="A117" s="23"/>
      <c r="B117" s="105"/>
      <c r="C117" s="19" t="s">
        <v>41</v>
      </c>
      <c r="D117" s="194"/>
      <c r="E117" s="194"/>
      <c r="F117" s="40"/>
      <c r="G117" s="40"/>
      <c r="H117" s="40"/>
      <c r="I117" s="40"/>
      <c r="J117" s="40"/>
      <c r="K117" s="40"/>
      <c r="L117" s="40"/>
      <c r="M117" s="40"/>
      <c r="N117" s="16"/>
      <c r="O117" s="109"/>
      <c r="P117" s="92"/>
      <c r="Q117" s="44" t="str">
        <f>CONCATENATE("&lt;Placemark&gt;&lt;name&gt;",A122,"&lt;/name&gt;&lt;styleUrl&gt;#track001&lt;/styleUrl&gt;&lt;MultiGeometry&gt;&lt;LineString&gt;&lt;coordinates&gt;")</f>
        <v>&lt;Placemark&gt;&lt;name&gt;D_017&lt;/name&gt;&lt;styleUrl&gt;#track001&lt;/styleUrl&gt;&lt;MultiGeometry&gt;&lt;LineString&gt;&lt;coordinates&gt;</v>
      </c>
      <c r="R117" s="98" t="str">
        <f>CONCATENATE("&lt;trk&gt;&lt;name&gt;",A122,"&lt;/name&gt;&lt;trkseg&gt;")</f>
        <v>&lt;trk&gt;&lt;name&gt;D_017&lt;/name&gt;&lt;trkseg&gt;</v>
      </c>
    </row>
    <row r="118" spans="1:18" ht="15" thickBot="1" x14ac:dyDescent="0.4">
      <c r="A118" s="23"/>
      <c r="B118" s="101">
        <v>1</v>
      </c>
      <c r="C118" s="41" t="s">
        <v>13</v>
      </c>
      <c r="D118" s="185">
        <f>D119-$D$7*SIN(RADIANS(O119))</f>
        <v>4428210.5100967251</v>
      </c>
      <c r="E118" s="186">
        <f>E119-$D$7*COS(RADIANS(O119))</f>
        <v>4452852.3097855086</v>
      </c>
      <c r="F118" s="132" cm="1">
        <f t="array" ref="F118:G118">_xll.PE.trf.Transform($D$4,$D$5,D118:D123,E118:E123)</f>
        <v>20.155244386653319</v>
      </c>
      <c r="G118" s="134">
        <v>40.205795085677487</v>
      </c>
      <c r="H118" s="132" t="str" cm="1">
        <f t="array" ref="H118">_xll.PE.deg.AsString(F118)</f>
        <v>20 09 19</v>
      </c>
      <c r="I118" s="133" t="str" cm="1">
        <f t="array" ref="I118">_xll.PE.deg.AsString(G118)</f>
        <v>40 12 21</v>
      </c>
      <c r="J118" s="132" cm="1">
        <f t="array" ref="J118">_xll.PE.deg.FromString(H118)</f>
        <v>20.155277777777776</v>
      </c>
      <c r="K118" s="134" cm="1">
        <f t="array" ref="K118">_xll.PE.deg.FromString(I118)</f>
        <v>40.205833333333338</v>
      </c>
      <c r="L118" s="83">
        <f t="shared" ref="L118:M123" si="48">F118-J118</f>
        <v>-3.3391124457438082E-5</v>
      </c>
      <c r="M118" s="79">
        <f t="shared" si="48"/>
        <v>-3.824765585136447E-5</v>
      </c>
      <c r="N118" s="8">
        <f>SQRT((D119-D118)^2+(E119-E118)^2)</f>
        <v>3000.0000000000855</v>
      </c>
      <c r="O118" s="108">
        <f>IF(DEGREES(ATAN2(E119-E118,D119-D118))&lt;0,DEGREES(ATAN2(E119-E118,D119-D118))+360,(DEGREES(ATAN2(E119-E118,D119-D118))))</f>
        <v>54.497692329086064</v>
      </c>
      <c r="P118" s="94"/>
      <c r="Q118" s="44" t="str">
        <f t="shared" ref="Q118:Q123" si="49">CONCATENATE(TEXT(F118,"#.00000000"),",",TEXT(G118,"#.00000000"))</f>
        <v>20.15524439,40.20579509</v>
      </c>
      <c r="R118" s="98" t="str">
        <f t="shared" ref="R118:R123" si="50">CONCATENATE("&lt;trkpt lon=""",TEXT(F118,"#.00000000"),""" lat=""",TEXT(G118,"#.00000000"),"""","&gt;&lt;name&gt;S",TEXT(B118,"00"),"&lt;/name&gt;&lt;/trkpt&gt;")</f>
        <v>&lt;trkpt lon="20.15524439" lat="40.20579509"&gt;&lt;name&gt;S01&lt;/name&gt;&lt;/trkpt&gt;</v>
      </c>
    </row>
    <row r="119" spans="1:18" ht="15" thickBot="1" x14ac:dyDescent="0.4">
      <c r="A119" s="23"/>
      <c r="B119" s="102">
        <v>2</v>
      </c>
      <c r="C119" s="12" t="s">
        <v>5</v>
      </c>
      <c r="D119" s="187">
        <f>D120-$D$8*SIN(RADIANS(O120))</f>
        <v>4430652.7864838429</v>
      </c>
      <c r="E119" s="188">
        <f>E120-$D$8*COS(RADIANS(O120))</f>
        <v>4454594.5170202907</v>
      </c>
      <c r="F119" s="135"/>
      <c r="G119" s="137"/>
      <c r="H119" s="135" t="str" cm="1">
        <f t="array" ref="H119">_xll.PE.deg.AsString(F119)</f>
        <v>00 00 00</v>
      </c>
      <c r="I119" s="136" t="str" cm="1">
        <f t="array" ref="I119">_xll.PE.deg.AsString(G119)</f>
        <v>00 00 00</v>
      </c>
      <c r="J119" s="135" cm="1">
        <f t="array" ref="J119">_xll.PE.deg.FromString(H119)</f>
        <v>0</v>
      </c>
      <c r="K119" s="137" cm="1">
        <f t="array" ref="K119">_xll.PE.deg.FromString(I119)</f>
        <v>0</v>
      </c>
      <c r="L119" s="84">
        <f t="shared" si="48"/>
        <v>0</v>
      </c>
      <c r="M119" s="80">
        <f t="shared" si="48"/>
        <v>0</v>
      </c>
      <c r="N119" s="39">
        <f>SQRT((D120-D119)^2+(E120-E119)^2)</f>
        <v>4000.0000000001864</v>
      </c>
      <c r="O119" s="89">
        <f>IF(DEGREES(ATAN2(E120-E119,D120-D119))&lt;0,DEGREES(ATAN2(E120-E119,D120-D119))+360,(DEGREES(ATAN2(E120-E119,D120-D119))))</f>
        <v>54.49769232909226</v>
      </c>
      <c r="P119" s="21">
        <v>2462</v>
      </c>
      <c r="Q119" s="44" t="str">
        <f t="shared" si="49"/>
        <v>.00000000,.00000000</v>
      </c>
      <c r="R119" s="98" t="str">
        <f t="shared" si="50"/>
        <v>&lt;trkpt lon=".00000000" lat=".00000000"&gt;&lt;name&gt;S02&lt;/name&gt;&lt;/trkpt&gt;</v>
      </c>
    </row>
    <row r="120" spans="1:18" ht="15" thickBot="1" x14ac:dyDescent="0.4">
      <c r="A120" s="23"/>
      <c r="B120" s="102">
        <v>3</v>
      </c>
      <c r="C120" s="12" t="s">
        <v>8</v>
      </c>
      <c r="D120" s="196">
        <v>4433909.1550000003</v>
      </c>
      <c r="E120" s="197">
        <v>4456917.46</v>
      </c>
      <c r="F120" s="138"/>
      <c r="G120" s="140"/>
      <c r="H120" s="138" t="str" cm="1">
        <f t="array" ref="H120">_xll.PE.deg.AsString(F120)</f>
        <v>00 00 00</v>
      </c>
      <c r="I120" s="139" t="str" cm="1">
        <f t="array" ref="I120">_xll.PE.deg.AsString(G120)</f>
        <v>00 00 00</v>
      </c>
      <c r="J120" s="138" cm="1">
        <f t="array" ref="J120">_xll.PE.deg.FromString(H120)</f>
        <v>0</v>
      </c>
      <c r="K120" s="140" cm="1">
        <f t="array" ref="K120">_xll.PE.deg.FromString(I120)</f>
        <v>0</v>
      </c>
      <c r="L120" s="85">
        <f t="shared" si="48"/>
        <v>0</v>
      </c>
      <c r="M120" s="81">
        <f t="shared" si="48"/>
        <v>0</v>
      </c>
      <c r="N120" s="10">
        <f>SQRT((D121-D120)^2+(E121-E120)^2)</f>
        <v>8440.4453192636811</v>
      </c>
      <c r="O120" s="93">
        <f>IF(DEGREES(ATAN2(E121-E120,D121-D120))&lt;0,DEGREES(ATAN2(E121-E120,D121-D120))+360,(DEGREES(ATAN2(E121-E120,D121-D120))))</f>
        <v>54.497692329097134</v>
      </c>
      <c r="P120" s="90" cm="1">
        <f t="array" ref="P120">_xll.PE.crs.GeodesicDistance($D$4,D119:E122)</f>
        <v>16439.648223364071</v>
      </c>
      <c r="Q120" s="44" t="str">
        <f t="shared" si="49"/>
        <v>.00000000,.00000000</v>
      </c>
      <c r="R120" s="98" t="str">
        <f t="shared" si="50"/>
        <v>&lt;trkpt lon=".00000000" lat=".00000000"&gt;&lt;name&gt;S03&lt;/name&gt;&lt;/trkpt&gt;</v>
      </c>
    </row>
    <row r="121" spans="1:18" ht="15" thickBot="1" x14ac:dyDescent="0.4">
      <c r="A121" s="23"/>
      <c r="B121" s="102">
        <v>4</v>
      </c>
      <c r="C121" s="12" t="s">
        <v>7</v>
      </c>
      <c r="D121" s="196">
        <v>4440780.4550999999</v>
      </c>
      <c r="E121" s="197">
        <v>4461819.1283</v>
      </c>
      <c r="F121" s="138"/>
      <c r="G121" s="140"/>
      <c r="H121" s="138" t="str" cm="1">
        <f t="array" ref="H121">_xll.PE.deg.AsString(F121)</f>
        <v>00 00 00</v>
      </c>
      <c r="I121" s="139" t="str" cm="1">
        <f t="array" ref="I121">_xll.PE.deg.AsString(G121)</f>
        <v>00 00 00</v>
      </c>
      <c r="J121" s="138" cm="1">
        <f t="array" ref="J121">_xll.PE.deg.FromString(H121)</f>
        <v>0</v>
      </c>
      <c r="K121" s="140" cm="1">
        <f t="array" ref="K121">_xll.PE.deg.FromString(I121)</f>
        <v>0</v>
      </c>
      <c r="L121" s="85">
        <f t="shared" si="48"/>
        <v>0</v>
      </c>
      <c r="M121" s="81">
        <f t="shared" si="48"/>
        <v>0</v>
      </c>
      <c r="N121" s="39">
        <f>SQRT((D122-D121)^2+(E122-E121)^2)</f>
        <v>4000.0000000001864</v>
      </c>
      <c r="O121" s="89">
        <f>IF(DEGREES(ATAN2(E122-E121,D122-D121))&lt;0,DEGREES(ATAN2(E122-E121,D122-D121))+360,(DEGREES(ATAN2(E122-E121,D122-D121))))</f>
        <v>54.49769232909226</v>
      </c>
      <c r="P121" s="89"/>
      <c r="Q121" s="44" t="str">
        <f t="shared" si="49"/>
        <v>.00000000,.00000000</v>
      </c>
      <c r="R121" s="98" t="str">
        <f t="shared" si="50"/>
        <v>&lt;trkpt lon=".00000000" lat=".00000000"&gt;&lt;name&gt;S04&lt;/name&gt;&lt;/trkpt&gt;</v>
      </c>
    </row>
    <row r="122" spans="1:18" ht="15" thickBot="1" x14ac:dyDescent="0.4">
      <c r="A122" s="23" t="str">
        <f>C117</f>
        <v>D_017</v>
      </c>
      <c r="B122" s="102">
        <v>5</v>
      </c>
      <c r="C122" s="12" t="s">
        <v>5</v>
      </c>
      <c r="D122" s="187">
        <f>D121+$D$8*SIN(RADIANS(O120))</f>
        <v>4444036.8236161573</v>
      </c>
      <c r="E122" s="188">
        <f>E121+$D$8*COS(RADIANS(O120))</f>
        <v>4464142.0712797092</v>
      </c>
      <c r="F122" s="135"/>
      <c r="G122" s="137"/>
      <c r="H122" s="135" t="str" cm="1">
        <f t="array" ref="H122">_xll.PE.deg.AsString(F122)</f>
        <v>00 00 00</v>
      </c>
      <c r="I122" s="136" t="str" cm="1">
        <f t="array" ref="I122">_xll.PE.deg.AsString(G122)</f>
        <v>00 00 00</v>
      </c>
      <c r="J122" s="135" cm="1">
        <f t="array" ref="J122">_xll.PE.deg.FromString(H122)</f>
        <v>0</v>
      </c>
      <c r="K122" s="137" cm="1">
        <f t="array" ref="K122">_xll.PE.deg.FromString(I122)</f>
        <v>0</v>
      </c>
      <c r="L122" s="84">
        <f t="shared" si="48"/>
        <v>0</v>
      </c>
      <c r="M122" s="80">
        <f t="shared" si="48"/>
        <v>0</v>
      </c>
      <c r="N122" s="9">
        <f>SQRT((D123-D122)^2+(E123-E122)^2)</f>
        <v>3000.0000000000855</v>
      </c>
      <c r="O122" s="110">
        <f>IF(DEGREES(ATAN2(E123-E122,D123-D122))&lt;0,DEGREES(ATAN2(E123-E122,D123-D122))+360,(DEGREES(ATAN2(E123-E122,D123-D122))))</f>
        <v>54.497692329086064</v>
      </c>
      <c r="P122" s="21">
        <v>2462</v>
      </c>
      <c r="Q122" s="44" t="str">
        <f t="shared" si="49"/>
        <v>.00000000,.00000000</v>
      </c>
      <c r="R122" s="98" t="str">
        <f t="shared" si="50"/>
        <v>&lt;trkpt lon=".00000000" lat=".00000000"&gt;&lt;name&gt;S05&lt;/name&gt;&lt;/trkpt&gt;</v>
      </c>
    </row>
    <row r="123" spans="1:18" ht="15" thickBot="1" x14ac:dyDescent="0.4">
      <c r="A123" s="23"/>
      <c r="B123" s="103">
        <v>6</v>
      </c>
      <c r="C123" s="13" t="s">
        <v>13</v>
      </c>
      <c r="D123" s="191">
        <f>D122+$D$7*SIN(RADIANS(O121))</f>
        <v>4446479.1000032751</v>
      </c>
      <c r="E123" s="192">
        <f>E122+$D$7*COS(RADIANS(O121))</f>
        <v>4465884.2785144914</v>
      </c>
      <c r="F123" s="141"/>
      <c r="G123" s="143"/>
      <c r="H123" s="141" t="str" cm="1">
        <f t="array" ref="H123">_xll.PE.deg.AsString(F123)</f>
        <v>00 00 00</v>
      </c>
      <c r="I123" s="142" t="str" cm="1">
        <f t="array" ref="I123">_xll.PE.deg.AsString(G123)</f>
        <v>00 00 00</v>
      </c>
      <c r="J123" s="141" cm="1">
        <f t="array" ref="J123">_xll.PE.deg.FromString(H123)</f>
        <v>0</v>
      </c>
      <c r="K123" s="143" cm="1">
        <f t="array" ref="K123">_xll.PE.deg.FromString(I123)</f>
        <v>0</v>
      </c>
      <c r="L123" s="86">
        <f t="shared" si="48"/>
        <v>0</v>
      </c>
      <c r="M123" s="82">
        <f t="shared" si="48"/>
        <v>0</v>
      </c>
      <c r="N123" s="14">
        <f>SUM(N119:N121)</f>
        <v>16440.445319264054</v>
      </c>
      <c r="O123" s="35" t="s">
        <v>11</v>
      </c>
      <c r="P123" s="87" cm="1">
        <f t="array" ref="P123">_xll.PE.crs.GeodesicDistance($D$5,J119:K122)</f>
        <v>0</v>
      </c>
      <c r="Q123" s="44" t="str">
        <f t="shared" si="49"/>
        <v>.00000000,.00000000</v>
      </c>
      <c r="R123" s="98" t="str">
        <f t="shared" si="50"/>
        <v>&lt;trkpt lon=".00000000" lat=".00000000"&gt;&lt;name&gt;S06&lt;/name&gt;&lt;/trkpt&gt;</v>
      </c>
    </row>
    <row r="124" spans="1:18" x14ac:dyDescent="0.35">
      <c r="A124" s="23"/>
      <c r="B124" s="105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88"/>
      <c r="N124" s="25">
        <f>N120</f>
        <v>8440.4453192636811</v>
      </c>
      <c r="O124" s="106" t="s">
        <v>12</v>
      </c>
      <c r="P124" s="91"/>
      <c r="Q124" s="98" t="s">
        <v>21</v>
      </c>
      <c r="R124" s="98" t="str">
        <f>CONCATENATE("&lt;/trkseg&gt;&lt;/trk&gt;")</f>
        <v>&lt;/trkseg&gt;&lt;/trk&gt;</v>
      </c>
    </row>
    <row r="125" spans="1:18" ht="15" thickBot="1" x14ac:dyDescent="0.4">
      <c r="M125"/>
      <c r="Q125" s="45" t="s">
        <v>22</v>
      </c>
      <c r="R125" s="99" t="s">
        <v>19</v>
      </c>
    </row>
    <row r="126" spans="1:18" ht="15" thickBot="1" x14ac:dyDescent="0.4">
      <c r="K126" s="61"/>
      <c r="M126"/>
    </row>
    <row r="127" spans="1:18" x14ac:dyDescent="0.35">
      <c r="C127" s="41" t="s">
        <v>142</v>
      </c>
      <c r="D127" s="224">
        <f>D4</f>
        <v>2462</v>
      </c>
    </row>
    <row r="128" spans="1:18" ht="15" thickBot="1" x14ac:dyDescent="0.4">
      <c r="C128" s="12" t="s">
        <v>143</v>
      </c>
      <c r="D128" s="225">
        <f>D5</f>
        <v>4326</v>
      </c>
    </row>
    <row r="129" spans="3:16" ht="15" thickBot="1" x14ac:dyDescent="0.4">
      <c r="C129" s="227" t="str">
        <f>C14</f>
        <v>Authority=0; Area=0,0,0,0; Accuracy=0; NoBallparkConversions=False; NoDiscardIfMissing=False; UsePrimaryGridNames=False; UseSuperseded=False; StrictContains=False; IntermediateCrsUsage=Auto; BestOnly=False; ForceOver=False; CandidateIndex=0; AllowDeprecatedCrs=False</v>
      </c>
      <c r="D129" s="228"/>
      <c r="E129" s="228"/>
      <c r="F129" s="228"/>
      <c r="G129" s="228"/>
      <c r="H129" s="228"/>
      <c r="I129" s="228"/>
      <c r="J129" s="228"/>
      <c r="K129" s="228"/>
      <c r="L129" s="228"/>
      <c r="M129" s="229"/>
      <c r="N129" s="228"/>
      <c r="O129" s="230"/>
      <c r="P129" s="231"/>
    </row>
    <row r="130" spans="3:16" ht="15" thickBot="1" x14ac:dyDescent="0.4">
      <c r="C130" s="226" t="str" cm="1">
        <f t="array" ref="C130:D152">_xll.PE.trf.TransformList(D127,D128,C129,"")</f>
        <v>Transform Number</v>
      </c>
      <c r="D130" s="103">
        <v>0</v>
      </c>
    </row>
    <row r="131" spans="3:16" x14ac:dyDescent="0.35">
      <c r="C131" s="12" t="str">
        <v>Transform Name</v>
      </c>
      <c r="D131" s="216" t="str">
        <v>Inverse of 6-degree Gauss-Kruger zone 4 + Ballpark geographic offset from Albanian 1987 to WGS 84 (with axis order normalized for visualization)</v>
      </c>
    </row>
    <row r="132" spans="3:16" x14ac:dyDescent="0.35">
      <c r="C132" s="12" t="str">
        <v>Transform Type</v>
      </c>
      <c r="D132" s="216" t="str">
        <v>ConcatenatedOperation</v>
      </c>
    </row>
    <row r="133" spans="3:16" x14ac:dyDescent="0.35">
      <c r="C133" s="12" t="str">
        <v>Identifier</v>
      </c>
      <c r="D133" s="216" t="str">
        <v/>
      </c>
    </row>
    <row r="134" spans="3:16" x14ac:dyDescent="0.35">
      <c r="C134" s="12" t="str">
        <v>Identifiers</v>
      </c>
      <c r="D134" s="216" t="str">
        <v/>
      </c>
    </row>
    <row r="135" spans="3:16" x14ac:dyDescent="0.35">
      <c r="C135" s="12" t="str">
        <v>Accuracy</v>
      </c>
      <c r="D135" s="216" t="str">
        <v/>
      </c>
    </row>
    <row r="136" spans="3:16" x14ac:dyDescent="0.35">
      <c r="C136" s="12" t="str">
        <v>IsAvailable</v>
      </c>
      <c r="D136" s="216" t="str">
        <v>True</v>
      </c>
    </row>
    <row r="137" spans="3:16" x14ac:dyDescent="0.35">
      <c r="C137" s="12" t="str">
        <v>HasBallParkTransformation</v>
      </c>
      <c r="D137" s="216" t="str">
        <v>True</v>
      </c>
    </row>
    <row r="138" spans="3:16" x14ac:dyDescent="0.35">
      <c r="C138" s="12" t="str">
        <v>HasInverse</v>
      </c>
      <c r="D138" s="216" t="str">
        <v>True</v>
      </c>
    </row>
    <row r="139" spans="3:16" x14ac:dyDescent="0.35">
      <c r="C139" s="12" t="str">
        <v>MethodName</v>
      </c>
      <c r="D139" s="216" t="str">
        <v/>
      </c>
    </row>
    <row r="140" spans="3:16" x14ac:dyDescent="0.35">
      <c r="C140" s="12" t="str">
        <v>Scope</v>
      </c>
      <c r="D140" s="216" t="str">
        <v/>
      </c>
    </row>
    <row r="141" spans="3:16" x14ac:dyDescent="0.35">
      <c r="C141" s="12" t="str">
        <v>Remarks</v>
      </c>
      <c r="D141" s="216" t="str">
        <v/>
      </c>
    </row>
    <row r="142" spans="3:16" x14ac:dyDescent="0.35">
      <c r="C142" s="12" t="str">
        <v>GridUsages</v>
      </c>
      <c r="D142" s="216" t="str">
        <v/>
      </c>
    </row>
    <row r="143" spans="3:16" x14ac:dyDescent="0.35">
      <c r="C143" s="12" t="str">
        <v>Parameters</v>
      </c>
      <c r="D143" s="216" t="str">
        <v/>
      </c>
    </row>
    <row r="144" spans="3:16" x14ac:dyDescent="0.35">
      <c r="C144" s="12" t="str">
        <v>SourceCRS</v>
      </c>
      <c r="D144" s="216" t="str">
        <v>Albanian 1987 / Gauss-Kruger zone 4 (with axis order normalized for visualization)</v>
      </c>
    </row>
    <row r="145" spans="3:15" x14ac:dyDescent="0.35">
      <c r="C145" s="12" t="str">
        <v>TargetCRS</v>
      </c>
      <c r="D145" s="216" t="str">
        <v>WGS 84 (with axis order normalized for visualization)</v>
      </c>
    </row>
    <row r="146" spans="3:15" x14ac:dyDescent="0.35">
      <c r="C146" s="12" t="str">
        <v>Context</v>
      </c>
      <c r="D146" s="216" t="str">
        <v>LogLevel=Error; EndpointUrl=https://cdn.proj.org; EnableNetworkConnections=True</v>
      </c>
    </row>
    <row r="147" spans="3:15" x14ac:dyDescent="0.35">
      <c r="C147" s="12" t="str">
        <v>UsageArea.Name</v>
      </c>
      <c r="D147" s="216" t="str">
        <v>UsageArea</v>
      </c>
    </row>
    <row r="148" spans="3:15" x14ac:dyDescent="0.35">
      <c r="C148" s="12" t="str">
        <v>UsageArea.WestLongitude</v>
      </c>
      <c r="D148" s="216" t="str">
        <v>World</v>
      </c>
    </row>
    <row r="149" spans="3:15" x14ac:dyDescent="0.35">
      <c r="C149" s="12" t="str">
        <v>UsageArea.SouthLatitude</v>
      </c>
      <c r="D149" s="216" t="str">
        <v>-180</v>
      </c>
      <c r="F149" t="str">
        <f>C149</f>
        <v>UsageArea.SouthLatitude</v>
      </c>
    </row>
    <row r="150" spans="3:15" x14ac:dyDescent="0.35">
      <c r="C150" s="12" t="str">
        <v>UsageArea.EastLongitude</v>
      </c>
      <c r="D150" s="216" t="str">
        <v>-90</v>
      </c>
    </row>
    <row r="151" spans="3:15" x14ac:dyDescent="0.35">
      <c r="C151" s="12" t="str">
        <v>UsageArea.NorthLatitude</v>
      </c>
      <c r="D151" s="216" t="str">
        <v>180</v>
      </c>
    </row>
    <row r="152" spans="3:15" ht="15" thickBot="1" x14ac:dyDescent="0.4">
      <c r="C152" s="13" t="str">
        <v>UsageArea.Center</v>
      </c>
      <c r="D152" s="217" t="str">
        <v>90</v>
      </c>
      <c r="M152"/>
    </row>
    <row r="153" spans="3:15" ht="15" thickBot="1" x14ac:dyDescent="0.4">
      <c r="M153"/>
    </row>
    <row r="154" spans="3:15" ht="15" thickBot="1" x14ac:dyDescent="0.4">
      <c r="C154" s="237" t="str" cm="1">
        <f t="array" ref="C154:E167">_xll.PE.trf.TransformSteps(D127,D128,C129,"proj")</f>
        <v>Transform Identifiers</v>
      </c>
      <c r="D154" s="233" t="str">
        <v>INVERSE(EPSG)</v>
      </c>
      <c r="E154" s="234">
        <v>0</v>
      </c>
      <c r="G154" s="182" t="str" cm="1">
        <f t="array" ref="G154:K156">_xll.PE.xfm.ListTransformPipelines(D127,D128)</f>
        <v>PipelineID</v>
      </c>
      <c r="H154" s="183" t="str">
        <v>Name</v>
      </c>
      <c r="I154" s="183" t="str">
        <v>Accuracy(m)</v>
      </c>
      <c r="J154" s="183" t="str">
        <v>Grids</v>
      </c>
      <c r="K154" s="184" t="str">
        <v>IsAvailable</v>
      </c>
      <c r="M154"/>
      <c r="N154" s="61"/>
      <c r="O154"/>
    </row>
    <row r="155" spans="3:15" x14ac:dyDescent="0.35">
      <c r="C155" s="238" t="str">
        <v>Transform Name</v>
      </c>
      <c r="D155" s="172" t="str">
        <v>Inverse of 6-degree Gauss-Kruger zone 4</v>
      </c>
      <c r="E155" s="235" t="str">
        <v>Ballpark geographic offset from Albanian 1987 to WGS 84</v>
      </c>
      <c r="G155" s="198">
        <v>1</v>
      </c>
      <c r="H155" t="str">
        <v>Inverse of 6-degree Gauss-Kruger zone 4</v>
      </c>
      <c r="I155" t="str">
        <v/>
      </c>
      <c r="J155" t="str">
        <v/>
      </c>
      <c r="K155" s="199" t="str">
        <v>TRUE</v>
      </c>
      <c r="M155"/>
      <c r="N155" s="61"/>
      <c r="O155"/>
    </row>
    <row r="156" spans="3:15" ht="15" thickBot="1" x14ac:dyDescent="0.4">
      <c r="C156" s="238" t="str">
        <v>Accuracy [m]</v>
      </c>
      <c r="D156" s="172">
        <v>0</v>
      </c>
      <c r="E156" s="235">
        <v>0</v>
      </c>
      <c r="G156" s="200">
        <v>2</v>
      </c>
      <c r="H156" s="201" t="str">
        <v>Albanian 1987 to WGS 84 (1)</v>
      </c>
      <c r="I156" s="201">
        <v>1</v>
      </c>
      <c r="J156" s="201" t="str">
        <v/>
      </c>
      <c r="K156" s="202" t="str">
        <v>TRUE</v>
      </c>
      <c r="M156"/>
      <c r="N156" s="61"/>
      <c r="O156"/>
    </row>
    <row r="157" spans="3:15" x14ac:dyDescent="0.35">
      <c r="C157" s="238" t="str">
        <v>UsageArea</v>
      </c>
      <c r="D157" s="172" t="str">
        <v>Between 18°E and 24°E.</v>
      </c>
      <c r="E157" s="235" t="str">
        <v>World</v>
      </c>
      <c r="H157" t="str">
        <f>H155</f>
        <v>Inverse of 6-degree Gauss-Kruger zone 4</v>
      </c>
      <c r="M157"/>
      <c r="N157" s="61"/>
      <c r="O157"/>
    </row>
    <row r="158" spans="3:15" x14ac:dyDescent="0.35">
      <c r="C158" s="238" t="str">
        <v>Scope</v>
      </c>
      <c r="D158" s="172" t="str">
        <v>Topographic mapping (medium scale).</v>
      </c>
      <c r="E158" s="235" t="str">
        <v>Unknown</v>
      </c>
      <c r="H158" t="str">
        <f>H156</f>
        <v>Albanian 1987 to WGS 84 (1)</v>
      </c>
      <c r="M158"/>
      <c r="N158" s="61"/>
      <c r="O158"/>
    </row>
    <row r="159" spans="3:15" x14ac:dyDescent="0.35">
      <c r="C159" s="238" t="str">
        <v>Remarks</v>
      </c>
      <c r="D159" s="172" t="str">
        <v>Also found with zone truncated from false easting: see 6-degree Gauss-Kruger CM 21E (code 16304).</v>
      </c>
      <c r="E159" s="235" t="str">
        <v>None</v>
      </c>
      <c r="L159" s="1"/>
      <c r="M159"/>
      <c r="N159" s="61"/>
      <c r="O159"/>
    </row>
    <row r="160" spans="3:15" ht="15" thickBot="1" x14ac:dyDescent="0.4">
      <c r="C160" s="238" t="str">
        <v>UsageArea.WestLongitude</v>
      </c>
      <c r="D160" s="172">
        <v>18</v>
      </c>
      <c r="E160" s="235">
        <v>-180</v>
      </c>
      <c r="L160" s="1"/>
      <c r="M160"/>
      <c r="N160" s="61"/>
      <c r="O160"/>
    </row>
    <row r="161" spans="3:16" ht="15" thickBot="1" x14ac:dyDescent="0.4">
      <c r="C161" s="238" t="str">
        <v>UsageArea.SouthLatitude</v>
      </c>
      <c r="D161" s="172">
        <v>24</v>
      </c>
      <c r="E161" s="235">
        <v>180</v>
      </c>
      <c r="G161" s="182" t="str" cm="1">
        <f t="array" ref="G161:P164">_xll.PE.trf.ListTransformOptions(D127,D128)</f>
        <v>CandidateIndex</v>
      </c>
      <c r="H161" s="183" t="str">
        <v>DefaultSelection</v>
      </c>
      <c r="I161" s="183" t="str">
        <v>Name</v>
      </c>
      <c r="J161" s="183" t="str">
        <v>Type</v>
      </c>
      <c r="K161" s="183" t="str">
        <v>Accuracy</v>
      </c>
      <c r="L161" s="183" t="str">
        <v>IsAvailable</v>
      </c>
      <c r="M161" s="183" t="str">
        <v>HasBallPark</v>
      </c>
      <c r="N161" s="183" t="str">
        <v>UsageArea</v>
      </c>
      <c r="O161" s="203" t="str">
        <v>Pros</v>
      </c>
      <c r="P161" s="184" t="str">
        <v>Cons</v>
      </c>
    </row>
    <row r="162" spans="3:16" x14ac:dyDescent="0.35">
      <c r="C162" s="238" t="str">
        <v>UsageArea.EastLongitude</v>
      </c>
      <c r="D162" s="172">
        <v>-80</v>
      </c>
      <c r="E162" s="235">
        <v>-90</v>
      </c>
      <c r="G162" s="198">
        <v>0</v>
      </c>
      <c r="H162" t="str">
        <v>Only</v>
      </c>
      <c r="I162" t="str">
        <v>Albanian 1987 to WGS 84 (1)</v>
      </c>
      <c r="J162" t="str">
        <v>Transformation</v>
      </c>
      <c r="K162">
        <v>1</v>
      </c>
      <c r="L162" t="b">
        <v>1</v>
      </c>
      <c r="M162" t="b">
        <v>0</v>
      </c>
      <c r="N162" t="str">
        <v>Albania - onshore.</v>
      </c>
      <c r="O162" s="240" t="str">
        <v>Available; Non-ballpark; Accuracy=1; Has usage area; Default selection</v>
      </c>
      <c r="P162" s="241" t="str">
        <v/>
      </c>
    </row>
    <row r="163" spans="3:16" x14ac:dyDescent="0.35">
      <c r="C163" s="238" t="str">
        <v>UsageArea.NorthLatitude</v>
      </c>
      <c r="D163" s="172">
        <v>84</v>
      </c>
      <c r="E163" s="235">
        <v>90</v>
      </c>
      <c r="G163" s="198">
        <v>1</v>
      </c>
      <c r="H163" t="str">
        <v>Only</v>
      </c>
      <c r="I163" t="str">
        <v>Inverse of 6-degree Gauss-Kruger zone 4</v>
      </c>
      <c r="J163" t="str">
        <v>Conversion</v>
      </c>
      <c r="K163">
        <v>0</v>
      </c>
      <c r="L163" t="b">
        <v>1</v>
      </c>
      <c r="M163" t="b">
        <v>0</v>
      </c>
      <c r="N163" t="str">
        <v>Between 18°E and 24°E.</v>
      </c>
      <c r="O163" s="240" t="str">
        <v>Available; Non-ballpark; Has usage area; Default selection</v>
      </c>
      <c r="P163" s="241" t="str">
        <v>No reported accuracy</v>
      </c>
    </row>
    <row r="164" spans="3:16" ht="15" thickBot="1" x14ac:dyDescent="0.4">
      <c r="C164" s="238" t="str">
        <v>Nr grids</v>
      </c>
      <c r="D164" s="172">
        <v>0</v>
      </c>
      <c r="E164" s="235">
        <v>0</v>
      </c>
      <c r="G164" s="200">
        <v>2</v>
      </c>
      <c r="H164" s="201" t="str">
        <v>Only</v>
      </c>
      <c r="I164" s="201" t="str">
        <v>axis order change (2D)</v>
      </c>
      <c r="J164" s="201" t="str">
        <v>Conversion</v>
      </c>
      <c r="K164" s="201">
        <v>0</v>
      </c>
      <c r="L164" s="201" t="b">
        <v>1</v>
      </c>
      <c r="M164" s="201" t="b">
        <v>0</v>
      </c>
      <c r="N164" s="201" t="str">
        <v/>
      </c>
      <c r="O164" s="242" t="str">
        <v>Available; Non-ballpark; Default selection</v>
      </c>
      <c r="P164" s="243" t="str">
        <v>No reported accuracy</v>
      </c>
    </row>
    <row r="165" spans="3:16" x14ac:dyDescent="0.35">
      <c r="C165" s="238" t="str">
        <v>1st grid</v>
      </c>
      <c r="D165" s="172" t="str">
        <v>N.A.</v>
      </c>
      <c r="E165" s="235" t="str">
        <v>N.A.</v>
      </c>
      <c r="I165" t="str">
        <f>I162</f>
        <v>Albanian 1987 to WGS 84 (1)</v>
      </c>
      <c r="K165" s="61"/>
      <c r="M165"/>
      <c r="O165"/>
    </row>
    <row r="166" spans="3:16" x14ac:dyDescent="0.35">
      <c r="C166" s="238" t="str">
        <v>2nd grid</v>
      </c>
      <c r="D166" s="172" t="str">
        <v>N.A.</v>
      </c>
      <c r="E166" s="235" t="str">
        <v>N.A.</v>
      </c>
      <c r="I166" t="str">
        <f>I163</f>
        <v>Inverse of 6-degree Gauss-Kruger zone 4</v>
      </c>
      <c r="M166"/>
    </row>
    <row r="167" spans="3:16" ht="15" thickBot="1" x14ac:dyDescent="0.4">
      <c r="C167" s="239" t="str">
        <v>Transform PROJ string</v>
      </c>
      <c r="D167" s="214" t="str">
        <v>+proj=pipeline +step +proj=axisswap +order=2,1 +step +inv +proj=tmerc +lat_0=0 +lon_0=21 +k=1 +x_0=4500000 +y_0=0 +ellps=krass +step +proj=unitconvert +xy_in=rad +xy_out=deg +step +proj=axisswap +order=2,1</v>
      </c>
      <c r="E167" s="236" t="str">
        <v>+proj=noop</v>
      </c>
      <c r="I167" t="str">
        <f>I164</f>
        <v>axis order change (2D)</v>
      </c>
      <c r="M167"/>
    </row>
    <row r="168" spans="3:16" x14ac:dyDescent="0.35">
      <c r="M168"/>
    </row>
    <row r="169" spans="3:16" ht="15" thickBot="1" x14ac:dyDescent="0.4">
      <c r="M169"/>
    </row>
    <row r="170" spans="3:16" x14ac:dyDescent="0.35">
      <c r="C170" s="41" t="s">
        <v>142</v>
      </c>
      <c r="D170" s="210">
        <v>3857</v>
      </c>
      <c r="K170" s="61"/>
      <c r="M170"/>
    </row>
    <row r="171" spans="3:16" ht="15" thickBot="1" x14ac:dyDescent="0.4">
      <c r="C171" s="13" t="s">
        <v>143</v>
      </c>
      <c r="D171" s="211">
        <v>23095</v>
      </c>
      <c r="K171" s="61"/>
      <c r="M171"/>
    </row>
    <row r="172" spans="3:16" ht="15" thickBot="1" x14ac:dyDescent="0.4">
      <c r="C172" s="182" t="str" cm="1">
        <f t="array" ref="C172">_xll.PE.trf.Options(,,,,,55,,,,,,"Never",,,3,)</f>
        <v>Authority=EPSG; Area=; Accuracy=55; NoBallparkConversions=False; NoDiscardIfMissing=False; UsePrimaryGridNames=False; UseSuperseded=False; StrictContains=False; IntermediateCrsUsage=Never; BestOnly=False; ForceOver=False; CandidateIndex=3; AllowDeprecatedCrs=False</v>
      </c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4"/>
      <c r="P172" s="184"/>
    </row>
    <row r="173" spans="3:16" ht="15" thickBot="1" x14ac:dyDescent="0.4">
      <c r="C173" s="223" t="str" cm="1">
        <f t="array" ref="C173:I195">_xll.PE.trf.TransformList(D170,D171,C172,"")</f>
        <v>Transform Number</v>
      </c>
      <c r="D173" s="215">
        <v>0</v>
      </c>
      <c r="E173" s="215">
        <v>1</v>
      </c>
      <c r="F173" s="215">
        <v>2</v>
      </c>
      <c r="G173" s="215">
        <v>3</v>
      </c>
      <c r="H173" s="215">
        <v>4</v>
      </c>
      <c r="I173" s="5">
        <v>5</v>
      </c>
      <c r="M173"/>
    </row>
    <row r="174" spans="3:16" x14ac:dyDescent="0.35">
      <c r="C174" s="12" t="str">
        <v>Transform Name</v>
      </c>
      <c r="D174" s="212" t="str">
        <v>Inverse of Popular Visualisation Pseudo-Mercator + Inverse of ED50 to WGS 84 (18) + TM 5 NE</v>
      </c>
      <c r="E174" s="212" t="str">
        <v>Inverse of Popular Visualisation Pseudo-Mercator + Inverse of ED50 to WGS 84 (32) + TM 5 NE</v>
      </c>
      <c r="F174" s="212" t="str">
        <v>Inverse of Popular Visualisation Pseudo-Mercator + Inverse of ED50 to WGS 84 (2) + TM 5 NE</v>
      </c>
      <c r="G174" s="172" t="str">
        <v>Inverse of Popular Visualisation Pseudo-Mercator + Inverse of ED50 to WGS 84 (1) + TM 5 NE</v>
      </c>
      <c r="H174" s="172" t="str">
        <v>Inverse of Popular Visualisation Pseudo-Mercator + Inverse of ED50 to WGS 84 (36) + TM 5 NE</v>
      </c>
      <c r="I174" s="179" t="str">
        <v>Inverse of Popular Visualisation Pseudo-Mercator + Inverse of ED50 to WGS 84 (17) + TM 5 NE</v>
      </c>
      <c r="M174"/>
    </row>
    <row r="175" spans="3:16" x14ac:dyDescent="0.35">
      <c r="C175" s="12" t="str">
        <v>Transform Type</v>
      </c>
      <c r="D175" s="212" t="str">
        <v>ConcatenatedOperation</v>
      </c>
      <c r="E175" s="212" t="str">
        <v>ConcatenatedOperation</v>
      </c>
      <c r="F175" s="212" t="str">
        <v>ConcatenatedOperation</v>
      </c>
      <c r="G175" s="172" t="str">
        <v>ConcatenatedOperation</v>
      </c>
      <c r="H175" s="172" t="str">
        <v>ConcatenatedOperation</v>
      </c>
      <c r="I175" s="179" t="str">
        <v>ConcatenatedOperation</v>
      </c>
      <c r="M175"/>
    </row>
    <row r="176" spans="3:16" x14ac:dyDescent="0.35">
      <c r="C176" s="12" t="str">
        <v>Identifier</v>
      </c>
      <c r="D176" s="212" t="str">
        <v/>
      </c>
      <c r="E176" s="212" t="str">
        <v/>
      </c>
      <c r="F176" s="212" t="str">
        <v/>
      </c>
      <c r="G176" s="172" t="str">
        <v/>
      </c>
      <c r="H176" s="172" t="str">
        <v/>
      </c>
      <c r="I176" s="179" t="str">
        <v/>
      </c>
      <c r="M176"/>
    </row>
    <row r="177" spans="3:13" x14ac:dyDescent="0.35">
      <c r="C177" s="12" t="str">
        <v>Identifiers</v>
      </c>
      <c r="D177" s="212" t="str">
        <v/>
      </c>
      <c r="E177" s="212" t="str">
        <v/>
      </c>
      <c r="F177" s="212" t="str">
        <v/>
      </c>
      <c r="G177" s="172" t="str">
        <v/>
      </c>
      <c r="H177" s="172" t="str">
        <v/>
      </c>
      <c r="I177" s="179" t="str">
        <v/>
      </c>
      <c r="M177"/>
    </row>
    <row r="178" spans="3:13" x14ac:dyDescent="0.35">
      <c r="C178" s="12" t="str">
        <v>Accuracy</v>
      </c>
      <c r="D178" s="212" t="str">
        <v>1</v>
      </c>
      <c r="E178" s="212" t="str">
        <v>5</v>
      </c>
      <c r="F178" s="212" t="str">
        <v>6</v>
      </c>
      <c r="G178" s="172" t="str">
        <v>10</v>
      </c>
      <c r="H178" s="172" t="str">
        <v>1</v>
      </c>
      <c r="I178" s="179" t="str">
        <v>2</v>
      </c>
      <c r="M178"/>
    </row>
    <row r="179" spans="3:13" x14ac:dyDescent="0.35">
      <c r="C179" s="12" t="str">
        <v>IsAvailable</v>
      </c>
      <c r="D179" s="212" t="str">
        <v>True</v>
      </c>
      <c r="E179" s="212" t="str">
        <v>True</v>
      </c>
      <c r="F179" s="212" t="str">
        <v>True</v>
      </c>
      <c r="G179" s="172" t="str">
        <v>True</v>
      </c>
      <c r="H179" s="172" t="str">
        <v>True</v>
      </c>
      <c r="I179" s="179" t="str">
        <v>True</v>
      </c>
      <c r="M179"/>
    </row>
    <row r="180" spans="3:13" x14ac:dyDescent="0.35">
      <c r="C180" s="12" t="str">
        <v>HasBallParkTransformation</v>
      </c>
      <c r="D180" s="212" t="str">
        <v>False</v>
      </c>
      <c r="E180" s="212" t="str">
        <v>False</v>
      </c>
      <c r="F180" s="212" t="str">
        <v>False</v>
      </c>
      <c r="G180" s="172" t="str">
        <v>False</v>
      </c>
      <c r="H180" s="172" t="str">
        <v>False</v>
      </c>
      <c r="I180" s="179" t="str">
        <v>False</v>
      </c>
      <c r="M180"/>
    </row>
    <row r="181" spans="3:13" x14ac:dyDescent="0.35">
      <c r="C181" s="12" t="str">
        <v>HasInverse</v>
      </c>
      <c r="D181" s="212" t="str">
        <v>True</v>
      </c>
      <c r="E181" s="212" t="str">
        <v>True</v>
      </c>
      <c r="F181" s="212" t="str">
        <v>True</v>
      </c>
      <c r="G181" s="172" t="str">
        <v>True</v>
      </c>
      <c r="H181" s="172" t="str">
        <v>True</v>
      </c>
      <c r="I181" s="179" t="str">
        <v>True</v>
      </c>
      <c r="M181"/>
    </row>
    <row r="182" spans="3:13" x14ac:dyDescent="0.35">
      <c r="C182" s="12" t="str">
        <v>MethodName</v>
      </c>
      <c r="D182" s="212" t="str">
        <v/>
      </c>
      <c r="E182" s="212" t="str">
        <v/>
      </c>
      <c r="F182" s="212" t="str">
        <v/>
      </c>
      <c r="G182" s="172" t="str">
        <v/>
      </c>
      <c r="H182" s="172" t="str">
        <v/>
      </c>
      <c r="I182" s="179" t="str">
        <v/>
      </c>
      <c r="M182"/>
    </row>
    <row r="183" spans="3:13" x14ac:dyDescent="0.35">
      <c r="C183" s="12" t="str">
        <v>Scope</v>
      </c>
      <c r="D183" s="212" t="str">
        <v/>
      </c>
      <c r="E183" s="212" t="str">
        <v/>
      </c>
      <c r="F183" s="212" t="str">
        <v/>
      </c>
      <c r="G183" s="172" t="str">
        <v/>
      </c>
      <c r="H183" s="172" t="str">
        <v/>
      </c>
      <c r="I183" s="179" t="str">
        <v/>
      </c>
      <c r="M183"/>
    </row>
    <row r="184" spans="3:13" x14ac:dyDescent="0.35">
      <c r="C184" s="12" t="str">
        <v>Remarks</v>
      </c>
      <c r="D184" s="212" t="str">
        <v/>
      </c>
      <c r="E184" s="212" t="str">
        <v/>
      </c>
      <c r="F184" s="212" t="str">
        <v/>
      </c>
      <c r="G184" s="172" t="str">
        <v/>
      </c>
      <c r="H184" s="172" t="str">
        <v/>
      </c>
      <c r="I184" s="179" t="str">
        <v/>
      </c>
      <c r="M184"/>
    </row>
    <row r="185" spans="3:13" x14ac:dyDescent="0.35">
      <c r="C185" s="12" t="str">
        <v>GridUsages</v>
      </c>
      <c r="D185" s="212" t="str">
        <v/>
      </c>
      <c r="E185" s="212" t="str">
        <v/>
      </c>
      <c r="F185" s="212" t="str">
        <v/>
      </c>
      <c r="G185" s="172" t="str">
        <v/>
      </c>
      <c r="H185" s="172" t="str">
        <v/>
      </c>
      <c r="I185" s="179" t="str">
        <v/>
      </c>
      <c r="M185"/>
    </row>
    <row r="186" spans="3:13" x14ac:dyDescent="0.35">
      <c r="C186" s="12" t="str">
        <v>Parameters</v>
      </c>
      <c r="D186" s="212" t="str">
        <v/>
      </c>
      <c r="E186" s="212" t="str">
        <v/>
      </c>
      <c r="F186" s="212" t="str">
        <v/>
      </c>
      <c r="G186" s="172" t="str">
        <v/>
      </c>
      <c r="H186" s="172" t="str">
        <v/>
      </c>
      <c r="I186" s="179" t="str">
        <v/>
      </c>
      <c r="M186"/>
    </row>
    <row r="187" spans="3:13" x14ac:dyDescent="0.35">
      <c r="C187" s="12" t="str">
        <v>SourceCRS</v>
      </c>
      <c r="D187" s="212" t="str">
        <v>WGS 84 / Pseudo-Mercator</v>
      </c>
      <c r="E187" s="212" t="str">
        <v>WGS 84 / Pseudo-Mercator</v>
      </c>
      <c r="F187" s="212" t="str">
        <v>WGS 84 / Pseudo-Mercator</v>
      </c>
      <c r="G187" s="172" t="str">
        <v>WGS 84 / Pseudo-Mercator</v>
      </c>
      <c r="H187" s="172" t="str">
        <v>WGS 84 / Pseudo-Mercator</v>
      </c>
      <c r="I187" s="179" t="str">
        <v>WGS 84 / Pseudo-Mercator</v>
      </c>
      <c r="M187"/>
    </row>
    <row r="188" spans="3:13" x14ac:dyDescent="0.35">
      <c r="C188" s="12" t="str">
        <v>TargetCRS</v>
      </c>
      <c r="D188" s="212" t="str">
        <v>ED50 / TM 5 NE</v>
      </c>
      <c r="E188" s="212" t="str">
        <v>ED50 / TM 5 NE</v>
      </c>
      <c r="F188" s="212" t="str">
        <v>ED50 / TM 5 NE</v>
      </c>
      <c r="G188" s="172" t="str">
        <v>ED50 / TM 5 NE</v>
      </c>
      <c r="H188" s="172" t="str">
        <v>ED50 / TM 5 NE</v>
      </c>
      <c r="I188" s="179" t="str">
        <v>ED50 / TM 5 NE</v>
      </c>
      <c r="M188"/>
    </row>
    <row r="189" spans="3:13" x14ac:dyDescent="0.35">
      <c r="C189" s="12" t="str">
        <v>Context</v>
      </c>
      <c r="D189" s="212" t="str">
        <v>LogLevel=Error; EndpointUrl=https://cdn.proj.org; EnableNetworkConnections=True</v>
      </c>
      <c r="E189" s="212" t="str">
        <v>LogLevel=Error; EndpointUrl=https://cdn.proj.org; EnableNetworkConnections=True</v>
      </c>
      <c r="F189" s="212" t="str">
        <v>LogLevel=Error; EndpointUrl=https://cdn.proj.org; EnableNetworkConnections=True</v>
      </c>
      <c r="G189" s="172" t="str">
        <v>LogLevel=Error; EndpointUrl=https://cdn.proj.org; EnableNetworkConnections=True</v>
      </c>
      <c r="H189" s="172" t="str">
        <v>LogLevel=Error; EndpointUrl=https://cdn.proj.org; EnableNetworkConnections=True</v>
      </c>
      <c r="I189" s="179" t="str">
        <v>LogLevel=Error; EndpointUrl=https://cdn.proj.org; EnableNetworkConnections=True</v>
      </c>
      <c r="M189"/>
    </row>
    <row r="190" spans="3:13" x14ac:dyDescent="0.35">
      <c r="C190" s="12" t="str">
        <v>UsageArea.Name</v>
      </c>
      <c r="D190" s="212" t="str">
        <v>UsageArea</v>
      </c>
      <c r="E190" s="212" t="str">
        <v>UsageArea</v>
      </c>
      <c r="F190" s="212" t="str">
        <v>UsageArea</v>
      </c>
      <c r="G190" s="172" t="str">
        <v>UsageArea</v>
      </c>
      <c r="H190" s="172" t="str">
        <v>UsageArea</v>
      </c>
      <c r="I190" s="179" t="str">
        <v>UsageArea</v>
      </c>
      <c r="M190"/>
    </row>
    <row r="191" spans="3:13" x14ac:dyDescent="0.35">
      <c r="C191" s="12" t="str">
        <v>UsageArea.WestLongitude</v>
      </c>
      <c r="D191" s="212" t="str">
        <v>Denmark - offshore North Sea; Ireland - offshore; Netherlands - offshore; United Kingdom - UKCS offshore.</v>
      </c>
      <c r="E191" s="212" t="str">
        <v>Netherlands - offshore North Sea.</v>
      </c>
      <c r="F191" s="212" t="str">
        <v>Austria; Denmark; France; Germany (west); Netherlands; Switzerland.</v>
      </c>
      <c r="G191" s="172" t="str">
        <v>Austria; Belgium; Denmark; Finland; Faroe islands; France; Germany (west); Gibraltar; Greece; Italy; Luxembourg; Netherlands; Norway; Portugal; Spain; Sweden; Switzerland.</v>
      </c>
      <c r="H191" s="172" t="str">
        <v>Germany - offshore North Sea.</v>
      </c>
      <c r="I191" s="179" t="str">
        <v>France - onshore and offshore, mainland and Corsica (France métropolitaine including Corsica).</v>
      </c>
      <c r="M191"/>
    </row>
    <row r="192" spans="3:13" x14ac:dyDescent="0.35">
      <c r="C192" s="12" t="str">
        <v>UsageArea.SouthLatitude</v>
      </c>
      <c r="D192" s="212" t="str">
        <v>-16.1</v>
      </c>
      <c r="E192" s="212" t="str">
        <v>2.53</v>
      </c>
      <c r="F192" s="212" t="str">
        <v>-4.87</v>
      </c>
      <c r="G192" s="172" t="str">
        <v>-9.56</v>
      </c>
      <c r="H192" s="172" t="str">
        <v>3.34</v>
      </c>
      <c r="I192" s="179" t="str">
        <v>-9.86</v>
      </c>
      <c r="M192"/>
    </row>
    <row r="193" spans="3:20" x14ac:dyDescent="0.35">
      <c r="C193" s="12" t="str">
        <v>UsageArea.EastLongitude</v>
      </c>
      <c r="D193" s="212" t="str">
        <v>47.42</v>
      </c>
      <c r="E193" s="212" t="str">
        <v>51.44</v>
      </c>
      <c r="F193" s="212" t="str">
        <v>42.33</v>
      </c>
      <c r="G193" s="172" t="str">
        <v>34.88</v>
      </c>
      <c r="H193" s="172" t="str">
        <v>53.58</v>
      </c>
      <c r="I193" s="179" t="str">
        <v>41.15</v>
      </c>
      <c r="M193"/>
    </row>
    <row r="194" spans="3:20" x14ac:dyDescent="0.35">
      <c r="C194" s="12" t="str">
        <v>UsageArea.NorthLatitude</v>
      </c>
      <c r="D194" s="212" t="str">
        <v>10.86</v>
      </c>
      <c r="E194" s="212" t="str">
        <v>6.37</v>
      </c>
      <c r="F194" s="212" t="str">
        <v>17.17</v>
      </c>
      <c r="G194" s="172" t="str">
        <v>31.59</v>
      </c>
      <c r="H194" s="172" t="str">
        <v>8.88</v>
      </c>
      <c r="I194" s="179" t="str">
        <v>10.38</v>
      </c>
      <c r="M194"/>
    </row>
    <row r="195" spans="3:20" ht="15" thickBot="1" x14ac:dyDescent="0.4">
      <c r="C195" s="13" t="str">
        <v>UsageArea.Center</v>
      </c>
      <c r="D195" s="213" t="str">
        <v>63.89</v>
      </c>
      <c r="E195" s="213" t="str">
        <v>55.77</v>
      </c>
      <c r="F195" s="213" t="str">
        <v>57.8</v>
      </c>
      <c r="G195" s="214" t="str">
        <v>71.24</v>
      </c>
      <c r="H195" s="214" t="str">
        <v>55.92</v>
      </c>
      <c r="I195" s="181" t="str">
        <v>51.56</v>
      </c>
      <c r="M195"/>
    </row>
    <row r="196" spans="3:20" ht="15" thickBot="1" x14ac:dyDescent="0.4">
      <c r="M196"/>
    </row>
    <row r="197" spans="3:20" ht="15" thickBot="1" x14ac:dyDescent="0.4">
      <c r="C197" s="237" t="str" cm="1">
        <f t="array" ref="C197:F210">_xll.PE.trf.TransformSteps(D170,D171,C172,"proj")</f>
        <v>Transform Identifiers</v>
      </c>
      <c r="D197" s="176" t="str">
        <v>INVERSE(EPSG)</v>
      </c>
      <c r="E197" s="233" t="str">
        <v>INVERSE(EPSG)</v>
      </c>
      <c r="F197" s="233" t="str">
        <v>EPSG</v>
      </c>
      <c r="G197" s="233"/>
      <c r="H197" s="233"/>
      <c r="I197" s="177"/>
      <c r="K197" s="182" t="str" cm="1">
        <f t="array" ref="K197:O203">_xll.PE.xfm.ListTransformPipelines(D170,D171)</f>
        <v>PipelineID</v>
      </c>
      <c r="L197" s="183" t="str">
        <v>Name</v>
      </c>
      <c r="M197" s="183" t="str">
        <v>Accuracy(m)</v>
      </c>
      <c r="N197" s="183" t="str">
        <v>Grids</v>
      </c>
      <c r="O197" s="184" t="str">
        <v>IsAvailable</v>
      </c>
      <c r="R197" s="61"/>
    </row>
    <row r="198" spans="3:20" x14ac:dyDescent="0.35">
      <c r="C198" s="238" t="str">
        <v>Transform Name</v>
      </c>
      <c r="D198" s="178" t="str">
        <v>Inverse of Popular Visualisation Pseudo-Mercator</v>
      </c>
      <c r="E198" s="244" t="str">
        <v>Inverse of ED50 to WGS 84 (1)</v>
      </c>
      <c r="F198" s="244" t="str">
        <v>TM 5 NE</v>
      </c>
      <c r="G198" s="244"/>
      <c r="H198" s="244"/>
      <c r="I198" s="179"/>
      <c r="K198" s="248">
        <v>1</v>
      </c>
      <c r="L198" s="249" t="str">
        <v>Inverse of Popular Visualisation Pseudo-Mercator + Inverse of ED50 to WGS 84 (18) + TM 5 NE</v>
      </c>
      <c r="M198" s="249">
        <v>1</v>
      </c>
      <c r="N198" s="249" t="str">
        <v/>
      </c>
      <c r="O198" s="257" t="str">
        <v>TRUE</v>
      </c>
      <c r="R198" s="61"/>
    </row>
    <row r="199" spans="3:20" x14ac:dyDescent="0.35">
      <c r="C199" s="238" t="str">
        <v>Accuracy [m]</v>
      </c>
      <c r="D199" s="178">
        <v>55</v>
      </c>
      <c r="E199" s="244">
        <v>55</v>
      </c>
      <c r="F199" s="244">
        <v>55</v>
      </c>
      <c r="G199" s="244"/>
      <c r="H199" s="244"/>
      <c r="I199" s="179"/>
      <c r="K199" s="198">
        <v>2</v>
      </c>
      <c r="L199" s="251" t="str">
        <v>Inverse of Popular Visualisation Pseudo-Mercator + Inverse of ED50 to WGS 84 (32) + TM 5 NE</v>
      </c>
      <c r="M199" s="251">
        <v>5</v>
      </c>
      <c r="N199" s="251" t="str">
        <v/>
      </c>
      <c r="O199" s="199" t="str">
        <v>TRUE</v>
      </c>
      <c r="R199" s="61"/>
    </row>
    <row r="200" spans="3:20" x14ac:dyDescent="0.35">
      <c r="C200" s="238" t="str">
        <v>UsageArea</v>
      </c>
      <c r="D200" s="178" t="str">
        <v>World.</v>
      </c>
      <c r="E200" s="244" t="str">
        <v>Austria; Belgium; Denmark; Finland; Faroe islands; France; Germany (west); Gibraltar; Greece; Italy; Luxembourg; Netherlands; Norway; Portugal; Spain; Sweden; Switzerland.</v>
      </c>
      <c r="F200" s="244" t="str">
        <v>Netherlands - offshore North Sea.</v>
      </c>
      <c r="G200" s="244"/>
      <c r="H200" s="244"/>
      <c r="I200" s="179"/>
      <c r="K200" s="198">
        <v>3</v>
      </c>
      <c r="L200" s="251" t="str">
        <v>Inverse of Popular Visualisation Pseudo-Mercator + Inverse of ED50 to WGS 84 (2) + TM 5 NE</v>
      </c>
      <c r="M200" s="251">
        <v>6</v>
      </c>
      <c r="N200" s="251" t="str">
        <v/>
      </c>
      <c r="O200" s="199" t="str">
        <v>TRUE</v>
      </c>
      <c r="R200" s="61"/>
    </row>
    <row r="201" spans="3:20" x14ac:dyDescent="0.35">
      <c r="C201" s="238" t="str">
        <v>Scope</v>
      </c>
      <c r="D201" s="178" t="str">
        <v>Web mapping and visualisation.</v>
      </c>
      <c r="E201" s="244" t="str">
        <v>Military survey.</v>
      </c>
      <c r="F201" s="244" t="str">
        <v>Oil and gas exploration and production.</v>
      </c>
      <c r="G201" s="244"/>
      <c r="H201" s="244"/>
      <c r="I201" s="179"/>
      <c r="K201" s="198">
        <v>4</v>
      </c>
      <c r="L201" s="251" t="str">
        <v>Inverse of Popular Visualisation Pseudo-Mercator + Inverse of ED50 to WGS 84 (1) + TM 5 NE</v>
      </c>
      <c r="M201" s="251">
        <v>10</v>
      </c>
      <c r="N201" s="251" t="str">
        <v/>
      </c>
      <c r="O201" s="199" t="str">
        <v>TRUE</v>
      </c>
      <c r="R201" s="61"/>
    </row>
    <row r="202" spans="3:20" x14ac:dyDescent="0.35">
      <c r="C202" s="238" t="str">
        <v>Remarks</v>
      </c>
      <c r="D202" s="178" t="str">
        <v>None</v>
      </c>
      <c r="E202" s="244" t="str">
        <v>Derived at 85 stations. Accuracy 3m, 8m and 5m in X, Y and Z axes. In Germany will be accepted by LBA for minerals management purposes as alternative to tfm 1052 or 1998.</v>
      </c>
      <c r="F202" s="244" t="str">
        <v>None</v>
      </c>
      <c r="G202" s="244"/>
      <c r="H202" s="244"/>
      <c r="I202" s="179"/>
      <c r="K202" s="198">
        <v>5</v>
      </c>
      <c r="L202" s="251" t="str">
        <v>Inverse of Popular Visualisation Pseudo-Mercator + Inverse of ED50 to WGS 84 (36) + TM 5 NE</v>
      </c>
      <c r="M202" s="251">
        <v>1</v>
      </c>
      <c r="N202" s="251" t="str">
        <v/>
      </c>
      <c r="O202" s="199" t="str">
        <v>TRUE</v>
      </c>
      <c r="P202" s="1"/>
      <c r="R202" s="61"/>
    </row>
    <row r="203" spans="3:20" ht="15" thickBot="1" x14ac:dyDescent="0.4">
      <c r="C203" s="238" t="str">
        <v>UsageArea.WestLongitude</v>
      </c>
      <c r="D203" s="178">
        <v>-180</v>
      </c>
      <c r="E203" s="244">
        <v>-9.56</v>
      </c>
      <c r="F203" s="244">
        <v>2.5299999999999998</v>
      </c>
      <c r="G203" s="244"/>
      <c r="H203" s="244"/>
      <c r="I203" s="179"/>
      <c r="K203" s="200">
        <v>6</v>
      </c>
      <c r="L203" s="201" t="str">
        <v>Inverse of Popular Visualisation Pseudo-Mercator + Inverse of ED50 to WGS 84 (17) + TM 5 NE</v>
      </c>
      <c r="M203" s="201">
        <v>2</v>
      </c>
      <c r="N203" s="201" t="str">
        <v/>
      </c>
      <c r="O203" s="202" t="str">
        <v>TRUE</v>
      </c>
      <c r="P203" s="1"/>
      <c r="R203" s="61"/>
    </row>
    <row r="204" spans="3:20" ht="15" thickBot="1" x14ac:dyDescent="0.4">
      <c r="C204" s="238" t="str">
        <v>UsageArea.SouthLatitude</v>
      </c>
      <c r="D204" s="178">
        <v>180</v>
      </c>
      <c r="E204" s="244">
        <v>31.59</v>
      </c>
      <c r="F204" s="244">
        <v>6.37</v>
      </c>
      <c r="G204" s="244"/>
      <c r="H204" s="244"/>
      <c r="I204" s="179"/>
    </row>
    <row r="205" spans="3:20" ht="15" thickBot="1" x14ac:dyDescent="0.4">
      <c r="C205" s="238" t="str">
        <v>UsageArea.EastLongitude</v>
      </c>
      <c r="D205" s="178">
        <v>-90</v>
      </c>
      <c r="E205" s="244">
        <v>34.880000000000003</v>
      </c>
      <c r="F205" s="244">
        <v>51.44</v>
      </c>
      <c r="G205" s="244"/>
      <c r="H205" s="244"/>
      <c r="I205" s="179"/>
      <c r="K205" s="182" t="str" cm="1">
        <f t="array" ref="K205:T211">_xll.PE.trf.ListTransformOptions(D170,D171)</f>
        <v>CandidateIndex</v>
      </c>
      <c r="L205" s="183" t="str">
        <v>DefaultSelection</v>
      </c>
      <c r="M205" s="183" t="str">
        <v>Name</v>
      </c>
      <c r="N205" s="183" t="str">
        <v>Type</v>
      </c>
      <c r="O205" s="183" t="str">
        <v>Accuracy</v>
      </c>
      <c r="P205" s="183" t="str">
        <v>IsAvailable</v>
      </c>
      <c r="Q205" s="183" t="str">
        <v>HasBallPark</v>
      </c>
      <c r="R205" s="183" t="str">
        <v>UsageArea</v>
      </c>
      <c r="S205" s="203" t="str">
        <v>Pros</v>
      </c>
      <c r="T205" s="184" t="str">
        <v>Cons</v>
      </c>
    </row>
    <row r="206" spans="3:20" x14ac:dyDescent="0.35">
      <c r="C206" s="238" t="str">
        <v>UsageArea.NorthLatitude</v>
      </c>
      <c r="D206" s="178">
        <v>90</v>
      </c>
      <c r="E206" s="244">
        <v>71.239999999999995</v>
      </c>
      <c r="F206" s="244">
        <v>55.77</v>
      </c>
      <c r="G206" s="244"/>
      <c r="H206" s="244"/>
      <c r="I206" s="179"/>
      <c r="K206" s="248">
        <v>0</v>
      </c>
      <c r="L206" s="249" t="str">
        <v>Yes</v>
      </c>
      <c r="M206" s="249" t="str">
        <v>Inverse of Popular Visualisation Pseudo-Mercator + Inverse of ED50 to WGS 84 (18) + TM 5 NE</v>
      </c>
      <c r="N206" s="249" t="str">
        <v>ConcatenatedOperation</v>
      </c>
      <c r="O206" s="249">
        <v>1</v>
      </c>
      <c r="P206" s="249" t="b">
        <v>1</v>
      </c>
      <c r="Q206" s="249" t="b">
        <v>0</v>
      </c>
      <c r="R206" s="249" t="str">
        <v>Denmark - offshore North Sea; Ireland - offshore; Netherlands - offshore; United Kingdom - UKCS offshore.</v>
      </c>
      <c r="S206" s="254" t="str">
        <v>Available; Non-ballpark; Accuracy=1; Has usage area; Default selection</v>
      </c>
      <c r="T206" s="255" t="str">
        <v/>
      </c>
    </row>
    <row r="207" spans="3:20" x14ac:dyDescent="0.35">
      <c r="C207" s="238" t="str">
        <v>Nr grids</v>
      </c>
      <c r="D207" s="178">
        <v>0</v>
      </c>
      <c r="E207" s="244">
        <v>0</v>
      </c>
      <c r="F207" s="244">
        <v>0</v>
      </c>
      <c r="G207" s="244"/>
      <c r="H207" s="244"/>
      <c r="I207" s="179"/>
      <c r="K207" s="198">
        <v>1</v>
      </c>
      <c r="L207" s="251" t="str">
        <v>No</v>
      </c>
      <c r="M207" s="251" t="str">
        <v>Inverse of Popular Visualisation Pseudo-Mercator + Inverse of ED50 to WGS 84 (36) + TM 5 NE</v>
      </c>
      <c r="N207" s="251" t="str">
        <v>ConcatenatedOperation</v>
      </c>
      <c r="O207" s="251">
        <v>1</v>
      </c>
      <c r="P207" s="251" t="b">
        <v>1</v>
      </c>
      <c r="Q207" s="251" t="b">
        <v>0</v>
      </c>
      <c r="R207" s="251" t="str">
        <v>Germany - offshore North Sea.</v>
      </c>
      <c r="S207" s="256" t="str">
        <v>Available; Non-ballpark; Accuracy=1; Has usage area</v>
      </c>
      <c r="T207" s="241" t="str">
        <v>Alternate candidate</v>
      </c>
    </row>
    <row r="208" spans="3:20" x14ac:dyDescent="0.35">
      <c r="C208" s="238" t="str">
        <v>1st grid</v>
      </c>
      <c r="D208" s="178" t="str">
        <v>N.A.</v>
      </c>
      <c r="E208" s="244" t="str">
        <v>N.A.</v>
      </c>
      <c r="F208" s="244" t="str">
        <v>N.A.</v>
      </c>
      <c r="G208" s="244"/>
      <c r="H208" s="244"/>
      <c r="I208" s="179"/>
      <c r="K208" s="198">
        <v>2</v>
      </c>
      <c r="L208" s="251" t="str">
        <v>No</v>
      </c>
      <c r="M208" s="251" t="str">
        <v>Inverse of Popular Visualisation Pseudo-Mercator + Inverse of ED50 to WGS 84 (17) + TM 5 NE</v>
      </c>
      <c r="N208" s="251" t="str">
        <v>ConcatenatedOperation</v>
      </c>
      <c r="O208" s="251">
        <v>2</v>
      </c>
      <c r="P208" s="251" t="b">
        <v>1</v>
      </c>
      <c r="Q208" s="251" t="b">
        <v>0</v>
      </c>
      <c r="R208" s="251" t="str">
        <v>France - onshore and offshore, mainland and Corsica (France métropolitaine including Corsica).</v>
      </c>
      <c r="S208" s="256" t="str">
        <v>Available; Non-ballpark; Accuracy=2; Has usage area</v>
      </c>
      <c r="T208" s="241" t="str">
        <v>Alternate candidate</v>
      </c>
    </row>
    <row r="209" spans="2:20" x14ac:dyDescent="0.35">
      <c r="C209" s="238" t="str">
        <v>2nd grid</v>
      </c>
      <c r="D209" s="178" t="str">
        <v>N.A.</v>
      </c>
      <c r="E209" s="244" t="str">
        <v>N.A.</v>
      </c>
      <c r="F209" s="244" t="str">
        <v>N.A.</v>
      </c>
      <c r="G209" s="244"/>
      <c r="H209" s="244"/>
      <c r="I209" s="179"/>
      <c r="K209" s="198">
        <v>3</v>
      </c>
      <c r="L209" s="251" t="str">
        <v>No</v>
      </c>
      <c r="M209" s="251" t="str">
        <v>Inverse of Popular Visualisation Pseudo-Mercator + Inverse of ED50 to WGS 84 (32) + TM 5 NE</v>
      </c>
      <c r="N209" s="251" t="str">
        <v>ConcatenatedOperation</v>
      </c>
      <c r="O209" s="258">
        <v>5</v>
      </c>
      <c r="P209" s="251" t="b">
        <v>1</v>
      </c>
      <c r="Q209" s="251" t="b">
        <v>0</v>
      </c>
      <c r="R209" s="251" t="str">
        <v>Netherlands - offshore North Sea.</v>
      </c>
      <c r="S209" s="251" t="str">
        <v>Available; Non-ballpark; Accuracy=5; Has usage area</v>
      </c>
      <c r="T209" s="199" t="str">
        <v>Alternate candidate</v>
      </c>
    </row>
    <row r="210" spans="2:20" ht="15" thickBot="1" x14ac:dyDescent="0.4">
      <c r="C210" s="239" t="str">
        <v>Transform PROJ string</v>
      </c>
      <c r="D210" s="180" t="str">
        <v>+proj=pipeline +step +inv +proj=webmerc +lat_0=0 +lon_0=0 +x_0=0 +y_0=0 +ellps=WGS84 +step +proj=unitconvert +xy_in=rad +xy_out=deg +step +proj=axisswap +order=2,1</v>
      </c>
      <c r="E210" s="214" t="str">
        <v>+proj=pipeline +step +proj=axisswap +order=2,1 +step +proj=unitconvert +xy_in=deg +xy_out=rad +step +proj=push +v_3 +step +proj=cart +ellps=WGS84 +step +proj=helmert +x=87 +y=98 +z=121 +step +inv +proj=cart +ellps=intl +step +proj=pop +v_3 +step +proj=unitconvert +xy_in=rad +xy_out=deg +step +proj=axisswap +order=2,1</v>
      </c>
      <c r="F210" s="214" t="str">
        <v>+proj=pipeline +step +proj=axisswap +order=2,1 +step +proj=unitconvert +xy_in=deg +xy_out=rad +step +proj=tmerc +lat_0=0 +lon_0=5 +k=0.9996 +x_0=500000 +y_0=0 +ellps=intl</v>
      </c>
      <c r="G210" s="214"/>
      <c r="H210" s="214"/>
      <c r="I210" s="181"/>
      <c r="K210" s="198">
        <v>4</v>
      </c>
      <c r="L210" s="251" t="str">
        <v>No</v>
      </c>
      <c r="M210" s="251" t="str">
        <v>Inverse of Popular Visualisation Pseudo-Mercator + Inverse of ED50 to WGS 84 (2) + TM 5 NE</v>
      </c>
      <c r="N210" s="251" t="str">
        <v>ConcatenatedOperation</v>
      </c>
      <c r="O210" s="258">
        <v>6</v>
      </c>
      <c r="P210" s="251" t="b">
        <v>1</v>
      </c>
      <c r="Q210" s="251" t="b">
        <v>0</v>
      </c>
      <c r="R210" s="251" t="str">
        <v>Austria; Denmark; France; Germany (west); Netherlands; Switzerland.</v>
      </c>
      <c r="S210" s="251" t="str">
        <v>Available; Non-ballpark; Accuracy=6; Has usage area</v>
      </c>
      <c r="T210" s="199" t="str">
        <v>Alternate candidate</v>
      </c>
    </row>
    <row r="211" spans="2:20" ht="15" thickBot="1" x14ac:dyDescent="0.4">
      <c r="K211" s="200">
        <v>5</v>
      </c>
      <c r="L211" s="201" t="str">
        <v>No</v>
      </c>
      <c r="M211" s="201" t="str">
        <v>Inverse of Popular Visualisation Pseudo-Mercator + Inverse of ED50 to WGS 84 (1) + TM 5 NE</v>
      </c>
      <c r="N211" s="201" t="str">
        <v>ConcatenatedOperation</v>
      </c>
      <c r="O211" s="204">
        <v>10</v>
      </c>
      <c r="P211" s="201" t="b">
        <v>1</v>
      </c>
      <c r="Q211" s="201" t="b">
        <v>0</v>
      </c>
      <c r="R211" s="201" t="str">
        <v>Austria; Belgium; Denmark; Finland; Faroe islands; France; Germany (west); Gibraltar; Greece; Italy; Luxembourg; Netherlands; Norway; Portugal; Spain; Sweden; Switzerland.</v>
      </c>
      <c r="S211" s="201" t="str">
        <v>Available; Non-ballpark; Accuracy=10; Has usage area</v>
      </c>
      <c r="T211" s="202" t="str">
        <v>Alternate candidate</v>
      </c>
    </row>
    <row r="212" spans="2:20" ht="15" thickBot="1" x14ac:dyDescent="0.4">
      <c r="M212"/>
    </row>
    <row r="213" spans="2:20" x14ac:dyDescent="0.35">
      <c r="C213" s="41" t="s">
        <v>142</v>
      </c>
      <c r="D213" s="210">
        <v>2964</v>
      </c>
      <c r="E213" s="222" t="s">
        <v>144</v>
      </c>
      <c r="M213"/>
    </row>
    <row r="214" spans="2:20" ht="15" thickBot="1" x14ac:dyDescent="0.4">
      <c r="C214" s="12" t="s">
        <v>143</v>
      </c>
      <c r="D214" s="221">
        <v>4326</v>
      </c>
      <c r="E214" s="222" t="s">
        <v>145</v>
      </c>
      <c r="M214"/>
    </row>
    <row r="215" spans="2:20" ht="15" thickBot="1" x14ac:dyDescent="0.4">
      <c r="C215" s="182" t="str" cm="1">
        <f t="array" ref="C215">_xll.PE.trf.Options(,,,,,,,,,,,,0,,,)</f>
        <v>Authority=EPSG; Area=; Accuracy=; NoBallparkConversions=False; NoDiscardIfMissing=False; UsePrimaryGridNames=False; UseSuperseded=False; StrictContains=False; IntermediateCrsUsage=Auto; BestOnly=False; ForceOver=False; CandidateIndex=0; AllowDeprecatedCrs=False</v>
      </c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4"/>
      <c r="P215" s="184"/>
    </row>
    <row r="216" spans="2:20" ht="15" thickBot="1" x14ac:dyDescent="0.4">
      <c r="B216"/>
      <c r="C216" s="223" t="str" cm="1">
        <f t="array" ref="C216:M238">_xll.PE.trf.TransformList(D213,D214,C215, "")</f>
        <v>Transform Number</v>
      </c>
      <c r="D216" s="215">
        <v>0</v>
      </c>
      <c r="E216" s="215">
        <v>1</v>
      </c>
      <c r="F216" s="215">
        <v>2</v>
      </c>
      <c r="G216" s="215">
        <v>3</v>
      </c>
      <c r="H216" s="215">
        <v>4</v>
      </c>
      <c r="I216" s="215">
        <v>5</v>
      </c>
      <c r="J216" s="215">
        <v>6</v>
      </c>
      <c r="K216" s="215">
        <v>7</v>
      </c>
      <c r="L216" s="215">
        <v>8</v>
      </c>
      <c r="M216" s="5">
        <v>9</v>
      </c>
    </row>
    <row r="217" spans="2:20" x14ac:dyDescent="0.35">
      <c r="B217"/>
      <c r="C217" s="12" t="str">
        <v>Transform Name</v>
      </c>
      <c r="D217" s="212" t="str">
        <v>Inverse of Alaska Albers + NAD27 to WGS 84 (85) + axis order change (2D)</v>
      </c>
      <c r="E217" s="212" t="str">
        <v>Inverse of Alaska Albers + NAD27 to WGS 84 (7) + axis order change (2D)</v>
      </c>
      <c r="F217" s="212" t="str">
        <v>Inverse of Alaska Albers + NAD27 to WGS 84 (33) + axis order change (2D)</v>
      </c>
      <c r="G217" s="212" t="str">
        <v>Inverse of Alaska Albers + NAD27 to WGS 84 (3) + axis order change (2D)</v>
      </c>
      <c r="H217" s="212" t="str">
        <v>Inverse of Alaska Albers + NAD27 to WGS 84 (13) + axis order change (2D)</v>
      </c>
      <c r="I217" s="212" t="str">
        <v>Inverse of Alaska Albers + NAD27 to WGS 84 (14) + axis order change (2D)</v>
      </c>
      <c r="J217" s="212" t="str">
        <v>Inverse of Alaska Albers + NAD27 to WGS 84 (10) + axis order change (2D)</v>
      </c>
      <c r="K217" s="212" t="str">
        <v>Inverse of Alaska Albers + NAD27 to WGS 84 (21) + axis order change (2D)</v>
      </c>
      <c r="L217" s="212" t="str">
        <v>Inverse of Alaska Albers + NAD27 to WGS 84 (22) + axis order change (2D)</v>
      </c>
      <c r="M217" s="219" t="str">
        <v>Inverse of Alaska Albers + Ballpark geographic offset from NAD27 to WGS 84 (with axis order normalized for visualization)</v>
      </c>
    </row>
    <row r="218" spans="2:20" x14ac:dyDescent="0.35">
      <c r="B218"/>
      <c r="C218" s="12" t="str">
        <v>Transform Type</v>
      </c>
      <c r="D218" s="212" t="str">
        <v>ConcatenatedOperation</v>
      </c>
      <c r="E218" s="212" t="str">
        <v>ConcatenatedOperation</v>
      </c>
      <c r="F218" s="212" t="str">
        <v>ConcatenatedOperation</v>
      </c>
      <c r="G218" s="212" t="str">
        <v>ConcatenatedOperation</v>
      </c>
      <c r="H218" s="212" t="str">
        <v>ConcatenatedOperation</v>
      </c>
      <c r="I218" s="212" t="str">
        <v>ConcatenatedOperation</v>
      </c>
      <c r="J218" s="212" t="str">
        <v>ConcatenatedOperation</v>
      </c>
      <c r="K218" s="212" t="str">
        <v>ConcatenatedOperation</v>
      </c>
      <c r="L218" s="212" t="str">
        <v>ConcatenatedOperation</v>
      </c>
      <c r="M218" s="219" t="str">
        <v>ConcatenatedOperation</v>
      </c>
    </row>
    <row r="219" spans="2:20" x14ac:dyDescent="0.35">
      <c r="B219"/>
      <c r="C219" s="12" t="str">
        <v>Identifier</v>
      </c>
      <c r="D219" s="212" t="str">
        <v/>
      </c>
      <c r="E219" s="212" t="str">
        <v/>
      </c>
      <c r="F219" s="212" t="str">
        <v/>
      </c>
      <c r="G219" s="212" t="str">
        <v/>
      </c>
      <c r="H219" s="212" t="str">
        <v/>
      </c>
      <c r="I219" s="212" t="str">
        <v/>
      </c>
      <c r="J219" s="212" t="str">
        <v/>
      </c>
      <c r="K219" s="212" t="str">
        <v/>
      </c>
      <c r="L219" s="212" t="str">
        <v/>
      </c>
      <c r="M219" s="219" t="str">
        <v/>
      </c>
    </row>
    <row r="220" spans="2:20" x14ac:dyDescent="0.35">
      <c r="B220"/>
      <c r="C220" s="12" t="str">
        <v>Identifiers</v>
      </c>
      <c r="D220" s="212" t="str">
        <v/>
      </c>
      <c r="E220" s="212" t="str">
        <v/>
      </c>
      <c r="F220" s="212" t="str">
        <v/>
      </c>
      <c r="G220" s="212" t="str">
        <v/>
      </c>
      <c r="H220" s="212" t="str">
        <v/>
      </c>
      <c r="I220" s="212" t="str">
        <v/>
      </c>
      <c r="J220" s="212" t="str">
        <v/>
      </c>
      <c r="K220" s="212" t="str">
        <v/>
      </c>
      <c r="L220" s="212" t="str">
        <v/>
      </c>
      <c r="M220" s="219" t="str">
        <v/>
      </c>
    </row>
    <row r="221" spans="2:20" x14ac:dyDescent="0.35">
      <c r="B221"/>
      <c r="C221" s="12" t="str">
        <v>Accuracy</v>
      </c>
      <c r="D221" s="212" t="str">
        <v>5</v>
      </c>
      <c r="E221" s="212" t="str">
        <v>12</v>
      </c>
      <c r="F221" s="212" t="str">
        <v>2</v>
      </c>
      <c r="G221" s="212" t="str">
        <v>20</v>
      </c>
      <c r="H221" s="212" t="str">
        <v>8</v>
      </c>
      <c r="I221" s="212" t="str">
        <v>10</v>
      </c>
      <c r="J221" s="212" t="str">
        <v>13</v>
      </c>
      <c r="K221" s="212" t="str">
        <v>15</v>
      </c>
      <c r="L221" s="212" t="str">
        <v>18</v>
      </c>
      <c r="M221" s="219" t="str">
        <v/>
      </c>
    </row>
    <row r="222" spans="2:20" x14ac:dyDescent="0.35">
      <c r="B222"/>
      <c r="C222" s="12" t="str">
        <v>IsAvailable</v>
      </c>
      <c r="D222" s="212" t="str">
        <v>True</v>
      </c>
      <c r="E222" s="212" t="str">
        <v>True</v>
      </c>
      <c r="F222" s="212" t="str">
        <v>True</v>
      </c>
      <c r="G222" s="212" t="str">
        <v>True</v>
      </c>
      <c r="H222" s="212" t="str">
        <v>True</v>
      </c>
      <c r="I222" s="212" t="str">
        <v>True</v>
      </c>
      <c r="J222" s="212" t="str">
        <v>True</v>
      </c>
      <c r="K222" s="212" t="str">
        <v>True</v>
      </c>
      <c r="L222" s="212" t="str">
        <v>True</v>
      </c>
      <c r="M222" s="219" t="str">
        <v>True</v>
      </c>
    </row>
    <row r="223" spans="2:20" x14ac:dyDescent="0.35">
      <c r="B223"/>
      <c r="C223" s="12" t="str">
        <v>HasBallParkTransformation</v>
      </c>
      <c r="D223" s="212" t="str">
        <v>False</v>
      </c>
      <c r="E223" s="212" t="str">
        <v>False</v>
      </c>
      <c r="F223" s="212" t="str">
        <v>False</v>
      </c>
      <c r="G223" s="212" t="str">
        <v>False</v>
      </c>
      <c r="H223" s="212" t="str">
        <v>False</v>
      </c>
      <c r="I223" s="212" t="str">
        <v>False</v>
      </c>
      <c r="J223" s="212" t="str">
        <v>False</v>
      </c>
      <c r="K223" s="212" t="str">
        <v>False</v>
      </c>
      <c r="L223" s="212" t="str">
        <v>False</v>
      </c>
      <c r="M223" s="219" t="str">
        <v>True</v>
      </c>
    </row>
    <row r="224" spans="2:20" x14ac:dyDescent="0.35">
      <c r="B224"/>
      <c r="C224" s="12" t="str">
        <v>HasInverse</v>
      </c>
      <c r="D224" s="212" t="str">
        <v>True</v>
      </c>
      <c r="E224" s="212" t="str">
        <v>True</v>
      </c>
      <c r="F224" s="212" t="str">
        <v>True</v>
      </c>
      <c r="G224" s="212" t="str">
        <v>True</v>
      </c>
      <c r="H224" s="212" t="str">
        <v>True</v>
      </c>
      <c r="I224" s="212" t="str">
        <v>True</v>
      </c>
      <c r="J224" s="212" t="str">
        <v>True</v>
      </c>
      <c r="K224" s="212" t="str">
        <v>True</v>
      </c>
      <c r="L224" s="212" t="str">
        <v>True</v>
      </c>
      <c r="M224" s="219" t="str">
        <v>True</v>
      </c>
    </row>
    <row r="225" spans="2:18" x14ac:dyDescent="0.35">
      <c r="B225"/>
      <c r="C225" s="12" t="str">
        <v>MethodName</v>
      </c>
      <c r="D225" s="212" t="str">
        <v/>
      </c>
      <c r="E225" s="212" t="str">
        <v/>
      </c>
      <c r="F225" s="212" t="str">
        <v/>
      </c>
      <c r="G225" s="212" t="str">
        <v/>
      </c>
      <c r="H225" s="212" t="str">
        <v/>
      </c>
      <c r="I225" s="212" t="str">
        <v/>
      </c>
      <c r="J225" s="212" t="str">
        <v/>
      </c>
      <c r="K225" s="212" t="str">
        <v/>
      </c>
      <c r="L225" s="212" t="str">
        <v/>
      </c>
      <c r="M225" s="219" t="str">
        <v/>
      </c>
    </row>
    <row r="226" spans="2:18" x14ac:dyDescent="0.35">
      <c r="B226"/>
      <c r="C226" s="12" t="str">
        <v>Scope</v>
      </c>
      <c r="D226" s="212" t="str">
        <v/>
      </c>
      <c r="E226" s="212" t="str">
        <v/>
      </c>
      <c r="F226" s="212" t="str">
        <v/>
      </c>
      <c r="G226" s="212" t="str">
        <v/>
      </c>
      <c r="H226" s="212" t="str">
        <v/>
      </c>
      <c r="I226" s="212" t="str">
        <v/>
      </c>
      <c r="J226" s="212" t="str">
        <v/>
      </c>
      <c r="K226" s="212" t="str">
        <v/>
      </c>
      <c r="L226" s="212" t="str">
        <v/>
      </c>
      <c r="M226" s="219" t="str">
        <v/>
      </c>
    </row>
    <row r="227" spans="2:18" x14ac:dyDescent="0.35">
      <c r="B227"/>
      <c r="C227" s="12" t="str">
        <v>Remarks</v>
      </c>
      <c r="D227" s="212" t="str">
        <v/>
      </c>
      <c r="E227" s="212" t="str">
        <v/>
      </c>
      <c r="F227" s="212" t="str">
        <v/>
      </c>
      <c r="G227" s="212" t="str">
        <v/>
      </c>
      <c r="H227" s="212" t="str">
        <v/>
      </c>
      <c r="I227" s="212" t="str">
        <v/>
      </c>
      <c r="J227" s="212" t="str">
        <v/>
      </c>
      <c r="K227" s="212" t="str">
        <v/>
      </c>
      <c r="L227" s="212" t="str">
        <v/>
      </c>
      <c r="M227" s="219" t="str">
        <v/>
      </c>
    </row>
    <row r="228" spans="2:18" x14ac:dyDescent="0.35">
      <c r="B228"/>
      <c r="C228" s="12" t="str">
        <v>GridUsages</v>
      </c>
      <c r="D228" s="212" t="str">
        <v/>
      </c>
      <c r="E228" s="212" t="str">
        <v/>
      </c>
      <c r="F228" s="212" t="str">
        <v/>
      </c>
      <c r="G228" s="212" t="str">
        <v/>
      </c>
      <c r="H228" s="212" t="str">
        <v/>
      </c>
      <c r="I228" s="212" t="str">
        <v/>
      </c>
      <c r="J228" s="212" t="str">
        <v/>
      </c>
      <c r="K228" s="212" t="str">
        <v/>
      </c>
      <c r="L228" s="212" t="str">
        <v/>
      </c>
      <c r="M228" s="219" t="str">
        <v/>
      </c>
    </row>
    <row r="229" spans="2:18" x14ac:dyDescent="0.35">
      <c r="B229"/>
      <c r="C229" s="12" t="str">
        <v>Parameters</v>
      </c>
      <c r="D229" s="212" t="str">
        <v/>
      </c>
      <c r="E229" s="212" t="str">
        <v/>
      </c>
      <c r="F229" s="212" t="str">
        <v/>
      </c>
      <c r="G229" s="212" t="str">
        <v/>
      </c>
      <c r="H229" s="212" t="str">
        <v/>
      </c>
      <c r="I229" s="212" t="str">
        <v/>
      </c>
      <c r="J229" s="212" t="str">
        <v/>
      </c>
      <c r="K229" s="212" t="str">
        <v/>
      </c>
      <c r="L229" s="212" t="str">
        <v/>
      </c>
      <c r="M229" s="219" t="str">
        <v/>
      </c>
    </row>
    <row r="230" spans="2:18" x14ac:dyDescent="0.35">
      <c r="B230"/>
      <c r="C230" s="12" t="str">
        <v>SourceCRS</v>
      </c>
      <c r="D230" s="212" t="str">
        <v>NAD27 / Alaska Albers</v>
      </c>
      <c r="E230" s="212" t="str">
        <v>NAD27 / Alaska Albers</v>
      </c>
      <c r="F230" s="212" t="str">
        <v>NAD27 / Alaska Albers</v>
      </c>
      <c r="G230" s="212" t="str">
        <v>NAD27 / Alaska Albers</v>
      </c>
      <c r="H230" s="212" t="str">
        <v>NAD27 / Alaska Albers</v>
      </c>
      <c r="I230" s="212" t="str">
        <v>NAD27 / Alaska Albers</v>
      </c>
      <c r="J230" s="212" t="str">
        <v>NAD27 / Alaska Albers</v>
      </c>
      <c r="K230" s="212" t="str">
        <v>NAD27 / Alaska Albers</v>
      </c>
      <c r="L230" s="212" t="str">
        <v>NAD27 / Alaska Albers</v>
      </c>
      <c r="M230" s="219" t="str">
        <v>NAD27 / Alaska Albers</v>
      </c>
    </row>
    <row r="231" spans="2:18" x14ac:dyDescent="0.35">
      <c r="B231"/>
      <c r="C231" s="12" t="str">
        <v>TargetCRS</v>
      </c>
      <c r="D231" s="212" t="str">
        <v>WGS 84 (with axis order normalized for visualization)</v>
      </c>
      <c r="E231" s="212" t="str">
        <v>WGS 84 (with axis order normalized for visualization)</v>
      </c>
      <c r="F231" s="212" t="str">
        <v>WGS 84 (with axis order normalized for visualization)</v>
      </c>
      <c r="G231" s="212" t="str">
        <v>WGS 84 (with axis order normalized for visualization)</v>
      </c>
      <c r="H231" s="212" t="str">
        <v>WGS 84 (with axis order normalized for visualization)</v>
      </c>
      <c r="I231" s="212" t="str">
        <v>WGS 84 (with axis order normalized for visualization)</v>
      </c>
      <c r="J231" s="212" t="str">
        <v>WGS 84 (with axis order normalized for visualization)</v>
      </c>
      <c r="K231" s="212" t="str">
        <v>WGS 84 (with axis order normalized for visualization)</v>
      </c>
      <c r="L231" s="212" t="str">
        <v>WGS 84 (with axis order normalized for visualization)</v>
      </c>
      <c r="M231" s="219" t="str">
        <v>WGS 84 (with axis order normalized for visualization)</v>
      </c>
    </row>
    <row r="232" spans="2:18" x14ac:dyDescent="0.35">
      <c r="B232"/>
      <c r="C232" s="12" t="str">
        <v>Context</v>
      </c>
      <c r="D232" s="212" t="str">
        <v>LogLevel=Error; EndpointUrl=https://cdn.proj.org; EnableNetworkConnections=True</v>
      </c>
      <c r="E232" s="212" t="str">
        <v>LogLevel=Error; EndpointUrl=https://cdn.proj.org; EnableNetworkConnections=True</v>
      </c>
      <c r="F232" s="212" t="str">
        <v>LogLevel=Error; EndpointUrl=https://cdn.proj.org; EnableNetworkConnections=True</v>
      </c>
      <c r="G232" s="212" t="str">
        <v>LogLevel=Error; EndpointUrl=https://cdn.proj.org; EnableNetworkConnections=True</v>
      </c>
      <c r="H232" s="212" t="str">
        <v>LogLevel=Error; EndpointUrl=https://cdn.proj.org; EnableNetworkConnections=True</v>
      </c>
      <c r="I232" s="212" t="str">
        <v>LogLevel=Error; EndpointUrl=https://cdn.proj.org; EnableNetworkConnections=True</v>
      </c>
      <c r="J232" s="212" t="str">
        <v>LogLevel=Error; EndpointUrl=https://cdn.proj.org; EnableNetworkConnections=True</v>
      </c>
      <c r="K232" s="212" t="str">
        <v>LogLevel=Error; EndpointUrl=https://cdn.proj.org; EnableNetworkConnections=True</v>
      </c>
      <c r="L232" s="212" t="str">
        <v>LogLevel=Error; EndpointUrl=https://cdn.proj.org; EnableNetworkConnections=True</v>
      </c>
      <c r="M232" s="219" t="str">
        <v>LogLevel=Error; EndpointUrl=https://cdn.proj.org; EnableNetworkConnections=True</v>
      </c>
    </row>
    <row r="233" spans="2:18" x14ac:dyDescent="0.35">
      <c r="B233"/>
      <c r="C233" s="12" t="str">
        <v>UsageArea.Name</v>
      </c>
      <c r="D233" s="212" t="str">
        <v>UsageArea</v>
      </c>
      <c r="E233" s="212" t="str">
        <v>UsageArea</v>
      </c>
      <c r="F233" s="212" t="str">
        <v>UsageArea</v>
      </c>
      <c r="G233" s="212" t="str">
        <v>UsageArea</v>
      </c>
      <c r="H233" s="212" t="str">
        <v>UsageArea</v>
      </c>
      <c r="I233" s="212" t="str">
        <v>UsageArea</v>
      </c>
      <c r="J233" s="212" t="str">
        <v>UsageArea</v>
      </c>
      <c r="K233" s="212" t="str">
        <v>UsageArea</v>
      </c>
      <c r="L233" s="212" t="str">
        <v>UsageArea</v>
      </c>
      <c r="M233" s="219" t="str">
        <v>UsageArea</v>
      </c>
      <c r="O233"/>
    </row>
    <row r="234" spans="2:18" x14ac:dyDescent="0.35">
      <c r="B234"/>
      <c r="C234" s="12" t="str">
        <v>UsageArea.WestLongitude</v>
      </c>
      <c r="D234" s="212" t="str">
        <v>United States (USA) - Alaska including EEZ.</v>
      </c>
      <c r="E234" s="212" t="str">
        <v>United States (USA) - Alaska mainland.</v>
      </c>
      <c r="F234" s="212" t="str">
        <v>Canada - onshore - Alberta; British Columbia; Manitoba; New Brunswick; Newfoundland and Labrador; Northwest Territories; Nova Scotia; Nunavut; Ontario; Prince Edward Island; Quebec; Saskatchewan; Yukon; offshore east coast west of 44°W and north of 40°N.</v>
      </c>
      <c r="G234" s="212" t="str">
        <v>Canada - onshore - Alberta; British Columbia; Manitoba; New Brunswick; Newfoundland and Labrador; Northwest Territories; Nova Scotia; Nunavut; Ontario; Prince Edward Island; Quebec; Saskatchewan; Yukon; offshore east coast west of 44°W and north of 40°N.</v>
      </c>
      <c r="H234" s="212" t="str">
        <v>Canada - Northwest Territories; Nunavut; Saskatchewan.</v>
      </c>
      <c r="I234" s="212" t="str">
        <v>Canada - Yukon.</v>
      </c>
      <c r="J234" s="212" t="str">
        <v>Canada - Alberta; British Columbia.</v>
      </c>
      <c r="K234" s="212" t="str">
        <v>United States (USA) - Alaska - Aleutian Islands onshore east of 180°E.</v>
      </c>
      <c r="L234" s="212" t="str">
        <v>United States (USA) - Alaska - Aleutian Islands onshore west of 180°W.</v>
      </c>
      <c r="M234" s="219" t="str">
        <v>World</v>
      </c>
      <c r="O234"/>
    </row>
    <row r="235" spans="2:18" x14ac:dyDescent="0.35">
      <c r="B235"/>
      <c r="C235" s="12" t="str">
        <v>UsageArea.SouthLatitude</v>
      </c>
      <c r="D235" s="212" t="str">
        <v>167.65</v>
      </c>
      <c r="E235" s="212" t="str">
        <v>-168.26</v>
      </c>
      <c r="F235" s="212" t="str">
        <v>-141.01</v>
      </c>
      <c r="G235" s="212" t="str">
        <v>-141.01</v>
      </c>
      <c r="H235" s="212" t="str">
        <v>-136.46</v>
      </c>
      <c r="I235" s="212" t="str">
        <v>-141.01</v>
      </c>
      <c r="J235" s="212" t="str">
        <v>-139.04</v>
      </c>
      <c r="K235" s="212" t="str">
        <v>-178.3</v>
      </c>
      <c r="L235" s="212" t="str">
        <v>172.42</v>
      </c>
      <c r="M235" s="219" t="str">
        <v>-180</v>
      </c>
      <c r="O235"/>
    </row>
    <row r="236" spans="2:18" x14ac:dyDescent="0.35">
      <c r="B236"/>
      <c r="C236" s="12" t="str">
        <v>UsageArea.EastLongitude</v>
      </c>
      <c r="D236" s="212" t="str">
        <v>47.88</v>
      </c>
      <c r="E236" s="212" t="str">
        <v>54.34</v>
      </c>
      <c r="F236" s="212" t="str">
        <v>40</v>
      </c>
      <c r="G236" s="212" t="str">
        <v>40</v>
      </c>
      <c r="H236" s="212" t="str">
        <v>49</v>
      </c>
      <c r="I236" s="212" t="str">
        <v>59.99</v>
      </c>
      <c r="J236" s="212" t="str">
        <v>48.25</v>
      </c>
      <c r="K236" s="212" t="str">
        <v>51.54</v>
      </c>
      <c r="L236" s="212" t="str">
        <v>51.3</v>
      </c>
      <c r="M236" s="219" t="str">
        <v>-90</v>
      </c>
      <c r="O236"/>
    </row>
    <row r="237" spans="2:18" x14ac:dyDescent="0.35">
      <c r="B237"/>
      <c r="C237" s="12" t="str">
        <v>UsageArea.NorthLatitude</v>
      </c>
      <c r="D237" s="212" t="str">
        <v>-129.99</v>
      </c>
      <c r="E237" s="212" t="str">
        <v>-129.99</v>
      </c>
      <c r="F237" s="212" t="str">
        <v>-44</v>
      </c>
      <c r="G237" s="212" t="str">
        <v>-44</v>
      </c>
      <c r="H237" s="212" t="str">
        <v>-60.72</v>
      </c>
      <c r="I237" s="212" t="str">
        <v>-123.91</v>
      </c>
      <c r="J237" s="212" t="str">
        <v>-109.98</v>
      </c>
      <c r="K237" s="212" t="str">
        <v>-164.84</v>
      </c>
      <c r="L237" s="212" t="str">
        <v>179.86</v>
      </c>
      <c r="M237" s="219" t="str">
        <v>180</v>
      </c>
      <c r="O237"/>
    </row>
    <row r="238" spans="2:18" ht="15" thickBot="1" x14ac:dyDescent="0.4">
      <c r="B238"/>
      <c r="C238" s="13" t="str">
        <v>UsageArea.Center</v>
      </c>
      <c r="D238" s="213" t="str">
        <v>74.71</v>
      </c>
      <c r="E238" s="213" t="str">
        <v>71.4</v>
      </c>
      <c r="F238" s="213" t="str">
        <v>83.17</v>
      </c>
      <c r="G238" s="213" t="str">
        <v>83.17</v>
      </c>
      <c r="H238" s="213" t="str">
        <v>83.17</v>
      </c>
      <c r="I238" s="213" t="str">
        <v>69.7</v>
      </c>
      <c r="J238" s="213" t="str">
        <v>60.01</v>
      </c>
      <c r="K238" s="213" t="str">
        <v>54.34</v>
      </c>
      <c r="L238" s="213" t="str">
        <v>53.07</v>
      </c>
      <c r="M238" s="220" t="str">
        <v>90</v>
      </c>
      <c r="O238"/>
    </row>
    <row r="239" spans="2:18" ht="15" thickBot="1" x14ac:dyDescent="0.4">
      <c r="B239"/>
      <c r="M239"/>
      <c r="O239"/>
    </row>
    <row r="240" spans="2:18" ht="15" thickBot="1" x14ac:dyDescent="0.4">
      <c r="B240"/>
      <c r="C240" s="237" t="str" cm="1">
        <f t="array" ref="C240:D253">_xll.PE.trf.TransformSteps(D213,D214,C215,"proj")</f>
        <v>Transform Identifiers</v>
      </c>
      <c r="D240" s="177">
        <v>0</v>
      </c>
      <c r="F240" t="str">
        <f>D217</f>
        <v>Inverse of Alaska Albers + NAD27 to WGS 84 (85) + axis order change (2D)</v>
      </c>
      <c r="K240" s="182" t="str" cm="1">
        <f t="array" ref="K240:O250">_xll.PE.xfm.ListTransformPipelines(D213,D214)</f>
        <v>PipelineID</v>
      </c>
      <c r="L240" s="183" t="str">
        <v>Name</v>
      </c>
      <c r="M240" s="183" t="str">
        <v>Accuracy(m)</v>
      </c>
      <c r="N240" s="183" t="str">
        <v>Grids</v>
      </c>
      <c r="O240" s="184" t="str">
        <v>IsAvailable</v>
      </c>
      <c r="R240" s="61"/>
    </row>
    <row r="241" spans="2:20" x14ac:dyDescent="0.35">
      <c r="B241"/>
      <c r="C241" s="238" t="str">
        <v>Transform Name</v>
      </c>
      <c r="D241" s="179" t="str">
        <v>&lt;choose-coordinate-transform&gt;</v>
      </c>
      <c r="F241" t="str">
        <f>E217</f>
        <v>Inverse of Alaska Albers + NAD27 to WGS 84 (7) + axis order change (2D)</v>
      </c>
      <c r="K241" s="248">
        <v>1</v>
      </c>
      <c r="L241" s="249" t="str">
        <v>Inverse of Alaska Albers + NAD27 to WGS 84 (85)</v>
      </c>
      <c r="M241" s="249">
        <v>5</v>
      </c>
      <c r="N241" s="249" t="str">
        <v/>
      </c>
      <c r="O241" s="250" t="str">
        <v>TRUE</v>
      </c>
      <c r="R241" s="61"/>
    </row>
    <row r="242" spans="2:20" x14ac:dyDescent="0.35">
      <c r="B242"/>
      <c r="C242" s="238" t="str">
        <v>Accuracy [m]</v>
      </c>
      <c r="D242" s="179">
        <v>0</v>
      </c>
      <c r="F242" t="str">
        <f>F217</f>
        <v>Inverse of Alaska Albers + NAD27 to WGS 84 (33) + axis order change (2D)</v>
      </c>
      <c r="K242" s="198">
        <v>2</v>
      </c>
      <c r="L242" s="251" t="str">
        <v>Inverse of Alaska Albers + NAD27 to WGS 84 (7)</v>
      </c>
      <c r="M242" s="251">
        <v>12</v>
      </c>
      <c r="N242" s="251" t="str">
        <v/>
      </c>
      <c r="O242" s="245" t="str">
        <v>TRUE</v>
      </c>
      <c r="R242" s="61"/>
    </row>
    <row r="243" spans="2:20" x14ac:dyDescent="0.35">
      <c r="B243"/>
      <c r="C243" s="238" t="str">
        <v>UsageArea</v>
      </c>
      <c r="D243" s="179" t="str">
        <v>United States (USA) - Alaska including EEZ.</v>
      </c>
      <c r="F243" t="str">
        <f>G217</f>
        <v>Inverse of Alaska Albers + NAD27 to WGS 84 (3) + axis order change (2D)</v>
      </c>
      <c r="K243" s="198">
        <v>3</v>
      </c>
      <c r="L243" s="251" t="str">
        <v>Inverse of Alaska Albers + NAD27 to WGS 84 (33)</v>
      </c>
      <c r="M243" s="251">
        <v>2</v>
      </c>
      <c r="N243" s="251" t="str">
        <v/>
      </c>
      <c r="O243" s="245" t="str">
        <v>TRUE</v>
      </c>
      <c r="R243" s="61"/>
    </row>
    <row r="244" spans="2:20" x14ac:dyDescent="0.35">
      <c r="B244"/>
      <c r="C244" s="238" t="str">
        <v>Scope</v>
      </c>
      <c r="D244" s="179" t="str">
        <v>Unknown</v>
      </c>
      <c r="F244" t="str">
        <f>H217</f>
        <v>Inverse of Alaska Albers + NAD27 to WGS 84 (13) + axis order change (2D)</v>
      </c>
      <c r="K244" s="198">
        <v>4</v>
      </c>
      <c r="L244" s="251" t="str">
        <v>Inverse of Alaska Albers + NAD27 to WGS 84 (3)</v>
      </c>
      <c r="M244" s="251">
        <v>20</v>
      </c>
      <c r="N244" s="251" t="str">
        <v/>
      </c>
      <c r="O244" s="245" t="str">
        <v>TRUE</v>
      </c>
      <c r="R244" s="61"/>
    </row>
    <row r="245" spans="2:20" x14ac:dyDescent="0.35">
      <c r="B245"/>
      <c r="C245" s="238" t="str">
        <v>Remarks</v>
      </c>
      <c r="D245" s="179" t="str">
        <v>None</v>
      </c>
      <c r="K245" s="198">
        <v>5</v>
      </c>
      <c r="L245" s="251" t="str">
        <v>Inverse of Alaska Albers + NAD27 to WGS 84 (13)</v>
      </c>
      <c r="M245" s="251">
        <v>8</v>
      </c>
      <c r="N245" s="251" t="str">
        <v/>
      </c>
      <c r="O245" s="245" t="str">
        <v>TRUE</v>
      </c>
      <c r="P245" s="1"/>
      <c r="R245" s="61"/>
    </row>
    <row r="246" spans="2:20" x14ac:dyDescent="0.35">
      <c r="B246"/>
      <c r="C246" s="238" t="str">
        <v>UsageArea.WestLongitude</v>
      </c>
      <c r="D246" s="179">
        <v>167.65</v>
      </c>
      <c r="K246" s="198">
        <v>6</v>
      </c>
      <c r="L246" s="251" t="str">
        <v>Inverse of Alaska Albers + NAD27 to WGS 84 (14)</v>
      </c>
      <c r="M246" s="251">
        <v>10</v>
      </c>
      <c r="N246" s="251" t="str">
        <v/>
      </c>
      <c r="O246" s="245" t="str">
        <v>TRUE</v>
      </c>
      <c r="P246" s="1"/>
      <c r="R246" s="61"/>
    </row>
    <row r="247" spans="2:20" x14ac:dyDescent="0.35">
      <c r="B247"/>
      <c r="C247" s="238" t="str">
        <v>UsageArea.SouthLatitude</v>
      </c>
      <c r="D247" s="179">
        <v>-129.99</v>
      </c>
      <c r="K247" s="198">
        <v>7</v>
      </c>
      <c r="L247" s="251" t="str">
        <v>Inverse of Alaska Albers + NAD27 to WGS 84 (10)</v>
      </c>
      <c r="M247" s="252">
        <v>13</v>
      </c>
      <c r="N247" s="251" t="str">
        <v/>
      </c>
      <c r="O247" s="245" t="str">
        <v>TRUE</v>
      </c>
    </row>
    <row r="248" spans="2:20" x14ac:dyDescent="0.35">
      <c r="B248"/>
      <c r="C248" s="238" t="str">
        <v>UsageArea.EastLongitude</v>
      </c>
      <c r="D248" s="179">
        <v>47.88</v>
      </c>
      <c r="K248" s="198">
        <v>8</v>
      </c>
      <c r="L248" s="251" t="str">
        <v>Inverse of Alaska Albers + NAD27 to WGS 84 (21)</v>
      </c>
      <c r="M248" s="252">
        <v>15</v>
      </c>
      <c r="N248" s="251" t="str">
        <v/>
      </c>
      <c r="O248" s="245" t="str">
        <v>TRUE</v>
      </c>
    </row>
    <row r="249" spans="2:20" x14ac:dyDescent="0.35">
      <c r="B249"/>
      <c r="C249" s="238" t="str">
        <v>UsageArea.NorthLatitude</v>
      </c>
      <c r="D249" s="179">
        <v>74.709999999999994</v>
      </c>
      <c r="K249" s="198">
        <v>9</v>
      </c>
      <c r="L249" s="251" t="str">
        <v>Inverse of Alaska Albers + NAD27 to WGS 84 (22)</v>
      </c>
      <c r="M249" s="252">
        <v>18</v>
      </c>
      <c r="N249" s="251" t="str">
        <v/>
      </c>
      <c r="O249" s="245" t="str">
        <v>TRUE</v>
      </c>
    </row>
    <row r="250" spans="2:20" ht="15" thickBot="1" x14ac:dyDescent="0.4">
      <c r="C250" s="238" t="str">
        <v>Nr grids</v>
      </c>
      <c r="D250" s="179">
        <v>1</v>
      </c>
      <c r="K250" s="200">
        <v>10</v>
      </c>
      <c r="L250" s="201" t="str">
        <v>Inverse of Alaska Albers + Ballpark geographic offset from NAD27 to WGS 84</v>
      </c>
      <c r="M250" s="247" t="str">
        <v/>
      </c>
      <c r="N250" s="201" t="str">
        <v/>
      </c>
      <c r="O250" s="246" t="str">
        <v>TRUE</v>
      </c>
    </row>
    <row r="251" spans="2:20" ht="15" thickBot="1" x14ac:dyDescent="0.4">
      <c r="C251" s="238" t="str">
        <v>1st grid</v>
      </c>
      <c r="D251" s="179" t="str">
        <v/>
      </c>
    </row>
    <row r="252" spans="2:20" ht="15" thickBot="1" x14ac:dyDescent="0.4">
      <c r="C252" s="238" t="str">
        <v>2nd grid</v>
      </c>
      <c r="D252" s="179" t="str">
        <v>N.A.</v>
      </c>
      <c r="K252" s="182" t="str" cm="1">
        <f t="array" ref="K252:T262">_xll.PE.trf.ListTransformOptions(D213,D214)</f>
        <v>CandidateIndex</v>
      </c>
      <c r="L252" s="183" t="str">
        <v>DefaultSelection</v>
      </c>
      <c r="M252" s="183" t="str">
        <v>Name</v>
      </c>
      <c r="N252" s="183" t="str">
        <v>Type</v>
      </c>
      <c r="O252" s="183" t="str">
        <v>Accuracy</v>
      </c>
      <c r="P252" s="183" t="str">
        <v>IsAvailable</v>
      </c>
      <c r="Q252" s="183" t="str">
        <v>HasBallPark</v>
      </c>
      <c r="R252" s="183" t="str">
        <v>UsageArea</v>
      </c>
      <c r="S252" s="203" t="str">
        <v>Pros</v>
      </c>
      <c r="T252" s="184" t="str">
        <v>Cons</v>
      </c>
    </row>
    <row r="253" spans="2:20" ht="15" thickBot="1" x14ac:dyDescent="0.4">
      <c r="C253" s="239" t="str">
        <v>Transform PROJ string</v>
      </c>
      <c r="D253" s="181">
        <v>0</v>
      </c>
      <c r="K253" s="248">
        <v>0</v>
      </c>
      <c r="L253" s="249" t="str">
        <v>Yes</v>
      </c>
      <c r="M253" s="249" t="str">
        <v>Inverse of Alaska Albers + NAD27 to WGS 84 (33) + axis order change (2D)</v>
      </c>
      <c r="N253" s="249" t="str">
        <v>ConcatenatedOperation</v>
      </c>
      <c r="O253" s="253">
        <v>2</v>
      </c>
      <c r="P253" s="249" t="b">
        <v>1</v>
      </c>
      <c r="Q253" s="249" t="b">
        <v>0</v>
      </c>
      <c r="R253" s="249" t="str">
        <v>Canada - onshore - Alberta; British Columbia; Manitoba; New Brunswick; Newfoundland and Labrador; Northwest Territories; Nova Scotia; Nunavut; Ontario; Prince Edward Island; Quebec; Saskatchewan; Yukon; offshore east coast west of 44°W and north of 40°N.</v>
      </c>
      <c r="S253" s="254" t="str">
        <v>Available; Non-ballpark; Accuracy=2; Has usage area; Default selection</v>
      </c>
      <c r="T253" s="255" t="str">
        <v/>
      </c>
    </row>
    <row r="254" spans="2:20" x14ac:dyDescent="0.35">
      <c r="K254" s="198">
        <v>1</v>
      </c>
      <c r="L254" s="251" t="str">
        <v>No</v>
      </c>
      <c r="M254" s="251" t="str">
        <v>Inverse of Alaska Albers + NAD27 to WGS 84 (85) + axis order change (2D)</v>
      </c>
      <c r="N254" s="251" t="str">
        <v>ConcatenatedOperation</v>
      </c>
      <c r="O254" s="252">
        <v>5</v>
      </c>
      <c r="P254" s="251" t="b">
        <v>1</v>
      </c>
      <c r="Q254" s="251" t="b">
        <v>0</v>
      </c>
      <c r="R254" s="251" t="str">
        <v>United States (USA) - Alaska including EEZ.</v>
      </c>
      <c r="S254" s="256" t="str">
        <v>Available; Non-ballpark; Accuracy=5; Has usage area</v>
      </c>
      <c r="T254" s="241" t="str">
        <v>Alternate candidate</v>
      </c>
    </row>
    <row r="255" spans="2:20" x14ac:dyDescent="0.35">
      <c r="K255" s="198">
        <v>2</v>
      </c>
      <c r="L255" s="251" t="str">
        <v>No</v>
      </c>
      <c r="M255" s="251" t="str">
        <v>Inverse of Alaska Albers + NAD27 to WGS 84 (13) + axis order change (2D)</v>
      </c>
      <c r="N255" s="251" t="str">
        <v>ConcatenatedOperation</v>
      </c>
      <c r="O255" s="252">
        <v>8</v>
      </c>
      <c r="P255" s="251" t="b">
        <v>1</v>
      </c>
      <c r="Q255" s="251" t="b">
        <v>0</v>
      </c>
      <c r="R255" s="251" t="str">
        <v>Canada - Northwest Territories; Nunavut; Saskatchewan.</v>
      </c>
      <c r="S255" s="256" t="str">
        <v>Available; Non-ballpark; Accuracy=8; Has usage area</v>
      </c>
      <c r="T255" s="241" t="str">
        <v>Alternate candidate</v>
      </c>
    </row>
    <row r="256" spans="2:20" x14ac:dyDescent="0.35">
      <c r="K256" s="198">
        <v>3</v>
      </c>
      <c r="L256" s="251" t="str">
        <v>No</v>
      </c>
      <c r="M256" s="252" t="str">
        <v>Inverse of Alaska Albers + NAD27 to WGS 84 (14) + axis order change (2D)</v>
      </c>
      <c r="N256" s="251" t="str">
        <v>ConcatenatedOperation</v>
      </c>
      <c r="O256" s="252">
        <v>10</v>
      </c>
      <c r="P256" s="251" t="b">
        <v>1</v>
      </c>
      <c r="Q256" s="251" t="b">
        <v>0</v>
      </c>
      <c r="R256" s="251" t="str">
        <v>Canada - Yukon.</v>
      </c>
      <c r="S256" s="251" t="str">
        <v>Available; Non-ballpark; Accuracy=10; Has usage area</v>
      </c>
      <c r="T256" s="199" t="str">
        <v>Alternate candidate</v>
      </c>
    </row>
    <row r="257" spans="10:20" x14ac:dyDescent="0.35">
      <c r="K257" s="198">
        <v>4</v>
      </c>
      <c r="L257" s="251" t="str">
        <v>No</v>
      </c>
      <c r="M257" s="252" t="str">
        <v>Inverse of Alaska Albers + NAD27 to WGS 84 (7) + axis order change (2D)</v>
      </c>
      <c r="N257" s="251" t="str">
        <v>ConcatenatedOperation</v>
      </c>
      <c r="O257" s="252">
        <v>12</v>
      </c>
      <c r="P257" s="251" t="b">
        <v>1</v>
      </c>
      <c r="Q257" s="251" t="b">
        <v>0</v>
      </c>
      <c r="R257" s="251" t="str">
        <v>United States (USA) - Alaska mainland.</v>
      </c>
      <c r="S257" s="251" t="str">
        <v>Available; Non-ballpark; Accuracy=12; Has usage area</v>
      </c>
      <c r="T257" s="199" t="str">
        <v>Alternate candidate</v>
      </c>
    </row>
    <row r="258" spans="10:20" x14ac:dyDescent="0.35">
      <c r="K258" s="198">
        <v>5</v>
      </c>
      <c r="L258" s="251" t="str">
        <v>No</v>
      </c>
      <c r="M258" s="252" t="str">
        <v>Inverse of Alaska Albers + NAD27 to WGS 84 (10) + axis order change (2D)</v>
      </c>
      <c r="N258" s="251" t="str">
        <v>ConcatenatedOperation</v>
      </c>
      <c r="O258" s="252">
        <v>13</v>
      </c>
      <c r="P258" s="251" t="b">
        <v>1</v>
      </c>
      <c r="Q258" s="251" t="b">
        <v>0</v>
      </c>
      <c r="R258" s="251" t="str">
        <v>Canada - Alberta; British Columbia.</v>
      </c>
      <c r="S258" s="251" t="str">
        <v>Available; Non-ballpark; Accuracy=13; Has usage area</v>
      </c>
      <c r="T258" s="199" t="str">
        <v>Alternate candidate</v>
      </c>
    </row>
    <row r="259" spans="10:20" x14ac:dyDescent="0.35">
      <c r="K259" s="198">
        <v>6</v>
      </c>
      <c r="L259" s="251" t="str">
        <v>No</v>
      </c>
      <c r="M259" s="252" t="str">
        <v>Inverse of Alaska Albers + NAD27 to WGS 84 (21) + axis order change (2D)</v>
      </c>
      <c r="N259" s="251" t="str">
        <v>ConcatenatedOperation</v>
      </c>
      <c r="O259" s="252">
        <v>15</v>
      </c>
      <c r="P259" s="251" t="b">
        <v>1</v>
      </c>
      <c r="Q259" s="251" t="b">
        <v>0</v>
      </c>
      <c r="R259" s="251" t="str">
        <v>United States (USA) - Alaska - Aleutian Islands onshore east of 180°E.</v>
      </c>
      <c r="S259" s="251" t="str">
        <v>Available; Non-ballpark; Accuracy=15; Has usage area</v>
      </c>
      <c r="T259" s="199" t="str">
        <v>Alternate candidate</v>
      </c>
    </row>
    <row r="260" spans="10:20" x14ac:dyDescent="0.35">
      <c r="K260" s="198">
        <v>7</v>
      </c>
      <c r="L260" s="251" t="str">
        <v>No</v>
      </c>
      <c r="M260" s="252" t="str">
        <v>Inverse of Alaska Albers + NAD27 to WGS 84 (22) + axis order change (2D)</v>
      </c>
      <c r="N260" s="251" t="str">
        <v>ConcatenatedOperation</v>
      </c>
      <c r="O260" s="252">
        <v>18</v>
      </c>
      <c r="P260" s="251" t="b">
        <v>1</v>
      </c>
      <c r="Q260" s="251" t="b">
        <v>0</v>
      </c>
      <c r="R260" s="251" t="str">
        <v>United States (USA) - Alaska - Aleutian Islands onshore west of 180°W.</v>
      </c>
      <c r="S260" s="251" t="str">
        <v>Available; Non-ballpark; Accuracy=18; Has usage area</v>
      </c>
      <c r="T260" s="199" t="str">
        <v>Alternate candidate</v>
      </c>
    </row>
    <row r="261" spans="10:20" x14ac:dyDescent="0.35">
      <c r="K261" s="198">
        <v>8</v>
      </c>
      <c r="L261" s="251" t="str">
        <v>No</v>
      </c>
      <c r="M261" s="252" t="str">
        <v>Inverse of Alaska Albers + NAD27 to WGS 84 (3) + axis order change (2D)</v>
      </c>
      <c r="N261" s="251" t="str">
        <v>ConcatenatedOperation</v>
      </c>
      <c r="O261" s="252">
        <v>20</v>
      </c>
      <c r="P261" s="251" t="b">
        <v>1</v>
      </c>
      <c r="Q261" s="251" t="b">
        <v>0</v>
      </c>
      <c r="R261" s="251" t="str">
        <v>Canada - onshore - Alberta; British Columbia; Manitoba; New Brunswick; Newfoundland and Labrador; Northwest Territories; Nova Scotia; Nunavut; Ontario; Prince Edward Island; Quebec; Saskatchewan; Yukon; offshore east coast west of 44°W and north of 40°N.</v>
      </c>
      <c r="S261" s="251" t="str">
        <v>Available; Non-ballpark; Accuracy=20; Has usage area</v>
      </c>
      <c r="T261" s="199" t="str">
        <v>Alternate candidate</v>
      </c>
    </row>
    <row r="262" spans="10:20" ht="15" thickBot="1" x14ac:dyDescent="0.4">
      <c r="J262" t="s">
        <v>0</v>
      </c>
      <c r="K262" s="200">
        <v>9</v>
      </c>
      <c r="L262" s="201" t="str">
        <v>No</v>
      </c>
      <c r="M262" s="247" t="str">
        <v>Inverse of Alaska Albers + Ballpark geographic offset from NAD27 to WGS 84 (with axis order normalized for visualization)</v>
      </c>
      <c r="N262" s="201" t="str">
        <v>ConcatenatedOperation</v>
      </c>
      <c r="O262" s="247">
        <v>0</v>
      </c>
      <c r="P262" s="201" t="b">
        <v>1</v>
      </c>
      <c r="Q262" s="201" t="b">
        <v>1</v>
      </c>
      <c r="R262" s="201" t="str">
        <v>World</v>
      </c>
      <c r="S262" s="201" t="str">
        <v>Available; Has usage area</v>
      </c>
      <c r="T262" s="202" t="str">
        <v>Ballpark transformation; No reported accuracy; Alternate candidate</v>
      </c>
    </row>
    <row r="267" spans="10:20" x14ac:dyDescent="0.35">
      <c r="O267"/>
    </row>
    <row r="268" spans="10:20" x14ac:dyDescent="0.35">
      <c r="O268"/>
    </row>
    <row r="269" spans="10:20" x14ac:dyDescent="0.35">
      <c r="O269"/>
    </row>
    <row r="270" spans="10:20" x14ac:dyDescent="0.35">
      <c r="M270"/>
      <c r="O270"/>
    </row>
    <row r="271" spans="10:20" x14ac:dyDescent="0.35">
      <c r="M271"/>
      <c r="O271"/>
    </row>
    <row r="272" spans="10:20" x14ac:dyDescent="0.35">
      <c r="M272"/>
      <c r="O272"/>
    </row>
    <row r="273" spans="13:15" x14ac:dyDescent="0.35">
      <c r="M273"/>
      <c r="O273"/>
    </row>
    <row r="274" spans="13:15" x14ac:dyDescent="0.35">
      <c r="M274"/>
      <c r="O274"/>
    </row>
    <row r="275" spans="13:15" x14ac:dyDescent="0.35">
      <c r="M275"/>
      <c r="O275"/>
    </row>
    <row r="276" spans="13:15" x14ac:dyDescent="0.35">
      <c r="M276"/>
      <c r="O276"/>
    </row>
    <row r="277" spans="13:15" x14ac:dyDescent="0.35">
      <c r="M277"/>
      <c r="O277"/>
    </row>
    <row r="278" spans="13:15" x14ac:dyDescent="0.35">
      <c r="M278"/>
      <c r="O278"/>
    </row>
    <row r="279" spans="13:15" x14ac:dyDescent="0.35">
      <c r="M279"/>
      <c r="O279"/>
    </row>
    <row r="280" spans="13:15" x14ac:dyDescent="0.35">
      <c r="M280"/>
      <c r="O280"/>
    </row>
    <row r="281" spans="13:15" x14ac:dyDescent="0.35">
      <c r="M281"/>
      <c r="O281"/>
    </row>
    <row r="282" spans="13:15" x14ac:dyDescent="0.35">
      <c r="M282"/>
      <c r="O282"/>
    </row>
    <row r="283" spans="13:15" x14ac:dyDescent="0.35">
      <c r="M283"/>
      <c r="O283"/>
    </row>
    <row r="284" spans="13:15" x14ac:dyDescent="0.35">
      <c r="M284"/>
      <c r="O284"/>
    </row>
    <row r="285" spans="13:15" x14ac:dyDescent="0.35">
      <c r="M285"/>
      <c r="O285"/>
    </row>
    <row r="286" spans="13:15" x14ac:dyDescent="0.35">
      <c r="M286"/>
      <c r="O286"/>
    </row>
    <row r="287" spans="13:15" x14ac:dyDescent="0.35">
      <c r="M287"/>
      <c r="O287"/>
    </row>
    <row r="288" spans="13:15" x14ac:dyDescent="0.35">
      <c r="M288"/>
      <c r="O288"/>
    </row>
    <row r="289" spans="13:15" x14ac:dyDescent="0.35">
      <c r="M289"/>
      <c r="O289"/>
    </row>
    <row r="290" spans="13:15" x14ac:dyDescent="0.35">
      <c r="M290"/>
      <c r="O290"/>
    </row>
    <row r="291" spans="13:15" x14ac:dyDescent="0.35">
      <c r="M291"/>
      <c r="O291"/>
    </row>
    <row r="292" spans="13:15" x14ac:dyDescent="0.35">
      <c r="M292"/>
      <c r="O292"/>
    </row>
    <row r="293" spans="13:15" x14ac:dyDescent="0.35">
      <c r="M293"/>
      <c r="O293"/>
    </row>
    <row r="294" spans="13:15" x14ac:dyDescent="0.35">
      <c r="M294"/>
      <c r="O294"/>
    </row>
    <row r="295" spans="13:15" x14ac:dyDescent="0.35">
      <c r="M295"/>
      <c r="O295"/>
    </row>
    <row r="296" spans="13:15" x14ac:dyDescent="0.35">
      <c r="M296"/>
      <c r="O296"/>
    </row>
    <row r="297" spans="13:15" x14ac:dyDescent="0.35">
      <c r="M297"/>
      <c r="O297"/>
    </row>
    <row r="298" spans="13:15" x14ac:dyDescent="0.35">
      <c r="M298"/>
      <c r="O298"/>
    </row>
    <row r="299" spans="13:15" x14ac:dyDescent="0.35">
      <c r="M299"/>
      <c r="O299"/>
    </row>
    <row r="300" spans="13:15" x14ac:dyDescent="0.35">
      <c r="M300"/>
      <c r="O300"/>
    </row>
    <row r="301" spans="13:15" x14ac:dyDescent="0.35">
      <c r="M301"/>
      <c r="O301"/>
    </row>
    <row r="302" spans="13:15" x14ac:dyDescent="0.35">
      <c r="M302"/>
      <c r="O302"/>
    </row>
    <row r="303" spans="13:15" x14ac:dyDescent="0.35">
      <c r="M303"/>
      <c r="O303"/>
    </row>
    <row r="304" spans="13:15" x14ac:dyDescent="0.35">
      <c r="M304"/>
      <c r="O304"/>
    </row>
    <row r="305" spans="13:15" x14ac:dyDescent="0.35">
      <c r="M305"/>
      <c r="O305"/>
    </row>
    <row r="306" spans="13:15" x14ac:dyDescent="0.35">
      <c r="M306"/>
      <c r="O306"/>
    </row>
    <row r="307" spans="13:15" x14ac:dyDescent="0.35">
      <c r="M307"/>
      <c r="O307"/>
    </row>
    <row r="308" spans="13:15" x14ac:dyDescent="0.35">
      <c r="M308"/>
      <c r="O308"/>
    </row>
    <row r="309" spans="13:15" x14ac:dyDescent="0.35">
      <c r="M309"/>
      <c r="O309"/>
    </row>
    <row r="310" spans="13:15" x14ac:dyDescent="0.35">
      <c r="M310"/>
      <c r="O310"/>
    </row>
    <row r="311" spans="13:15" x14ac:dyDescent="0.35">
      <c r="M311"/>
      <c r="O311"/>
    </row>
    <row r="312" spans="13:15" x14ac:dyDescent="0.35">
      <c r="M312"/>
      <c r="O312"/>
    </row>
    <row r="313" spans="13:15" x14ac:dyDescent="0.35">
      <c r="M313"/>
      <c r="O313"/>
    </row>
  </sheetData>
  <hyperlinks>
    <hyperlink ref="D5" r:id="rId1" display="EPSG:4326" xr:uid="{66D20308-4A92-4E7F-BCF3-ABBE83B04144}"/>
    <hyperlink ref="D4" r:id="rId2" display="EPSG:2462" xr:uid="{85968B81-EC1A-4D4D-9D7C-8F089AB13728}"/>
  </hyperlinks>
  <pageMargins left="0.7" right="0.7" top="0.75" bottom="0.75" header="0.3" footer="0.3"/>
  <pageSetup paperSize="9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DegreeTest</vt:lpstr>
      <vt:lpstr>KmlGpxTest</vt:lpstr>
      <vt:lpstr>ApplyForwardEx</vt:lpstr>
      <vt:lpstr>XfmTest</vt:lpstr>
    </vt:vector>
  </TitlesOfParts>
  <Company>Shell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Elmes, Michael C GSUK-PTU/E/G</dc:creator>
  <cp:lastModifiedBy>Bart Duijndam</cp:lastModifiedBy>
  <dcterms:created xsi:type="dcterms:W3CDTF">2016-09-16T09:48:55Z</dcterms:created>
  <dcterms:modified xsi:type="dcterms:W3CDTF">2026-10-20T09:11:41Z</dcterms:modified>
</cp:coreProperties>
</file>